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oi_soat" sheetId="2" state="visible" r:id="rId2"/>
    <sheet xmlns:r="http://schemas.openxmlformats.org/officeDocument/2006/relationships" name="Data_thang" sheetId="3" state="visible" r:id="rId3"/>
    <sheet xmlns:r="http://schemas.openxmlformats.org/officeDocument/2006/relationships" name="Data_danh_muc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Huong_d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−#,##0.00;0.00"/>
    <numFmt numFmtId="165" formatCode="#,##0;−#,##0;0"/>
    <numFmt numFmtId="166" formatCode="+0.0%;−0.0%;0.0%"/>
    <numFmt numFmtId="167" formatCode="+0.00%;−0.00%;0.00%"/>
    <numFmt numFmtId="168" formatCode="#,##0.0;−#,##0.0;0.0"/>
  </numFmts>
  <fonts count="15">
    <font>
      <name val="Calibri"/>
      <family val="2"/>
      <color theme="1"/>
      <sz val="11"/>
      <scheme val="minor"/>
    </font>
    <font>
      <name val="Arial"/>
      <b val="1"/>
      <color rgb="001F1F1E"/>
      <sz val="18"/>
    </font>
    <font>
      <name val="Arial"/>
      <color rgb="008A8984"/>
      <sz val="9"/>
    </font>
    <font>
      <name val="Arial"/>
      <color rgb="0052514E"/>
      <sz val="10"/>
    </font>
    <font>
      <name val="Arial"/>
      <b val="1"/>
      <color rgb="001F1F1E"/>
      <sz val="11"/>
    </font>
    <font>
      <name val="Arial"/>
      <i val="1"/>
      <color rgb="008A8984"/>
      <sz val="9"/>
    </font>
    <font>
      <name val="Arial"/>
      <color rgb="008A8984"/>
      <sz val="8"/>
    </font>
    <font>
      <name val="Arial"/>
      <b val="1"/>
      <color rgb="0052514E"/>
      <sz val="10"/>
    </font>
    <font>
      <name val="Arial"/>
      <color rgb="001F1F1E"/>
      <sz val="10"/>
    </font>
    <font>
      <name val="Arial"/>
      <b val="1"/>
      <color rgb="001F1F1E"/>
      <sz val="10"/>
    </font>
    <font>
      <name val="Arial"/>
      <b val="1"/>
      <color rgb="002A78D6"/>
      <sz val="9"/>
    </font>
    <font>
      <name val="Arial"/>
      <b val="1"/>
      <color rgb="001F1F1E"/>
      <sz val="13"/>
    </font>
    <font>
      <name val="Arial"/>
      <color rgb="0052514E"/>
      <sz val="10.5"/>
    </font>
    <font>
      <name val="Arial"/>
      <i val="1"/>
      <color rgb="008A8984"/>
      <sz val="10"/>
    </font>
    <font>
      <name val="Arial"/>
      <b val="1"/>
      <color rgb="00D03B3B"/>
      <sz val="10"/>
    </font>
  </fonts>
  <fills count="3">
    <fill>
      <patternFill/>
    </fill>
    <fill>
      <patternFill patternType="gray125"/>
    </fill>
    <fill>
      <patternFill patternType="solid">
        <fgColor rgb="00FFF2B3"/>
      </patternFill>
    </fill>
  </fills>
  <borders count="3">
    <border>
      <left/>
      <right/>
      <top/>
      <bottom/>
      <diagonal/>
    </border>
    <border>
      <bottom style="thin">
        <color rgb="0052514E"/>
      </bottom>
    </border>
    <border>
      <bottom style="thin">
        <color rgb="00E4E3D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right" wrapText="1"/>
    </xf>
    <xf numFmtId="0" fontId="4" fillId="0" borderId="0" pivotButton="0" quotePrefix="0" xfId="0"/>
    <xf numFmtId="0" fontId="8" fillId="0" borderId="2" pivotButton="0" quotePrefix="0" xfId="0"/>
    <xf numFmtId="165" fontId="9" fillId="0" borderId="2" pivotButton="0" quotePrefix="0" xfId="0"/>
    <xf numFmtId="165" fontId="8" fillId="0" borderId="2" pivotButton="0" quotePrefix="0" xfId="0"/>
    <xf numFmtId="166" fontId="0" fillId="0" borderId="2" pivotButton="0" quotePrefix="0" xfId="0"/>
    <xf numFmtId="0" fontId="9" fillId="0" borderId="2" pivotButton="0" quotePrefix="0" xfId="0"/>
    <xf numFmtId="10" fontId="9" fillId="0" borderId="2" pivotButton="0" quotePrefix="0" xfId="0"/>
    <xf numFmtId="10" fontId="8" fillId="0" borderId="2" pivotButton="0" quotePrefix="0" xfId="0"/>
    <xf numFmtId="167" fontId="0" fillId="0" borderId="2" pivotButton="0" quotePrefix="0" xfId="0"/>
    <xf numFmtId="0" fontId="0" fillId="0" borderId="2" pivotButton="0" quotePrefix="0" xfId="0"/>
    <xf numFmtId="0" fontId="8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  <xf numFmtId="165" fontId="0" fillId="0" borderId="2" pivotButton="0" quotePrefix="0" xfId="0"/>
    <xf numFmtId="165" fontId="1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164" fontId="8" fillId="0" borderId="0" pivotButton="0" quotePrefix="0" xfId="0"/>
    <xf numFmtId="165" fontId="8" fillId="0" borderId="0" pivotButton="0" quotePrefix="0" xfId="0"/>
    <xf numFmtId="168" fontId="8" fillId="0" borderId="0" pivotButton="0" quotePrefix="0" xfId="0"/>
    <xf numFmtId="0" fontId="13" fillId="0" borderId="0" pivotButton="0" quotePrefix="0" xfId="0"/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2A78D6"/>
      </font>
    </dxf>
    <dxf>
      <font>
        <name val="Arial"/>
        <b val="1"/>
        <color rgb="00EB6834"/>
      </font>
    </dxf>
    <dxf>
      <font>
        <name val="Arial"/>
        <b val="1"/>
        <color rgb="00D03B3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'Calc'!G1</f>
            </strRef>
          </tx>
          <spPr>
            <a:ln xmlns:a="http://schemas.openxmlformats.org/drawingml/2006/main" w="28000">
              <a:solidFill>
                <a:srgbClr val="B9B7B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23"/>
            <marker>
              <symbol val="circle"/>
              <size val="8"/>
              <spPr>
                <a:solidFill xmlns:a="http://schemas.openxmlformats.org/drawingml/2006/main">
                  <a:srgbClr val="2A78D6"/>
                </a:solidFill>
                <a:ln xmlns:a="http://schemas.openxmlformats.org/drawingml/2006/main">
                  <a:solidFill>
                    <a:srgbClr val="2A78D6"/>
                  </a:solidFill>
                  <a:prstDash val="solid"/>
                </a:ln>
              </spPr>
            </marker>
            <spPr>
              <a:ln xmlns:a="http://schemas.openxmlformats.org/drawingml/2006/main">
                <a:prstDash val="solid"/>
              </a:ln>
            </spPr>
          </dPt>
          <cat>
            <numRef>
              <f>'Calc'!$F$2:$F$25</f>
            </numRef>
          </cat>
          <val>
            <numRef>
              <f>'Calc'!$G$2:$G$25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FCDC7"/>
            </a:solidFill>
            <a:prstDash val="solid"/>
          </a:ln>
        </sp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CEBE7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'Calc'!I1</f>
            </strRef>
          </tx>
          <spPr>
            <a:solidFill xmlns:a="http://schemas.openxmlformats.org/drawingml/2006/main">
              <a:srgbClr val="B9B7B0"/>
            </a:solidFill>
            <a:ln xmlns:a="http://schemas.openxmlformats.org/drawingml/2006/main">
              <a:noFill/>
              <a:prstDash val="solid"/>
            </a:ln>
          </spPr>
          <dPt>
            <idx val="2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'Calc'!$F$2:$F$25</f>
            </numRef>
          </cat>
          <val>
            <numRef>
              <f>'Calc'!$I$2:$I$25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spPr>
          <a:ln xmlns:a="http://schemas.openxmlformats.org/drawingml/2006/main">
            <a:solidFill>
              <a:srgbClr val="CFCDC7"/>
            </a:solidFill>
            <a:prstDash val="solid"/>
          </a:ln>
        </spPr>
        <crossAx val="100"/>
        <lblOffset val="100"/>
        <tickLblSkip val="3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CEBE7"/>
              </a:solidFill>
              <a:prstDash val="solid"/>
            </a:ln>
          </spPr>
        </majorGridlines>
        <numFmt formatCode="#,##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'Calc'!O1</f>
            </strRef>
          </tx>
          <spPr>
            <a:solidFill xmlns:a="http://schemas.openxmlformats.org/drawingml/2006/main">
              <a:srgbClr val="B9B7B0"/>
            </a:solidFill>
            <a:ln xmlns:a="http://schemas.openxmlformats.org/drawingml/2006/main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noFill/>
                <a:prstDash val="solid"/>
              </a:ln>
            </spPr>
          </dPt>
          <cat>
            <numRef>
              <f>'Calc'!$N$2:$N$9</f>
            </numRef>
          </cat>
          <val>
            <numRef>
              <f>'Calc'!$O$2:$O$9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FCDC7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CEBE7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8</col>
      <colOff>0</colOff>
      <row>13</row>
      <rowOff>0</rowOff>
    </from>
    <ext cx="630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28</row>
      <rowOff>0</rowOff>
    </from>
    <ext cx="630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35</row>
      <rowOff>0</rowOff>
    </from>
    <ext cx="5580000" cy="237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Doi_soat" displayName="tbl_Doi_soat" ref="A1:M2974" headerRowCount="1">
  <autoFilter ref="A1:M2974"/>
  <tableColumns count="13">
    <tableColumn id="1" name="month_id"/>
    <tableColumn id="2" name="Tháng"/>
    <tableColumn id="3" name="Mã CH"/>
    <tableColumn id="4" name="Cửa hàng"/>
    <tableColumn id="5" name="Quốc gia"/>
    <tableColumn id="6" name="Kênh"/>
    <tableColumn id="7" name="Net Revenue đơn (USD)"/>
    <tableColumn id="8" name="Finance (USD)"/>
    <tableColumn id="9" name="Δ (USD)"/>
    <tableColumn id="10" name="Δ %"/>
    <tableColumn id="11" name="Δ sau quy đổi online (USD)"/>
    <tableColumn id="12" name="Cờ"/>
    <tableColumn id="13" name="khoá xếp (Dashboard)"/>
  </tableColumns>
  <tableStyleInfo name="TableStyleLight15" showRowStripes="1"/>
</table>
</file>

<file path=xl/tables/table2.xml><?xml version="1.0" encoding="utf-8"?>
<table xmlns="http://schemas.openxmlformats.org/spreadsheetml/2006/main" id="2" name="tbl_Data_thang" displayName="tbl_Data_thang" ref="A1:R2974" headerRowCount="1">
  <autoFilter ref="A1:R2974"/>
  <tableColumns count="18">
    <tableColumn id="1" name="month_id"/>
    <tableColumn id="2" name="month_label"/>
    <tableColumn id="3" name="store_key"/>
    <tableColumn id="4" name="store_code"/>
    <tableColumn id="5" name="store_name"/>
    <tableColumn id="6" name="country"/>
    <tableColumn id="7" name="channel"/>
    <tableColumn id="8" name="gross_sales"/>
    <tableColumn id="9" name="discounts"/>
    <tableColumn id="10" name="net_sales"/>
    <tableColumn id="11" name="returns"/>
    <tableColumn id="12" name="orders"/>
    <tableColumn id="13" name="units"/>
    <tableColumn id="14" name="finance_net_revenue"/>
    <tableColumn id="15" name="net_sales_delivery_basis"/>
    <tableColumn id="16" name="cancelled_orders"/>
    <tableColumn id="17" name="pending_orders"/>
    <tableColumn id="18" name="duplicate_lines"/>
  </tableColumns>
  <tableStyleInfo name="TableStyleLight15" showRowStripes="1"/>
</table>
</file>

<file path=xl/tables/table3.xml><?xml version="1.0" encoding="utf-8"?>
<table xmlns="http://schemas.openxmlformats.org/spreadsheetml/2006/main" id="3" name="tbl_Data_danh_muc" displayName="tbl_Data_danh_muc" ref="A1:F983" headerRowCount="1">
  <autoFilter ref="A1:F983"/>
  <tableColumns count="6">
    <tableColumn id="1" name="month_id"/>
    <tableColumn id="2" name="channel"/>
    <tableColumn id="3" name="category"/>
    <tableColumn id="4" name="net_sales"/>
    <tableColumn id="5" name="returns"/>
    <tableColumn id="6" name="units"/>
  </tableColumns>
  <tableStyleInfo name="TableStyleLight1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I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2">
      <c r="B2" s="1" t="inlineStr">
        <is>
          <t>Kết quả bán hàng và đối soát doanh thu · Nexa Home</t>
        </is>
      </c>
    </row>
    <row r="3">
      <c r="B3" s="2" t="inlineStr">
        <is>
          <t>Nguồn: Nexa_Sales_P1_Dataset.xlsx, finance_revenue.xlsx · dữ liệu đến 20/02/2021 · USD, chưa VAT · chỉ đơn COMPLETED, đã loại dòng trùng · Δ = Finance − dữ liệu đơn · không gồm bút toán HQ-ADJ</t>
        </is>
      </c>
    </row>
    <row r="5">
      <c r="B5" s="3" t="inlineStr">
        <is>
          <t>Tháng báo cáo</t>
        </is>
      </c>
      <c r="C5" s="4" t="inlineStr">
        <is>
          <t>12/2020</t>
        </is>
      </c>
      <c r="E5" s="3" t="inlineStr">
        <is>
          <t>Kênh bán</t>
        </is>
      </c>
      <c r="F5" s="4" t="inlineStr">
        <is>
          <t>Tất cả</t>
        </is>
      </c>
      <c r="H5" s="5" t="inlineStr">
        <is>
          <t>← ô màu vàng: chọn tháng và kênh từ danh sách; mọi số, câu và biểu đồ tự cập nhật</t>
        </is>
      </c>
    </row>
    <row r="6">
      <c r="B6" s="6" t="inlineStr">
        <is>
          <t>tham số tính (không sửa): kênh · tháng · tháng trước · cùng kỳ · ngưỡng USD · ngưỡng %</t>
        </is>
      </c>
      <c r="C6" s="6">
        <f>IF(F5="Cửa hàng","POS",IF(F5="Online","ONLINE","*"))</f>
        <v/>
      </c>
      <c r="D6" s="6">
        <f>INDEX(Calc!$B$2:$B$100,MATCH(C5,Calc!$A$2:$A$100,0))</f>
        <v/>
      </c>
      <c r="E6" s="6">
        <f>IF(MOD(D6,100)=1,D6-89,D6-1)</f>
        <v/>
      </c>
      <c r="F6" s="6">
        <f>D6-100</f>
        <v/>
      </c>
      <c r="G6" s="6" t="n">
        <v>200</v>
      </c>
      <c r="H6" s="6" t="n">
        <v>0.01</v>
      </c>
    </row>
    <row r="8">
      <c r="B8" s="7" t="inlineStr">
        <is>
          <t>ĐIỂM CHÍNH</t>
        </is>
      </c>
    </row>
    <row r="9">
      <c r="B9" s="8">
        <f>IFERROR("Net Revenue "&amp;C5&amp;" đạt "&amp;FIXED(C17/1000,1)&amp;" nghìn USD — "&amp;IF(E17&gt;=0,"+","−")&amp;FIXED(ABS(E17)*100,1)&amp;"%"&amp;" so với tháng trước, "&amp;IF(G17&gt;=0,"+","−")&amp;FIXED(ABS(G17)*100,1)&amp;"%"&amp;" so với cùng kỳ năm trước.","Chọn tháng có dữ liệu.")</f>
        <v/>
      </c>
    </row>
    <row r="10">
      <c r="B10" s="9">
        <f>IFERROR("Biến động so với cùng kỳ đến chủ yếu từ "&amp;IF(ABS(LN(1+G18))&gt;=ABS(LN(1+G19)),"số đơn (","giá trị mỗi đơn (AOV ")&amp;IF(ABS(LN(1+G18))&gt;=ABS(LN(1+G19)),IF(G18&gt;=0,"+","−")&amp;FIXED(ABS(G18)*100,1)&amp;"%",IF(G19&gt;=0,"+","−")&amp;FIXED(ABS(G19)*100,1)&amp;"%")&amp;"); "&amp;IF(ABS(LN(1+G18))&gt;=ABS(LN(1+G19)),"AOV "&amp;IF(G19&gt;=0,"+","−")&amp;FIXED(ABS(G19)*100,1)&amp;"%","số đơn "&amp;IF(G18&gt;=0,"+","−")&amp;FIXED(ABS(G18)*100,1)&amp;"%")&amp;".","")</f>
        <v/>
      </c>
    </row>
    <row r="11">
      <c r="B11" s="9">
        <f>IFERROR("Finance "&amp;IF(C22&gt;=0,"cao","thấp")&amp;" hơn dữ liệu đơn "&amp;FIXED(ABS(C22),0)&amp;" USD; sau khi quy online về ngày giao còn "&amp;FIXED(C23,0)&amp;" USD; "&amp;C24&amp;" cửa hàng vượt ngưỡng (bảng bên dưới, sheet Doi_soat).","")</f>
        <v/>
      </c>
    </row>
    <row r="12">
      <c r="B12" s="10" t="inlineStr">
        <is>
          <t>Chỉ tiêu</t>
        </is>
      </c>
      <c r="C12" s="11" t="inlineStr">
        <is>
          <t>Tháng chọn</t>
        </is>
      </c>
      <c r="D12" s="11" t="inlineStr">
        <is>
          <t>Tháng trước</t>
        </is>
      </c>
      <c r="E12" s="11" t="inlineStr">
        <is>
          <t>so với tháng trước</t>
        </is>
      </c>
      <c r="F12" s="11" t="inlineStr">
        <is>
          <t>Cùng kỳ năm trước</t>
        </is>
      </c>
      <c r="G12" s="11" t="inlineStr">
        <is>
          <t>so với cùng kỳ</t>
        </is>
      </c>
      <c r="I12" s="12">
        <f>"Net Revenue "&amp;C5&amp;" bằng "&amp;IFERROR(FIXED(C17/F17*100,0),"–")&amp;"% cùng kỳ năm trước"</f>
        <v/>
      </c>
    </row>
    <row r="13">
      <c r="B13" s="13" t="inlineStr">
        <is>
          <t>Gross Sales (USD)</t>
        </is>
      </c>
      <c r="C13" s="14">
        <f>SUMIFS(Data_thang!$H$2:$H$2974,Data_thang!$A$2:$A$2974,$D$6,Data_thang!$G$2:$G$2974,$C$6)</f>
        <v/>
      </c>
      <c r="D13" s="15">
        <f>SUMIFS(Data_thang!$H$2:$H$2974,Data_thang!$A$2:$A$2974,$E$6,Data_thang!$G$2:$G$2974,$C$6)</f>
        <v/>
      </c>
      <c r="E13" s="16">
        <f>IFERROR(C13/D13-1,"")</f>
        <v/>
      </c>
      <c r="F13" s="15">
        <f>SUMIFS(Data_thang!$H$2:$H$2974,Data_thang!$A$2:$A$2974,$F$6,Data_thang!$G$2:$G$2974,$C$6)</f>
        <v/>
      </c>
      <c r="G13" s="16">
        <f>IFERROR(C13/F13-1,"")</f>
        <v/>
      </c>
      <c r="I13" s="2" t="inlineStr">
        <is>
          <t>Net Revenue theo tháng, nghìn USD · 24 tháng đến tháng chọn (điểm xanh)</t>
        </is>
      </c>
    </row>
    <row r="14">
      <c r="B14" s="13" t="inlineStr">
        <is>
          <t>Giảm giá (USD)</t>
        </is>
      </c>
      <c r="C14" s="14">
        <f>SUMIFS(Data_thang!$I$2:$I$2974,Data_thang!$A$2:$A$2974,$D$6,Data_thang!$G$2:$G$2974,$C$6)</f>
        <v/>
      </c>
      <c r="D14" s="15">
        <f>SUMIFS(Data_thang!$I$2:$I$2974,Data_thang!$A$2:$A$2974,$E$6,Data_thang!$G$2:$G$2974,$C$6)</f>
        <v/>
      </c>
      <c r="E14" s="16">
        <f>IFERROR(C14/D14-1,"")</f>
        <v/>
      </c>
      <c r="F14" s="15">
        <f>SUMIFS(Data_thang!$I$2:$I$2974,Data_thang!$A$2:$A$2974,$F$6,Data_thang!$G$2:$G$2974,$C$6)</f>
        <v/>
      </c>
      <c r="G14" s="16">
        <f>IFERROR(C14/F14-1,"")</f>
        <v/>
      </c>
    </row>
    <row r="15">
      <c r="B15" s="13" t="inlineStr">
        <is>
          <t>Net Sales (USD)</t>
        </is>
      </c>
      <c r="C15" s="14">
        <f>SUMIFS(Data_thang!$J$2:$J$2974,Data_thang!$A$2:$A$2974,$D$6,Data_thang!$G$2:$G$2974,$C$6)</f>
        <v/>
      </c>
      <c r="D15" s="15">
        <f>SUMIFS(Data_thang!$J$2:$J$2974,Data_thang!$A$2:$A$2974,$E$6,Data_thang!$G$2:$G$2974,$C$6)</f>
        <v/>
      </c>
      <c r="E15" s="16">
        <f>IFERROR(C15/D15-1,"")</f>
        <v/>
      </c>
      <c r="F15" s="15">
        <f>SUMIFS(Data_thang!$J$2:$J$2974,Data_thang!$A$2:$A$2974,$F$6,Data_thang!$G$2:$G$2974,$C$6)</f>
        <v/>
      </c>
      <c r="G15" s="16">
        <f>IFERROR(C15/F15-1,"")</f>
        <v/>
      </c>
    </row>
    <row r="16">
      <c r="B16" s="13" t="inlineStr">
        <is>
          <t>Hoàn trả (USD)</t>
        </is>
      </c>
      <c r="C16" s="14">
        <f>SUMIFS(Data_thang!$K$2:$K$2974,Data_thang!$A$2:$A$2974,$D$6,Data_thang!$G$2:$G$2974,$C$6)</f>
        <v/>
      </c>
      <c r="D16" s="15">
        <f>SUMIFS(Data_thang!$K$2:$K$2974,Data_thang!$A$2:$A$2974,$E$6,Data_thang!$G$2:$G$2974,$C$6)</f>
        <v/>
      </c>
      <c r="E16" s="16">
        <f>IFERROR(C16/D16-1,"")</f>
        <v/>
      </c>
      <c r="F16" s="15">
        <f>SUMIFS(Data_thang!$K$2:$K$2974,Data_thang!$A$2:$A$2974,$F$6,Data_thang!$G$2:$G$2974,$C$6)</f>
        <v/>
      </c>
      <c r="G16" s="16">
        <f>IFERROR(C16/F16-1,"")</f>
        <v/>
      </c>
    </row>
    <row r="17">
      <c r="B17" s="17" t="inlineStr">
        <is>
          <t>Net Revenue (USD)</t>
        </is>
      </c>
      <c r="C17" s="14">
        <f>C15-C16</f>
        <v/>
      </c>
      <c r="D17" s="15">
        <f>D15-D16</f>
        <v/>
      </c>
      <c r="E17" s="16">
        <f>IFERROR(C17/D17-1,"")</f>
        <v/>
      </c>
      <c r="F17" s="15">
        <f>F15-F16</f>
        <v/>
      </c>
      <c r="G17" s="16">
        <f>IFERROR(C17/F17-1,"")</f>
        <v/>
      </c>
    </row>
    <row r="18">
      <c r="B18" s="13" t="inlineStr">
        <is>
          <t>Số đơn hoàn tất</t>
        </is>
      </c>
      <c r="C18" s="14">
        <f>SUMIFS(Data_thang!$L$2:$L$2974,Data_thang!$A$2:$A$2974,$D$6,Data_thang!$G$2:$G$2974,$C$6)</f>
        <v/>
      </c>
      <c r="D18" s="15">
        <f>SUMIFS(Data_thang!$L$2:$L$2974,Data_thang!$A$2:$A$2974,$E$6,Data_thang!$G$2:$G$2974,$C$6)</f>
        <v/>
      </c>
      <c r="E18" s="16">
        <f>IFERROR(C18/D18-1,"")</f>
        <v/>
      </c>
      <c r="F18" s="15">
        <f>SUMIFS(Data_thang!$L$2:$L$2974,Data_thang!$A$2:$A$2974,$F$6,Data_thang!$G$2:$G$2974,$C$6)</f>
        <v/>
      </c>
      <c r="G18" s="16">
        <f>IFERROR(C18/F18-1,"")</f>
        <v/>
      </c>
    </row>
    <row r="19">
      <c r="B19" s="13" t="inlineStr">
        <is>
          <t>AOV (USD/đơn)</t>
        </is>
      </c>
      <c r="C19" s="14">
        <f>IFERROR(C15/C18,"")</f>
        <v/>
      </c>
      <c r="D19" s="15">
        <f>IFERROR(D15/D18,"")</f>
        <v/>
      </c>
      <c r="E19" s="16">
        <f>IFERROR(C19/D19-1,"")</f>
        <v/>
      </c>
      <c r="F19" s="15">
        <f>IFERROR(F15/F18,"")</f>
        <v/>
      </c>
      <c r="G19" s="16">
        <f>IFERROR(C19/F19-1,"")</f>
        <v/>
      </c>
    </row>
    <row r="20">
      <c r="B20" s="13" t="inlineStr">
        <is>
          <t>Tỷ lệ hoàn trả</t>
        </is>
      </c>
      <c r="C20" s="18">
        <f>IFERROR(C16/C15,"")</f>
        <v/>
      </c>
      <c r="D20" s="19">
        <f>IFERROR(D16/D15,"")</f>
        <v/>
      </c>
      <c r="E20" s="20">
        <f>IFERROR(C20-D20,"")</f>
        <v/>
      </c>
      <c r="F20" s="19">
        <f>IFERROR(F16/F15,"")</f>
        <v/>
      </c>
      <c r="G20" s="20">
        <f>IFERROR(C20-F20,"")</f>
        <v/>
      </c>
    </row>
    <row r="21">
      <c r="B21" s="13" t="inlineStr">
        <is>
          <t>Finance Net Revenue (USD)</t>
        </is>
      </c>
      <c r="C21" s="14">
        <f>SUMIFS(Data_thang!$N$2:$N$2974,Data_thang!$A$2:$A$2974,$D$6,Data_thang!$G$2:$G$2974,$C$6)</f>
        <v/>
      </c>
      <c r="D21" s="15">
        <f>SUMIFS(Data_thang!$N$2:$N$2974,Data_thang!$A$2:$A$2974,$E$6,Data_thang!$G$2:$G$2974,$C$6)</f>
        <v/>
      </c>
      <c r="E21" s="16">
        <f>IFERROR(C21/D21-1,"")</f>
        <v/>
      </c>
      <c r="F21" s="15">
        <f>SUMIFS(Data_thang!$N$2:$N$2974,Data_thang!$A$2:$A$2974,$F$6,Data_thang!$G$2:$G$2974,$C$6)</f>
        <v/>
      </c>
      <c r="G21" s="16">
        <f>IFERROR(C21/F21-1,"")</f>
        <v/>
      </c>
    </row>
    <row r="22">
      <c r="B22" s="17" t="inlineStr">
        <is>
          <t>Δ Finance − dữ liệu đơn (USD)</t>
        </is>
      </c>
      <c r="C22" s="14">
        <f>C21-C17</f>
        <v/>
      </c>
      <c r="D22" s="15">
        <f>D21-D17</f>
        <v/>
      </c>
      <c r="E22" s="21" t="n"/>
      <c r="F22" s="15">
        <f>F21-F17</f>
        <v/>
      </c>
      <c r="G22" s="21" t="n"/>
    </row>
    <row r="23">
      <c r="B23" s="13" t="inlineStr">
        <is>
          <t>Δ sau khi quy online về ngày giao (USD)</t>
        </is>
      </c>
      <c r="C23" s="14">
        <f>C21-(SUMIFS(Data_thang!$O$2:$O$2974,Data_thang!$A$2:$A$2974,$D$6,Data_thang!$G$2:$G$2974,$C$6)-C16)</f>
        <v/>
      </c>
      <c r="D23" s="15">
        <f>D21-(SUMIFS(Data_thang!$O$2:$O$2974,Data_thang!$A$2:$A$2974,$E$6,Data_thang!$G$2:$G$2974,$C$6)-D16)</f>
        <v/>
      </c>
      <c r="E23" s="21" t="n"/>
      <c r="F23" s="15">
        <f>F21-(SUMIFS(Data_thang!$O$2:$O$2974,Data_thang!$A$2:$A$2974,$F$6,Data_thang!$G$2:$G$2974,$C$6)-F16)</f>
        <v/>
      </c>
      <c r="G23" s="21" t="n"/>
    </row>
    <row r="24">
      <c r="B24" s="13" t="inlineStr">
        <is>
          <t>Số cửa hàng vượt ngưỡng</t>
        </is>
      </c>
      <c r="C24" s="14">
        <f>COUNTIFS(Doi_soat!$A$2:$A$2974,$D$6,Doi_soat!$F$2:$F$2974,$C$6,Doi_soat!$L$2:$L$2974,"⚠ Vượt")</f>
        <v/>
      </c>
      <c r="D24" s="15">
        <f>COUNTIFS(Doi_soat!$A$2:$A$2974,$E$6,Doi_soat!$F$2:$F$2974,$C$6,Doi_soat!$L$2:$L$2974,"⚠ Vượt")</f>
        <v/>
      </c>
      <c r="E24" s="21" t="n"/>
      <c r="F24" s="15">
        <f>COUNTIFS(Doi_soat!$A$2:$A$2974,$F$6,Doi_soat!$F$2:$F$2974,$C$6,Doi_soat!$L$2:$L$2974,"⚠ Vượt")</f>
        <v/>
      </c>
      <c r="G24" s="21" t="n"/>
    </row>
    <row r="27">
      <c r="B27" s="12">
        <f>"Giảm giá và hoàn trả lấy đi "&amp;IFERROR(FIXED((C14+C16)/C13*100,1),"–")&amp;"% Gross Sales"</f>
        <v/>
      </c>
      <c r="I27" s="12">
        <f>"Sau khi quy online về ngày giao, Δ "&amp;C5&amp;" còn "&amp;FIXED(C23,0)&amp;" USD"</f>
        <v/>
      </c>
    </row>
    <row r="28">
      <c r="B28" s="22" t="inlineStr">
        <is>
          <t>Gross Sales</t>
        </is>
      </c>
      <c r="C28" s="23">
        <f>C13</f>
        <v/>
      </c>
      <c r="I28" s="2" t="inlineStr">
        <is>
          <t>Δ sau quy đổi online theo tháng, nghìn USD · tháng chọn tô xanh · chi tiết ở sheet Doi_soat</t>
        </is>
      </c>
    </row>
    <row r="29">
      <c r="B29" s="22" t="inlineStr">
        <is>
          <t>− Giảm giá</t>
        </is>
      </c>
      <c r="C29" s="23">
        <f>-C14</f>
        <v/>
      </c>
    </row>
    <row r="30">
      <c r="B30" s="22" t="inlineStr">
        <is>
          <t>− Hoàn trả</t>
        </is>
      </c>
      <c r="C30" s="23">
        <f>-C16</f>
        <v/>
      </c>
    </row>
    <row r="31">
      <c r="B31" s="24" t="inlineStr">
        <is>
          <t>Net Revenue</t>
        </is>
      </c>
      <c r="C31" s="23">
        <f>C17</f>
        <v/>
      </c>
    </row>
    <row r="34">
      <c r="B34" s="12">
        <f>INDEX(Calc!$N$2:$N$9,1)&amp;" chiếm "&amp;IFERROR(FIXED(INDEX(Calc!$O$2:$O$9,1)*1000/C15*100,0),"–")&amp;"% Net Sales"</f>
        <v/>
      </c>
    </row>
    <row r="35">
      <c r="B35" s="2" t="inlineStr">
        <is>
          <t>Net Sales tháng chọn theo danh mục, nghìn USD</t>
        </is>
      </c>
    </row>
    <row r="49">
      <c r="B49" s="12">
        <f>IF(C24=0,"Không cửa hàng nào vượt ngưỡng tháng "&amp;C5,C24&amp;" cửa hàng vượt ngưỡng tháng "&amp;C5&amp;" — cần giải thích nguyên nhân và số tiền")</f>
        <v/>
      </c>
    </row>
    <row r="50">
      <c r="B50" s="25" t="inlineStr">
        <is>
          <t>Cửa hàng</t>
        </is>
      </c>
      <c r="C50" s="25" t="inlineStr">
        <is>
          <t>Quốc gia</t>
        </is>
      </c>
      <c r="D50" s="25" t="inlineStr">
        <is>
          <t>Mã CH</t>
        </is>
      </c>
      <c r="E50" s="26" t="inlineStr">
        <is>
          <t>Net Revenue đơn</t>
        </is>
      </c>
      <c r="F50" s="26" t="inlineStr">
        <is>
          <t>Finance</t>
        </is>
      </c>
      <c r="G50" s="26" t="inlineStr">
        <is>
          <t>Δ (USD)</t>
        </is>
      </c>
      <c r="H50" s="26" t="inlineStr">
        <is>
          <t>Δ %</t>
        </is>
      </c>
      <c r="I50" s="26" t="inlineStr">
        <is>
          <t>Δ sau quy đổi</t>
        </is>
      </c>
    </row>
    <row r="51">
      <c r="B51" s="27">
        <f>IF(LARGE(Doi_soat!$M$2:$M$2974,1)=0,"",INDEX(Doi_soat!$D$2:$D$2974,MATCH(LARGE(Doi_soat!$M$2:$M$2974,1),Doi_soat!$M$2:$M$2974,0)))</f>
        <v/>
      </c>
      <c r="C51" s="27">
        <f>IF(LARGE(Doi_soat!$M$2:$M$2974,1)=0,"",INDEX(Doi_soat!$E$2:$E$2974,MATCH(LARGE(Doi_soat!$M$2:$M$2974,1),Doi_soat!$M$2:$M$2974,0)))</f>
        <v/>
      </c>
      <c r="D51" s="27">
        <f>IF(LARGE(Doi_soat!$M$2:$M$2974,1)=0,"",INDEX(Doi_soat!$C$2:$C$2974,MATCH(LARGE(Doi_soat!$M$2:$M$2974,1),Doi_soat!$M$2:$M$2974,0)))</f>
        <v/>
      </c>
      <c r="E51" s="27">
        <f>IF(LARGE(Doi_soat!$M$2:$M$2974,1)=0,"",INDEX(Doi_soat!$G$2:$G$2974,MATCH(LARGE(Doi_soat!$M$2:$M$2974,1),Doi_soat!$M$2:$M$2974,0)))</f>
        <v/>
      </c>
      <c r="F51" s="27">
        <f>IF(LARGE(Doi_soat!$M$2:$M$2974,1)=0,"",INDEX(Doi_soat!$H$2:$H$2974,MATCH(LARGE(Doi_soat!$M$2:$M$2974,1),Doi_soat!$M$2:$M$2974,0)))</f>
        <v/>
      </c>
      <c r="G51" s="28">
        <f>IF(LARGE(Doi_soat!$M$2:$M$2974,1)=0,"",INDEX(Doi_soat!$I$2:$I$2974,MATCH(LARGE(Doi_soat!$M$2:$M$2974,1),Doi_soat!$M$2:$M$2974,0)))</f>
        <v/>
      </c>
      <c r="H51" s="16">
        <f>IF(LARGE(Doi_soat!$M$2:$M$2974,1)=0,"",INDEX(Doi_soat!$J$2:$J$2974,MATCH(LARGE(Doi_soat!$M$2:$M$2974,1),Doi_soat!$M$2:$M$2974,0)))</f>
        <v/>
      </c>
      <c r="I51" s="27">
        <f>IF(LARGE(Doi_soat!$M$2:$M$2974,1)=0,"",INDEX(Doi_soat!$K$2:$K$2974,MATCH(LARGE(Doi_soat!$M$2:$M$2974,1),Doi_soat!$M$2:$M$2974,0)))</f>
        <v/>
      </c>
    </row>
    <row r="52">
      <c r="B52" s="27">
        <f>IF(LARGE(Doi_soat!$M$2:$M$2974,2)=0,"",INDEX(Doi_soat!$D$2:$D$2974,MATCH(LARGE(Doi_soat!$M$2:$M$2974,2),Doi_soat!$M$2:$M$2974,0)))</f>
        <v/>
      </c>
      <c r="C52" s="27">
        <f>IF(LARGE(Doi_soat!$M$2:$M$2974,2)=0,"",INDEX(Doi_soat!$E$2:$E$2974,MATCH(LARGE(Doi_soat!$M$2:$M$2974,2),Doi_soat!$M$2:$M$2974,0)))</f>
        <v/>
      </c>
      <c r="D52" s="27">
        <f>IF(LARGE(Doi_soat!$M$2:$M$2974,2)=0,"",INDEX(Doi_soat!$C$2:$C$2974,MATCH(LARGE(Doi_soat!$M$2:$M$2974,2),Doi_soat!$M$2:$M$2974,0)))</f>
        <v/>
      </c>
      <c r="E52" s="27">
        <f>IF(LARGE(Doi_soat!$M$2:$M$2974,2)=0,"",INDEX(Doi_soat!$G$2:$G$2974,MATCH(LARGE(Doi_soat!$M$2:$M$2974,2),Doi_soat!$M$2:$M$2974,0)))</f>
        <v/>
      </c>
      <c r="F52" s="27">
        <f>IF(LARGE(Doi_soat!$M$2:$M$2974,2)=0,"",INDEX(Doi_soat!$H$2:$H$2974,MATCH(LARGE(Doi_soat!$M$2:$M$2974,2),Doi_soat!$M$2:$M$2974,0)))</f>
        <v/>
      </c>
      <c r="G52" s="28">
        <f>IF(LARGE(Doi_soat!$M$2:$M$2974,2)=0,"",INDEX(Doi_soat!$I$2:$I$2974,MATCH(LARGE(Doi_soat!$M$2:$M$2974,2),Doi_soat!$M$2:$M$2974,0)))</f>
        <v/>
      </c>
      <c r="H52" s="16">
        <f>IF(LARGE(Doi_soat!$M$2:$M$2974,2)=0,"",INDEX(Doi_soat!$J$2:$J$2974,MATCH(LARGE(Doi_soat!$M$2:$M$2974,2),Doi_soat!$M$2:$M$2974,0)))</f>
        <v/>
      </c>
      <c r="I52" s="27">
        <f>IF(LARGE(Doi_soat!$M$2:$M$2974,2)=0,"",INDEX(Doi_soat!$K$2:$K$2974,MATCH(LARGE(Doi_soat!$M$2:$M$2974,2),Doi_soat!$M$2:$M$2974,0)))</f>
        <v/>
      </c>
    </row>
    <row r="53">
      <c r="B53" s="27">
        <f>IF(LARGE(Doi_soat!$M$2:$M$2974,3)=0,"",INDEX(Doi_soat!$D$2:$D$2974,MATCH(LARGE(Doi_soat!$M$2:$M$2974,3),Doi_soat!$M$2:$M$2974,0)))</f>
        <v/>
      </c>
      <c r="C53" s="27">
        <f>IF(LARGE(Doi_soat!$M$2:$M$2974,3)=0,"",INDEX(Doi_soat!$E$2:$E$2974,MATCH(LARGE(Doi_soat!$M$2:$M$2974,3),Doi_soat!$M$2:$M$2974,0)))</f>
        <v/>
      </c>
      <c r="D53" s="27">
        <f>IF(LARGE(Doi_soat!$M$2:$M$2974,3)=0,"",INDEX(Doi_soat!$C$2:$C$2974,MATCH(LARGE(Doi_soat!$M$2:$M$2974,3),Doi_soat!$M$2:$M$2974,0)))</f>
        <v/>
      </c>
      <c r="E53" s="27">
        <f>IF(LARGE(Doi_soat!$M$2:$M$2974,3)=0,"",INDEX(Doi_soat!$G$2:$G$2974,MATCH(LARGE(Doi_soat!$M$2:$M$2974,3),Doi_soat!$M$2:$M$2974,0)))</f>
        <v/>
      </c>
      <c r="F53" s="27">
        <f>IF(LARGE(Doi_soat!$M$2:$M$2974,3)=0,"",INDEX(Doi_soat!$H$2:$H$2974,MATCH(LARGE(Doi_soat!$M$2:$M$2974,3),Doi_soat!$M$2:$M$2974,0)))</f>
        <v/>
      </c>
      <c r="G53" s="28">
        <f>IF(LARGE(Doi_soat!$M$2:$M$2974,3)=0,"",INDEX(Doi_soat!$I$2:$I$2974,MATCH(LARGE(Doi_soat!$M$2:$M$2974,3),Doi_soat!$M$2:$M$2974,0)))</f>
        <v/>
      </c>
      <c r="H53" s="16">
        <f>IF(LARGE(Doi_soat!$M$2:$M$2974,3)=0,"",INDEX(Doi_soat!$J$2:$J$2974,MATCH(LARGE(Doi_soat!$M$2:$M$2974,3),Doi_soat!$M$2:$M$2974,0)))</f>
        <v/>
      </c>
      <c r="I53" s="27">
        <f>IF(LARGE(Doi_soat!$M$2:$M$2974,3)=0,"",INDEX(Doi_soat!$K$2:$K$2974,MATCH(LARGE(Doi_soat!$M$2:$M$2974,3),Doi_soat!$M$2:$M$2974,0)))</f>
        <v/>
      </c>
    </row>
    <row r="54">
      <c r="B54" s="27">
        <f>IF(LARGE(Doi_soat!$M$2:$M$2974,4)=0,"",INDEX(Doi_soat!$D$2:$D$2974,MATCH(LARGE(Doi_soat!$M$2:$M$2974,4),Doi_soat!$M$2:$M$2974,0)))</f>
        <v/>
      </c>
      <c r="C54" s="27">
        <f>IF(LARGE(Doi_soat!$M$2:$M$2974,4)=0,"",INDEX(Doi_soat!$E$2:$E$2974,MATCH(LARGE(Doi_soat!$M$2:$M$2974,4),Doi_soat!$M$2:$M$2974,0)))</f>
        <v/>
      </c>
      <c r="D54" s="27">
        <f>IF(LARGE(Doi_soat!$M$2:$M$2974,4)=0,"",INDEX(Doi_soat!$C$2:$C$2974,MATCH(LARGE(Doi_soat!$M$2:$M$2974,4),Doi_soat!$M$2:$M$2974,0)))</f>
        <v/>
      </c>
      <c r="E54" s="27">
        <f>IF(LARGE(Doi_soat!$M$2:$M$2974,4)=0,"",INDEX(Doi_soat!$G$2:$G$2974,MATCH(LARGE(Doi_soat!$M$2:$M$2974,4),Doi_soat!$M$2:$M$2974,0)))</f>
        <v/>
      </c>
      <c r="F54" s="27">
        <f>IF(LARGE(Doi_soat!$M$2:$M$2974,4)=0,"",INDEX(Doi_soat!$H$2:$H$2974,MATCH(LARGE(Doi_soat!$M$2:$M$2974,4),Doi_soat!$M$2:$M$2974,0)))</f>
        <v/>
      </c>
      <c r="G54" s="28">
        <f>IF(LARGE(Doi_soat!$M$2:$M$2974,4)=0,"",INDEX(Doi_soat!$I$2:$I$2974,MATCH(LARGE(Doi_soat!$M$2:$M$2974,4),Doi_soat!$M$2:$M$2974,0)))</f>
        <v/>
      </c>
      <c r="H54" s="16">
        <f>IF(LARGE(Doi_soat!$M$2:$M$2974,4)=0,"",INDEX(Doi_soat!$J$2:$J$2974,MATCH(LARGE(Doi_soat!$M$2:$M$2974,4),Doi_soat!$M$2:$M$2974,0)))</f>
        <v/>
      </c>
      <c r="I54" s="27">
        <f>IF(LARGE(Doi_soat!$M$2:$M$2974,4)=0,"",INDEX(Doi_soat!$K$2:$K$2974,MATCH(LARGE(Doi_soat!$M$2:$M$2974,4),Doi_soat!$M$2:$M$2974,0)))</f>
        <v/>
      </c>
    </row>
    <row r="55">
      <c r="B55" s="27">
        <f>IF(LARGE(Doi_soat!$M$2:$M$2974,5)=0,"",INDEX(Doi_soat!$D$2:$D$2974,MATCH(LARGE(Doi_soat!$M$2:$M$2974,5),Doi_soat!$M$2:$M$2974,0)))</f>
        <v/>
      </c>
      <c r="C55" s="27">
        <f>IF(LARGE(Doi_soat!$M$2:$M$2974,5)=0,"",INDEX(Doi_soat!$E$2:$E$2974,MATCH(LARGE(Doi_soat!$M$2:$M$2974,5),Doi_soat!$M$2:$M$2974,0)))</f>
        <v/>
      </c>
      <c r="D55" s="27">
        <f>IF(LARGE(Doi_soat!$M$2:$M$2974,5)=0,"",INDEX(Doi_soat!$C$2:$C$2974,MATCH(LARGE(Doi_soat!$M$2:$M$2974,5),Doi_soat!$M$2:$M$2974,0)))</f>
        <v/>
      </c>
      <c r="E55" s="27">
        <f>IF(LARGE(Doi_soat!$M$2:$M$2974,5)=0,"",INDEX(Doi_soat!$G$2:$G$2974,MATCH(LARGE(Doi_soat!$M$2:$M$2974,5),Doi_soat!$M$2:$M$2974,0)))</f>
        <v/>
      </c>
      <c r="F55" s="27">
        <f>IF(LARGE(Doi_soat!$M$2:$M$2974,5)=0,"",INDEX(Doi_soat!$H$2:$H$2974,MATCH(LARGE(Doi_soat!$M$2:$M$2974,5),Doi_soat!$M$2:$M$2974,0)))</f>
        <v/>
      </c>
      <c r="G55" s="28">
        <f>IF(LARGE(Doi_soat!$M$2:$M$2974,5)=0,"",INDEX(Doi_soat!$I$2:$I$2974,MATCH(LARGE(Doi_soat!$M$2:$M$2974,5),Doi_soat!$M$2:$M$2974,0)))</f>
        <v/>
      </c>
      <c r="H55" s="16">
        <f>IF(LARGE(Doi_soat!$M$2:$M$2974,5)=0,"",INDEX(Doi_soat!$J$2:$J$2974,MATCH(LARGE(Doi_soat!$M$2:$M$2974,5),Doi_soat!$M$2:$M$2974,0)))</f>
        <v/>
      </c>
      <c r="I55" s="27">
        <f>IF(LARGE(Doi_soat!$M$2:$M$2974,5)=0,"",INDEX(Doi_soat!$K$2:$K$2974,MATCH(LARGE(Doi_soat!$M$2:$M$2974,5),Doi_soat!$M$2:$M$2974,0)))</f>
        <v/>
      </c>
    </row>
    <row r="56">
      <c r="B56" s="27">
        <f>IF(LARGE(Doi_soat!$M$2:$M$2974,6)=0,"",INDEX(Doi_soat!$D$2:$D$2974,MATCH(LARGE(Doi_soat!$M$2:$M$2974,6),Doi_soat!$M$2:$M$2974,0)))</f>
        <v/>
      </c>
      <c r="C56" s="27">
        <f>IF(LARGE(Doi_soat!$M$2:$M$2974,6)=0,"",INDEX(Doi_soat!$E$2:$E$2974,MATCH(LARGE(Doi_soat!$M$2:$M$2974,6),Doi_soat!$M$2:$M$2974,0)))</f>
        <v/>
      </c>
      <c r="D56" s="27">
        <f>IF(LARGE(Doi_soat!$M$2:$M$2974,6)=0,"",INDEX(Doi_soat!$C$2:$C$2974,MATCH(LARGE(Doi_soat!$M$2:$M$2974,6),Doi_soat!$M$2:$M$2974,0)))</f>
        <v/>
      </c>
      <c r="E56" s="27">
        <f>IF(LARGE(Doi_soat!$M$2:$M$2974,6)=0,"",INDEX(Doi_soat!$G$2:$G$2974,MATCH(LARGE(Doi_soat!$M$2:$M$2974,6),Doi_soat!$M$2:$M$2974,0)))</f>
        <v/>
      </c>
      <c r="F56" s="27">
        <f>IF(LARGE(Doi_soat!$M$2:$M$2974,6)=0,"",INDEX(Doi_soat!$H$2:$H$2974,MATCH(LARGE(Doi_soat!$M$2:$M$2974,6),Doi_soat!$M$2:$M$2974,0)))</f>
        <v/>
      </c>
      <c r="G56" s="28">
        <f>IF(LARGE(Doi_soat!$M$2:$M$2974,6)=0,"",INDEX(Doi_soat!$I$2:$I$2974,MATCH(LARGE(Doi_soat!$M$2:$M$2974,6),Doi_soat!$M$2:$M$2974,0)))</f>
        <v/>
      </c>
      <c r="H56" s="16">
        <f>IF(LARGE(Doi_soat!$M$2:$M$2974,6)=0,"",INDEX(Doi_soat!$J$2:$J$2974,MATCH(LARGE(Doi_soat!$M$2:$M$2974,6),Doi_soat!$M$2:$M$2974,0)))</f>
        <v/>
      </c>
      <c r="I56" s="27">
        <f>IF(LARGE(Doi_soat!$M$2:$M$2974,6)=0,"",INDEX(Doi_soat!$K$2:$K$2974,MATCH(LARGE(Doi_soat!$M$2:$M$2974,6),Doi_soat!$M$2:$M$2974,0)))</f>
        <v/>
      </c>
    </row>
    <row r="57">
      <c r="B57" s="27">
        <f>IF(LARGE(Doi_soat!$M$2:$M$2974,7)=0,"",INDEX(Doi_soat!$D$2:$D$2974,MATCH(LARGE(Doi_soat!$M$2:$M$2974,7),Doi_soat!$M$2:$M$2974,0)))</f>
        <v/>
      </c>
      <c r="C57" s="27">
        <f>IF(LARGE(Doi_soat!$M$2:$M$2974,7)=0,"",INDEX(Doi_soat!$E$2:$E$2974,MATCH(LARGE(Doi_soat!$M$2:$M$2974,7),Doi_soat!$M$2:$M$2974,0)))</f>
        <v/>
      </c>
      <c r="D57" s="27">
        <f>IF(LARGE(Doi_soat!$M$2:$M$2974,7)=0,"",INDEX(Doi_soat!$C$2:$C$2974,MATCH(LARGE(Doi_soat!$M$2:$M$2974,7),Doi_soat!$M$2:$M$2974,0)))</f>
        <v/>
      </c>
      <c r="E57" s="27">
        <f>IF(LARGE(Doi_soat!$M$2:$M$2974,7)=0,"",INDEX(Doi_soat!$G$2:$G$2974,MATCH(LARGE(Doi_soat!$M$2:$M$2974,7),Doi_soat!$M$2:$M$2974,0)))</f>
        <v/>
      </c>
      <c r="F57" s="27">
        <f>IF(LARGE(Doi_soat!$M$2:$M$2974,7)=0,"",INDEX(Doi_soat!$H$2:$H$2974,MATCH(LARGE(Doi_soat!$M$2:$M$2974,7),Doi_soat!$M$2:$M$2974,0)))</f>
        <v/>
      </c>
      <c r="G57" s="28">
        <f>IF(LARGE(Doi_soat!$M$2:$M$2974,7)=0,"",INDEX(Doi_soat!$I$2:$I$2974,MATCH(LARGE(Doi_soat!$M$2:$M$2974,7),Doi_soat!$M$2:$M$2974,0)))</f>
        <v/>
      </c>
      <c r="H57" s="16">
        <f>IF(LARGE(Doi_soat!$M$2:$M$2974,7)=0,"",INDEX(Doi_soat!$J$2:$J$2974,MATCH(LARGE(Doi_soat!$M$2:$M$2974,7),Doi_soat!$M$2:$M$2974,0)))</f>
        <v/>
      </c>
      <c r="I57" s="27">
        <f>IF(LARGE(Doi_soat!$M$2:$M$2974,7)=0,"",INDEX(Doi_soat!$K$2:$K$2974,MATCH(LARGE(Doi_soat!$M$2:$M$2974,7),Doi_soat!$M$2:$M$2974,0)))</f>
        <v/>
      </c>
    </row>
    <row r="58">
      <c r="B58" s="27">
        <f>IF(LARGE(Doi_soat!$M$2:$M$2974,8)=0,"",INDEX(Doi_soat!$D$2:$D$2974,MATCH(LARGE(Doi_soat!$M$2:$M$2974,8),Doi_soat!$M$2:$M$2974,0)))</f>
        <v/>
      </c>
      <c r="C58" s="27">
        <f>IF(LARGE(Doi_soat!$M$2:$M$2974,8)=0,"",INDEX(Doi_soat!$E$2:$E$2974,MATCH(LARGE(Doi_soat!$M$2:$M$2974,8),Doi_soat!$M$2:$M$2974,0)))</f>
        <v/>
      </c>
      <c r="D58" s="27">
        <f>IF(LARGE(Doi_soat!$M$2:$M$2974,8)=0,"",INDEX(Doi_soat!$C$2:$C$2974,MATCH(LARGE(Doi_soat!$M$2:$M$2974,8),Doi_soat!$M$2:$M$2974,0)))</f>
        <v/>
      </c>
      <c r="E58" s="27">
        <f>IF(LARGE(Doi_soat!$M$2:$M$2974,8)=0,"",INDEX(Doi_soat!$G$2:$G$2974,MATCH(LARGE(Doi_soat!$M$2:$M$2974,8),Doi_soat!$M$2:$M$2974,0)))</f>
        <v/>
      </c>
      <c r="F58" s="27">
        <f>IF(LARGE(Doi_soat!$M$2:$M$2974,8)=0,"",INDEX(Doi_soat!$H$2:$H$2974,MATCH(LARGE(Doi_soat!$M$2:$M$2974,8),Doi_soat!$M$2:$M$2974,0)))</f>
        <v/>
      </c>
      <c r="G58" s="28">
        <f>IF(LARGE(Doi_soat!$M$2:$M$2974,8)=0,"",INDEX(Doi_soat!$I$2:$I$2974,MATCH(LARGE(Doi_soat!$M$2:$M$2974,8),Doi_soat!$M$2:$M$2974,0)))</f>
        <v/>
      </c>
      <c r="H58" s="16">
        <f>IF(LARGE(Doi_soat!$M$2:$M$2974,8)=0,"",INDEX(Doi_soat!$J$2:$J$2974,MATCH(LARGE(Doi_soat!$M$2:$M$2974,8),Doi_soat!$M$2:$M$2974,0)))</f>
        <v/>
      </c>
      <c r="I58" s="27">
        <f>IF(LARGE(Doi_soat!$M$2:$M$2974,8)=0,"",INDEX(Doi_soat!$K$2:$K$2974,MATCH(LARGE(Doi_soat!$M$2:$M$2974,8),Doi_soat!$M$2:$M$2974,0)))</f>
        <v/>
      </c>
    </row>
    <row r="59">
      <c r="B59" s="27">
        <f>IF(LARGE(Doi_soat!$M$2:$M$2974,9)=0,"",INDEX(Doi_soat!$D$2:$D$2974,MATCH(LARGE(Doi_soat!$M$2:$M$2974,9),Doi_soat!$M$2:$M$2974,0)))</f>
        <v/>
      </c>
      <c r="C59" s="27">
        <f>IF(LARGE(Doi_soat!$M$2:$M$2974,9)=0,"",INDEX(Doi_soat!$E$2:$E$2974,MATCH(LARGE(Doi_soat!$M$2:$M$2974,9),Doi_soat!$M$2:$M$2974,0)))</f>
        <v/>
      </c>
      <c r="D59" s="27">
        <f>IF(LARGE(Doi_soat!$M$2:$M$2974,9)=0,"",INDEX(Doi_soat!$C$2:$C$2974,MATCH(LARGE(Doi_soat!$M$2:$M$2974,9),Doi_soat!$M$2:$M$2974,0)))</f>
        <v/>
      </c>
      <c r="E59" s="27">
        <f>IF(LARGE(Doi_soat!$M$2:$M$2974,9)=0,"",INDEX(Doi_soat!$G$2:$G$2974,MATCH(LARGE(Doi_soat!$M$2:$M$2974,9),Doi_soat!$M$2:$M$2974,0)))</f>
        <v/>
      </c>
      <c r="F59" s="27">
        <f>IF(LARGE(Doi_soat!$M$2:$M$2974,9)=0,"",INDEX(Doi_soat!$H$2:$H$2974,MATCH(LARGE(Doi_soat!$M$2:$M$2974,9),Doi_soat!$M$2:$M$2974,0)))</f>
        <v/>
      </c>
      <c r="G59" s="28">
        <f>IF(LARGE(Doi_soat!$M$2:$M$2974,9)=0,"",INDEX(Doi_soat!$I$2:$I$2974,MATCH(LARGE(Doi_soat!$M$2:$M$2974,9),Doi_soat!$M$2:$M$2974,0)))</f>
        <v/>
      </c>
      <c r="H59" s="16">
        <f>IF(LARGE(Doi_soat!$M$2:$M$2974,9)=0,"",INDEX(Doi_soat!$J$2:$J$2974,MATCH(LARGE(Doi_soat!$M$2:$M$2974,9),Doi_soat!$M$2:$M$2974,0)))</f>
        <v/>
      </c>
      <c r="I59" s="27">
        <f>IF(LARGE(Doi_soat!$M$2:$M$2974,9)=0,"",INDEX(Doi_soat!$K$2:$K$2974,MATCH(LARGE(Doi_soat!$M$2:$M$2974,9),Doi_soat!$M$2:$M$2974,0)))</f>
        <v/>
      </c>
    </row>
    <row r="60">
      <c r="B60" s="27">
        <f>IF(LARGE(Doi_soat!$M$2:$M$2974,10)=0,"",INDEX(Doi_soat!$D$2:$D$2974,MATCH(LARGE(Doi_soat!$M$2:$M$2974,10),Doi_soat!$M$2:$M$2974,0)))</f>
        <v/>
      </c>
      <c r="C60" s="27">
        <f>IF(LARGE(Doi_soat!$M$2:$M$2974,10)=0,"",INDEX(Doi_soat!$E$2:$E$2974,MATCH(LARGE(Doi_soat!$M$2:$M$2974,10),Doi_soat!$M$2:$M$2974,0)))</f>
        <v/>
      </c>
      <c r="D60" s="27">
        <f>IF(LARGE(Doi_soat!$M$2:$M$2974,10)=0,"",INDEX(Doi_soat!$C$2:$C$2974,MATCH(LARGE(Doi_soat!$M$2:$M$2974,10),Doi_soat!$M$2:$M$2974,0)))</f>
        <v/>
      </c>
      <c r="E60" s="27">
        <f>IF(LARGE(Doi_soat!$M$2:$M$2974,10)=0,"",INDEX(Doi_soat!$G$2:$G$2974,MATCH(LARGE(Doi_soat!$M$2:$M$2974,10),Doi_soat!$M$2:$M$2974,0)))</f>
        <v/>
      </c>
      <c r="F60" s="27">
        <f>IF(LARGE(Doi_soat!$M$2:$M$2974,10)=0,"",INDEX(Doi_soat!$H$2:$H$2974,MATCH(LARGE(Doi_soat!$M$2:$M$2974,10),Doi_soat!$M$2:$M$2974,0)))</f>
        <v/>
      </c>
      <c r="G60" s="28">
        <f>IF(LARGE(Doi_soat!$M$2:$M$2974,10)=0,"",INDEX(Doi_soat!$I$2:$I$2974,MATCH(LARGE(Doi_soat!$M$2:$M$2974,10),Doi_soat!$M$2:$M$2974,0)))</f>
        <v/>
      </c>
      <c r="H60" s="16">
        <f>IF(LARGE(Doi_soat!$M$2:$M$2974,10)=0,"",INDEX(Doi_soat!$J$2:$J$2974,MATCH(LARGE(Doi_soat!$M$2:$M$2974,10),Doi_soat!$M$2:$M$2974,0)))</f>
        <v/>
      </c>
      <c r="I60" s="27">
        <f>IF(LARGE(Doi_soat!$M$2:$M$2974,10)=0,"",INDEX(Doi_soat!$K$2:$K$2974,MATCH(LARGE(Doi_soat!$M$2:$M$2974,10),Doi_soat!$M$2:$M$2974,0)))</f>
        <v/>
      </c>
    </row>
  </sheetData>
  <conditionalFormatting sqref="E13:E20">
    <cfRule type="expression" priority="1" dxfId="0">
      <formula>AND(ISNUMBER(E13),OR(AND(E13&gt;0,ROW()&lt;&gt;16,ROW()&lt;&gt;20),AND(E13&lt;0,OR(ROW()=16,ROW()=20))))</formula>
    </cfRule>
    <cfRule type="expression" priority="2" dxfId="1">
      <formula>AND(ISNUMBER(E13),OR(AND(E13&lt;0,ROW()&lt;&gt;16,ROW()&lt;&gt;20),AND(E13&gt;0,OR(ROW()=16,ROW()=20))))</formula>
    </cfRule>
  </conditionalFormatting>
  <conditionalFormatting sqref="G13:G20">
    <cfRule type="expression" priority="3" dxfId="0">
      <formula>AND(ISNUMBER(G13),OR(AND(G13&gt;0,ROW()&lt;&gt;16,ROW()&lt;&gt;20),AND(G13&lt;0,OR(ROW()=16,ROW()=20))))</formula>
    </cfRule>
    <cfRule type="expression" priority="4" dxfId="1">
      <formula>AND(ISNUMBER(G13),OR(AND(G13&lt;0,ROW()&lt;&gt;16,ROW()&lt;&gt;20),AND(G13&gt;0,OR(ROW()=16,ROW()=20))))</formula>
    </cfRule>
  </conditionalFormatting>
  <conditionalFormatting sqref="C22:C24">
    <cfRule type="expression" priority="5" dxfId="2">
      <formula>ABS(C22)&gt;$G$6</formula>
    </cfRule>
  </conditionalFormatting>
  <conditionalFormatting sqref="C28:C31">
    <cfRule type="dataBar" priority="6">
      <dataBar showValue="1">
        <cfvo type="num" val="0"/>
        <cfvo type="max"/>
        <color rgb="00B9B7B0"/>
      </dataBar>
    </cfRule>
  </conditionalFormatting>
  <dataValidations count="2">
    <dataValidation sqref="C5" showDropDown="0" showInputMessage="0" showErrorMessage="0" allowBlank="0" type="list">
      <formula1>=Calc!$A$2:$A$63</formula1>
    </dataValidation>
    <dataValidation sqref="F5" showDropDown="0" showInputMessage="0" showErrorMessage="0" allowBlank="0" type="list">
      <formula1>"Tất cả,Cửa hàng,Online"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34" customWidth="1" min="4" max="4"/>
    <col width="10" customWidth="1" min="5" max="5"/>
    <col width="9" customWidth="1" min="6" max="6"/>
    <col width="20" customWidth="1" min="7" max="7"/>
    <col width="16" customWidth="1" min="8" max="8"/>
    <col width="14" customWidth="1" min="9" max="9"/>
    <col width="9" customWidth="1" min="10" max="10"/>
    <col width="22" customWidth="1" min="11" max="11"/>
    <col width="10" customWidth="1" min="12" max="12"/>
    <col hidden="1" width="12" customWidth="1" min="13" max="13"/>
  </cols>
  <sheetData>
    <row r="1">
      <c r="A1" t="inlineStr">
        <is>
          <t>month_id</t>
        </is>
      </c>
      <c r="B1" t="inlineStr">
        <is>
          <t>Tháng</t>
        </is>
      </c>
      <c r="C1" t="inlineStr">
        <is>
          <t>Mã CH</t>
        </is>
      </c>
      <c r="D1" t="inlineStr">
        <is>
          <t>Cửa hàng</t>
        </is>
      </c>
      <c r="E1" t="inlineStr">
        <is>
          <t>Quốc gia</t>
        </is>
      </c>
      <c r="F1" t="inlineStr">
        <is>
          <t>Kênh</t>
        </is>
      </c>
      <c r="G1" t="inlineStr">
        <is>
          <t>Net Revenue đơn (USD)</t>
        </is>
      </c>
      <c r="H1" t="inlineStr">
        <is>
          <t>Finance (USD)</t>
        </is>
      </c>
      <c r="I1" t="inlineStr">
        <is>
          <t>Δ (USD)</t>
        </is>
      </c>
      <c r="J1" t="inlineStr">
        <is>
          <t>Δ %</t>
        </is>
      </c>
      <c r="K1" t="inlineStr">
        <is>
          <t>Δ sau quy đổi online (USD)</t>
        </is>
      </c>
      <c r="L1" t="inlineStr">
        <is>
          <t>Cờ</t>
        </is>
      </c>
      <c r="M1" t="inlineStr">
        <is>
          <t>khoá xếp (Dashboard)</t>
        </is>
      </c>
    </row>
    <row r="2">
      <c r="A2">
        <f>Data_thang!A2</f>
        <v/>
      </c>
      <c r="B2">
        <f>Data_thang!B2</f>
        <v/>
      </c>
      <c r="C2">
        <f>Data_thang!D2</f>
        <v/>
      </c>
      <c r="D2">
        <f>Data_thang!E2</f>
        <v/>
      </c>
      <c r="E2">
        <f>Data_thang!F2</f>
        <v/>
      </c>
      <c r="F2">
        <f>Data_thang!G2</f>
        <v/>
      </c>
      <c r="G2" s="29">
        <f>Data_thang!J2-Data_thang!K2</f>
        <v/>
      </c>
      <c r="H2" s="29">
        <f>Data_thang!N2</f>
        <v/>
      </c>
      <c r="I2" s="29">
        <f>H2-G2</f>
        <v/>
      </c>
      <c r="J2" s="30">
        <f>IF(H2=0,IF(I2=0,0,1),I2/ABS(H2))</f>
        <v/>
      </c>
      <c r="K2" s="29">
        <f>H2-(Data_thang!O2-Data_thang!K2)</f>
        <v/>
      </c>
      <c r="L2">
        <f>IF(AND(ABS(I2)&gt;Dashboard!$G$6,ABS(J2)&gt;Dashboard!$H$6),"⚠ Vượt","")</f>
        <v/>
      </c>
      <c r="M2">
        <f>IF(AND(A2=Dashboard!$D$6,OR(Dashboard!$C$6="*",F2=Dashboard!$C$6),L2&lt;&gt;""),ABS(I2)+ROW()/1000000000,0)</f>
        <v/>
      </c>
    </row>
    <row r="3">
      <c r="A3">
        <f>Data_thang!A3</f>
        <v/>
      </c>
      <c r="B3">
        <f>Data_thang!B3</f>
        <v/>
      </c>
      <c r="C3">
        <f>Data_thang!D3</f>
        <v/>
      </c>
      <c r="D3">
        <f>Data_thang!E3</f>
        <v/>
      </c>
      <c r="E3">
        <f>Data_thang!F3</f>
        <v/>
      </c>
      <c r="F3">
        <f>Data_thang!G3</f>
        <v/>
      </c>
      <c r="G3" s="29">
        <f>Data_thang!J3-Data_thang!K3</f>
        <v/>
      </c>
      <c r="H3" s="29">
        <f>Data_thang!N3</f>
        <v/>
      </c>
      <c r="I3" s="29">
        <f>H3-G3</f>
        <v/>
      </c>
      <c r="J3" s="30">
        <f>IF(H3=0,IF(I3=0,0,1),I3/ABS(H3))</f>
        <v/>
      </c>
      <c r="K3" s="29">
        <f>H3-(Data_thang!O3-Data_thang!K3)</f>
        <v/>
      </c>
      <c r="L3">
        <f>IF(AND(ABS(I3)&gt;Dashboard!$G$6,ABS(J3)&gt;Dashboard!$H$6),"⚠ Vượt","")</f>
        <v/>
      </c>
      <c r="M3">
        <f>IF(AND(A3=Dashboard!$D$6,OR(Dashboard!$C$6="*",F3=Dashboard!$C$6),L3&lt;&gt;""),ABS(I3)+ROW()/1000000000,0)</f>
        <v/>
      </c>
    </row>
    <row r="4">
      <c r="A4">
        <f>Data_thang!A4</f>
        <v/>
      </c>
      <c r="B4">
        <f>Data_thang!B4</f>
        <v/>
      </c>
      <c r="C4">
        <f>Data_thang!D4</f>
        <v/>
      </c>
      <c r="D4">
        <f>Data_thang!E4</f>
        <v/>
      </c>
      <c r="E4">
        <f>Data_thang!F4</f>
        <v/>
      </c>
      <c r="F4">
        <f>Data_thang!G4</f>
        <v/>
      </c>
      <c r="G4" s="29">
        <f>Data_thang!J4-Data_thang!K4</f>
        <v/>
      </c>
      <c r="H4" s="29">
        <f>Data_thang!N4</f>
        <v/>
      </c>
      <c r="I4" s="29">
        <f>H4-G4</f>
        <v/>
      </c>
      <c r="J4" s="30">
        <f>IF(H4=0,IF(I4=0,0,1),I4/ABS(H4))</f>
        <v/>
      </c>
      <c r="K4" s="29">
        <f>H4-(Data_thang!O4-Data_thang!K4)</f>
        <v/>
      </c>
      <c r="L4">
        <f>IF(AND(ABS(I4)&gt;Dashboard!$G$6,ABS(J4)&gt;Dashboard!$H$6),"⚠ Vượt","")</f>
        <v/>
      </c>
      <c r="M4">
        <f>IF(AND(A4=Dashboard!$D$6,OR(Dashboard!$C$6="*",F4=Dashboard!$C$6),L4&lt;&gt;""),ABS(I4)+ROW()/1000000000,0)</f>
        <v/>
      </c>
    </row>
    <row r="5">
      <c r="A5">
        <f>Data_thang!A5</f>
        <v/>
      </c>
      <c r="B5">
        <f>Data_thang!B5</f>
        <v/>
      </c>
      <c r="C5">
        <f>Data_thang!D5</f>
        <v/>
      </c>
      <c r="D5">
        <f>Data_thang!E5</f>
        <v/>
      </c>
      <c r="E5">
        <f>Data_thang!F5</f>
        <v/>
      </c>
      <c r="F5">
        <f>Data_thang!G5</f>
        <v/>
      </c>
      <c r="G5" s="29">
        <f>Data_thang!J5-Data_thang!K5</f>
        <v/>
      </c>
      <c r="H5" s="29">
        <f>Data_thang!N5</f>
        <v/>
      </c>
      <c r="I5" s="29">
        <f>H5-G5</f>
        <v/>
      </c>
      <c r="J5" s="30">
        <f>IF(H5=0,IF(I5=0,0,1),I5/ABS(H5))</f>
        <v/>
      </c>
      <c r="K5" s="29">
        <f>H5-(Data_thang!O5-Data_thang!K5)</f>
        <v/>
      </c>
      <c r="L5">
        <f>IF(AND(ABS(I5)&gt;Dashboard!$G$6,ABS(J5)&gt;Dashboard!$H$6),"⚠ Vượt","")</f>
        <v/>
      </c>
      <c r="M5">
        <f>IF(AND(A5=Dashboard!$D$6,OR(Dashboard!$C$6="*",F5=Dashboard!$C$6),L5&lt;&gt;""),ABS(I5)+ROW()/1000000000,0)</f>
        <v/>
      </c>
    </row>
    <row r="6">
      <c r="A6">
        <f>Data_thang!A6</f>
        <v/>
      </c>
      <c r="B6">
        <f>Data_thang!B6</f>
        <v/>
      </c>
      <c r="C6">
        <f>Data_thang!D6</f>
        <v/>
      </c>
      <c r="D6">
        <f>Data_thang!E6</f>
        <v/>
      </c>
      <c r="E6">
        <f>Data_thang!F6</f>
        <v/>
      </c>
      <c r="F6">
        <f>Data_thang!G6</f>
        <v/>
      </c>
      <c r="G6" s="29">
        <f>Data_thang!J6-Data_thang!K6</f>
        <v/>
      </c>
      <c r="H6" s="29">
        <f>Data_thang!N6</f>
        <v/>
      </c>
      <c r="I6" s="29">
        <f>H6-G6</f>
        <v/>
      </c>
      <c r="J6" s="30">
        <f>IF(H6=0,IF(I6=0,0,1),I6/ABS(H6))</f>
        <v/>
      </c>
      <c r="K6" s="29">
        <f>H6-(Data_thang!O6-Data_thang!K6)</f>
        <v/>
      </c>
      <c r="L6">
        <f>IF(AND(ABS(I6)&gt;Dashboard!$G$6,ABS(J6)&gt;Dashboard!$H$6),"⚠ Vượt","")</f>
        <v/>
      </c>
      <c r="M6">
        <f>IF(AND(A6=Dashboard!$D$6,OR(Dashboard!$C$6="*",F6=Dashboard!$C$6),L6&lt;&gt;""),ABS(I6)+ROW()/1000000000,0)</f>
        <v/>
      </c>
    </row>
    <row r="7">
      <c r="A7">
        <f>Data_thang!A7</f>
        <v/>
      </c>
      <c r="B7">
        <f>Data_thang!B7</f>
        <v/>
      </c>
      <c r="C7">
        <f>Data_thang!D7</f>
        <v/>
      </c>
      <c r="D7">
        <f>Data_thang!E7</f>
        <v/>
      </c>
      <c r="E7">
        <f>Data_thang!F7</f>
        <v/>
      </c>
      <c r="F7">
        <f>Data_thang!G7</f>
        <v/>
      </c>
      <c r="G7" s="29">
        <f>Data_thang!J7-Data_thang!K7</f>
        <v/>
      </c>
      <c r="H7" s="29">
        <f>Data_thang!N7</f>
        <v/>
      </c>
      <c r="I7" s="29">
        <f>H7-G7</f>
        <v/>
      </c>
      <c r="J7" s="30">
        <f>IF(H7=0,IF(I7=0,0,1),I7/ABS(H7))</f>
        <v/>
      </c>
      <c r="K7" s="29">
        <f>H7-(Data_thang!O7-Data_thang!K7)</f>
        <v/>
      </c>
      <c r="L7">
        <f>IF(AND(ABS(I7)&gt;Dashboard!$G$6,ABS(J7)&gt;Dashboard!$H$6),"⚠ Vượt","")</f>
        <v/>
      </c>
      <c r="M7">
        <f>IF(AND(A7=Dashboard!$D$6,OR(Dashboard!$C$6="*",F7=Dashboard!$C$6),L7&lt;&gt;""),ABS(I7)+ROW()/1000000000,0)</f>
        <v/>
      </c>
    </row>
    <row r="8">
      <c r="A8">
        <f>Data_thang!A8</f>
        <v/>
      </c>
      <c r="B8">
        <f>Data_thang!B8</f>
        <v/>
      </c>
      <c r="C8">
        <f>Data_thang!D8</f>
        <v/>
      </c>
      <c r="D8">
        <f>Data_thang!E8</f>
        <v/>
      </c>
      <c r="E8">
        <f>Data_thang!F8</f>
        <v/>
      </c>
      <c r="F8">
        <f>Data_thang!G8</f>
        <v/>
      </c>
      <c r="G8" s="29">
        <f>Data_thang!J8-Data_thang!K8</f>
        <v/>
      </c>
      <c r="H8" s="29">
        <f>Data_thang!N8</f>
        <v/>
      </c>
      <c r="I8" s="29">
        <f>H8-G8</f>
        <v/>
      </c>
      <c r="J8" s="30">
        <f>IF(H8=0,IF(I8=0,0,1),I8/ABS(H8))</f>
        <v/>
      </c>
      <c r="K8" s="29">
        <f>H8-(Data_thang!O8-Data_thang!K8)</f>
        <v/>
      </c>
      <c r="L8">
        <f>IF(AND(ABS(I8)&gt;Dashboard!$G$6,ABS(J8)&gt;Dashboard!$H$6),"⚠ Vượt","")</f>
        <v/>
      </c>
      <c r="M8">
        <f>IF(AND(A8=Dashboard!$D$6,OR(Dashboard!$C$6="*",F8=Dashboard!$C$6),L8&lt;&gt;""),ABS(I8)+ROW()/1000000000,0)</f>
        <v/>
      </c>
    </row>
    <row r="9">
      <c r="A9">
        <f>Data_thang!A9</f>
        <v/>
      </c>
      <c r="B9">
        <f>Data_thang!B9</f>
        <v/>
      </c>
      <c r="C9">
        <f>Data_thang!D9</f>
        <v/>
      </c>
      <c r="D9">
        <f>Data_thang!E9</f>
        <v/>
      </c>
      <c r="E9">
        <f>Data_thang!F9</f>
        <v/>
      </c>
      <c r="F9">
        <f>Data_thang!G9</f>
        <v/>
      </c>
      <c r="G9" s="29">
        <f>Data_thang!J9-Data_thang!K9</f>
        <v/>
      </c>
      <c r="H9" s="29">
        <f>Data_thang!N9</f>
        <v/>
      </c>
      <c r="I9" s="29">
        <f>H9-G9</f>
        <v/>
      </c>
      <c r="J9" s="30">
        <f>IF(H9=0,IF(I9=0,0,1),I9/ABS(H9))</f>
        <v/>
      </c>
      <c r="K9" s="29">
        <f>H9-(Data_thang!O9-Data_thang!K9)</f>
        <v/>
      </c>
      <c r="L9">
        <f>IF(AND(ABS(I9)&gt;Dashboard!$G$6,ABS(J9)&gt;Dashboard!$H$6),"⚠ Vượt","")</f>
        <v/>
      </c>
      <c r="M9">
        <f>IF(AND(A9=Dashboard!$D$6,OR(Dashboard!$C$6="*",F9=Dashboard!$C$6),L9&lt;&gt;""),ABS(I9)+ROW()/1000000000,0)</f>
        <v/>
      </c>
    </row>
    <row r="10">
      <c r="A10">
        <f>Data_thang!A10</f>
        <v/>
      </c>
      <c r="B10">
        <f>Data_thang!B10</f>
        <v/>
      </c>
      <c r="C10">
        <f>Data_thang!D10</f>
        <v/>
      </c>
      <c r="D10">
        <f>Data_thang!E10</f>
        <v/>
      </c>
      <c r="E10">
        <f>Data_thang!F10</f>
        <v/>
      </c>
      <c r="F10">
        <f>Data_thang!G10</f>
        <v/>
      </c>
      <c r="G10" s="29">
        <f>Data_thang!J10-Data_thang!K10</f>
        <v/>
      </c>
      <c r="H10" s="29">
        <f>Data_thang!N10</f>
        <v/>
      </c>
      <c r="I10" s="29">
        <f>H10-G10</f>
        <v/>
      </c>
      <c r="J10" s="30">
        <f>IF(H10=0,IF(I10=0,0,1),I10/ABS(H10))</f>
        <v/>
      </c>
      <c r="K10" s="29">
        <f>H10-(Data_thang!O10-Data_thang!K10)</f>
        <v/>
      </c>
      <c r="L10">
        <f>IF(AND(ABS(I10)&gt;Dashboard!$G$6,ABS(J10)&gt;Dashboard!$H$6),"⚠ Vượt","")</f>
        <v/>
      </c>
      <c r="M10">
        <f>IF(AND(A10=Dashboard!$D$6,OR(Dashboard!$C$6="*",F10=Dashboard!$C$6),L10&lt;&gt;""),ABS(I10)+ROW()/1000000000,0)</f>
        <v/>
      </c>
    </row>
    <row r="11">
      <c r="A11">
        <f>Data_thang!A11</f>
        <v/>
      </c>
      <c r="B11">
        <f>Data_thang!B11</f>
        <v/>
      </c>
      <c r="C11">
        <f>Data_thang!D11</f>
        <v/>
      </c>
      <c r="D11">
        <f>Data_thang!E11</f>
        <v/>
      </c>
      <c r="E11">
        <f>Data_thang!F11</f>
        <v/>
      </c>
      <c r="F11">
        <f>Data_thang!G11</f>
        <v/>
      </c>
      <c r="G11" s="29">
        <f>Data_thang!J11-Data_thang!K11</f>
        <v/>
      </c>
      <c r="H11" s="29">
        <f>Data_thang!N11</f>
        <v/>
      </c>
      <c r="I11" s="29">
        <f>H11-G11</f>
        <v/>
      </c>
      <c r="J11" s="30">
        <f>IF(H11=0,IF(I11=0,0,1),I11/ABS(H11))</f>
        <v/>
      </c>
      <c r="K11" s="29">
        <f>H11-(Data_thang!O11-Data_thang!K11)</f>
        <v/>
      </c>
      <c r="L11">
        <f>IF(AND(ABS(I11)&gt;Dashboard!$G$6,ABS(J11)&gt;Dashboard!$H$6),"⚠ Vượt","")</f>
        <v/>
      </c>
      <c r="M11">
        <f>IF(AND(A11=Dashboard!$D$6,OR(Dashboard!$C$6="*",F11=Dashboard!$C$6),L11&lt;&gt;""),ABS(I11)+ROW()/1000000000,0)</f>
        <v/>
      </c>
    </row>
    <row r="12">
      <c r="A12">
        <f>Data_thang!A12</f>
        <v/>
      </c>
      <c r="B12">
        <f>Data_thang!B12</f>
        <v/>
      </c>
      <c r="C12">
        <f>Data_thang!D12</f>
        <v/>
      </c>
      <c r="D12">
        <f>Data_thang!E12</f>
        <v/>
      </c>
      <c r="E12">
        <f>Data_thang!F12</f>
        <v/>
      </c>
      <c r="F12">
        <f>Data_thang!G12</f>
        <v/>
      </c>
      <c r="G12" s="29">
        <f>Data_thang!J12-Data_thang!K12</f>
        <v/>
      </c>
      <c r="H12" s="29">
        <f>Data_thang!N12</f>
        <v/>
      </c>
      <c r="I12" s="29">
        <f>H12-G12</f>
        <v/>
      </c>
      <c r="J12" s="30">
        <f>IF(H12=0,IF(I12=0,0,1),I12/ABS(H12))</f>
        <v/>
      </c>
      <c r="K12" s="29">
        <f>H12-(Data_thang!O12-Data_thang!K12)</f>
        <v/>
      </c>
      <c r="L12">
        <f>IF(AND(ABS(I12)&gt;Dashboard!$G$6,ABS(J12)&gt;Dashboard!$H$6),"⚠ Vượt","")</f>
        <v/>
      </c>
      <c r="M12">
        <f>IF(AND(A12=Dashboard!$D$6,OR(Dashboard!$C$6="*",F12=Dashboard!$C$6),L12&lt;&gt;""),ABS(I12)+ROW()/1000000000,0)</f>
        <v/>
      </c>
    </row>
    <row r="13">
      <c r="A13">
        <f>Data_thang!A13</f>
        <v/>
      </c>
      <c r="B13">
        <f>Data_thang!B13</f>
        <v/>
      </c>
      <c r="C13">
        <f>Data_thang!D13</f>
        <v/>
      </c>
      <c r="D13">
        <f>Data_thang!E13</f>
        <v/>
      </c>
      <c r="E13">
        <f>Data_thang!F13</f>
        <v/>
      </c>
      <c r="F13">
        <f>Data_thang!G13</f>
        <v/>
      </c>
      <c r="G13" s="29">
        <f>Data_thang!J13-Data_thang!K13</f>
        <v/>
      </c>
      <c r="H13" s="29">
        <f>Data_thang!N13</f>
        <v/>
      </c>
      <c r="I13" s="29">
        <f>H13-G13</f>
        <v/>
      </c>
      <c r="J13" s="30">
        <f>IF(H13=0,IF(I13=0,0,1),I13/ABS(H13))</f>
        <v/>
      </c>
      <c r="K13" s="29">
        <f>H13-(Data_thang!O13-Data_thang!K13)</f>
        <v/>
      </c>
      <c r="L13">
        <f>IF(AND(ABS(I13)&gt;Dashboard!$G$6,ABS(J13)&gt;Dashboard!$H$6),"⚠ Vượt","")</f>
        <v/>
      </c>
      <c r="M13">
        <f>IF(AND(A13=Dashboard!$D$6,OR(Dashboard!$C$6="*",F13=Dashboard!$C$6),L13&lt;&gt;""),ABS(I13)+ROW()/1000000000,0)</f>
        <v/>
      </c>
    </row>
    <row r="14">
      <c r="A14">
        <f>Data_thang!A14</f>
        <v/>
      </c>
      <c r="B14">
        <f>Data_thang!B14</f>
        <v/>
      </c>
      <c r="C14">
        <f>Data_thang!D14</f>
        <v/>
      </c>
      <c r="D14">
        <f>Data_thang!E14</f>
        <v/>
      </c>
      <c r="E14">
        <f>Data_thang!F14</f>
        <v/>
      </c>
      <c r="F14">
        <f>Data_thang!G14</f>
        <v/>
      </c>
      <c r="G14" s="29">
        <f>Data_thang!J14-Data_thang!K14</f>
        <v/>
      </c>
      <c r="H14" s="29">
        <f>Data_thang!N14</f>
        <v/>
      </c>
      <c r="I14" s="29">
        <f>H14-G14</f>
        <v/>
      </c>
      <c r="J14" s="30">
        <f>IF(H14=0,IF(I14=0,0,1),I14/ABS(H14))</f>
        <v/>
      </c>
      <c r="K14" s="29">
        <f>H14-(Data_thang!O14-Data_thang!K14)</f>
        <v/>
      </c>
      <c r="L14">
        <f>IF(AND(ABS(I14)&gt;Dashboard!$G$6,ABS(J14)&gt;Dashboard!$H$6),"⚠ Vượt","")</f>
        <v/>
      </c>
      <c r="M14">
        <f>IF(AND(A14=Dashboard!$D$6,OR(Dashboard!$C$6="*",F14=Dashboard!$C$6),L14&lt;&gt;""),ABS(I14)+ROW()/1000000000,0)</f>
        <v/>
      </c>
    </row>
    <row r="15">
      <c r="A15">
        <f>Data_thang!A15</f>
        <v/>
      </c>
      <c r="B15">
        <f>Data_thang!B15</f>
        <v/>
      </c>
      <c r="C15">
        <f>Data_thang!D15</f>
        <v/>
      </c>
      <c r="D15">
        <f>Data_thang!E15</f>
        <v/>
      </c>
      <c r="E15">
        <f>Data_thang!F15</f>
        <v/>
      </c>
      <c r="F15">
        <f>Data_thang!G15</f>
        <v/>
      </c>
      <c r="G15" s="29">
        <f>Data_thang!J15-Data_thang!K15</f>
        <v/>
      </c>
      <c r="H15" s="29">
        <f>Data_thang!N15</f>
        <v/>
      </c>
      <c r="I15" s="29">
        <f>H15-G15</f>
        <v/>
      </c>
      <c r="J15" s="30">
        <f>IF(H15=0,IF(I15=0,0,1),I15/ABS(H15))</f>
        <v/>
      </c>
      <c r="K15" s="29">
        <f>H15-(Data_thang!O15-Data_thang!K15)</f>
        <v/>
      </c>
      <c r="L15">
        <f>IF(AND(ABS(I15)&gt;Dashboard!$G$6,ABS(J15)&gt;Dashboard!$H$6),"⚠ Vượt","")</f>
        <v/>
      </c>
      <c r="M15">
        <f>IF(AND(A15=Dashboard!$D$6,OR(Dashboard!$C$6="*",F15=Dashboard!$C$6),L15&lt;&gt;""),ABS(I15)+ROW()/1000000000,0)</f>
        <v/>
      </c>
    </row>
    <row r="16">
      <c r="A16">
        <f>Data_thang!A16</f>
        <v/>
      </c>
      <c r="B16">
        <f>Data_thang!B16</f>
        <v/>
      </c>
      <c r="C16">
        <f>Data_thang!D16</f>
        <v/>
      </c>
      <c r="D16">
        <f>Data_thang!E16</f>
        <v/>
      </c>
      <c r="E16">
        <f>Data_thang!F16</f>
        <v/>
      </c>
      <c r="F16">
        <f>Data_thang!G16</f>
        <v/>
      </c>
      <c r="G16" s="29">
        <f>Data_thang!J16-Data_thang!K16</f>
        <v/>
      </c>
      <c r="H16" s="29">
        <f>Data_thang!N16</f>
        <v/>
      </c>
      <c r="I16" s="29">
        <f>H16-G16</f>
        <v/>
      </c>
      <c r="J16" s="30">
        <f>IF(H16=0,IF(I16=0,0,1),I16/ABS(H16))</f>
        <v/>
      </c>
      <c r="K16" s="29">
        <f>H16-(Data_thang!O16-Data_thang!K16)</f>
        <v/>
      </c>
      <c r="L16">
        <f>IF(AND(ABS(I16)&gt;Dashboard!$G$6,ABS(J16)&gt;Dashboard!$H$6),"⚠ Vượt","")</f>
        <v/>
      </c>
      <c r="M16">
        <f>IF(AND(A16=Dashboard!$D$6,OR(Dashboard!$C$6="*",F16=Dashboard!$C$6),L16&lt;&gt;""),ABS(I16)+ROW()/1000000000,0)</f>
        <v/>
      </c>
    </row>
    <row r="17">
      <c r="A17">
        <f>Data_thang!A17</f>
        <v/>
      </c>
      <c r="B17">
        <f>Data_thang!B17</f>
        <v/>
      </c>
      <c r="C17">
        <f>Data_thang!D17</f>
        <v/>
      </c>
      <c r="D17">
        <f>Data_thang!E17</f>
        <v/>
      </c>
      <c r="E17">
        <f>Data_thang!F17</f>
        <v/>
      </c>
      <c r="F17">
        <f>Data_thang!G17</f>
        <v/>
      </c>
      <c r="G17" s="29">
        <f>Data_thang!J17-Data_thang!K17</f>
        <v/>
      </c>
      <c r="H17" s="29">
        <f>Data_thang!N17</f>
        <v/>
      </c>
      <c r="I17" s="29">
        <f>H17-G17</f>
        <v/>
      </c>
      <c r="J17" s="30">
        <f>IF(H17=0,IF(I17=0,0,1),I17/ABS(H17))</f>
        <v/>
      </c>
      <c r="K17" s="29">
        <f>H17-(Data_thang!O17-Data_thang!K17)</f>
        <v/>
      </c>
      <c r="L17">
        <f>IF(AND(ABS(I17)&gt;Dashboard!$G$6,ABS(J17)&gt;Dashboard!$H$6),"⚠ Vượt","")</f>
        <v/>
      </c>
      <c r="M17">
        <f>IF(AND(A17=Dashboard!$D$6,OR(Dashboard!$C$6="*",F17=Dashboard!$C$6),L17&lt;&gt;""),ABS(I17)+ROW()/1000000000,0)</f>
        <v/>
      </c>
    </row>
    <row r="18">
      <c r="A18">
        <f>Data_thang!A18</f>
        <v/>
      </c>
      <c r="B18">
        <f>Data_thang!B18</f>
        <v/>
      </c>
      <c r="C18">
        <f>Data_thang!D18</f>
        <v/>
      </c>
      <c r="D18">
        <f>Data_thang!E18</f>
        <v/>
      </c>
      <c r="E18">
        <f>Data_thang!F18</f>
        <v/>
      </c>
      <c r="F18">
        <f>Data_thang!G18</f>
        <v/>
      </c>
      <c r="G18" s="29">
        <f>Data_thang!J18-Data_thang!K18</f>
        <v/>
      </c>
      <c r="H18" s="29">
        <f>Data_thang!N18</f>
        <v/>
      </c>
      <c r="I18" s="29">
        <f>H18-G18</f>
        <v/>
      </c>
      <c r="J18" s="30">
        <f>IF(H18=0,IF(I18=0,0,1),I18/ABS(H18))</f>
        <v/>
      </c>
      <c r="K18" s="29">
        <f>H18-(Data_thang!O18-Data_thang!K18)</f>
        <v/>
      </c>
      <c r="L18">
        <f>IF(AND(ABS(I18)&gt;Dashboard!$G$6,ABS(J18)&gt;Dashboard!$H$6),"⚠ Vượt","")</f>
        <v/>
      </c>
      <c r="M18">
        <f>IF(AND(A18=Dashboard!$D$6,OR(Dashboard!$C$6="*",F18=Dashboard!$C$6),L18&lt;&gt;""),ABS(I18)+ROW()/1000000000,0)</f>
        <v/>
      </c>
    </row>
    <row r="19">
      <c r="A19">
        <f>Data_thang!A19</f>
        <v/>
      </c>
      <c r="B19">
        <f>Data_thang!B19</f>
        <v/>
      </c>
      <c r="C19">
        <f>Data_thang!D19</f>
        <v/>
      </c>
      <c r="D19">
        <f>Data_thang!E19</f>
        <v/>
      </c>
      <c r="E19">
        <f>Data_thang!F19</f>
        <v/>
      </c>
      <c r="F19">
        <f>Data_thang!G19</f>
        <v/>
      </c>
      <c r="G19" s="29">
        <f>Data_thang!J19-Data_thang!K19</f>
        <v/>
      </c>
      <c r="H19" s="29">
        <f>Data_thang!N19</f>
        <v/>
      </c>
      <c r="I19" s="29">
        <f>H19-G19</f>
        <v/>
      </c>
      <c r="J19" s="30">
        <f>IF(H19=0,IF(I19=0,0,1),I19/ABS(H19))</f>
        <v/>
      </c>
      <c r="K19" s="29">
        <f>H19-(Data_thang!O19-Data_thang!K19)</f>
        <v/>
      </c>
      <c r="L19">
        <f>IF(AND(ABS(I19)&gt;Dashboard!$G$6,ABS(J19)&gt;Dashboard!$H$6),"⚠ Vượt","")</f>
        <v/>
      </c>
      <c r="M19">
        <f>IF(AND(A19=Dashboard!$D$6,OR(Dashboard!$C$6="*",F19=Dashboard!$C$6),L19&lt;&gt;""),ABS(I19)+ROW()/1000000000,0)</f>
        <v/>
      </c>
    </row>
    <row r="20">
      <c r="A20">
        <f>Data_thang!A20</f>
        <v/>
      </c>
      <c r="B20">
        <f>Data_thang!B20</f>
        <v/>
      </c>
      <c r="C20">
        <f>Data_thang!D20</f>
        <v/>
      </c>
      <c r="D20">
        <f>Data_thang!E20</f>
        <v/>
      </c>
      <c r="E20">
        <f>Data_thang!F20</f>
        <v/>
      </c>
      <c r="F20">
        <f>Data_thang!G20</f>
        <v/>
      </c>
      <c r="G20" s="29">
        <f>Data_thang!J20-Data_thang!K20</f>
        <v/>
      </c>
      <c r="H20" s="29">
        <f>Data_thang!N20</f>
        <v/>
      </c>
      <c r="I20" s="29">
        <f>H20-G20</f>
        <v/>
      </c>
      <c r="J20" s="30">
        <f>IF(H20=0,IF(I20=0,0,1),I20/ABS(H20))</f>
        <v/>
      </c>
      <c r="K20" s="29">
        <f>H20-(Data_thang!O20-Data_thang!K20)</f>
        <v/>
      </c>
      <c r="L20">
        <f>IF(AND(ABS(I20)&gt;Dashboard!$G$6,ABS(J20)&gt;Dashboard!$H$6),"⚠ Vượt","")</f>
        <v/>
      </c>
      <c r="M20">
        <f>IF(AND(A20=Dashboard!$D$6,OR(Dashboard!$C$6="*",F20=Dashboard!$C$6),L20&lt;&gt;""),ABS(I20)+ROW()/1000000000,0)</f>
        <v/>
      </c>
    </row>
    <row r="21">
      <c r="A21">
        <f>Data_thang!A21</f>
        <v/>
      </c>
      <c r="B21">
        <f>Data_thang!B21</f>
        <v/>
      </c>
      <c r="C21">
        <f>Data_thang!D21</f>
        <v/>
      </c>
      <c r="D21">
        <f>Data_thang!E21</f>
        <v/>
      </c>
      <c r="E21">
        <f>Data_thang!F21</f>
        <v/>
      </c>
      <c r="F21">
        <f>Data_thang!G21</f>
        <v/>
      </c>
      <c r="G21" s="29">
        <f>Data_thang!J21-Data_thang!K21</f>
        <v/>
      </c>
      <c r="H21" s="29">
        <f>Data_thang!N21</f>
        <v/>
      </c>
      <c r="I21" s="29">
        <f>H21-G21</f>
        <v/>
      </c>
      <c r="J21" s="30">
        <f>IF(H21=0,IF(I21=0,0,1),I21/ABS(H21))</f>
        <v/>
      </c>
      <c r="K21" s="29">
        <f>H21-(Data_thang!O21-Data_thang!K21)</f>
        <v/>
      </c>
      <c r="L21">
        <f>IF(AND(ABS(I21)&gt;Dashboard!$G$6,ABS(J21)&gt;Dashboard!$H$6),"⚠ Vượt","")</f>
        <v/>
      </c>
      <c r="M21">
        <f>IF(AND(A21=Dashboard!$D$6,OR(Dashboard!$C$6="*",F21=Dashboard!$C$6),L21&lt;&gt;""),ABS(I21)+ROW()/1000000000,0)</f>
        <v/>
      </c>
    </row>
    <row r="22">
      <c r="A22">
        <f>Data_thang!A22</f>
        <v/>
      </c>
      <c r="B22">
        <f>Data_thang!B22</f>
        <v/>
      </c>
      <c r="C22">
        <f>Data_thang!D22</f>
        <v/>
      </c>
      <c r="D22">
        <f>Data_thang!E22</f>
        <v/>
      </c>
      <c r="E22">
        <f>Data_thang!F22</f>
        <v/>
      </c>
      <c r="F22">
        <f>Data_thang!G22</f>
        <v/>
      </c>
      <c r="G22" s="29">
        <f>Data_thang!J22-Data_thang!K22</f>
        <v/>
      </c>
      <c r="H22" s="29">
        <f>Data_thang!N22</f>
        <v/>
      </c>
      <c r="I22" s="29">
        <f>H22-G22</f>
        <v/>
      </c>
      <c r="J22" s="30">
        <f>IF(H22=0,IF(I22=0,0,1),I22/ABS(H22))</f>
        <v/>
      </c>
      <c r="K22" s="29">
        <f>H22-(Data_thang!O22-Data_thang!K22)</f>
        <v/>
      </c>
      <c r="L22">
        <f>IF(AND(ABS(I22)&gt;Dashboard!$G$6,ABS(J22)&gt;Dashboard!$H$6),"⚠ Vượt","")</f>
        <v/>
      </c>
      <c r="M22">
        <f>IF(AND(A22=Dashboard!$D$6,OR(Dashboard!$C$6="*",F22=Dashboard!$C$6),L22&lt;&gt;""),ABS(I22)+ROW()/1000000000,0)</f>
        <v/>
      </c>
    </row>
    <row r="23">
      <c r="A23">
        <f>Data_thang!A23</f>
        <v/>
      </c>
      <c r="B23">
        <f>Data_thang!B23</f>
        <v/>
      </c>
      <c r="C23">
        <f>Data_thang!D23</f>
        <v/>
      </c>
      <c r="D23">
        <f>Data_thang!E23</f>
        <v/>
      </c>
      <c r="E23">
        <f>Data_thang!F23</f>
        <v/>
      </c>
      <c r="F23">
        <f>Data_thang!G23</f>
        <v/>
      </c>
      <c r="G23" s="29">
        <f>Data_thang!J23-Data_thang!K23</f>
        <v/>
      </c>
      <c r="H23" s="29">
        <f>Data_thang!N23</f>
        <v/>
      </c>
      <c r="I23" s="29">
        <f>H23-G23</f>
        <v/>
      </c>
      <c r="J23" s="30">
        <f>IF(H23=0,IF(I23=0,0,1),I23/ABS(H23))</f>
        <v/>
      </c>
      <c r="K23" s="29">
        <f>H23-(Data_thang!O23-Data_thang!K23)</f>
        <v/>
      </c>
      <c r="L23">
        <f>IF(AND(ABS(I23)&gt;Dashboard!$G$6,ABS(J23)&gt;Dashboard!$H$6),"⚠ Vượt","")</f>
        <v/>
      </c>
      <c r="M23">
        <f>IF(AND(A23=Dashboard!$D$6,OR(Dashboard!$C$6="*",F23=Dashboard!$C$6),L23&lt;&gt;""),ABS(I23)+ROW()/1000000000,0)</f>
        <v/>
      </c>
    </row>
    <row r="24">
      <c r="A24">
        <f>Data_thang!A24</f>
        <v/>
      </c>
      <c r="B24">
        <f>Data_thang!B24</f>
        <v/>
      </c>
      <c r="C24">
        <f>Data_thang!D24</f>
        <v/>
      </c>
      <c r="D24">
        <f>Data_thang!E24</f>
        <v/>
      </c>
      <c r="E24">
        <f>Data_thang!F24</f>
        <v/>
      </c>
      <c r="F24">
        <f>Data_thang!G24</f>
        <v/>
      </c>
      <c r="G24" s="29">
        <f>Data_thang!J24-Data_thang!K24</f>
        <v/>
      </c>
      <c r="H24" s="29">
        <f>Data_thang!N24</f>
        <v/>
      </c>
      <c r="I24" s="29">
        <f>H24-G24</f>
        <v/>
      </c>
      <c r="J24" s="30">
        <f>IF(H24=0,IF(I24=0,0,1),I24/ABS(H24))</f>
        <v/>
      </c>
      <c r="K24" s="29">
        <f>H24-(Data_thang!O24-Data_thang!K24)</f>
        <v/>
      </c>
      <c r="L24">
        <f>IF(AND(ABS(I24)&gt;Dashboard!$G$6,ABS(J24)&gt;Dashboard!$H$6),"⚠ Vượt","")</f>
        <v/>
      </c>
      <c r="M24">
        <f>IF(AND(A24=Dashboard!$D$6,OR(Dashboard!$C$6="*",F24=Dashboard!$C$6),L24&lt;&gt;""),ABS(I24)+ROW()/1000000000,0)</f>
        <v/>
      </c>
    </row>
    <row r="25">
      <c r="A25">
        <f>Data_thang!A25</f>
        <v/>
      </c>
      <c r="B25">
        <f>Data_thang!B25</f>
        <v/>
      </c>
      <c r="C25">
        <f>Data_thang!D25</f>
        <v/>
      </c>
      <c r="D25">
        <f>Data_thang!E25</f>
        <v/>
      </c>
      <c r="E25">
        <f>Data_thang!F25</f>
        <v/>
      </c>
      <c r="F25">
        <f>Data_thang!G25</f>
        <v/>
      </c>
      <c r="G25" s="29">
        <f>Data_thang!J25-Data_thang!K25</f>
        <v/>
      </c>
      <c r="H25" s="29">
        <f>Data_thang!N25</f>
        <v/>
      </c>
      <c r="I25" s="29">
        <f>H25-G25</f>
        <v/>
      </c>
      <c r="J25" s="30">
        <f>IF(H25=0,IF(I25=0,0,1),I25/ABS(H25))</f>
        <v/>
      </c>
      <c r="K25" s="29">
        <f>H25-(Data_thang!O25-Data_thang!K25)</f>
        <v/>
      </c>
      <c r="L25">
        <f>IF(AND(ABS(I25)&gt;Dashboard!$G$6,ABS(J25)&gt;Dashboard!$H$6),"⚠ Vượt","")</f>
        <v/>
      </c>
      <c r="M25">
        <f>IF(AND(A25=Dashboard!$D$6,OR(Dashboard!$C$6="*",F25=Dashboard!$C$6),L25&lt;&gt;""),ABS(I25)+ROW()/1000000000,0)</f>
        <v/>
      </c>
    </row>
    <row r="26">
      <c r="A26">
        <f>Data_thang!A26</f>
        <v/>
      </c>
      <c r="B26">
        <f>Data_thang!B26</f>
        <v/>
      </c>
      <c r="C26">
        <f>Data_thang!D26</f>
        <v/>
      </c>
      <c r="D26">
        <f>Data_thang!E26</f>
        <v/>
      </c>
      <c r="E26">
        <f>Data_thang!F26</f>
        <v/>
      </c>
      <c r="F26">
        <f>Data_thang!G26</f>
        <v/>
      </c>
      <c r="G26" s="29">
        <f>Data_thang!J26-Data_thang!K26</f>
        <v/>
      </c>
      <c r="H26" s="29">
        <f>Data_thang!N26</f>
        <v/>
      </c>
      <c r="I26" s="29">
        <f>H26-G26</f>
        <v/>
      </c>
      <c r="J26" s="30">
        <f>IF(H26=0,IF(I26=0,0,1),I26/ABS(H26))</f>
        <v/>
      </c>
      <c r="K26" s="29">
        <f>H26-(Data_thang!O26-Data_thang!K26)</f>
        <v/>
      </c>
      <c r="L26">
        <f>IF(AND(ABS(I26)&gt;Dashboard!$G$6,ABS(J26)&gt;Dashboard!$H$6),"⚠ Vượt","")</f>
        <v/>
      </c>
      <c r="M26">
        <f>IF(AND(A26=Dashboard!$D$6,OR(Dashboard!$C$6="*",F26=Dashboard!$C$6),L26&lt;&gt;""),ABS(I26)+ROW()/1000000000,0)</f>
        <v/>
      </c>
    </row>
    <row r="27">
      <c r="A27">
        <f>Data_thang!A27</f>
        <v/>
      </c>
      <c r="B27">
        <f>Data_thang!B27</f>
        <v/>
      </c>
      <c r="C27">
        <f>Data_thang!D27</f>
        <v/>
      </c>
      <c r="D27">
        <f>Data_thang!E27</f>
        <v/>
      </c>
      <c r="E27">
        <f>Data_thang!F27</f>
        <v/>
      </c>
      <c r="F27">
        <f>Data_thang!G27</f>
        <v/>
      </c>
      <c r="G27" s="29">
        <f>Data_thang!J27-Data_thang!K27</f>
        <v/>
      </c>
      <c r="H27" s="29">
        <f>Data_thang!N27</f>
        <v/>
      </c>
      <c r="I27" s="29">
        <f>H27-G27</f>
        <v/>
      </c>
      <c r="J27" s="30">
        <f>IF(H27=0,IF(I27=0,0,1),I27/ABS(H27))</f>
        <v/>
      </c>
      <c r="K27" s="29">
        <f>H27-(Data_thang!O27-Data_thang!K27)</f>
        <v/>
      </c>
      <c r="L27">
        <f>IF(AND(ABS(I27)&gt;Dashboard!$G$6,ABS(J27)&gt;Dashboard!$H$6),"⚠ Vượt","")</f>
        <v/>
      </c>
      <c r="M27">
        <f>IF(AND(A27=Dashboard!$D$6,OR(Dashboard!$C$6="*",F27=Dashboard!$C$6),L27&lt;&gt;""),ABS(I27)+ROW()/1000000000,0)</f>
        <v/>
      </c>
    </row>
    <row r="28">
      <c r="A28">
        <f>Data_thang!A28</f>
        <v/>
      </c>
      <c r="B28">
        <f>Data_thang!B28</f>
        <v/>
      </c>
      <c r="C28">
        <f>Data_thang!D28</f>
        <v/>
      </c>
      <c r="D28">
        <f>Data_thang!E28</f>
        <v/>
      </c>
      <c r="E28">
        <f>Data_thang!F28</f>
        <v/>
      </c>
      <c r="F28">
        <f>Data_thang!G28</f>
        <v/>
      </c>
      <c r="G28" s="29">
        <f>Data_thang!J28-Data_thang!K28</f>
        <v/>
      </c>
      <c r="H28" s="29">
        <f>Data_thang!N28</f>
        <v/>
      </c>
      <c r="I28" s="29">
        <f>H28-G28</f>
        <v/>
      </c>
      <c r="J28" s="30">
        <f>IF(H28=0,IF(I28=0,0,1),I28/ABS(H28))</f>
        <v/>
      </c>
      <c r="K28" s="29">
        <f>H28-(Data_thang!O28-Data_thang!K28)</f>
        <v/>
      </c>
      <c r="L28">
        <f>IF(AND(ABS(I28)&gt;Dashboard!$G$6,ABS(J28)&gt;Dashboard!$H$6),"⚠ Vượt","")</f>
        <v/>
      </c>
      <c r="M28">
        <f>IF(AND(A28=Dashboard!$D$6,OR(Dashboard!$C$6="*",F28=Dashboard!$C$6),L28&lt;&gt;""),ABS(I28)+ROW()/1000000000,0)</f>
        <v/>
      </c>
    </row>
    <row r="29">
      <c r="A29">
        <f>Data_thang!A29</f>
        <v/>
      </c>
      <c r="B29">
        <f>Data_thang!B29</f>
        <v/>
      </c>
      <c r="C29">
        <f>Data_thang!D29</f>
        <v/>
      </c>
      <c r="D29">
        <f>Data_thang!E29</f>
        <v/>
      </c>
      <c r="E29">
        <f>Data_thang!F29</f>
        <v/>
      </c>
      <c r="F29">
        <f>Data_thang!G29</f>
        <v/>
      </c>
      <c r="G29" s="29">
        <f>Data_thang!J29-Data_thang!K29</f>
        <v/>
      </c>
      <c r="H29" s="29">
        <f>Data_thang!N29</f>
        <v/>
      </c>
      <c r="I29" s="29">
        <f>H29-G29</f>
        <v/>
      </c>
      <c r="J29" s="30">
        <f>IF(H29=0,IF(I29=0,0,1),I29/ABS(H29))</f>
        <v/>
      </c>
      <c r="K29" s="29">
        <f>H29-(Data_thang!O29-Data_thang!K29)</f>
        <v/>
      </c>
      <c r="L29">
        <f>IF(AND(ABS(I29)&gt;Dashboard!$G$6,ABS(J29)&gt;Dashboard!$H$6),"⚠ Vượt","")</f>
        <v/>
      </c>
      <c r="M29">
        <f>IF(AND(A29=Dashboard!$D$6,OR(Dashboard!$C$6="*",F29=Dashboard!$C$6),L29&lt;&gt;""),ABS(I29)+ROW()/1000000000,0)</f>
        <v/>
      </c>
    </row>
    <row r="30">
      <c r="A30">
        <f>Data_thang!A30</f>
        <v/>
      </c>
      <c r="B30">
        <f>Data_thang!B30</f>
        <v/>
      </c>
      <c r="C30">
        <f>Data_thang!D30</f>
        <v/>
      </c>
      <c r="D30">
        <f>Data_thang!E30</f>
        <v/>
      </c>
      <c r="E30">
        <f>Data_thang!F30</f>
        <v/>
      </c>
      <c r="F30">
        <f>Data_thang!G30</f>
        <v/>
      </c>
      <c r="G30" s="29">
        <f>Data_thang!J30-Data_thang!K30</f>
        <v/>
      </c>
      <c r="H30" s="29">
        <f>Data_thang!N30</f>
        <v/>
      </c>
      <c r="I30" s="29">
        <f>H30-G30</f>
        <v/>
      </c>
      <c r="J30" s="30">
        <f>IF(H30=0,IF(I30=0,0,1),I30/ABS(H30))</f>
        <v/>
      </c>
      <c r="K30" s="29">
        <f>H30-(Data_thang!O30-Data_thang!K30)</f>
        <v/>
      </c>
      <c r="L30">
        <f>IF(AND(ABS(I30)&gt;Dashboard!$G$6,ABS(J30)&gt;Dashboard!$H$6),"⚠ Vượt","")</f>
        <v/>
      </c>
      <c r="M30">
        <f>IF(AND(A30=Dashboard!$D$6,OR(Dashboard!$C$6="*",F30=Dashboard!$C$6),L30&lt;&gt;""),ABS(I30)+ROW()/1000000000,0)</f>
        <v/>
      </c>
    </row>
    <row r="31">
      <c r="A31">
        <f>Data_thang!A31</f>
        <v/>
      </c>
      <c r="B31">
        <f>Data_thang!B31</f>
        <v/>
      </c>
      <c r="C31">
        <f>Data_thang!D31</f>
        <v/>
      </c>
      <c r="D31">
        <f>Data_thang!E31</f>
        <v/>
      </c>
      <c r="E31">
        <f>Data_thang!F31</f>
        <v/>
      </c>
      <c r="F31">
        <f>Data_thang!G31</f>
        <v/>
      </c>
      <c r="G31" s="29">
        <f>Data_thang!J31-Data_thang!K31</f>
        <v/>
      </c>
      <c r="H31" s="29">
        <f>Data_thang!N31</f>
        <v/>
      </c>
      <c r="I31" s="29">
        <f>H31-G31</f>
        <v/>
      </c>
      <c r="J31" s="30">
        <f>IF(H31=0,IF(I31=0,0,1),I31/ABS(H31))</f>
        <v/>
      </c>
      <c r="K31" s="29">
        <f>H31-(Data_thang!O31-Data_thang!K31)</f>
        <v/>
      </c>
      <c r="L31">
        <f>IF(AND(ABS(I31)&gt;Dashboard!$G$6,ABS(J31)&gt;Dashboard!$H$6),"⚠ Vượt","")</f>
        <v/>
      </c>
      <c r="M31">
        <f>IF(AND(A31=Dashboard!$D$6,OR(Dashboard!$C$6="*",F31=Dashboard!$C$6),L31&lt;&gt;""),ABS(I31)+ROW()/1000000000,0)</f>
        <v/>
      </c>
    </row>
    <row r="32">
      <c r="A32">
        <f>Data_thang!A32</f>
        <v/>
      </c>
      <c r="B32">
        <f>Data_thang!B32</f>
        <v/>
      </c>
      <c r="C32">
        <f>Data_thang!D32</f>
        <v/>
      </c>
      <c r="D32">
        <f>Data_thang!E32</f>
        <v/>
      </c>
      <c r="E32">
        <f>Data_thang!F32</f>
        <v/>
      </c>
      <c r="F32">
        <f>Data_thang!G32</f>
        <v/>
      </c>
      <c r="G32" s="29">
        <f>Data_thang!J32-Data_thang!K32</f>
        <v/>
      </c>
      <c r="H32" s="29">
        <f>Data_thang!N32</f>
        <v/>
      </c>
      <c r="I32" s="29">
        <f>H32-G32</f>
        <v/>
      </c>
      <c r="J32" s="30">
        <f>IF(H32=0,IF(I32=0,0,1),I32/ABS(H32))</f>
        <v/>
      </c>
      <c r="K32" s="29">
        <f>H32-(Data_thang!O32-Data_thang!K32)</f>
        <v/>
      </c>
      <c r="L32">
        <f>IF(AND(ABS(I32)&gt;Dashboard!$G$6,ABS(J32)&gt;Dashboard!$H$6),"⚠ Vượt","")</f>
        <v/>
      </c>
      <c r="M32">
        <f>IF(AND(A32=Dashboard!$D$6,OR(Dashboard!$C$6="*",F32=Dashboard!$C$6),L32&lt;&gt;""),ABS(I32)+ROW()/1000000000,0)</f>
        <v/>
      </c>
    </row>
    <row r="33">
      <c r="A33">
        <f>Data_thang!A33</f>
        <v/>
      </c>
      <c r="B33">
        <f>Data_thang!B33</f>
        <v/>
      </c>
      <c r="C33">
        <f>Data_thang!D33</f>
        <v/>
      </c>
      <c r="D33">
        <f>Data_thang!E33</f>
        <v/>
      </c>
      <c r="E33">
        <f>Data_thang!F33</f>
        <v/>
      </c>
      <c r="F33">
        <f>Data_thang!G33</f>
        <v/>
      </c>
      <c r="G33" s="29">
        <f>Data_thang!J33-Data_thang!K33</f>
        <v/>
      </c>
      <c r="H33" s="29">
        <f>Data_thang!N33</f>
        <v/>
      </c>
      <c r="I33" s="29">
        <f>H33-G33</f>
        <v/>
      </c>
      <c r="J33" s="30">
        <f>IF(H33=0,IF(I33=0,0,1),I33/ABS(H33))</f>
        <v/>
      </c>
      <c r="K33" s="29">
        <f>H33-(Data_thang!O33-Data_thang!K33)</f>
        <v/>
      </c>
      <c r="L33">
        <f>IF(AND(ABS(I33)&gt;Dashboard!$G$6,ABS(J33)&gt;Dashboard!$H$6),"⚠ Vượt","")</f>
        <v/>
      </c>
      <c r="M33">
        <f>IF(AND(A33=Dashboard!$D$6,OR(Dashboard!$C$6="*",F33=Dashboard!$C$6),L33&lt;&gt;""),ABS(I33)+ROW()/1000000000,0)</f>
        <v/>
      </c>
    </row>
    <row r="34">
      <c r="A34">
        <f>Data_thang!A34</f>
        <v/>
      </c>
      <c r="B34">
        <f>Data_thang!B34</f>
        <v/>
      </c>
      <c r="C34">
        <f>Data_thang!D34</f>
        <v/>
      </c>
      <c r="D34">
        <f>Data_thang!E34</f>
        <v/>
      </c>
      <c r="E34">
        <f>Data_thang!F34</f>
        <v/>
      </c>
      <c r="F34">
        <f>Data_thang!G34</f>
        <v/>
      </c>
      <c r="G34" s="29">
        <f>Data_thang!J34-Data_thang!K34</f>
        <v/>
      </c>
      <c r="H34" s="29">
        <f>Data_thang!N34</f>
        <v/>
      </c>
      <c r="I34" s="29">
        <f>H34-G34</f>
        <v/>
      </c>
      <c r="J34" s="30">
        <f>IF(H34=0,IF(I34=0,0,1),I34/ABS(H34))</f>
        <v/>
      </c>
      <c r="K34" s="29">
        <f>H34-(Data_thang!O34-Data_thang!K34)</f>
        <v/>
      </c>
      <c r="L34">
        <f>IF(AND(ABS(I34)&gt;Dashboard!$G$6,ABS(J34)&gt;Dashboard!$H$6),"⚠ Vượt","")</f>
        <v/>
      </c>
      <c r="M34">
        <f>IF(AND(A34=Dashboard!$D$6,OR(Dashboard!$C$6="*",F34=Dashboard!$C$6),L34&lt;&gt;""),ABS(I34)+ROW()/1000000000,0)</f>
        <v/>
      </c>
    </row>
    <row r="35">
      <c r="A35">
        <f>Data_thang!A35</f>
        <v/>
      </c>
      <c r="B35">
        <f>Data_thang!B35</f>
        <v/>
      </c>
      <c r="C35">
        <f>Data_thang!D35</f>
        <v/>
      </c>
      <c r="D35">
        <f>Data_thang!E35</f>
        <v/>
      </c>
      <c r="E35">
        <f>Data_thang!F35</f>
        <v/>
      </c>
      <c r="F35">
        <f>Data_thang!G35</f>
        <v/>
      </c>
      <c r="G35" s="29">
        <f>Data_thang!J35-Data_thang!K35</f>
        <v/>
      </c>
      <c r="H35" s="29">
        <f>Data_thang!N35</f>
        <v/>
      </c>
      <c r="I35" s="29">
        <f>H35-G35</f>
        <v/>
      </c>
      <c r="J35" s="30">
        <f>IF(H35=0,IF(I35=0,0,1),I35/ABS(H35))</f>
        <v/>
      </c>
      <c r="K35" s="29">
        <f>H35-(Data_thang!O35-Data_thang!K35)</f>
        <v/>
      </c>
      <c r="L35">
        <f>IF(AND(ABS(I35)&gt;Dashboard!$G$6,ABS(J35)&gt;Dashboard!$H$6),"⚠ Vượt","")</f>
        <v/>
      </c>
      <c r="M35">
        <f>IF(AND(A35=Dashboard!$D$6,OR(Dashboard!$C$6="*",F35=Dashboard!$C$6),L35&lt;&gt;""),ABS(I35)+ROW()/1000000000,0)</f>
        <v/>
      </c>
    </row>
    <row r="36">
      <c r="A36">
        <f>Data_thang!A36</f>
        <v/>
      </c>
      <c r="B36">
        <f>Data_thang!B36</f>
        <v/>
      </c>
      <c r="C36">
        <f>Data_thang!D36</f>
        <v/>
      </c>
      <c r="D36">
        <f>Data_thang!E36</f>
        <v/>
      </c>
      <c r="E36">
        <f>Data_thang!F36</f>
        <v/>
      </c>
      <c r="F36">
        <f>Data_thang!G36</f>
        <v/>
      </c>
      <c r="G36" s="29">
        <f>Data_thang!J36-Data_thang!K36</f>
        <v/>
      </c>
      <c r="H36" s="29">
        <f>Data_thang!N36</f>
        <v/>
      </c>
      <c r="I36" s="29">
        <f>H36-G36</f>
        <v/>
      </c>
      <c r="J36" s="30">
        <f>IF(H36=0,IF(I36=0,0,1),I36/ABS(H36))</f>
        <v/>
      </c>
      <c r="K36" s="29">
        <f>H36-(Data_thang!O36-Data_thang!K36)</f>
        <v/>
      </c>
      <c r="L36">
        <f>IF(AND(ABS(I36)&gt;Dashboard!$G$6,ABS(J36)&gt;Dashboard!$H$6),"⚠ Vượt","")</f>
        <v/>
      </c>
      <c r="M36">
        <f>IF(AND(A36=Dashboard!$D$6,OR(Dashboard!$C$6="*",F36=Dashboard!$C$6),L36&lt;&gt;""),ABS(I36)+ROW()/1000000000,0)</f>
        <v/>
      </c>
    </row>
    <row r="37">
      <c r="A37">
        <f>Data_thang!A37</f>
        <v/>
      </c>
      <c r="B37">
        <f>Data_thang!B37</f>
        <v/>
      </c>
      <c r="C37">
        <f>Data_thang!D37</f>
        <v/>
      </c>
      <c r="D37">
        <f>Data_thang!E37</f>
        <v/>
      </c>
      <c r="E37">
        <f>Data_thang!F37</f>
        <v/>
      </c>
      <c r="F37">
        <f>Data_thang!G37</f>
        <v/>
      </c>
      <c r="G37" s="29">
        <f>Data_thang!J37-Data_thang!K37</f>
        <v/>
      </c>
      <c r="H37" s="29">
        <f>Data_thang!N37</f>
        <v/>
      </c>
      <c r="I37" s="29">
        <f>H37-G37</f>
        <v/>
      </c>
      <c r="J37" s="30">
        <f>IF(H37=0,IF(I37=0,0,1),I37/ABS(H37))</f>
        <v/>
      </c>
      <c r="K37" s="29">
        <f>H37-(Data_thang!O37-Data_thang!K37)</f>
        <v/>
      </c>
      <c r="L37">
        <f>IF(AND(ABS(I37)&gt;Dashboard!$G$6,ABS(J37)&gt;Dashboard!$H$6),"⚠ Vượt","")</f>
        <v/>
      </c>
      <c r="M37">
        <f>IF(AND(A37=Dashboard!$D$6,OR(Dashboard!$C$6="*",F37=Dashboard!$C$6),L37&lt;&gt;""),ABS(I37)+ROW()/1000000000,0)</f>
        <v/>
      </c>
    </row>
    <row r="38">
      <c r="A38">
        <f>Data_thang!A38</f>
        <v/>
      </c>
      <c r="B38">
        <f>Data_thang!B38</f>
        <v/>
      </c>
      <c r="C38">
        <f>Data_thang!D38</f>
        <v/>
      </c>
      <c r="D38">
        <f>Data_thang!E38</f>
        <v/>
      </c>
      <c r="E38">
        <f>Data_thang!F38</f>
        <v/>
      </c>
      <c r="F38">
        <f>Data_thang!G38</f>
        <v/>
      </c>
      <c r="G38" s="29">
        <f>Data_thang!J38-Data_thang!K38</f>
        <v/>
      </c>
      <c r="H38" s="29">
        <f>Data_thang!N38</f>
        <v/>
      </c>
      <c r="I38" s="29">
        <f>H38-G38</f>
        <v/>
      </c>
      <c r="J38" s="30">
        <f>IF(H38=0,IF(I38=0,0,1),I38/ABS(H38))</f>
        <v/>
      </c>
      <c r="K38" s="29">
        <f>H38-(Data_thang!O38-Data_thang!K38)</f>
        <v/>
      </c>
      <c r="L38">
        <f>IF(AND(ABS(I38)&gt;Dashboard!$G$6,ABS(J38)&gt;Dashboard!$H$6),"⚠ Vượt","")</f>
        <v/>
      </c>
      <c r="M38">
        <f>IF(AND(A38=Dashboard!$D$6,OR(Dashboard!$C$6="*",F38=Dashboard!$C$6),L38&lt;&gt;""),ABS(I38)+ROW()/1000000000,0)</f>
        <v/>
      </c>
    </row>
    <row r="39">
      <c r="A39">
        <f>Data_thang!A39</f>
        <v/>
      </c>
      <c r="B39">
        <f>Data_thang!B39</f>
        <v/>
      </c>
      <c r="C39">
        <f>Data_thang!D39</f>
        <v/>
      </c>
      <c r="D39">
        <f>Data_thang!E39</f>
        <v/>
      </c>
      <c r="E39">
        <f>Data_thang!F39</f>
        <v/>
      </c>
      <c r="F39">
        <f>Data_thang!G39</f>
        <v/>
      </c>
      <c r="G39" s="29">
        <f>Data_thang!J39-Data_thang!K39</f>
        <v/>
      </c>
      <c r="H39" s="29">
        <f>Data_thang!N39</f>
        <v/>
      </c>
      <c r="I39" s="29">
        <f>H39-G39</f>
        <v/>
      </c>
      <c r="J39" s="30">
        <f>IF(H39=0,IF(I39=0,0,1),I39/ABS(H39))</f>
        <v/>
      </c>
      <c r="K39" s="29">
        <f>H39-(Data_thang!O39-Data_thang!K39)</f>
        <v/>
      </c>
      <c r="L39">
        <f>IF(AND(ABS(I39)&gt;Dashboard!$G$6,ABS(J39)&gt;Dashboard!$H$6),"⚠ Vượt","")</f>
        <v/>
      </c>
      <c r="M39">
        <f>IF(AND(A39=Dashboard!$D$6,OR(Dashboard!$C$6="*",F39=Dashboard!$C$6),L39&lt;&gt;""),ABS(I39)+ROW()/1000000000,0)</f>
        <v/>
      </c>
    </row>
    <row r="40">
      <c r="A40">
        <f>Data_thang!A40</f>
        <v/>
      </c>
      <c r="B40">
        <f>Data_thang!B40</f>
        <v/>
      </c>
      <c r="C40">
        <f>Data_thang!D40</f>
        <v/>
      </c>
      <c r="D40">
        <f>Data_thang!E40</f>
        <v/>
      </c>
      <c r="E40">
        <f>Data_thang!F40</f>
        <v/>
      </c>
      <c r="F40">
        <f>Data_thang!G40</f>
        <v/>
      </c>
      <c r="G40" s="29">
        <f>Data_thang!J40-Data_thang!K40</f>
        <v/>
      </c>
      <c r="H40" s="29">
        <f>Data_thang!N40</f>
        <v/>
      </c>
      <c r="I40" s="29">
        <f>H40-G40</f>
        <v/>
      </c>
      <c r="J40" s="30">
        <f>IF(H40=0,IF(I40=0,0,1),I40/ABS(H40))</f>
        <v/>
      </c>
      <c r="K40" s="29">
        <f>H40-(Data_thang!O40-Data_thang!K40)</f>
        <v/>
      </c>
      <c r="L40">
        <f>IF(AND(ABS(I40)&gt;Dashboard!$G$6,ABS(J40)&gt;Dashboard!$H$6),"⚠ Vượt","")</f>
        <v/>
      </c>
      <c r="M40">
        <f>IF(AND(A40=Dashboard!$D$6,OR(Dashboard!$C$6="*",F40=Dashboard!$C$6),L40&lt;&gt;""),ABS(I40)+ROW()/1000000000,0)</f>
        <v/>
      </c>
    </row>
    <row r="41">
      <c r="A41">
        <f>Data_thang!A41</f>
        <v/>
      </c>
      <c r="B41">
        <f>Data_thang!B41</f>
        <v/>
      </c>
      <c r="C41">
        <f>Data_thang!D41</f>
        <v/>
      </c>
      <c r="D41">
        <f>Data_thang!E41</f>
        <v/>
      </c>
      <c r="E41">
        <f>Data_thang!F41</f>
        <v/>
      </c>
      <c r="F41">
        <f>Data_thang!G41</f>
        <v/>
      </c>
      <c r="G41" s="29">
        <f>Data_thang!J41-Data_thang!K41</f>
        <v/>
      </c>
      <c r="H41" s="29">
        <f>Data_thang!N41</f>
        <v/>
      </c>
      <c r="I41" s="29">
        <f>H41-G41</f>
        <v/>
      </c>
      <c r="J41" s="30">
        <f>IF(H41=0,IF(I41=0,0,1),I41/ABS(H41))</f>
        <v/>
      </c>
      <c r="K41" s="29">
        <f>H41-(Data_thang!O41-Data_thang!K41)</f>
        <v/>
      </c>
      <c r="L41">
        <f>IF(AND(ABS(I41)&gt;Dashboard!$G$6,ABS(J41)&gt;Dashboard!$H$6),"⚠ Vượt","")</f>
        <v/>
      </c>
      <c r="M41">
        <f>IF(AND(A41=Dashboard!$D$6,OR(Dashboard!$C$6="*",F41=Dashboard!$C$6),L41&lt;&gt;""),ABS(I41)+ROW()/1000000000,0)</f>
        <v/>
      </c>
    </row>
    <row r="42">
      <c r="A42">
        <f>Data_thang!A42</f>
        <v/>
      </c>
      <c r="B42">
        <f>Data_thang!B42</f>
        <v/>
      </c>
      <c r="C42">
        <f>Data_thang!D42</f>
        <v/>
      </c>
      <c r="D42">
        <f>Data_thang!E42</f>
        <v/>
      </c>
      <c r="E42">
        <f>Data_thang!F42</f>
        <v/>
      </c>
      <c r="F42">
        <f>Data_thang!G42</f>
        <v/>
      </c>
      <c r="G42" s="29">
        <f>Data_thang!J42-Data_thang!K42</f>
        <v/>
      </c>
      <c r="H42" s="29">
        <f>Data_thang!N42</f>
        <v/>
      </c>
      <c r="I42" s="29">
        <f>H42-G42</f>
        <v/>
      </c>
      <c r="J42" s="30">
        <f>IF(H42=0,IF(I42=0,0,1),I42/ABS(H42))</f>
        <v/>
      </c>
      <c r="K42" s="29">
        <f>H42-(Data_thang!O42-Data_thang!K42)</f>
        <v/>
      </c>
      <c r="L42">
        <f>IF(AND(ABS(I42)&gt;Dashboard!$G$6,ABS(J42)&gt;Dashboard!$H$6),"⚠ Vượt","")</f>
        <v/>
      </c>
      <c r="M42">
        <f>IF(AND(A42=Dashboard!$D$6,OR(Dashboard!$C$6="*",F42=Dashboard!$C$6),L42&lt;&gt;""),ABS(I42)+ROW()/1000000000,0)</f>
        <v/>
      </c>
    </row>
    <row r="43">
      <c r="A43">
        <f>Data_thang!A43</f>
        <v/>
      </c>
      <c r="B43">
        <f>Data_thang!B43</f>
        <v/>
      </c>
      <c r="C43">
        <f>Data_thang!D43</f>
        <v/>
      </c>
      <c r="D43">
        <f>Data_thang!E43</f>
        <v/>
      </c>
      <c r="E43">
        <f>Data_thang!F43</f>
        <v/>
      </c>
      <c r="F43">
        <f>Data_thang!G43</f>
        <v/>
      </c>
      <c r="G43" s="29">
        <f>Data_thang!J43-Data_thang!K43</f>
        <v/>
      </c>
      <c r="H43" s="29">
        <f>Data_thang!N43</f>
        <v/>
      </c>
      <c r="I43" s="29">
        <f>H43-G43</f>
        <v/>
      </c>
      <c r="J43" s="30">
        <f>IF(H43=0,IF(I43=0,0,1),I43/ABS(H43))</f>
        <v/>
      </c>
      <c r="K43" s="29">
        <f>H43-(Data_thang!O43-Data_thang!K43)</f>
        <v/>
      </c>
      <c r="L43">
        <f>IF(AND(ABS(I43)&gt;Dashboard!$G$6,ABS(J43)&gt;Dashboard!$H$6),"⚠ Vượt","")</f>
        <v/>
      </c>
      <c r="M43">
        <f>IF(AND(A43=Dashboard!$D$6,OR(Dashboard!$C$6="*",F43=Dashboard!$C$6),L43&lt;&gt;""),ABS(I43)+ROW()/1000000000,0)</f>
        <v/>
      </c>
    </row>
    <row r="44">
      <c r="A44">
        <f>Data_thang!A44</f>
        <v/>
      </c>
      <c r="B44">
        <f>Data_thang!B44</f>
        <v/>
      </c>
      <c r="C44">
        <f>Data_thang!D44</f>
        <v/>
      </c>
      <c r="D44">
        <f>Data_thang!E44</f>
        <v/>
      </c>
      <c r="E44">
        <f>Data_thang!F44</f>
        <v/>
      </c>
      <c r="F44">
        <f>Data_thang!G44</f>
        <v/>
      </c>
      <c r="G44" s="29">
        <f>Data_thang!J44-Data_thang!K44</f>
        <v/>
      </c>
      <c r="H44" s="29">
        <f>Data_thang!N44</f>
        <v/>
      </c>
      <c r="I44" s="29">
        <f>H44-G44</f>
        <v/>
      </c>
      <c r="J44" s="30">
        <f>IF(H44=0,IF(I44=0,0,1),I44/ABS(H44))</f>
        <v/>
      </c>
      <c r="K44" s="29">
        <f>H44-(Data_thang!O44-Data_thang!K44)</f>
        <v/>
      </c>
      <c r="L44">
        <f>IF(AND(ABS(I44)&gt;Dashboard!$G$6,ABS(J44)&gt;Dashboard!$H$6),"⚠ Vượt","")</f>
        <v/>
      </c>
      <c r="M44">
        <f>IF(AND(A44=Dashboard!$D$6,OR(Dashboard!$C$6="*",F44=Dashboard!$C$6),L44&lt;&gt;""),ABS(I44)+ROW()/1000000000,0)</f>
        <v/>
      </c>
    </row>
    <row r="45">
      <c r="A45">
        <f>Data_thang!A45</f>
        <v/>
      </c>
      <c r="B45">
        <f>Data_thang!B45</f>
        <v/>
      </c>
      <c r="C45">
        <f>Data_thang!D45</f>
        <v/>
      </c>
      <c r="D45">
        <f>Data_thang!E45</f>
        <v/>
      </c>
      <c r="E45">
        <f>Data_thang!F45</f>
        <v/>
      </c>
      <c r="F45">
        <f>Data_thang!G45</f>
        <v/>
      </c>
      <c r="G45" s="29">
        <f>Data_thang!J45-Data_thang!K45</f>
        <v/>
      </c>
      <c r="H45" s="29">
        <f>Data_thang!N45</f>
        <v/>
      </c>
      <c r="I45" s="29">
        <f>H45-G45</f>
        <v/>
      </c>
      <c r="J45" s="30">
        <f>IF(H45=0,IF(I45=0,0,1),I45/ABS(H45))</f>
        <v/>
      </c>
      <c r="K45" s="29">
        <f>H45-(Data_thang!O45-Data_thang!K45)</f>
        <v/>
      </c>
      <c r="L45">
        <f>IF(AND(ABS(I45)&gt;Dashboard!$G$6,ABS(J45)&gt;Dashboard!$H$6),"⚠ Vượt","")</f>
        <v/>
      </c>
      <c r="M45">
        <f>IF(AND(A45=Dashboard!$D$6,OR(Dashboard!$C$6="*",F45=Dashboard!$C$6),L45&lt;&gt;""),ABS(I45)+ROW()/1000000000,0)</f>
        <v/>
      </c>
    </row>
    <row r="46">
      <c r="A46">
        <f>Data_thang!A46</f>
        <v/>
      </c>
      <c r="B46">
        <f>Data_thang!B46</f>
        <v/>
      </c>
      <c r="C46">
        <f>Data_thang!D46</f>
        <v/>
      </c>
      <c r="D46">
        <f>Data_thang!E46</f>
        <v/>
      </c>
      <c r="E46">
        <f>Data_thang!F46</f>
        <v/>
      </c>
      <c r="F46">
        <f>Data_thang!G46</f>
        <v/>
      </c>
      <c r="G46" s="29">
        <f>Data_thang!J46-Data_thang!K46</f>
        <v/>
      </c>
      <c r="H46" s="29">
        <f>Data_thang!N46</f>
        <v/>
      </c>
      <c r="I46" s="29">
        <f>H46-G46</f>
        <v/>
      </c>
      <c r="J46" s="30">
        <f>IF(H46=0,IF(I46=0,0,1),I46/ABS(H46))</f>
        <v/>
      </c>
      <c r="K46" s="29">
        <f>H46-(Data_thang!O46-Data_thang!K46)</f>
        <v/>
      </c>
      <c r="L46">
        <f>IF(AND(ABS(I46)&gt;Dashboard!$G$6,ABS(J46)&gt;Dashboard!$H$6),"⚠ Vượt","")</f>
        <v/>
      </c>
      <c r="M46">
        <f>IF(AND(A46=Dashboard!$D$6,OR(Dashboard!$C$6="*",F46=Dashboard!$C$6),L46&lt;&gt;""),ABS(I46)+ROW()/1000000000,0)</f>
        <v/>
      </c>
    </row>
    <row r="47">
      <c r="A47">
        <f>Data_thang!A47</f>
        <v/>
      </c>
      <c r="B47">
        <f>Data_thang!B47</f>
        <v/>
      </c>
      <c r="C47">
        <f>Data_thang!D47</f>
        <v/>
      </c>
      <c r="D47">
        <f>Data_thang!E47</f>
        <v/>
      </c>
      <c r="E47">
        <f>Data_thang!F47</f>
        <v/>
      </c>
      <c r="F47">
        <f>Data_thang!G47</f>
        <v/>
      </c>
      <c r="G47" s="29">
        <f>Data_thang!J47-Data_thang!K47</f>
        <v/>
      </c>
      <c r="H47" s="29">
        <f>Data_thang!N47</f>
        <v/>
      </c>
      <c r="I47" s="29">
        <f>H47-G47</f>
        <v/>
      </c>
      <c r="J47" s="30">
        <f>IF(H47=0,IF(I47=0,0,1),I47/ABS(H47))</f>
        <v/>
      </c>
      <c r="K47" s="29">
        <f>H47-(Data_thang!O47-Data_thang!K47)</f>
        <v/>
      </c>
      <c r="L47">
        <f>IF(AND(ABS(I47)&gt;Dashboard!$G$6,ABS(J47)&gt;Dashboard!$H$6),"⚠ Vượt","")</f>
        <v/>
      </c>
      <c r="M47">
        <f>IF(AND(A47=Dashboard!$D$6,OR(Dashboard!$C$6="*",F47=Dashboard!$C$6),L47&lt;&gt;""),ABS(I47)+ROW()/1000000000,0)</f>
        <v/>
      </c>
    </row>
    <row r="48">
      <c r="A48">
        <f>Data_thang!A48</f>
        <v/>
      </c>
      <c r="B48">
        <f>Data_thang!B48</f>
        <v/>
      </c>
      <c r="C48">
        <f>Data_thang!D48</f>
        <v/>
      </c>
      <c r="D48">
        <f>Data_thang!E48</f>
        <v/>
      </c>
      <c r="E48">
        <f>Data_thang!F48</f>
        <v/>
      </c>
      <c r="F48">
        <f>Data_thang!G48</f>
        <v/>
      </c>
      <c r="G48" s="29">
        <f>Data_thang!J48-Data_thang!K48</f>
        <v/>
      </c>
      <c r="H48" s="29">
        <f>Data_thang!N48</f>
        <v/>
      </c>
      <c r="I48" s="29">
        <f>H48-G48</f>
        <v/>
      </c>
      <c r="J48" s="30">
        <f>IF(H48=0,IF(I48=0,0,1),I48/ABS(H48))</f>
        <v/>
      </c>
      <c r="K48" s="29">
        <f>H48-(Data_thang!O48-Data_thang!K48)</f>
        <v/>
      </c>
      <c r="L48">
        <f>IF(AND(ABS(I48)&gt;Dashboard!$G$6,ABS(J48)&gt;Dashboard!$H$6),"⚠ Vượt","")</f>
        <v/>
      </c>
      <c r="M48">
        <f>IF(AND(A48=Dashboard!$D$6,OR(Dashboard!$C$6="*",F48=Dashboard!$C$6),L48&lt;&gt;""),ABS(I48)+ROW()/1000000000,0)</f>
        <v/>
      </c>
    </row>
    <row r="49">
      <c r="A49">
        <f>Data_thang!A49</f>
        <v/>
      </c>
      <c r="B49">
        <f>Data_thang!B49</f>
        <v/>
      </c>
      <c r="C49">
        <f>Data_thang!D49</f>
        <v/>
      </c>
      <c r="D49">
        <f>Data_thang!E49</f>
        <v/>
      </c>
      <c r="E49">
        <f>Data_thang!F49</f>
        <v/>
      </c>
      <c r="F49">
        <f>Data_thang!G49</f>
        <v/>
      </c>
      <c r="G49" s="29">
        <f>Data_thang!J49-Data_thang!K49</f>
        <v/>
      </c>
      <c r="H49" s="29">
        <f>Data_thang!N49</f>
        <v/>
      </c>
      <c r="I49" s="29">
        <f>H49-G49</f>
        <v/>
      </c>
      <c r="J49" s="30">
        <f>IF(H49=0,IF(I49=0,0,1),I49/ABS(H49))</f>
        <v/>
      </c>
      <c r="K49" s="29">
        <f>H49-(Data_thang!O49-Data_thang!K49)</f>
        <v/>
      </c>
      <c r="L49">
        <f>IF(AND(ABS(I49)&gt;Dashboard!$G$6,ABS(J49)&gt;Dashboard!$H$6),"⚠ Vượt","")</f>
        <v/>
      </c>
      <c r="M49">
        <f>IF(AND(A49=Dashboard!$D$6,OR(Dashboard!$C$6="*",F49=Dashboard!$C$6),L49&lt;&gt;""),ABS(I49)+ROW()/1000000000,0)</f>
        <v/>
      </c>
    </row>
    <row r="50">
      <c r="A50">
        <f>Data_thang!A50</f>
        <v/>
      </c>
      <c r="B50">
        <f>Data_thang!B50</f>
        <v/>
      </c>
      <c r="C50">
        <f>Data_thang!D50</f>
        <v/>
      </c>
      <c r="D50">
        <f>Data_thang!E50</f>
        <v/>
      </c>
      <c r="E50">
        <f>Data_thang!F50</f>
        <v/>
      </c>
      <c r="F50">
        <f>Data_thang!G50</f>
        <v/>
      </c>
      <c r="G50" s="29">
        <f>Data_thang!J50-Data_thang!K50</f>
        <v/>
      </c>
      <c r="H50" s="29">
        <f>Data_thang!N50</f>
        <v/>
      </c>
      <c r="I50" s="29">
        <f>H50-G50</f>
        <v/>
      </c>
      <c r="J50" s="30">
        <f>IF(H50=0,IF(I50=0,0,1),I50/ABS(H50))</f>
        <v/>
      </c>
      <c r="K50" s="29">
        <f>H50-(Data_thang!O50-Data_thang!K50)</f>
        <v/>
      </c>
      <c r="L50">
        <f>IF(AND(ABS(I50)&gt;Dashboard!$G$6,ABS(J50)&gt;Dashboard!$H$6),"⚠ Vượt","")</f>
        <v/>
      </c>
      <c r="M50">
        <f>IF(AND(A50=Dashboard!$D$6,OR(Dashboard!$C$6="*",F50=Dashboard!$C$6),L50&lt;&gt;""),ABS(I50)+ROW()/1000000000,0)</f>
        <v/>
      </c>
    </row>
    <row r="51">
      <c r="A51">
        <f>Data_thang!A51</f>
        <v/>
      </c>
      <c r="B51">
        <f>Data_thang!B51</f>
        <v/>
      </c>
      <c r="C51">
        <f>Data_thang!D51</f>
        <v/>
      </c>
      <c r="D51">
        <f>Data_thang!E51</f>
        <v/>
      </c>
      <c r="E51">
        <f>Data_thang!F51</f>
        <v/>
      </c>
      <c r="F51">
        <f>Data_thang!G51</f>
        <v/>
      </c>
      <c r="G51" s="29">
        <f>Data_thang!J51-Data_thang!K51</f>
        <v/>
      </c>
      <c r="H51" s="29">
        <f>Data_thang!N51</f>
        <v/>
      </c>
      <c r="I51" s="29">
        <f>H51-G51</f>
        <v/>
      </c>
      <c r="J51" s="30">
        <f>IF(H51=0,IF(I51=0,0,1),I51/ABS(H51))</f>
        <v/>
      </c>
      <c r="K51" s="29">
        <f>H51-(Data_thang!O51-Data_thang!K51)</f>
        <v/>
      </c>
      <c r="L51">
        <f>IF(AND(ABS(I51)&gt;Dashboard!$G$6,ABS(J51)&gt;Dashboard!$H$6),"⚠ Vượt","")</f>
        <v/>
      </c>
      <c r="M51">
        <f>IF(AND(A51=Dashboard!$D$6,OR(Dashboard!$C$6="*",F51=Dashboard!$C$6),L51&lt;&gt;""),ABS(I51)+ROW()/1000000000,0)</f>
        <v/>
      </c>
    </row>
    <row r="52">
      <c r="A52">
        <f>Data_thang!A52</f>
        <v/>
      </c>
      <c r="B52">
        <f>Data_thang!B52</f>
        <v/>
      </c>
      <c r="C52">
        <f>Data_thang!D52</f>
        <v/>
      </c>
      <c r="D52">
        <f>Data_thang!E52</f>
        <v/>
      </c>
      <c r="E52">
        <f>Data_thang!F52</f>
        <v/>
      </c>
      <c r="F52">
        <f>Data_thang!G52</f>
        <v/>
      </c>
      <c r="G52" s="29">
        <f>Data_thang!J52-Data_thang!K52</f>
        <v/>
      </c>
      <c r="H52" s="29">
        <f>Data_thang!N52</f>
        <v/>
      </c>
      <c r="I52" s="29">
        <f>H52-G52</f>
        <v/>
      </c>
      <c r="J52" s="30">
        <f>IF(H52=0,IF(I52=0,0,1),I52/ABS(H52))</f>
        <v/>
      </c>
      <c r="K52" s="29">
        <f>H52-(Data_thang!O52-Data_thang!K52)</f>
        <v/>
      </c>
      <c r="L52">
        <f>IF(AND(ABS(I52)&gt;Dashboard!$G$6,ABS(J52)&gt;Dashboard!$H$6),"⚠ Vượt","")</f>
        <v/>
      </c>
      <c r="M52">
        <f>IF(AND(A52=Dashboard!$D$6,OR(Dashboard!$C$6="*",F52=Dashboard!$C$6),L52&lt;&gt;""),ABS(I52)+ROW()/1000000000,0)</f>
        <v/>
      </c>
    </row>
    <row r="53">
      <c r="A53">
        <f>Data_thang!A53</f>
        <v/>
      </c>
      <c r="B53">
        <f>Data_thang!B53</f>
        <v/>
      </c>
      <c r="C53">
        <f>Data_thang!D53</f>
        <v/>
      </c>
      <c r="D53">
        <f>Data_thang!E53</f>
        <v/>
      </c>
      <c r="E53">
        <f>Data_thang!F53</f>
        <v/>
      </c>
      <c r="F53">
        <f>Data_thang!G53</f>
        <v/>
      </c>
      <c r="G53" s="29">
        <f>Data_thang!J53-Data_thang!K53</f>
        <v/>
      </c>
      <c r="H53" s="29">
        <f>Data_thang!N53</f>
        <v/>
      </c>
      <c r="I53" s="29">
        <f>H53-G53</f>
        <v/>
      </c>
      <c r="J53" s="30">
        <f>IF(H53=0,IF(I53=0,0,1),I53/ABS(H53))</f>
        <v/>
      </c>
      <c r="K53" s="29">
        <f>H53-(Data_thang!O53-Data_thang!K53)</f>
        <v/>
      </c>
      <c r="L53">
        <f>IF(AND(ABS(I53)&gt;Dashboard!$G$6,ABS(J53)&gt;Dashboard!$H$6),"⚠ Vượt","")</f>
        <v/>
      </c>
      <c r="M53">
        <f>IF(AND(A53=Dashboard!$D$6,OR(Dashboard!$C$6="*",F53=Dashboard!$C$6),L53&lt;&gt;""),ABS(I53)+ROW()/1000000000,0)</f>
        <v/>
      </c>
    </row>
    <row r="54">
      <c r="A54">
        <f>Data_thang!A54</f>
        <v/>
      </c>
      <c r="B54">
        <f>Data_thang!B54</f>
        <v/>
      </c>
      <c r="C54">
        <f>Data_thang!D54</f>
        <v/>
      </c>
      <c r="D54">
        <f>Data_thang!E54</f>
        <v/>
      </c>
      <c r="E54">
        <f>Data_thang!F54</f>
        <v/>
      </c>
      <c r="F54">
        <f>Data_thang!G54</f>
        <v/>
      </c>
      <c r="G54" s="29">
        <f>Data_thang!J54-Data_thang!K54</f>
        <v/>
      </c>
      <c r="H54" s="29">
        <f>Data_thang!N54</f>
        <v/>
      </c>
      <c r="I54" s="29">
        <f>H54-G54</f>
        <v/>
      </c>
      <c r="J54" s="30">
        <f>IF(H54=0,IF(I54=0,0,1),I54/ABS(H54))</f>
        <v/>
      </c>
      <c r="K54" s="29">
        <f>H54-(Data_thang!O54-Data_thang!K54)</f>
        <v/>
      </c>
      <c r="L54">
        <f>IF(AND(ABS(I54)&gt;Dashboard!$G$6,ABS(J54)&gt;Dashboard!$H$6),"⚠ Vượt","")</f>
        <v/>
      </c>
      <c r="M54">
        <f>IF(AND(A54=Dashboard!$D$6,OR(Dashboard!$C$6="*",F54=Dashboard!$C$6),L54&lt;&gt;""),ABS(I54)+ROW()/1000000000,0)</f>
        <v/>
      </c>
    </row>
    <row r="55">
      <c r="A55">
        <f>Data_thang!A55</f>
        <v/>
      </c>
      <c r="B55">
        <f>Data_thang!B55</f>
        <v/>
      </c>
      <c r="C55">
        <f>Data_thang!D55</f>
        <v/>
      </c>
      <c r="D55">
        <f>Data_thang!E55</f>
        <v/>
      </c>
      <c r="E55">
        <f>Data_thang!F55</f>
        <v/>
      </c>
      <c r="F55">
        <f>Data_thang!G55</f>
        <v/>
      </c>
      <c r="G55" s="29">
        <f>Data_thang!J55-Data_thang!K55</f>
        <v/>
      </c>
      <c r="H55" s="29">
        <f>Data_thang!N55</f>
        <v/>
      </c>
      <c r="I55" s="29">
        <f>H55-G55</f>
        <v/>
      </c>
      <c r="J55" s="30">
        <f>IF(H55=0,IF(I55=0,0,1),I55/ABS(H55))</f>
        <v/>
      </c>
      <c r="K55" s="29">
        <f>H55-(Data_thang!O55-Data_thang!K55)</f>
        <v/>
      </c>
      <c r="L55">
        <f>IF(AND(ABS(I55)&gt;Dashboard!$G$6,ABS(J55)&gt;Dashboard!$H$6),"⚠ Vượt","")</f>
        <v/>
      </c>
      <c r="M55">
        <f>IF(AND(A55=Dashboard!$D$6,OR(Dashboard!$C$6="*",F55=Dashboard!$C$6),L55&lt;&gt;""),ABS(I55)+ROW()/1000000000,0)</f>
        <v/>
      </c>
    </row>
    <row r="56">
      <c r="A56">
        <f>Data_thang!A56</f>
        <v/>
      </c>
      <c r="B56">
        <f>Data_thang!B56</f>
        <v/>
      </c>
      <c r="C56">
        <f>Data_thang!D56</f>
        <v/>
      </c>
      <c r="D56">
        <f>Data_thang!E56</f>
        <v/>
      </c>
      <c r="E56">
        <f>Data_thang!F56</f>
        <v/>
      </c>
      <c r="F56">
        <f>Data_thang!G56</f>
        <v/>
      </c>
      <c r="G56" s="29">
        <f>Data_thang!J56-Data_thang!K56</f>
        <v/>
      </c>
      <c r="H56" s="29">
        <f>Data_thang!N56</f>
        <v/>
      </c>
      <c r="I56" s="29">
        <f>H56-G56</f>
        <v/>
      </c>
      <c r="J56" s="30">
        <f>IF(H56=0,IF(I56=0,0,1),I56/ABS(H56))</f>
        <v/>
      </c>
      <c r="K56" s="29">
        <f>H56-(Data_thang!O56-Data_thang!K56)</f>
        <v/>
      </c>
      <c r="L56">
        <f>IF(AND(ABS(I56)&gt;Dashboard!$G$6,ABS(J56)&gt;Dashboard!$H$6),"⚠ Vượt","")</f>
        <v/>
      </c>
      <c r="M56">
        <f>IF(AND(A56=Dashboard!$D$6,OR(Dashboard!$C$6="*",F56=Dashboard!$C$6),L56&lt;&gt;""),ABS(I56)+ROW()/1000000000,0)</f>
        <v/>
      </c>
    </row>
    <row r="57">
      <c r="A57">
        <f>Data_thang!A57</f>
        <v/>
      </c>
      <c r="B57">
        <f>Data_thang!B57</f>
        <v/>
      </c>
      <c r="C57">
        <f>Data_thang!D57</f>
        <v/>
      </c>
      <c r="D57">
        <f>Data_thang!E57</f>
        <v/>
      </c>
      <c r="E57">
        <f>Data_thang!F57</f>
        <v/>
      </c>
      <c r="F57">
        <f>Data_thang!G57</f>
        <v/>
      </c>
      <c r="G57" s="29">
        <f>Data_thang!J57-Data_thang!K57</f>
        <v/>
      </c>
      <c r="H57" s="29">
        <f>Data_thang!N57</f>
        <v/>
      </c>
      <c r="I57" s="29">
        <f>H57-G57</f>
        <v/>
      </c>
      <c r="J57" s="30">
        <f>IF(H57=0,IF(I57=0,0,1),I57/ABS(H57))</f>
        <v/>
      </c>
      <c r="K57" s="29">
        <f>H57-(Data_thang!O57-Data_thang!K57)</f>
        <v/>
      </c>
      <c r="L57">
        <f>IF(AND(ABS(I57)&gt;Dashboard!$G$6,ABS(J57)&gt;Dashboard!$H$6),"⚠ Vượt","")</f>
        <v/>
      </c>
      <c r="M57">
        <f>IF(AND(A57=Dashboard!$D$6,OR(Dashboard!$C$6="*",F57=Dashboard!$C$6),L57&lt;&gt;""),ABS(I57)+ROW()/1000000000,0)</f>
        <v/>
      </c>
    </row>
    <row r="58">
      <c r="A58">
        <f>Data_thang!A58</f>
        <v/>
      </c>
      <c r="B58">
        <f>Data_thang!B58</f>
        <v/>
      </c>
      <c r="C58">
        <f>Data_thang!D58</f>
        <v/>
      </c>
      <c r="D58">
        <f>Data_thang!E58</f>
        <v/>
      </c>
      <c r="E58">
        <f>Data_thang!F58</f>
        <v/>
      </c>
      <c r="F58">
        <f>Data_thang!G58</f>
        <v/>
      </c>
      <c r="G58" s="29">
        <f>Data_thang!J58-Data_thang!K58</f>
        <v/>
      </c>
      <c r="H58" s="29">
        <f>Data_thang!N58</f>
        <v/>
      </c>
      <c r="I58" s="29">
        <f>H58-G58</f>
        <v/>
      </c>
      <c r="J58" s="30">
        <f>IF(H58=0,IF(I58=0,0,1),I58/ABS(H58))</f>
        <v/>
      </c>
      <c r="K58" s="29">
        <f>H58-(Data_thang!O58-Data_thang!K58)</f>
        <v/>
      </c>
      <c r="L58">
        <f>IF(AND(ABS(I58)&gt;Dashboard!$G$6,ABS(J58)&gt;Dashboard!$H$6),"⚠ Vượt","")</f>
        <v/>
      </c>
      <c r="M58">
        <f>IF(AND(A58=Dashboard!$D$6,OR(Dashboard!$C$6="*",F58=Dashboard!$C$6),L58&lt;&gt;""),ABS(I58)+ROW()/1000000000,0)</f>
        <v/>
      </c>
    </row>
    <row r="59">
      <c r="A59">
        <f>Data_thang!A59</f>
        <v/>
      </c>
      <c r="B59">
        <f>Data_thang!B59</f>
        <v/>
      </c>
      <c r="C59">
        <f>Data_thang!D59</f>
        <v/>
      </c>
      <c r="D59">
        <f>Data_thang!E59</f>
        <v/>
      </c>
      <c r="E59">
        <f>Data_thang!F59</f>
        <v/>
      </c>
      <c r="F59">
        <f>Data_thang!G59</f>
        <v/>
      </c>
      <c r="G59" s="29">
        <f>Data_thang!J59-Data_thang!K59</f>
        <v/>
      </c>
      <c r="H59" s="29">
        <f>Data_thang!N59</f>
        <v/>
      </c>
      <c r="I59" s="29">
        <f>H59-G59</f>
        <v/>
      </c>
      <c r="J59" s="30">
        <f>IF(H59=0,IF(I59=0,0,1),I59/ABS(H59))</f>
        <v/>
      </c>
      <c r="K59" s="29">
        <f>H59-(Data_thang!O59-Data_thang!K59)</f>
        <v/>
      </c>
      <c r="L59">
        <f>IF(AND(ABS(I59)&gt;Dashboard!$G$6,ABS(J59)&gt;Dashboard!$H$6),"⚠ Vượt","")</f>
        <v/>
      </c>
      <c r="M59">
        <f>IF(AND(A59=Dashboard!$D$6,OR(Dashboard!$C$6="*",F59=Dashboard!$C$6),L59&lt;&gt;""),ABS(I59)+ROW()/1000000000,0)</f>
        <v/>
      </c>
    </row>
    <row r="60">
      <c r="A60">
        <f>Data_thang!A60</f>
        <v/>
      </c>
      <c r="B60">
        <f>Data_thang!B60</f>
        <v/>
      </c>
      <c r="C60">
        <f>Data_thang!D60</f>
        <v/>
      </c>
      <c r="D60">
        <f>Data_thang!E60</f>
        <v/>
      </c>
      <c r="E60">
        <f>Data_thang!F60</f>
        <v/>
      </c>
      <c r="F60">
        <f>Data_thang!G60</f>
        <v/>
      </c>
      <c r="G60" s="29">
        <f>Data_thang!J60-Data_thang!K60</f>
        <v/>
      </c>
      <c r="H60" s="29">
        <f>Data_thang!N60</f>
        <v/>
      </c>
      <c r="I60" s="29">
        <f>H60-G60</f>
        <v/>
      </c>
      <c r="J60" s="30">
        <f>IF(H60=0,IF(I60=0,0,1),I60/ABS(H60))</f>
        <v/>
      </c>
      <c r="K60" s="29">
        <f>H60-(Data_thang!O60-Data_thang!K60)</f>
        <v/>
      </c>
      <c r="L60">
        <f>IF(AND(ABS(I60)&gt;Dashboard!$G$6,ABS(J60)&gt;Dashboard!$H$6),"⚠ Vượt","")</f>
        <v/>
      </c>
      <c r="M60">
        <f>IF(AND(A60=Dashboard!$D$6,OR(Dashboard!$C$6="*",F60=Dashboard!$C$6),L60&lt;&gt;""),ABS(I60)+ROW()/1000000000,0)</f>
        <v/>
      </c>
    </row>
    <row r="61">
      <c r="A61">
        <f>Data_thang!A61</f>
        <v/>
      </c>
      <c r="B61">
        <f>Data_thang!B61</f>
        <v/>
      </c>
      <c r="C61">
        <f>Data_thang!D61</f>
        <v/>
      </c>
      <c r="D61">
        <f>Data_thang!E61</f>
        <v/>
      </c>
      <c r="E61">
        <f>Data_thang!F61</f>
        <v/>
      </c>
      <c r="F61">
        <f>Data_thang!G61</f>
        <v/>
      </c>
      <c r="G61" s="29">
        <f>Data_thang!J61-Data_thang!K61</f>
        <v/>
      </c>
      <c r="H61" s="29">
        <f>Data_thang!N61</f>
        <v/>
      </c>
      <c r="I61" s="29">
        <f>H61-G61</f>
        <v/>
      </c>
      <c r="J61" s="30">
        <f>IF(H61=0,IF(I61=0,0,1),I61/ABS(H61))</f>
        <v/>
      </c>
      <c r="K61" s="29">
        <f>H61-(Data_thang!O61-Data_thang!K61)</f>
        <v/>
      </c>
      <c r="L61">
        <f>IF(AND(ABS(I61)&gt;Dashboard!$G$6,ABS(J61)&gt;Dashboard!$H$6),"⚠ Vượt","")</f>
        <v/>
      </c>
      <c r="M61">
        <f>IF(AND(A61=Dashboard!$D$6,OR(Dashboard!$C$6="*",F61=Dashboard!$C$6),L61&lt;&gt;""),ABS(I61)+ROW()/1000000000,0)</f>
        <v/>
      </c>
    </row>
    <row r="62">
      <c r="A62">
        <f>Data_thang!A62</f>
        <v/>
      </c>
      <c r="B62">
        <f>Data_thang!B62</f>
        <v/>
      </c>
      <c r="C62">
        <f>Data_thang!D62</f>
        <v/>
      </c>
      <c r="D62">
        <f>Data_thang!E62</f>
        <v/>
      </c>
      <c r="E62">
        <f>Data_thang!F62</f>
        <v/>
      </c>
      <c r="F62">
        <f>Data_thang!G62</f>
        <v/>
      </c>
      <c r="G62" s="29">
        <f>Data_thang!J62-Data_thang!K62</f>
        <v/>
      </c>
      <c r="H62" s="29">
        <f>Data_thang!N62</f>
        <v/>
      </c>
      <c r="I62" s="29">
        <f>H62-G62</f>
        <v/>
      </c>
      <c r="J62" s="30">
        <f>IF(H62=0,IF(I62=0,0,1),I62/ABS(H62))</f>
        <v/>
      </c>
      <c r="K62" s="29">
        <f>H62-(Data_thang!O62-Data_thang!K62)</f>
        <v/>
      </c>
      <c r="L62">
        <f>IF(AND(ABS(I62)&gt;Dashboard!$G$6,ABS(J62)&gt;Dashboard!$H$6),"⚠ Vượt","")</f>
        <v/>
      </c>
      <c r="M62">
        <f>IF(AND(A62=Dashboard!$D$6,OR(Dashboard!$C$6="*",F62=Dashboard!$C$6),L62&lt;&gt;""),ABS(I62)+ROW()/1000000000,0)</f>
        <v/>
      </c>
    </row>
    <row r="63">
      <c r="A63">
        <f>Data_thang!A63</f>
        <v/>
      </c>
      <c r="B63">
        <f>Data_thang!B63</f>
        <v/>
      </c>
      <c r="C63">
        <f>Data_thang!D63</f>
        <v/>
      </c>
      <c r="D63">
        <f>Data_thang!E63</f>
        <v/>
      </c>
      <c r="E63">
        <f>Data_thang!F63</f>
        <v/>
      </c>
      <c r="F63">
        <f>Data_thang!G63</f>
        <v/>
      </c>
      <c r="G63" s="29">
        <f>Data_thang!J63-Data_thang!K63</f>
        <v/>
      </c>
      <c r="H63" s="29">
        <f>Data_thang!N63</f>
        <v/>
      </c>
      <c r="I63" s="29">
        <f>H63-G63</f>
        <v/>
      </c>
      <c r="J63" s="30">
        <f>IF(H63=0,IF(I63=0,0,1),I63/ABS(H63))</f>
        <v/>
      </c>
      <c r="K63" s="29">
        <f>H63-(Data_thang!O63-Data_thang!K63)</f>
        <v/>
      </c>
      <c r="L63">
        <f>IF(AND(ABS(I63)&gt;Dashboard!$G$6,ABS(J63)&gt;Dashboard!$H$6),"⚠ Vượt","")</f>
        <v/>
      </c>
      <c r="M63">
        <f>IF(AND(A63=Dashboard!$D$6,OR(Dashboard!$C$6="*",F63=Dashboard!$C$6),L63&lt;&gt;""),ABS(I63)+ROW()/1000000000,0)</f>
        <v/>
      </c>
    </row>
    <row r="64">
      <c r="A64">
        <f>Data_thang!A64</f>
        <v/>
      </c>
      <c r="B64">
        <f>Data_thang!B64</f>
        <v/>
      </c>
      <c r="C64">
        <f>Data_thang!D64</f>
        <v/>
      </c>
      <c r="D64">
        <f>Data_thang!E64</f>
        <v/>
      </c>
      <c r="E64">
        <f>Data_thang!F64</f>
        <v/>
      </c>
      <c r="F64">
        <f>Data_thang!G64</f>
        <v/>
      </c>
      <c r="G64" s="29">
        <f>Data_thang!J64-Data_thang!K64</f>
        <v/>
      </c>
      <c r="H64" s="29">
        <f>Data_thang!N64</f>
        <v/>
      </c>
      <c r="I64" s="29">
        <f>H64-G64</f>
        <v/>
      </c>
      <c r="J64" s="30">
        <f>IF(H64=0,IF(I64=0,0,1),I64/ABS(H64))</f>
        <v/>
      </c>
      <c r="K64" s="29">
        <f>H64-(Data_thang!O64-Data_thang!K64)</f>
        <v/>
      </c>
      <c r="L64">
        <f>IF(AND(ABS(I64)&gt;Dashboard!$G$6,ABS(J64)&gt;Dashboard!$H$6),"⚠ Vượt","")</f>
        <v/>
      </c>
      <c r="M64">
        <f>IF(AND(A64=Dashboard!$D$6,OR(Dashboard!$C$6="*",F64=Dashboard!$C$6),L64&lt;&gt;""),ABS(I64)+ROW()/1000000000,0)</f>
        <v/>
      </c>
    </row>
    <row r="65">
      <c r="A65">
        <f>Data_thang!A65</f>
        <v/>
      </c>
      <c r="B65">
        <f>Data_thang!B65</f>
        <v/>
      </c>
      <c r="C65">
        <f>Data_thang!D65</f>
        <v/>
      </c>
      <c r="D65">
        <f>Data_thang!E65</f>
        <v/>
      </c>
      <c r="E65">
        <f>Data_thang!F65</f>
        <v/>
      </c>
      <c r="F65">
        <f>Data_thang!G65</f>
        <v/>
      </c>
      <c r="G65" s="29">
        <f>Data_thang!J65-Data_thang!K65</f>
        <v/>
      </c>
      <c r="H65" s="29">
        <f>Data_thang!N65</f>
        <v/>
      </c>
      <c r="I65" s="29">
        <f>H65-G65</f>
        <v/>
      </c>
      <c r="J65" s="30">
        <f>IF(H65=0,IF(I65=0,0,1),I65/ABS(H65))</f>
        <v/>
      </c>
      <c r="K65" s="29">
        <f>H65-(Data_thang!O65-Data_thang!K65)</f>
        <v/>
      </c>
      <c r="L65">
        <f>IF(AND(ABS(I65)&gt;Dashboard!$G$6,ABS(J65)&gt;Dashboard!$H$6),"⚠ Vượt","")</f>
        <v/>
      </c>
      <c r="M65">
        <f>IF(AND(A65=Dashboard!$D$6,OR(Dashboard!$C$6="*",F65=Dashboard!$C$6),L65&lt;&gt;""),ABS(I65)+ROW()/1000000000,0)</f>
        <v/>
      </c>
    </row>
    <row r="66">
      <c r="A66">
        <f>Data_thang!A66</f>
        <v/>
      </c>
      <c r="B66">
        <f>Data_thang!B66</f>
        <v/>
      </c>
      <c r="C66">
        <f>Data_thang!D66</f>
        <v/>
      </c>
      <c r="D66">
        <f>Data_thang!E66</f>
        <v/>
      </c>
      <c r="E66">
        <f>Data_thang!F66</f>
        <v/>
      </c>
      <c r="F66">
        <f>Data_thang!G66</f>
        <v/>
      </c>
      <c r="G66" s="29">
        <f>Data_thang!J66-Data_thang!K66</f>
        <v/>
      </c>
      <c r="H66" s="29">
        <f>Data_thang!N66</f>
        <v/>
      </c>
      <c r="I66" s="29">
        <f>H66-G66</f>
        <v/>
      </c>
      <c r="J66" s="30">
        <f>IF(H66=0,IF(I66=0,0,1),I66/ABS(H66))</f>
        <v/>
      </c>
      <c r="K66" s="29">
        <f>H66-(Data_thang!O66-Data_thang!K66)</f>
        <v/>
      </c>
      <c r="L66">
        <f>IF(AND(ABS(I66)&gt;Dashboard!$G$6,ABS(J66)&gt;Dashboard!$H$6),"⚠ Vượt","")</f>
        <v/>
      </c>
      <c r="M66">
        <f>IF(AND(A66=Dashboard!$D$6,OR(Dashboard!$C$6="*",F66=Dashboard!$C$6),L66&lt;&gt;""),ABS(I66)+ROW()/1000000000,0)</f>
        <v/>
      </c>
    </row>
    <row r="67">
      <c r="A67">
        <f>Data_thang!A67</f>
        <v/>
      </c>
      <c r="B67">
        <f>Data_thang!B67</f>
        <v/>
      </c>
      <c r="C67">
        <f>Data_thang!D67</f>
        <v/>
      </c>
      <c r="D67">
        <f>Data_thang!E67</f>
        <v/>
      </c>
      <c r="E67">
        <f>Data_thang!F67</f>
        <v/>
      </c>
      <c r="F67">
        <f>Data_thang!G67</f>
        <v/>
      </c>
      <c r="G67" s="29">
        <f>Data_thang!J67-Data_thang!K67</f>
        <v/>
      </c>
      <c r="H67" s="29">
        <f>Data_thang!N67</f>
        <v/>
      </c>
      <c r="I67" s="29">
        <f>H67-G67</f>
        <v/>
      </c>
      <c r="J67" s="30">
        <f>IF(H67=0,IF(I67=0,0,1),I67/ABS(H67))</f>
        <v/>
      </c>
      <c r="K67" s="29">
        <f>H67-(Data_thang!O67-Data_thang!K67)</f>
        <v/>
      </c>
      <c r="L67">
        <f>IF(AND(ABS(I67)&gt;Dashboard!$G$6,ABS(J67)&gt;Dashboard!$H$6),"⚠ Vượt","")</f>
        <v/>
      </c>
      <c r="M67">
        <f>IF(AND(A67=Dashboard!$D$6,OR(Dashboard!$C$6="*",F67=Dashboard!$C$6),L67&lt;&gt;""),ABS(I67)+ROW()/1000000000,0)</f>
        <v/>
      </c>
    </row>
    <row r="68">
      <c r="A68">
        <f>Data_thang!A68</f>
        <v/>
      </c>
      <c r="B68">
        <f>Data_thang!B68</f>
        <v/>
      </c>
      <c r="C68">
        <f>Data_thang!D68</f>
        <v/>
      </c>
      <c r="D68">
        <f>Data_thang!E68</f>
        <v/>
      </c>
      <c r="E68">
        <f>Data_thang!F68</f>
        <v/>
      </c>
      <c r="F68">
        <f>Data_thang!G68</f>
        <v/>
      </c>
      <c r="G68" s="29">
        <f>Data_thang!J68-Data_thang!K68</f>
        <v/>
      </c>
      <c r="H68" s="29">
        <f>Data_thang!N68</f>
        <v/>
      </c>
      <c r="I68" s="29">
        <f>H68-G68</f>
        <v/>
      </c>
      <c r="J68" s="30">
        <f>IF(H68=0,IF(I68=0,0,1),I68/ABS(H68))</f>
        <v/>
      </c>
      <c r="K68" s="29">
        <f>H68-(Data_thang!O68-Data_thang!K68)</f>
        <v/>
      </c>
      <c r="L68">
        <f>IF(AND(ABS(I68)&gt;Dashboard!$G$6,ABS(J68)&gt;Dashboard!$H$6),"⚠ Vượt","")</f>
        <v/>
      </c>
      <c r="M68">
        <f>IF(AND(A68=Dashboard!$D$6,OR(Dashboard!$C$6="*",F68=Dashboard!$C$6),L68&lt;&gt;""),ABS(I68)+ROW()/1000000000,0)</f>
        <v/>
      </c>
    </row>
    <row r="69">
      <c r="A69">
        <f>Data_thang!A69</f>
        <v/>
      </c>
      <c r="B69">
        <f>Data_thang!B69</f>
        <v/>
      </c>
      <c r="C69">
        <f>Data_thang!D69</f>
        <v/>
      </c>
      <c r="D69">
        <f>Data_thang!E69</f>
        <v/>
      </c>
      <c r="E69">
        <f>Data_thang!F69</f>
        <v/>
      </c>
      <c r="F69">
        <f>Data_thang!G69</f>
        <v/>
      </c>
      <c r="G69" s="29">
        <f>Data_thang!J69-Data_thang!K69</f>
        <v/>
      </c>
      <c r="H69" s="29">
        <f>Data_thang!N69</f>
        <v/>
      </c>
      <c r="I69" s="29">
        <f>H69-G69</f>
        <v/>
      </c>
      <c r="J69" s="30">
        <f>IF(H69=0,IF(I69=0,0,1),I69/ABS(H69))</f>
        <v/>
      </c>
      <c r="K69" s="29">
        <f>H69-(Data_thang!O69-Data_thang!K69)</f>
        <v/>
      </c>
      <c r="L69">
        <f>IF(AND(ABS(I69)&gt;Dashboard!$G$6,ABS(J69)&gt;Dashboard!$H$6),"⚠ Vượt","")</f>
        <v/>
      </c>
      <c r="M69">
        <f>IF(AND(A69=Dashboard!$D$6,OR(Dashboard!$C$6="*",F69=Dashboard!$C$6),L69&lt;&gt;""),ABS(I69)+ROW()/1000000000,0)</f>
        <v/>
      </c>
    </row>
    <row r="70">
      <c r="A70">
        <f>Data_thang!A70</f>
        <v/>
      </c>
      <c r="B70">
        <f>Data_thang!B70</f>
        <v/>
      </c>
      <c r="C70">
        <f>Data_thang!D70</f>
        <v/>
      </c>
      <c r="D70">
        <f>Data_thang!E70</f>
        <v/>
      </c>
      <c r="E70">
        <f>Data_thang!F70</f>
        <v/>
      </c>
      <c r="F70">
        <f>Data_thang!G70</f>
        <v/>
      </c>
      <c r="G70" s="29">
        <f>Data_thang!J70-Data_thang!K70</f>
        <v/>
      </c>
      <c r="H70" s="29">
        <f>Data_thang!N70</f>
        <v/>
      </c>
      <c r="I70" s="29">
        <f>H70-G70</f>
        <v/>
      </c>
      <c r="J70" s="30">
        <f>IF(H70=0,IF(I70=0,0,1),I70/ABS(H70))</f>
        <v/>
      </c>
      <c r="K70" s="29">
        <f>H70-(Data_thang!O70-Data_thang!K70)</f>
        <v/>
      </c>
      <c r="L70">
        <f>IF(AND(ABS(I70)&gt;Dashboard!$G$6,ABS(J70)&gt;Dashboard!$H$6),"⚠ Vượt","")</f>
        <v/>
      </c>
      <c r="M70">
        <f>IF(AND(A70=Dashboard!$D$6,OR(Dashboard!$C$6="*",F70=Dashboard!$C$6),L70&lt;&gt;""),ABS(I70)+ROW()/1000000000,0)</f>
        <v/>
      </c>
    </row>
    <row r="71">
      <c r="A71">
        <f>Data_thang!A71</f>
        <v/>
      </c>
      <c r="B71">
        <f>Data_thang!B71</f>
        <v/>
      </c>
      <c r="C71">
        <f>Data_thang!D71</f>
        <v/>
      </c>
      <c r="D71">
        <f>Data_thang!E71</f>
        <v/>
      </c>
      <c r="E71">
        <f>Data_thang!F71</f>
        <v/>
      </c>
      <c r="F71">
        <f>Data_thang!G71</f>
        <v/>
      </c>
      <c r="G71" s="29">
        <f>Data_thang!J71-Data_thang!K71</f>
        <v/>
      </c>
      <c r="H71" s="29">
        <f>Data_thang!N71</f>
        <v/>
      </c>
      <c r="I71" s="29">
        <f>H71-G71</f>
        <v/>
      </c>
      <c r="J71" s="30">
        <f>IF(H71=0,IF(I71=0,0,1),I71/ABS(H71))</f>
        <v/>
      </c>
      <c r="K71" s="29">
        <f>H71-(Data_thang!O71-Data_thang!K71)</f>
        <v/>
      </c>
      <c r="L71">
        <f>IF(AND(ABS(I71)&gt;Dashboard!$G$6,ABS(J71)&gt;Dashboard!$H$6),"⚠ Vượt","")</f>
        <v/>
      </c>
      <c r="M71">
        <f>IF(AND(A71=Dashboard!$D$6,OR(Dashboard!$C$6="*",F71=Dashboard!$C$6),L71&lt;&gt;""),ABS(I71)+ROW()/1000000000,0)</f>
        <v/>
      </c>
    </row>
    <row r="72">
      <c r="A72">
        <f>Data_thang!A72</f>
        <v/>
      </c>
      <c r="B72">
        <f>Data_thang!B72</f>
        <v/>
      </c>
      <c r="C72">
        <f>Data_thang!D72</f>
        <v/>
      </c>
      <c r="D72">
        <f>Data_thang!E72</f>
        <v/>
      </c>
      <c r="E72">
        <f>Data_thang!F72</f>
        <v/>
      </c>
      <c r="F72">
        <f>Data_thang!G72</f>
        <v/>
      </c>
      <c r="G72" s="29">
        <f>Data_thang!J72-Data_thang!K72</f>
        <v/>
      </c>
      <c r="H72" s="29">
        <f>Data_thang!N72</f>
        <v/>
      </c>
      <c r="I72" s="29">
        <f>H72-G72</f>
        <v/>
      </c>
      <c r="J72" s="30">
        <f>IF(H72=0,IF(I72=0,0,1),I72/ABS(H72))</f>
        <v/>
      </c>
      <c r="K72" s="29">
        <f>H72-(Data_thang!O72-Data_thang!K72)</f>
        <v/>
      </c>
      <c r="L72">
        <f>IF(AND(ABS(I72)&gt;Dashboard!$G$6,ABS(J72)&gt;Dashboard!$H$6),"⚠ Vượt","")</f>
        <v/>
      </c>
      <c r="M72">
        <f>IF(AND(A72=Dashboard!$D$6,OR(Dashboard!$C$6="*",F72=Dashboard!$C$6),L72&lt;&gt;""),ABS(I72)+ROW()/1000000000,0)</f>
        <v/>
      </c>
    </row>
    <row r="73">
      <c r="A73">
        <f>Data_thang!A73</f>
        <v/>
      </c>
      <c r="B73">
        <f>Data_thang!B73</f>
        <v/>
      </c>
      <c r="C73">
        <f>Data_thang!D73</f>
        <v/>
      </c>
      <c r="D73">
        <f>Data_thang!E73</f>
        <v/>
      </c>
      <c r="E73">
        <f>Data_thang!F73</f>
        <v/>
      </c>
      <c r="F73">
        <f>Data_thang!G73</f>
        <v/>
      </c>
      <c r="G73" s="29">
        <f>Data_thang!J73-Data_thang!K73</f>
        <v/>
      </c>
      <c r="H73" s="29">
        <f>Data_thang!N73</f>
        <v/>
      </c>
      <c r="I73" s="29">
        <f>H73-G73</f>
        <v/>
      </c>
      <c r="J73" s="30">
        <f>IF(H73=0,IF(I73=0,0,1),I73/ABS(H73))</f>
        <v/>
      </c>
      <c r="K73" s="29">
        <f>H73-(Data_thang!O73-Data_thang!K73)</f>
        <v/>
      </c>
      <c r="L73">
        <f>IF(AND(ABS(I73)&gt;Dashboard!$G$6,ABS(J73)&gt;Dashboard!$H$6),"⚠ Vượt","")</f>
        <v/>
      </c>
      <c r="M73">
        <f>IF(AND(A73=Dashboard!$D$6,OR(Dashboard!$C$6="*",F73=Dashboard!$C$6),L73&lt;&gt;""),ABS(I73)+ROW()/1000000000,0)</f>
        <v/>
      </c>
    </row>
    <row r="74">
      <c r="A74">
        <f>Data_thang!A74</f>
        <v/>
      </c>
      <c r="B74">
        <f>Data_thang!B74</f>
        <v/>
      </c>
      <c r="C74">
        <f>Data_thang!D74</f>
        <v/>
      </c>
      <c r="D74">
        <f>Data_thang!E74</f>
        <v/>
      </c>
      <c r="E74">
        <f>Data_thang!F74</f>
        <v/>
      </c>
      <c r="F74">
        <f>Data_thang!G74</f>
        <v/>
      </c>
      <c r="G74" s="29">
        <f>Data_thang!J74-Data_thang!K74</f>
        <v/>
      </c>
      <c r="H74" s="29">
        <f>Data_thang!N74</f>
        <v/>
      </c>
      <c r="I74" s="29">
        <f>H74-G74</f>
        <v/>
      </c>
      <c r="J74" s="30">
        <f>IF(H74=0,IF(I74=0,0,1),I74/ABS(H74))</f>
        <v/>
      </c>
      <c r="K74" s="29">
        <f>H74-(Data_thang!O74-Data_thang!K74)</f>
        <v/>
      </c>
      <c r="L74">
        <f>IF(AND(ABS(I74)&gt;Dashboard!$G$6,ABS(J74)&gt;Dashboard!$H$6),"⚠ Vượt","")</f>
        <v/>
      </c>
      <c r="M74">
        <f>IF(AND(A74=Dashboard!$D$6,OR(Dashboard!$C$6="*",F74=Dashboard!$C$6),L74&lt;&gt;""),ABS(I74)+ROW()/1000000000,0)</f>
        <v/>
      </c>
    </row>
    <row r="75">
      <c r="A75">
        <f>Data_thang!A75</f>
        <v/>
      </c>
      <c r="B75">
        <f>Data_thang!B75</f>
        <v/>
      </c>
      <c r="C75">
        <f>Data_thang!D75</f>
        <v/>
      </c>
      <c r="D75">
        <f>Data_thang!E75</f>
        <v/>
      </c>
      <c r="E75">
        <f>Data_thang!F75</f>
        <v/>
      </c>
      <c r="F75">
        <f>Data_thang!G75</f>
        <v/>
      </c>
      <c r="G75" s="29">
        <f>Data_thang!J75-Data_thang!K75</f>
        <v/>
      </c>
      <c r="H75" s="29">
        <f>Data_thang!N75</f>
        <v/>
      </c>
      <c r="I75" s="29">
        <f>H75-G75</f>
        <v/>
      </c>
      <c r="J75" s="30">
        <f>IF(H75=0,IF(I75=0,0,1),I75/ABS(H75))</f>
        <v/>
      </c>
      <c r="K75" s="29">
        <f>H75-(Data_thang!O75-Data_thang!K75)</f>
        <v/>
      </c>
      <c r="L75">
        <f>IF(AND(ABS(I75)&gt;Dashboard!$G$6,ABS(J75)&gt;Dashboard!$H$6),"⚠ Vượt","")</f>
        <v/>
      </c>
      <c r="M75">
        <f>IF(AND(A75=Dashboard!$D$6,OR(Dashboard!$C$6="*",F75=Dashboard!$C$6),L75&lt;&gt;""),ABS(I75)+ROW()/1000000000,0)</f>
        <v/>
      </c>
    </row>
    <row r="76">
      <c r="A76">
        <f>Data_thang!A76</f>
        <v/>
      </c>
      <c r="B76">
        <f>Data_thang!B76</f>
        <v/>
      </c>
      <c r="C76">
        <f>Data_thang!D76</f>
        <v/>
      </c>
      <c r="D76">
        <f>Data_thang!E76</f>
        <v/>
      </c>
      <c r="E76">
        <f>Data_thang!F76</f>
        <v/>
      </c>
      <c r="F76">
        <f>Data_thang!G76</f>
        <v/>
      </c>
      <c r="G76" s="29">
        <f>Data_thang!J76-Data_thang!K76</f>
        <v/>
      </c>
      <c r="H76" s="29">
        <f>Data_thang!N76</f>
        <v/>
      </c>
      <c r="I76" s="29">
        <f>H76-G76</f>
        <v/>
      </c>
      <c r="J76" s="30">
        <f>IF(H76=0,IF(I76=0,0,1),I76/ABS(H76))</f>
        <v/>
      </c>
      <c r="K76" s="29">
        <f>H76-(Data_thang!O76-Data_thang!K76)</f>
        <v/>
      </c>
      <c r="L76">
        <f>IF(AND(ABS(I76)&gt;Dashboard!$G$6,ABS(J76)&gt;Dashboard!$H$6),"⚠ Vượt","")</f>
        <v/>
      </c>
      <c r="M76">
        <f>IF(AND(A76=Dashboard!$D$6,OR(Dashboard!$C$6="*",F76=Dashboard!$C$6),L76&lt;&gt;""),ABS(I76)+ROW()/1000000000,0)</f>
        <v/>
      </c>
    </row>
    <row r="77">
      <c r="A77">
        <f>Data_thang!A77</f>
        <v/>
      </c>
      <c r="B77">
        <f>Data_thang!B77</f>
        <v/>
      </c>
      <c r="C77">
        <f>Data_thang!D77</f>
        <v/>
      </c>
      <c r="D77">
        <f>Data_thang!E77</f>
        <v/>
      </c>
      <c r="E77">
        <f>Data_thang!F77</f>
        <v/>
      </c>
      <c r="F77">
        <f>Data_thang!G77</f>
        <v/>
      </c>
      <c r="G77" s="29">
        <f>Data_thang!J77-Data_thang!K77</f>
        <v/>
      </c>
      <c r="H77" s="29">
        <f>Data_thang!N77</f>
        <v/>
      </c>
      <c r="I77" s="29">
        <f>H77-G77</f>
        <v/>
      </c>
      <c r="J77" s="30">
        <f>IF(H77=0,IF(I77=0,0,1),I77/ABS(H77))</f>
        <v/>
      </c>
      <c r="K77" s="29">
        <f>H77-(Data_thang!O77-Data_thang!K77)</f>
        <v/>
      </c>
      <c r="L77">
        <f>IF(AND(ABS(I77)&gt;Dashboard!$G$6,ABS(J77)&gt;Dashboard!$H$6),"⚠ Vượt","")</f>
        <v/>
      </c>
      <c r="M77">
        <f>IF(AND(A77=Dashboard!$D$6,OR(Dashboard!$C$6="*",F77=Dashboard!$C$6),L77&lt;&gt;""),ABS(I77)+ROW()/1000000000,0)</f>
        <v/>
      </c>
    </row>
    <row r="78">
      <c r="A78">
        <f>Data_thang!A78</f>
        <v/>
      </c>
      <c r="B78">
        <f>Data_thang!B78</f>
        <v/>
      </c>
      <c r="C78">
        <f>Data_thang!D78</f>
        <v/>
      </c>
      <c r="D78">
        <f>Data_thang!E78</f>
        <v/>
      </c>
      <c r="E78">
        <f>Data_thang!F78</f>
        <v/>
      </c>
      <c r="F78">
        <f>Data_thang!G78</f>
        <v/>
      </c>
      <c r="G78" s="29">
        <f>Data_thang!J78-Data_thang!K78</f>
        <v/>
      </c>
      <c r="H78" s="29">
        <f>Data_thang!N78</f>
        <v/>
      </c>
      <c r="I78" s="29">
        <f>H78-G78</f>
        <v/>
      </c>
      <c r="J78" s="30">
        <f>IF(H78=0,IF(I78=0,0,1),I78/ABS(H78))</f>
        <v/>
      </c>
      <c r="K78" s="29">
        <f>H78-(Data_thang!O78-Data_thang!K78)</f>
        <v/>
      </c>
      <c r="L78">
        <f>IF(AND(ABS(I78)&gt;Dashboard!$G$6,ABS(J78)&gt;Dashboard!$H$6),"⚠ Vượt","")</f>
        <v/>
      </c>
      <c r="M78">
        <f>IF(AND(A78=Dashboard!$D$6,OR(Dashboard!$C$6="*",F78=Dashboard!$C$6),L78&lt;&gt;""),ABS(I78)+ROW()/1000000000,0)</f>
        <v/>
      </c>
    </row>
    <row r="79">
      <c r="A79">
        <f>Data_thang!A79</f>
        <v/>
      </c>
      <c r="B79">
        <f>Data_thang!B79</f>
        <v/>
      </c>
      <c r="C79">
        <f>Data_thang!D79</f>
        <v/>
      </c>
      <c r="D79">
        <f>Data_thang!E79</f>
        <v/>
      </c>
      <c r="E79">
        <f>Data_thang!F79</f>
        <v/>
      </c>
      <c r="F79">
        <f>Data_thang!G79</f>
        <v/>
      </c>
      <c r="G79" s="29">
        <f>Data_thang!J79-Data_thang!K79</f>
        <v/>
      </c>
      <c r="H79" s="29">
        <f>Data_thang!N79</f>
        <v/>
      </c>
      <c r="I79" s="29">
        <f>H79-G79</f>
        <v/>
      </c>
      <c r="J79" s="30">
        <f>IF(H79=0,IF(I79=0,0,1),I79/ABS(H79))</f>
        <v/>
      </c>
      <c r="K79" s="29">
        <f>H79-(Data_thang!O79-Data_thang!K79)</f>
        <v/>
      </c>
      <c r="L79">
        <f>IF(AND(ABS(I79)&gt;Dashboard!$G$6,ABS(J79)&gt;Dashboard!$H$6),"⚠ Vượt","")</f>
        <v/>
      </c>
      <c r="M79">
        <f>IF(AND(A79=Dashboard!$D$6,OR(Dashboard!$C$6="*",F79=Dashboard!$C$6),L79&lt;&gt;""),ABS(I79)+ROW()/1000000000,0)</f>
        <v/>
      </c>
    </row>
    <row r="80">
      <c r="A80">
        <f>Data_thang!A80</f>
        <v/>
      </c>
      <c r="B80">
        <f>Data_thang!B80</f>
        <v/>
      </c>
      <c r="C80">
        <f>Data_thang!D80</f>
        <v/>
      </c>
      <c r="D80">
        <f>Data_thang!E80</f>
        <v/>
      </c>
      <c r="E80">
        <f>Data_thang!F80</f>
        <v/>
      </c>
      <c r="F80">
        <f>Data_thang!G80</f>
        <v/>
      </c>
      <c r="G80" s="29">
        <f>Data_thang!J80-Data_thang!K80</f>
        <v/>
      </c>
      <c r="H80" s="29">
        <f>Data_thang!N80</f>
        <v/>
      </c>
      <c r="I80" s="29">
        <f>H80-G80</f>
        <v/>
      </c>
      <c r="J80" s="30">
        <f>IF(H80=0,IF(I80=0,0,1),I80/ABS(H80))</f>
        <v/>
      </c>
      <c r="K80" s="29">
        <f>H80-(Data_thang!O80-Data_thang!K80)</f>
        <v/>
      </c>
      <c r="L80">
        <f>IF(AND(ABS(I80)&gt;Dashboard!$G$6,ABS(J80)&gt;Dashboard!$H$6),"⚠ Vượt","")</f>
        <v/>
      </c>
      <c r="M80">
        <f>IF(AND(A80=Dashboard!$D$6,OR(Dashboard!$C$6="*",F80=Dashboard!$C$6),L80&lt;&gt;""),ABS(I80)+ROW()/1000000000,0)</f>
        <v/>
      </c>
    </row>
    <row r="81">
      <c r="A81">
        <f>Data_thang!A81</f>
        <v/>
      </c>
      <c r="B81">
        <f>Data_thang!B81</f>
        <v/>
      </c>
      <c r="C81">
        <f>Data_thang!D81</f>
        <v/>
      </c>
      <c r="D81">
        <f>Data_thang!E81</f>
        <v/>
      </c>
      <c r="E81">
        <f>Data_thang!F81</f>
        <v/>
      </c>
      <c r="F81">
        <f>Data_thang!G81</f>
        <v/>
      </c>
      <c r="G81" s="29">
        <f>Data_thang!J81-Data_thang!K81</f>
        <v/>
      </c>
      <c r="H81" s="29">
        <f>Data_thang!N81</f>
        <v/>
      </c>
      <c r="I81" s="29">
        <f>H81-G81</f>
        <v/>
      </c>
      <c r="J81" s="30">
        <f>IF(H81=0,IF(I81=0,0,1),I81/ABS(H81))</f>
        <v/>
      </c>
      <c r="K81" s="29">
        <f>H81-(Data_thang!O81-Data_thang!K81)</f>
        <v/>
      </c>
      <c r="L81">
        <f>IF(AND(ABS(I81)&gt;Dashboard!$G$6,ABS(J81)&gt;Dashboard!$H$6),"⚠ Vượt","")</f>
        <v/>
      </c>
      <c r="M81">
        <f>IF(AND(A81=Dashboard!$D$6,OR(Dashboard!$C$6="*",F81=Dashboard!$C$6),L81&lt;&gt;""),ABS(I81)+ROW()/1000000000,0)</f>
        <v/>
      </c>
    </row>
    <row r="82">
      <c r="A82">
        <f>Data_thang!A82</f>
        <v/>
      </c>
      <c r="B82">
        <f>Data_thang!B82</f>
        <v/>
      </c>
      <c r="C82">
        <f>Data_thang!D82</f>
        <v/>
      </c>
      <c r="D82">
        <f>Data_thang!E82</f>
        <v/>
      </c>
      <c r="E82">
        <f>Data_thang!F82</f>
        <v/>
      </c>
      <c r="F82">
        <f>Data_thang!G82</f>
        <v/>
      </c>
      <c r="G82" s="29">
        <f>Data_thang!J82-Data_thang!K82</f>
        <v/>
      </c>
      <c r="H82" s="29">
        <f>Data_thang!N82</f>
        <v/>
      </c>
      <c r="I82" s="29">
        <f>H82-G82</f>
        <v/>
      </c>
      <c r="J82" s="30">
        <f>IF(H82=0,IF(I82=0,0,1),I82/ABS(H82))</f>
        <v/>
      </c>
      <c r="K82" s="29">
        <f>H82-(Data_thang!O82-Data_thang!K82)</f>
        <v/>
      </c>
      <c r="L82">
        <f>IF(AND(ABS(I82)&gt;Dashboard!$G$6,ABS(J82)&gt;Dashboard!$H$6),"⚠ Vượt","")</f>
        <v/>
      </c>
      <c r="M82">
        <f>IF(AND(A82=Dashboard!$D$6,OR(Dashboard!$C$6="*",F82=Dashboard!$C$6),L82&lt;&gt;""),ABS(I82)+ROW()/1000000000,0)</f>
        <v/>
      </c>
    </row>
    <row r="83">
      <c r="A83">
        <f>Data_thang!A83</f>
        <v/>
      </c>
      <c r="B83">
        <f>Data_thang!B83</f>
        <v/>
      </c>
      <c r="C83">
        <f>Data_thang!D83</f>
        <v/>
      </c>
      <c r="D83">
        <f>Data_thang!E83</f>
        <v/>
      </c>
      <c r="E83">
        <f>Data_thang!F83</f>
        <v/>
      </c>
      <c r="F83">
        <f>Data_thang!G83</f>
        <v/>
      </c>
      <c r="G83" s="29">
        <f>Data_thang!J83-Data_thang!K83</f>
        <v/>
      </c>
      <c r="H83" s="29">
        <f>Data_thang!N83</f>
        <v/>
      </c>
      <c r="I83" s="29">
        <f>H83-G83</f>
        <v/>
      </c>
      <c r="J83" s="30">
        <f>IF(H83=0,IF(I83=0,0,1),I83/ABS(H83))</f>
        <v/>
      </c>
      <c r="K83" s="29">
        <f>H83-(Data_thang!O83-Data_thang!K83)</f>
        <v/>
      </c>
      <c r="L83">
        <f>IF(AND(ABS(I83)&gt;Dashboard!$G$6,ABS(J83)&gt;Dashboard!$H$6),"⚠ Vượt","")</f>
        <v/>
      </c>
      <c r="M83">
        <f>IF(AND(A83=Dashboard!$D$6,OR(Dashboard!$C$6="*",F83=Dashboard!$C$6),L83&lt;&gt;""),ABS(I83)+ROW()/1000000000,0)</f>
        <v/>
      </c>
    </row>
    <row r="84">
      <c r="A84">
        <f>Data_thang!A84</f>
        <v/>
      </c>
      <c r="B84">
        <f>Data_thang!B84</f>
        <v/>
      </c>
      <c r="C84">
        <f>Data_thang!D84</f>
        <v/>
      </c>
      <c r="D84">
        <f>Data_thang!E84</f>
        <v/>
      </c>
      <c r="E84">
        <f>Data_thang!F84</f>
        <v/>
      </c>
      <c r="F84">
        <f>Data_thang!G84</f>
        <v/>
      </c>
      <c r="G84" s="29">
        <f>Data_thang!J84-Data_thang!K84</f>
        <v/>
      </c>
      <c r="H84" s="29">
        <f>Data_thang!N84</f>
        <v/>
      </c>
      <c r="I84" s="29">
        <f>H84-G84</f>
        <v/>
      </c>
      <c r="J84" s="30">
        <f>IF(H84=0,IF(I84=0,0,1),I84/ABS(H84))</f>
        <v/>
      </c>
      <c r="K84" s="29">
        <f>H84-(Data_thang!O84-Data_thang!K84)</f>
        <v/>
      </c>
      <c r="L84">
        <f>IF(AND(ABS(I84)&gt;Dashboard!$G$6,ABS(J84)&gt;Dashboard!$H$6),"⚠ Vượt","")</f>
        <v/>
      </c>
      <c r="M84">
        <f>IF(AND(A84=Dashboard!$D$6,OR(Dashboard!$C$6="*",F84=Dashboard!$C$6),L84&lt;&gt;""),ABS(I84)+ROW()/1000000000,0)</f>
        <v/>
      </c>
    </row>
    <row r="85">
      <c r="A85">
        <f>Data_thang!A85</f>
        <v/>
      </c>
      <c r="B85">
        <f>Data_thang!B85</f>
        <v/>
      </c>
      <c r="C85">
        <f>Data_thang!D85</f>
        <v/>
      </c>
      <c r="D85">
        <f>Data_thang!E85</f>
        <v/>
      </c>
      <c r="E85">
        <f>Data_thang!F85</f>
        <v/>
      </c>
      <c r="F85">
        <f>Data_thang!G85</f>
        <v/>
      </c>
      <c r="G85" s="29">
        <f>Data_thang!J85-Data_thang!K85</f>
        <v/>
      </c>
      <c r="H85" s="29">
        <f>Data_thang!N85</f>
        <v/>
      </c>
      <c r="I85" s="29">
        <f>H85-G85</f>
        <v/>
      </c>
      <c r="J85" s="30">
        <f>IF(H85=0,IF(I85=0,0,1),I85/ABS(H85))</f>
        <v/>
      </c>
      <c r="K85" s="29">
        <f>H85-(Data_thang!O85-Data_thang!K85)</f>
        <v/>
      </c>
      <c r="L85">
        <f>IF(AND(ABS(I85)&gt;Dashboard!$G$6,ABS(J85)&gt;Dashboard!$H$6),"⚠ Vượt","")</f>
        <v/>
      </c>
      <c r="M85">
        <f>IF(AND(A85=Dashboard!$D$6,OR(Dashboard!$C$6="*",F85=Dashboard!$C$6),L85&lt;&gt;""),ABS(I85)+ROW()/1000000000,0)</f>
        <v/>
      </c>
    </row>
    <row r="86">
      <c r="A86">
        <f>Data_thang!A86</f>
        <v/>
      </c>
      <c r="B86">
        <f>Data_thang!B86</f>
        <v/>
      </c>
      <c r="C86">
        <f>Data_thang!D86</f>
        <v/>
      </c>
      <c r="D86">
        <f>Data_thang!E86</f>
        <v/>
      </c>
      <c r="E86">
        <f>Data_thang!F86</f>
        <v/>
      </c>
      <c r="F86">
        <f>Data_thang!G86</f>
        <v/>
      </c>
      <c r="G86" s="29">
        <f>Data_thang!J86-Data_thang!K86</f>
        <v/>
      </c>
      <c r="H86" s="29">
        <f>Data_thang!N86</f>
        <v/>
      </c>
      <c r="I86" s="29">
        <f>H86-G86</f>
        <v/>
      </c>
      <c r="J86" s="30">
        <f>IF(H86=0,IF(I86=0,0,1),I86/ABS(H86))</f>
        <v/>
      </c>
      <c r="K86" s="29">
        <f>H86-(Data_thang!O86-Data_thang!K86)</f>
        <v/>
      </c>
      <c r="L86">
        <f>IF(AND(ABS(I86)&gt;Dashboard!$G$6,ABS(J86)&gt;Dashboard!$H$6),"⚠ Vượt","")</f>
        <v/>
      </c>
      <c r="M86">
        <f>IF(AND(A86=Dashboard!$D$6,OR(Dashboard!$C$6="*",F86=Dashboard!$C$6),L86&lt;&gt;""),ABS(I86)+ROW()/1000000000,0)</f>
        <v/>
      </c>
    </row>
    <row r="87">
      <c r="A87">
        <f>Data_thang!A87</f>
        <v/>
      </c>
      <c r="B87">
        <f>Data_thang!B87</f>
        <v/>
      </c>
      <c r="C87">
        <f>Data_thang!D87</f>
        <v/>
      </c>
      <c r="D87">
        <f>Data_thang!E87</f>
        <v/>
      </c>
      <c r="E87">
        <f>Data_thang!F87</f>
        <v/>
      </c>
      <c r="F87">
        <f>Data_thang!G87</f>
        <v/>
      </c>
      <c r="G87" s="29">
        <f>Data_thang!J87-Data_thang!K87</f>
        <v/>
      </c>
      <c r="H87" s="29">
        <f>Data_thang!N87</f>
        <v/>
      </c>
      <c r="I87" s="29">
        <f>H87-G87</f>
        <v/>
      </c>
      <c r="J87" s="30">
        <f>IF(H87=0,IF(I87=0,0,1),I87/ABS(H87))</f>
        <v/>
      </c>
      <c r="K87" s="29">
        <f>H87-(Data_thang!O87-Data_thang!K87)</f>
        <v/>
      </c>
      <c r="L87">
        <f>IF(AND(ABS(I87)&gt;Dashboard!$G$6,ABS(J87)&gt;Dashboard!$H$6),"⚠ Vượt","")</f>
        <v/>
      </c>
      <c r="M87">
        <f>IF(AND(A87=Dashboard!$D$6,OR(Dashboard!$C$6="*",F87=Dashboard!$C$6),L87&lt;&gt;""),ABS(I87)+ROW()/1000000000,0)</f>
        <v/>
      </c>
    </row>
    <row r="88">
      <c r="A88">
        <f>Data_thang!A88</f>
        <v/>
      </c>
      <c r="B88">
        <f>Data_thang!B88</f>
        <v/>
      </c>
      <c r="C88">
        <f>Data_thang!D88</f>
        <v/>
      </c>
      <c r="D88">
        <f>Data_thang!E88</f>
        <v/>
      </c>
      <c r="E88">
        <f>Data_thang!F88</f>
        <v/>
      </c>
      <c r="F88">
        <f>Data_thang!G88</f>
        <v/>
      </c>
      <c r="G88" s="29">
        <f>Data_thang!J88-Data_thang!K88</f>
        <v/>
      </c>
      <c r="H88" s="29">
        <f>Data_thang!N88</f>
        <v/>
      </c>
      <c r="I88" s="29">
        <f>H88-G88</f>
        <v/>
      </c>
      <c r="J88" s="30">
        <f>IF(H88=0,IF(I88=0,0,1),I88/ABS(H88))</f>
        <v/>
      </c>
      <c r="K88" s="29">
        <f>H88-(Data_thang!O88-Data_thang!K88)</f>
        <v/>
      </c>
      <c r="L88">
        <f>IF(AND(ABS(I88)&gt;Dashboard!$G$6,ABS(J88)&gt;Dashboard!$H$6),"⚠ Vượt","")</f>
        <v/>
      </c>
      <c r="M88">
        <f>IF(AND(A88=Dashboard!$D$6,OR(Dashboard!$C$6="*",F88=Dashboard!$C$6),L88&lt;&gt;""),ABS(I88)+ROW()/1000000000,0)</f>
        <v/>
      </c>
    </row>
    <row r="89">
      <c r="A89">
        <f>Data_thang!A89</f>
        <v/>
      </c>
      <c r="B89">
        <f>Data_thang!B89</f>
        <v/>
      </c>
      <c r="C89">
        <f>Data_thang!D89</f>
        <v/>
      </c>
      <c r="D89">
        <f>Data_thang!E89</f>
        <v/>
      </c>
      <c r="E89">
        <f>Data_thang!F89</f>
        <v/>
      </c>
      <c r="F89">
        <f>Data_thang!G89</f>
        <v/>
      </c>
      <c r="G89" s="29">
        <f>Data_thang!J89-Data_thang!K89</f>
        <v/>
      </c>
      <c r="H89" s="29">
        <f>Data_thang!N89</f>
        <v/>
      </c>
      <c r="I89" s="29">
        <f>H89-G89</f>
        <v/>
      </c>
      <c r="J89" s="30">
        <f>IF(H89=0,IF(I89=0,0,1),I89/ABS(H89))</f>
        <v/>
      </c>
      <c r="K89" s="29">
        <f>H89-(Data_thang!O89-Data_thang!K89)</f>
        <v/>
      </c>
      <c r="L89">
        <f>IF(AND(ABS(I89)&gt;Dashboard!$G$6,ABS(J89)&gt;Dashboard!$H$6),"⚠ Vượt","")</f>
        <v/>
      </c>
      <c r="M89">
        <f>IF(AND(A89=Dashboard!$D$6,OR(Dashboard!$C$6="*",F89=Dashboard!$C$6),L89&lt;&gt;""),ABS(I89)+ROW()/1000000000,0)</f>
        <v/>
      </c>
    </row>
    <row r="90">
      <c r="A90">
        <f>Data_thang!A90</f>
        <v/>
      </c>
      <c r="B90">
        <f>Data_thang!B90</f>
        <v/>
      </c>
      <c r="C90">
        <f>Data_thang!D90</f>
        <v/>
      </c>
      <c r="D90">
        <f>Data_thang!E90</f>
        <v/>
      </c>
      <c r="E90">
        <f>Data_thang!F90</f>
        <v/>
      </c>
      <c r="F90">
        <f>Data_thang!G90</f>
        <v/>
      </c>
      <c r="G90" s="29">
        <f>Data_thang!J90-Data_thang!K90</f>
        <v/>
      </c>
      <c r="H90" s="29">
        <f>Data_thang!N90</f>
        <v/>
      </c>
      <c r="I90" s="29">
        <f>H90-G90</f>
        <v/>
      </c>
      <c r="J90" s="30">
        <f>IF(H90=0,IF(I90=0,0,1),I90/ABS(H90))</f>
        <v/>
      </c>
      <c r="K90" s="29">
        <f>H90-(Data_thang!O90-Data_thang!K90)</f>
        <v/>
      </c>
      <c r="L90">
        <f>IF(AND(ABS(I90)&gt;Dashboard!$G$6,ABS(J90)&gt;Dashboard!$H$6),"⚠ Vượt","")</f>
        <v/>
      </c>
      <c r="M90">
        <f>IF(AND(A90=Dashboard!$D$6,OR(Dashboard!$C$6="*",F90=Dashboard!$C$6),L90&lt;&gt;""),ABS(I90)+ROW()/1000000000,0)</f>
        <v/>
      </c>
    </row>
    <row r="91">
      <c r="A91">
        <f>Data_thang!A91</f>
        <v/>
      </c>
      <c r="B91">
        <f>Data_thang!B91</f>
        <v/>
      </c>
      <c r="C91">
        <f>Data_thang!D91</f>
        <v/>
      </c>
      <c r="D91">
        <f>Data_thang!E91</f>
        <v/>
      </c>
      <c r="E91">
        <f>Data_thang!F91</f>
        <v/>
      </c>
      <c r="F91">
        <f>Data_thang!G91</f>
        <v/>
      </c>
      <c r="G91" s="29">
        <f>Data_thang!J91-Data_thang!K91</f>
        <v/>
      </c>
      <c r="H91" s="29">
        <f>Data_thang!N91</f>
        <v/>
      </c>
      <c r="I91" s="29">
        <f>H91-G91</f>
        <v/>
      </c>
      <c r="J91" s="30">
        <f>IF(H91=0,IF(I91=0,0,1),I91/ABS(H91))</f>
        <v/>
      </c>
      <c r="K91" s="29">
        <f>H91-(Data_thang!O91-Data_thang!K91)</f>
        <v/>
      </c>
      <c r="L91">
        <f>IF(AND(ABS(I91)&gt;Dashboard!$G$6,ABS(J91)&gt;Dashboard!$H$6),"⚠ Vượt","")</f>
        <v/>
      </c>
      <c r="M91">
        <f>IF(AND(A91=Dashboard!$D$6,OR(Dashboard!$C$6="*",F91=Dashboard!$C$6),L91&lt;&gt;""),ABS(I91)+ROW()/1000000000,0)</f>
        <v/>
      </c>
    </row>
    <row r="92">
      <c r="A92">
        <f>Data_thang!A92</f>
        <v/>
      </c>
      <c r="B92">
        <f>Data_thang!B92</f>
        <v/>
      </c>
      <c r="C92">
        <f>Data_thang!D92</f>
        <v/>
      </c>
      <c r="D92">
        <f>Data_thang!E92</f>
        <v/>
      </c>
      <c r="E92">
        <f>Data_thang!F92</f>
        <v/>
      </c>
      <c r="F92">
        <f>Data_thang!G92</f>
        <v/>
      </c>
      <c r="G92" s="29">
        <f>Data_thang!J92-Data_thang!K92</f>
        <v/>
      </c>
      <c r="H92" s="29">
        <f>Data_thang!N92</f>
        <v/>
      </c>
      <c r="I92" s="29">
        <f>H92-G92</f>
        <v/>
      </c>
      <c r="J92" s="30">
        <f>IF(H92=0,IF(I92=0,0,1),I92/ABS(H92))</f>
        <v/>
      </c>
      <c r="K92" s="29">
        <f>H92-(Data_thang!O92-Data_thang!K92)</f>
        <v/>
      </c>
      <c r="L92">
        <f>IF(AND(ABS(I92)&gt;Dashboard!$G$6,ABS(J92)&gt;Dashboard!$H$6),"⚠ Vượt","")</f>
        <v/>
      </c>
      <c r="M92">
        <f>IF(AND(A92=Dashboard!$D$6,OR(Dashboard!$C$6="*",F92=Dashboard!$C$6),L92&lt;&gt;""),ABS(I92)+ROW()/1000000000,0)</f>
        <v/>
      </c>
    </row>
    <row r="93">
      <c r="A93">
        <f>Data_thang!A93</f>
        <v/>
      </c>
      <c r="B93">
        <f>Data_thang!B93</f>
        <v/>
      </c>
      <c r="C93">
        <f>Data_thang!D93</f>
        <v/>
      </c>
      <c r="D93">
        <f>Data_thang!E93</f>
        <v/>
      </c>
      <c r="E93">
        <f>Data_thang!F93</f>
        <v/>
      </c>
      <c r="F93">
        <f>Data_thang!G93</f>
        <v/>
      </c>
      <c r="G93" s="29">
        <f>Data_thang!J93-Data_thang!K93</f>
        <v/>
      </c>
      <c r="H93" s="29">
        <f>Data_thang!N93</f>
        <v/>
      </c>
      <c r="I93" s="29">
        <f>H93-G93</f>
        <v/>
      </c>
      <c r="J93" s="30">
        <f>IF(H93=0,IF(I93=0,0,1),I93/ABS(H93))</f>
        <v/>
      </c>
      <c r="K93" s="29">
        <f>H93-(Data_thang!O93-Data_thang!K93)</f>
        <v/>
      </c>
      <c r="L93">
        <f>IF(AND(ABS(I93)&gt;Dashboard!$G$6,ABS(J93)&gt;Dashboard!$H$6),"⚠ Vượt","")</f>
        <v/>
      </c>
      <c r="M93">
        <f>IF(AND(A93=Dashboard!$D$6,OR(Dashboard!$C$6="*",F93=Dashboard!$C$6),L93&lt;&gt;""),ABS(I93)+ROW()/1000000000,0)</f>
        <v/>
      </c>
    </row>
    <row r="94">
      <c r="A94">
        <f>Data_thang!A94</f>
        <v/>
      </c>
      <c r="B94">
        <f>Data_thang!B94</f>
        <v/>
      </c>
      <c r="C94">
        <f>Data_thang!D94</f>
        <v/>
      </c>
      <c r="D94">
        <f>Data_thang!E94</f>
        <v/>
      </c>
      <c r="E94">
        <f>Data_thang!F94</f>
        <v/>
      </c>
      <c r="F94">
        <f>Data_thang!G94</f>
        <v/>
      </c>
      <c r="G94" s="29">
        <f>Data_thang!J94-Data_thang!K94</f>
        <v/>
      </c>
      <c r="H94" s="29">
        <f>Data_thang!N94</f>
        <v/>
      </c>
      <c r="I94" s="29">
        <f>H94-G94</f>
        <v/>
      </c>
      <c r="J94" s="30">
        <f>IF(H94=0,IF(I94=0,0,1),I94/ABS(H94))</f>
        <v/>
      </c>
      <c r="K94" s="29">
        <f>H94-(Data_thang!O94-Data_thang!K94)</f>
        <v/>
      </c>
      <c r="L94">
        <f>IF(AND(ABS(I94)&gt;Dashboard!$G$6,ABS(J94)&gt;Dashboard!$H$6),"⚠ Vượt","")</f>
        <v/>
      </c>
      <c r="M94">
        <f>IF(AND(A94=Dashboard!$D$6,OR(Dashboard!$C$6="*",F94=Dashboard!$C$6),L94&lt;&gt;""),ABS(I94)+ROW()/1000000000,0)</f>
        <v/>
      </c>
    </row>
    <row r="95">
      <c r="A95">
        <f>Data_thang!A95</f>
        <v/>
      </c>
      <c r="B95">
        <f>Data_thang!B95</f>
        <v/>
      </c>
      <c r="C95">
        <f>Data_thang!D95</f>
        <v/>
      </c>
      <c r="D95">
        <f>Data_thang!E95</f>
        <v/>
      </c>
      <c r="E95">
        <f>Data_thang!F95</f>
        <v/>
      </c>
      <c r="F95">
        <f>Data_thang!G95</f>
        <v/>
      </c>
      <c r="G95" s="29">
        <f>Data_thang!J95-Data_thang!K95</f>
        <v/>
      </c>
      <c r="H95" s="29">
        <f>Data_thang!N95</f>
        <v/>
      </c>
      <c r="I95" s="29">
        <f>H95-G95</f>
        <v/>
      </c>
      <c r="J95" s="30">
        <f>IF(H95=0,IF(I95=0,0,1),I95/ABS(H95))</f>
        <v/>
      </c>
      <c r="K95" s="29">
        <f>H95-(Data_thang!O95-Data_thang!K95)</f>
        <v/>
      </c>
      <c r="L95">
        <f>IF(AND(ABS(I95)&gt;Dashboard!$G$6,ABS(J95)&gt;Dashboard!$H$6),"⚠ Vượt","")</f>
        <v/>
      </c>
      <c r="M95">
        <f>IF(AND(A95=Dashboard!$D$6,OR(Dashboard!$C$6="*",F95=Dashboard!$C$6),L95&lt;&gt;""),ABS(I95)+ROW()/1000000000,0)</f>
        <v/>
      </c>
    </row>
    <row r="96">
      <c r="A96">
        <f>Data_thang!A96</f>
        <v/>
      </c>
      <c r="B96">
        <f>Data_thang!B96</f>
        <v/>
      </c>
      <c r="C96">
        <f>Data_thang!D96</f>
        <v/>
      </c>
      <c r="D96">
        <f>Data_thang!E96</f>
        <v/>
      </c>
      <c r="E96">
        <f>Data_thang!F96</f>
        <v/>
      </c>
      <c r="F96">
        <f>Data_thang!G96</f>
        <v/>
      </c>
      <c r="G96" s="29">
        <f>Data_thang!J96-Data_thang!K96</f>
        <v/>
      </c>
      <c r="H96" s="29">
        <f>Data_thang!N96</f>
        <v/>
      </c>
      <c r="I96" s="29">
        <f>H96-G96</f>
        <v/>
      </c>
      <c r="J96" s="30">
        <f>IF(H96=0,IF(I96=0,0,1),I96/ABS(H96))</f>
        <v/>
      </c>
      <c r="K96" s="29">
        <f>H96-(Data_thang!O96-Data_thang!K96)</f>
        <v/>
      </c>
      <c r="L96">
        <f>IF(AND(ABS(I96)&gt;Dashboard!$G$6,ABS(J96)&gt;Dashboard!$H$6),"⚠ Vượt","")</f>
        <v/>
      </c>
      <c r="M96">
        <f>IF(AND(A96=Dashboard!$D$6,OR(Dashboard!$C$6="*",F96=Dashboard!$C$6),L96&lt;&gt;""),ABS(I96)+ROW()/1000000000,0)</f>
        <v/>
      </c>
    </row>
    <row r="97">
      <c r="A97">
        <f>Data_thang!A97</f>
        <v/>
      </c>
      <c r="B97">
        <f>Data_thang!B97</f>
        <v/>
      </c>
      <c r="C97">
        <f>Data_thang!D97</f>
        <v/>
      </c>
      <c r="D97">
        <f>Data_thang!E97</f>
        <v/>
      </c>
      <c r="E97">
        <f>Data_thang!F97</f>
        <v/>
      </c>
      <c r="F97">
        <f>Data_thang!G97</f>
        <v/>
      </c>
      <c r="G97" s="29">
        <f>Data_thang!J97-Data_thang!K97</f>
        <v/>
      </c>
      <c r="H97" s="29">
        <f>Data_thang!N97</f>
        <v/>
      </c>
      <c r="I97" s="29">
        <f>H97-G97</f>
        <v/>
      </c>
      <c r="J97" s="30">
        <f>IF(H97=0,IF(I97=0,0,1),I97/ABS(H97))</f>
        <v/>
      </c>
      <c r="K97" s="29">
        <f>H97-(Data_thang!O97-Data_thang!K97)</f>
        <v/>
      </c>
      <c r="L97">
        <f>IF(AND(ABS(I97)&gt;Dashboard!$G$6,ABS(J97)&gt;Dashboard!$H$6),"⚠ Vượt","")</f>
        <v/>
      </c>
      <c r="M97">
        <f>IF(AND(A97=Dashboard!$D$6,OR(Dashboard!$C$6="*",F97=Dashboard!$C$6),L97&lt;&gt;""),ABS(I97)+ROW()/1000000000,0)</f>
        <v/>
      </c>
    </row>
    <row r="98">
      <c r="A98">
        <f>Data_thang!A98</f>
        <v/>
      </c>
      <c r="B98">
        <f>Data_thang!B98</f>
        <v/>
      </c>
      <c r="C98">
        <f>Data_thang!D98</f>
        <v/>
      </c>
      <c r="D98">
        <f>Data_thang!E98</f>
        <v/>
      </c>
      <c r="E98">
        <f>Data_thang!F98</f>
        <v/>
      </c>
      <c r="F98">
        <f>Data_thang!G98</f>
        <v/>
      </c>
      <c r="G98" s="29">
        <f>Data_thang!J98-Data_thang!K98</f>
        <v/>
      </c>
      <c r="H98" s="29">
        <f>Data_thang!N98</f>
        <v/>
      </c>
      <c r="I98" s="29">
        <f>H98-G98</f>
        <v/>
      </c>
      <c r="J98" s="30">
        <f>IF(H98=0,IF(I98=0,0,1),I98/ABS(H98))</f>
        <v/>
      </c>
      <c r="K98" s="29">
        <f>H98-(Data_thang!O98-Data_thang!K98)</f>
        <v/>
      </c>
      <c r="L98">
        <f>IF(AND(ABS(I98)&gt;Dashboard!$G$6,ABS(J98)&gt;Dashboard!$H$6),"⚠ Vượt","")</f>
        <v/>
      </c>
      <c r="M98">
        <f>IF(AND(A98=Dashboard!$D$6,OR(Dashboard!$C$6="*",F98=Dashboard!$C$6),L98&lt;&gt;""),ABS(I98)+ROW()/1000000000,0)</f>
        <v/>
      </c>
    </row>
    <row r="99">
      <c r="A99">
        <f>Data_thang!A99</f>
        <v/>
      </c>
      <c r="B99">
        <f>Data_thang!B99</f>
        <v/>
      </c>
      <c r="C99">
        <f>Data_thang!D99</f>
        <v/>
      </c>
      <c r="D99">
        <f>Data_thang!E99</f>
        <v/>
      </c>
      <c r="E99">
        <f>Data_thang!F99</f>
        <v/>
      </c>
      <c r="F99">
        <f>Data_thang!G99</f>
        <v/>
      </c>
      <c r="G99" s="29">
        <f>Data_thang!J99-Data_thang!K99</f>
        <v/>
      </c>
      <c r="H99" s="29">
        <f>Data_thang!N99</f>
        <v/>
      </c>
      <c r="I99" s="29">
        <f>H99-G99</f>
        <v/>
      </c>
      <c r="J99" s="30">
        <f>IF(H99=0,IF(I99=0,0,1),I99/ABS(H99))</f>
        <v/>
      </c>
      <c r="K99" s="29">
        <f>H99-(Data_thang!O99-Data_thang!K99)</f>
        <v/>
      </c>
      <c r="L99">
        <f>IF(AND(ABS(I99)&gt;Dashboard!$G$6,ABS(J99)&gt;Dashboard!$H$6),"⚠ Vượt","")</f>
        <v/>
      </c>
      <c r="M99">
        <f>IF(AND(A99=Dashboard!$D$6,OR(Dashboard!$C$6="*",F99=Dashboard!$C$6),L99&lt;&gt;""),ABS(I99)+ROW()/1000000000,0)</f>
        <v/>
      </c>
    </row>
    <row r="100">
      <c r="A100">
        <f>Data_thang!A100</f>
        <v/>
      </c>
      <c r="B100">
        <f>Data_thang!B100</f>
        <v/>
      </c>
      <c r="C100">
        <f>Data_thang!D100</f>
        <v/>
      </c>
      <c r="D100">
        <f>Data_thang!E100</f>
        <v/>
      </c>
      <c r="E100">
        <f>Data_thang!F100</f>
        <v/>
      </c>
      <c r="F100">
        <f>Data_thang!G100</f>
        <v/>
      </c>
      <c r="G100" s="29">
        <f>Data_thang!J100-Data_thang!K100</f>
        <v/>
      </c>
      <c r="H100" s="29">
        <f>Data_thang!N100</f>
        <v/>
      </c>
      <c r="I100" s="29">
        <f>H100-G100</f>
        <v/>
      </c>
      <c r="J100" s="30">
        <f>IF(H100=0,IF(I100=0,0,1),I100/ABS(H100))</f>
        <v/>
      </c>
      <c r="K100" s="29">
        <f>H100-(Data_thang!O100-Data_thang!K100)</f>
        <v/>
      </c>
      <c r="L100">
        <f>IF(AND(ABS(I100)&gt;Dashboard!$G$6,ABS(J100)&gt;Dashboard!$H$6),"⚠ Vượt","")</f>
        <v/>
      </c>
      <c r="M100">
        <f>IF(AND(A100=Dashboard!$D$6,OR(Dashboard!$C$6="*",F100=Dashboard!$C$6),L100&lt;&gt;""),ABS(I100)+ROW()/1000000000,0)</f>
        <v/>
      </c>
    </row>
    <row r="101">
      <c r="A101">
        <f>Data_thang!A101</f>
        <v/>
      </c>
      <c r="B101">
        <f>Data_thang!B101</f>
        <v/>
      </c>
      <c r="C101">
        <f>Data_thang!D101</f>
        <v/>
      </c>
      <c r="D101">
        <f>Data_thang!E101</f>
        <v/>
      </c>
      <c r="E101">
        <f>Data_thang!F101</f>
        <v/>
      </c>
      <c r="F101">
        <f>Data_thang!G101</f>
        <v/>
      </c>
      <c r="G101" s="29">
        <f>Data_thang!J101-Data_thang!K101</f>
        <v/>
      </c>
      <c r="H101" s="29">
        <f>Data_thang!N101</f>
        <v/>
      </c>
      <c r="I101" s="29">
        <f>H101-G101</f>
        <v/>
      </c>
      <c r="J101" s="30">
        <f>IF(H101=0,IF(I101=0,0,1),I101/ABS(H101))</f>
        <v/>
      </c>
      <c r="K101" s="29">
        <f>H101-(Data_thang!O101-Data_thang!K101)</f>
        <v/>
      </c>
      <c r="L101">
        <f>IF(AND(ABS(I101)&gt;Dashboard!$G$6,ABS(J101)&gt;Dashboard!$H$6),"⚠ Vượt","")</f>
        <v/>
      </c>
      <c r="M101">
        <f>IF(AND(A101=Dashboard!$D$6,OR(Dashboard!$C$6="*",F101=Dashboard!$C$6),L101&lt;&gt;""),ABS(I101)+ROW()/1000000000,0)</f>
        <v/>
      </c>
    </row>
    <row r="102">
      <c r="A102">
        <f>Data_thang!A102</f>
        <v/>
      </c>
      <c r="B102">
        <f>Data_thang!B102</f>
        <v/>
      </c>
      <c r="C102">
        <f>Data_thang!D102</f>
        <v/>
      </c>
      <c r="D102">
        <f>Data_thang!E102</f>
        <v/>
      </c>
      <c r="E102">
        <f>Data_thang!F102</f>
        <v/>
      </c>
      <c r="F102">
        <f>Data_thang!G102</f>
        <v/>
      </c>
      <c r="G102" s="29">
        <f>Data_thang!J102-Data_thang!K102</f>
        <v/>
      </c>
      <c r="H102" s="29">
        <f>Data_thang!N102</f>
        <v/>
      </c>
      <c r="I102" s="29">
        <f>H102-G102</f>
        <v/>
      </c>
      <c r="J102" s="30">
        <f>IF(H102=0,IF(I102=0,0,1),I102/ABS(H102))</f>
        <v/>
      </c>
      <c r="K102" s="29">
        <f>H102-(Data_thang!O102-Data_thang!K102)</f>
        <v/>
      </c>
      <c r="L102">
        <f>IF(AND(ABS(I102)&gt;Dashboard!$G$6,ABS(J102)&gt;Dashboard!$H$6),"⚠ Vượt","")</f>
        <v/>
      </c>
      <c r="M102">
        <f>IF(AND(A102=Dashboard!$D$6,OR(Dashboard!$C$6="*",F102=Dashboard!$C$6),L102&lt;&gt;""),ABS(I102)+ROW()/1000000000,0)</f>
        <v/>
      </c>
    </row>
    <row r="103">
      <c r="A103">
        <f>Data_thang!A103</f>
        <v/>
      </c>
      <c r="B103">
        <f>Data_thang!B103</f>
        <v/>
      </c>
      <c r="C103">
        <f>Data_thang!D103</f>
        <v/>
      </c>
      <c r="D103">
        <f>Data_thang!E103</f>
        <v/>
      </c>
      <c r="E103">
        <f>Data_thang!F103</f>
        <v/>
      </c>
      <c r="F103">
        <f>Data_thang!G103</f>
        <v/>
      </c>
      <c r="G103" s="29">
        <f>Data_thang!J103-Data_thang!K103</f>
        <v/>
      </c>
      <c r="H103" s="29">
        <f>Data_thang!N103</f>
        <v/>
      </c>
      <c r="I103" s="29">
        <f>H103-G103</f>
        <v/>
      </c>
      <c r="J103" s="30">
        <f>IF(H103=0,IF(I103=0,0,1),I103/ABS(H103))</f>
        <v/>
      </c>
      <c r="K103" s="29">
        <f>H103-(Data_thang!O103-Data_thang!K103)</f>
        <v/>
      </c>
      <c r="L103">
        <f>IF(AND(ABS(I103)&gt;Dashboard!$G$6,ABS(J103)&gt;Dashboard!$H$6),"⚠ Vượt","")</f>
        <v/>
      </c>
      <c r="M103">
        <f>IF(AND(A103=Dashboard!$D$6,OR(Dashboard!$C$6="*",F103=Dashboard!$C$6),L103&lt;&gt;""),ABS(I103)+ROW()/1000000000,0)</f>
        <v/>
      </c>
    </row>
    <row r="104">
      <c r="A104">
        <f>Data_thang!A104</f>
        <v/>
      </c>
      <c r="B104">
        <f>Data_thang!B104</f>
        <v/>
      </c>
      <c r="C104">
        <f>Data_thang!D104</f>
        <v/>
      </c>
      <c r="D104">
        <f>Data_thang!E104</f>
        <v/>
      </c>
      <c r="E104">
        <f>Data_thang!F104</f>
        <v/>
      </c>
      <c r="F104">
        <f>Data_thang!G104</f>
        <v/>
      </c>
      <c r="G104" s="29">
        <f>Data_thang!J104-Data_thang!K104</f>
        <v/>
      </c>
      <c r="H104" s="29">
        <f>Data_thang!N104</f>
        <v/>
      </c>
      <c r="I104" s="29">
        <f>H104-G104</f>
        <v/>
      </c>
      <c r="J104" s="30">
        <f>IF(H104=0,IF(I104=0,0,1),I104/ABS(H104))</f>
        <v/>
      </c>
      <c r="K104" s="29">
        <f>H104-(Data_thang!O104-Data_thang!K104)</f>
        <v/>
      </c>
      <c r="L104">
        <f>IF(AND(ABS(I104)&gt;Dashboard!$G$6,ABS(J104)&gt;Dashboard!$H$6),"⚠ Vượt","")</f>
        <v/>
      </c>
      <c r="M104">
        <f>IF(AND(A104=Dashboard!$D$6,OR(Dashboard!$C$6="*",F104=Dashboard!$C$6),L104&lt;&gt;""),ABS(I104)+ROW()/1000000000,0)</f>
        <v/>
      </c>
    </row>
    <row r="105">
      <c r="A105">
        <f>Data_thang!A105</f>
        <v/>
      </c>
      <c r="B105">
        <f>Data_thang!B105</f>
        <v/>
      </c>
      <c r="C105">
        <f>Data_thang!D105</f>
        <v/>
      </c>
      <c r="D105">
        <f>Data_thang!E105</f>
        <v/>
      </c>
      <c r="E105">
        <f>Data_thang!F105</f>
        <v/>
      </c>
      <c r="F105">
        <f>Data_thang!G105</f>
        <v/>
      </c>
      <c r="G105" s="29">
        <f>Data_thang!J105-Data_thang!K105</f>
        <v/>
      </c>
      <c r="H105" s="29">
        <f>Data_thang!N105</f>
        <v/>
      </c>
      <c r="I105" s="29">
        <f>H105-G105</f>
        <v/>
      </c>
      <c r="J105" s="30">
        <f>IF(H105=0,IF(I105=0,0,1),I105/ABS(H105))</f>
        <v/>
      </c>
      <c r="K105" s="29">
        <f>H105-(Data_thang!O105-Data_thang!K105)</f>
        <v/>
      </c>
      <c r="L105">
        <f>IF(AND(ABS(I105)&gt;Dashboard!$G$6,ABS(J105)&gt;Dashboard!$H$6),"⚠ Vượt","")</f>
        <v/>
      </c>
      <c r="M105">
        <f>IF(AND(A105=Dashboard!$D$6,OR(Dashboard!$C$6="*",F105=Dashboard!$C$6),L105&lt;&gt;""),ABS(I105)+ROW()/1000000000,0)</f>
        <v/>
      </c>
    </row>
    <row r="106">
      <c r="A106">
        <f>Data_thang!A106</f>
        <v/>
      </c>
      <c r="B106">
        <f>Data_thang!B106</f>
        <v/>
      </c>
      <c r="C106">
        <f>Data_thang!D106</f>
        <v/>
      </c>
      <c r="D106">
        <f>Data_thang!E106</f>
        <v/>
      </c>
      <c r="E106">
        <f>Data_thang!F106</f>
        <v/>
      </c>
      <c r="F106">
        <f>Data_thang!G106</f>
        <v/>
      </c>
      <c r="G106" s="29">
        <f>Data_thang!J106-Data_thang!K106</f>
        <v/>
      </c>
      <c r="H106" s="29">
        <f>Data_thang!N106</f>
        <v/>
      </c>
      <c r="I106" s="29">
        <f>H106-G106</f>
        <v/>
      </c>
      <c r="J106" s="30">
        <f>IF(H106=0,IF(I106=0,0,1),I106/ABS(H106))</f>
        <v/>
      </c>
      <c r="K106" s="29">
        <f>H106-(Data_thang!O106-Data_thang!K106)</f>
        <v/>
      </c>
      <c r="L106">
        <f>IF(AND(ABS(I106)&gt;Dashboard!$G$6,ABS(J106)&gt;Dashboard!$H$6),"⚠ Vượt","")</f>
        <v/>
      </c>
      <c r="M106">
        <f>IF(AND(A106=Dashboard!$D$6,OR(Dashboard!$C$6="*",F106=Dashboard!$C$6),L106&lt;&gt;""),ABS(I106)+ROW()/1000000000,0)</f>
        <v/>
      </c>
    </row>
    <row r="107">
      <c r="A107">
        <f>Data_thang!A107</f>
        <v/>
      </c>
      <c r="B107">
        <f>Data_thang!B107</f>
        <v/>
      </c>
      <c r="C107">
        <f>Data_thang!D107</f>
        <v/>
      </c>
      <c r="D107">
        <f>Data_thang!E107</f>
        <v/>
      </c>
      <c r="E107">
        <f>Data_thang!F107</f>
        <v/>
      </c>
      <c r="F107">
        <f>Data_thang!G107</f>
        <v/>
      </c>
      <c r="G107" s="29">
        <f>Data_thang!J107-Data_thang!K107</f>
        <v/>
      </c>
      <c r="H107" s="29">
        <f>Data_thang!N107</f>
        <v/>
      </c>
      <c r="I107" s="29">
        <f>H107-G107</f>
        <v/>
      </c>
      <c r="J107" s="30">
        <f>IF(H107=0,IF(I107=0,0,1),I107/ABS(H107))</f>
        <v/>
      </c>
      <c r="K107" s="29">
        <f>H107-(Data_thang!O107-Data_thang!K107)</f>
        <v/>
      </c>
      <c r="L107">
        <f>IF(AND(ABS(I107)&gt;Dashboard!$G$6,ABS(J107)&gt;Dashboard!$H$6),"⚠ Vượt","")</f>
        <v/>
      </c>
      <c r="M107">
        <f>IF(AND(A107=Dashboard!$D$6,OR(Dashboard!$C$6="*",F107=Dashboard!$C$6),L107&lt;&gt;""),ABS(I107)+ROW()/1000000000,0)</f>
        <v/>
      </c>
    </row>
    <row r="108">
      <c r="A108">
        <f>Data_thang!A108</f>
        <v/>
      </c>
      <c r="B108">
        <f>Data_thang!B108</f>
        <v/>
      </c>
      <c r="C108">
        <f>Data_thang!D108</f>
        <v/>
      </c>
      <c r="D108">
        <f>Data_thang!E108</f>
        <v/>
      </c>
      <c r="E108">
        <f>Data_thang!F108</f>
        <v/>
      </c>
      <c r="F108">
        <f>Data_thang!G108</f>
        <v/>
      </c>
      <c r="G108" s="29">
        <f>Data_thang!J108-Data_thang!K108</f>
        <v/>
      </c>
      <c r="H108" s="29">
        <f>Data_thang!N108</f>
        <v/>
      </c>
      <c r="I108" s="29">
        <f>H108-G108</f>
        <v/>
      </c>
      <c r="J108" s="30">
        <f>IF(H108=0,IF(I108=0,0,1),I108/ABS(H108))</f>
        <v/>
      </c>
      <c r="K108" s="29">
        <f>H108-(Data_thang!O108-Data_thang!K108)</f>
        <v/>
      </c>
      <c r="L108">
        <f>IF(AND(ABS(I108)&gt;Dashboard!$G$6,ABS(J108)&gt;Dashboard!$H$6),"⚠ Vượt","")</f>
        <v/>
      </c>
      <c r="M108">
        <f>IF(AND(A108=Dashboard!$D$6,OR(Dashboard!$C$6="*",F108=Dashboard!$C$6),L108&lt;&gt;""),ABS(I108)+ROW()/1000000000,0)</f>
        <v/>
      </c>
    </row>
    <row r="109">
      <c r="A109">
        <f>Data_thang!A109</f>
        <v/>
      </c>
      <c r="B109">
        <f>Data_thang!B109</f>
        <v/>
      </c>
      <c r="C109">
        <f>Data_thang!D109</f>
        <v/>
      </c>
      <c r="D109">
        <f>Data_thang!E109</f>
        <v/>
      </c>
      <c r="E109">
        <f>Data_thang!F109</f>
        <v/>
      </c>
      <c r="F109">
        <f>Data_thang!G109</f>
        <v/>
      </c>
      <c r="G109" s="29">
        <f>Data_thang!J109-Data_thang!K109</f>
        <v/>
      </c>
      <c r="H109" s="29">
        <f>Data_thang!N109</f>
        <v/>
      </c>
      <c r="I109" s="29">
        <f>H109-G109</f>
        <v/>
      </c>
      <c r="J109" s="30">
        <f>IF(H109=0,IF(I109=0,0,1),I109/ABS(H109))</f>
        <v/>
      </c>
      <c r="K109" s="29">
        <f>H109-(Data_thang!O109-Data_thang!K109)</f>
        <v/>
      </c>
      <c r="L109">
        <f>IF(AND(ABS(I109)&gt;Dashboard!$G$6,ABS(J109)&gt;Dashboard!$H$6),"⚠ Vượt","")</f>
        <v/>
      </c>
      <c r="M109">
        <f>IF(AND(A109=Dashboard!$D$6,OR(Dashboard!$C$6="*",F109=Dashboard!$C$6),L109&lt;&gt;""),ABS(I109)+ROW()/1000000000,0)</f>
        <v/>
      </c>
    </row>
    <row r="110">
      <c r="A110">
        <f>Data_thang!A110</f>
        <v/>
      </c>
      <c r="B110">
        <f>Data_thang!B110</f>
        <v/>
      </c>
      <c r="C110">
        <f>Data_thang!D110</f>
        <v/>
      </c>
      <c r="D110">
        <f>Data_thang!E110</f>
        <v/>
      </c>
      <c r="E110">
        <f>Data_thang!F110</f>
        <v/>
      </c>
      <c r="F110">
        <f>Data_thang!G110</f>
        <v/>
      </c>
      <c r="G110" s="29">
        <f>Data_thang!J110-Data_thang!K110</f>
        <v/>
      </c>
      <c r="H110" s="29">
        <f>Data_thang!N110</f>
        <v/>
      </c>
      <c r="I110" s="29">
        <f>H110-G110</f>
        <v/>
      </c>
      <c r="J110" s="30">
        <f>IF(H110=0,IF(I110=0,0,1),I110/ABS(H110))</f>
        <v/>
      </c>
      <c r="K110" s="29">
        <f>H110-(Data_thang!O110-Data_thang!K110)</f>
        <v/>
      </c>
      <c r="L110">
        <f>IF(AND(ABS(I110)&gt;Dashboard!$G$6,ABS(J110)&gt;Dashboard!$H$6),"⚠ Vượt","")</f>
        <v/>
      </c>
      <c r="M110">
        <f>IF(AND(A110=Dashboard!$D$6,OR(Dashboard!$C$6="*",F110=Dashboard!$C$6),L110&lt;&gt;""),ABS(I110)+ROW()/1000000000,0)</f>
        <v/>
      </c>
    </row>
    <row r="111">
      <c r="A111">
        <f>Data_thang!A111</f>
        <v/>
      </c>
      <c r="B111">
        <f>Data_thang!B111</f>
        <v/>
      </c>
      <c r="C111">
        <f>Data_thang!D111</f>
        <v/>
      </c>
      <c r="D111">
        <f>Data_thang!E111</f>
        <v/>
      </c>
      <c r="E111">
        <f>Data_thang!F111</f>
        <v/>
      </c>
      <c r="F111">
        <f>Data_thang!G111</f>
        <v/>
      </c>
      <c r="G111" s="29">
        <f>Data_thang!J111-Data_thang!K111</f>
        <v/>
      </c>
      <c r="H111" s="29">
        <f>Data_thang!N111</f>
        <v/>
      </c>
      <c r="I111" s="29">
        <f>H111-G111</f>
        <v/>
      </c>
      <c r="J111" s="30">
        <f>IF(H111=0,IF(I111=0,0,1),I111/ABS(H111))</f>
        <v/>
      </c>
      <c r="K111" s="29">
        <f>H111-(Data_thang!O111-Data_thang!K111)</f>
        <v/>
      </c>
      <c r="L111">
        <f>IF(AND(ABS(I111)&gt;Dashboard!$G$6,ABS(J111)&gt;Dashboard!$H$6),"⚠ Vượt","")</f>
        <v/>
      </c>
      <c r="M111">
        <f>IF(AND(A111=Dashboard!$D$6,OR(Dashboard!$C$6="*",F111=Dashboard!$C$6),L111&lt;&gt;""),ABS(I111)+ROW()/1000000000,0)</f>
        <v/>
      </c>
    </row>
    <row r="112">
      <c r="A112">
        <f>Data_thang!A112</f>
        <v/>
      </c>
      <c r="B112">
        <f>Data_thang!B112</f>
        <v/>
      </c>
      <c r="C112">
        <f>Data_thang!D112</f>
        <v/>
      </c>
      <c r="D112">
        <f>Data_thang!E112</f>
        <v/>
      </c>
      <c r="E112">
        <f>Data_thang!F112</f>
        <v/>
      </c>
      <c r="F112">
        <f>Data_thang!G112</f>
        <v/>
      </c>
      <c r="G112" s="29">
        <f>Data_thang!J112-Data_thang!K112</f>
        <v/>
      </c>
      <c r="H112" s="29">
        <f>Data_thang!N112</f>
        <v/>
      </c>
      <c r="I112" s="29">
        <f>H112-G112</f>
        <v/>
      </c>
      <c r="J112" s="30">
        <f>IF(H112=0,IF(I112=0,0,1),I112/ABS(H112))</f>
        <v/>
      </c>
      <c r="K112" s="29">
        <f>H112-(Data_thang!O112-Data_thang!K112)</f>
        <v/>
      </c>
      <c r="L112">
        <f>IF(AND(ABS(I112)&gt;Dashboard!$G$6,ABS(J112)&gt;Dashboard!$H$6),"⚠ Vượt","")</f>
        <v/>
      </c>
      <c r="M112">
        <f>IF(AND(A112=Dashboard!$D$6,OR(Dashboard!$C$6="*",F112=Dashboard!$C$6),L112&lt;&gt;""),ABS(I112)+ROW()/1000000000,0)</f>
        <v/>
      </c>
    </row>
    <row r="113">
      <c r="A113">
        <f>Data_thang!A113</f>
        <v/>
      </c>
      <c r="B113">
        <f>Data_thang!B113</f>
        <v/>
      </c>
      <c r="C113">
        <f>Data_thang!D113</f>
        <v/>
      </c>
      <c r="D113">
        <f>Data_thang!E113</f>
        <v/>
      </c>
      <c r="E113">
        <f>Data_thang!F113</f>
        <v/>
      </c>
      <c r="F113">
        <f>Data_thang!G113</f>
        <v/>
      </c>
      <c r="G113" s="29">
        <f>Data_thang!J113-Data_thang!K113</f>
        <v/>
      </c>
      <c r="H113" s="29">
        <f>Data_thang!N113</f>
        <v/>
      </c>
      <c r="I113" s="29">
        <f>H113-G113</f>
        <v/>
      </c>
      <c r="J113" s="30">
        <f>IF(H113=0,IF(I113=0,0,1),I113/ABS(H113))</f>
        <v/>
      </c>
      <c r="K113" s="29">
        <f>H113-(Data_thang!O113-Data_thang!K113)</f>
        <v/>
      </c>
      <c r="L113">
        <f>IF(AND(ABS(I113)&gt;Dashboard!$G$6,ABS(J113)&gt;Dashboard!$H$6),"⚠ Vượt","")</f>
        <v/>
      </c>
      <c r="M113">
        <f>IF(AND(A113=Dashboard!$D$6,OR(Dashboard!$C$6="*",F113=Dashboard!$C$6),L113&lt;&gt;""),ABS(I113)+ROW()/1000000000,0)</f>
        <v/>
      </c>
    </row>
    <row r="114">
      <c r="A114">
        <f>Data_thang!A114</f>
        <v/>
      </c>
      <c r="B114">
        <f>Data_thang!B114</f>
        <v/>
      </c>
      <c r="C114">
        <f>Data_thang!D114</f>
        <v/>
      </c>
      <c r="D114">
        <f>Data_thang!E114</f>
        <v/>
      </c>
      <c r="E114">
        <f>Data_thang!F114</f>
        <v/>
      </c>
      <c r="F114">
        <f>Data_thang!G114</f>
        <v/>
      </c>
      <c r="G114" s="29">
        <f>Data_thang!J114-Data_thang!K114</f>
        <v/>
      </c>
      <c r="H114" s="29">
        <f>Data_thang!N114</f>
        <v/>
      </c>
      <c r="I114" s="29">
        <f>H114-G114</f>
        <v/>
      </c>
      <c r="J114" s="30">
        <f>IF(H114=0,IF(I114=0,0,1),I114/ABS(H114))</f>
        <v/>
      </c>
      <c r="K114" s="29">
        <f>H114-(Data_thang!O114-Data_thang!K114)</f>
        <v/>
      </c>
      <c r="L114">
        <f>IF(AND(ABS(I114)&gt;Dashboard!$G$6,ABS(J114)&gt;Dashboard!$H$6),"⚠ Vượt","")</f>
        <v/>
      </c>
      <c r="M114">
        <f>IF(AND(A114=Dashboard!$D$6,OR(Dashboard!$C$6="*",F114=Dashboard!$C$6),L114&lt;&gt;""),ABS(I114)+ROW()/1000000000,0)</f>
        <v/>
      </c>
    </row>
    <row r="115">
      <c r="A115">
        <f>Data_thang!A115</f>
        <v/>
      </c>
      <c r="B115">
        <f>Data_thang!B115</f>
        <v/>
      </c>
      <c r="C115">
        <f>Data_thang!D115</f>
        <v/>
      </c>
      <c r="D115">
        <f>Data_thang!E115</f>
        <v/>
      </c>
      <c r="E115">
        <f>Data_thang!F115</f>
        <v/>
      </c>
      <c r="F115">
        <f>Data_thang!G115</f>
        <v/>
      </c>
      <c r="G115" s="29">
        <f>Data_thang!J115-Data_thang!K115</f>
        <v/>
      </c>
      <c r="H115" s="29">
        <f>Data_thang!N115</f>
        <v/>
      </c>
      <c r="I115" s="29">
        <f>H115-G115</f>
        <v/>
      </c>
      <c r="J115" s="30">
        <f>IF(H115=0,IF(I115=0,0,1),I115/ABS(H115))</f>
        <v/>
      </c>
      <c r="K115" s="29">
        <f>H115-(Data_thang!O115-Data_thang!K115)</f>
        <v/>
      </c>
      <c r="L115">
        <f>IF(AND(ABS(I115)&gt;Dashboard!$G$6,ABS(J115)&gt;Dashboard!$H$6),"⚠ Vượt","")</f>
        <v/>
      </c>
      <c r="M115">
        <f>IF(AND(A115=Dashboard!$D$6,OR(Dashboard!$C$6="*",F115=Dashboard!$C$6),L115&lt;&gt;""),ABS(I115)+ROW()/1000000000,0)</f>
        <v/>
      </c>
    </row>
    <row r="116">
      <c r="A116">
        <f>Data_thang!A116</f>
        <v/>
      </c>
      <c r="B116">
        <f>Data_thang!B116</f>
        <v/>
      </c>
      <c r="C116">
        <f>Data_thang!D116</f>
        <v/>
      </c>
      <c r="D116">
        <f>Data_thang!E116</f>
        <v/>
      </c>
      <c r="E116">
        <f>Data_thang!F116</f>
        <v/>
      </c>
      <c r="F116">
        <f>Data_thang!G116</f>
        <v/>
      </c>
      <c r="G116" s="29">
        <f>Data_thang!J116-Data_thang!K116</f>
        <v/>
      </c>
      <c r="H116" s="29">
        <f>Data_thang!N116</f>
        <v/>
      </c>
      <c r="I116" s="29">
        <f>H116-G116</f>
        <v/>
      </c>
      <c r="J116" s="30">
        <f>IF(H116=0,IF(I116=0,0,1),I116/ABS(H116))</f>
        <v/>
      </c>
      <c r="K116" s="29">
        <f>H116-(Data_thang!O116-Data_thang!K116)</f>
        <v/>
      </c>
      <c r="L116">
        <f>IF(AND(ABS(I116)&gt;Dashboard!$G$6,ABS(J116)&gt;Dashboard!$H$6),"⚠ Vượt","")</f>
        <v/>
      </c>
      <c r="M116">
        <f>IF(AND(A116=Dashboard!$D$6,OR(Dashboard!$C$6="*",F116=Dashboard!$C$6),L116&lt;&gt;""),ABS(I116)+ROW()/1000000000,0)</f>
        <v/>
      </c>
    </row>
    <row r="117">
      <c r="A117">
        <f>Data_thang!A117</f>
        <v/>
      </c>
      <c r="B117">
        <f>Data_thang!B117</f>
        <v/>
      </c>
      <c r="C117">
        <f>Data_thang!D117</f>
        <v/>
      </c>
      <c r="D117">
        <f>Data_thang!E117</f>
        <v/>
      </c>
      <c r="E117">
        <f>Data_thang!F117</f>
        <v/>
      </c>
      <c r="F117">
        <f>Data_thang!G117</f>
        <v/>
      </c>
      <c r="G117" s="29">
        <f>Data_thang!J117-Data_thang!K117</f>
        <v/>
      </c>
      <c r="H117" s="29">
        <f>Data_thang!N117</f>
        <v/>
      </c>
      <c r="I117" s="29">
        <f>H117-G117</f>
        <v/>
      </c>
      <c r="J117" s="30">
        <f>IF(H117=0,IF(I117=0,0,1),I117/ABS(H117))</f>
        <v/>
      </c>
      <c r="K117" s="29">
        <f>H117-(Data_thang!O117-Data_thang!K117)</f>
        <v/>
      </c>
      <c r="L117">
        <f>IF(AND(ABS(I117)&gt;Dashboard!$G$6,ABS(J117)&gt;Dashboard!$H$6),"⚠ Vượt","")</f>
        <v/>
      </c>
      <c r="M117">
        <f>IF(AND(A117=Dashboard!$D$6,OR(Dashboard!$C$6="*",F117=Dashboard!$C$6),L117&lt;&gt;""),ABS(I117)+ROW()/1000000000,0)</f>
        <v/>
      </c>
    </row>
    <row r="118">
      <c r="A118">
        <f>Data_thang!A118</f>
        <v/>
      </c>
      <c r="B118">
        <f>Data_thang!B118</f>
        <v/>
      </c>
      <c r="C118">
        <f>Data_thang!D118</f>
        <v/>
      </c>
      <c r="D118">
        <f>Data_thang!E118</f>
        <v/>
      </c>
      <c r="E118">
        <f>Data_thang!F118</f>
        <v/>
      </c>
      <c r="F118">
        <f>Data_thang!G118</f>
        <v/>
      </c>
      <c r="G118" s="29">
        <f>Data_thang!J118-Data_thang!K118</f>
        <v/>
      </c>
      <c r="H118" s="29">
        <f>Data_thang!N118</f>
        <v/>
      </c>
      <c r="I118" s="29">
        <f>H118-G118</f>
        <v/>
      </c>
      <c r="J118" s="30">
        <f>IF(H118=0,IF(I118=0,0,1),I118/ABS(H118))</f>
        <v/>
      </c>
      <c r="K118" s="29">
        <f>H118-(Data_thang!O118-Data_thang!K118)</f>
        <v/>
      </c>
      <c r="L118">
        <f>IF(AND(ABS(I118)&gt;Dashboard!$G$6,ABS(J118)&gt;Dashboard!$H$6),"⚠ Vượt","")</f>
        <v/>
      </c>
      <c r="M118">
        <f>IF(AND(A118=Dashboard!$D$6,OR(Dashboard!$C$6="*",F118=Dashboard!$C$6),L118&lt;&gt;""),ABS(I118)+ROW()/1000000000,0)</f>
        <v/>
      </c>
    </row>
    <row r="119">
      <c r="A119">
        <f>Data_thang!A119</f>
        <v/>
      </c>
      <c r="B119">
        <f>Data_thang!B119</f>
        <v/>
      </c>
      <c r="C119">
        <f>Data_thang!D119</f>
        <v/>
      </c>
      <c r="D119">
        <f>Data_thang!E119</f>
        <v/>
      </c>
      <c r="E119">
        <f>Data_thang!F119</f>
        <v/>
      </c>
      <c r="F119">
        <f>Data_thang!G119</f>
        <v/>
      </c>
      <c r="G119" s="29">
        <f>Data_thang!J119-Data_thang!K119</f>
        <v/>
      </c>
      <c r="H119" s="29">
        <f>Data_thang!N119</f>
        <v/>
      </c>
      <c r="I119" s="29">
        <f>H119-G119</f>
        <v/>
      </c>
      <c r="J119" s="30">
        <f>IF(H119=0,IF(I119=0,0,1),I119/ABS(H119))</f>
        <v/>
      </c>
      <c r="K119" s="29">
        <f>H119-(Data_thang!O119-Data_thang!K119)</f>
        <v/>
      </c>
      <c r="L119">
        <f>IF(AND(ABS(I119)&gt;Dashboard!$G$6,ABS(J119)&gt;Dashboard!$H$6),"⚠ Vượt","")</f>
        <v/>
      </c>
      <c r="M119">
        <f>IF(AND(A119=Dashboard!$D$6,OR(Dashboard!$C$6="*",F119=Dashboard!$C$6),L119&lt;&gt;""),ABS(I119)+ROW()/1000000000,0)</f>
        <v/>
      </c>
    </row>
    <row r="120">
      <c r="A120">
        <f>Data_thang!A120</f>
        <v/>
      </c>
      <c r="B120">
        <f>Data_thang!B120</f>
        <v/>
      </c>
      <c r="C120">
        <f>Data_thang!D120</f>
        <v/>
      </c>
      <c r="D120">
        <f>Data_thang!E120</f>
        <v/>
      </c>
      <c r="E120">
        <f>Data_thang!F120</f>
        <v/>
      </c>
      <c r="F120">
        <f>Data_thang!G120</f>
        <v/>
      </c>
      <c r="G120" s="29">
        <f>Data_thang!J120-Data_thang!K120</f>
        <v/>
      </c>
      <c r="H120" s="29">
        <f>Data_thang!N120</f>
        <v/>
      </c>
      <c r="I120" s="29">
        <f>H120-G120</f>
        <v/>
      </c>
      <c r="J120" s="30">
        <f>IF(H120=0,IF(I120=0,0,1),I120/ABS(H120))</f>
        <v/>
      </c>
      <c r="K120" s="29">
        <f>H120-(Data_thang!O120-Data_thang!K120)</f>
        <v/>
      </c>
      <c r="L120">
        <f>IF(AND(ABS(I120)&gt;Dashboard!$G$6,ABS(J120)&gt;Dashboard!$H$6),"⚠ Vượt","")</f>
        <v/>
      </c>
      <c r="M120">
        <f>IF(AND(A120=Dashboard!$D$6,OR(Dashboard!$C$6="*",F120=Dashboard!$C$6),L120&lt;&gt;""),ABS(I120)+ROW()/1000000000,0)</f>
        <v/>
      </c>
    </row>
    <row r="121">
      <c r="A121">
        <f>Data_thang!A121</f>
        <v/>
      </c>
      <c r="B121">
        <f>Data_thang!B121</f>
        <v/>
      </c>
      <c r="C121">
        <f>Data_thang!D121</f>
        <v/>
      </c>
      <c r="D121">
        <f>Data_thang!E121</f>
        <v/>
      </c>
      <c r="E121">
        <f>Data_thang!F121</f>
        <v/>
      </c>
      <c r="F121">
        <f>Data_thang!G121</f>
        <v/>
      </c>
      <c r="G121" s="29">
        <f>Data_thang!J121-Data_thang!K121</f>
        <v/>
      </c>
      <c r="H121" s="29">
        <f>Data_thang!N121</f>
        <v/>
      </c>
      <c r="I121" s="29">
        <f>H121-G121</f>
        <v/>
      </c>
      <c r="J121" s="30">
        <f>IF(H121=0,IF(I121=0,0,1),I121/ABS(H121))</f>
        <v/>
      </c>
      <c r="K121" s="29">
        <f>H121-(Data_thang!O121-Data_thang!K121)</f>
        <v/>
      </c>
      <c r="L121">
        <f>IF(AND(ABS(I121)&gt;Dashboard!$G$6,ABS(J121)&gt;Dashboard!$H$6),"⚠ Vượt","")</f>
        <v/>
      </c>
      <c r="M121">
        <f>IF(AND(A121=Dashboard!$D$6,OR(Dashboard!$C$6="*",F121=Dashboard!$C$6),L121&lt;&gt;""),ABS(I121)+ROW()/1000000000,0)</f>
        <v/>
      </c>
    </row>
    <row r="122">
      <c r="A122">
        <f>Data_thang!A122</f>
        <v/>
      </c>
      <c r="B122">
        <f>Data_thang!B122</f>
        <v/>
      </c>
      <c r="C122">
        <f>Data_thang!D122</f>
        <v/>
      </c>
      <c r="D122">
        <f>Data_thang!E122</f>
        <v/>
      </c>
      <c r="E122">
        <f>Data_thang!F122</f>
        <v/>
      </c>
      <c r="F122">
        <f>Data_thang!G122</f>
        <v/>
      </c>
      <c r="G122" s="29">
        <f>Data_thang!J122-Data_thang!K122</f>
        <v/>
      </c>
      <c r="H122" s="29">
        <f>Data_thang!N122</f>
        <v/>
      </c>
      <c r="I122" s="29">
        <f>H122-G122</f>
        <v/>
      </c>
      <c r="J122" s="30">
        <f>IF(H122=0,IF(I122=0,0,1),I122/ABS(H122))</f>
        <v/>
      </c>
      <c r="K122" s="29">
        <f>H122-(Data_thang!O122-Data_thang!K122)</f>
        <v/>
      </c>
      <c r="L122">
        <f>IF(AND(ABS(I122)&gt;Dashboard!$G$6,ABS(J122)&gt;Dashboard!$H$6),"⚠ Vượt","")</f>
        <v/>
      </c>
      <c r="M122">
        <f>IF(AND(A122=Dashboard!$D$6,OR(Dashboard!$C$6="*",F122=Dashboard!$C$6),L122&lt;&gt;""),ABS(I122)+ROW()/1000000000,0)</f>
        <v/>
      </c>
    </row>
    <row r="123">
      <c r="A123">
        <f>Data_thang!A123</f>
        <v/>
      </c>
      <c r="B123">
        <f>Data_thang!B123</f>
        <v/>
      </c>
      <c r="C123">
        <f>Data_thang!D123</f>
        <v/>
      </c>
      <c r="D123">
        <f>Data_thang!E123</f>
        <v/>
      </c>
      <c r="E123">
        <f>Data_thang!F123</f>
        <v/>
      </c>
      <c r="F123">
        <f>Data_thang!G123</f>
        <v/>
      </c>
      <c r="G123" s="29">
        <f>Data_thang!J123-Data_thang!K123</f>
        <v/>
      </c>
      <c r="H123" s="29">
        <f>Data_thang!N123</f>
        <v/>
      </c>
      <c r="I123" s="29">
        <f>H123-G123</f>
        <v/>
      </c>
      <c r="J123" s="30">
        <f>IF(H123=0,IF(I123=0,0,1),I123/ABS(H123))</f>
        <v/>
      </c>
      <c r="K123" s="29">
        <f>H123-(Data_thang!O123-Data_thang!K123)</f>
        <v/>
      </c>
      <c r="L123">
        <f>IF(AND(ABS(I123)&gt;Dashboard!$G$6,ABS(J123)&gt;Dashboard!$H$6),"⚠ Vượt","")</f>
        <v/>
      </c>
      <c r="M123">
        <f>IF(AND(A123=Dashboard!$D$6,OR(Dashboard!$C$6="*",F123=Dashboard!$C$6),L123&lt;&gt;""),ABS(I123)+ROW()/1000000000,0)</f>
        <v/>
      </c>
    </row>
    <row r="124">
      <c r="A124">
        <f>Data_thang!A124</f>
        <v/>
      </c>
      <c r="B124">
        <f>Data_thang!B124</f>
        <v/>
      </c>
      <c r="C124">
        <f>Data_thang!D124</f>
        <v/>
      </c>
      <c r="D124">
        <f>Data_thang!E124</f>
        <v/>
      </c>
      <c r="E124">
        <f>Data_thang!F124</f>
        <v/>
      </c>
      <c r="F124">
        <f>Data_thang!G124</f>
        <v/>
      </c>
      <c r="G124" s="29">
        <f>Data_thang!J124-Data_thang!K124</f>
        <v/>
      </c>
      <c r="H124" s="29">
        <f>Data_thang!N124</f>
        <v/>
      </c>
      <c r="I124" s="29">
        <f>H124-G124</f>
        <v/>
      </c>
      <c r="J124" s="30">
        <f>IF(H124=0,IF(I124=0,0,1),I124/ABS(H124))</f>
        <v/>
      </c>
      <c r="K124" s="29">
        <f>H124-(Data_thang!O124-Data_thang!K124)</f>
        <v/>
      </c>
      <c r="L124">
        <f>IF(AND(ABS(I124)&gt;Dashboard!$G$6,ABS(J124)&gt;Dashboard!$H$6),"⚠ Vượt","")</f>
        <v/>
      </c>
      <c r="M124">
        <f>IF(AND(A124=Dashboard!$D$6,OR(Dashboard!$C$6="*",F124=Dashboard!$C$6),L124&lt;&gt;""),ABS(I124)+ROW()/1000000000,0)</f>
        <v/>
      </c>
    </row>
    <row r="125">
      <c r="A125">
        <f>Data_thang!A125</f>
        <v/>
      </c>
      <c r="B125">
        <f>Data_thang!B125</f>
        <v/>
      </c>
      <c r="C125">
        <f>Data_thang!D125</f>
        <v/>
      </c>
      <c r="D125">
        <f>Data_thang!E125</f>
        <v/>
      </c>
      <c r="E125">
        <f>Data_thang!F125</f>
        <v/>
      </c>
      <c r="F125">
        <f>Data_thang!G125</f>
        <v/>
      </c>
      <c r="G125" s="29">
        <f>Data_thang!J125-Data_thang!K125</f>
        <v/>
      </c>
      <c r="H125" s="29">
        <f>Data_thang!N125</f>
        <v/>
      </c>
      <c r="I125" s="29">
        <f>H125-G125</f>
        <v/>
      </c>
      <c r="J125" s="30">
        <f>IF(H125=0,IF(I125=0,0,1),I125/ABS(H125))</f>
        <v/>
      </c>
      <c r="K125" s="29">
        <f>H125-(Data_thang!O125-Data_thang!K125)</f>
        <v/>
      </c>
      <c r="L125">
        <f>IF(AND(ABS(I125)&gt;Dashboard!$G$6,ABS(J125)&gt;Dashboard!$H$6),"⚠ Vượt","")</f>
        <v/>
      </c>
      <c r="M125">
        <f>IF(AND(A125=Dashboard!$D$6,OR(Dashboard!$C$6="*",F125=Dashboard!$C$6),L125&lt;&gt;""),ABS(I125)+ROW()/1000000000,0)</f>
        <v/>
      </c>
    </row>
    <row r="126">
      <c r="A126">
        <f>Data_thang!A126</f>
        <v/>
      </c>
      <c r="B126">
        <f>Data_thang!B126</f>
        <v/>
      </c>
      <c r="C126">
        <f>Data_thang!D126</f>
        <v/>
      </c>
      <c r="D126">
        <f>Data_thang!E126</f>
        <v/>
      </c>
      <c r="E126">
        <f>Data_thang!F126</f>
        <v/>
      </c>
      <c r="F126">
        <f>Data_thang!G126</f>
        <v/>
      </c>
      <c r="G126" s="29">
        <f>Data_thang!J126-Data_thang!K126</f>
        <v/>
      </c>
      <c r="H126" s="29">
        <f>Data_thang!N126</f>
        <v/>
      </c>
      <c r="I126" s="29">
        <f>H126-G126</f>
        <v/>
      </c>
      <c r="J126" s="30">
        <f>IF(H126=0,IF(I126=0,0,1),I126/ABS(H126))</f>
        <v/>
      </c>
      <c r="K126" s="29">
        <f>H126-(Data_thang!O126-Data_thang!K126)</f>
        <v/>
      </c>
      <c r="L126">
        <f>IF(AND(ABS(I126)&gt;Dashboard!$G$6,ABS(J126)&gt;Dashboard!$H$6),"⚠ Vượt","")</f>
        <v/>
      </c>
      <c r="M126">
        <f>IF(AND(A126=Dashboard!$D$6,OR(Dashboard!$C$6="*",F126=Dashboard!$C$6),L126&lt;&gt;""),ABS(I126)+ROW()/1000000000,0)</f>
        <v/>
      </c>
    </row>
    <row r="127">
      <c r="A127">
        <f>Data_thang!A127</f>
        <v/>
      </c>
      <c r="B127">
        <f>Data_thang!B127</f>
        <v/>
      </c>
      <c r="C127">
        <f>Data_thang!D127</f>
        <v/>
      </c>
      <c r="D127">
        <f>Data_thang!E127</f>
        <v/>
      </c>
      <c r="E127">
        <f>Data_thang!F127</f>
        <v/>
      </c>
      <c r="F127">
        <f>Data_thang!G127</f>
        <v/>
      </c>
      <c r="G127" s="29">
        <f>Data_thang!J127-Data_thang!K127</f>
        <v/>
      </c>
      <c r="H127" s="29">
        <f>Data_thang!N127</f>
        <v/>
      </c>
      <c r="I127" s="29">
        <f>H127-G127</f>
        <v/>
      </c>
      <c r="J127" s="30">
        <f>IF(H127=0,IF(I127=0,0,1),I127/ABS(H127))</f>
        <v/>
      </c>
      <c r="K127" s="29">
        <f>H127-(Data_thang!O127-Data_thang!K127)</f>
        <v/>
      </c>
      <c r="L127">
        <f>IF(AND(ABS(I127)&gt;Dashboard!$G$6,ABS(J127)&gt;Dashboard!$H$6),"⚠ Vượt","")</f>
        <v/>
      </c>
      <c r="M127">
        <f>IF(AND(A127=Dashboard!$D$6,OR(Dashboard!$C$6="*",F127=Dashboard!$C$6),L127&lt;&gt;""),ABS(I127)+ROW()/1000000000,0)</f>
        <v/>
      </c>
    </row>
    <row r="128">
      <c r="A128">
        <f>Data_thang!A128</f>
        <v/>
      </c>
      <c r="B128">
        <f>Data_thang!B128</f>
        <v/>
      </c>
      <c r="C128">
        <f>Data_thang!D128</f>
        <v/>
      </c>
      <c r="D128">
        <f>Data_thang!E128</f>
        <v/>
      </c>
      <c r="E128">
        <f>Data_thang!F128</f>
        <v/>
      </c>
      <c r="F128">
        <f>Data_thang!G128</f>
        <v/>
      </c>
      <c r="G128" s="29">
        <f>Data_thang!J128-Data_thang!K128</f>
        <v/>
      </c>
      <c r="H128" s="29">
        <f>Data_thang!N128</f>
        <v/>
      </c>
      <c r="I128" s="29">
        <f>H128-G128</f>
        <v/>
      </c>
      <c r="J128" s="30">
        <f>IF(H128=0,IF(I128=0,0,1),I128/ABS(H128))</f>
        <v/>
      </c>
      <c r="K128" s="29">
        <f>H128-(Data_thang!O128-Data_thang!K128)</f>
        <v/>
      </c>
      <c r="L128">
        <f>IF(AND(ABS(I128)&gt;Dashboard!$G$6,ABS(J128)&gt;Dashboard!$H$6),"⚠ Vượt","")</f>
        <v/>
      </c>
      <c r="M128">
        <f>IF(AND(A128=Dashboard!$D$6,OR(Dashboard!$C$6="*",F128=Dashboard!$C$6),L128&lt;&gt;""),ABS(I128)+ROW()/1000000000,0)</f>
        <v/>
      </c>
    </row>
    <row r="129">
      <c r="A129">
        <f>Data_thang!A129</f>
        <v/>
      </c>
      <c r="B129">
        <f>Data_thang!B129</f>
        <v/>
      </c>
      <c r="C129">
        <f>Data_thang!D129</f>
        <v/>
      </c>
      <c r="D129">
        <f>Data_thang!E129</f>
        <v/>
      </c>
      <c r="E129">
        <f>Data_thang!F129</f>
        <v/>
      </c>
      <c r="F129">
        <f>Data_thang!G129</f>
        <v/>
      </c>
      <c r="G129" s="29">
        <f>Data_thang!J129-Data_thang!K129</f>
        <v/>
      </c>
      <c r="H129" s="29">
        <f>Data_thang!N129</f>
        <v/>
      </c>
      <c r="I129" s="29">
        <f>H129-G129</f>
        <v/>
      </c>
      <c r="J129" s="30">
        <f>IF(H129=0,IF(I129=0,0,1),I129/ABS(H129))</f>
        <v/>
      </c>
      <c r="K129" s="29">
        <f>H129-(Data_thang!O129-Data_thang!K129)</f>
        <v/>
      </c>
      <c r="L129">
        <f>IF(AND(ABS(I129)&gt;Dashboard!$G$6,ABS(J129)&gt;Dashboard!$H$6),"⚠ Vượt","")</f>
        <v/>
      </c>
      <c r="M129">
        <f>IF(AND(A129=Dashboard!$D$6,OR(Dashboard!$C$6="*",F129=Dashboard!$C$6),L129&lt;&gt;""),ABS(I129)+ROW()/1000000000,0)</f>
        <v/>
      </c>
    </row>
    <row r="130">
      <c r="A130">
        <f>Data_thang!A130</f>
        <v/>
      </c>
      <c r="B130">
        <f>Data_thang!B130</f>
        <v/>
      </c>
      <c r="C130">
        <f>Data_thang!D130</f>
        <v/>
      </c>
      <c r="D130">
        <f>Data_thang!E130</f>
        <v/>
      </c>
      <c r="E130">
        <f>Data_thang!F130</f>
        <v/>
      </c>
      <c r="F130">
        <f>Data_thang!G130</f>
        <v/>
      </c>
      <c r="G130" s="29">
        <f>Data_thang!J130-Data_thang!K130</f>
        <v/>
      </c>
      <c r="H130" s="29">
        <f>Data_thang!N130</f>
        <v/>
      </c>
      <c r="I130" s="29">
        <f>H130-G130</f>
        <v/>
      </c>
      <c r="J130" s="30">
        <f>IF(H130=0,IF(I130=0,0,1),I130/ABS(H130))</f>
        <v/>
      </c>
      <c r="K130" s="29">
        <f>H130-(Data_thang!O130-Data_thang!K130)</f>
        <v/>
      </c>
      <c r="L130">
        <f>IF(AND(ABS(I130)&gt;Dashboard!$G$6,ABS(J130)&gt;Dashboard!$H$6),"⚠ Vượt","")</f>
        <v/>
      </c>
      <c r="M130">
        <f>IF(AND(A130=Dashboard!$D$6,OR(Dashboard!$C$6="*",F130=Dashboard!$C$6),L130&lt;&gt;""),ABS(I130)+ROW()/1000000000,0)</f>
        <v/>
      </c>
    </row>
    <row r="131">
      <c r="A131">
        <f>Data_thang!A131</f>
        <v/>
      </c>
      <c r="B131">
        <f>Data_thang!B131</f>
        <v/>
      </c>
      <c r="C131">
        <f>Data_thang!D131</f>
        <v/>
      </c>
      <c r="D131">
        <f>Data_thang!E131</f>
        <v/>
      </c>
      <c r="E131">
        <f>Data_thang!F131</f>
        <v/>
      </c>
      <c r="F131">
        <f>Data_thang!G131</f>
        <v/>
      </c>
      <c r="G131" s="29">
        <f>Data_thang!J131-Data_thang!K131</f>
        <v/>
      </c>
      <c r="H131" s="29">
        <f>Data_thang!N131</f>
        <v/>
      </c>
      <c r="I131" s="29">
        <f>H131-G131</f>
        <v/>
      </c>
      <c r="J131" s="30">
        <f>IF(H131=0,IF(I131=0,0,1),I131/ABS(H131))</f>
        <v/>
      </c>
      <c r="K131" s="29">
        <f>H131-(Data_thang!O131-Data_thang!K131)</f>
        <v/>
      </c>
      <c r="L131">
        <f>IF(AND(ABS(I131)&gt;Dashboard!$G$6,ABS(J131)&gt;Dashboard!$H$6),"⚠ Vượt","")</f>
        <v/>
      </c>
      <c r="M131">
        <f>IF(AND(A131=Dashboard!$D$6,OR(Dashboard!$C$6="*",F131=Dashboard!$C$6),L131&lt;&gt;""),ABS(I131)+ROW()/1000000000,0)</f>
        <v/>
      </c>
    </row>
    <row r="132">
      <c r="A132">
        <f>Data_thang!A132</f>
        <v/>
      </c>
      <c r="B132">
        <f>Data_thang!B132</f>
        <v/>
      </c>
      <c r="C132">
        <f>Data_thang!D132</f>
        <v/>
      </c>
      <c r="D132">
        <f>Data_thang!E132</f>
        <v/>
      </c>
      <c r="E132">
        <f>Data_thang!F132</f>
        <v/>
      </c>
      <c r="F132">
        <f>Data_thang!G132</f>
        <v/>
      </c>
      <c r="G132" s="29">
        <f>Data_thang!J132-Data_thang!K132</f>
        <v/>
      </c>
      <c r="H132" s="29">
        <f>Data_thang!N132</f>
        <v/>
      </c>
      <c r="I132" s="29">
        <f>H132-G132</f>
        <v/>
      </c>
      <c r="J132" s="30">
        <f>IF(H132=0,IF(I132=0,0,1),I132/ABS(H132))</f>
        <v/>
      </c>
      <c r="K132" s="29">
        <f>H132-(Data_thang!O132-Data_thang!K132)</f>
        <v/>
      </c>
      <c r="L132">
        <f>IF(AND(ABS(I132)&gt;Dashboard!$G$6,ABS(J132)&gt;Dashboard!$H$6),"⚠ Vượt","")</f>
        <v/>
      </c>
      <c r="M132">
        <f>IF(AND(A132=Dashboard!$D$6,OR(Dashboard!$C$6="*",F132=Dashboard!$C$6),L132&lt;&gt;""),ABS(I132)+ROW()/1000000000,0)</f>
        <v/>
      </c>
    </row>
    <row r="133">
      <c r="A133">
        <f>Data_thang!A133</f>
        <v/>
      </c>
      <c r="B133">
        <f>Data_thang!B133</f>
        <v/>
      </c>
      <c r="C133">
        <f>Data_thang!D133</f>
        <v/>
      </c>
      <c r="D133">
        <f>Data_thang!E133</f>
        <v/>
      </c>
      <c r="E133">
        <f>Data_thang!F133</f>
        <v/>
      </c>
      <c r="F133">
        <f>Data_thang!G133</f>
        <v/>
      </c>
      <c r="G133" s="29">
        <f>Data_thang!J133-Data_thang!K133</f>
        <v/>
      </c>
      <c r="H133" s="29">
        <f>Data_thang!N133</f>
        <v/>
      </c>
      <c r="I133" s="29">
        <f>H133-G133</f>
        <v/>
      </c>
      <c r="J133" s="30">
        <f>IF(H133=0,IF(I133=0,0,1),I133/ABS(H133))</f>
        <v/>
      </c>
      <c r="K133" s="29">
        <f>H133-(Data_thang!O133-Data_thang!K133)</f>
        <v/>
      </c>
      <c r="L133">
        <f>IF(AND(ABS(I133)&gt;Dashboard!$G$6,ABS(J133)&gt;Dashboard!$H$6),"⚠ Vượt","")</f>
        <v/>
      </c>
      <c r="M133">
        <f>IF(AND(A133=Dashboard!$D$6,OR(Dashboard!$C$6="*",F133=Dashboard!$C$6),L133&lt;&gt;""),ABS(I133)+ROW()/1000000000,0)</f>
        <v/>
      </c>
    </row>
    <row r="134">
      <c r="A134">
        <f>Data_thang!A134</f>
        <v/>
      </c>
      <c r="B134">
        <f>Data_thang!B134</f>
        <v/>
      </c>
      <c r="C134">
        <f>Data_thang!D134</f>
        <v/>
      </c>
      <c r="D134">
        <f>Data_thang!E134</f>
        <v/>
      </c>
      <c r="E134">
        <f>Data_thang!F134</f>
        <v/>
      </c>
      <c r="F134">
        <f>Data_thang!G134</f>
        <v/>
      </c>
      <c r="G134" s="29">
        <f>Data_thang!J134-Data_thang!K134</f>
        <v/>
      </c>
      <c r="H134" s="29">
        <f>Data_thang!N134</f>
        <v/>
      </c>
      <c r="I134" s="29">
        <f>H134-G134</f>
        <v/>
      </c>
      <c r="J134" s="30">
        <f>IF(H134=0,IF(I134=0,0,1),I134/ABS(H134))</f>
        <v/>
      </c>
      <c r="K134" s="29">
        <f>H134-(Data_thang!O134-Data_thang!K134)</f>
        <v/>
      </c>
      <c r="L134">
        <f>IF(AND(ABS(I134)&gt;Dashboard!$G$6,ABS(J134)&gt;Dashboard!$H$6),"⚠ Vượt","")</f>
        <v/>
      </c>
      <c r="M134">
        <f>IF(AND(A134=Dashboard!$D$6,OR(Dashboard!$C$6="*",F134=Dashboard!$C$6),L134&lt;&gt;""),ABS(I134)+ROW()/1000000000,0)</f>
        <v/>
      </c>
    </row>
    <row r="135">
      <c r="A135">
        <f>Data_thang!A135</f>
        <v/>
      </c>
      <c r="B135">
        <f>Data_thang!B135</f>
        <v/>
      </c>
      <c r="C135">
        <f>Data_thang!D135</f>
        <v/>
      </c>
      <c r="D135">
        <f>Data_thang!E135</f>
        <v/>
      </c>
      <c r="E135">
        <f>Data_thang!F135</f>
        <v/>
      </c>
      <c r="F135">
        <f>Data_thang!G135</f>
        <v/>
      </c>
      <c r="G135" s="29">
        <f>Data_thang!J135-Data_thang!K135</f>
        <v/>
      </c>
      <c r="H135" s="29">
        <f>Data_thang!N135</f>
        <v/>
      </c>
      <c r="I135" s="29">
        <f>H135-G135</f>
        <v/>
      </c>
      <c r="J135" s="30">
        <f>IF(H135=0,IF(I135=0,0,1),I135/ABS(H135))</f>
        <v/>
      </c>
      <c r="K135" s="29">
        <f>H135-(Data_thang!O135-Data_thang!K135)</f>
        <v/>
      </c>
      <c r="L135">
        <f>IF(AND(ABS(I135)&gt;Dashboard!$G$6,ABS(J135)&gt;Dashboard!$H$6),"⚠ Vượt","")</f>
        <v/>
      </c>
      <c r="M135">
        <f>IF(AND(A135=Dashboard!$D$6,OR(Dashboard!$C$6="*",F135=Dashboard!$C$6),L135&lt;&gt;""),ABS(I135)+ROW()/1000000000,0)</f>
        <v/>
      </c>
    </row>
    <row r="136">
      <c r="A136">
        <f>Data_thang!A136</f>
        <v/>
      </c>
      <c r="B136">
        <f>Data_thang!B136</f>
        <v/>
      </c>
      <c r="C136">
        <f>Data_thang!D136</f>
        <v/>
      </c>
      <c r="D136">
        <f>Data_thang!E136</f>
        <v/>
      </c>
      <c r="E136">
        <f>Data_thang!F136</f>
        <v/>
      </c>
      <c r="F136">
        <f>Data_thang!G136</f>
        <v/>
      </c>
      <c r="G136" s="29">
        <f>Data_thang!J136-Data_thang!K136</f>
        <v/>
      </c>
      <c r="H136" s="29">
        <f>Data_thang!N136</f>
        <v/>
      </c>
      <c r="I136" s="29">
        <f>H136-G136</f>
        <v/>
      </c>
      <c r="J136" s="30">
        <f>IF(H136=0,IF(I136=0,0,1),I136/ABS(H136))</f>
        <v/>
      </c>
      <c r="K136" s="29">
        <f>H136-(Data_thang!O136-Data_thang!K136)</f>
        <v/>
      </c>
      <c r="L136">
        <f>IF(AND(ABS(I136)&gt;Dashboard!$G$6,ABS(J136)&gt;Dashboard!$H$6),"⚠ Vượt","")</f>
        <v/>
      </c>
      <c r="M136">
        <f>IF(AND(A136=Dashboard!$D$6,OR(Dashboard!$C$6="*",F136=Dashboard!$C$6),L136&lt;&gt;""),ABS(I136)+ROW()/1000000000,0)</f>
        <v/>
      </c>
    </row>
    <row r="137">
      <c r="A137">
        <f>Data_thang!A137</f>
        <v/>
      </c>
      <c r="B137">
        <f>Data_thang!B137</f>
        <v/>
      </c>
      <c r="C137">
        <f>Data_thang!D137</f>
        <v/>
      </c>
      <c r="D137">
        <f>Data_thang!E137</f>
        <v/>
      </c>
      <c r="E137">
        <f>Data_thang!F137</f>
        <v/>
      </c>
      <c r="F137">
        <f>Data_thang!G137</f>
        <v/>
      </c>
      <c r="G137" s="29">
        <f>Data_thang!J137-Data_thang!K137</f>
        <v/>
      </c>
      <c r="H137" s="29">
        <f>Data_thang!N137</f>
        <v/>
      </c>
      <c r="I137" s="29">
        <f>H137-G137</f>
        <v/>
      </c>
      <c r="J137" s="30">
        <f>IF(H137=0,IF(I137=0,0,1),I137/ABS(H137))</f>
        <v/>
      </c>
      <c r="K137" s="29">
        <f>H137-(Data_thang!O137-Data_thang!K137)</f>
        <v/>
      </c>
      <c r="L137">
        <f>IF(AND(ABS(I137)&gt;Dashboard!$G$6,ABS(J137)&gt;Dashboard!$H$6),"⚠ Vượt","")</f>
        <v/>
      </c>
      <c r="M137">
        <f>IF(AND(A137=Dashboard!$D$6,OR(Dashboard!$C$6="*",F137=Dashboard!$C$6),L137&lt;&gt;""),ABS(I137)+ROW()/1000000000,0)</f>
        <v/>
      </c>
    </row>
    <row r="138">
      <c r="A138">
        <f>Data_thang!A138</f>
        <v/>
      </c>
      <c r="B138">
        <f>Data_thang!B138</f>
        <v/>
      </c>
      <c r="C138">
        <f>Data_thang!D138</f>
        <v/>
      </c>
      <c r="D138">
        <f>Data_thang!E138</f>
        <v/>
      </c>
      <c r="E138">
        <f>Data_thang!F138</f>
        <v/>
      </c>
      <c r="F138">
        <f>Data_thang!G138</f>
        <v/>
      </c>
      <c r="G138" s="29">
        <f>Data_thang!J138-Data_thang!K138</f>
        <v/>
      </c>
      <c r="H138" s="29">
        <f>Data_thang!N138</f>
        <v/>
      </c>
      <c r="I138" s="29">
        <f>H138-G138</f>
        <v/>
      </c>
      <c r="J138" s="30">
        <f>IF(H138=0,IF(I138=0,0,1),I138/ABS(H138))</f>
        <v/>
      </c>
      <c r="K138" s="29">
        <f>H138-(Data_thang!O138-Data_thang!K138)</f>
        <v/>
      </c>
      <c r="L138">
        <f>IF(AND(ABS(I138)&gt;Dashboard!$G$6,ABS(J138)&gt;Dashboard!$H$6),"⚠ Vượt","")</f>
        <v/>
      </c>
      <c r="M138">
        <f>IF(AND(A138=Dashboard!$D$6,OR(Dashboard!$C$6="*",F138=Dashboard!$C$6),L138&lt;&gt;""),ABS(I138)+ROW()/1000000000,0)</f>
        <v/>
      </c>
    </row>
    <row r="139">
      <c r="A139">
        <f>Data_thang!A139</f>
        <v/>
      </c>
      <c r="B139">
        <f>Data_thang!B139</f>
        <v/>
      </c>
      <c r="C139">
        <f>Data_thang!D139</f>
        <v/>
      </c>
      <c r="D139">
        <f>Data_thang!E139</f>
        <v/>
      </c>
      <c r="E139">
        <f>Data_thang!F139</f>
        <v/>
      </c>
      <c r="F139">
        <f>Data_thang!G139</f>
        <v/>
      </c>
      <c r="G139" s="29">
        <f>Data_thang!J139-Data_thang!K139</f>
        <v/>
      </c>
      <c r="H139" s="29">
        <f>Data_thang!N139</f>
        <v/>
      </c>
      <c r="I139" s="29">
        <f>H139-G139</f>
        <v/>
      </c>
      <c r="J139" s="30">
        <f>IF(H139=0,IF(I139=0,0,1),I139/ABS(H139))</f>
        <v/>
      </c>
      <c r="K139" s="29">
        <f>H139-(Data_thang!O139-Data_thang!K139)</f>
        <v/>
      </c>
      <c r="L139">
        <f>IF(AND(ABS(I139)&gt;Dashboard!$G$6,ABS(J139)&gt;Dashboard!$H$6),"⚠ Vượt","")</f>
        <v/>
      </c>
      <c r="M139">
        <f>IF(AND(A139=Dashboard!$D$6,OR(Dashboard!$C$6="*",F139=Dashboard!$C$6),L139&lt;&gt;""),ABS(I139)+ROW()/1000000000,0)</f>
        <v/>
      </c>
    </row>
    <row r="140">
      <c r="A140">
        <f>Data_thang!A140</f>
        <v/>
      </c>
      <c r="B140">
        <f>Data_thang!B140</f>
        <v/>
      </c>
      <c r="C140">
        <f>Data_thang!D140</f>
        <v/>
      </c>
      <c r="D140">
        <f>Data_thang!E140</f>
        <v/>
      </c>
      <c r="E140">
        <f>Data_thang!F140</f>
        <v/>
      </c>
      <c r="F140">
        <f>Data_thang!G140</f>
        <v/>
      </c>
      <c r="G140" s="29">
        <f>Data_thang!J140-Data_thang!K140</f>
        <v/>
      </c>
      <c r="H140" s="29">
        <f>Data_thang!N140</f>
        <v/>
      </c>
      <c r="I140" s="29">
        <f>H140-G140</f>
        <v/>
      </c>
      <c r="J140" s="30">
        <f>IF(H140=0,IF(I140=0,0,1),I140/ABS(H140))</f>
        <v/>
      </c>
      <c r="K140" s="29">
        <f>H140-(Data_thang!O140-Data_thang!K140)</f>
        <v/>
      </c>
      <c r="L140">
        <f>IF(AND(ABS(I140)&gt;Dashboard!$G$6,ABS(J140)&gt;Dashboard!$H$6),"⚠ Vượt","")</f>
        <v/>
      </c>
      <c r="M140">
        <f>IF(AND(A140=Dashboard!$D$6,OR(Dashboard!$C$6="*",F140=Dashboard!$C$6),L140&lt;&gt;""),ABS(I140)+ROW()/1000000000,0)</f>
        <v/>
      </c>
    </row>
    <row r="141">
      <c r="A141">
        <f>Data_thang!A141</f>
        <v/>
      </c>
      <c r="B141">
        <f>Data_thang!B141</f>
        <v/>
      </c>
      <c r="C141">
        <f>Data_thang!D141</f>
        <v/>
      </c>
      <c r="D141">
        <f>Data_thang!E141</f>
        <v/>
      </c>
      <c r="E141">
        <f>Data_thang!F141</f>
        <v/>
      </c>
      <c r="F141">
        <f>Data_thang!G141</f>
        <v/>
      </c>
      <c r="G141" s="29">
        <f>Data_thang!J141-Data_thang!K141</f>
        <v/>
      </c>
      <c r="H141" s="29">
        <f>Data_thang!N141</f>
        <v/>
      </c>
      <c r="I141" s="29">
        <f>H141-G141</f>
        <v/>
      </c>
      <c r="J141" s="30">
        <f>IF(H141=0,IF(I141=0,0,1),I141/ABS(H141))</f>
        <v/>
      </c>
      <c r="K141" s="29">
        <f>H141-(Data_thang!O141-Data_thang!K141)</f>
        <v/>
      </c>
      <c r="L141">
        <f>IF(AND(ABS(I141)&gt;Dashboard!$G$6,ABS(J141)&gt;Dashboard!$H$6),"⚠ Vượt","")</f>
        <v/>
      </c>
      <c r="M141">
        <f>IF(AND(A141=Dashboard!$D$6,OR(Dashboard!$C$6="*",F141=Dashboard!$C$6),L141&lt;&gt;""),ABS(I141)+ROW()/1000000000,0)</f>
        <v/>
      </c>
    </row>
    <row r="142">
      <c r="A142">
        <f>Data_thang!A142</f>
        <v/>
      </c>
      <c r="B142">
        <f>Data_thang!B142</f>
        <v/>
      </c>
      <c r="C142">
        <f>Data_thang!D142</f>
        <v/>
      </c>
      <c r="D142">
        <f>Data_thang!E142</f>
        <v/>
      </c>
      <c r="E142">
        <f>Data_thang!F142</f>
        <v/>
      </c>
      <c r="F142">
        <f>Data_thang!G142</f>
        <v/>
      </c>
      <c r="G142" s="29">
        <f>Data_thang!J142-Data_thang!K142</f>
        <v/>
      </c>
      <c r="H142" s="29">
        <f>Data_thang!N142</f>
        <v/>
      </c>
      <c r="I142" s="29">
        <f>H142-G142</f>
        <v/>
      </c>
      <c r="J142" s="30">
        <f>IF(H142=0,IF(I142=0,0,1),I142/ABS(H142))</f>
        <v/>
      </c>
      <c r="K142" s="29">
        <f>H142-(Data_thang!O142-Data_thang!K142)</f>
        <v/>
      </c>
      <c r="L142">
        <f>IF(AND(ABS(I142)&gt;Dashboard!$G$6,ABS(J142)&gt;Dashboard!$H$6),"⚠ Vượt","")</f>
        <v/>
      </c>
      <c r="M142">
        <f>IF(AND(A142=Dashboard!$D$6,OR(Dashboard!$C$6="*",F142=Dashboard!$C$6),L142&lt;&gt;""),ABS(I142)+ROW()/1000000000,0)</f>
        <v/>
      </c>
    </row>
    <row r="143">
      <c r="A143">
        <f>Data_thang!A143</f>
        <v/>
      </c>
      <c r="B143">
        <f>Data_thang!B143</f>
        <v/>
      </c>
      <c r="C143">
        <f>Data_thang!D143</f>
        <v/>
      </c>
      <c r="D143">
        <f>Data_thang!E143</f>
        <v/>
      </c>
      <c r="E143">
        <f>Data_thang!F143</f>
        <v/>
      </c>
      <c r="F143">
        <f>Data_thang!G143</f>
        <v/>
      </c>
      <c r="G143" s="29">
        <f>Data_thang!J143-Data_thang!K143</f>
        <v/>
      </c>
      <c r="H143" s="29">
        <f>Data_thang!N143</f>
        <v/>
      </c>
      <c r="I143" s="29">
        <f>H143-G143</f>
        <v/>
      </c>
      <c r="J143" s="30">
        <f>IF(H143=0,IF(I143=0,0,1),I143/ABS(H143))</f>
        <v/>
      </c>
      <c r="K143" s="29">
        <f>H143-(Data_thang!O143-Data_thang!K143)</f>
        <v/>
      </c>
      <c r="L143">
        <f>IF(AND(ABS(I143)&gt;Dashboard!$G$6,ABS(J143)&gt;Dashboard!$H$6),"⚠ Vượt","")</f>
        <v/>
      </c>
      <c r="M143">
        <f>IF(AND(A143=Dashboard!$D$6,OR(Dashboard!$C$6="*",F143=Dashboard!$C$6),L143&lt;&gt;""),ABS(I143)+ROW()/1000000000,0)</f>
        <v/>
      </c>
    </row>
    <row r="144">
      <c r="A144">
        <f>Data_thang!A144</f>
        <v/>
      </c>
      <c r="B144">
        <f>Data_thang!B144</f>
        <v/>
      </c>
      <c r="C144">
        <f>Data_thang!D144</f>
        <v/>
      </c>
      <c r="D144">
        <f>Data_thang!E144</f>
        <v/>
      </c>
      <c r="E144">
        <f>Data_thang!F144</f>
        <v/>
      </c>
      <c r="F144">
        <f>Data_thang!G144</f>
        <v/>
      </c>
      <c r="G144" s="29">
        <f>Data_thang!J144-Data_thang!K144</f>
        <v/>
      </c>
      <c r="H144" s="29">
        <f>Data_thang!N144</f>
        <v/>
      </c>
      <c r="I144" s="29">
        <f>H144-G144</f>
        <v/>
      </c>
      <c r="J144" s="30">
        <f>IF(H144=0,IF(I144=0,0,1),I144/ABS(H144))</f>
        <v/>
      </c>
      <c r="K144" s="29">
        <f>H144-(Data_thang!O144-Data_thang!K144)</f>
        <v/>
      </c>
      <c r="L144">
        <f>IF(AND(ABS(I144)&gt;Dashboard!$G$6,ABS(J144)&gt;Dashboard!$H$6),"⚠ Vượt","")</f>
        <v/>
      </c>
      <c r="M144">
        <f>IF(AND(A144=Dashboard!$D$6,OR(Dashboard!$C$6="*",F144=Dashboard!$C$6),L144&lt;&gt;""),ABS(I144)+ROW()/1000000000,0)</f>
        <v/>
      </c>
    </row>
    <row r="145">
      <c r="A145">
        <f>Data_thang!A145</f>
        <v/>
      </c>
      <c r="B145">
        <f>Data_thang!B145</f>
        <v/>
      </c>
      <c r="C145">
        <f>Data_thang!D145</f>
        <v/>
      </c>
      <c r="D145">
        <f>Data_thang!E145</f>
        <v/>
      </c>
      <c r="E145">
        <f>Data_thang!F145</f>
        <v/>
      </c>
      <c r="F145">
        <f>Data_thang!G145</f>
        <v/>
      </c>
      <c r="G145" s="29">
        <f>Data_thang!J145-Data_thang!K145</f>
        <v/>
      </c>
      <c r="H145" s="29">
        <f>Data_thang!N145</f>
        <v/>
      </c>
      <c r="I145" s="29">
        <f>H145-G145</f>
        <v/>
      </c>
      <c r="J145" s="30">
        <f>IF(H145=0,IF(I145=0,0,1),I145/ABS(H145))</f>
        <v/>
      </c>
      <c r="K145" s="29">
        <f>H145-(Data_thang!O145-Data_thang!K145)</f>
        <v/>
      </c>
      <c r="L145">
        <f>IF(AND(ABS(I145)&gt;Dashboard!$G$6,ABS(J145)&gt;Dashboard!$H$6),"⚠ Vượt","")</f>
        <v/>
      </c>
      <c r="M145">
        <f>IF(AND(A145=Dashboard!$D$6,OR(Dashboard!$C$6="*",F145=Dashboard!$C$6),L145&lt;&gt;""),ABS(I145)+ROW()/1000000000,0)</f>
        <v/>
      </c>
    </row>
    <row r="146">
      <c r="A146">
        <f>Data_thang!A146</f>
        <v/>
      </c>
      <c r="B146">
        <f>Data_thang!B146</f>
        <v/>
      </c>
      <c r="C146">
        <f>Data_thang!D146</f>
        <v/>
      </c>
      <c r="D146">
        <f>Data_thang!E146</f>
        <v/>
      </c>
      <c r="E146">
        <f>Data_thang!F146</f>
        <v/>
      </c>
      <c r="F146">
        <f>Data_thang!G146</f>
        <v/>
      </c>
      <c r="G146" s="29">
        <f>Data_thang!J146-Data_thang!K146</f>
        <v/>
      </c>
      <c r="H146" s="29">
        <f>Data_thang!N146</f>
        <v/>
      </c>
      <c r="I146" s="29">
        <f>H146-G146</f>
        <v/>
      </c>
      <c r="J146" s="30">
        <f>IF(H146=0,IF(I146=0,0,1),I146/ABS(H146))</f>
        <v/>
      </c>
      <c r="K146" s="29">
        <f>H146-(Data_thang!O146-Data_thang!K146)</f>
        <v/>
      </c>
      <c r="L146">
        <f>IF(AND(ABS(I146)&gt;Dashboard!$G$6,ABS(J146)&gt;Dashboard!$H$6),"⚠ Vượt","")</f>
        <v/>
      </c>
      <c r="M146">
        <f>IF(AND(A146=Dashboard!$D$6,OR(Dashboard!$C$6="*",F146=Dashboard!$C$6),L146&lt;&gt;""),ABS(I146)+ROW()/1000000000,0)</f>
        <v/>
      </c>
    </row>
    <row r="147">
      <c r="A147">
        <f>Data_thang!A147</f>
        <v/>
      </c>
      <c r="B147">
        <f>Data_thang!B147</f>
        <v/>
      </c>
      <c r="C147">
        <f>Data_thang!D147</f>
        <v/>
      </c>
      <c r="D147">
        <f>Data_thang!E147</f>
        <v/>
      </c>
      <c r="E147">
        <f>Data_thang!F147</f>
        <v/>
      </c>
      <c r="F147">
        <f>Data_thang!G147</f>
        <v/>
      </c>
      <c r="G147" s="29">
        <f>Data_thang!J147-Data_thang!K147</f>
        <v/>
      </c>
      <c r="H147" s="29">
        <f>Data_thang!N147</f>
        <v/>
      </c>
      <c r="I147" s="29">
        <f>H147-G147</f>
        <v/>
      </c>
      <c r="J147" s="30">
        <f>IF(H147=0,IF(I147=0,0,1),I147/ABS(H147))</f>
        <v/>
      </c>
      <c r="K147" s="29">
        <f>H147-(Data_thang!O147-Data_thang!K147)</f>
        <v/>
      </c>
      <c r="L147">
        <f>IF(AND(ABS(I147)&gt;Dashboard!$G$6,ABS(J147)&gt;Dashboard!$H$6),"⚠ Vượt","")</f>
        <v/>
      </c>
      <c r="M147">
        <f>IF(AND(A147=Dashboard!$D$6,OR(Dashboard!$C$6="*",F147=Dashboard!$C$6),L147&lt;&gt;""),ABS(I147)+ROW()/1000000000,0)</f>
        <v/>
      </c>
    </row>
    <row r="148">
      <c r="A148">
        <f>Data_thang!A148</f>
        <v/>
      </c>
      <c r="B148">
        <f>Data_thang!B148</f>
        <v/>
      </c>
      <c r="C148">
        <f>Data_thang!D148</f>
        <v/>
      </c>
      <c r="D148">
        <f>Data_thang!E148</f>
        <v/>
      </c>
      <c r="E148">
        <f>Data_thang!F148</f>
        <v/>
      </c>
      <c r="F148">
        <f>Data_thang!G148</f>
        <v/>
      </c>
      <c r="G148" s="29">
        <f>Data_thang!J148-Data_thang!K148</f>
        <v/>
      </c>
      <c r="H148" s="29">
        <f>Data_thang!N148</f>
        <v/>
      </c>
      <c r="I148" s="29">
        <f>H148-G148</f>
        <v/>
      </c>
      <c r="J148" s="30">
        <f>IF(H148=0,IF(I148=0,0,1),I148/ABS(H148))</f>
        <v/>
      </c>
      <c r="K148" s="29">
        <f>H148-(Data_thang!O148-Data_thang!K148)</f>
        <v/>
      </c>
      <c r="L148">
        <f>IF(AND(ABS(I148)&gt;Dashboard!$G$6,ABS(J148)&gt;Dashboard!$H$6),"⚠ Vượt","")</f>
        <v/>
      </c>
      <c r="M148">
        <f>IF(AND(A148=Dashboard!$D$6,OR(Dashboard!$C$6="*",F148=Dashboard!$C$6),L148&lt;&gt;""),ABS(I148)+ROW()/1000000000,0)</f>
        <v/>
      </c>
    </row>
    <row r="149">
      <c r="A149">
        <f>Data_thang!A149</f>
        <v/>
      </c>
      <c r="B149">
        <f>Data_thang!B149</f>
        <v/>
      </c>
      <c r="C149">
        <f>Data_thang!D149</f>
        <v/>
      </c>
      <c r="D149">
        <f>Data_thang!E149</f>
        <v/>
      </c>
      <c r="E149">
        <f>Data_thang!F149</f>
        <v/>
      </c>
      <c r="F149">
        <f>Data_thang!G149</f>
        <v/>
      </c>
      <c r="G149" s="29">
        <f>Data_thang!J149-Data_thang!K149</f>
        <v/>
      </c>
      <c r="H149" s="29">
        <f>Data_thang!N149</f>
        <v/>
      </c>
      <c r="I149" s="29">
        <f>H149-G149</f>
        <v/>
      </c>
      <c r="J149" s="30">
        <f>IF(H149=0,IF(I149=0,0,1),I149/ABS(H149))</f>
        <v/>
      </c>
      <c r="K149" s="29">
        <f>H149-(Data_thang!O149-Data_thang!K149)</f>
        <v/>
      </c>
      <c r="L149">
        <f>IF(AND(ABS(I149)&gt;Dashboard!$G$6,ABS(J149)&gt;Dashboard!$H$6),"⚠ Vượt","")</f>
        <v/>
      </c>
      <c r="M149">
        <f>IF(AND(A149=Dashboard!$D$6,OR(Dashboard!$C$6="*",F149=Dashboard!$C$6),L149&lt;&gt;""),ABS(I149)+ROW()/1000000000,0)</f>
        <v/>
      </c>
    </row>
    <row r="150">
      <c r="A150">
        <f>Data_thang!A150</f>
        <v/>
      </c>
      <c r="B150">
        <f>Data_thang!B150</f>
        <v/>
      </c>
      <c r="C150">
        <f>Data_thang!D150</f>
        <v/>
      </c>
      <c r="D150">
        <f>Data_thang!E150</f>
        <v/>
      </c>
      <c r="E150">
        <f>Data_thang!F150</f>
        <v/>
      </c>
      <c r="F150">
        <f>Data_thang!G150</f>
        <v/>
      </c>
      <c r="G150" s="29">
        <f>Data_thang!J150-Data_thang!K150</f>
        <v/>
      </c>
      <c r="H150" s="29">
        <f>Data_thang!N150</f>
        <v/>
      </c>
      <c r="I150" s="29">
        <f>H150-G150</f>
        <v/>
      </c>
      <c r="J150" s="30">
        <f>IF(H150=0,IF(I150=0,0,1),I150/ABS(H150))</f>
        <v/>
      </c>
      <c r="K150" s="29">
        <f>H150-(Data_thang!O150-Data_thang!K150)</f>
        <v/>
      </c>
      <c r="L150">
        <f>IF(AND(ABS(I150)&gt;Dashboard!$G$6,ABS(J150)&gt;Dashboard!$H$6),"⚠ Vượt","")</f>
        <v/>
      </c>
      <c r="M150">
        <f>IF(AND(A150=Dashboard!$D$6,OR(Dashboard!$C$6="*",F150=Dashboard!$C$6),L150&lt;&gt;""),ABS(I150)+ROW()/1000000000,0)</f>
        <v/>
      </c>
    </row>
    <row r="151">
      <c r="A151">
        <f>Data_thang!A151</f>
        <v/>
      </c>
      <c r="B151">
        <f>Data_thang!B151</f>
        <v/>
      </c>
      <c r="C151">
        <f>Data_thang!D151</f>
        <v/>
      </c>
      <c r="D151">
        <f>Data_thang!E151</f>
        <v/>
      </c>
      <c r="E151">
        <f>Data_thang!F151</f>
        <v/>
      </c>
      <c r="F151">
        <f>Data_thang!G151</f>
        <v/>
      </c>
      <c r="G151" s="29">
        <f>Data_thang!J151-Data_thang!K151</f>
        <v/>
      </c>
      <c r="H151" s="29">
        <f>Data_thang!N151</f>
        <v/>
      </c>
      <c r="I151" s="29">
        <f>H151-G151</f>
        <v/>
      </c>
      <c r="J151" s="30">
        <f>IF(H151=0,IF(I151=0,0,1),I151/ABS(H151))</f>
        <v/>
      </c>
      <c r="K151" s="29">
        <f>H151-(Data_thang!O151-Data_thang!K151)</f>
        <v/>
      </c>
      <c r="L151">
        <f>IF(AND(ABS(I151)&gt;Dashboard!$G$6,ABS(J151)&gt;Dashboard!$H$6),"⚠ Vượt","")</f>
        <v/>
      </c>
      <c r="M151">
        <f>IF(AND(A151=Dashboard!$D$6,OR(Dashboard!$C$6="*",F151=Dashboard!$C$6),L151&lt;&gt;""),ABS(I151)+ROW()/1000000000,0)</f>
        <v/>
      </c>
    </row>
    <row r="152">
      <c r="A152">
        <f>Data_thang!A152</f>
        <v/>
      </c>
      <c r="B152">
        <f>Data_thang!B152</f>
        <v/>
      </c>
      <c r="C152">
        <f>Data_thang!D152</f>
        <v/>
      </c>
      <c r="D152">
        <f>Data_thang!E152</f>
        <v/>
      </c>
      <c r="E152">
        <f>Data_thang!F152</f>
        <v/>
      </c>
      <c r="F152">
        <f>Data_thang!G152</f>
        <v/>
      </c>
      <c r="G152" s="29">
        <f>Data_thang!J152-Data_thang!K152</f>
        <v/>
      </c>
      <c r="H152" s="29">
        <f>Data_thang!N152</f>
        <v/>
      </c>
      <c r="I152" s="29">
        <f>H152-G152</f>
        <v/>
      </c>
      <c r="J152" s="30">
        <f>IF(H152=0,IF(I152=0,0,1),I152/ABS(H152))</f>
        <v/>
      </c>
      <c r="K152" s="29">
        <f>H152-(Data_thang!O152-Data_thang!K152)</f>
        <v/>
      </c>
      <c r="L152">
        <f>IF(AND(ABS(I152)&gt;Dashboard!$G$6,ABS(J152)&gt;Dashboard!$H$6),"⚠ Vượt","")</f>
        <v/>
      </c>
      <c r="M152">
        <f>IF(AND(A152=Dashboard!$D$6,OR(Dashboard!$C$6="*",F152=Dashboard!$C$6),L152&lt;&gt;""),ABS(I152)+ROW()/1000000000,0)</f>
        <v/>
      </c>
    </row>
    <row r="153">
      <c r="A153">
        <f>Data_thang!A153</f>
        <v/>
      </c>
      <c r="B153">
        <f>Data_thang!B153</f>
        <v/>
      </c>
      <c r="C153">
        <f>Data_thang!D153</f>
        <v/>
      </c>
      <c r="D153">
        <f>Data_thang!E153</f>
        <v/>
      </c>
      <c r="E153">
        <f>Data_thang!F153</f>
        <v/>
      </c>
      <c r="F153">
        <f>Data_thang!G153</f>
        <v/>
      </c>
      <c r="G153" s="29">
        <f>Data_thang!J153-Data_thang!K153</f>
        <v/>
      </c>
      <c r="H153" s="29">
        <f>Data_thang!N153</f>
        <v/>
      </c>
      <c r="I153" s="29">
        <f>H153-G153</f>
        <v/>
      </c>
      <c r="J153" s="30">
        <f>IF(H153=0,IF(I153=0,0,1),I153/ABS(H153))</f>
        <v/>
      </c>
      <c r="K153" s="29">
        <f>H153-(Data_thang!O153-Data_thang!K153)</f>
        <v/>
      </c>
      <c r="L153">
        <f>IF(AND(ABS(I153)&gt;Dashboard!$G$6,ABS(J153)&gt;Dashboard!$H$6),"⚠ Vượt","")</f>
        <v/>
      </c>
      <c r="M153">
        <f>IF(AND(A153=Dashboard!$D$6,OR(Dashboard!$C$6="*",F153=Dashboard!$C$6),L153&lt;&gt;""),ABS(I153)+ROW()/1000000000,0)</f>
        <v/>
      </c>
    </row>
    <row r="154">
      <c r="A154">
        <f>Data_thang!A154</f>
        <v/>
      </c>
      <c r="B154">
        <f>Data_thang!B154</f>
        <v/>
      </c>
      <c r="C154">
        <f>Data_thang!D154</f>
        <v/>
      </c>
      <c r="D154">
        <f>Data_thang!E154</f>
        <v/>
      </c>
      <c r="E154">
        <f>Data_thang!F154</f>
        <v/>
      </c>
      <c r="F154">
        <f>Data_thang!G154</f>
        <v/>
      </c>
      <c r="G154" s="29">
        <f>Data_thang!J154-Data_thang!K154</f>
        <v/>
      </c>
      <c r="H154" s="29">
        <f>Data_thang!N154</f>
        <v/>
      </c>
      <c r="I154" s="29">
        <f>H154-G154</f>
        <v/>
      </c>
      <c r="J154" s="30">
        <f>IF(H154=0,IF(I154=0,0,1),I154/ABS(H154))</f>
        <v/>
      </c>
      <c r="K154" s="29">
        <f>H154-(Data_thang!O154-Data_thang!K154)</f>
        <v/>
      </c>
      <c r="L154">
        <f>IF(AND(ABS(I154)&gt;Dashboard!$G$6,ABS(J154)&gt;Dashboard!$H$6),"⚠ Vượt","")</f>
        <v/>
      </c>
      <c r="M154">
        <f>IF(AND(A154=Dashboard!$D$6,OR(Dashboard!$C$6="*",F154=Dashboard!$C$6),L154&lt;&gt;""),ABS(I154)+ROW()/1000000000,0)</f>
        <v/>
      </c>
    </row>
    <row r="155">
      <c r="A155">
        <f>Data_thang!A155</f>
        <v/>
      </c>
      <c r="B155">
        <f>Data_thang!B155</f>
        <v/>
      </c>
      <c r="C155">
        <f>Data_thang!D155</f>
        <v/>
      </c>
      <c r="D155">
        <f>Data_thang!E155</f>
        <v/>
      </c>
      <c r="E155">
        <f>Data_thang!F155</f>
        <v/>
      </c>
      <c r="F155">
        <f>Data_thang!G155</f>
        <v/>
      </c>
      <c r="G155" s="29">
        <f>Data_thang!J155-Data_thang!K155</f>
        <v/>
      </c>
      <c r="H155" s="29">
        <f>Data_thang!N155</f>
        <v/>
      </c>
      <c r="I155" s="29">
        <f>H155-G155</f>
        <v/>
      </c>
      <c r="J155" s="30">
        <f>IF(H155=0,IF(I155=0,0,1),I155/ABS(H155))</f>
        <v/>
      </c>
      <c r="K155" s="29">
        <f>H155-(Data_thang!O155-Data_thang!K155)</f>
        <v/>
      </c>
      <c r="L155">
        <f>IF(AND(ABS(I155)&gt;Dashboard!$G$6,ABS(J155)&gt;Dashboard!$H$6),"⚠ Vượt","")</f>
        <v/>
      </c>
      <c r="M155">
        <f>IF(AND(A155=Dashboard!$D$6,OR(Dashboard!$C$6="*",F155=Dashboard!$C$6),L155&lt;&gt;""),ABS(I155)+ROW()/1000000000,0)</f>
        <v/>
      </c>
    </row>
    <row r="156">
      <c r="A156">
        <f>Data_thang!A156</f>
        <v/>
      </c>
      <c r="B156">
        <f>Data_thang!B156</f>
        <v/>
      </c>
      <c r="C156">
        <f>Data_thang!D156</f>
        <v/>
      </c>
      <c r="D156">
        <f>Data_thang!E156</f>
        <v/>
      </c>
      <c r="E156">
        <f>Data_thang!F156</f>
        <v/>
      </c>
      <c r="F156">
        <f>Data_thang!G156</f>
        <v/>
      </c>
      <c r="G156" s="29">
        <f>Data_thang!J156-Data_thang!K156</f>
        <v/>
      </c>
      <c r="H156" s="29">
        <f>Data_thang!N156</f>
        <v/>
      </c>
      <c r="I156" s="29">
        <f>H156-G156</f>
        <v/>
      </c>
      <c r="J156" s="30">
        <f>IF(H156=0,IF(I156=0,0,1),I156/ABS(H156))</f>
        <v/>
      </c>
      <c r="K156" s="29">
        <f>H156-(Data_thang!O156-Data_thang!K156)</f>
        <v/>
      </c>
      <c r="L156">
        <f>IF(AND(ABS(I156)&gt;Dashboard!$G$6,ABS(J156)&gt;Dashboard!$H$6),"⚠ Vượt","")</f>
        <v/>
      </c>
      <c r="M156">
        <f>IF(AND(A156=Dashboard!$D$6,OR(Dashboard!$C$6="*",F156=Dashboard!$C$6),L156&lt;&gt;""),ABS(I156)+ROW()/1000000000,0)</f>
        <v/>
      </c>
    </row>
    <row r="157">
      <c r="A157">
        <f>Data_thang!A157</f>
        <v/>
      </c>
      <c r="B157">
        <f>Data_thang!B157</f>
        <v/>
      </c>
      <c r="C157">
        <f>Data_thang!D157</f>
        <v/>
      </c>
      <c r="D157">
        <f>Data_thang!E157</f>
        <v/>
      </c>
      <c r="E157">
        <f>Data_thang!F157</f>
        <v/>
      </c>
      <c r="F157">
        <f>Data_thang!G157</f>
        <v/>
      </c>
      <c r="G157" s="29">
        <f>Data_thang!J157-Data_thang!K157</f>
        <v/>
      </c>
      <c r="H157" s="29">
        <f>Data_thang!N157</f>
        <v/>
      </c>
      <c r="I157" s="29">
        <f>H157-G157</f>
        <v/>
      </c>
      <c r="J157" s="30">
        <f>IF(H157=0,IF(I157=0,0,1),I157/ABS(H157))</f>
        <v/>
      </c>
      <c r="K157" s="29">
        <f>H157-(Data_thang!O157-Data_thang!K157)</f>
        <v/>
      </c>
      <c r="L157">
        <f>IF(AND(ABS(I157)&gt;Dashboard!$G$6,ABS(J157)&gt;Dashboard!$H$6),"⚠ Vượt","")</f>
        <v/>
      </c>
      <c r="M157">
        <f>IF(AND(A157=Dashboard!$D$6,OR(Dashboard!$C$6="*",F157=Dashboard!$C$6),L157&lt;&gt;""),ABS(I157)+ROW()/1000000000,0)</f>
        <v/>
      </c>
    </row>
    <row r="158">
      <c r="A158">
        <f>Data_thang!A158</f>
        <v/>
      </c>
      <c r="B158">
        <f>Data_thang!B158</f>
        <v/>
      </c>
      <c r="C158">
        <f>Data_thang!D158</f>
        <v/>
      </c>
      <c r="D158">
        <f>Data_thang!E158</f>
        <v/>
      </c>
      <c r="E158">
        <f>Data_thang!F158</f>
        <v/>
      </c>
      <c r="F158">
        <f>Data_thang!G158</f>
        <v/>
      </c>
      <c r="G158" s="29">
        <f>Data_thang!J158-Data_thang!K158</f>
        <v/>
      </c>
      <c r="H158" s="29">
        <f>Data_thang!N158</f>
        <v/>
      </c>
      <c r="I158" s="29">
        <f>H158-G158</f>
        <v/>
      </c>
      <c r="J158" s="30">
        <f>IF(H158=0,IF(I158=0,0,1),I158/ABS(H158))</f>
        <v/>
      </c>
      <c r="K158" s="29">
        <f>H158-(Data_thang!O158-Data_thang!K158)</f>
        <v/>
      </c>
      <c r="L158">
        <f>IF(AND(ABS(I158)&gt;Dashboard!$G$6,ABS(J158)&gt;Dashboard!$H$6),"⚠ Vượt","")</f>
        <v/>
      </c>
      <c r="M158">
        <f>IF(AND(A158=Dashboard!$D$6,OR(Dashboard!$C$6="*",F158=Dashboard!$C$6),L158&lt;&gt;""),ABS(I158)+ROW()/1000000000,0)</f>
        <v/>
      </c>
    </row>
    <row r="159">
      <c r="A159">
        <f>Data_thang!A159</f>
        <v/>
      </c>
      <c r="B159">
        <f>Data_thang!B159</f>
        <v/>
      </c>
      <c r="C159">
        <f>Data_thang!D159</f>
        <v/>
      </c>
      <c r="D159">
        <f>Data_thang!E159</f>
        <v/>
      </c>
      <c r="E159">
        <f>Data_thang!F159</f>
        <v/>
      </c>
      <c r="F159">
        <f>Data_thang!G159</f>
        <v/>
      </c>
      <c r="G159" s="29">
        <f>Data_thang!J159-Data_thang!K159</f>
        <v/>
      </c>
      <c r="H159" s="29">
        <f>Data_thang!N159</f>
        <v/>
      </c>
      <c r="I159" s="29">
        <f>H159-G159</f>
        <v/>
      </c>
      <c r="J159" s="30">
        <f>IF(H159=0,IF(I159=0,0,1),I159/ABS(H159))</f>
        <v/>
      </c>
      <c r="K159" s="29">
        <f>H159-(Data_thang!O159-Data_thang!K159)</f>
        <v/>
      </c>
      <c r="L159">
        <f>IF(AND(ABS(I159)&gt;Dashboard!$G$6,ABS(J159)&gt;Dashboard!$H$6),"⚠ Vượt","")</f>
        <v/>
      </c>
      <c r="M159">
        <f>IF(AND(A159=Dashboard!$D$6,OR(Dashboard!$C$6="*",F159=Dashboard!$C$6),L159&lt;&gt;""),ABS(I159)+ROW()/1000000000,0)</f>
        <v/>
      </c>
    </row>
    <row r="160">
      <c r="A160">
        <f>Data_thang!A160</f>
        <v/>
      </c>
      <c r="B160">
        <f>Data_thang!B160</f>
        <v/>
      </c>
      <c r="C160">
        <f>Data_thang!D160</f>
        <v/>
      </c>
      <c r="D160">
        <f>Data_thang!E160</f>
        <v/>
      </c>
      <c r="E160">
        <f>Data_thang!F160</f>
        <v/>
      </c>
      <c r="F160">
        <f>Data_thang!G160</f>
        <v/>
      </c>
      <c r="G160" s="29">
        <f>Data_thang!J160-Data_thang!K160</f>
        <v/>
      </c>
      <c r="H160" s="29">
        <f>Data_thang!N160</f>
        <v/>
      </c>
      <c r="I160" s="29">
        <f>H160-G160</f>
        <v/>
      </c>
      <c r="J160" s="30">
        <f>IF(H160=0,IF(I160=0,0,1),I160/ABS(H160))</f>
        <v/>
      </c>
      <c r="K160" s="29">
        <f>H160-(Data_thang!O160-Data_thang!K160)</f>
        <v/>
      </c>
      <c r="L160">
        <f>IF(AND(ABS(I160)&gt;Dashboard!$G$6,ABS(J160)&gt;Dashboard!$H$6),"⚠ Vượt","")</f>
        <v/>
      </c>
      <c r="M160">
        <f>IF(AND(A160=Dashboard!$D$6,OR(Dashboard!$C$6="*",F160=Dashboard!$C$6),L160&lt;&gt;""),ABS(I160)+ROW()/1000000000,0)</f>
        <v/>
      </c>
    </row>
    <row r="161">
      <c r="A161">
        <f>Data_thang!A161</f>
        <v/>
      </c>
      <c r="B161">
        <f>Data_thang!B161</f>
        <v/>
      </c>
      <c r="C161">
        <f>Data_thang!D161</f>
        <v/>
      </c>
      <c r="D161">
        <f>Data_thang!E161</f>
        <v/>
      </c>
      <c r="E161">
        <f>Data_thang!F161</f>
        <v/>
      </c>
      <c r="F161">
        <f>Data_thang!G161</f>
        <v/>
      </c>
      <c r="G161" s="29">
        <f>Data_thang!J161-Data_thang!K161</f>
        <v/>
      </c>
      <c r="H161" s="29">
        <f>Data_thang!N161</f>
        <v/>
      </c>
      <c r="I161" s="29">
        <f>H161-G161</f>
        <v/>
      </c>
      <c r="J161" s="30">
        <f>IF(H161=0,IF(I161=0,0,1),I161/ABS(H161))</f>
        <v/>
      </c>
      <c r="K161" s="29">
        <f>H161-(Data_thang!O161-Data_thang!K161)</f>
        <v/>
      </c>
      <c r="L161">
        <f>IF(AND(ABS(I161)&gt;Dashboard!$G$6,ABS(J161)&gt;Dashboard!$H$6),"⚠ Vượt","")</f>
        <v/>
      </c>
      <c r="M161">
        <f>IF(AND(A161=Dashboard!$D$6,OR(Dashboard!$C$6="*",F161=Dashboard!$C$6),L161&lt;&gt;""),ABS(I161)+ROW()/1000000000,0)</f>
        <v/>
      </c>
    </row>
    <row r="162">
      <c r="A162">
        <f>Data_thang!A162</f>
        <v/>
      </c>
      <c r="B162">
        <f>Data_thang!B162</f>
        <v/>
      </c>
      <c r="C162">
        <f>Data_thang!D162</f>
        <v/>
      </c>
      <c r="D162">
        <f>Data_thang!E162</f>
        <v/>
      </c>
      <c r="E162">
        <f>Data_thang!F162</f>
        <v/>
      </c>
      <c r="F162">
        <f>Data_thang!G162</f>
        <v/>
      </c>
      <c r="G162" s="29">
        <f>Data_thang!J162-Data_thang!K162</f>
        <v/>
      </c>
      <c r="H162" s="29">
        <f>Data_thang!N162</f>
        <v/>
      </c>
      <c r="I162" s="29">
        <f>H162-G162</f>
        <v/>
      </c>
      <c r="J162" s="30">
        <f>IF(H162=0,IF(I162=0,0,1),I162/ABS(H162))</f>
        <v/>
      </c>
      <c r="K162" s="29">
        <f>H162-(Data_thang!O162-Data_thang!K162)</f>
        <v/>
      </c>
      <c r="L162">
        <f>IF(AND(ABS(I162)&gt;Dashboard!$G$6,ABS(J162)&gt;Dashboard!$H$6),"⚠ Vượt","")</f>
        <v/>
      </c>
      <c r="M162">
        <f>IF(AND(A162=Dashboard!$D$6,OR(Dashboard!$C$6="*",F162=Dashboard!$C$6),L162&lt;&gt;""),ABS(I162)+ROW()/1000000000,0)</f>
        <v/>
      </c>
    </row>
    <row r="163">
      <c r="A163">
        <f>Data_thang!A163</f>
        <v/>
      </c>
      <c r="B163">
        <f>Data_thang!B163</f>
        <v/>
      </c>
      <c r="C163">
        <f>Data_thang!D163</f>
        <v/>
      </c>
      <c r="D163">
        <f>Data_thang!E163</f>
        <v/>
      </c>
      <c r="E163">
        <f>Data_thang!F163</f>
        <v/>
      </c>
      <c r="F163">
        <f>Data_thang!G163</f>
        <v/>
      </c>
      <c r="G163" s="29">
        <f>Data_thang!J163-Data_thang!K163</f>
        <v/>
      </c>
      <c r="H163" s="29">
        <f>Data_thang!N163</f>
        <v/>
      </c>
      <c r="I163" s="29">
        <f>H163-G163</f>
        <v/>
      </c>
      <c r="J163" s="30">
        <f>IF(H163=0,IF(I163=0,0,1),I163/ABS(H163))</f>
        <v/>
      </c>
      <c r="K163" s="29">
        <f>H163-(Data_thang!O163-Data_thang!K163)</f>
        <v/>
      </c>
      <c r="L163">
        <f>IF(AND(ABS(I163)&gt;Dashboard!$G$6,ABS(J163)&gt;Dashboard!$H$6),"⚠ Vượt","")</f>
        <v/>
      </c>
      <c r="M163">
        <f>IF(AND(A163=Dashboard!$D$6,OR(Dashboard!$C$6="*",F163=Dashboard!$C$6),L163&lt;&gt;""),ABS(I163)+ROW()/1000000000,0)</f>
        <v/>
      </c>
    </row>
    <row r="164">
      <c r="A164">
        <f>Data_thang!A164</f>
        <v/>
      </c>
      <c r="B164">
        <f>Data_thang!B164</f>
        <v/>
      </c>
      <c r="C164">
        <f>Data_thang!D164</f>
        <v/>
      </c>
      <c r="D164">
        <f>Data_thang!E164</f>
        <v/>
      </c>
      <c r="E164">
        <f>Data_thang!F164</f>
        <v/>
      </c>
      <c r="F164">
        <f>Data_thang!G164</f>
        <v/>
      </c>
      <c r="G164" s="29">
        <f>Data_thang!J164-Data_thang!K164</f>
        <v/>
      </c>
      <c r="H164" s="29">
        <f>Data_thang!N164</f>
        <v/>
      </c>
      <c r="I164" s="29">
        <f>H164-G164</f>
        <v/>
      </c>
      <c r="J164" s="30">
        <f>IF(H164=0,IF(I164=0,0,1),I164/ABS(H164))</f>
        <v/>
      </c>
      <c r="K164" s="29">
        <f>H164-(Data_thang!O164-Data_thang!K164)</f>
        <v/>
      </c>
      <c r="L164">
        <f>IF(AND(ABS(I164)&gt;Dashboard!$G$6,ABS(J164)&gt;Dashboard!$H$6),"⚠ Vượt","")</f>
        <v/>
      </c>
      <c r="M164">
        <f>IF(AND(A164=Dashboard!$D$6,OR(Dashboard!$C$6="*",F164=Dashboard!$C$6),L164&lt;&gt;""),ABS(I164)+ROW()/1000000000,0)</f>
        <v/>
      </c>
    </row>
    <row r="165">
      <c r="A165">
        <f>Data_thang!A165</f>
        <v/>
      </c>
      <c r="B165">
        <f>Data_thang!B165</f>
        <v/>
      </c>
      <c r="C165">
        <f>Data_thang!D165</f>
        <v/>
      </c>
      <c r="D165">
        <f>Data_thang!E165</f>
        <v/>
      </c>
      <c r="E165">
        <f>Data_thang!F165</f>
        <v/>
      </c>
      <c r="F165">
        <f>Data_thang!G165</f>
        <v/>
      </c>
      <c r="G165" s="29">
        <f>Data_thang!J165-Data_thang!K165</f>
        <v/>
      </c>
      <c r="H165" s="29">
        <f>Data_thang!N165</f>
        <v/>
      </c>
      <c r="I165" s="29">
        <f>H165-G165</f>
        <v/>
      </c>
      <c r="J165" s="30">
        <f>IF(H165=0,IF(I165=0,0,1),I165/ABS(H165))</f>
        <v/>
      </c>
      <c r="K165" s="29">
        <f>H165-(Data_thang!O165-Data_thang!K165)</f>
        <v/>
      </c>
      <c r="L165">
        <f>IF(AND(ABS(I165)&gt;Dashboard!$G$6,ABS(J165)&gt;Dashboard!$H$6),"⚠ Vượt","")</f>
        <v/>
      </c>
      <c r="M165">
        <f>IF(AND(A165=Dashboard!$D$6,OR(Dashboard!$C$6="*",F165=Dashboard!$C$6),L165&lt;&gt;""),ABS(I165)+ROW()/1000000000,0)</f>
        <v/>
      </c>
    </row>
    <row r="166">
      <c r="A166">
        <f>Data_thang!A166</f>
        <v/>
      </c>
      <c r="B166">
        <f>Data_thang!B166</f>
        <v/>
      </c>
      <c r="C166">
        <f>Data_thang!D166</f>
        <v/>
      </c>
      <c r="D166">
        <f>Data_thang!E166</f>
        <v/>
      </c>
      <c r="E166">
        <f>Data_thang!F166</f>
        <v/>
      </c>
      <c r="F166">
        <f>Data_thang!G166</f>
        <v/>
      </c>
      <c r="G166" s="29">
        <f>Data_thang!J166-Data_thang!K166</f>
        <v/>
      </c>
      <c r="H166" s="29">
        <f>Data_thang!N166</f>
        <v/>
      </c>
      <c r="I166" s="29">
        <f>H166-G166</f>
        <v/>
      </c>
      <c r="J166" s="30">
        <f>IF(H166=0,IF(I166=0,0,1),I166/ABS(H166))</f>
        <v/>
      </c>
      <c r="K166" s="29">
        <f>H166-(Data_thang!O166-Data_thang!K166)</f>
        <v/>
      </c>
      <c r="L166">
        <f>IF(AND(ABS(I166)&gt;Dashboard!$G$6,ABS(J166)&gt;Dashboard!$H$6),"⚠ Vượt","")</f>
        <v/>
      </c>
      <c r="M166">
        <f>IF(AND(A166=Dashboard!$D$6,OR(Dashboard!$C$6="*",F166=Dashboard!$C$6),L166&lt;&gt;""),ABS(I166)+ROW()/1000000000,0)</f>
        <v/>
      </c>
    </row>
    <row r="167">
      <c r="A167">
        <f>Data_thang!A167</f>
        <v/>
      </c>
      <c r="B167">
        <f>Data_thang!B167</f>
        <v/>
      </c>
      <c r="C167">
        <f>Data_thang!D167</f>
        <v/>
      </c>
      <c r="D167">
        <f>Data_thang!E167</f>
        <v/>
      </c>
      <c r="E167">
        <f>Data_thang!F167</f>
        <v/>
      </c>
      <c r="F167">
        <f>Data_thang!G167</f>
        <v/>
      </c>
      <c r="G167" s="29">
        <f>Data_thang!J167-Data_thang!K167</f>
        <v/>
      </c>
      <c r="H167" s="29">
        <f>Data_thang!N167</f>
        <v/>
      </c>
      <c r="I167" s="29">
        <f>H167-G167</f>
        <v/>
      </c>
      <c r="J167" s="30">
        <f>IF(H167=0,IF(I167=0,0,1),I167/ABS(H167))</f>
        <v/>
      </c>
      <c r="K167" s="29">
        <f>H167-(Data_thang!O167-Data_thang!K167)</f>
        <v/>
      </c>
      <c r="L167">
        <f>IF(AND(ABS(I167)&gt;Dashboard!$G$6,ABS(J167)&gt;Dashboard!$H$6),"⚠ Vượt","")</f>
        <v/>
      </c>
      <c r="M167">
        <f>IF(AND(A167=Dashboard!$D$6,OR(Dashboard!$C$6="*",F167=Dashboard!$C$6),L167&lt;&gt;""),ABS(I167)+ROW()/1000000000,0)</f>
        <v/>
      </c>
    </row>
    <row r="168">
      <c r="A168">
        <f>Data_thang!A168</f>
        <v/>
      </c>
      <c r="B168">
        <f>Data_thang!B168</f>
        <v/>
      </c>
      <c r="C168">
        <f>Data_thang!D168</f>
        <v/>
      </c>
      <c r="D168">
        <f>Data_thang!E168</f>
        <v/>
      </c>
      <c r="E168">
        <f>Data_thang!F168</f>
        <v/>
      </c>
      <c r="F168">
        <f>Data_thang!G168</f>
        <v/>
      </c>
      <c r="G168" s="29">
        <f>Data_thang!J168-Data_thang!K168</f>
        <v/>
      </c>
      <c r="H168" s="29">
        <f>Data_thang!N168</f>
        <v/>
      </c>
      <c r="I168" s="29">
        <f>H168-G168</f>
        <v/>
      </c>
      <c r="J168" s="30">
        <f>IF(H168=0,IF(I168=0,0,1),I168/ABS(H168))</f>
        <v/>
      </c>
      <c r="K168" s="29">
        <f>H168-(Data_thang!O168-Data_thang!K168)</f>
        <v/>
      </c>
      <c r="L168">
        <f>IF(AND(ABS(I168)&gt;Dashboard!$G$6,ABS(J168)&gt;Dashboard!$H$6),"⚠ Vượt","")</f>
        <v/>
      </c>
      <c r="M168">
        <f>IF(AND(A168=Dashboard!$D$6,OR(Dashboard!$C$6="*",F168=Dashboard!$C$6),L168&lt;&gt;""),ABS(I168)+ROW()/1000000000,0)</f>
        <v/>
      </c>
    </row>
    <row r="169">
      <c r="A169">
        <f>Data_thang!A169</f>
        <v/>
      </c>
      <c r="B169">
        <f>Data_thang!B169</f>
        <v/>
      </c>
      <c r="C169">
        <f>Data_thang!D169</f>
        <v/>
      </c>
      <c r="D169">
        <f>Data_thang!E169</f>
        <v/>
      </c>
      <c r="E169">
        <f>Data_thang!F169</f>
        <v/>
      </c>
      <c r="F169">
        <f>Data_thang!G169</f>
        <v/>
      </c>
      <c r="G169" s="29">
        <f>Data_thang!J169-Data_thang!K169</f>
        <v/>
      </c>
      <c r="H169" s="29">
        <f>Data_thang!N169</f>
        <v/>
      </c>
      <c r="I169" s="29">
        <f>H169-G169</f>
        <v/>
      </c>
      <c r="J169" s="30">
        <f>IF(H169=0,IF(I169=0,0,1),I169/ABS(H169))</f>
        <v/>
      </c>
      <c r="K169" s="29">
        <f>H169-(Data_thang!O169-Data_thang!K169)</f>
        <v/>
      </c>
      <c r="L169">
        <f>IF(AND(ABS(I169)&gt;Dashboard!$G$6,ABS(J169)&gt;Dashboard!$H$6),"⚠ Vượt","")</f>
        <v/>
      </c>
      <c r="M169">
        <f>IF(AND(A169=Dashboard!$D$6,OR(Dashboard!$C$6="*",F169=Dashboard!$C$6),L169&lt;&gt;""),ABS(I169)+ROW()/1000000000,0)</f>
        <v/>
      </c>
    </row>
    <row r="170">
      <c r="A170">
        <f>Data_thang!A170</f>
        <v/>
      </c>
      <c r="B170">
        <f>Data_thang!B170</f>
        <v/>
      </c>
      <c r="C170">
        <f>Data_thang!D170</f>
        <v/>
      </c>
      <c r="D170">
        <f>Data_thang!E170</f>
        <v/>
      </c>
      <c r="E170">
        <f>Data_thang!F170</f>
        <v/>
      </c>
      <c r="F170">
        <f>Data_thang!G170</f>
        <v/>
      </c>
      <c r="G170" s="29">
        <f>Data_thang!J170-Data_thang!K170</f>
        <v/>
      </c>
      <c r="H170" s="29">
        <f>Data_thang!N170</f>
        <v/>
      </c>
      <c r="I170" s="29">
        <f>H170-G170</f>
        <v/>
      </c>
      <c r="J170" s="30">
        <f>IF(H170=0,IF(I170=0,0,1),I170/ABS(H170))</f>
        <v/>
      </c>
      <c r="K170" s="29">
        <f>H170-(Data_thang!O170-Data_thang!K170)</f>
        <v/>
      </c>
      <c r="L170">
        <f>IF(AND(ABS(I170)&gt;Dashboard!$G$6,ABS(J170)&gt;Dashboard!$H$6),"⚠ Vượt","")</f>
        <v/>
      </c>
      <c r="M170">
        <f>IF(AND(A170=Dashboard!$D$6,OR(Dashboard!$C$6="*",F170=Dashboard!$C$6),L170&lt;&gt;""),ABS(I170)+ROW()/1000000000,0)</f>
        <v/>
      </c>
    </row>
    <row r="171">
      <c r="A171">
        <f>Data_thang!A171</f>
        <v/>
      </c>
      <c r="B171">
        <f>Data_thang!B171</f>
        <v/>
      </c>
      <c r="C171">
        <f>Data_thang!D171</f>
        <v/>
      </c>
      <c r="D171">
        <f>Data_thang!E171</f>
        <v/>
      </c>
      <c r="E171">
        <f>Data_thang!F171</f>
        <v/>
      </c>
      <c r="F171">
        <f>Data_thang!G171</f>
        <v/>
      </c>
      <c r="G171" s="29">
        <f>Data_thang!J171-Data_thang!K171</f>
        <v/>
      </c>
      <c r="H171" s="29">
        <f>Data_thang!N171</f>
        <v/>
      </c>
      <c r="I171" s="29">
        <f>H171-G171</f>
        <v/>
      </c>
      <c r="J171" s="30">
        <f>IF(H171=0,IF(I171=0,0,1),I171/ABS(H171))</f>
        <v/>
      </c>
      <c r="K171" s="29">
        <f>H171-(Data_thang!O171-Data_thang!K171)</f>
        <v/>
      </c>
      <c r="L171">
        <f>IF(AND(ABS(I171)&gt;Dashboard!$G$6,ABS(J171)&gt;Dashboard!$H$6),"⚠ Vượt","")</f>
        <v/>
      </c>
      <c r="M171">
        <f>IF(AND(A171=Dashboard!$D$6,OR(Dashboard!$C$6="*",F171=Dashboard!$C$6),L171&lt;&gt;""),ABS(I171)+ROW()/1000000000,0)</f>
        <v/>
      </c>
    </row>
    <row r="172">
      <c r="A172">
        <f>Data_thang!A172</f>
        <v/>
      </c>
      <c r="B172">
        <f>Data_thang!B172</f>
        <v/>
      </c>
      <c r="C172">
        <f>Data_thang!D172</f>
        <v/>
      </c>
      <c r="D172">
        <f>Data_thang!E172</f>
        <v/>
      </c>
      <c r="E172">
        <f>Data_thang!F172</f>
        <v/>
      </c>
      <c r="F172">
        <f>Data_thang!G172</f>
        <v/>
      </c>
      <c r="G172" s="29">
        <f>Data_thang!J172-Data_thang!K172</f>
        <v/>
      </c>
      <c r="H172" s="29">
        <f>Data_thang!N172</f>
        <v/>
      </c>
      <c r="I172" s="29">
        <f>H172-G172</f>
        <v/>
      </c>
      <c r="J172" s="30">
        <f>IF(H172=0,IF(I172=0,0,1),I172/ABS(H172))</f>
        <v/>
      </c>
      <c r="K172" s="29">
        <f>H172-(Data_thang!O172-Data_thang!K172)</f>
        <v/>
      </c>
      <c r="L172">
        <f>IF(AND(ABS(I172)&gt;Dashboard!$G$6,ABS(J172)&gt;Dashboard!$H$6),"⚠ Vượt","")</f>
        <v/>
      </c>
      <c r="M172">
        <f>IF(AND(A172=Dashboard!$D$6,OR(Dashboard!$C$6="*",F172=Dashboard!$C$6),L172&lt;&gt;""),ABS(I172)+ROW()/1000000000,0)</f>
        <v/>
      </c>
    </row>
    <row r="173">
      <c r="A173">
        <f>Data_thang!A173</f>
        <v/>
      </c>
      <c r="B173">
        <f>Data_thang!B173</f>
        <v/>
      </c>
      <c r="C173">
        <f>Data_thang!D173</f>
        <v/>
      </c>
      <c r="D173">
        <f>Data_thang!E173</f>
        <v/>
      </c>
      <c r="E173">
        <f>Data_thang!F173</f>
        <v/>
      </c>
      <c r="F173">
        <f>Data_thang!G173</f>
        <v/>
      </c>
      <c r="G173" s="29">
        <f>Data_thang!J173-Data_thang!K173</f>
        <v/>
      </c>
      <c r="H173" s="29">
        <f>Data_thang!N173</f>
        <v/>
      </c>
      <c r="I173" s="29">
        <f>H173-G173</f>
        <v/>
      </c>
      <c r="J173" s="30">
        <f>IF(H173=0,IF(I173=0,0,1),I173/ABS(H173))</f>
        <v/>
      </c>
      <c r="K173" s="29">
        <f>H173-(Data_thang!O173-Data_thang!K173)</f>
        <v/>
      </c>
      <c r="L173">
        <f>IF(AND(ABS(I173)&gt;Dashboard!$G$6,ABS(J173)&gt;Dashboard!$H$6),"⚠ Vượt","")</f>
        <v/>
      </c>
      <c r="M173">
        <f>IF(AND(A173=Dashboard!$D$6,OR(Dashboard!$C$6="*",F173=Dashboard!$C$6),L173&lt;&gt;""),ABS(I173)+ROW()/1000000000,0)</f>
        <v/>
      </c>
    </row>
    <row r="174">
      <c r="A174">
        <f>Data_thang!A174</f>
        <v/>
      </c>
      <c r="B174">
        <f>Data_thang!B174</f>
        <v/>
      </c>
      <c r="C174">
        <f>Data_thang!D174</f>
        <v/>
      </c>
      <c r="D174">
        <f>Data_thang!E174</f>
        <v/>
      </c>
      <c r="E174">
        <f>Data_thang!F174</f>
        <v/>
      </c>
      <c r="F174">
        <f>Data_thang!G174</f>
        <v/>
      </c>
      <c r="G174" s="29">
        <f>Data_thang!J174-Data_thang!K174</f>
        <v/>
      </c>
      <c r="H174" s="29">
        <f>Data_thang!N174</f>
        <v/>
      </c>
      <c r="I174" s="29">
        <f>H174-G174</f>
        <v/>
      </c>
      <c r="J174" s="30">
        <f>IF(H174=0,IF(I174=0,0,1),I174/ABS(H174))</f>
        <v/>
      </c>
      <c r="K174" s="29">
        <f>H174-(Data_thang!O174-Data_thang!K174)</f>
        <v/>
      </c>
      <c r="L174">
        <f>IF(AND(ABS(I174)&gt;Dashboard!$G$6,ABS(J174)&gt;Dashboard!$H$6),"⚠ Vượt","")</f>
        <v/>
      </c>
      <c r="M174">
        <f>IF(AND(A174=Dashboard!$D$6,OR(Dashboard!$C$6="*",F174=Dashboard!$C$6),L174&lt;&gt;""),ABS(I174)+ROW()/1000000000,0)</f>
        <v/>
      </c>
    </row>
    <row r="175">
      <c r="A175">
        <f>Data_thang!A175</f>
        <v/>
      </c>
      <c r="B175">
        <f>Data_thang!B175</f>
        <v/>
      </c>
      <c r="C175">
        <f>Data_thang!D175</f>
        <v/>
      </c>
      <c r="D175">
        <f>Data_thang!E175</f>
        <v/>
      </c>
      <c r="E175">
        <f>Data_thang!F175</f>
        <v/>
      </c>
      <c r="F175">
        <f>Data_thang!G175</f>
        <v/>
      </c>
      <c r="G175" s="29">
        <f>Data_thang!J175-Data_thang!K175</f>
        <v/>
      </c>
      <c r="H175" s="29">
        <f>Data_thang!N175</f>
        <v/>
      </c>
      <c r="I175" s="29">
        <f>H175-G175</f>
        <v/>
      </c>
      <c r="J175" s="30">
        <f>IF(H175=0,IF(I175=0,0,1),I175/ABS(H175))</f>
        <v/>
      </c>
      <c r="K175" s="29">
        <f>H175-(Data_thang!O175-Data_thang!K175)</f>
        <v/>
      </c>
      <c r="L175">
        <f>IF(AND(ABS(I175)&gt;Dashboard!$G$6,ABS(J175)&gt;Dashboard!$H$6),"⚠ Vượt","")</f>
        <v/>
      </c>
      <c r="M175">
        <f>IF(AND(A175=Dashboard!$D$6,OR(Dashboard!$C$6="*",F175=Dashboard!$C$6),L175&lt;&gt;""),ABS(I175)+ROW()/1000000000,0)</f>
        <v/>
      </c>
    </row>
    <row r="176">
      <c r="A176">
        <f>Data_thang!A176</f>
        <v/>
      </c>
      <c r="B176">
        <f>Data_thang!B176</f>
        <v/>
      </c>
      <c r="C176">
        <f>Data_thang!D176</f>
        <v/>
      </c>
      <c r="D176">
        <f>Data_thang!E176</f>
        <v/>
      </c>
      <c r="E176">
        <f>Data_thang!F176</f>
        <v/>
      </c>
      <c r="F176">
        <f>Data_thang!G176</f>
        <v/>
      </c>
      <c r="G176" s="29">
        <f>Data_thang!J176-Data_thang!K176</f>
        <v/>
      </c>
      <c r="H176" s="29">
        <f>Data_thang!N176</f>
        <v/>
      </c>
      <c r="I176" s="29">
        <f>H176-G176</f>
        <v/>
      </c>
      <c r="J176" s="30">
        <f>IF(H176=0,IF(I176=0,0,1),I176/ABS(H176))</f>
        <v/>
      </c>
      <c r="K176" s="29">
        <f>H176-(Data_thang!O176-Data_thang!K176)</f>
        <v/>
      </c>
      <c r="L176">
        <f>IF(AND(ABS(I176)&gt;Dashboard!$G$6,ABS(J176)&gt;Dashboard!$H$6),"⚠ Vượt","")</f>
        <v/>
      </c>
      <c r="M176">
        <f>IF(AND(A176=Dashboard!$D$6,OR(Dashboard!$C$6="*",F176=Dashboard!$C$6),L176&lt;&gt;""),ABS(I176)+ROW()/1000000000,0)</f>
        <v/>
      </c>
    </row>
    <row r="177">
      <c r="A177">
        <f>Data_thang!A177</f>
        <v/>
      </c>
      <c r="B177">
        <f>Data_thang!B177</f>
        <v/>
      </c>
      <c r="C177">
        <f>Data_thang!D177</f>
        <v/>
      </c>
      <c r="D177">
        <f>Data_thang!E177</f>
        <v/>
      </c>
      <c r="E177">
        <f>Data_thang!F177</f>
        <v/>
      </c>
      <c r="F177">
        <f>Data_thang!G177</f>
        <v/>
      </c>
      <c r="G177" s="29">
        <f>Data_thang!J177-Data_thang!K177</f>
        <v/>
      </c>
      <c r="H177" s="29">
        <f>Data_thang!N177</f>
        <v/>
      </c>
      <c r="I177" s="29">
        <f>H177-G177</f>
        <v/>
      </c>
      <c r="J177" s="30">
        <f>IF(H177=0,IF(I177=0,0,1),I177/ABS(H177))</f>
        <v/>
      </c>
      <c r="K177" s="29">
        <f>H177-(Data_thang!O177-Data_thang!K177)</f>
        <v/>
      </c>
      <c r="L177">
        <f>IF(AND(ABS(I177)&gt;Dashboard!$G$6,ABS(J177)&gt;Dashboard!$H$6),"⚠ Vượt","")</f>
        <v/>
      </c>
      <c r="M177">
        <f>IF(AND(A177=Dashboard!$D$6,OR(Dashboard!$C$6="*",F177=Dashboard!$C$6),L177&lt;&gt;""),ABS(I177)+ROW()/1000000000,0)</f>
        <v/>
      </c>
    </row>
    <row r="178">
      <c r="A178">
        <f>Data_thang!A178</f>
        <v/>
      </c>
      <c r="B178">
        <f>Data_thang!B178</f>
        <v/>
      </c>
      <c r="C178">
        <f>Data_thang!D178</f>
        <v/>
      </c>
      <c r="D178">
        <f>Data_thang!E178</f>
        <v/>
      </c>
      <c r="E178">
        <f>Data_thang!F178</f>
        <v/>
      </c>
      <c r="F178">
        <f>Data_thang!G178</f>
        <v/>
      </c>
      <c r="G178" s="29">
        <f>Data_thang!J178-Data_thang!K178</f>
        <v/>
      </c>
      <c r="H178" s="29">
        <f>Data_thang!N178</f>
        <v/>
      </c>
      <c r="I178" s="29">
        <f>H178-G178</f>
        <v/>
      </c>
      <c r="J178" s="30">
        <f>IF(H178=0,IF(I178=0,0,1),I178/ABS(H178))</f>
        <v/>
      </c>
      <c r="K178" s="29">
        <f>H178-(Data_thang!O178-Data_thang!K178)</f>
        <v/>
      </c>
      <c r="L178">
        <f>IF(AND(ABS(I178)&gt;Dashboard!$G$6,ABS(J178)&gt;Dashboard!$H$6),"⚠ Vượt","")</f>
        <v/>
      </c>
      <c r="M178">
        <f>IF(AND(A178=Dashboard!$D$6,OR(Dashboard!$C$6="*",F178=Dashboard!$C$6),L178&lt;&gt;""),ABS(I178)+ROW()/1000000000,0)</f>
        <v/>
      </c>
    </row>
    <row r="179">
      <c r="A179">
        <f>Data_thang!A179</f>
        <v/>
      </c>
      <c r="B179">
        <f>Data_thang!B179</f>
        <v/>
      </c>
      <c r="C179">
        <f>Data_thang!D179</f>
        <v/>
      </c>
      <c r="D179">
        <f>Data_thang!E179</f>
        <v/>
      </c>
      <c r="E179">
        <f>Data_thang!F179</f>
        <v/>
      </c>
      <c r="F179">
        <f>Data_thang!G179</f>
        <v/>
      </c>
      <c r="G179" s="29">
        <f>Data_thang!J179-Data_thang!K179</f>
        <v/>
      </c>
      <c r="H179" s="29">
        <f>Data_thang!N179</f>
        <v/>
      </c>
      <c r="I179" s="29">
        <f>H179-G179</f>
        <v/>
      </c>
      <c r="J179" s="30">
        <f>IF(H179=0,IF(I179=0,0,1),I179/ABS(H179))</f>
        <v/>
      </c>
      <c r="K179" s="29">
        <f>H179-(Data_thang!O179-Data_thang!K179)</f>
        <v/>
      </c>
      <c r="L179">
        <f>IF(AND(ABS(I179)&gt;Dashboard!$G$6,ABS(J179)&gt;Dashboard!$H$6),"⚠ Vượt","")</f>
        <v/>
      </c>
      <c r="M179">
        <f>IF(AND(A179=Dashboard!$D$6,OR(Dashboard!$C$6="*",F179=Dashboard!$C$6),L179&lt;&gt;""),ABS(I179)+ROW()/1000000000,0)</f>
        <v/>
      </c>
    </row>
    <row r="180">
      <c r="A180">
        <f>Data_thang!A180</f>
        <v/>
      </c>
      <c r="B180">
        <f>Data_thang!B180</f>
        <v/>
      </c>
      <c r="C180">
        <f>Data_thang!D180</f>
        <v/>
      </c>
      <c r="D180">
        <f>Data_thang!E180</f>
        <v/>
      </c>
      <c r="E180">
        <f>Data_thang!F180</f>
        <v/>
      </c>
      <c r="F180">
        <f>Data_thang!G180</f>
        <v/>
      </c>
      <c r="G180" s="29">
        <f>Data_thang!J180-Data_thang!K180</f>
        <v/>
      </c>
      <c r="H180" s="29">
        <f>Data_thang!N180</f>
        <v/>
      </c>
      <c r="I180" s="29">
        <f>H180-G180</f>
        <v/>
      </c>
      <c r="J180" s="30">
        <f>IF(H180=0,IF(I180=0,0,1),I180/ABS(H180))</f>
        <v/>
      </c>
      <c r="K180" s="29">
        <f>H180-(Data_thang!O180-Data_thang!K180)</f>
        <v/>
      </c>
      <c r="L180">
        <f>IF(AND(ABS(I180)&gt;Dashboard!$G$6,ABS(J180)&gt;Dashboard!$H$6),"⚠ Vượt","")</f>
        <v/>
      </c>
      <c r="M180">
        <f>IF(AND(A180=Dashboard!$D$6,OR(Dashboard!$C$6="*",F180=Dashboard!$C$6),L180&lt;&gt;""),ABS(I180)+ROW()/1000000000,0)</f>
        <v/>
      </c>
    </row>
    <row r="181">
      <c r="A181">
        <f>Data_thang!A181</f>
        <v/>
      </c>
      <c r="B181">
        <f>Data_thang!B181</f>
        <v/>
      </c>
      <c r="C181">
        <f>Data_thang!D181</f>
        <v/>
      </c>
      <c r="D181">
        <f>Data_thang!E181</f>
        <v/>
      </c>
      <c r="E181">
        <f>Data_thang!F181</f>
        <v/>
      </c>
      <c r="F181">
        <f>Data_thang!G181</f>
        <v/>
      </c>
      <c r="G181" s="29">
        <f>Data_thang!J181-Data_thang!K181</f>
        <v/>
      </c>
      <c r="H181" s="29">
        <f>Data_thang!N181</f>
        <v/>
      </c>
      <c r="I181" s="29">
        <f>H181-G181</f>
        <v/>
      </c>
      <c r="J181" s="30">
        <f>IF(H181=0,IF(I181=0,0,1),I181/ABS(H181))</f>
        <v/>
      </c>
      <c r="K181" s="29">
        <f>H181-(Data_thang!O181-Data_thang!K181)</f>
        <v/>
      </c>
      <c r="L181">
        <f>IF(AND(ABS(I181)&gt;Dashboard!$G$6,ABS(J181)&gt;Dashboard!$H$6),"⚠ Vượt","")</f>
        <v/>
      </c>
      <c r="M181">
        <f>IF(AND(A181=Dashboard!$D$6,OR(Dashboard!$C$6="*",F181=Dashboard!$C$6),L181&lt;&gt;""),ABS(I181)+ROW()/1000000000,0)</f>
        <v/>
      </c>
    </row>
    <row r="182">
      <c r="A182">
        <f>Data_thang!A182</f>
        <v/>
      </c>
      <c r="B182">
        <f>Data_thang!B182</f>
        <v/>
      </c>
      <c r="C182">
        <f>Data_thang!D182</f>
        <v/>
      </c>
      <c r="D182">
        <f>Data_thang!E182</f>
        <v/>
      </c>
      <c r="E182">
        <f>Data_thang!F182</f>
        <v/>
      </c>
      <c r="F182">
        <f>Data_thang!G182</f>
        <v/>
      </c>
      <c r="G182" s="29">
        <f>Data_thang!J182-Data_thang!K182</f>
        <v/>
      </c>
      <c r="H182" s="29">
        <f>Data_thang!N182</f>
        <v/>
      </c>
      <c r="I182" s="29">
        <f>H182-G182</f>
        <v/>
      </c>
      <c r="J182" s="30">
        <f>IF(H182=0,IF(I182=0,0,1),I182/ABS(H182))</f>
        <v/>
      </c>
      <c r="K182" s="29">
        <f>H182-(Data_thang!O182-Data_thang!K182)</f>
        <v/>
      </c>
      <c r="L182">
        <f>IF(AND(ABS(I182)&gt;Dashboard!$G$6,ABS(J182)&gt;Dashboard!$H$6),"⚠ Vượt","")</f>
        <v/>
      </c>
      <c r="M182">
        <f>IF(AND(A182=Dashboard!$D$6,OR(Dashboard!$C$6="*",F182=Dashboard!$C$6),L182&lt;&gt;""),ABS(I182)+ROW()/1000000000,0)</f>
        <v/>
      </c>
    </row>
    <row r="183">
      <c r="A183">
        <f>Data_thang!A183</f>
        <v/>
      </c>
      <c r="B183">
        <f>Data_thang!B183</f>
        <v/>
      </c>
      <c r="C183">
        <f>Data_thang!D183</f>
        <v/>
      </c>
      <c r="D183">
        <f>Data_thang!E183</f>
        <v/>
      </c>
      <c r="E183">
        <f>Data_thang!F183</f>
        <v/>
      </c>
      <c r="F183">
        <f>Data_thang!G183</f>
        <v/>
      </c>
      <c r="G183" s="29">
        <f>Data_thang!J183-Data_thang!K183</f>
        <v/>
      </c>
      <c r="H183" s="29">
        <f>Data_thang!N183</f>
        <v/>
      </c>
      <c r="I183" s="29">
        <f>H183-G183</f>
        <v/>
      </c>
      <c r="J183" s="30">
        <f>IF(H183=0,IF(I183=0,0,1),I183/ABS(H183))</f>
        <v/>
      </c>
      <c r="K183" s="29">
        <f>H183-(Data_thang!O183-Data_thang!K183)</f>
        <v/>
      </c>
      <c r="L183">
        <f>IF(AND(ABS(I183)&gt;Dashboard!$G$6,ABS(J183)&gt;Dashboard!$H$6),"⚠ Vượt","")</f>
        <v/>
      </c>
      <c r="M183">
        <f>IF(AND(A183=Dashboard!$D$6,OR(Dashboard!$C$6="*",F183=Dashboard!$C$6),L183&lt;&gt;""),ABS(I183)+ROW()/1000000000,0)</f>
        <v/>
      </c>
    </row>
    <row r="184">
      <c r="A184">
        <f>Data_thang!A184</f>
        <v/>
      </c>
      <c r="B184">
        <f>Data_thang!B184</f>
        <v/>
      </c>
      <c r="C184">
        <f>Data_thang!D184</f>
        <v/>
      </c>
      <c r="D184">
        <f>Data_thang!E184</f>
        <v/>
      </c>
      <c r="E184">
        <f>Data_thang!F184</f>
        <v/>
      </c>
      <c r="F184">
        <f>Data_thang!G184</f>
        <v/>
      </c>
      <c r="G184" s="29">
        <f>Data_thang!J184-Data_thang!K184</f>
        <v/>
      </c>
      <c r="H184" s="29">
        <f>Data_thang!N184</f>
        <v/>
      </c>
      <c r="I184" s="29">
        <f>H184-G184</f>
        <v/>
      </c>
      <c r="J184" s="30">
        <f>IF(H184=0,IF(I184=0,0,1),I184/ABS(H184))</f>
        <v/>
      </c>
      <c r="K184" s="29">
        <f>H184-(Data_thang!O184-Data_thang!K184)</f>
        <v/>
      </c>
      <c r="L184">
        <f>IF(AND(ABS(I184)&gt;Dashboard!$G$6,ABS(J184)&gt;Dashboard!$H$6),"⚠ Vượt","")</f>
        <v/>
      </c>
      <c r="M184">
        <f>IF(AND(A184=Dashboard!$D$6,OR(Dashboard!$C$6="*",F184=Dashboard!$C$6),L184&lt;&gt;""),ABS(I184)+ROW()/1000000000,0)</f>
        <v/>
      </c>
    </row>
    <row r="185">
      <c r="A185">
        <f>Data_thang!A185</f>
        <v/>
      </c>
      <c r="B185">
        <f>Data_thang!B185</f>
        <v/>
      </c>
      <c r="C185">
        <f>Data_thang!D185</f>
        <v/>
      </c>
      <c r="D185">
        <f>Data_thang!E185</f>
        <v/>
      </c>
      <c r="E185">
        <f>Data_thang!F185</f>
        <v/>
      </c>
      <c r="F185">
        <f>Data_thang!G185</f>
        <v/>
      </c>
      <c r="G185" s="29">
        <f>Data_thang!J185-Data_thang!K185</f>
        <v/>
      </c>
      <c r="H185" s="29">
        <f>Data_thang!N185</f>
        <v/>
      </c>
      <c r="I185" s="29">
        <f>H185-G185</f>
        <v/>
      </c>
      <c r="J185" s="30">
        <f>IF(H185=0,IF(I185=0,0,1),I185/ABS(H185))</f>
        <v/>
      </c>
      <c r="K185" s="29">
        <f>H185-(Data_thang!O185-Data_thang!K185)</f>
        <v/>
      </c>
      <c r="L185">
        <f>IF(AND(ABS(I185)&gt;Dashboard!$G$6,ABS(J185)&gt;Dashboard!$H$6),"⚠ Vượt","")</f>
        <v/>
      </c>
      <c r="M185">
        <f>IF(AND(A185=Dashboard!$D$6,OR(Dashboard!$C$6="*",F185=Dashboard!$C$6),L185&lt;&gt;""),ABS(I185)+ROW()/1000000000,0)</f>
        <v/>
      </c>
    </row>
    <row r="186">
      <c r="A186">
        <f>Data_thang!A186</f>
        <v/>
      </c>
      <c r="B186">
        <f>Data_thang!B186</f>
        <v/>
      </c>
      <c r="C186">
        <f>Data_thang!D186</f>
        <v/>
      </c>
      <c r="D186">
        <f>Data_thang!E186</f>
        <v/>
      </c>
      <c r="E186">
        <f>Data_thang!F186</f>
        <v/>
      </c>
      <c r="F186">
        <f>Data_thang!G186</f>
        <v/>
      </c>
      <c r="G186" s="29">
        <f>Data_thang!J186-Data_thang!K186</f>
        <v/>
      </c>
      <c r="H186" s="29">
        <f>Data_thang!N186</f>
        <v/>
      </c>
      <c r="I186" s="29">
        <f>H186-G186</f>
        <v/>
      </c>
      <c r="J186" s="30">
        <f>IF(H186=0,IF(I186=0,0,1),I186/ABS(H186))</f>
        <v/>
      </c>
      <c r="K186" s="29">
        <f>H186-(Data_thang!O186-Data_thang!K186)</f>
        <v/>
      </c>
      <c r="L186">
        <f>IF(AND(ABS(I186)&gt;Dashboard!$G$6,ABS(J186)&gt;Dashboard!$H$6),"⚠ Vượt","")</f>
        <v/>
      </c>
      <c r="M186">
        <f>IF(AND(A186=Dashboard!$D$6,OR(Dashboard!$C$6="*",F186=Dashboard!$C$6),L186&lt;&gt;""),ABS(I186)+ROW()/1000000000,0)</f>
        <v/>
      </c>
    </row>
    <row r="187">
      <c r="A187">
        <f>Data_thang!A187</f>
        <v/>
      </c>
      <c r="B187">
        <f>Data_thang!B187</f>
        <v/>
      </c>
      <c r="C187">
        <f>Data_thang!D187</f>
        <v/>
      </c>
      <c r="D187">
        <f>Data_thang!E187</f>
        <v/>
      </c>
      <c r="E187">
        <f>Data_thang!F187</f>
        <v/>
      </c>
      <c r="F187">
        <f>Data_thang!G187</f>
        <v/>
      </c>
      <c r="G187" s="29">
        <f>Data_thang!J187-Data_thang!K187</f>
        <v/>
      </c>
      <c r="H187" s="29">
        <f>Data_thang!N187</f>
        <v/>
      </c>
      <c r="I187" s="29">
        <f>H187-G187</f>
        <v/>
      </c>
      <c r="J187" s="30">
        <f>IF(H187=0,IF(I187=0,0,1),I187/ABS(H187))</f>
        <v/>
      </c>
      <c r="K187" s="29">
        <f>H187-(Data_thang!O187-Data_thang!K187)</f>
        <v/>
      </c>
      <c r="L187">
        <f>IF(AND(ABS(I187)&gt;Dashboard!$G$6,ABS(J187)&gt;Dashboard!$H$6),"⚠ Vượt","")</f>
        <v/>
      </c>
      <c r="M187">
        <f>IF(AND(A187=Dashboard!$D$6,OR(Dashboard!$C$6="*",F187=Dashboard!$C$6),L187&lt;&gt;""),ABS(I187)+ROW()/1000000000,0)</f>
        <v/>
      </c>
    </row>
    <row r="188">
      <c r="A188">
        <f>Data_thang!A188</f>
        <v/>
      </c>
      <c r="B188">
        <f>Data_thang!B188</f>
        <v/>
      </c>
      <c r="C188">
        <f>Data_thang!D188</f>
        <v/>
      </c>
      <c r="D188">
        <f>Data_thang!E188</f>
        <v/>
      </c>
      <c r="E188">
        <f>Data_thang!F188</f>
        <v/>
      </c>
      <c r="F188">
        <f>Data_thang!G188</f>
        <v/>
      </c>
      <c r="G188" s="29">
        <f>Data_thang!J188-Data_thang!K188</f>
        <v/>
      </c>
      <c r="H188" s="29">
        <f>Data_thang!N188</f>
        <v/>
      </c>
      <c r="I188" s="29">
        <f>H188-G188</f>
        <v/>
      </c>
      <c r="J188" s="30">
        <f>IF(H188=0,IF(I188=0,0,1),I188/ABS(H188))</f>
        <v/>
      </c>
      <c r="K188" s="29">
        <f>H188-(Data_thang!O188-Data_thang!K188)</f>
        <v/>
      </c>
      <c r="L188">
        <f>IF(AND(ABS(I188)&gt;Dashboard!$G$6,ABS(J188)&gt;Dashboard!$H$6),"⚠ Vượt","")</f>
        <v/>
      </c>
      <c r="M188">
        <f>IF(AND(A188=Dashboard!$D$6,OR(Dashboard!$C$6="*",F188=Dashboard!$C$6),L188&lt;&gt;""),ABS(I188)+ROW()/1000000000,0)</f>
        <v/>
      </c>
    </row>
    <row r="189">
      <c r="A189">
        <f>Data_thang!A189</f>
        <v/>
      </c>
      <c r="B189">
        <f>Data_thang!B189</f>
        <v/>
      </c>
      <c r="C189">
        <f>Data_thang!D189</f>
        <v/>
      </c>
      <c r="D189">
        <f>Data_thang!E189</f>
        <v/>
      </c>
      <c r="E189">
        <f>Data_thang!F189</f>
        <v/>
      </c>
      <c r="F189">
        <f>Data_thang!G189</f>
        <v/>
      </c>
      <c r="G189" s="29">
        <f>Data_thang!J189-Data_thang!K189</f>
        <v/>
      </c>
      <c r="H189" s="29">
        <f>Data_thang!N189</f>
        <v/>
      </c>
      <c r="I189" s="29">
        <f>H189-G189</f>
        <v/>
      </c>
      <c r="J189" s="30">
        <f>IF(H189=0,IF(I189=0,0,1),I189/ABS(H189))</f>
        <v/>
      </c>
      <c r="K189" s="29">
        <f>H189-(Data_thang!O189-Data_thang!K189)</f>
        <v/>
      </c>
      <c r="L189">
        <f>IF(AND(ABS(I189)&gt;Dashboard!$G$6,ABS(J189)&gt;Dashboard!$H$6),"⚠ Vượt","")</f>
        <v/>
      </c>
      <c r="M189">
        <f>IF(AND(A189=Dashboard!$D$6,OR(Dashboard!$C$6="*",F189=Dashboard!$C$6),L189&lt;&gt;""),ABS(I189)+ROW()/1000000000,0)</f>
        <v/>
      </c>
    </row>
    <row r="190">
      <c r="A190">
        <f>Data_thang!A190</f>
        <v/>
      </c>
      <c r="B190">
        <f>Data_thang!B190</f>
        <v/>
      </c>
      <c r="C190">
        <f>Data_thang!D190</f>
        <v/>
      </c>
      <c r="D190">
        <f>Data_thang!E190</f>
        <v/>
      </c>
      <c r="E190">
        <f>Data_thang!F190</f>
        <v/>
      </c>
      <c r="F190">
        <f>Data_thang!G190</f>
        <v/>
      </c>
      <c r="G190" s="29">
        <f>Data_thang!J190-Data_thang!K190</f>
        <v/>
      </c>
      <c r="H190" s="29">
        <f>Data_thang!N190</f>
        <v/>
      </c>
      <c r="I190" s="29">
        <f>H190-G190</f>
        <v/>
      </c>
      <c r="J190" s="30">
        <f>IF(H190=0,IF(I190=0,0,1),I190/ABS(H190))</f>
        <v/>
      </c>
      <c r="K190" s="29">
        <f>H190-(Data_thang!O190-Data_thang!K190)</f>
        <v/>
      </c>
      <c r="L190">
        <f>IF(AND(ABS(I190)&gt;Dashboard!$G$6,ABS(J190)&gt;Dashboard!$H$6),"⚠ Vượt","")</f>
        <v/>
      </c>
      <c r="M190">
        <f>IF(AND(A190=Dashboard!$D$6,OR(Dashboard!$C$6="*",F190=Dashboard!$C$6),L190&lt;&gt;""),ABS(I190)+ROW()/1000000000,0)</f>
        <v/>
      </c>
    </row>
    <row r="191">
      <c r="A191">
        <f>Data_thang!A191</f>
        <v/>
      </c>
      <c r="B191">
        <f>Data_thang!B191</f>
        <v/>
      </c>
      <c r="C191">
        <f>Data_thang!D191</f>
        <v/>
      </c>
      <c r="D191">
        <f>Data_thang!E191</f>
        <v/>
      </c>
      <c r="E191">
        <f>Data_thang!F191</f>
        <v/>
      </c>
      <c r="F191">
        <f>Data_thang!G191</f>
        <v/>
      </c>
      <c r="G191" s="29">
        <f>Data_thang!J191-Data_thang!K191</f>
        <v/>
      </c>
      <c r="H191" s="29">
        <f>Data_thang!N191</f>
        <v/>
      </c>
      <c r="I191" s="29">
        <f>H191-G191</f>
        <v/>
      </c>
      <c r="J191" s="30">
        <f>IF(H191=0,IF(I191=0,0,1),I191/ABS(H191))</f>
        <v/>
      </c>
      <c r="K191" s="29">
        <f>H191-(Data_thang!O191-Data_thang!K191)</f>
        <v/>
      </c>
      <c r="L191">
        <f>IF(AND(ABS(I191)&gt;Dashboard!$G$6,ABS(J191)&gt;Dashboard!$H$6),"⚠ Vượt","")</f>
        <v/>
      </c>
      <c r="M191">
        <f>IF(AND(A191=Dashboard!$D$6,OR(Dashboard!$C$6="*",F191=Dashboard!$C$6),L191&lt;&gt;""),ABS(I191)+ROW()/1000000000,0)</f>
        <v/>
      </c>
    </row>
    <row r="192">
      <c r="A192">
        <f>Data_thang!A192</f>
        <v/>
      </c>
      <c r="B192">
        <f>Data_thang!B192</f>
        <v/>
      </c>
      <c r="C192">
        <f>Data_thang!D192</f>
        <v/>
      </c>
      <c r="D192">
        <f>Data_thang!E192</f>
        <v/>
      </c>
      <c r="E192">
        <f>Data_thang!F192</f>
        <v/>
      </c>
      <c r="F192">
        <f>Data_thang!G192</f>
        <v/>
      </c>
      <c r="G192" s="29">
        <f>Data_thang!J192-Data_thang!K192</f>
        <v/>
      </c>
      <c r="H192" s="29">
        <f>Data_thang!N192</f>
        <v/>
      </c>
      <c r="I192" s="29">
        <f>H192-G192</f>
        <v/>
      </c>
      <c r="J192" s="30">
        <f>IF(H192=0,IF(I192=0,0,1),I192/ABS(H192))</f>
        <v/>
      </c>
      <c r="K192" s="29">
        <f>H192-(Data_thang!O192-Data_thang!K192)</f>
        <v/>
      </c>
      <c r="L192">
        <f>IF(AND(ABS(I192)&gt;Dashboard!$G$6,ABS(J192)&gt;Dashboard!$H$6),"⚠ Vượt","")</f>
        <v/>
      </c>
      <c r="M192">
        <f>IF(AND(A192=Dashboard!$D$6,OR(Dashboard!$C$6="*",F192=Dashboard!$C$6),L192&lt;&gt;""),ABS(I192)+ROW()/1000000000,0)</f>
        <v/>
      </c>
    </row>
    <row r="193">
      <c r="A193">
        <f>Data_thang!A193</f>
        <v/>
      </c>
      <c r="B193">
        <f>Data_thang!B193</f>
        <v/>
      </c>
      <c r="C193">
        <f>Data_thang!D193</f>
        <v/>
      </c>
      <c r="D193">
        <f>Data_thang!E193</f>
        <v/>
      </c>
      <c r="E193">
        <f>Data_thang!F193</f>
        <v/>
      </c>
      <c r="F193">
        <f>Data_thang!G193</f>
        <v/>
      </c>
      <c r="G193" s="29">
        <f>Data_thang!J193-Data_thang!K193</f>
        <v/>
      </c>
      <c r="H193" s="29">
        <f>Data_thang!N193</f>
        <v/>
      </c>
      <c r="I193" s="29">
        <f>H193-G193</f>
        <v/>
      </c>
      <c r="J193" s="30">
        <f>IF(H193=0,IF(I193=0,0,1),I193/ABS(H193))</f>
        <v/>
      </c>
      <c r="K193" s="29">
        <f>H193-(Data_thang!O193-Data_thang!K193)</f>
        <v/>
      </c>
      <c r="L193">
        <f>IF(AND(ABS(I193)&gt;Dashboard!$G$6,ABS(J193)&gt;Dashboard!$H$6),"⚠ Vượt","")</f>
        <v/>
      </c>
      <c r="M193">
        <f>IF(AND(A193=Dashboard!$D$6,OR(Dashboard!$C$6="*",F193=Dashboard!$C$6),L193&lt;&gt;""),ABS(I193)+ROW()/1000000000,0)</f>
        <v/>
      </c>
    </row>
    <row r="194">
      <c r="A194">
        <f>Data_thang!A194</f>
        <v/>
      </c>
      <c r="B194">
        <f>Data_thang!B194</f>
        <v/>
      </c>
      <c r="C194">
        <f>Data_thang!D194</f>
        <v/>
      </c>
      <c r="D194">
        <f>Data_thang!E194</f>
        <v/>
      </c>
      <c r="E194">
        <f>Data_thang!F194</f>
        <v/>
      </c>
      <c r="F194">
        <f>Data_thang!G194</f>
        <v/>
      </c>
      <c r="G194" s="29">
        <f>Data_thang!J194-Data_thang!K194</f>
        <v/>
      </c>
      <c r="H194" s="29">
        <f>Data_thang!N194</f>
        <v/>
      </c>
      <c r="I194" s="29">
        <f>H194-G194</f>
        <v/>
      </c>
      <c r="J194" s="30">
        <f>IF(H194=0,IF(I194=0,0,1),I194/ABS(H194))</f>
        <v/>
      </c>
      <c r="K194" s="29">
        <f>H194-(Data_thang!O194-Data_thang!K194)</f>
        <v/>
      </c>
      <c r="L194">
        <f>IF(AND(ABS(I194)&gt;Dashboard!$G$6,ABS(J194)&gt;Dashboard!$H$6),"⚠ Vượt","")</f>
        <v/>
      </c>
      <c r="M194">
        <f>IF(AND(A194=Dashboard!$D$6,OR(Dashboard!$C$6="*",F194=Dashboard!$C$6),L194&lt;&gt;""),ABS(I194)+ROW()/1000000000,0)</f>
        <v/>
      </c>
    </row>
    <row r="195">
      <c r="A195">
        <f>Data_thang!A195</f>
        <v/>
      </c>
      <c r="B195">
        <f>Data_thang!B195</f>
        <v/>
      </c>
      <c r="C195">
        <f>Data_thang!D195</f>
        <v/>
      </c>
      <c r="D195">
        <f>Data_thang!E195</f>
        <v/>
      </c>
      <c r="E195">
        <f>Data_thang!F195</f>
        <v/>
      </c>
      <c r="F195">
        <f>Data_thang!G195</f>
        <v/>
      </c>
      <c r="G195" s="29">
        <f>Data_thang!J195-Data_thang!K195</f>
        <v/>
      </c>
      <c r="H195" s="29">
        <f>Data_thang!N195</f>
        <v/>
      </c>
      <c r="I195" s="29">
        <f>H195-G195</f>
        <v/>
      </c>
      <c r="J195" s="30">
        <f>IF(H195=0,IF(I195=0,0,1),I195/ABS(H195))</f>
        <v/>
      </c>
      <c r="K195" s="29">
        <f>H195-(Data_thang!O195-Data_thang!K195)</f>
        <v/>
      </c>
      <c r="L195">
        <f>IF(AND(ABS(I195)&gt;Dashboard!$G$6,ABS(J195)&gt;Dashboard!$H$6),"⚠ Vượt","")</f>
        <v/>
      </c>
      <c r="M195">
        <f>IF(AND(A195=Dashboard!$D$6,OR(Dashboard!$C$6="*",F195=Dashboard!$C$6),L195&lt;&gt;""),ABS(I195)+ROW()/1000000000,0)</f>
        <v/>
      </c>
    </row>
    <row r="196">
      <c r="A196">
        <f>Data_thang!A196</f>
        <v/>
      </c>
      <c r="B196">
        <f>Data_thang!B196</f>
        <v/>
      </c>
      <c r="C196">
        <f>Data_thang!D196</f>
        <v/>
      </c>
      <c r="D196">
        <f>Data_thang!E196</f>
        <v/>
      </c>
      <c r="E196">
        <f>Data_thang!F196</f>
        <v/>
      </c>
      <c r="F196">
        <f>Data_thang!G196</f>
        <v/>
      </c>
      <c r="G196" s="29">
        <f>Data_thang!J196-Data_thang!K196</f>
        <v/>
      </c>
      <c r="H196" s="29">
        <f>Data_thang!N196</f>
        <v/>
      </c>
      <c r="I196" s="29">
        <f>H196-G196</f>
        <v/>
      </c>
      <c r="J196" s="30">
        <f>IF(H196=0,IF(I196=0,0,1),I196/ABS(H196))</f>
        <v/>
      </c>
      <c r="K196" s="29">
        <f>H196-(Data_thang!O196-Data_thang!K196)</f>
        <v/>
      </c>
      <c r="L196">
        <f>IF(AND(ABS(I196)&gt;Dashboard!$G$6,ABS(J196)&gt;Dashboard!$H$6),"⚠ Vượt","")</f>
        <v/>
      </c>
      <c r="M196">
        <f>IF(AND(A196=Dashboard!$D$6,OR(Dashboard!$C$6="*",F196=Dashboard!$C$6),L196&lt;&gt;""),ABS(I196)+ROW()/1000000000,0)</f>
        <v/>
      </c>
    </row>
    <row r="197">
      <c r="A197">
        <f>Data_thang!A197</f>
        <v/>
      </c>
      <c r="B197">
        <f>Data_thang!B197</f>
        <v/>
      </c>
      <c r="C197">
        <f>Data_thang!D197</f>
        <v/>
      </c>
      <c r="D197">
        <f>Data_thang!E197</f>
        <v/>
      </c>
      <c r="E197">
        <f>Data_thang!F197</f>
        <v/>
      </c>
      <c r="F197">
        <f>Data_thang!G197</f>
        <v/>
      </c>
      <c r="G197" s="29">
        <f>Data_thang!J197-Data_thang!K197</f>
        <v/>
      </c>
      <c r="H197" s="29">
        <f>Data_thang!N197</f>
        <v/>
      </c>
      <c r="I197" s="29">
        <f>H197-G197</f>
        <v/>
      </c>
      <c r="J197" s="30">
        <f>IF(H197=0,IF(I197=0,0,1),I197/ABS(H197))</f>
        <v/>
      </c>
      <c r="K197" s="29">
        <f>H197-(Data_thang!O197-Data_thang!K197)</f>
        <v/>
      </c>
      <c r="L197">
        <f>IF(AND(ABS(I197)&gt;Dashboard!$G$6,ABS(J197)&gt;Dashboard!$H$6),"⚠ Vượt","")</f>
        <v/>
      </c>
      <c r="M197">
        <f>IF(AND(A197=Dashboard!$D$6,OR(Dashboard!$C$6="*",F197=Dashboard!$C$6),L197&lt;&gt;""),ABS(I197)+ROW()/1000000000,0)</f>
        <v/>
      </c>
    </row>
    <row r="198">
      <c r="A198">
        <f>Data_thang!A198</f>
        <v/>
      </c>
      <c r="B198">
        <f>Data_thang!B198</f>
        <v/>
      </c>
      <c r="C198">
        <f>Data_thang!D198</f>
        <v/>
      </c>
      <c r="D198">
        <f>Data_thang!E198</f>
        <v/>
      </c>
      <c r="E198">
        <f>Data_thang!F198</f>
        <v/>
      </c>
      <c r="F198">
        <f>Data_thang!G198</f>
        <v/>
      </c>
      <c r="G198" s="29">
        <f>Data_thang!J198-Data_thang!K198</f>
        <v/>
      </c>
      <c r="H198" s="29">
        <f>Data_thang!N198</f>
        <v/>
      </c>
      <c r="I198" s="29">
        <f>H198-G198</f>
        <v/>
      </c>
      <c r="J198" s="30">
        <f>IF(H198=0,IF(I198=0,0,1),I198/ABS(H198))</f>
        <v/>
      </c>
      <c r="K198" s="29">
        <f>H198-(Data_thang!O198-Data_thang!K198)</f>
        <v/>
      </c>
      <c r="L198">
        <f>IF(AND(ABS(I198)&gt;Dashboard!$G$6,ABS(J198)&gt;Dashboard!$H$6),"⚠ Vượt","")</f>
        <v/>
      </c>
      <c r="M198">
        <f>IF(AND(A198=Dashboard!$D$6,OR(Dashboard!$C$6="*",F198=Dashboard!$C$6),L198&lt;&gt;""),ABS(I198)+ROW()/1000000000,0)</f>
        <v/>
      </c>
    </row>
    <row r="199">
      <c r="A199">
        <f>Data_thang!A199</f>
        <v/>
      </c>
      <c r="B199">
        <f>Data_thang!B199</f>
        <v/>
      </c>
      <c r="C199">
        <f>Data_thang!D199</f>
        <v/>
      </c>
      <c r="D199">
        <f>Data_thang!E199</f>
        <v/>
      </c>
      <c r="E199">
        <f>Data_thang!F199</f>
        <v/>
      </c>
      <c r="F199">
        <f>Data_thang!G199</f>
        <v/>
      </c>
      <c r="G199" s="29">
        <f>Data_thang!J199-Data_thang!K199</f>
        <v/>
      </c>
      <c r="H199" s="29">
        <f>Data_thang!N199</f>
        <v/>
      </c>
      <c r="I199" s="29">
        <f>H199-G199</f>
        <v/>
      </c>
      <c r="J199" s="30">
        <f>IF(H199=0,IF(I199=0,0,1),I199/ABS(H199))</f>
        <v/>
      </c>
      <c r="K199" s="29">
        <f>H199-(Data_thang!O199-Data_thang!K199)</f>
        <v/>
      </c>
      <c r="L199">
        <f>IF(AND(ABS(I199)&gt;Dashboard!$G$6,ABS(J199)&gt;Dashboard!$H$6),"⚠ Vượt","")</f>
        <v/>
      </c>
      <c r="M199">
        <f>IF(AND(A199=Dashboard!$D$6,OR(Dashboard!$C$6="*",F199=Dashboard!$C$6),L199&lt;&gt;""),ABS(I199)+ROW()/1000000000,0)</f>
        <v/>
      </c>
    </row>
    <row r="200">
      <c r="A200">
        <f>Data_thang!A200</f>
        <v/>
      </c>
      <c r="B200">
        <f>Data_thang!B200</f>
        <v/>
      </c>
      <c r="C200">
        <f>Data_thang!D200</f>
        <v/>
      </c>
      <c r="D200">
        <f>Data_thang!E200</f>
        <v/>
      </c>
      <c r="E200">
        <f>Data_thang!F200</f>
        <v/>
      </c>
      <c r="F200">
        <f>Data_thang!G200</f>
        <v/>
      </c>
      <c r="G200" s="29">
        <f>Data_thang!J200-Data_thang!K200</f>
        <v/>
      </c>
      <c r="H200" s="29">
        <f>Data_thang!N200</f>
        <v/>
      </c>
      <c r="I200" s="29">
        <f>H200-G200</f>
        <v/>
      </c>
      <c r="J200" s="30">
        <f>IF(H200=0,IF(I200=0,0,1),I200/ABS(H200))</f>
        <v/>
      </c>
      <c r="K200" s="29">
        <f>H200-(Data_thang!O200-Data_thang!K200)</f>
        <v/>
      </c>
      <c r="L200">
        <f>IF(AND(ABS(I200)&gt;Dashboard!$G$6,ABS(J200)&gt;Dashboard!$H$6),"⚠ Vượt","")</f>
        <v/>
      </c>
      <c r="M200">
        <f>IF(AND(A200=Dashboard!$D$6,OR(Dashboard!$C$6="*",F200=Dashboard!$C$6),L200&lt;&gt;""),ABS(I200)+ROW()/1000000000,0)</f>
        <v/>
      </c>
    </row>
    <row r="201">
      <c r="A201">
        <f>Data_thang!A201</f>
        <v/>
      </c>
      <c r="B201">
        <f>Data_thang!B201</f>
        <v/>
      </c>
      <c r="C201">
        <f>Data_thang!D201</f>
        <v/>
      </c>
      <c r="D201">
        <f>Data_thang!E201</f>
        <v/>
      </c>
      <c r="E201">
        <f>Data_thang!F201</f>
        <v/>
      </c>
      <c r="F201">
        <f>Data_thang!G201</f>
        <v/>
      </c>
      <c r="G201" s="29">
        <f>Data_thang!J201-Data_thang!K201</f>
        <v/>
      </c>
      <c r="H201" s="29">
        <f>Data_thang!N201</f>
        <v/>
      </c>
      <c r="I201" s="29">
        <f>H201-G201</f>
        <v/>
      </c>
      <c r="J201" s="30">
        <f>IF(H201=0,IF(I201=0,0,1),I201/ABS(H201))</f>
        <v/>
      </c>
      <c r="K201" s="29">
        <f>H201-(Data_thang!O201-Data_thang!K201)</f>
        <v/>
      </c>
      <c r="L201">
        <f>IF(AND(ABS(I201)&gt;Dashboard!$G$6,ABS(J201)&gt;Dashboard!$H$6),"⚠ Vượt","")</f>
        <v/>
      </c>
      <c r="M201">
        <f>IF(AND(A201=Dashboard!$D$6,OR(Dashboard!$C$6="*",F201=Dashboard!$C$6),L201&lt;&gt;""),ABS(I201)+ROW()/1000000000,0)</f>
        <v/>
      </c>
    </row>
    <row r="202">
      <c r="A202">
        <f>Data_thang!A202</f>
        <v/>
      </c>
      <c r="B202">
        <f>Data_thang!B202</f>
        <v/>
      </c>
      <c r="C202">
        <f>Data_thang!D202</f>
        <v/>
      </c>
      <c r="D202">
        <f>Data_thang!E202</f>
        <v/>
      </c>
      <c r="E202">
        <f>Data_thang!F202</f>
        <v/>
      </c>
      <c r="F202">
        <f>Data_thang!G202</f>
        <v/>
      </c>
      <c r="G202" s="29">
        <f>Data_thang!J202-Data_thang!K202</f>
        <v/>
      </c>
      <c r="H202" s="29">
        <f>Data_thang!N202</f>
        <v/>
      </c>
      <c r="I202" s="29">
        <f>H202-G202</f>
        <v/>
      </c>
      <c r="J202" s="30">
        <f>IF(H202=0,IF(I202=0,0,1),I202/ABS(H202))</f>
        <v/>
      </c>
      <c r="K202" s="29">
        <f>H202-(Data_thang!O202-Data_thang!K202)</f>
        <v/>
      </c>
      <c r="L202">
        <f>IF(AND(ABS(I202)&gt;Dashboard!$G$6,ABS(J202)&gt;Dashboard!$H$6),"⚠ Vượt","")</f>
        <v/>
      </c>
      <c r="M202">
        <f>IF(AND(A202=Dashboard!$D$6,OR(Dashboard!$C$6="*",F202=Dashboard!$C$6),L202&lt;&gt;""),ABS(I202)+ROW()/1000000000,0)</f>
        <v/>
      </c>
    </row>
    <row r="203">
      <c r="A203">
        <f>Data_thang!A203</f>
        <v/>
      </c>
      <c r="B203">
        <f>Data_thang!B203</f>
        <v/>
      </c>
      <c r="C203">
        <f>Data_thang!D203</f>
        <v/>
      </c>
      <c r="D203">
        <f>Data_thang!E203</f>
        <v/>
      </c>
      <c r="E203">
        <f>Data_thang!F203</f>
        <v/>
      </c>
      <c r="F203">
        <f>Data_thang!G203</f>
        <v/>
      </c>
      <c r="G203" s="29">
        <f>Data_thang!J203-Data_thang!K203</f>
        <v/>
      </c>
      <c r="H203" s="29">
        <f>Data_thang!N203</f>
        <v/>
      </c>
      <c r="I203" s="29">
        <f>H203-G203</f>
        <v/>
      </c>
      <c r="J203" s="30">
        <f>IF(H203=0,IF(I203=0,0,1),I203/ABS(H203))</f>
        <v/>
      </c>
      <c r="K203" s="29">
        <f>H203-(Data_thang!O203-Data_thang!K203)</f>
        <v/>
      </c>
      <c r="L203">
        <f>IF(AND(ABS(I203)&gt;Dashboard!$G$6,ABS(J203)&gt;Dashboard!$H$6),"⚠ Vượt","")</f>
        <v/>
      </c>
      <c r="M203">
        <f>IF(AND(A203=Dashboard!$D$6,OR(Dashboard!$C$6="*",F203=Dashboard!$C$6),L203&lt;&gt;""),ABS(I203)+ROW()/1000000000,0)</f>
        <v/>
      </c>
    </row>
    <row r="204">
      <c r="A204">
        <f>Data_thang!A204</f>
        <v/>
      </c>
      <c r="B204">
        <f>Data_thang!B204</f>
        <v/>
      </c>
      <c r="C204">
        <f>Data_thang!D204</f>
        <v/>
      </c>
      <c r="D204">
        <f>Data_thang!E204</f>
        <v/>
      </c>
      <c r="E204">
        <f>Data_thang!F204</f>
        <v/>
      </c>
      <c r="F204">
        <f>Data_thang!G204</f>
        <v/>
      </c>
      <c r="G204" s="29">
        <f>Data_thang!J204-Data_thang!K204</f>
        <v/>
      </c>
      <c r="H204" s="29">
        <f>Data_thang!N204</f>
        <v/>
      </c>
      <c r="I204" s="29">
        <f>H204-G204</f>
        <v/>
      </c>
      <c r="J204" s="30">
        <f>IF(H204=0,IF(I204=0,0,1),I204/ABS(H204))</f>
        <v/>
      </c>
      <c r="K204" s="29">
        <f>H204-(Data_thang!O204-Data_thang!K204)</f>
        <v/>
      </c>
      <c r="L204">
        <f>IF(AND(ABS(I204)&gt;Dashboard!$G$6,ABS(J204)&gt;Dashboard!$H$6),"⚠ Vượt","")</f>
        <v/>
      </c>
      <c r="M204">
        <f>IF(AND(A204=Dashboard!$D$6,OR(Dashboard!$C$6="*",F204=Dashboard!$C$6),L204&lt;&gt;""),ABS(I204)+ROW()/1000000000,0)</f>
        <v/>
      </c>
    </row>
    <row r="205">
      <c r="A205">
        <f>Data_thang!A205</f>
        <v/>
      </c>
      <c r="B205">
        <f>Data_thang!B205</f>
        <v/>
      </c>
      <c r="C205">
        <f>Data_thang!D205</f>
        <v/>
      </c>
      <c r="D205">
        <f>Data_thang!E205</f>
        <v/>
      </c>
      <c r="E205">
        <f>Data_thang!F205</f>
        <v/>
      </c>
      <c r="F205">
        <f>Data_thang!G205</f>
        <v/>
      </c>
      <c r="G205" s="29">
        <f>Data_thang!J205-Data_thang!K205</f>
        <v/>
      </c>
      <c r="H205" s="29">
        <f>Data_thang!N205</f>
        <v/>
      </c>
      <c r="I205" s="29">
        <f>H205-G205</f>
        <v/>
      </c>
      <c r="J205" s="30">
        <f>IF(H205=0,IF(I205=0,0,1),I205/ABS(H205))</f>
        <v/>
      </c>
      <c r="K205" s="29">
        <f>H205-(Data_thang!O205-Data_thang!K205)</f>
        <v/>
      </c>
      <c r="L205">
        <f>IF(AND(ABS(I205)&gt;Dashboard!$G$6,ABS(J205)&gt;Dashboard!$H$6),"⚠ Vượt","")</f>
        <v/>
      </c>
      <c r="M205">
        <f>IF(AND(A205=Dashboard!$D$6,OR(Dashboard!$C$6="*",F205=Dashboard!$C$6),L205&lt;&gt;""),ABS(I205)+ROW()/1000000000,0)</f>
        <v/>
      </c>
    </row>
    <row r="206">
      <c r="A206">
        <f>Data_thang!A206</f>
        <v/>
      </c>
      <c r="B206">
        <f>Data_thang!B206</f>
        <v/>
      </c>
      <c r="C206">
        <f>Data_thang!D206</f>
        <v/>
      </c>
      <c r="D206">
        <f>Data_thang!E206</f>
        <v/>
      </c>
      <c r="E206">
        <f>Data_thang!F206</f>
        <v/>
      </c>
      <c r="F206">
        <f>Data_thang!G206</f>
        <v/>
      </c>
      <c r="G206" s="29">
        <f>Data_thang!J206-Data_thang!K206</f>
        <v/>
      </c>
      <c r="H206" s="29">
        <f>Data_thang!N206</f>
        <v/>
      </c>
      <c r="I206" s="29">
        <f>H206-G206</f>
        <v/>
      </c>
      <c r="J206" s="30">
        <f>IF(H206=0,IF(I206=0,0,1),I206/ABS(H206))</f>
        <v/>
      </c>
      <c r="K206" s="29">
        <f>H206-(Data_thang!O206-Data_thang!K206)</f>
        <v/>
      </c>
      <c r="L206">
        <f>IF(AND(ABS(I206)&gt;Dashboard!$G$6,ABS(J206)&gt;Dashboard!$H$6),"⚠ Vượt","")</f>
        <v/>
      </c>
      <c r="M206">
        <f>IF(AND(A206=Dashboard!$D$6,OR(Dashboard!$C$6="*",F206=Dashboard!$C$6),L206&lt;&gt;""),ABS(I206)+ROW()/1000000000,0)</f>
        <v/>
      </c>
    </row>
    <row r="207">
      <c r="A207">
        <f>Data_thang!A207</f>
        <v/>
      </c>
      <c r="B207">
        <f>Data_thang!B207</f>
        <v/>
      </c>
      <c r="C207">
        <f>Data_thang!D207</f>
        <v/>
      </c>
      <c r="D207">
        <f>Data_thang!E207</f>
        <v/>
      </c>
      <c r="E207">
        <f>Data_thang!F207</f>
        <v/>
      </c>
      <c r="F207">
        <f>Data_thang!G207</f>
        <v/>
      </c>
      <c r="G207" s="29">
        <f>Data_thang!J207-Data_thang!K207</f>
        <v/>
      </c>
      <c r="H207" s="29">
        <f>Data_thang!N207</f>
        <v/>
      </c>
      <c r="I207" s="29">
        <f>H207-G207</f>
        <v/>
      </c>
      <c r="J207" s="30">
        <f>IF(H207=0,IF(I207=0,0,1),I207/ABS(H207))</f>
        <v/>
      </c>
      <c r="K207" s="29">
        <f>H207-(Data_thang!O207-Data_thang!K207)</f>
        <v/>
      </c>
      <c r="L207">
        <f>IF(AND(ABS(I207)&gt;Dashboard!$G$6,ABS(J207)&gt;Dashboard!$H$6),"⚠ Vượt","")</f>
        <v/>
      </c>
      <c r="M207">
        <f>IF(AND(A207=Dashboard!$D$6,OR(Dashboard!$C$6="*",F207=Dashboard!$C$6),L207&lt;&gt;""),ABS(I207)+ROW()/1000000000,0)</f>
        <v/>
      </c>
    </row>
    <row r="208">
      <c r="A208">
        <f>Data_thang!A208</f>
        <v/>
      </c>
      <c r="B208">
        <f>Data_thang!B208</f>
        <v/>
      </c>
      <c r="C208">
        <f>Data_thang!D208</f>
        <v/>
      </c>
      <c r="D208">
        <f>Data_thang!E208</f>
        <v/>
      </c>
      <c r="E208">
        <f>Data_thang!F208</f>
        <v/>
      </c>
      <c r="F208">
        <f>Data_thang!G208</f>
        <v/>
      </c>
      <c r="G208" s="29">
        <f>Data_thang!J208-Data_thang!K208</f>
        <v/>
      </c>
      <c r="H208" s="29">
        <f>Data_thang!N208</f>
        <v/>
      </c>
      <c r="I208" s="29">
        <f>H208-G208</f>
        <v/>
      </c>
      <c r="J208" s="30">
        <f>IF(H208=0,IF(I208=0,0,1),I208/ABS(H208))</f>
        <v/>
      </c>
      <c r="K208" s="29">
        <f>H208-(Data_thang!O208-Data_thang!K208)</f>
        <v/>
      </c>
      <c r="L208">
        <f>IF(AND(ABS(I208)&gt;Dashboard!$G$6,ABS(J208)&gt;Dashboard!$H$6),"⚠ Vượt","")</f>
        <v/>
      </c>
      <c r="M208">
        <f>IF(AND(A208=Dashboard!$D$6,OR(Dashboard!$C$6="*",F208=Dashboard!$C$6),L208&lt;&gt;""),ABS(I208)+ROW()/1000000000,0)</f>
        <v/>
      </c>
    </row>
    <row r="209">
      <c r="A209">
        <f>Data_thang!A209</f>
        <v/>
      </c>
      <c r="B209">
        <f>Data_thang!B209</f>
        <v/>
      </c>
      <c r="C209">
        <f>Data_thang!D209</f>
        <v/>
      </c>
      <c r="D209">
        <f>Data_thang!E209</f>
        <v/>
      </c>
      <c r="E209">
        <f>Data_thang!F209</f>
        <v/>
      </c>
      <c r="F209">
        <f>Data_thang!G209</f>
        <v/>
      </c>
      <c r="G209" s="29">
        <f>Data_thang!J209-Data_thang!K209</f>
        <v/>
      </c>
      <c r="H209" s="29">
        <f>Data_thang!N209</f>
        <v/>
      </c>
      <c r="I209" s="29">
        <f>H209-G209</f>
        <v/>
      </c>
      <c r="J209" s="30">
        <f>IF(H209=0,IF(I209=0,0,1),I209/ABS(H209))</f>
        <v/>
      </c>
      <c r="K209" s="29">
        <f>H209-(Data_thang!O209-Data_thang!K209)</f>
        <v/>
      </c>
      <c r="L209">
        <f>IF(AND(ABS(I209)&gt;Dashboard!$G$6,ABS(J209)&gt;Dashboard!$H$6),"⚠ Vượt","")</f>
        <v/>
      </c>
      <c r="M209">
        <f>IF(AND(A209=Dashboard!$D$6,OR(Dashboard!$C$6="*",F209=Dashboard!$C$6),L209&lt;&gt;""),ABS(I209)+ROW()/1000000000,0)</f>
        <v/>
      </c>
    </row>
    <row r="210">
      <c r="A210">
        <f>Data_thang!A210</f>
        <v/>
      </c>
      <c r="B210">
        <f>Data_thang!B210</f>
        <v/>
      </c>
      <c r="C210">
        <f>Data_thang!D210</f>
        <v/>
      </c>
      <c r="D210">
        <f>Data_thang!E210</f>
        <v/>
      </c>
      <c r="E210">
        <f>Data_thang!F210</f>
        <v/>
      </c>
      <c r="F210">
        <f>Data_thang!G210</f>
        <v/>
      </c>
      <c r="G210" s="29">
        <f>Data_thang!J210-Data_thang!K210</f>
        <v/>
      </c>
      <c r="H210" s="29">
        <f>Data_thang!N210</f>
        <v/>
      </c>
      <c r="I210" s="29">
        <f>H210-G210</f>
        <v/>
      </c>
      <c r="J210" s="30">
        <f>IF(H210=0,IF(I210=0,0,1),I210/ABS(H210))</f>
        <v/>
      </c>
      <c r="K210" s="29">
        <f>H210-(Data_thang!O210-Data_thang!K210)</f>
        <v/>
      </c>
      <c r="L210">
        <f>IF(AND(ABS(I210)&gt;Dashboard!$G$6,ABS(J210)&gt;Dashboard!$H$6),"⚠ Vượt","")</f>
        <v/>
      </c>
      <c r="M210">
        <f>IF(AND(A210=Dashboard!$D$6,OR(Dashboard!$C$6="*",F210=Dashboard!$C$6),L210&lt;&gt;""),ABS(I210)+ROW()/1000000000,0)</f>
        <v/>
      </c>
    </row>
    <row r="211">
      <c r="A211">
        <f>Data_thang!A211</f>
        <v/>
      </c>
      <c r="B211">
        <f>Data_thang!B211</f>
        <v/>
      </c>
      <c r="C211">
        <f>Data_thang!D211</f>
        <v/>
      </c>
      <c r="D211">
        <f>Data_thang!E211</f>
        <v/>
      </c>
      <c r="E211">
        <f>Data_thang!F211</f>
        <v/>
      </c>
      <c r="F211">
        <f>Data_thang!G211</f>
        <v/>
      </c>
      <c r="G211" s="29">
        <f>Data_thang!J211-Data_thang!K211</f>
        <v/>
      </c>
      <c r="H211" s="29">
        <f>Data_thang!N211</f>
        <v/>
      </c>
      <c r="I211" s="29">
        <f>H211-G211</f>
        <v/>
      </c>
      <c r="J211" s="30">
        <f>IF(H211=0,IF(I211=0,0,1),I211/ABS(H211))</f>
        <v/>
      </c>
      <c r="K211" s="29">
        <f>H211-(Data_thang!O211-Data_thang!K211)</f>
        <v/>
      </c>
      <c r="L211">
        <f>IF(AND(ABS(I211)&gt;Dashboard!$G$6,ABS(J211)&gt;Dashboard!$H$6),"⚠ Vượt","")</f>
        <v/>
      </c>
      <c r="M211">
        <f>IF(AND(A211=Dashboard!$D$6,OR(Dashboard!$C$6="*",F211=Dashboard!$C$6),L211&lt;&gt;""),ABS(I211)+ROW()/1000000000,0)</f>
        <v/>
      </c>
    </row>
    <row r="212">
      <c r="A212">
        <f>Data_thang!A212</f>
        <v/>
      </c>
      <c r="B212">
        <f>Data_thang!B212</f>
        <v/>
      </c>
      <c r="C212">
        <f>Data_thang!D212</f>
        <v/>
      </c>
      <c r="D212">
        <f>Data_thang!E212</f>
        <v/>
      </c>
      <c r="E212">
        <f>Data_thang!F212</f>
        <v/>
      </c>
      <c r="F212">
        <f>Data_thang!G212</f>
        <v/>
      </c>
      <c r="G212" s="29">
        <f>Data_thang!J212-Data_thang!K212</f>
        <v/>
      </c>
      <c r="H212" s="29">
        <f>Data_thang!N212</f>
        <v/>
      </c>
      <c r="I212" s="29">
        <f>H212-G212</f>
        <v/>
      </c>
      <c r="J212" s="30">
        <f>IF(H212=0,IF(I212=0,0,1),I212/ABS(H212))</f>
        <v/>
      </c>
      <c r="K212" s="29">
        <f>H212-(Data_thang!O212-Data_thang!K212)</f>
        <v/>
      </c>
      <c r="L212">
        <f>IF(AND(ABS(I212)&gt;Dashboard!$G$6,ABS(J212)&gt;Dashboard!$H$6),"⚠ Vượt","")</f>
        <v/>
      </c>
      <c r="M212">
        <f>IF(AND(A212=Dashboard!$D$6,OR(Dashboard!$C$6="*",F212=Dashboard!$C$6),L212&lt;&gt;""),ABS(I212)+ROW()/1000000000,0)</f>
        <v/>
      </c>
    </row>
    <row r="213">
      <c r="A213">
        <f>Data_thang!A213</f>
        <v/>
      </c>
      <c r="B213">
        <f>Data_thang!B213</f>
        <v/>
      </c>
      <c r="C213">
        <f>Data_thang!D213</f>
        <v/>
      </c>
      <c r="D213">
        <f>Data_thang!E213</f>
        <v/>
      </c>
      <c r="E213">
        <f>Data_thang!F213</f>
        <v/>
      </c>
      <c r="F213">
        <f>Data_thang!G213</f>
        <v/>
      </c>
      <c r="G213" s="29">
        <f>Data_thang!J213-Data_thang!K213</f>
        <v/>
      </c>
      <c r="H213" s="29">
        <f>Data_thang!N213</f>
        <v/>
      </c>
      <c r="I213" s="29">
        <f>H213-G213</f>
        <v/>
      </c>
      <c r="J213" s="30">
        <f>IF(H213=0,IF(I213=0,0,1),I213/ABS(H213))</f>
        <v/>
      </c>
      <c r="K213" s="29">
        <f>H213-(Data_thang!O213-Data_thang!K213)</f>
        <v/>
      </c>
      <c r="L213">
        <f>IF(AND(ABS(I213)&gt;Dashboard!$G$6,ABS(J213)&gt;Dashboard!$H$6),"⚠ Vượt","")</f>
        <v/>
      </c>
      <c r="M213">
        <f>IF(AND(A213=Dashboard!$D$6,OR(Dashboard!$C$6="*",F213=Dashboard!$C$6),L213&lt;&gt;""),ABS(I213)+ROW()/1000000000,0)</f>
        <v/>
      </c>
    </row>
    <row r="214">
      <c r="A214">
        <f>Data_thang!A214</f>
        <v/>
      </c>
      <c r="B214">
        <f>Data_thang!B214</f>
        <v/>
      </c>
      <c r="C214">
        <f>Data_thang!D214</f>
        <v/>
      </c>
      <c r="D214">
        <f>Data_thang!E214</f>
        <v/>
      </c>
      <c r="E214">
        <f>Data_thang!F214</f>
        <v/>
      </c>
      <c r="F214">
        <f>Data_thang!G214</f>
        <v/>
      </c>
      <c r="G214" s="29">
        <f>Data_thang!J214-Data_thang!K214</f>
        <v/>
      </c>
      <c r="H214" s="29">
        <f>Data_thang!N214</f>
        <v/>
      </c>
      <c r="I214" s="29">
        <f>H214-G214</f>
        <v/>
      </c>
      <c r="J214" s="30">
        <f>IF(H214=0,IF(I214=0,0,1),I214/ABS(H214))</f>
        <v/>
      </c>
      <c r="K214" s="29">
        <f>H214-(Data_thang!O214-Data_thang!K214)</f>
        <v/>
      </c>
      <c r="L214">
        <f>IF(AND(ABS(I214)&gt;Dashboard!$G$6,ABS(J214)&gt;Dashboard!$H$6),"⚠ Vượt","")</f>
        <v/>
      </c>
      <c r="M214">
        <f>IF(AND(A214=Dashboard!$D$6,OR(Dashboard!$C$6="*",F214=Dashboard!$C$6),L214&lt;&gt;""),ABS(I214)+ROW()/1000000000,0)</f>
        <v/>
      </c>
    </row>
    <row r="215">
      <c r="A215">
        <f>Data_thang!A215</f>
        <v/>
      </c>
      <c r="B215">
        <f>Data_thang!B215</f>
        <v/>
      </c>
      <c r="C215">
        <f>Data_thang!D215</f>
        <v/>
      </c>
      <c r="D215">
        <f>Data_thang!E215</f>
        <v/>
      </c>
      <c r="E215">
        <f>Data_thang!F215</f>
        <v/>
      </c>
      <c r="F215">
        <f>Data_thang!G215</f>
        <v/>
      </c>
      <c r="G215" s="29">
        <f>Data_thang!J215-Data_thang!K215</f>
        <v/>
      </c>
      <c r="H215" s="29">
        <f>Data_thang!N215</f>
        <v/>
      </c>
      <c r="I215" s="29">
        <f>H215-G215</f>
        <v/>
      </c>
      <c r="J215" s="30">
        <f>IF(H215=0,IF(I215=0,0,1),I215/ABS(H215))</f>
        <v/>
      </c>
      <c r="K215" s="29">
        <f>H215-(Data_thang!O215-Data_thang!K215)</f>
        <v/>
      </c>
      <c r="L215">
        <f>IF(AND(ABS(I215)&gt;Dashboard!$G$6,ABS(J215)&gt;Dashboard!$H$6),"⚠ Vượt","")</f>
        <v/>
      </c>
      <c r="M215">
        <f>IF(AND(A215=Dashboard!$D$6,OR(Dashboard!$C$6="*",F215=Dashboard!$C$6),L215&lt;&gt;""),ABS(I215)+ROW()/1000000000,0)</f>
        <v/>
      </c>
    </row>
    <row r="216">
      <c r="A216">
        <f>Data_thang!A216</f>
        <v/>
      </c>
      <c r="B216">
        <f>Data_thang!B216</f>
        <v/>
      </c>
      <c r="C216">
        <f>Data_thang!D216</f>
        <v/>
      </c>
      <c r="D216">
        <f>Data_thang!E216</f>
        <v/>
      </c>
      <c r="E216">
        <f>Data_thang!F216</f>
        <v/>
      </c>
      <c r="F216">
        <f>Data_thang!G216</f>
        <v/>
      </c>
      <c r="G216" s="29">
        <f>Data_thang!J216-Data_thang!K216</f>
        <v/>
      </c>
      <c r="H216" s="29">
        <f>Data_thang!N216</f>
        <v/>
      </c>
      <c r="I216" s="29">
        <f>H216-G216</f>
        <v/>
      </c>
      <c r="J216" s="30">
        <f>IF(H216=0,IF(I216=0,0,1),I216/ABS(H216))</f>
        <v/>
      </c>
      <c r="K216" s="29">
        <f>H216-(Data_thang!O216-Data_thang!K216)</f>
        <v/>
      </c>
      <c r="L216">
        <f>IF(AND(ABS(I216)&gt;Dashboard!$G$6,ABS(J216)&gt;Dashboard!$H$6),"⚠ Vượt","")</f>
        <v/>
      </c>
      <c r="M216">
        <f>IF(AND(A216=Dashboard!$D$6,OR(Dashboard!$C$6="*",F216=Dashboard!$C$6),L216&lt;&gt;""),ABS(I216)+ROW()/1000000000,0)</f>
        <v/>
      </c>
    </row>
    <row r="217">
      <c r="A217">
        <f>Data_thang!A217</f>
        <v/>
      </c>
      <c r="B217">
        <f>Data_thang!B217</f>
        <v/>
      </c>
      <c r="C217">
        <f>Data_thang!D217</f>
        <v/>
      </c>
      <c r="D217">
        <f>Data_thang!E217</f>
        <v/>
      </c>
      <c r="E217">
        <f>Data_thang!F217</f>
        <v/>
      </c>
      <c r="F217">
        <f>Data_thang!G217</f>
        <v/>
      </c>
      <c r="G217" s="29">
        <f>Data_thang!J217-Data_thang!K217</f>
        <v/>
      </c>
      <c r="H217" s="29">
        <f>Data_thang!N217</f>
        <v/>
      </c>
      <c r="I217" s="29">
        <f>H217-G217</f>
        <v/>
      </c>
      <c r="J217" s="30">
        <f>IF(H217=0,IF(I217=0,0,1),I217/ABS(H217))</f>
        <v/>
      </c>
      <c r="K217" s="29">
        <f>H217-(Data_thang!O217-Data_thang!K217)</f>
        <v/>
      </c>
      <c r="L217">
        <f>IF(AND(ABS(I217)&gt;Dashboard!$G$6,ABS(J217)&gt;Dashboard!$H$6),"⚠ Vượt","")</f>
        <v/>
      </c>
      <c r="M217">
        <f>IF(AND(A217=Dashboard!$D$6,OR(Dashboard!$C$6="*",F217=Dashboard!$C$6),L217&lt;&gt;""),ABS(I217)+ROW()/1000000000,0)</f>
        <v/>
      </c>
    </row>
    <row r="218">
      <c r="A218">
        <f>Data_thang!A218</f>
        <v/>
      </c>
      <c r="B218">
        <f>Data_thang!B218</f>
        <v/>
      </c>
      <c r="C218">
        <f>Data_thang!D218</f>
        <v/>
      </c>
      <c r="D218">
        <f>Data_thang!E218</f>
        <v/>
      </c>
      <c r="E218">
        <f>Data_thang!F218</f>
        <v/>
      </c>
      <c r="F218">
        <f>Data_thang!G218</f>
        <v/>
      </c>
      <c r="G218" s="29">
        <f>Data_thang!J218-Data_thang!K218</f>
        <v/>
      </c>
      <c r="H218" s="29">
        <f>Data_thang!N218</f>
        <v/>
      </c>
      <c r="I218" s="29">
        <f>H218-G218</f>
        <v/>
      </c>
      <c r="J218" s="30">
        <f>IF(H218=0,IF(I218=0,0,1),I218/ABS(H218))</f>
        <v/>
      </c>
      <c r="K218" s="29">
        <f>H218-(Data_thang!O218-Data_thang!K218)</f>
        <v/>
      </c>
      <c r="L218">
        <f>IF(AND(ABS(I218)&gt;Dashboard!$G$6,ABS(J218)&gt;Dashboard!$H$6),"⚠ Vượt","")</f>
        <v/>
      </c>
      <c r="M218">
        <f>IF(AND(A218=Dashboard!$D$6,OR(Dashboard!$C$6="*",F218=Dashboard!$C$6),L218&lt;&gt;""),ABS(I218)+ROW()/1000000000,0)</f>
        <v/>
      </c>
    </row>
    <row r="219">
      <c r="A219">
        <f>Data_thang!A219</f>
        <v/>
      </c>
      <c r="B219">
        <f>Data_thang!B219</f>
        <v/>
      </c>
      <c r="C219">
        <f>Data_thang!D219</f>
        <v/>
      </c>
      <c r="D219">
        <f>Data_thang!E219</f>
        <v/>
      </c>
      <c r="E219">
        <f>Data_thang!F219</f>
        <v/>
      </c>
      <c r="F219">
        <f>Data_thang!G219</f>
        <v/>
      </c>
      <c r="G219" s="29">
        <f>Data_thang!J219-Data_thang!K219</f>
        <v/>
      </c>
      <c r="H219" s="29">
        <f>Data_thang!N219</f>
        <v/>
      </c>
      <c r="I219" s="29">
        <f>H219-G219</f>
        <v/>
      </c>
      <c r="J219" s="30">
        <f>IF(H219=0,IF(I219=0,0,1),I219/ABS(H219))</f>
        <v/>
      </c>
      <c r="K219" s="29">
        <f>H219-(Data_thang!O219-Data_thang!K219)</f>
        <v/>
      </c>
      <c r="L219">
        <f>IF(AND(ABS(I219)&gt;Dashboard!$G$6,ABS(J219)&gt;Dashboard!$H$6),"⚠ Vượt","")</f>
        <v/>
      </c>
      <c r="M219">
        <f>IF(AND(A219=Dashboard!$D$6,OR(Dashboard!$C$6="*",F219=Dashboard!$C$6),L219&lt;&gt;""),ABS(I219)+ROW()/1000000000,0)</f>
        <v/>
      </c>
    </row>
    <row r="220">
      <c r="A220">
        <f>Data_thang!A220</f>
        <v/>
      </c>
      <c r="B220">
        <f>Data_thang!B220</f>
        <v/>
      </c>
      <c r="C220">
        <f>Data_thang!D220</f>
        <v/>
      </c>
      <c r="D220">
        <f>Data_thang!E220</f>
        <v/>
      </c>
      <c r="E220">
        <f>Data_thang!F220</f>
        <v/>
      </c>
      <c r="F220">
        <f>Data_thang!G220</f>
        <v/>
      </c>
      <c r="G220" s="29">
        <f>Data_thang!J220-Data_thang!K220</f>
        <v/>
      </c>
      <c r="H220" s="29">
        <f>Data_thang!N220</f>
        <v/>
      </c>
      <c r="I220" s="29">
        <f>H220-G220</f>
        <v/>
      </c>
      <c r="J220" s="30">
        <f>IF(H220=0,IF(I220=0,0,1),I220/ABS(H220))</f>
        <v/>
      </c>
      <c r="K220" s="29">
        <f>H220-(Data_thang!O220-Data_thang!K220)</f>
        <v/>
      </c>
      <c r="L220">
        <f>IF(AND(ABS(I220)&gt;Dashboard!$G$6,ABS(J220)&gt;Dashboard!$H$6),"⚠ Vượt","")</f>
        <v/>
      </c>
      <c r="M220">
        <f>IF(AND(A220=Dashboard!$D$6,OR(Dashboard!$C$6="*",F220=Dashboard!$C$6),L220&lt;&gt;""),ABS(I220)+ROW()/1000000000,0)</f>
        <v/>
      </c>
    </row>
    <row r="221">
      <c r="A221">
        <f>Data_thang!A221</f>
        <v/>
      </c>
      <c r="B221">
        <f>Data_thang!B221</f>
        <v/>
      </c>
      <c r="C221">
        <f>Data_thang!D221</f>
        <v/>
      </c>
      <c r="D221">
        <f>Data_thang!E221</f>
        <v/>
      </c>
      <c r="E221">
        <f>Data_thang!F221</f>
        <v/>
      </c>
      <c r="F221">
        <f>Data_thang!G221</f>
        <v/>
      </c>
      <c r="G221" s="29">
        <f>Data_thang!J221-Data_thang!K221</f>
        <v/>
      </c>
      <c r="H221" s="29">
        <f>Data_thang!N221</f>
        <v/>
      </c>
      <c r="I221" s="29">
        <f>H221-G221</f>
        <v/>
      </c>
      <c r="J221" s="30">
        <f>IF(H221=0,IF(I221=0,0,1),I221/ABS(H221))</f>
        <v/>
      </c>
      <c r="K221" s="29">
        <f>H221-(Data_thang!O221-Data_thang!K221)</f>
        <v/>
      </c>
      <c r="L221">
        <f>IF(AND(ABS(I221)&gt;Dashboard!$G$6,ABS(J221)&gt;Dashboard!$H$6),"⚠ Vượt","")</f>
        <v/>
      </c>
      <c r="M221">
        <f>IF(AND(A221=Dashboard!$D$6,OR(Dashboard!$C$6="*",F221=Dashboard!$C$6),L221&lt;&gt;""),ABS(I221)+ROW()/1000000000,0)</f>
        <v/>
      </c>
    </row>
    <row r="222">
      <c r="A222">
        <f>Data_thang!A222</f>
        <v/>
      </c>
      <c r="B222">
        <f>Data_thang!B222</f>
        <v/>
      </c>
      <c r="C222">
        <f>Data_thang!D222</f>
        <v/>
      </c>
      <c r="D222">
        <f>Data_thang!E222</f>
        <v/>
      </c>
      <c r="E222">
        <f>Data_thang!F222</f>
        <v/>
      </c>
      <c r="F222">
        <f>Data_thang!G222</f>
        <v/>
      </c>
      <c r="G222" s="29">
        <f>Data_thang!J222-Data_thang!K222</f>
        <v/>
      </c>
      <c r="H222" s="29">
        <f>Data_thang!N222</f>
        <v/>
      </c>
      <c r="I222" s="29">
        <f>H222-G222</f>
        <v/>
      </c>
      <c r="J222" s="30">
        <f>IF(H222=0,IF(I222=0,0,1),I222/ABS(H222))</f>
        <v/>
      </c>
      <c r="K222" s="29">
        <f>H222-(Data_thang!O222-Data_thang!K222)</f>
        <v/>
      </c>
      <c r="L222">
        <f>IF(AND(ABS(I222)&gt;Dashboard!$G$6,ABS(J222)&gt;Dashboard!$H$6),"⚠ Vượt","")</f>
        <v/>
      </c>
      <c r="M222">
        <f>IF(AND(A222=Dashboard!$D$6,OR(Dashboard!$C$6="*",F222=Dashboard!$C$6),L222&lt;&gt;""),ABS(I222)+ROW()/1000000000,0)</f>
        <v/>
      </c>
    </row>
    <row r="223">
      <c r="A223">
        <f>Data_thang!A223</f>
        <v/>
      </c>
      <c r="B223">
        <f>Data_thang!B223</f>
        <v/>
      </c>
      <c r="C223">
        <f>Data_thang!D223</f>
        <v/>
      </c>
      <c r="D223">
        <f>Data_thang!E223</f>
        <v/>
      </c>
      <c r="E223">
        <f>Data_thang!F223</f>
        <v/>
      </c>
      <c r="F223">
        <f>Data_thang!G223</f>
        <v/>
      </c>
      <c r="G223" s="29">
        <f>Data_thang!J223-Data_thang!K223</f>
        <v/>
      </c>
      <c r="H223" s="29">
        <f>Data_thang!N223</f>
        <v/>
      </c>
      <c r="I223" s="29">
        <f>H223-G223</f>
        <v/>
      </c>
      <c r="J223" s="30">
        <f>IF(H223=0,IF(I223=0,0,1),I223/ABS(H223))</f>
        <v/>
      </c>
      <c r="K223" s="29">
        <f>H223-(Data_thang!O223-Data_thang!K223)</f>
        <v/>
      </c>
      <c r="L223">
        <f>IF(AND(ABS(I223)&gt;Dashboard!$G$6,ABS(J223)&gt;Dashboard!$H$6),"⚠ Vượt","")</f>
        <v/>
      </c>
      <c r="M223">
        <f>IF(AND(A223=Dashboard!$D$6,OR(Dashboard!$C$6="*",F223=Dashboard!$C$6),L223&lt;&gt;""),ABS(I223)+ROW()/1000000000,0)</f>
        <v/>
      </c>
    </row>
    <row r="224">
      <c r="A224">
        <f>Data_thang!A224</f>
        <v/>
      </c>
      <c r="B224">
        <f>Data_thang!B224</f>
        <v/>
      </c>
      <c r="C224">
        <f>Data_thang!D224</f>
        <v/>
      </c>
      <c r="D224">
        <f>Data_thang!E224</f>
        <v/>
      </c>
      <c r="E224">
        <f>Data_thang!F224</f>
        <v/>
      </c>
      <c r="F224">
        <f>Data_thang!G224</f>
        <v/>
      </c>
      <c r="G224" s="29">
        <f>Data_thang!J224-Data_thang!K224</f>
        <v/>
      </c>
      <c r="H224" s="29">
        <f>Data_thang!N224</f>
        <v/>
      </c>
      <c r="I224" s="29">
        <f>H224-G224</f>
        <v/>
      </c>
      <c r="J224" s="30">
        <f>IF(H224=0,IF(I224=0,0,1),I224/ABS(H224))</f>
        <v/>
      </c>
      <c r="K224" s="29">
        <f>H224-(Data_thang!O224-Data_thang!K224)</f>
        <v/>
      </c>
      <c r="L224">
        <f>IF(AND(ABS(I224)&gt;Dashboard!$G$6,ABS(J224)&gt;Dashboard!$H$6),"⚠ Vượt","")</f>
        <v/>
      </c>
      <c r="M224">
        <f>IF(AND(A224=Dashboard!$D$6,OR(Dashboard!$C$6="*",F224=Dashboard!$C$6),L224&lt;&gt;""),ABS(I224)+ROW()/1000000000,0)</f>
        <v/>
      </c>
    </row>
    <row r="225">
      <c r="A225">
        <f>Data_thang!A225</f>
        <v/>
      </c>
      <c r="B225">
        <f>Data_thang!B225</f>
        <v/>
      </c>
      <c r="C225">
        <f>Data_thang!D225</f>
        <v/>
      </c>
      <c r="D225">
        <f>Data_thang!E225</f>
        <v/>
      </c>
      <c r="E225">
        <f>Data_thang!F225</f>
        <v/>
      </c>
      <c r="F225">
        <f>Data_thang!G225</f>
        <v/>
      </c>
      <c r="G225" s="29">
        <f>Data_thang!J225-Data_thang!K225</f>
        <v/>
      </c>
      <c r="H225" s="29">
        <f>Data_thang!N225</f>
        <v/>
      </c>
      <c r="I225" s="29">
        <f>H225-G225</f>
        <v/>
      </c>
      <c r="J225" s="30">
        <f>IF(H225=0,IF(I225=0,0,1),I225/ABS(H225))</f>
        <v/>
      </c>
      <c r="K225" s="29">
        <f>H225-(Data_thang!O225-Data_thang!K225)</f>
        <v/>
      </c>
      <c r="L225">
        <f>IF(AND(ABS(I225)&gt;Dashboard!$G$6,ABS(J225)&gt;Dashboard!$H$6),"⚠ Vượt","")</f>
        <v/>
      </c>
      <c r="M225">
        <f>IF(AND(A225=Dashboard!$D$6,OR(Dashboard!$C$6="*",F225=Dashboard!$C$6),L225&lt;&gt;""),ABS(I225)+ROW()/1000000000,0)</f>
        <v/>
      </c>
    </row>
    <row r="226">
      <c r="A226">
        <f>Data_thang!A226</f>
        <v/>
      </c>
      <c r="B226">
        <f>Data_thang!B226</f>
        <v/>
      </c>
      <c r="C226">
        <f>Data_thang!D226</f>
        <v/>
      </c>
      <c r="D226">
        <f>Data_thang!E226</f>
        <v/>
      </c>
      <c r="E226">
        <f>Data_thang!F226</f>
        <v/>
      </c>
      <c r="F226">
        <f>Data_thang!G226</f>
        <v/>
      </c>
      <c r="G226" s="29">
        <f>Data_thang!J226-Data_thang!K226</f>
        <v/>
      </c>
      <c r="H226" s="29">
        <f>Data_thang!N226</f>
        <v/>
      </c>
      <c r="I226" s="29">
        <f>H226-G226</f>
        <v/>
      </c>
      <c r="J226" s="30">
        <f>IF(H226=0,IF(I226=0,0,1),I226/ABS(H226))</f>
        <v/>
      </c>
      <c r="K226" s="29">
        <f>H226-(Data_thang!O226-Data_thang!K226)</f>
        <v/>
      </c>
      <c r="L226">
        <f>IF(AND(ABS(I226)&gt;Dashboard!$G$6,ABS(J226)&gt;Dashboard!$H$6),"⚠ Vượt","")</f>
        <v/>
      </c>
      <c r="M226">
        <f>IF(AND(A226=Dashboard!$D$6,OR(Dashboard!$C$6="*",F226=Dashboard!$C$6),L226&lt;&gt;""),ABS(I226)+ROW()/1000000000,0)</f>
        <v/>
      </c>
    </row>
    <row r="227">
      <c r="A227">
        <f>Data_thang!A227</f>
        <v/>
      </c>
      <c r="B227">
        <f>Data_thang!B227</f>
        <v/>
      </c>
      <c r="C227">
        <f>Data_thang!D227</f>
        <v/>
      </c>
      <c r="D227">
        <f>Data_thang!E227</f>
        <v/>
      </c>
      <c r="E227">
        <f>Data_thang!F227</f>
        <v/>
      </c>
      <c r="F227">
        <f>Data_thang!G227</f>
        <v/>
      </c>
      <c r="G227" s="29">
        <f>Data_thang!J227-Data_thang!K227</f>
        <v/>
      </c>
      <c r="H227" s="29">
        <f>Data_thang!N227</f>
        <v/>
      </c>
      <c r="I227" s="29">
        <f>H227-G227</f>
        <v/>
      </c>
      <c r="J227" s="30">
        <f>IF(H227=0,IF(I227=0,0,1),I227/ABS(H227))</f>
        <v/>
      </c>
      <c r="K227" s="29">
        <f>H227-(Data_thang!O227-Data_thang!K227)</f>
        <v/>
      </c>
      <c r="L227">
        <f>IF(AND(ABS(I227)&gt;Dashboard!$G$6,ABS(J227)&gt;Dashboard!$H$6),"⚠ Vượt","")</f>
        <v/>
      </c>
      <c r="M227">
        <f>IF(AND(A227=Dashboard!$D$6,OR(Dashboard!$C$6="*",F227=Dashboard!$C$6),L227&lt;&gt;""),ABS(I227)+ROW()/1000000000,0)</f>
        <v/>
      </c>
    </row>
    <row r="228">
      <c r="A228">
        <f>Data_thang!A228</f>
        <v/>
      </c>
      <c r="B228">
        <f>Data_thang!B228</f>
        <v/>
      </c>
      <c r="C228">
        <f>Data_thang!D228</f>
        <v/>
      </c>
      <c r="D228">
        <f>Data_thang!E228</f>
        <v/>
      </c>
      <c r="E228">
        <f>Data_thang!F228</f>
        <v/>
      </c>
      <c r="F228">
        <f>Data_thang!G228</f>
        <v/>
      </c>
      <c r="G228" s="29">
        <f>Data_thang!J228-Data_thang!K228</f>
        <v/>
      </c>
      <c r="H228" s="29">
        <f>Data_thang!N228</f>
        <v/>
      </c>
      <c r="I228" s="29">
        <f>H228-G228</f>
        <v/>
      </c>
      <c r="J228" s="30">
        <f>IF(H228=0,IF(I228=0,0,1),I228/ABS(H228))</f>
        <v/>
      </c>
      <c r="K228" s="29">
        <f>H228-(Data_thang!O228-Data_thang!K228)</f>
        <v/>
      </c>
      <c r="L228">
        <f>IF(AND(ABS(I228)&gt;Dashboard!$G$6,ABS(J228)&gt;Dashboard!$H$6),"⚠ Vượt","")</f>
        <v/>
      </c>
      <c r="M228">
        <f>IF(AND(A228=Dashboard!$D$6,OR(Dashboard!$C$6="*",F228=Dashboard!$C$6),L228&lt;&gt;""),ABS(I228)+ROW()/1000000000,0)</f>
        <v/>
      </c>
    </row>
    <row r="229">
      <c r="A229">
        <f>Data_thang!A229</f>
        <v/>
      </c>
      <c r="B229">
        <f>Data_thang!B229</f>
        <v/>
      </c>
      <c r="C229">
        <f>Data_thang!D229</f>
        <v/>
      </c>
      <c r="D229">
        <f>Data_thang!E229</f>
        <v/>
      </c>
      <c r="E229">
        <f>Data_thang!F229</f>
        <v/>
      </c>
      <c r="F229">
        <f>Data_thang!G229</f>
        <v/>
      </c>
      <c r="G229" s="29">
        <f>Data_thang!J229-Data_thang!K229</f>
        <v/>
      </c>
      <c r="H229" s="29">
        <f>Data_thang!N229</f>
        <v/>
      </c>
      <c r="I229" s="29">
        <f>H229-G229</f>
        <v/>
      </c>
      <c r="J229" s="30">
        <f>IF(H229=0,IF(I229=0,0,1),I229/ABS(H229))</f>
        <v/>
      </c>
      <c r="K229" s="29">
        <f>H229-(Data_thang!O229-Data_thang!K229)</f>
        <v/>
      </c>
      <c r="L229">
        <f>IF(AND(ABS(I229)&gt;Dashboard!$G$6,ABS(J229)&gt;Dashboard!$H$6),"⚠ Vượt","")</f>
        <v/>
      </c>
      <c r="M229">
        <f>IF(AND(A229=Dashboard!$D$6,OR(Dashboard!$C$6="*",F229=Dashboard!$C$6),L229&lt;&gt;""),ABS(I229)+ROW()/1000000000,0)</f>
        <v/>
      </c>
    </row>
    <row r="230">
      <c r="A230">
        <f>Data_thang!A230</f>
        <v/>
      </c>
      <c r="B230">
        <f>Data_thang!B230</f>
        <v/>
      </c>
      <c r="C230">
        <f>Data_thang!D230</f>
        <v/>
      </c>
      <c r="D230">
        <f>Data_thang!E230</f>
        <v/>
      </c>
      <c r="E230">
        <f>Data_thang!F230</f>
        <v/>
      </c>
      <c r="F230">
        <f>Data_thang!G230</f>
        <v/>
      </c>
      <c r="G230" s="29">
        <f>Data_thang!J230-Data_thang!K230</f>
        <v/>
      </c>
      <c r="H230" s="29">
        <f>Data_thang!N230</f>
        <v/>
      </c>
      <c r="I230" s="29">
        <f>H230-G230</f>
        <v/>
      </c>
      <c r="J230" s="30">
        <f>IF(H230=0,IF(I230=0,0,1),I230/ABS(H230))</f>
        <v/>
      </c>
      <c r="K230" s="29">
        <f>H230-(Data_thang!O230-Data_thang!K230)</f>
        <v/>
      </c>
      <c r="L230">
        <f>IF(AND(ABS(I230)&gt;Dashboard!$G$6,ABS(J230)&gt;Dashboard!$H$6),"⚠ Vượt","")</f>
        <v/>
      </c>
      <c r="M230">
        <f>IF(AND(A230=Dashboard!$D$6,OR(Dashboard!$C$6="*",F230=Dashboard!$C$6),L230&lt;&gt;""),ABS(I230)+ROW()/1000000000,0)</f>
        <v/>
      </c>
    </row>
    <row r="231">
      <c r="A231">
        <f>Data_thang!A231</f>
        <v/>
      </c>
      <c r="B231">
        <f>Data_thang!B231</f>
        <v/>
      </c>
      <c r="C231">
        <f>Data_thang!D231</f>
        <v/>
      </c>
      <c r="D231">
        <f>Data_thang!E231</f>
        <v/>
      </c>
      <c r="E231">
        <f>Data_thang!F231</f>
        <v/>
      </c>
      <c r="F231">
        <f>Data_thang!G231</f>
        <v/>
      </c>
      <c r="G231" s="29">
        <f>Data_thang!J231-Data_thang!K231</f>
        <v/>
      </c>
      <c r="H231" s="29">
        <f>Data_thang!N231</f>
        <v/>
      </c>
      <c r="I231" s="29">
        <f>H231-G231</f>
        <v/>
      </c>
      <c r="J231" s="30">
        <f>IF(H231=0,IF(I231=0,0,1),I231/ABS(H231))</f>
        <v/>
      </c>
      <c r="K231" s="29">
        <f>H231-(Data_thang!O231-Data_thang!K231)</f>
        <v/>
      </c>
      <c r="L231">
        <f>IF(AND(ABS(I231)&gt;Dashboard!$G$6,ABS(J231)&gt;Dashboard!$H$6),"⚠ Vượt","")</f>
        <v/>
      </c>
      <c r="M231">
        <f>IF(AND(A231=Dashboard!$D$6,OR(Dashboard!$C$6="*",F231=Dashboard!$C$6),L231&lt;&gt;""),ABS(I231)+ROW()/1000000000,0)</f>
        <v/>
      </c>
    </row>
    <row r="232">
      <c r="A232">
        <f>Data_thang!A232</f>
        <v/>
      </c>
      <c r="B232">
        <f>Data_thang!B232</f>
        <v/>
      </c>
      <c r="C232">
        <f>Data_thang!D232</f>
        <v/>
      </c>
      <c r="D232">
        <f>Data_thang!E232</f>
        <v/>
      </c>
      <c r="E232">
        <f>Data_thang!F232</f>
        <v/>
      </c>
      <c r="F232">
        <f>Data_thang!G232</f>
        <v/>
      </c>
      <c r="G232" s="29">
        <f>Data_thang!J232-Data_thang!K232</f>
        <v/>
      </c>
      <c r="H232" s="29">
        <f>Data_thang!N232</f>
        <v/>
      </c>
      <c r="I232" s="29">
        <f>H232-G232</f>
        <v/>
      </c>
      <c r="J232" s="30">
        <f>IF(H232=0,IF(I232=0,0,1),I232/ABS(H232))</f>
        <v/>
      </c>
      <c r="K232" s="29">
        <f>H232-(Data_thang!O232-Data_thang!K232)</f>
        <v/>
      </c>
      <c r="L232">
        <f>IF(AND(ABS(I232)&gt;Dashboard!$G$6,ABS(J232)&gt;Dashboard!$H$6),"⚠ Vượt","")</f>
        <v/>
      </c>
      <c r="M232">
        <f>IF(AND(A232=Dashboard!$D$6,OR(Dashboard!$C$6="*",F232=Dashboard!$C$6),L232&lt;&gt;""),ABS(I232)+ROW()/1000000000,0)</f>
        <v/>
      </c>
    </row>
    <row r="233">
      <c r="A233">
        <f>Data_thang!A233</f>
        <v/>
      </c>
      <c r="B233">
        <f>Data_thang!B233</f>
        <v/>
      </c>
      <c r="C233">
        <f>Data_thang!D233</f>
        <v/>
      </c>
      <c r="D233">
        <f>Data_thang!E233</f>
        <v/>
      </c>
      <c r="E233">
        <f>Data_thang!F233</f>
        <v/>
      </c>
      <c r="F233">
        <f>Data_thang!G233</f>
        <v/>
      </c>
      <c r="G233" s="29">
        <f>Data_thang!J233-Data_thang!K233</f>
        <v/>
      </c>
      <c r="H233" s="29">
        <f>Data_thang!N233</f>
        <v/>
      </c>
      <c r="I233" s="29">
        <f>H233-G233</f>
        <v/>
      </c>
      <c r="J233" s="30">
        <f>IF(H233=0,IF(I233=0,0,1),I233/ABS(H233))</f>
        <v/>
      </c>
      <c r="K233" s="29">
        <f>H233-(Data_thang!O233-Data_thang!K233)</f>
        <v/>
      </c>
      <c r="L233">
        <f>IF(AND(ABS(I233)&gt;Dashboard!$G$6,ABS(J233)&gt;Dashboard!$H$6),"⚠ Vượt","")</f>
        <v/>
      </c>
      <c r="M233">
        <f>IF(AND(A233=Dashboard!$D$6,OR(Dashboard!$C$6="*",F233=Dashboard!$C$6),L233&lt;&gt;""),ABS(I233)+ROW()/1000000000,0)</f>
        <v/>
      </c>
    </row>
    <row r="234">
      <c r="A234">
        <f>Data_thang!A234</f>
        <v/>
      </c>
      <c r="B234">
        <f>Data_thang!B234</f>
        <v/>
      </c>
      <c r="C234">
        <f>Data_thang!D234</f>
        <v/>
      </c>
      <c r="D234">
        <f>Data_thang!E234</f>
        <v/>
      </c>
      <c r="E234">
        <f>Data_thang!F234</f>
        <v/>
      </c>
      <c r="F234">
        <f>Data_thang!G234</f>
        <v/>
      </c>
      <c r="G234" s="29">
        <f>Data_thang!J234-Data_thang!K234</f>
        <v/>
      </c>
      <c r="H234" s="29">
        <f>Data_thang!N234</f>
        <v/>
      </c>
      <c r="I234" s="29">
        <f>H234-G234</f>
        <v/>
      </c>
      <c r="J234" s="30">
        <f>IF(H234=0,IF(I234=0,0,1),I234/ABS(H234))</f>
        <v/>
      </c>
      <c r="K234" s="29">
        <f>H234-(Data_thang!O234-Data_thang!K234)</f>
        <v/>
      </c>
      <c r="L234">
        <f>IF(AND(ABS(I234)&gt;Dashboard!$G$6,ABS(J234)&gt;Dashboard!$H$6),"⚠ Vượt","")</f>
        <v/>
      </c>
      <c r="M234">
        <f>IF(AND(A234=Dashboard!$D$6,OR(Dashboard!$C$6="*",F234=Dashboard!$C$6),L234&lt;&gt;""),ABS(I234)+ROW()/1000000000,0)</f>
        <v/>
      </c>
    </row>
    <row r="235">
      <c r="A235">
        <f>Data_thang!A235</f>
        <v/>
      </c>
      <c r="B235">
        <f>Data_thang!B235</f>
        <v/>
      </c>
      <c r="C235">
        <f>Data_thang!D235</f>
        <v/>
      </c>
      <c r="D235">
        <f>Data_thang!E235</f>
        <v/>
      </c>
      <c r="E235">
        <f>Data_thang!F235</f>
        <v/>
      </c>
      <c r="F235">
        <f>Data_thang!G235</f>
        <v/>
      </c>
      <c r="G235" s="29">
        <f>Data_thang!J235-Data_thang!K235</f>
        <v/>
      </c>
      <c r="H235" s="29">
        <f>Data_thang!N235</f>
        <v/>
      </c>
      <c r="I235" s="29">
        <f>H235-G235</f>
        <v/>
      </c>
      <c r="J235" s="30">
        <f>IF(H235=0,IF(I235=0,0,1),I235/ABS(H235))</f>
        <v/>
      </c>
      <c r="K235" s="29">
        <f>H235-(Data_thang!O235-Data_thang!K235)</f>
        <v/>
      </c>
      <c r="L235">
        <f>IF(AND(ABS(I235)&gt;Dashboard!$G$6,ABS(J235)&gt;Dashboard!$H$6),"⚠ Vượt","")</f>
        <v/>
      </c>
      <c r="M235">
        <f>IF(AND(A235=Dashboard!$D$6,OR(Dashboard!$C$6="*",F235=Dashboard!$C$6),L235&lt;&gt;""),ABS(I235)+ROW()/1000000000,0)</f>
        <v/>
      </c>
    </row>
    <row r="236">
      <c r="A236">
        <f>Data_thang!A236</f>
        <v/>
      </c>
      <c r="B236">
        <f>Data_thang!B236</f>
        <v/>
      </c>
      <c r="C236">
        <f>Data_thang!D236</f>
        <v/>
      </c>
      <c r="D236">
        <f>Data_thang!E236</f>
        <v/>
      </c>
      <c r="E236">
        <f>Data_thang!F236</f>
        <v/>
      </c>
      <c r="F236">
        <f>Data_thang!G236</f>
        <v/>
      </c>
      <c r="G236" s="29">
        <f>Data_thang!J236-Data_thang!K236</f>
        <v/>
      </c>
      <c r="H236" s="29">
        <f>Data_thang!N236</f>
        <v/>
      </c>
      <c r="I236" s="29">
        <f>H236-G236</f>
        <v/>
      </c>
      <c r="J236" s="30">
        <f>IF(H236=0,IF(I236=0,0,1),I236/ABS(H236))</f>
        <v/>
      </c>
      <c r="K236" s="29">
        <f>H236-(Data_thang!O236-Data_thang!K236)</f>
        <v/>
      </c>
      <c r="L236">
        <f>IF(AND(ABS(I236)&gt;Dashboard!$G$6,ABS(J236)&gt;Dashboard!$H$6),"⚠ Vượt","")</f>
        <v/>
      </c>
      <c r="M236">
        <f>IF(AND(A236=Dashboard!$D$6,OR(Dashboard!$C$6="*",F236=Dashboard!$C$6),L236&lt;&gt;""),ABS(I236)+ROW()/1000000000,0)</f>
        <v/>
      </c>
    </row>
    <row r="237">
      <c r="A237">
        <f>Data_thang!A237</f>
        <v/>
      </c>
      <c r="B237">
        <f>Data_thang!B237</f>
        <v/>
      </c>
      <c r="C237">
        <f>Data_thang!D237</f>
        <v/>
      </c>
      <c r="D237">
        <f>Data_thang!E237</f>
        <v/>
      </c>
      <c r="E237">
        <f>Data_thang!F237</f>
        <v/>
      </c>
      <c r="F237">
        <f>Data_thang!G237</f>
        <v/>
      </c>
      <c r="G237" s="29">
        <f>Data_thang!J237-Data_thang!K237</f>
        <v/>
      </c>
      <c r="H237" s="29">
        <f>Data_thang!N237</f>
        <v/>
      </c>
      <c r="I237" s="29">
        <f>H237-G237</f>
        <v/>
      </c>
      <c r="J237" s="30">
        <f>IF(H237=0,IF(I237=0,0,1),I237/ABS(H237))</f>
        <v/>
      </c>
      <c r="K237" s="29">
        <f>H237-(Data_thang!O237-Data_thang!K237)</f>
        <v/>
      </c>
      <c r="L237">
        <f>IF(AND(ABS(I237)&gt;Dashboard!$G$6,ABS(J237)&gt;Dashboard!$H$6),"⚠ Vượt","")</f>
        <v/>
      </c>
      <c r="M237">
        <f>IF(AND(A237=Dashboard!$D$6,OR(Dashboard!$C$6="*",F237=Dashboard!$C$6),L237&lt;&gt;""),ABS(I237)+ROW()/1000000000,0)</f>
        <v/>
      </c>
    </row>
    <row r="238">
      <c r="A238">
        <f>Data_thang!A238</f>
        <v/>
      </c>
      <c r="B238">
        <f>Data_thang!B238</f>
        <v/>
      </c>
      <c r="C238">
        <f>Data_thang!D238</f>
        <v/>
      </c>
      <c r="D238">
        <f>Data_thang!E238</f>
        <v/>
      </c>
      <c r="E238">
        <f>Data_thang!F238</f>
        <v/>
      </c>
      <c r="F238">
        <f>Data_thang!G238</f>
        <v/>
      </c>
      <c r="G238" s="29">
        <f>Data_thang!J238-Data_thang!K238</f>
        <v/>
      </c>
      <c r="H238" s="29">
        <f>Data_thang!N238</f>
        <v/>
      </c>
      <c r="I238" s="29">
        <f>H238-G238</f>
        <v/>
      </c>
      <c r="J238" s="30">
        <f>IF(H238=0,IF(I238=0,0,1),I238/ABS(H238))</f>
        <v/>
      </c>
      <c r="K238" s="29">
        <f>H238-(Data_thang!O238-Data_thang!K238)</f>
        <v/>
      </c>
      <c r="L238">
        <f>IF(AND(ABS(I238)&gt;Dashboard!$G$6,ABS(J238)&gt;Dashboard!$H$6),"⚠ Vượt","")</f>
        <v/>
      </c>
      <c r="M238">
        <f>IF(AND(A238=Dashboard!$D$6,OR(Dashboard!$C$6="*",F238=Dashboard!$C$6),L238&lt;&gt;""),ABS(I238)+ROW()/1000000000,0)</f>
        <v/>
      </c>
    </row>
    <row r="239">
      <c r="A239">
        <f>Data_thang!A239</f>
        <v/>
      </c>
      <c r="B239">
        <f>Data_thang!B239</f>
        <v/>
      </c>
      <c r="C239">
        <f>Data_thang!D239</f>
        <v/>
      </c>
      <c r="D239">
        <f>Data_thang!E239</f>
        <v/>
      </c>
      <c r="E239">
        <f>Data_thang!F239</f>
        <v/>
      </c>
      <c r="F239">
        <f>Data_thang!G239</f>
        <v/>
      </c>
      <c r="G239" s="29">
        <f>Data_thang!J239-Data_thang!K239</f>
        <v/>
      </c>
      <c r="H239" s="29">
        <f>Data_thang!N239</f>
        <v/>
      </c>
      <c r="I239" s="29">
        <f>H239-G239</f>
        <v/>
      </c>
      <c r="J239" s="30">
        <f>IF(H239=0,IF(I239=0,0,1),I239/ABS(H239))</f>
        <v/>
      </c>
      <c r="K239" s="29">
        <f>H239-(Data_thang!O239-Data_thang!K239)</f>
        <v/>
      </c>
      <c r="L239">
        <f>IF(AND(ABS(I239)&gt;Dashboard!$G$6,ABS(J239)&gt;Dashboard!$H$6),"⚠ Vượt","")</f>
        <v/>
      </c>
      <c r="M239">
        <f>IF(AND(A239=Dashboard!$D$6,OR(Dashboard!$C$6="*",F239=Dashboard!$C$6),L239&lt;&gt;""),ABS(I239)+ROW()/1000000000,0)</f>
        <v/>
      </c>
    </row>
    <row r="240">
      <c r="A240">
        <f>Data_thang!A240</f>
        <v/>
      </c>
      <c r="B240">
        <f>Data_thang!B240</f>
        <v/>
      </c>
      <c r="C240">
        <f>Data_thang!D240</f>
        <v/>
      </c>
      <c r="D240">
        <f>Data_thang!E240</f>
        <v/>
      </c>
      <c r="E240">
        <f>Data_thang!F240</f>
        <v/>
      </c>
      <c r="F240">
        <f>Data_thang!G240</f>
        <v/>
      </c>
      <c r="G240" s="29">
        <f>Data_thang!J240-Data_thang!K240</f>
        <v/>
      </c>
      <c r="H240" s="29">
        <f>Data_thang!N240</f>
        <v/>
      </c>
      <c r="I240" s="29">
        <f>H240-G240</f>
        <v/>
      </c>
      <c r="J240" s="30">
        <f>IF(H240=0,IF(I240=0,0,1),I240/ABS(H240))</f>
        <v/>
      </c>
      <c r="K240" s="29">
        <f>H240-(Data_thang!O240-Data_thang!K240)</f>
        <v/>
      </c>
      <c r="L240">
        <f>IF(AND(ABS(I240)&gt;Dashboard!$G$6,ABS(J240)&gt;Dashboard!$H$6),"⚠ Vượt","")</f>
        <v/>
      </c>
      <c r="M240">
        <f>IF(AND(A240=Dashboard!$D$6,OR(Dashboard!$C$6="*",F240=Dashboard!$C$6),L240&lt;&gt;""),ABS(I240)+ROW()/1000000000,0)</f>
        <v/>
      </c>
    </row>
    <row r="241">
      <c r="A241">
        <f>Data_thang!A241</f>
        <v/>
      </c>
      <c r="B241">
        <f>Data_thang!B241</f>
        <v/>
      </c>
      <c r="C241">
        <f>Data_thang!D241</f>
        <v/>
      </c>
      <c r="D241">
        <f>Data_thang!E241</f>
        <v/>
      </c>
      <c r="E241">
        <f>Data_thang!F241</f>
        <v/>
      </c>
      <c r="F241">
        <f>Data_thang!G241</f>
        <v/>
      </c>
      <c r="G241" s="29">
        <f>Data_thang!J241-Data_thang!K241</f>
        <v/>
      </c>
      <c r="H241" s="29">
        <f>Data_thang!N241</f>
        <v/>
      </c>
      <c r="I241" s="29">
        <f>H241-G241</f>
        <v/>
      </c>
      <c r="J241" s="30">
        <f>IF(H241=0,IF(I241=0,0,1),I241/ABS(H241))</f>
        <v/>
      </c>
      <c r="K241" s="29">
        <f>H241-(Data_thang!O241-Data_thang!K241)</f>
        <v/>
      </c>
      <c r="L241">
        <f>IF(AND(ABS(I241)&gt;Dashboard!$G$6,ABS(J241)&gt;Dashboard!$H$6),"⚠ Vượt","")</f>
        <v/>
      </c>
      <c r="M241">
        <f>IF(AND(A241=Dashboard!$D$6,OR(Dashboard!$C$6="*",F241=Dashboard!$C$6),L241&lt;&gt;""),ABS(I241)+ROW()/1000000000,0)</f>
        <v/>
      </c>
    </row>
    <row r="242">
      <c r="A242">
        <f>Data_thang!A242</f>
        <v/>
      </c>
      <c r="B242">
        <f>Data_thang!B242</f>
        <v/>
      </c>
      <c r="C242">
        <f>Data_thang!D242</f>
        <v/>
      </c>
      <c r="D242">
        <f>Data_thang!E242</f>
        <v/>
      </c>
      <c r="E242">
        <f>Data_thang!F242</f>
        <v/>
      </c>
      <c r="F242">
        <f>Data_thang!G242</f>
        <v/>
      </c>
      <c r="G242" s="29">
        <f>Data_thang!J242-Data_thang!K242</f>
        <v/>
      </c>
      <c r="H242" s="29">
        <f>Data_thang!N242</f>
        <v/>
      </c>
      <c r="I242" s="29">
        <f>H242-G242</f>
        <v/>
      </c>
      <c r="J242" s="30">
        <f>IF(H242=0,IF(I242=0,0,1),I242/ABS(H242))</f>
        <v/>
      </c>
      <c r="K242" s="29">
        <f>H242-(Data_thang!O242-Data_thang!K242)</f>
        <v/>
      </c>
      <c r="L242">
        <f>IF(AND(ABS(I242)&gt;Dashboard!$G$6,ABS(J242)&gt;Dashboard!$H$6),"⚠ Vượt","")</f>
        <v/>
      </c>
      <c r="M242">
        <f>IF(AND(A242=Dashboard!$D$6,OR(Dashboard!$C$6="*",F242=Dashboard!$C$6),L242&lt;&gt;""),ABS(I242)+ROW()/1000000000,0)</f>
        <v/>
      </c>
    </row>
    <row r="243">
      <c r="A243">
        <f>Data_thang!A243</f>
        <v/>
      </c>
      <c r="B243">
        <f>Data_thang!B243</f>
        <v/>
      </c>
      <c r="C243">
        <f>Data_thang!D243</f>
        <v/>
      </c>
      <c r="D243">
        <f>Data_thang!E243</f>
        <v/>
      </c>
      <c r="E243">
        <f>Data_thang!F243</f>
        <v/>
      </c>
      <c r="F243">
        <f>Data_thang!G243</f>
        <v/>
      </c>
      <c r="G243" s="29">
        <f>Data_thang!J243-Data_thang!K243</f>
        <v/>
      </c>
      <c r="H243" s="29">
        <f>Data_thang!N243</f>
        <v/>
      </c>
      <c r="I243" s="29">
        <f>H243-G243</f>
        <v/>
      </c>
      <c r="J243" s="30">
        <f>IF(H243=0,IF(I243=0,0,1),I243/ABS(H243))</f>
        <v/>
      </c>
      <c r="K243" s="29">
        <f>H243-(Data_thang!O243-Data_thang!K243)</f>
        <v/>
      </c>
      <c r="L243">
        <f>IF(AND(ABS(I243)&gt;Dashboard!$G$6,ABS(J243)&gt;Dashboard!$H$6),"⚠ Vượt","")</f>
        <v/>
      </c>
      <c r="M243">
        <f>IF(AND(A243=Dashboard!$D$6,OR(Dashboard!$C$6="*",F243=Dashboard!$C$6),L243&lt;&gt;""),ABS(I243)+ROW()/1000000000,0)</f>
        <v/>
      </c>
    </row>
    <row r="244">
      <c r="A244">
        <f>Data_thang!A244</f>
        <v/>
      </c>
      <c r="B244">
        <f>Data_thang!B244</f>
        <v/>
      </c>
      <c r="C244">
        <f>Data_thang!D244</f>
        <v/>
      </c>
      <c r="D244">
        <f>Data_thang!E244</f>
        <v/>
      </c>
      <c r="E244">
        <f>Data_thang!F244</f>
        <v/>
      </c>
      <c r="F244">
        <f>Data_thang!G244</f>
        <v/>
      </c>
      <c r="G244" s="29">
        <f>Data_thang!J244-Data_thang!K244</f>
        <v/>
      </c>
      <c r="H244" s="29">
        <f>Data_thang!N244</f>
        <v/>
      </c>
      <c r="I244" s="29">
        <f>H244-G244</f>
        <v/>
      </c>
      <c r="J244" s="30">
        <f>IF(H244=0,IF(I244=0,0,1),I244/ABS(H244))</f>
        <v/>
      </c>
      <c r="K244" s="29">
        <f>H244-(Data_thang!O244-Data_thang!K244)</f>
        <v/>
      </c>
      <c r="L244">
        <f>IF(AND(ABS(I244)&gt;Dashboard!$G$6,ABS(J244)&gt;Dashboard!$H$6),"⚠ Vượt","")</f>
        <v/>
      </c>
      <c r="M244">
        <f>IF(AND(A244=Dashboard!$D$6,OR(Dashboard!$C$6="*",F244=Dashboard!$C$6),L244&lt;&gt;""),ABS(I244)+ROW()/1000000000,0)</f>
        <v/>
      </c>
    </row>
    <row r="245">
      <c r="A245">
        <f>Data_thang!A245</f>
        <v/>
      </c>
      <c r="B245">
        <f>Data_thang!B245</f>
        <v/>
      </c>
      <c r="C245">
        <f>Data_thang!D245</f>
        <v/>
      </c>
      <c r="D245">
        <f>Data_thang!E245</f>
        <v/>
      </c>
      <c r="E245">
        <f>Data_thang!F245</f>
        <v/>
      </c>
      <c r="F245">
        <f>Data_thang!G245</f>
        <v/>
      </c>
      <c r="G245" s="29">
        <f>Data_thang!J245-Data_thang!K245</f>
        <v/>
      </c>
      <c r="H245" s="29">
        <f>Data_thang!N245</f>
        <v/>
      </c>
      <c r="I245" s="29">
        <f>H245-G245</f>
        <v/>
      </c>
      <c r="J245" s="30">
        <f>IF(H245=0,IF(I245=0,0,1),I245/ABS(H245))</f>
        <v/>
      </c>
      <c r="K245" s="29">
        <f>H245-(Data_thang!O245-Data_thang!K245)</f>
        <v/>
      </c>
      <c r="L245">
        <f>IF(AND(ABS(I245)&gt;Dashboard!$G$6,ABS(J245)&gt;Dashboard!$H$6),"⚠ Vượt","")</f>
        <v/>
      </c>
      <c r="M245">
        <f>IF(AND(A245=Dashboard!$D$6,OR(Dashboard!$C$6="*",F245=Dashboard!$C$6),L245&lt;&gt;""),ABS(I245)+ROW()/1000000000,0)</f>
        <v/>
      </c>
    </row>
    <row r="246">
      <c r="A246">
        <f>Data_thang!A246</f>
        <v/>
      </c>
      <c r="B246">
        <f>Data_thang!B246</f>
        <v/>
      </c>
      <c r="C246">
        <f>Data_thang!D246</f>
        <v/>
      </c>
      <c r="D246">
        <f>Data_thang!E246</f>
        <v/>
      </c>
      <c r="E246">
        <f>Data_thang!F246</f>
        <v/>
      </c>
      <c r="F246">
        <f>Data_thang!G246</f>
        <v/>
      </c>
      <c r="G246" s="29">
        <f>Data_thang!J246-Data_thang!K246</f>
        <v/>
      </c>
      <c r="H246" s="29">
        <f>Data_thang!N246</f>
        <v/>
      </c>
      <c r="I246" s="29">
        <f>H246-G246</f>
        <v/>
      </c>
      <c r="J246" s="30">
        <f>IF(H246=0,IF(I246=0,0,1),I246/ABS(H246))</f>
        <v/>
      </c>
      <c r="K246" s="29">
        <f>H246-(Data_thang!O246-Data_thang!K246)</f>
        <v/>
      </c>
      <c r="L246">
        <f>IF(AND(ABS(I246)&gt;Dashboard!$G$6,ABS(J246)&gt;Dashboard!$H$6),"⚠ Vượt","")</f>
        <v/>
      </c>
      <c r="M246">
        <f>IF(AND(A246=Dashboard!$D$6,OR(Dashboard!$C$6="*",F246=Dashboard!$C$6),L246&lt;&gt;""),ABS(I246)+ROW()/1000000000,0)</f>
        <v/>
      </c>
    </row>
    <row r="247">
      <c r="A247">
        <f>Data_thang!A247</f>
        <v/>
      </c>
      <c r="B247">
        <f>Data_thang!B247</f>
        <v/>
      </c>
      <c r="C247">
        <f>Data_thang!D247</f>
        <v/>
      </c>
      <c r="D247">
        <f>Data_thang!E247</f>
        <v/>
      </c>
      <c r="E247">
        <f>Data_thang!F247</f>
        <v/>
      </c>
      <c r="F247">
        <f>Data_thang!G247</f>
        <v/>
      </c>
      <c r="G247" s="29">
        <f>Data_thang!J247-Data_thang!K247</f>
        <v/>
      </c>
      <c r="H247" s="29">
        <f>Data_thang!N247</f>
        <v/>
      </c>
      <c r="I247" s="29">
        <f>H247-G247</f>
        <v/>
      </c>
      <c r="J247" s="30">
        <f>IF(H247=0,IF(I247=0,0,1),I247/ABS(H247))</f>
        <v/>
      </c>
      <c r="K247" s="29">
        <f>H247-(Data_thang!O247-Data_thang!K247)</f>
        <v/>
      </c>
      <c r="L247">
        <f>IF(AND(ABS(I247)&gt;Dashboard!$G$6,ABS(J247)&gt;Dashboard!$H$6),"⚠ Vượt","")</f>
        <v/>
      </c>
      <c r="M247">
        <f>IF(AND(A247=Dashboard!$D$6,OR(Dashboard!$C$6="*",F247=Dashboard!$C$6),L247&lt;&gt;""),ABS(I247)+ROW()/1000000000,0)</f>
        <v/>
      </c>
    </row>
    <row r="248">
      <c r="A248">
        <f>Data_thang!A248</f>
        <v/>
      </c>
      <c r="B248">
        <f>Data_thang!B248</f>
        <v/>
      </c>
      <c r="C248">
        <f>Data_thang!D248</f>
        <v/>
      </c>
      <c r="D248">
        <f>Data_thang!E248</f>
        <v/>
      </c>
      <c r="E248">
        <f>Data_thang!F248</f>
        <v/>
      </c>
      <c r="F248">
        <f>Data_thang!G248</f>
        <v/>
      </c>
      <c r="G248" s="29">
        <f>Data_thang!J248-Data_thang!K248</f>
        <v/>
      </c>
      <c r="H248" s="29">
        <f>Data_thang!N248</f>
        <v/>
      </c>
      <c r="I248" s="29">
        <f>H248-G248</f>
        <v/>
      </c>
      <c r="J248" s="30">
        <f>IF(H248=0,IF(I248=0,0,1),I248/ABS(H248))</f>
        <v/>
      </c>
      <c r="K248" s="29">
        <f>H248-(Data_thang!O248-Data_thang!K248)</f>
        <v/>
      </c>
      <c r="L248">
        <f>IF(AND(ABS(I248)&gt;Dashboard!$G$6,ABS(J248)&gt;Dashboard!$H$6),"⚠ Vượt","")</f>
        <v/>
      </c>
      <c r="M248">
        <f>IF(AND(A248=Dashboard!$D$6,OR(Dashboard!$C$6="*",F248=Dashboard!$C$6),L248&lt;&gt;""),ABS(I248)+ROW()/1000000000,0)</f>
        <v/>
      </c>
    </row>
    <row r="249">
      <c r="A249">
        <f>Data_thang!A249</f>
        <v/>
      </c>
      <c r="B249">
        <f>Data_thang!B249</f>
        <v/>
      </c>
      <c r="C249">
        <f>Data_thang!D249</f>
        <v/>
      </c>
      <c r="D249">
        <f>Data_thang!E249</f>
        <v/>
      </c>
      <c r="E249">
        <f>Data_thang!F249</f>
        <v/>
      </c>
      <c r="F249">
        <f>Data_thang!G249</f>
        <v/>
      </c>
      <c r="G249" s="29">
        <f>Data_thang!J249-Data_thang!K249</f>
        <v/>
      </c>
      <c r="H249" s="29">
        <f>Data_thang!N249</f>
        <v/>
      </c>
      <c r="I249" s="29">
        <f>H249-G249</f>
        <v/>
      </c>
      <c r="J249" s="30">
        <f>IF(H249=0,IF(I249=0,0,1),I249/ABS(H249))</f>
        <v/>
      </c>
      <c r="K249" s="29">
        <f>H249-(Data_thang!O249-Data_thang!K249)</f>
        <v/>
      </c>
      <c r="L249">
        <f>IF(AND(ABS(I249)&gt;Dashboard!$G$6,ABS(J249)&gt;Dashboard!$H$6),"⚠ Vượt","")</f>
        <v/>
      </c>
      <c r="M249">
        <f>IF(AND(A249=Dashboard!$D$6,OR(Dashboard!$C$6="*",F249=Dashboard!$C$6),L249&lt;&gt;""),ABS(I249)+ROW()/1000000000,0)</f>
        <v/>
      </c>
    </row>
    <row r="250">
      <c r="A250">
        <f>Data_thang!A250</f>
        <v/>
      </c>
      <c r="B250">
        <f>Data_thang!B250</f>
        <v/>
      </c>
      <c r="C250">
        <f>Data_thang!D250</f>
        <v/>
      </c>
      <c r="D250">
        <f>Data_thang!E250</f>
        <v/>
      </c>
      <c r="E250">
        <f>Data_thang!F250</f>
        <v/>
      </c>
      <c r="F250">
        <f>Data_thang!G250</f>
        <v/>
      </c>
      <c r="G250" s="29">
        <f>Data_thang!J250-Data_thang!K250</f>
        <v/>
      </c>
      <c r="H250" s="29">
        <f>Data_thang!N250</f>
        <v/>
      </c>
      <c r="I250" s="29">
        <f>H250-G250</f>
        <v/>
      </c>
      <c r="J250" s="30">
        <f>IF(H250=0,IF(I250=0,0,1),I250/ABS(H250))</f>
        <v/>
      </c>
      <c r="K250" s="29">
        <f>H250-(Data_thang!O250-Data_thang!K250)</f>
        <v/>
      </c>
      <c r="L250">
        <f>IF(AND(ABS(I250)&gt;Dashboard!$G$6,ABS(J250)&gt;Dashboard!$H$6),"⚠ Vượt","")</f>
        <v/>
      </c>
      <c r="M250">
        <f>IF(AND(A250=Dashboard!$D$6,OR(Dashboard!$C$6="*",F250=Dashboard!$C$6),L250&lt;&gt;""),ABS(I250)+ROW()/1000000000,0)</f>
        <v/>
      </c>
    </row>
    <row r="251">
      <c r="A251">
        <f>Data_thang!A251</f>
        <v/>
      </c>
      <c r="B251">
        <f>Data_thang!B251</f>
        <v/>
      </c>
      <c r="C251">
        <f>Data_thang!D251</f>
        <v/>
      </c>
      <c r="D251">
        <f>Data_thang!E251</f>
        <v/>
      </c>
      <c r="E251">
        <f>Data_thang!F251</f>
        <v/>
      </c>
      <c r="F251">
        <f>Data_thang!G251</f>
        <v/>
      </c>
      <c r="G251" s="29">
        <f>Data_thang!J251-Data_thang!K251</f>
        <v/>
      </c>
      <c r="H251" s="29">
        <f>Data_thang!N251</f>
        <v/>
      </c>
      <c r="I251" s="29">
        <f>H251-G251</f>
        <v/>
      </c>
      <c r="J251" s="30">
        <f>IF(H251=0,IF(I251=0,0,1),I251/ABS(H251))</f>
        <v/>
      </c>
      <c r="K251" s="29">
        <f>H251-(Data_thang!O251-Data_thang!K251)</f>
        <v/>
      </c>
      <c r="L251">
        <f>IF(AND(ABS(I251)&gt;Dashboard!$G$6,ABS(J251)&gt;Dashboard!$H$6),"⚠ Vượt","")</f>
        <v/>
      </c>
      <c r="M251">
        <f>IF(AND(A251=Dashboard!$D$6,OR(Dashboard!$C$6="*",F251=Dashboard!$C$6),L251&lt;&gt;""),ABS(I251)+ROW()/1000000000,0)</f>
        <v/>
      </c>
    </row>
    <row r="252">
      <c r="A252">
        <f>Data_thang!A252</f>
        <v/>
      </c>
      <c r="B252">
        <f>Data_thang!B252</f>
        <v/>
      </c>
      <c r="C252">
        <f>Data_thang!D252</f>
        <v/>
      </c>
      <c r="D252">
        <f>Data_thang!E252</f>
        <v/>
      </c>
      <c r="E252">
        <f>Data_thang!F252</f>
        <v/>
      </c>
      <c r="F252">
        <f>Data_thang!G252</f>
        <v/>
      </c>
      <c r="G252" s="29">
        <f>Data_thang!J252-Data_thang!K252</f>
        <v/>
      </c>
      <c r="H252" s="29">
        <f>Data_thang!N252</f>
        <v/>
      </c>
      <c r="I252" s="29">
        <f>H252-G252</f>
        <v/>
      </c>
      <c r="J252" s="30">
        <f>IF(H252=0,IF(I252=0,0,1),I252/ABS(H252))</f>
        <v/>
      </c>
      <c r="K252" s="29">
        <f>H252-(Data_thang!O252-Data_thang!K252)</f>
        <v/>
      </c>
      <c r="L252">
        <f>IF(AND(ABS(I252)&gt;Dashboard!$G$6,ABS(J252)&gt;Dashboard!$H$6),"⚠ Vượt","")</f>
        <v/>
      </c>
      <c r="M252">
        <f>IF(AND(A252=Dashboard!$D$6,OR(Dashboard!$C$6="*",F252=Dashboard!$C$6),L252&lt;&gt;""),ABS(I252)+ROW()/1000000000,0)</f>
        <v/>
      </c>
    </row>
    <row r="253">
      <c r="A253">
        <f>Data_thang!A253</f>
        <v/>
      </c>
      <c r="B253">
        <f>Data_thang!B253</f>
        <v/>
      </c>
      <c r="C253">
        <f>Data_thang!D253</f>
        <v/>
      </c>
      <c r="D253">
        <f>Data_thang!E253</f>
        <v/>
      </c>
      <c r="E253">
        <f>Data_thang!F253</f>
        <v/>
      </c>
      <c r="F253">
        <f>Data_thang!G253</f>
        <v/>
      </c>
      <c r="G253" s="29">
        <f>Data_thang!J253-Data_thang!K253</f>
        <v/>
      </c>
      <c r="H253" s="29">
        <f>Data_thang!N253</f>
        <v/>
      </c>
      <c r="I253" s="29">
        <f>H253-G253</f>
        <v/>
      </c>
      <c r="J253" s="30">
        <f>IF(H253=0,IF(I253=0,0,1),I253/ABS(H253))</f>
        <v/>
      </c>
      <c r="K253" s="29">
        <f>H253-(Data_thang!O253-Data_thang!K253)</f>
        <v/>
      </c>
      <c r="L253">
        <f>IF(AND(ABS(I253)&gt;Dashboard!$G$6,ABS(J253)&gt;Dashboard!$H$6),"⚠ Vượt","")</f>
        <v/>
      </c>
      <c r="M253">
        <f>IF(AND(A253=Dashboard!$D$6,OR(Dashboard!$C$6="*",F253=Dashboard!$C$6),L253&lt;&gt;""),ABS(I253)+ROW()/1000000000,0)</f>
        <v/>
      </c>
    </row>
    <row r="254">
      <c r="A254">
        <f>Data_thang!A254</f>
        <v/>
      </c>
      <c r="B254">
        <f>Data_thang!B254</f>
        <v/>
      </c>
      <c r="C254">
        <f>Data_thang!D254</f>
        <v/>
      </c>
      <c r="D254">
        <f>Data_thang!E254</f>
        <v/>
      </c>
      <c r="E254">
        <f>Data_thang!F254</f>
        <v/>
      </c>
      <c r="F254">
        <f>Data_thang!G254</f>
        <v/>
      </c>
      <c r="G254" s="29">
        <f>Data_thang!J254-Data_thang!K254</f>
        <v/>
      </c>
      <c r="H254" s="29">
        <f>Data_thang!N254</f>
        <v/>
      </c>
      <c r="I254" s="29">
        <f>H254-G254</f>
        <v/>
      </c>
      <c r="J254" s="30">
        <f>IF(H254=0,IF(I254=0,0,1),I254/ABS(H254))</f>
        <v/>
      </c>
      <c r="K254" s="29">
        <f>H254-(Data_thang!O254-Data_thang!K254)</f>
        <v/>
      </c>
      <c r="L254">
        <f>IF(AND(ABS(I254)&gt;Dashboard!$G$6,ABS(J254)&gt;Dashboard!$H$6),"⚠ Vượt","")</f>
        <v/>
      </c>
      <c r="M254">
        <f>IF(AND(A254=Dashboard!$D$6,OR(Dashboard!$C$6="*",F254=Dashboard!$C$6),L254&lt;&gt;""),ABS(I254)+ROW()/1000000000,0)</f>
        <v/>
      </c>
    </row>
    <row r="255">
      <c r="A255">
        <f>Data_thang!A255</f>
        <v/>
      </c>
      <c r="B255">
        <f>Data_thang!B255</f>
        <v/>
      </c>
      <c r="C255">
        <f>Data_thang!D255</f>
        <v/>
      </c>
      <c r="D255">
        <f>Data_thang!E255</f>
        <v/>
      </c>
      <c r="E255">
        <f>Data_thang!F255</f>
        <v/>
      </c>
      <c r="F255">
        <f>Data_thang!G255</f>
        <v/>
      </c>
      <c r="G255" s="29">
        <f>Data_thang!J255-Data_thang!K255</f>
        <v/>
      </c>
      <c r="H255" s="29">
        <f>Data_thang!N255</f>
        <v/>
      </c>
      <c r="I255" s="29">
        <f>H255-G255</f>
        <v/>
      </c>
      <c r="J255" s="30">
        <f>IF(H255=0,IF(I255=0,0,1),I255/ABS(H255))</f>
        <v/>
      </c>
      <c r="K255" s="29">
        <f>H255-(Data_thang!O255-Data_thang!K255)</f>
        <v/>
      </c>
      <c r="L255">
        <f>IF(AND(ABS(I255)&gt;Dashboard!$G$6,ABS(J255)&gt;Dashboard!$H$6),"⚠ Vượt","")</f>
        <v/>
      </c>
      <c r="M255">
        <f>IF(AND(A255=Dashboard!$D$6,OR(Dashboard!$C$6="*",F255=Dashboard!$C$6),L255&lt;&gt;""),ABS(I255)+ROW()/1000000000,0)</f>
        <v/>
      </c>
    </row>
    <row r="256">
      <c r="A256">
        <f>Data_thang!A256</f>
        <v/>
      </c>
      <c r="B256">
        <f>Data_thang!B256</f>
        <v/>
      </c>
      <c r="C256">
        <f>Data_thang!D256</f>
        <v/>
      </c>
      <c r="D256">
        <f>Data_thang!E256</f>
        <v/>
      </c>
      <c r="E256">
        <f>Data_thang!F256</f>
        <v/>
      </c>
      <c r="F256">
        <f>Data_thang!G256</f>
        <v/>
      </c>
      <c r="G256" s="29">
        <f>Data_thang!J256-Data_thang!K256</f>
        <v/>
      </c>
      <c r="H256" s="29">
        <f>Data_thang!N256</f>
        <v/>
      </c>
      <c r="I256" s="29">
        <f>H256-G256</f>
        <v/>
      </c>
      <c r="J256" s="30">
        <f>IF(H256=0,IF(I256=0,0,1),I256/ABS(H256))</f>
        <v/>
      </c>
      <c r="K256" s="29">
        <f>H256-(Data_thang!O256-Data_thang!K256)</f>
        <v/>
      </c>
      <c r="L256">
        <f>IF(AND(ABS(I256)&gt;Dashboard!$G$6,ABS(J256)&gt;Dashboard!$H$6),"⚠ Vượt","")</f>
        <v/>
      </c>
      <c r="M256">
        <f>IF(AND(A256=Dashboard!$D$6,OR(Dashboard!$C$6="*",F256=Dashboard!$C$6),L256&lt;&gt;""),ABS(I256)+ROW()/1000000000,0)</f>
        <v/>
      </c>
    </row>
    <row r="257">
      <c r="A257">
        <f>Data_thang!A257</f>
        <v/>
      </c>
      <c r="B257">
        <f>Data_thang!B257</f>
        <v/>
      </c>
      <c r="C257">
        <f>Data_thang!D257</f>
        <v/>
      </c>
      <c r="D257">
        <f>Data_thang!E257</f>
        <v/>
      </c>
      <c r="E257">
        <f>Data_thang!F257</f>
        <v/>
      </c>
      <c r="F257">
        <f>Data_thang!G257</f>
        <v/>
      </c>
      <c r="G257" s="29">
        <f>Data_thang!J257-Data_thang!K257</f>
        <v/>
      </c>
      <c r="H257" s="29">
        <f>Data_thang!N257</f>
        <v/>
      </c>
      <c r="I257" s="29">
        <f>H257-G257</f>
        <v/>
      </c>
      <c r="J257" s="30">
        <f>IF(H257=0,IF(I257=0,0,1),I257/ABS(H257))</f>
        <v/>
      </c>
      <c r="K257" s="29">
        <f>H257-(Data_thang!O257-Data_thang!K257)</f>
        <v/>
      </c>
      <c r="L257">
        <f>IF(AND(ABS(I257)&gt;Dashboard!$G$6,ABS(J257)&gt;Dashboard!$H$6),"⚠ Vượt","")</f>
        <v/>
      </c>
      <c r="M257">
        <f>IF(AND(A257=Dashboard!$D$6,OR(Dashboard!$C$6="*",F257=Dashboard!$C$6),L257&lt;&gt;""),ABS(I257)+ROW()/1000000000,0)</f>
        <v/>
      </c>
    </row>
    <row r="258">
      <c r="A258">
        <f>Data_thang!A258</f>
        <v/>
      </c>
      <c r="B258">
        <f>Data_thang!B258</f>
        <v/>
      </c>
      <c r="C258">
        <f>Data_thang!D258</f>
        <v/>
      </c>
      <c r="D258">
        <f>Data_thang!E258</f>
        <v/>
      </c>
      <c r="E258">
        <f>Data_thang!F258</f>
        <v/>
      </c>
      <c r="F258">
        <f>Data_thang!G258</f>
        <v/>
      </c>
      <c r="G258" s="29">
        <f>Data_thang!J258-Data_thang!K258</f>
        <v/>
      </c>
      <c r="H258" s="29">
        <f>Data_thang!N258</f>
        <v/>
      </c>
      <c r="I258" s="29">
        <f>H258-G258</f>
        <v/>
      </c>
      <c r="J258" s="30">
        <f>IF(H258=0,IF(I258=0,0,1),I258/ABS(H258))</f>
        <v/>
      </c>
      <c r="K258" s="29">
        <f>H258-(Data_thang!O258-Data_thang!K258)</f>
        <v/>
      </c>
      <c r="L258">
        <f>IF(AND(ABS(I258)&gt;Dashboard!$G$6,ABS(J258)&gt;Dashboard!$H$6),"⚠ Vượt","")</f>
        <v/>
      </c>
      <c r="M258">
        <f>IF(AND(A258=Dashboard!$D$6,OR(Dashboard!$C$6="*",F258=Dashboard!$C$6),L258&lt;&gt;""),ABS(I258)+ROW()/1000000000,0)</f>
        <v/>
      </c>
    </row>
    <row r="259">
      <c r="A259">
        <f>Data_thang!A259</f>
        <v/>
      </c>
      <c r="B259">
        <f>Data_thang!B259</f>
        <v/>
      </c>
      <c r="C259">
        <f>Data_thang!D259</f>
        <v/>
      </c>
      <c r="D259">
        <f>Data_thang!E259</f>
        <v/>
      </c>
      <c r="E259">
        <f>Data_thang!F259</f>
        <v/>
      </c>
      <c r="F259">
        <f>Data_thang!G259</f>
        <v/>
      </c>
      <c r="G259" s="29">
        <f>Data_thang!J259-Data_thang!K259</f>
        <v/>
      </c>
      <c r="H259" s="29">
        <f>Data_thang!N259</f>
        <v/>
      </c>
      <c r="I259" s="29">
        <f>H259-G259</f>
        <v/>
      </c>
      <c r="J259" s="30">
        <f>IF(H259=0,IF(I259=0,0,1),I259/ABS(H259))</f>
        <v/>
      </c>
      <c r="K259" s="29">
        <f>H259-(Data_thang!O259-Data_thang!K259)</f>
        <v/>
      </c>
      <c r="L259">
        <f>IF(AND(ABS(I259)&gt;Dashboard!$G$6,ABS(J259)&gt;Dashboard!$H$6),"⚠ Vượt","")</f>
        <v/>
      </c>
      <c r="M259">
        <f>IF(AND(A259=Dashboard!$D$6,OR(Dashboard!$C$6="*",F259=Dashboard!$C$6),L259&lt;&gt;""),ABS(I259)+ROW()/1000000000,0)</f>
        <v/>
      </c>
    </row>
    <row r="260">
      <c r="A260">
        <f>Data_thang!A260</f>
        <v/>
      </c>
      <c r="B260">
        <f>Data_thang!B260</f>
        <v/>
      </c>
      <c r="C260">
        <f>Data_thang!D260</f>
        <v/>
      </c>
      <c r="D260">
        <f>Data_thang!E260</f>
        <v/>
      </c>
      <c r="E260">
        <f>Data_thang!F260</f>
        <v/>
      </c>
      <c r="F260">
        <f>Data_thang!G260</f>
        <v/>
      </c>
      <c r="G260" s="29">
        <f>Data_thang!J260-Data_thang!K260</f>
        <v/>
      </c>
      <c r="H260" s="29">
        <f>Data_thang!N260</f>
        <v/>
      </c>
      <c r="I260" s="29">
        <f>H260-G260</f>
        <v/>
      </c>
      <c r="J260" s="30">
        <f>IF(H260=0,IF(I260=0,0,1),I260/ABS(H260))</f>
        <v/>
      </c>
      <c r="K260" s="29">
        <f>H260-(Data_thang!O260-Data_thang!K260)</f>
        <v/>
      </c>
      <c r="L260">
        <f>IF(AND(ABS(I260)&gt;Dashboard!$G$6,ABS(J260)&gt;Dashboard!$H$6),"⚠ Vượt","")</f>
        <v/>
      </c>
      <c r="M260">
        <f>IF(AND(A260=Dashboard!$D$6,OR(Dashboard!$C$6="*",F260=Dashboard!$C$6),L260&lt;&gt;""),ABS(I260)+ROW()/1000000000,0)</f>
        <v/>
      </c>
    </row>
    <row r="261">
      <c r="A261">
        <f>Data_thang!A261</f>
        <v/>
      </c>
      <c r="B261">
        <f>Data_thang!B261</f>
        <v/>
      </c>
      <c r="C261">
        <f>Data_thang!D261</f>
        <v/>
      </c>
      <c r="D261">
        <f>Data_thang!E261</f>
        <v/>
      </c>
      <c r="E261">
        <f>Data_thang!F261</f>
        <v/>
      </c>
      <c r="F261">
        <f>Data_thang!G261</f>
        <v/>
      </c>
      <c r="G261" s="29">
        <f>Data_thang!J261-Data_thang!K261</f>
        <v/>
      </c>
      <c r="H261" s="29">
        <f>Data_thang!N261</f>
        <v/>
      </c>
      <c r="I261" s="29">
        <f>H261-G261</f>
        <v/>
      </c>
      <c r="J261" s="30">
        <f>IF(H261=0,IF(I261=0,0,1),I261/ABS(H261))</f>
        <v/>
      </c>
      <c r="K261" s="29">
        <f>H261-(Data_thang!O261-Data_thang!K261)</f>
        <v/>
      </c>
      <c r="L261">
        <f>IF(AND(ABS(I261)&gt;Dashboard!$G$6,ABS(J261)&gt;Dashboard!$H$6),"⚠ Vượt","")</f>
        <v/>
      </c>
      <c r="M261">
        <f>IF(AND(A261=Dashboard!$D$6,OR(Dashboard!$C$6="*",F261=Dashboard!$C$6),L261&lt;&gt;""),ABS(I261)+ROW()/1000000000,0)</f>
        <v/>
      </c>
    </row>
    <row r="262">
      <c r="A262">
        <f>Data_thang!A262</f>
        <v/>
      </c>
      <c r="B262">
        <f>Data_thang!B262</f>
        <v/>
      </c>
      <c r="C262">
        <f>Data_thang!D262</f>
        <v/>
      </c>
      <c r="D262">
        <f>Data_thang!E262</f>
        <v/>
      </c>
      <c r="E262">
        <f>Data_thang!F262</f>
        <v/>
      </c>
      <c r="F262">
        <f>Data_thang!G262</f>
        <v/>
      </c>
      <c r="G262" s="29">
        <f>Data_thang!J262-Data_thang!K262</f>
        <v/>
      </c>
      <c r="H262" s="29">
        <f>Data_thang!N262</f>
        <v/>
      </c>
      <c r="I262" s="29">
        <f>H262-G262</f>
        <v/>
      </c>
      <c r="J262" s="30">
        <f>IF(H262=0,IF(I262=0,0,1),I262/ABS(H262))</f>
        <v/>
      </c>
      <c r="K262" s="29">
        <f>H262-(Data_thang!O262-Data_thang!K262)</f>
        <v/>
      </c>
      <c r="L262">
        <f>IF(AND(ABS(I262)&gt;Dashboard!$G$6,ABS(J262)&gt;Dashboard!$H$6),"⚠ Vượt","")</f>
        <v/>
      </c>
      <c r="M262">
        <f>IF(AND(A262=Dashboard!$D$6,OR(Dashboard!$C$6="*",F262=Dashboard!$C$6),L262&lt;&gt;""),ABS(I262)+ROW()/1000000000,0)</f>
        <v/>
      </c>
    </row>
    <row r="263">
      <c r="A263">
        <f>Data_thang!A263</f>
        <v/>
      </c>
      <c r="B263">
        <f>Data_thang!B263</f>
        <v/>
      </c>
      <c r="C263">
        <f>Data_thang!D263</f>
        <v/>
      </c>
      <c r="D263">
        <f>Data_thang!E263</f>
        <v/>
      </c>
      <c r="E263">
        <f>Data_thang!F263</f>
        <v/>
      </c>
      <c r="F263">
        <f>Data_thang!G263</f>
        <v/>
      </c>
      <c r="G263" s="29">
        <f>Data_thang!J263-Data_thang!K263</f>
        <v/>
      </c>
      <c r="H263" s="29">
        <f>Data_thang!N263</f>
        <v/>
      </c>
      <c r="I263" s="29">
        <f>H263-G263</f>
        <v/>
      </c>
      <c r="J263" s="30">
        <f>IF(H263=0,IF(I263=0,0,1),I263/ABS(H263))</f>
        <v/>
      </c>
      <c r="K263" s="29">
        <f>H263-(Data_thang!O263-Data_thang!K263)</f>
        <v/>
      </c>
      <c r="L263">
        <f>IF(AND(ABS(I263)&gt;Dashboard!$G$6,ABS(J263)&gt;Dashboard!$H$6),"⚠ Vượt","")</f>
        <v/>
      </c>
      <c r="M263">
        <f>IF(AND(A263=Dashboard!$D$6,OR(Dashboard!$C$6="*",F263=Dashboard!$C$6),L263&lt;&gt;""),ABS(I263)+ROW()/1000000000,0)</f>
        <v/>
      </c>
    </row>
    <row r="264">
      <c r="A264">
        <f>Data_thang!A264</f>
        <v/>
      </c>
      <c r="B264">
        <f>Data_thang!B264</f>
        <v/>
      </c>
      <c r="C264">
        <f>Data_thang!D264</f>
        <v/>
      </c>
      <c r="D264">
        <f>Data_thang!E264</f>
        <v/>
      </c>
      <c r="E264">
        <f>Data_thang!F264</f>
        <v/>
      </c>
      <c r="F264">
        <f>Data_thang!G264</f>
        <v/>
      </c>
      <c r="G264" s="29">
        <f>Data_thang!J264-Data_thang!K264</f>
        <v/>
      </c>
      <c r="H264" s="29">
        <f>Data_thang!N264</f>
        <v/>
      </c>
      <c r="I264" s="29">
        <f>H264-G264</f>
        <v/>
      </c>
      <c r="J264" s="30">
        <f>IF(H264=0,IF(I264=0,0,1),I264/ABS(H264))</f>
        <v/>
      </c>
      <c r="K264" s="29">
        <f>H264-(Data_thang!O264-Data_thang!K264)</f>
        <v/>
      </c>
      <c r="L264">
        <f>IF(AND(ABS(I264)&gt;Dashboard!$G$6,ABS(J264)&gt;Dashboard!$H$6),"⚠ Vượt","")</f>
        <v/>
      </c>
      <c r="M264">
        <f>IF(AND(A264=Dashboard!$D$6,OR(Dashboard!$C$6="*",F264=Dashboard!$C$6),L264&lt;&gt;""),ABS(I264)+ROW()/1000000000,0)</f>
        <v/>
      </c>
    </row>
    <row r="265">
      <c r="A265">
        <f>Data_thang!A265</f>
        <v/>
      </c>
      <c r="B265">
        <f>Data_thang!B265</f>
        <v/>
      </c>
      <c r="C265">
        <f>Data_thang!D265</f>
        <v/>
      </c>
      <c r="D265">
        <f>Data_thang!E265</f>
        <v/>
      </c>
      <c r="E265">
        <f>Data_thang!F265</f>
        <v/>
      </c>
      <c r="F265">
        <f>Data_thang!G265</f>
        <v/>
      </c>
      <c r="G265" s="29">
        <f>Data_thang!J265-Data_thang!K265</f>
        <v/>
      </c>
      <c r="H265" s="29">
        <f>Data_thang!N265</f>
        <v/>
      </c>
      <c r="I265" s="29">
        <f>H265-G265</f>
        <v/>
      </c>
      <c r="J265" s="30">
        <f>IF(H265=0,IF(I265=0,0,1),I265/ABS(H265))</f>
        <v/>
      </c>
      <c r="K265" s="29">
        <f>H265-(Data_thang!O265-Data_thang!K265)</f>
        <v/>
      </c>
      <c r="L265">
        <f>IF(AND(ABS(I265)&gt;Dashboard!$G$6,ABS(J265)&gt;Dashboard!$H$6),"⚠ Vượt","")</f>
        <v/>
      </c>
      <c r="M265">
        <f>IF(AND(A265=Dashboard!$D$6,OR(Dashboard!$C$6="*",F265=Dashboard!$C$6),L265&lt;&gt;""),ABS(I265)+ROW()/1000000000,0)</f>
        <v/>
      </c>
    </row>
    <row r="266">
      <c r="A266">
        <f>Data_thang!A266</f>
        <v/>
      </c>
      <c r="B266">
        <f>Data_thang!B266</f>
        <v/>
      </c>
      <c r="C266">
        <f>Data_thang!D266</f>
        <v/>
      </c>
      <c r="D266">
        <f>Data_thang!E266</f>
        <v/>
      </c>
      <c r="E266">
        <f>Data_thang!F266</f>
        <v/>
      </c>
      <c r="F266">
        <f>Data_thang!G266</f>
        <v/>
      </c>
      <c r="G266" s="29">
        <f>Data_thang!J266-Data_thang!K266</f>
        <v/>
      </c>
      <c r="H266" s="29">
        <f>Data_thang!N266</f>
        <v/>
      </c>
      <c r="I266" s="29">
        <f>H266-G266</f>
        <v/>
      </c>
      <c r="J266" s="30">
        <f>IF(H266=0,IF(I266=0,0,1),I266/ABS(H266))</f>
        <v/>
      </c>
      <c r="K266" s="29">
        <f>H266-(Data_thang!O266-Data_thang!K266)</f>
        <v/>
      </c>
      <c r="L266">
        <f>IF(AND(ABS(I266)&gt;Dashboard!$G$6,ABS(J266)&gt;Dashboard!$H$6),"⚠ Vượt","")</f>
        <v/>
      </c>
      <c r="M266">
        <f>IF(AND(A266=Dashboard!$D$6,OR(Dashboard!$C$6="*",F266=Dashboard!$C$6),L266&lt;&gt;""),ABS(I266)+ROW()/1000000000,0)</f>
        <v/>
      </c>
    </row>
    <row r="267">
      <c r="A267">
        <f>Data_thang!A267</f>
        <v/>
      </c>
      <c r="B267">
        <f>Data_thang!B267</f>
        <v/>
      </c>
      <c r="C267">
        <f>Data_thang!D267</f>
        <v/>
      </c>
      <c r="D267">
        <f>Data_thang!E267</f>
        <v/>
      </c>
      <c r="E267">
        <f>Data_thang!F267</f>
        <v/>
      </c>
      <c r="F267">
        <f>Data_thang!G267</f>
        <v/>
      </c>
      <c r="G267" s="29">
        <f>Data_thang!J267-Data_thang!K267</f>
        <v/>
      </c>
      <c r="H267" s="29">
        <f>Data_thang!N267</f>
        <v/>
      </c>
      <c r="I267" s="29">
        <f>H267-G267</f>
        <v/>
      </c>
      <c r="J267" s="30">
        <f>IF(H267=0,IF(I267=0,0,1),I267/ABS(H267))</f>
        <v/>
      </c>
      <c r="K267" s="29">
        <f>H267-(Data_thang!O267-Data_thang!K267)</f>
        <v/>
      </c>
      <c r="L267">
        <f>IF(AND(ABS(I267)&gt;Dashboard!$G$6,ABS(J267)&gt;Dashboard!$H$6),"⚠ Vượt","")</f>
        <v/>
      </c>
      <c r="M267">
        <f>IF(AND(A267=Dashboard!$D$6,OR(Dashboard!$C$6="*",F267=Dashboard!$C$6),L267&lt;&gt;""),ABS(I267)+ROW()/1000000000,0)</f>
        <v/>
      </c>
    </row>
    <row r="268">
      <c r="A268">
        <f>Data_thang!A268</f>
        <v/>
      </c>
      <c r="B268">
        <f>Data_thang!B268</f>
        <v/>
      </c>
      <c r="C268">
        <f>Data_thang!D268</f>
        <v/>
      </c>
      <c r="D268">
        <f>Data_thang!E268</f>
        <v/>
      </c>
      <c r="E268">
        <f>Data_thang!F268</f>
        <v/>
      </c>
      <c r="F268">
        <f>Data_thang!G268</f>
        <v/>
      </c>
      <c r="G268" s="29">
        <f>Data_thang!J268-Data_thang!K268</f>
        <v/>
      </c>
      <c r="H268" s="29">
        <f>Data_thang!N268</f>
        <v/>
      </c>
      <c r="I268" s="29">
        <f>H268-G268</f>
        <v/>
      </c>
      <c r="J268" s="30">
        <f>IF(H268=0,IF(I268=0,0,1),I268/ABS(H268))</f>
        <v/>
      </c>
      <c r="K268" s="29">
        <f>H268-(Data_thang!O268-Data_thang!K268)</f>
        <v/>
      </c>
      <c r="L268">
        <f>IF(AND(ABS(I268)&gt;Dashboard!$G$6,ABS(J268)&gt;Dashboard!$H$6),"⚠ Vượt","")</f>
        <v/>
      </c>
      <c r="M268">
        <f>IF(AND(A268=Dashboard!$D$6,OR(Dashboard!$C$6="*",F268=Dashboard!$C$6),L268&lt;&gt;""),ABS(I268)+ROW()/1000000000,0)</f>
        <v/>
      </c>
    </row>
    <row r="269">
      <c r="A269">
        <f>Data_thang!A269</f>
        <v/>
      </c>
      <c r="B269">
        <f>Data_thang!B269</f>
        <v/>
      </c>
      <c r="C269">
        <f>Data_thang!D269</f>
        <v/>
      </c>
      <c r="D269">
        <f>Data_thang!E269</f>
        <v/>
      </c>
      <c r="E269">
        <f>Data_thang!F269</f>
        <v/>
      </c>
      <c r="F269">
        <f>Data_thang!G269</f>
        <v/>
      </c>
      <c r="G269" s="29">
        <f>Data_thang!J269-Data_thang!K269</f>
        <v/>
      </c>
      <c r="H269" s="29">
        <f>Data_thang!N269</f>
        <v/>
      </c>
      <c r="I269" s="29">
        <f>H269-G269</f>
        <v/>
      </c>
      <c r="J269" s="30">
        <f>IF(H269=0,IF(I269=0,0,1),I269/ABS(H269))</f>
        <v/>
      </c>
      <c r="K269" s="29">
        <f>H269-(Data_thang!O269-Data_thang!K269)</f>
        <v/>
      </c>
      <c r="L269">
        <f>IF(AND(ABS(I269)&gt;Dashboard!$G$6,ABS(J269)&gt;Dashboard!$H$6),"⚠ Vượt","")</f>
        <v/>
      </c>
      <c r="M269">
        <f>IF(AND(A269=Dashboard!$D$6,OR(Dashboard!$C$6="*",F269=Dashboard!$C$6),L269&lt;&gt;""),ABS(I269)+ROW()/1000000000,0)</f>
        <v/>
      </c>
    </row>
    <row r="270">
      <c r="A270">
        <f>Data_thang!A270</f>
        <v/>
      </c>
      <c r="B270">
        <f>Data_thang!B270</f>
        <v/>
      </c>
      <c r="C270">
        <f>Data_thang!D270</f>
        <v/>
      </c>
      <c r="D270">
        <f>Data_thang!E270</f>
        <v/>
      </c>
      <c r="E270">
        <f>Data_thang!F270</f>
        <v/>
      </c>
      <c r="F270">
        <f>Data_thang!G270</f>
        <v/>
      </c>
      <c r="G270" s="29">
        <f>Data_thang!J270-Data_thang!K270</f>
        <v/>
      </c>
      <c r="H270" s="29">
        <f>Data_thang!N270</f>
        <v/>
      </c>
      <c r="I270" s="29">
        <f>H270-G270</f>
        <v/>
      </c>
      <c r="J270" s="30">
        <f>IF(H270=0,IF(I270=0,0,1),I270/ABS(H270))</f>
        <v/>
      </c>
      <c r="K270" s="29">
        <f>H270-(Data_thang!O270-Data_thang!K270)</f>
        <v/>
      </c>
      <c r="L270">
        <f>IF(AND(ABS(I270)&gt;Dashboard!$G$6,ABS(J270)&gt;Dashboard!$H$6),"⚠ Vượt","")</f>
        <v/>
      </c>
      <c r="M270">
        <f>IF(AND(A270=Dashboard!$D$6,OR(Dashboard!$C$6="*",F270=Dashboard!$C$6),L270&lt;&gt;""),ABS(I270)+ROW()/1000000000,0)</f>
        <v/>
      </c>
    </row>
    <row r="271">
      <c r="A271">
        <f>Data_thang!A271</f>
        <v/>
      </c>
      <c r="B271">
        <f>Data_thang!B271</f>
        <v/>
      </c>
      <c r="C271">
        <f>Data_thang!D271</f>
        <v/>
      </c>
      <c r="D271">
        <f>Data_thang!E271</f>
        <v/>
      </c>
      <c r="E271">
        <f>Data_thang!F271</f>
        <v/>
      </c>
      <c r="F271">
        <f>Data_thang!G271</f>
        <v/>
      </c>
      <c r="G271" s="29">
        <f>Data_thang!J271-Data_thang!K271</f>
        <v/>
      </c>
      <c r="H271" s="29">
        <f>Data_thang!N271</f>
        <v/>
      </c>
      <c r="I271" s="29">
        <f>H271-G271</f>
        <v/>
      </c>
      <c r="J271" s="30">
        <f>IF(H271=0,IF(I271=0,0,1),I271/ABS(H271))</f>
        <v/>
      </c>
      <c r="K271" s="29">
        <f>H271-(Data_thang!O271-Data_thang!K271)</f>
        <v/>
      </c>
      <c r="L271">
        <f>IF(AND(ABS(I271)&gt;Dashboard!$G$6,ABS(J271)&gt;Dashboard!$H$6),"⚠ Vượt","")</f>
        <v/>
      </c>
      <c r="M271">
        <f>IF(AND(A271=Dashboard!$D$6,OR(Dashboard!$C$6="*",F271=Dashboard!$C$6),L271&lt;&gt;""),ABS(I271)+ROW()/1000000000,0)</f>
        <v/>
      </c>
    </row>
    <row r="272">
      <c r="A272">
        <f>Data_thang!A272</f>
        <v/>
      </c>
      <c r="B272">
        <f>Data_thang!B272</f>
        <v/>
      </c>
      <c r="C272">
        <f>Data_thang!D272</f>
        <v/>
      </c>
      <c r="D272">
        <f>Data_thang!E272</f>
        <v/>
      </c>
      <c r="E272">
        <f>Data_thang!F272</f>
        <v/>
      </c>
      <c r="F272">
        <f>Data_thang!G272</f>
        <v/>
      </c>
      <c r="G272" s="29">
        <f>Data_thang!J272-Data_thang!K272</f>
        <v/>
      </c>
      <c r="H272" s="29">
        <f>Data_thang!N272</f>
        <v/>
      </c>
      <c r="I272" s="29">
        <f>H272-G272</f>
        <v/>
      </c>
      <c r="J272" s="30">
        <f>IF(H272=0,IF(I272=0,0,1),I272/ABS(H272))</f>
        <v/>
      </c>
      <c r="K272" s="29">
        <f>H272-(Data_thang!O272-Data_thang!K272)</f>
        <v/>
      </c>
      <c r="L272">
        <f>IF(AND(ABS(I272)&gt;Dashboard!$G$6,ABS(J272)&gt;Dashboard!$H$6),"⚠ Vượt","")</f>
        <v/>
      </c>
      <c r="M272">
        <f>IF(AND(A272=Dashboard!$D$6,OR(Dashboard!$C$6="*",F272=Dashboard!$C$6),L272&lt;&gt;""),ABS(I272)+ROW()/1000000000,0)</f>
        <v/>
      </c>
    </row>
    <row r="273">
      <c r="A273">
        <f>Data_thang!A273</f>
        <v/>
      </c>
      <c r="B273">
        <f>Data_thang!B273</f>
        <v/>
      </c>
      <c r="C273">
        <f>Data_thang!D273</f>
        <v/>
      </c>
      <c r="D273">
        <f>Data_thang!E273</f>
        <v/>
      </c>
      <c r="E273">
        <f>Data_thang!F273</f>
        <v/>
      </c>
      <c r="F273">
        <f>Data_thang!G273</f>
        <v/>
      </c>
      <c r="G273" s="29">
        <f>Data_thang!J273-Data_thang!K273</f>
        <v/>
      </c>
      <c r="H273" s="29">
        <f>Data_thang!N273</f>
        <v/>
      </c>
      <c r="I273" s="29">
        <f>H273-G273</f>
        <v/>
      </c>
      <c r="J273" s="30">
        <f>IF(H273=0,IF(I273=0,0,1),I273/ABS(H273))</f>
        <v/>
      </c>
      <c r="K273" s="29">
        <f>H273-(Data_thang!O273-Data_thang!K273)</f>
        <v/>
      </c>
      <c r="L273">
        <f>IF(AND(ABS(I273)&gt;Dashboard!$G$6,ABS(J273)&gt;Dashboard!$H$6),"⚠ Vượt","")</f>
        <v/>
      </c>
      <c r="M273">
        <f>IF(AND(A273=Dashboard!$D$6,OR(Dashboard!$C$6="*",F273=Dashboard!$C$6),L273&lt;&gt;""),ABS(I273)+ROW()/1000000000,0)</f>
        <v/>
      </c>
    </row>
    <row r="274">
      <c r="A274">
        <f>Data_thang!A274</f>
        <v/>
      </c>
      <c r="B274">
        <f>Data_thang!B274</f>
        <v/>
      </c>
      <c r="C274">
        <f>Data_thang!D274</f>
        <v/>
      </c>
      <c r="D274">
        <f>Data_thang!E274</f>
        <v/>
      </c>
      <c r="E274">
        <f>Data_thang!F274</f>
        <v/>
      </c>
      <c r="F274">
        <f>Data_thang!G274</f>
        <v/>
      </c>
      <c r="G274" s="29">
        <f>Data_thang!J274-Data_thang!K274</f>
        <v/>
      </c>
      <c r="H274" s="29">
        <f>Data_thang!N274</f>
        <v/>
      </c>
      <c r="I274" s="29">
        <f>H274-G274</f>
        <v/>
      </c>
      <c r="J274" s="30">
        <f>IF(H274=0,IF(I274=0,0,1),I274/ABS(H274))</f>
        <v/>
      </c>
      <c r="K274" s="29">
        <f>H274-(Data_thang!O274-Data_thang!K274)</f>
        <v/>
      </c>
      <c r="L274">
        <f>IF(AND(ABS(I274)&gt;Dashboard!$G$6,ABS(J274)&gt;Dashboard!$H$6),"⚠ Vượt","")</f>
        <v/>
      </c>
      <c r="M274">
        <f>IF(AND(A274=Dashboard!$D$6,OR(Dashboard!$C$6="*",F274=Dashboard!$C$6),L274&lt;&gt;""),ABS(I274)+ROW()/1000000000,0)</f>
        <v/>
      </c>
    </row>
    <row r="275">
      <c r="A275">
        <f>Data_thang!A275</f>
        <v/>
      </c>
      <c r="B275">
        <f>Data_thang!B275</f>
        <v/>
      </c>
      <c r="C275">
        <f>Data_thang!D275</f>
        <v/>
      </c>
      <c r="D275">
        <f>Data_thang!E275</f>
        <v/>
      </c>
      <c r="E275">
        <f>Data_thang!F275</f>
        <v/>
      </c>
      <c r="F275">
        <f>Data_thang!G275</f>
        <v/>
      </c>
      <c r="G275" s="29">
        <f>Data_thang!J275-Data_thang!K275</f>
        <v/>
      </c>
      <c r="H275" s="29">
        <f>Data_thang!N275</f>
        <v/>
      </c>
      <c r="I275" s="29">
        <f>H275-G275</f>
        <v/>
      </c>
      <c r="J275" s="30">
        <f>IF(H275=0,IF(I275=0,0,1),I275/ABS(H275))</f>
        <v/>
      </c>
      <c r="K275" s="29">
        <f>H275-(Data_thang!O275-Data_thang!K275)</f>
        <v/>
      </c>
      <c r="L275">
        <f>IF(AND(ABS(I275)&gt;Dashboard!$G$6,ABS(J275)&gt;Dashboard!$H$6),"⚠ Vượt","")</f>
        <v/>
      </c>
      <c r="M275">
        <f>IF(AND(A275=Dashboard!$D$6,OR(Dashboard!$C$6="*",F275=Dashboard!$C$6),L275&lt;&gt;""),ABS(I275)+ROW()/1000000000,0)</f>
        <v/>
      </c>
    </row>
    <row r="276">
      <c r="A276">
        <f>Data_thang!A276</f>
        <v/>
      </c>
      <c r="B276">
        <f>Data_thang!B276</f>
        <v/>
      </c>
      <c r="C276">
        <f>Data_thang!D276</f>
        <v/>
      </c>
      <c r="D276">
        <f>Data_thang!E276</f>
        <v/>
      </c>
      <c r="E276">
        <f>Data_thang!F276</f>
        <v/>
      </c>
      <c r="F276">
        <f>Data_thang!G276</f>
        <v/>
      </c>
      <c r="G276" s="29">
        <f>Data_thang!J276-Data_thang!K276</f>
        <v/>
      </c>
      <c r="H276" s="29">
        <f>Data_thang!N276</f>
        <v/>
      </c>
      <c r="I276" s="29">
        <f>H276-G276</f>
        <v/>
      </c>
      <c r="J276" s="30">
        <f>IF(H276=0,IF(I276=0,0,1),I276/ABS(H276))</f>
        <v/>
      </c>
      <c r="K276" s="29">
        <f>H276-(Data_thang!O276-Data_thang!K276)</f>
        <v/>
      </c>
      <c r="L276">
        <f>IF(AND(ABS(I276)&gt;Dashboard!$G$6,ABS(J276)&gt;Dashboard!$H$6),"⚠ Vượt","")</f>
        <v/>
      </c>
      <c r="M276">
        <f>IF(AND(A276=Dashboard!$D$6,OR(Dashboard!$C$6="*",F276=Dashboard!$C$6),L276&lt;&gt;""),ABS(I276)+ROW()/1000000000,0)</f>
        <v/>
      </c>
    </row>
    <row r="277">
      <c r="A277">
        <f>Data_thang!A277</f>
        <v/>
      </c>
      <c r="B277">
        <f>Data_thang!B277</f>
        <v/>
      </c>
      <c r="C277">
        <f>Data_thang!D277</f>
        <v/>
      </c>
      <c r="D277">
        <f>Data_thang!E277</f>
        <v/>
      </c>
      <c r="E277">
        <f>Data_thang!F277</f>
        <v/>
      </c>
      <c r="F277">
        <f>Data_thang!G277</f>
        <v/>
      </c>
      <c r="G277" s="29">
        <f>Data_thang!J277-Data_thang!K277</f>
        <v/>
      </c>
      <c r="H277" s="29">
        <f>Data_thang!N277</f>
        <v/>
      </c>
      <c r="I277" s="29">
        <f>H277-G277</f>
        <v/>
      </c>
      <c r="J277" s="30">
        <f>IF(H277=0,IF(I277=0,0,1),I277/ABS(H277))</f>
        <v/>
      </c>
      <c r="K277" s="29">
        <f>H277-(Data_thang!O277-Data_thang!K277)</f>
        <v/>
      </c>
      <c r="L277">
        <f>IF(AND(ABS(I277)&gt;Dashboard!$G$6,ABS(J277)&gt;Dashboard!$H$6),"⚠ Vượt","")</f>
        <v/>
      </c>
      <c r="M277">
        <f>IF(AND(A277=Dashboard!$D$6,OR(Dashboard!$C$6="*",F277=Dashboard!$C$6),L277&lt;&gt;""),ABS(I277)+ROW()/1000000000,0)</f>
        <v/>
      </c>
    </row>
    <row r="278">
      <c r="A278">
        <f>Data_thang!A278</f>
        <v/>
      </c>
      <c r="B278">
        <f>Data_thang!B278</f>
        <v/>
      </c>
      <c r="C278">
        <f>Data_thang!D278</f>
        <v/>
      </c>
      <c r="D278">
        <f>Data_thang!E278</f>
        <v/>
      </c>
      <c r="E278">
        <f>Data_thang!F278</f>
        <v/>
      </c>
      <c r="F278">
        <f>Data_thang!G278</f>
        <v/>
      </c>
      <c r="G278" s="29">
        <f>Data_thang!J278-Data_thang!K278</f>
        <v/>
      </c>
      <c r="H278" s="29">
        <f>Data_thang!N278</f>
        <v/>
      </c>
      <c r="I278" s="29">
        <f>H278-G278</f>
        <v/>
      </c>
      <c r="J278" s="30">
        <f>IF(H278=0,IF(I278=0,0,1),I278/ABS(H278))</f>
        <v/>
      </c>
      <c r="K278" s="29">
        <f>H278-(Data_thang!O278-Data_thang!K278)</f>
        <v/>
      </c>
      <c r="L278">
        <f>IF(AND(ABS(I278)&gt;Dashboard!$G$6,ABS(J278)&gt;Dashboard!$H$6),"⚠ Vượt","")</f>
        <v/>
      </c>
      <c r="M278">
        <f>IF(AND(A278=Dashboard!$D$6,OR(Dashboard!$C$6="*",F278=Dashboard!$C$6),L278&lt;&gt;""),ABS(I278)+ROW()/1000000000,0)</f>
        <v/>
      </c>
    </row>
    <row r="279">
      <c r="A279">
        <f>Data_thang!A279</f>
        <v/>
      </c>
      <c r="B279">
        <f>Data_thang!B279</f>
        <v/>
      </c>
      <c r="C279">
        <f>Data_thang!D279</f>
        <v/>
      </c>
      <c r="D279">
        <f>Data_thang!E279</f>
        <v/>
      </c>
      <c r="E279">
        <f>Data_thang!F279</f>
        <v/>
      </c>
      <c r="F279">
        <f>Data_thang!G279</f>
        <v/>
      </c>
      <c r="G279" s="29">
        <f>Data_thang!J279-Data_thang!K279</f>
        <v/>
      </c>
      <c r="H279" s="29">
        <f>Data_thang!N279</f>
        <v/>
      </c>
      <c r="I279" s="29">
        <f>H279-G279</f>
        <v/>
      </c>
      <c r="J279" s="30">
        <f>IF(H279=0,IF(I279=0,0,1),I279/ABS(H279))</f>
        <v/>
      </c>
      <c r="K279" s="29">
        <f>H279-(Data_thang!O279-Data_thang!K279)</f>
        <v/>
      </c>
      <c r="L279">
        <f>IF(AND(ABS(I279)&gt;Dashboard!$G$6,ABS(J279)&gt;Dashboard!$H$6),"⚠ Vượt","")</f>
        <v/>
      </c>
      <c r="M279">
        <f>IF(AND(A279=Dashboard!$D$6,OR(Dashboard!$C$6="*",F279=Dashboard!$C$6),L279&lt;&gt;""),ABS(I279)+ROW()/1000000000,0)</f>
        <v/>
      </c>
    </row>
    <row r="280">
      <c r="A280">
        <f>Data_thang!A280</f>
        <v/>
      </c>
      <c r="B280">
        <f>Data_thang!B280</f>
        <v/>
      </c>
      <c r="C280">
        <f>Data_thang!D280</f>
        <v/>
      </c>
      <c r="D280">
        <f>Data_thang!E280</f>
        <v/>
      </c>
      <c r="E280">
        <f>Data_thang!F280</f>
        <v/>
      </c>
      <c r="F280">
        <f>Data_thang!G280</f>
        <v/>
      </c>
      <c r="G280" s="29">
        <f>Data_thang!J280-Data_thang!K280</f>
        <v/>
      </c>
      <c r="H280" s="29">
        <f>Data_thang!N280</f>
        <v/>
      </c>
      <c r="I280" s="29">
        <f>H280-G280</f>
        <v/>
      </c>
      <c r="J280" s="30">
        <f>IF(H280=0,IF(I280=0,0,1),I280/ABS(H280))</f>
        <v/>
      </c>
      <c r="K280" s="29">
        <f>H280-(Data_thang!O280-Data_thang!K280)</f>
        <v/>
      </c>
      <c r="L280">
        <f>IF(AND(ABS(I280)&gt;Dashboard!$G$6,ABS(J280)&gt;Dashboard!$H$6),"⚠ Vượt","")</f>
        <v/>
      </c>
      <c r="M280">
        <f>IF(AND(A280=Dashboard!$D$6,OR(Dashboard!$C$6="*",F280=Dashboard!$C$6),L280&lt;&gt;""),ABS(I280)+ROW()/1000000000,0)</f>
        <v/>
      </c>
    </row>
    <row r="281">
      <c r="A281">
        <f>Data_thang!A281</f>
        <v/>
      </c>
      <c r="B281">
        <f>Data_thang!B281</f>
        <v/>
      </c>
      <c r="C281">
        <f>Data_thang!D281</f>
        <v/>
      </c>
      <c r="D281">
        <f>Data_thang!E281</f>
        <v/>
      </c>
      <c r="E281">
        <f>Data_thang!F281</f>
        <v/>
      </c>
      <c r="F281">
        <f>Data_thang!G281</f>
        <v/>
      </c>
      <c r="G281" s="29">
        <f>Data_thang!J281-Data_thang!K281</f>
        <v/>
      </c>
      <c r="H281" s="29">
        <f>Data_thang!N281</f>
        <v/>
      </c>
      <c r="I281" s="29">
        <f>H281-G281</f>
        <v/>
      </c>
      <c r="J281" s="30">
        <f>IF(H281=0,IF(I281=0,0,1),I281/ABS(H281))</f>
        <v/>
      </c>
      <c r="K281" s="29">
        <f>H281-(Data_thang!O281-Data_thang!K281)</f>
        <v/>
      </c>
      <c r="L281">
        <f>IF(AND(ABS(I281)&gt;Dashboard!$G$6,ABS(J281)&gt;Dashboard!$H$6),"⚠ Vượt","")</f>
        <v/>
      </c>
      <c r="M281">
        <f>IF(AND(A281=Dashboard!$D$6,OR(Dashboard!$C$6="*",F281=Dashboard!$C$6),L281&lt;&gt;""),ABS(I281)+ROW()/1000000000,0)</f>
        <v/>
      </c>
    </row>
    <row r="282">
      <c r="A282">
        <f>Data_thang!A282</f>
        <v/>
      </c>
      <c r="B282">
        <f>Data_thang!B282</f>
        <v/>
      </c>
      <c r="C282">
        <f>Data_thang!D282</f>
        <v/>
      </c>
      <c r="D282">
        <f>Data_thang!E282</f>
        <v/>
      </c>
      <c r="E282">
        <f>Data_thang!F282</f>
        <v/>
      </c>
      <c r="F282">
        <f>Data_thang!G282</f>
        <v/>
      </c>
      <c r="G282" s="29">
        <f>Data_thang!J282-Data_thang!K282</f>
        <v/>
      </c>
      <c r="H282" s="29">
        <f>Data_thang!N282</f>
        <v/>
      </c>
      <c r="I282" s="29">
        <f>H282-G282</f>
        <v/>
      </c>
      <c r="J282" s="30">
        <f>IF(H282=0,IF(I282=0,0,1),I282/ABS(H282))</f>
        <v/>
      </c>
      <c r="K282" s="29">
        <f>H282-(Data_thang!O282-Data_thang!K282)</f>
        <v/>
      </c>
      <c r="L282">
        <f>IF(AND(ABS(I282)&gt;Dashboard!$G$6,ABS(J282)&gt;Dashboard!$H$6),"⚠ Vượt","")</f>
        <v/>
      </c>
      <c r="M282">
        <f>IF(AND(A282=Dashboard!$D$6,OR(Dashboard!$C$6="*",F282=Dashboard!$C$6),L282&lt;&gt;""),ABS(I282)+ROW()/1000000000,0)</f>
        <v/>
      </c>
    </row>
    <row r="283">
      <c r="A283">
        <f>Data_thang!A283</f>
        <v/>
      </c>
      <c r="B283">
        <f>Data_thang!B283</f>
        <v/>
      </c>
      <c r="C283">
        <f>Data_thang!D283</f>
        <v/>
      </c>
      <c r="D283">
        <f>Data_thang!E283</f>
        <v/>
      </c>
      <c r="E283">
        <f>Data_thang!F283</f>
        <v/>
      </c>
      <c r="F283">
        <f>Data_thang!G283</f>
        <v/>
      </c>
      <c r="G283" s="29">
        <f>Data_thang!J283-Data_thang!K283</f>
        <v/>
      </c>
      <c r="H283" s="29">
        <f>Data_thang!N283</f>
        <v/>
      </c>
      <c r="I283" s="29">
        <f>H283-G283</f>
        <v/>
      </c>
      <c r="J283" s="30">
        <f>IF(H283=0,IF(I283=0,0,1),I283/ABS(H283))</f>
        <v/>
      </c>
      <c r="K283" s="29">
        <f>H283-(Data_thang!O283-Data_thang!K283)</f>
        <v/>
      </c>
      <c r="L283">
        <f>IF(AND(ABS(I283)&gt;Dashboard!$G$6,ABS(J283)&gt;Dashboard!$H$6),"⚠ Vượt","")</f>
        <v/>
      </c>
      <c r="M283">
        <f>IF(AND(A283=Dashboard!$D$6,OR(Dashboard!$C$6="*",F283=Dashboard!$C$6),L283&lt;&gt;""),ABS(I283)+ROW()/1000000000,0)</f>
        <v/>
      </c>
    </row>
    <row r="284">
      <c r="A284">
        <f>Data_thang!A284</f>
        <v/>
      </c>
      <c r="B284">
        <f>Data_thang!B284</f>
        <v/>
      </c>
      <c r="C284">
        <f>Data_thang!D284</f>
        <v/>
      </c>
      <c r="D284">
        <f>Data_thang!E284</f>
        <v/>
      </c>
      <c r="E284">
        <f>Data_thang!F284</f>
        <v/>
      </c>
      <c r="F284">
        <f>Data_thang!G284</f>
        <v/>
      </c>
      <c r="G284" s="29">
        <f>Data_thang!J284-Data_thang!K284</f>
        <v/>
      </c>
      <c r="H284" s="29">
        <f>Data_thang!N284</f>
        <v/>
      </c>
      <c r="I284" s="29">
        <f>H284-G284</f>
        <v/>
      </c>
      <c r="J284" s="30">
        <f>IF(H284=0,IF(I284=0,0,1),I284/ABS(H284))</f>
        <v/>
      </c>
      <c r="K284" s="29">
        <f>H284-(Data_thang!O284-Data_thang!K284)</f>
        <v/>
      </c>
      <c r="L284">
        <f>IF(AND(ABS(I284)&gt;Dashboard!$G$6,ABS(J284)&gt;Dashboard!$H$6),"⚠ Vượt","")</f>
        <v/>
      </c>
      <c r="M284">
        <f>IF(AND(A284=Dashboard!$D$6,OR(Dashboard!$C$6="*",F284=Dashboard!$C$6),L284&lt;&gt;""),ABS(I284)+ROW()/1000000000,0)</f>
        <v/>
      </c>
    </row>
    <row r="285">
      <c r="A285">
        <f>Data_thang!A285</f>
        <v/>
      </c>
      <c r="B285">
        <f>Data_thang!B285</f>
        <v/>
      </c>
      <c r="C285">
        <f>Data_thang!D285</f>
        <v/>
      </c>
      <c r="D285">
        <f>Data_thang!E285</f>
        <v/>
      </c>
      <c r="E285">
        <f>Data_thang!F285</f>
        <v/>
      </c>
      <c r="F285">
        <f>Data_thang!G285</f>
        <v/>
      </c>
      <c r="G285" s="29">
        <f>Data_thang!J285-Data_thang!K285</f>
        <v/>
      </c>
      <c r="H285" s="29">
        <f>Data_thang!N285</f>
        <v/>
      </c>
      <c r="I285" s="29">
        <f>H285-G285</f>
        <v/>
      </c>
      <c r="J285" s="30">
        <f>IF(H285=0,IF(I285=0,0,1),I285/ABS(H285))</f>
        <v/>
      </c>
      <c r="K285" s="29">
        <f>H285-(Data_thang!O285-Data_thang!K285)</f>
        <v/>
      </c>
      <c r="L285">
        <f>IF(AND(ABS(I285)&gt;Dashboard!$G$6,ABS(J285)&gt;Dashboard!$H$6),"⚠ Vượt","")</f>
        <v/>
      </c>
      <c r="M285">
        <f>IF(AND(A285=Dashboard!$D$6,OR(Dashboard!$C$6="*",F285=Dashboard!$C$6),L285&lt;&gt;""),ABS(I285)+ROW()/1000000000,0)</f>
        <v/>
      </c>
    </row>
    <row r="286">
      <c r="A286">
        <f>Data_thang!A286</f>
        <v/>
      </c>
      <c r="B286">
        <f>Data_thang!B286</f>
        <v/>
      </c>
      <c r="C286">
        <f>Data_thang!D286</f>
        <v/>
      </c>
      <c r="D286">
        <f>Data_thang!E286</f>
        <v/>
      </c>
      <c r="E286">
        <f>Data_thang!F286</f>
        <v/>
      </c>
      <c r="F286">
        <f>Data_thang!G286</f>
        <v/>
      </c>
      <c r="G286" s="29">
        <f>Data_thang!J286-Data_thang!K286</f>
        <v/>
      </c>
      <c r="H286" s="29">
        <f>Data_thang!N286</f>
        <v/>
      </c>
      <c r="I286" s="29">
        <f>H286-G286</f>
        <v/>
      </c>
      <c r="J286" s="30">
        <f>IF(H286=0,IF(I286=0,0,1),I286/ABS(H286))</f>
        <v/>
      </c>
      <c r="K286" s="29">
        <f>H286-(Data_thang!O286-Data_thang!K286)</f>
        <v/>
      </c>
      <c r="L286">
        <f>IF(AND(ABS(I286)&gt;Dashboard!$G$6,ABS(J286)&gt;Dashboard!$H$6),"⚠ Vượt","")</f>
        <v/>
      </c>
      <c r="M286">
        <f>IF(AND(A286=Dashboard!$D$6,OR(Dashboard!$C$6="*",F286=Dashboard!$C$6),L286&lt;&gt;""),ABS(I286)+ROW()/1000000000,0)</f>
        <v/>
      </c>
    </row>
    <row r="287">
      <c r="A287">
        <f>Data_thang!A287</f>
        <v/>
      </c>
      <c r="B287">
        <f>Data_thang!B287</f>
        <v/>
      </c>
      <c r="C287">
        <f>Data_thang!D287</f>
        <v/>
      </c>
      <c r="D287">
        <f>Data_thang!E287</f>
        <v/>
      </c>
      <c r="E287">
        <f>Data_thang!F287</f>
        <v/>
      </c>
      <c r="F287">
        <f>Data_thang!G287</f>
        <v/>
      </c>
      <c r="G287" s="29">
        <f>Data_thang!J287-Data_thang!K287</f>
        <v/>
      </c>
      <c r="H287" s="29">
        <f>Data_thang!N287</f>
        <v/>
      </c>
      <c r="I287" s="29">
        <f>H287-G287</f>
        <v/>
      </c>
      <c r="J287" s="30">
        <f>IF(H287=0,IF(I287=0,0,1),I287/ABS(H287))</f>
        <v/>
      </c>
      <c r="K287" s="29">
        <f>H287-(Data_thang!O287-Data_thang!K287)</f>
        <v/>
      </c>
      <c r="L287">
        <f>IF(AND(ABS(I287)&gt;Dashboard!$G$6,ABS(J287)&gt;Dashboard!$H$6),"⚠ Vượt","")</f>
        <v/>
      </c>
      <c r="M287">
        <f>IF(AND(A287=Dashboard!$D$6,OR(Dashboard!$C$6="*",F287=Dashboard!$C$6),L287&lt;&gt;""),ABS(I287)+ROW()/1000000000,0)</f>
        <v/>
      </c>
    </row>
    <row r="288">
      <c r="A288">
        <f>Data_thang!A288</f>
        <v/>
      </c>
      <c r="B288">
        <f>Data_thang!B288</f>
        <v/>
      </c>
      <c r="C288">
        <f>Data_thang!D288</f>
        <v/>
      </c>
      <c r="D288">
        <f>Data_thang!E288</f>
        <v/>
      </c>
      <c r="E288">
        <f>Data_thang!F288</f>
        <v/>
      </c>
      <c r="F288">
        <f>Data_thang!G288</f>
        <v/>
      </c>
      <c r="G288" s="29">
        <f>Data_thang!J288-Data_thang!K288</f>
        <v/>
      </c>
      <c r="H288" s="29">
        <f>Data_thang!N288</f>
        <v/>
      </c>
      <c r="I288" s="29">
        <f>H288-G288</f>
        <v/>
      </c>
      <c r="J288" s="30">
        <f>IF(H288=0,IF(I288=0,0,1),I288/ABS(H288))</f>
        <v/>
      </c>
      <c r="K288" s="29">
        <f>H288-(Data_thang!O288-Data_thang!K288)</f>
        <v/>
      </c>
      <c r="L288">
        <f>IF(AND(ABS(I288)&gt;Dashboard!$G$6,ABS(J288)&gt;Dashboard!$H$6),"⚠ Vượt","")</f>
        <v/>
      </c>
      <c r="M288">
        <f>IF(AND(A288=Dashboard!$D$6,OR(Dashboard!$C$6="*",F288=Dashboard!$C$6),L288&lt;&gt;""),ABS(I288)+ROW()/1000000000,0)</f>
        <v/>
      </c>
    </row>
    <row r="289">
      <c r="A289">
        <f>Data_thang!A289</f>
        <v/>
      </c>
      <c r="B289">
        <f>Data_thang!B289</f>
        <v/>
      </c>
      <c r="C289">
        <f>Data_thang!D289</f>
        <v/>
      </c>
      <c r="D289">
        <f>Data_thang!E289</f>
        <v/>
      </c>
      <c r="E289">
        <f>Data_thang!F289</f>
        <v/>
      </c>
      <c r="F289">
        <f>Data_thang!G289</f>
        <v/>
      </c>
      <c r="G289" s="29">
        <f>Data_thang!J289-Data_thang!K289</f>
        <v/>
      </c>
      <c r="H289" s="29">
        <f>Data_thang!N289</f>
        <v/>
      </c>
      <c r="I289" s="29">
        <f>H289-G289</f>
        <v/>
      </c>
      <c r="J289" s="30">
        <f>IF(H289=0,IF(I289=0,0,1),I289/ABS(H289))</f>
        <v/>
      </c>
      <c r="K289" s="29">
        <f>H289-(Data_thang!O289-Data_thang!K289)</f>
        <v/>
      </c>
      <c r="L289">
        <f>IF(AND(ABS(I289)&gt;Dashboard!$G$6,ABS(J289)&gt;Dashboard!$H$6),"⚠ Vượt","")</f>
        <v/>
      </c>
      <c r="M289">
        <f>IF(AND(A289=Dashboard!$D$6,OR(Dashboard!$C$6="*",F289=Dashboard!$C$6),L289&lt;&gt;""),ABS(I289)+ROW()/1000000000,0)</f>
        <v/>
      </c>
    </row>
    <row r="290">
      <c r="A290">
        <f>Data_thang!A290</f>
        <v/>
      </c>
      <c r="B290">
        <f>Data_thang!B290</f>
        <v/>
      </c>
      <c r="C290">
        <f>Data_thang!D290</f>
        <v/>
      </c>
      <c r="D290">
        <f>Data_thang!E290</f>
        <v/>
      </c>
      <c r="E290">
        <f>Data_thang!F290</f>
        <v/>
      </c>
      <c r="F290">
        <f>Data_thang!G290</f>
        <v/>
      </c>
      <c r="G290" s="29">
        <f>Data_thang!J290-Data_thang!K290</f>
        <v/>
      </c>
      <c r="H290" s="29">
        <f>Data_thang!N290</f>
        <v/>
      </c>
      <c r="I290" s="29">
        <f>H290-G290</f>
        <v/>
      </c>
      <c r="J290" s="30">
        <f>IF(H290=0,IF(I290=0,0,1),I290/ABS(H290))</f>
        <v/>
      </c>
      <c r="K290" s="29">
        <f>H290-(Data_thang!O290-Data_thang!K290)</f>
        <v/>
      </c>
      <c r="L290">
        <f>IF(AND(ABS(I290)&gt;Dashboard!$G$6,ABS(J290)&gt;Dashboard!$H$6),"⚠ Vượt","")</f>
        <v/>
      </c>
      <c r="M290">
        <f>IF(AND(A290=Dashboard!$D$6,OR(Dashboard!$C$6="*",F290=Dashboard!$C$6),L290&lt;&gt;""),ABS(I290)+ROW()/1000000000,0)</f>
        <v/>
      </c>
    </row>
    <row r="291">
      <c r="A291">
        <f>Data_thang!A291</f>
        <v/>
      </c>
      <c r="B291">
        <f>Data_thang!B291</f>
        <v/>
      </c>
      <c r="C291">
        <f>Data_thang!D291</f>
        <v/>
      </c>
      <c r="D291">
        <f>Data_thang!E291</f>
        <v/>
      </c>
      <c r="E291">
        <f>Data_thang!F291</f>
        <v/>
      </c>
      <c r="F291">
        <f>Data_thang!G291</f>
        <v/>
      </c>
      <c r="G291" s="29">
        <f>Data_thang!J291-Data_thang!K291</f>
        <v/>
      </c>
      <c r="H291" s="29">
        <f>Data_thang!N291</f>
        <v/>
      </c>
      <c r="I291" s="29">
        <f>H291-G291</f>
        <v/>
      </c>
      <c r="J291" s="30">
        <f>IF(H291=0,IF(I291=0,0,1),I291/ABS(H291))</f>
        <v/>
      </c>
      <c r="K291" s="29">
        <f>H291-(Data_thang!O291-Data_thang!K291)</f>
        <v/>
      </c>
      <c r="L291">
        <f>IF(AND(ABS(I291)&gt;Dashboard!$G$6,ABS(J291)&gt;Dashboard!$H$6),"⚠ Vượt","")</f>
        <v/>
      </c>
      <c r="M291">
        <f>IF(AND(A291=Dashboard!$D$6,OR(Dashboard!$C$6="*",F291=Dashboard!$C$6),L291&lt;&gt;""),ABS(I291)+ROW()/1000000000,0)</f>
        <v/>
      </c>
    </row>
    <row r="292">
      <c r="A292">
        <f>Data_thang!A292</f>
        <v/>
      </c>
      <c r="B292">
        <f>Data_thang!B292</f>
        <v/>
      </c>
      <c r="C292">
        <f>Data_thang!D292</f>
        <v/>
      </c>
      <c r="D292">
        <f>Data_thang!E292</f>
        <v/>
      </c>
      <c r="E292">
        <f>Data_thang!F292</f>
        <v/>
      </c>
      <c r="F292">
        <f>Data_thang!G292</f>
        <v/>
      </c>
      <c r="G292" s="29">
        <f>Data_thang!J292-Data_thang!K292</f>
        <v/>
      </c>
      <c r="H292" s="29">
        <f>Data_thang!N292</f>
        <v/>
      </c>
      <c r="I292" s="29">
        <f>H292-G292</f>
        <v/>
      </c>
      <c r="J292" s="30">
        <f>IF(H292=0,IF(I292=0,0,1),I292/ABS(H292))</f>
        <v/>
      </c>
      <c r="K292" s="29">
        <f>H292-(Data_thang!O292-Data_thang!K292)</f>
        <v/>
      </c>
      <c r="L292">
        <f>IF(AND(ABS(I292)&gt;Dashboard!$G$6,ABS(J292)&gt;Dashboard!$H$6),"⚠ Vượt","")</f>
        <v/>
      </c>
      <c r="M292">
        <f>IF(AND(A292=Dashboard!$D$6,OR(Dashboard!$C$6="*",F292=Dashboard!$C$6),L292&lt;&gt;""),ABS(I292)+ROW()/1000000000,0)</f>
        <v/>
      </c>
    </row>
    <row r="293">
      <c r="A293">
        <f>Data_thang!A293</f>
        <v/>
      </c>
      <c r="B293">
        <f>Data_thang!B293</f>
        <v/>
      </c>
      <c r="C293">
        <f>Data_thang!D293</f>
        <v/>
      </c>
      <c r="D293">
        <f>Data_thang!E293</f>
        <v/>
      </c>
      <c r="E293">
        <f>Data_thang!F293</f>
        <v/>
      </c>
      <c r="F293">
        <f>Data_thang!G293</f>
        <v/>
      </c>
      <c r="G293" s="29">
        <f>Data_thang!J293-Data_thang!K293</f>
        <v/>
      </c>
      <c r="H293" s="29">
        <f>Data_thang!N293</f>
        <v/>
      </c>
      <c r="I293" s="29">
        <f>H293-G293</f>
        <v/>
      </c>
      <c r="J293" s="30">
        <f>IF(H293=0,IF(I293=0,0,1),I293/ABS(H293))</f>
        <v/>
      </c>
      <c r="K293" s="29">
        <f>H293-(Data_thang!O293-Data_thang!K293)</f>
        <v/>
      </c>
      <c r="L293">
        <f>IF(AND(ABS(I293)&gt;Dashboard!$G$6,ABS(J293)&gt;Dashboard!$H$6),"⚠ Vượt","")</f>
        <v/>
      </c>
      <c r="M293">
        <f>IF(AND(A293=Dashboard!$D$6,OR(Dashboard!$C$6="*",F293=Dashboard!$C$6),L293&lt;&gt;""),ABS(I293)+ROW()/1000000000,0)</f>
        <v/>
      </c>
    </row>
    <row r="294">
      <c r="A294">
        <f>Data_thang!A294</f>
        <v/>
      </c>
      <c r="B294">
        <f>Data_thang!B294</f>
        <v/>
      </c>
      <c r="C294">
        <f>Data_thang!D294</f>
        <v/>
      </c>
      <c r="D294">
        <f>Data_thang!E294</f>
        <v/>
      </c>
      <c r="E294">
        <f>Data_thang!F294</f>
        <v/>
      </c>
      <c r="F294">
        <f>Data_thang!G294</f>
        <v/>
      </c>
      <c r="G294" s="29">
        <f>Data_thang!J294-Data_thang!K294</f>
        <v/>
      </c>
      <c r="H294" s="29">
        <f>Data_thang!N294</f>
        <v/>
      </c>
      <c r="I294" s="29">
        <f>H294-G294</f>
        <v/>
      </c>
      <c r="J294" s="30">
        <f>IF(H294=0,IF(I294=0,0,1),I294/ABS(H294))</f>
        <v/>
      </c>
      <c r="K294" s="29">
        <f>H294-(Data_thang!O294-Data_thang!K294)</f>
        <v/>
      </c>
      <c r="L294">
        <f>IF(AND(ABS(I294)&gt;Dashboard!$G$6,ABS(J294)&gt;Dashboard!$H$6),"⚠ Vượt","")</f>
        <v/>
      </c>
      <c r="M294">
        <f>IF(AND(A294=Dashboard!$D$6,OR(Dashboard!$C$6="*",F294=Dashboard!$C$6),L294&lt;&gt;""),ABS(I294)+ROW()/1000000000,0)</f>
        <v/>
      </c>
    </row>
    <row r="295">
      <c r="A295">
        <f>Data_thang!A295</f>
        <v/>
      </c>
      <c r="B295">
        <f>Data_thang!B295</f>
        <v/>
      </c>
      <c r="C295">
        <f>Data_thang!D295</f>
        <v/>
      </c>
      <c r="D295">
        <f>Data_thang!E295</f>
        <v/>
      </c>
      <c r="E295">
        <f>Data_thang!F295</f>
        <v/>
      </c>
      <c r="F295">
        <f>Data_thang!G295</f>
        <v/>
      </c>
      <c r="G295" s="29">
        <f>Data_thang!J295-Data_thang!K295</f>
        <v/>
      </c>
      <c r="H295" s="29">
        <f>Data_thang!N295</f>
        <v/>
      </c>
      <c r="I295" s="29">
        <f>H295-G295</f>
        <v/>
      </c>
      <c r="J295" s="30">
        <f>IF(H295=0,IF(I295=0,0,1),I295/ABS(H295))</f>
        <v/>
      </c>
      <c r="K295" s="29">
        <f>H295-(Data_thang!O295-Data_thang!K295)</f>
        <v/>
      </c>
      <c r="L295">
        <f>IF(AND(ABS(I295)&gt;Dashboard!$G$6,ABS(J295)&gt;Dashboard!$H$6),"⚠ Vượt","")</f>
        <v/>
      </c>
      <c r="M295">
        <f>IF(AND(A295=Dashboard!$D$6,OR(Dashboard!$C$6="*",F295=Dashboard!$C$6),L295&lt;&gt;""),ABS(I295)+ROW()/1000000000,0)</f>
        <v/>
      </c>
    </row>
    <row r="296">
      <c r="A296">
        <f>Data_thang!A296</f>
        <v/>
      </c>
      <c r="B296">
        <f>Data_thang!B296</f>
        <v/>
      </c>
      <c r="C296">
        <f>Data_thang!D296</f>
        <v/>
      </c>
      <c r="D296">
        <f>Data_thang!E296</f>
        <v/>
      </c>
      <c r="E296">
        <f>Data_thang!F296</f>
        <v/>
      </c>
      <c r="F296">
        <f>Data_thang!G296</f>
        <v/>
      </c>
      <c r="G296" s="29">
        <f>Data_thang!J296-Data_thang!K296</f>
        <v/>
      </c>
      <c r="H296" s="29">
        <f>Data_thang!N296</f>
        <v/>
      </c>
      <c r="I296" s="29">
        <f>H296-G296</f>
        <v/>
      </c>
      <c r="J296" s="30">
        <f>IF(H296=0,IF(I296=0,0,1),I296/ABS(H296))</f>
        <v/>
      </c>
      <c r="K296" s="29">
        <f>H296-(Data_thang!O296-Data_thang!K296)</f>
        <v/>
      </c>
      <c r="L296">
        <f>IF(AND(ABS(I296)&gt;Dashboard!$G$6,ABS(J296)&gt;Dashboard!$H$6),"⚠ Vượt","")</f>
        <v/>
      </c>
      <c r="M296">
        <f>IF(AND(A296=Dashboard!$D$6,OR(Dashboard!$C$6="*",F296=Dashboard!$C$6),L296&lt;&gt;""),ABS(I296)+ROW()/1000000000,0)</f>
        <v/>
      </c>
    </row>
    <row r="297">
      <c r="A297">
        <f>Data_thang!A297</f>
        <v/>
      </c>
      <c r="B297">
        <f>Data_thang!B297</f>
        <v/>
      </c>
      <c r="C297">
        <f>Data_thang!D297</f>
        <v/>
      </c>
      <c r="D297">
        <f>Data_thang!E297</f>
        <v/>
      </c>
      <c r="E297">
        <f>Data_thang!F297</f>
        <v/>
      </c>
      <c r="F297">
        <f>Data_thang!G297</f>
        <v/>
      </c>
      <c r="G297" s="29">
        <f>Data_thang!J297-Data_thang!K297</f>
        <v/>
      </c>
      <c r="H297" s="29">
        <f>Data_thang!N297</f>
        <v/>
      </c>
      <c r="I297" s="29">
        <f>H297-G297</f>
        <v/>
      </c>
      <c r="J297" s="30">
        <f>IF(H297=0,IF(I297=0,0,1),I297/ABS(H297))</f>
        <v/>
      </c>
      <c r="K297" s="29">
        <f>H297-(Data_thang!O297-Data_thang!K297)</f>
        <v/>
      </c>
      <c r="L297">
        <f>IF(AND(ABS(I297)&gt;Dashboard!$G$6,ABS(J297)&gt;Dashboard!$H$6),"⚠ Vượt","")</f>
        <v/>
      </c>
      <c r="M297">
        <f>IF(AND(A297=Dashboard!$D$6,OR(Dashboard!$C$6="*",F297=Dashboard!$C$6),L297&lt;&gt;""),ABS(I297)+ROW()/1000000000,0)</f>
        <v/>
      </c>
    </row>
    <row r="298">
      <c r="A298">
        <f>Data_thang!A298</f>
        <v/>
      </c>
      <c r="B298">
        <f>Data_thang!B298</f>
        <v/>
      </c>
      <c r="C298">
        <f>Data_thang!D298</f>
        <v/>
      </c>
      <c r="D298">
        <f>Data_thang!E298</f>
        <v/>
      </c>
      <c r="E298">
        <f>Data_thang!F298</f>
        <v/>
      </c>
      <c r="F298">
        <f>Data_thang!G298</f>
        <v/>
      </c>
      <c r="G298" s="29">
        <f>Data_thang!J298-Data_thang!K298</f>
        <v/>
      </c>
      <c r="H298" s="29">
        <f>Data_thang!N298</f>
        <v/>
      </c>
      <c r="I298" s="29">
        <f>H298-G298</f>
        <v/>
      </c>
      <c r="J298" s="30">
        <f>IF(H298=0,IF(I298=0,0,1),I298/ABS(H298))</f>
        <v/>
      </c>
      <c r="K298" s="29">
        <f>H298-(Data_thang!O298-Data_thang!K298)</f>
        <v/>
      </c>
      <c r="L298">
        <f>IF(AND(ABS(I298)&gt;Dashboard!$G$6,ABS(J298)&gt;Dashboard!$H$6),"⚠ Vượt","")</f>
        <v/>
      </c>
      <c r="M298">
        <f>IF(AND(A298=Dashboard!$D$6,OR(Dashboard!$C$6="*",F298=Dashboard!$C$6),L298&lt;&gt;""),ABS(I298)+ROW()/1000000000,0)</f>
        <v/>
      </c>
    </row>
    <row r="299">
      <c r="A299">
        <f>Data_thang!A299</f>
        <v/>
      </c>
      <c r="B299">
        <f>Data_thang!B299</f>
        <v/>
      </c>
      <c r="C299">
        <f>Data_thang!D299</f>
        <v/>
      </c>
      <c r="D299">
        <f>Data_thang!E299</f>
        <v/>
      </c>
      <c r="E299">
        <f>Data_thang!F299</f>
        <v/>
      </c>
      <c r="F299">
        <f>Data_thang!G299</f>
        <v/>
      </c>
      <c r="G299" s="29">
        <f>Data_thang!J299-Data_thang!K299</f>
        <v/>
      </c>
      <c r="H299" s="29">
        <f>Data_thang!N299</f>
        <v/>
      </c>
      <c r="I299" s="29">
        <f>H299-G299</f>
        <v/>
      </c>
      <c r="J299" s="30">
        <f>IF(H299=0,IF(I299=0,0,1),I299/ABS(H299))</f>
        <v/>
      </c>
      <c r="K299" s="29">
        <f>H299-(Data_thang!O299-Data_thang!K299)</f>
        <v/>
      </c>
      <c r="L299">
        <f>IF(AND(ABS(I299)&gt;Dashboard!$G$6,ABS(J299)&gt;Dashboard!$H$6),"⚠ Vượt","")</f>
        <v/>
      </c>
      <c r="M299">
        <f>IF(AND(A299=Dashboard!$D$6,OR(Dashboard!$C$6="*",F299=Dashboard!$C$6),L299&lt;&gt;""),ABS(I299)+ROW()/1000000000,0)</f>
        <v/>
      </c>
    </row>
    <row r="300">
      <c r="A300">
        <f>Data_thang!A300</f>
        <v/>
      </c>
      <c r="B300">
        <f>Data_thang!B300</f>
        <v/>
      </c>
      <c r="C300">
        <f>Data_thang!D300</f>
        <v/>
      </c>
      <c r="D300">
        <f>Data_thang!E300</f>
        <v/>
      </c>
      <c r="E300">
        <f>Data_thang!F300</f>
        <v/>
      </c>
      <c r="F300">
        <f>Data_thang!G300</f>
        <v/>
      </c>
      <c r="G300" s="29">
        <f>Data_thang!J300-Data_thang!K300</f>
        <v/>
      </c>
      <c r="H300" s="29">
        <f>Data_thang!N300</f>
        <v/>
      </c>
      <c r="I300" s="29">
        <f>H300-G300</f>
        <v/>
      </c>
      <c r="J300" s="30">
        <f>IF(H300=0,IF(I300=0,0,1),I300/ABS(H300))</f>
        <v/>
      </c>
      <c r="K300" s="29">
        <f>H300-(Data_thang!O300-Data_thang!K300)</f>
        <v/>
      </c>
      <c r="L300">
        <f>IF(AND(ABS(I300)&gt;Dashboard!$G$6,ABS(J300)&gt;Dashboard!$H$6),"⚠ Vượt","")</f>
        <v/>
      </c>
      <c r="M300">
        <f>IF(AND(A300=Dashboard!$D$6,OR(Dashboard!$C$6="*",F300=Dashboard!$C$6),L300&lt;&gt;""),ABS(I300)+ROW()/1000000000,0)</f>
        <v/>
      </c>
    </row>
    <row r="301">
      <c r="A301">
        <f>Data_thang!A301</f>
        <v/>
      </c>
      <c r="B301">
        <f>Data_thang!B301</f>
        <v/>
      </c>
      <c r="C301">
        <f>Data_thang!D301</f>
        <v/>
      </c>
      <c r="D301">
        <f>Data_thang!E301</f>
        <v/>
      </c>
      <c r="E301">
        <f>Data_thang!F301</f>
        <v/>
      </c>
      <c r="F301">
        <f>Data_thang!G301</f>
        <v/>
      </c>
      <c r="G301" s="29">
        <f>Data_thang!J301-Data_thang!K301</f>
        <v/>
      </c>
      <c r="H301" s="29">
        <f>Data_thang!N301</f>
        <v/>
      </c>
      <c r="I301" s="29">
        <f>H301-G301</f>
        <v/>
      </c>
      <c r="J301" s="30">
        <f>IF(H301=0,IF(I301=0,0,1),I301/ABS(H301))</f>
        <v/>
      </c>
      <c r="K301" s="29">
        <f>H301-(Data_thang!O301-Data_thang!K301)</f>
        <v/>
      </c>
      <c r="L301">
        <f>IF(AND(ABS(I301)&gt;Dashboard!$G$6,ABS(J301)&gt;Dashboard!$H$6),"⚠ Vượt","")</f>
        <v/>
      </c>
      <c r="M301">
        <f>IF(AND(A301=Dashboard!$D$6,OR(Dashboard!$C$6="*",F301=Dashboard!$C$6),L301&lt;&gt;""),ABS(I301)+ROW()/1000000000,0)</f>
        <v/>
      </c>
    </row>
    <row r="302">
      <c r="A302">
        <f>Data_thang!A302</f>
        <v/>
      </c>
      <c r="B302">
        <f>Data_thang!B302</f>
        <v/>
      </c>
      <c r="C302">
        <f>Data_thang!D302</f>
        <v/>
      </c>
      <c r="D302">
        <f>Data_thang!E302</f>
        <v/>
      </c>
      <c r="E302">
        <f>Data_thang!F302</f>
        <v/>
      </c>
      <c r="F302">
        <f>Data_thang!G302</f>
        <v/>
      </c>
      <c r="G302" s="29">
        <f>Data_thang!J302-Data_thang!K302</f>
        <v/>
      </c>
      <c r="H302" s="29">
        <f>Data_thang!N302</f>
        <v/>
      </c>
      <c r="I302" s="29">
        <f>H302-G302</f>
        <v/>
      </c>
      <c r="J302" s="30">
        <f>IF(H302=0,IF(I302=0,0,1),I302/ABS(H302))</f>
        <v/>
      </c>
      <c r="K302" s="29">
        <f>H302-(Data_thang!O302-Data_thang!K302)</f>
        <v/>
      </c>
      <c r="L302">
        <f>IF(AND(ABS(I302)&gt;Dashboard!$G$6,ABS(J302)&gt;Dashboard!$H$6),"⚠ Vượt","")</f>
        <v/>
      </c>
      <c r="M302">
        <f>IF(AND(A302=Dashboard!$D$6,OR(Dashboard!$C$6="*",F302=Dashboard!$C$6),L302&lt;&gt;""),ABS(I302)+ROW()/1000000000,0)</f>
        <v/>
      </c>
    </row>
    <row r="303">
      <c r="A303">
        <f>Data_thang!A303</f>
        <v/>
      </c>
      <c r="B303">
        <f>Data_thang!B303</f>
        <v/>
      </c>
      <c r="C303">
        <f>Data_thang!D303</f>
        <v/>
      </c>
      <c r="D303">
        <f>Data_thang!E303</f>
        <v/>
      </c>
      <c r="E303">
        <f>Data_thang!F303</f>
        <v/>
      </c>
      <c r="F303">
        <f>Data_thang!G303</f>
        <v/>
      </c>
      <c r="G303" s="29">
        <f>Data_thang!J303-Data_thang!K303</f>
        <v/>
      </c>
      <c r="H303" s="29">
        <f>Data_thang!N303</f>
        <v/>
      </c>
      <c r="I303" s="29">
        <f>H303-G303</f>
        <v/>
      </c>
      <c r="J303" s="30">
        <f>IF(H303=0,IF(I303=0,0,1),I303/ABS(H303))</f>
        <v/>
      </c>
      <c r="K303" s="29">
        <f>H303-(Data_thang!O303-Data_thang!K303)</f>
        <v/>
      </c>
      <c r="L303">
        <f>IF(AND(ABS(I303)&gt;Dashboard!$G$6,ABS(J303)&gt;Dashboard!$H$6),"⚠ Vượt","")</f>
        <v/>
      </c>
      <c r="M303">
        <f>IF(AND(A303=Dashboard!$D$6,OR(Dashboard!$C$6="*",F303=Dashboard!$C$6),L303&lt;&gt;""),ABS(I303)+ROW()/1000000000,0)</f>
        <v/>
      </c>
    </row>
    <row r="304">
      <c r="A304">
        <f>Data_thang!A304</f>
        <v/>
      </c>
      <c r="B304">
        <f>Data_thang!B304</f>
        <v/>
      </c>
      <c r="C304">
        <f>Data_thang!D304</f>
        <v/>
      </c>
      <c r="D304">
        <f>Data_thang!E304</f>
        <v/>
      </c>
      <c r="E304">
        <f>Data_thang!F304</f>
        <v/>
      </c>
      <c r="F304">
        <f>Data_thang!G304</f>
        <v/>
      </c>
      <c r="G304" s="29">
        <f>Data_thang!J304-Data_thang!K304</f>
        <v/>
      </c>
      <c r="H304" s="29">
        <f>Data_thang!N304</f>
        <v/>
      </c>
      <c r="I304" s="29">
        <f>H304-G304</f>
        <v/>
      </c>
      <c r="J304" s="30">
        <f>IF(H304=0,IF(I304=0,0,1),I304/ABS(H304))</f>
        <v/>
      </c>
      <c r="K304" s="29">
        <f>H304-(Data_thang!O304-Data_thang!K304)</f>
        <v/>
      </c>
      <c r="L304">
        <f>IF(AND(ABS(I304)&gt;Dashboard!$G$6,ABS(J304)&gt;Dashboard!$H$6),"⚠ Vượt","")</f>
        <v/>
      </c>
      <c r="M304">
        <f>IF(AND(A304=Dashboard!$D$6,OR(Dashboard!$C$6="*",F304=Dashboard!$C$6),L304&lt;&gt;""),ABS(I304)+ROW()/1000000000,0)</f>
        <v/>
      </c>
    </row>
    <row r="305">
      <c r="A305">
        <f>Data_thang!A305</f>
        <v/>
      </c>
      <c r="B305">
        <f>Data_thang!B305</f>
        <v/>
      </c>
      <c r="C305">
        <f>Data_thang!D305</f>
        <v/>
      </c>
      <c r="D305">
        <f>Data_thang!E305</f>
        <v/>
      </c>
      <c r="E305">
        <f>Data_thang!F305</f>
        <v/>
      </c>
      <c r="F305">
        <f>Data_thang!G305</f>
        <v/>
      </c>
      <c r="G305" s="29">
        <f>Data_thang!J305-Data_thang!K305</f>
        <v/>
      </c>
      <c r="H305" s="29">
        <f>Data_thang!N305</f>
        <v/>
      </c>
      <c r="I305" s="29">
        <f>H305-G305</f>
        <v/>
      </c>
      <c r="J305" s="30">
        <f>IF(H305=0,IF(I305=0,0,1),I305/ABS(H305))</f>
        <v/>
      </c>
      <c r="K305" s="29">
        <f>H305-(Data_thang!O305-Data_thang!K305)</f>
        <v/>
      </c>
      <c r="L305">
        <f>IF(AND(ABS(I305)&gt;Dashboard!$G$6,ABS(J305)&gt;Dashboard!$H$6),"⚠ Vượt","")</f>
        <v/>
      </c>
      <c r="M305">
        <f>IF(AND(A305=Dashboard!$D$6,OR(Dashboard!$C$6="*",F305=Dashboard!$C$6),L305&lt;&gt;""),ABS(I305)+ROW()/1000000000,0)</f>
        <v/>
      </c>
    </row>
    <row r="306">
      <c r="A306">
        <f>Data_thang!A306</f>
        <v/>
      </c>
      <c r="B306">
        <f>Data_thang!B306</f>
        <v/>
      </c>
      <c r="C306">
        <f>Data_thang!D306</f>
        <v/>
      </c>
      <c r="D306">
        <f>Data_thang!E306</f>
        <v/>
      </c>
      <c r="E306">
        <f>Data_thang!F306</f>
        <v/>
      </c>
      <c r="F306">
        <f>Data_thang!G306</f>
        <v/>
      </c>
      <c r="G306" s="29">
        <f>Data_thang!J306-Data_thang!K306</f>
        <v/>
      </c>
      <c r="H306" s="29">
        <f>Data_thang!N306</f>
        <v/>
      </c>
      <c r="I306" s="29">
        <f>H306-G306</f>
        <v/>
      </c>
      <c r="J306" s="30">
        <f>IF(H306=0,IF(I306=0,0,1),I306/ABS(H306))</f>
        <v/>
      </c>
      <c r="K306" s="29">
        <f>H306-(Data_thang!O306-Data_thang!K306)</f>
        <v/>
      </c>
      <c r="L306">
        <f>IF(AND(ABS(I306)&gt;Dashboard!$G$6,ABS(J306)&gt;Dashboard!$H$6),"⚠ Vượt","")</f>
        <v/>
      </c>
      <c r="M306">
        <f>IF(AND(A306=Dashboard!$D$6,OR(Dashboard!$C$6="*",F306=Dashboard!$C$6),L306&lt;&gt;""),ABS(I306)+ROW()/1000000000,0)</f>
        <v/>
      </c>
    </row>
    <row r="307">
      <c r="A307">
        <f>Data_thang!A307</f>
        <v/>
      </c>
      <c r="B307">
        <f>Data_thang!B307</f>
        <v/>
      </c>
      <c r="C307">
        <f>Data_thang!D307</f>
        <v/>
      </c>
      <c r="D307">
        <f>Data_thang!E307</f>
        <v/>
      </c>
      <c r="E307">
        <f>Data_thang!F307</f>
        <v/>
      </c>
      <c r="F307">
        <f>Data_thang!G307</f>
        <v/>
      </c>
      <c r="G307" s="29">
        <f>Data_thang!J307-Data_thang!K307</f>
        <v/>
      </c>
      <c r="H307" s="29">
        <f>Data_thang!N307</f>
        <v/>
      </c>
      <c r="I307" s="29">
        <f>H307-G307</f>
        <v/>
      </c>
      <c r="J307" s="30">
        <f>IF(H307=0,IF(I307=0,0,1),I307/ABS(H307))</f>
        <v/>
      </c>
      <c r="K307" s="29">
        <f>H307-(Data_thang!O307-Data_thang!K307)</f>
        <v/>
      </c>
      <c r="L307">
        <f>IF(AND(ABS(I307)&gt;Dashboard!$G$6,ABS(J307)&gt;Dashboard!$H$6),"⚠ Vượt","")</f>
        <v/>
      </c>
      <c r="M307">
        <f>IF(AND(A307=Dashboard!$D$6,OR(Dashboard!$C$6="*",F307=Dashboard!$C$6),L307&lt;&gt;""),ABS(I307)+ROW()/1000000000,0)</f>
        <v/>
      </c>
    </row>
    <row r="308">
      <c r="A308">
        <f>Data_thang!A308</f>
        <v/>
      </c>
      <c r="B308">
        <f>Data_thang!B308</f>
        <v/>
      </c>
      <c r="C308">
        <f>Data_thang!D308</f>
        <v/>
      </c>
      <c r="D308">
        <f>Data_thang!E308</f>
        <v/>
      </c>
      <c r="E308">
        <f>Data_thang!F308</f>
        <v/>
      </c>
      <c r="F308">
        <f>Data_thang!G308</f>
        <v/>
      </c>
      <c r="G308" s="29">
        <f>Data_thang!J308-Data_thang!K308</f>
        <v/>
      </c>
      <c r="H308" s="29">
        <f>Data_thang!N308</f>
        <v/>
      </c>
      <c r="I308" s="29">
        <f>H308-G308</f>
        <v/>
      </c>
      <c r="J308" s="30">
        <f>IF(H308=0,IF(I308=0,0,1),I308/ABS(H308))</f>
        <v/>
      </c>
      <c r="K308" s="29">
        <f>H308-(Data_thang!O308-Data_thang!K308)</f>
        <v/>
      </c>
      <c r="L308">
        <f>IF(AND(ABS(I308)&gt;Dashboard!$G$6,ABS(J308)&gt;Dashboard!$H$6),"⚠ Vượt","")</f>
        <v/>
      </c>
      <c r="M308">
        <f>IF(AND(A308=Dashboard!$D$6,OR(Dashboard!$C$6="*",F308=Dashboard!$C$6),L308&lt;&gt;""),ABS(I308)+ROW()/1000000000,0)</f>
        <v/>
      </c>
    </row>
    <row r="309">
      <c r="A309">
        <f>Data_thang!A309</f>
        <v/>
      </c>
      <c r="B309">
        <f>Data_thang!B309</f>
        <v/>
      </c>
      <c r="C309">
        <f>Data_thang!D309</f>
        <v/>
      </c>
      <c r="D309">
        <f>Data_thang!E309</f>
        <v/>
      </c>
      <c r="E309">
        <f>Data_thang!F309</f>
        <v/>
      </c>
      <c r="F309">
        <f>Data_thang!G309</f>
        <v/>
      </c>
      <c r="G309" s="29">
        <f>Data_thang!J309-Data_thang!K309</f>
        <v/>
      </c>
      <c r="H309" s="29">
        <f>Data_thang!N309</f>
        <v/>
      </c>
      <c r="I309" s="29">
        <f>H309-G309</f>
        <v/>
      </c>
      <c r="J309" s="30">
        <f>IF(H309=0,IF(I309=0,0,1),I309/ABS(H309))</f>
        <v/>
      </c>
      <c r="K309" s="29">
        <f>H309-(Data_thang!O309-Data_thang!K309)</f>
        <v/>
      </c>
      <c r="L309">
        <f>IF(AND(ABS(I309)&gt;Dashboard!$G$6,ABS(J309)&gt;Dashboard!$H$6),"⚠ Vượt","")</f>
        <v/>
      </c>
      <c r="M309">
        <f>IF(AND(A309=Dashboard!$D$6,OR(Dashboard!$C$6="*",F309=Dashboard!$C$6),L309&lt;&gt;""),ABS(I309)+ROW()/1000000000,0)</f>
        <v/>
      </c>
    </row>
    <row r="310">
      <c r="A310">
        <f>Data_thang!A310</f>
        <v/>
      </c>
      <c r="B310">
        <f>Data_thang!B310</f>
        <v/>
      </c>
      <c r="C310">
        <f>Data_thang!D310</f>
        <v/>
      </c>
      <c r="D310">
        <f>Data_thang!E310</f>
        <v/>
      </c>
      <c r="E310">
        <f>Data_thang!F310</f>
        <v/>
      </c>
      <c r="F310">
        <f>Data_thang!G310</f>
        <v/>
      </c>
      <c r="G310" s="29">
        <f>Data_thang!J310-Data_thang!K310</f>
        <v/>
      </c>
      <c r="H310" s="29">
        <f>Data_thang!N310</f>
        <v/>
      </c>
      <c r="I310" s="29">
        <f>H310-G310</f>
        <v/>
      </c>
      <c r="J310" s="30">
        <f>IF(H310=0,IF(I310=0,0,1),I310/ABS(H310))</f>
        <v/>
      </c>
      <c r="K310" s="29">
        <f>H310-(Data_thang!O310-Data_thang!K310)</f>
        <v/>
      </c>
      <c r="L310">
        <f>IF(AND(ABS(I310)&gt;Dashboard!$G$6,ABS(J310)&gt;Dashboard!$H$6),"⚠ Vượt","")</f>
        <v/>
      </c>
      <c r="M310">
        <f>IF(AND(A310=Dashboard!$D$6,OR(Dashboard!$C$6="*",F310=Dashboard!$C$6),L310&lt;&gt;""),ABS(I310)+ROW()/1000000000,0)</f>
        <v/>
      </c>
    </row>
    <row r="311">
      <c r="A311">
        <f>Data_thang!A311</f>
        <v/>
      </c>
      <c r="B311">
        <f>Data_thang!B311</f>
        <v/>
      </c>
      <c r="C311">
        <f>Data_thang!D311</f>
        <v/>
      </c>
      <c r="D311">
        <f>Data_thang!E311</f>
        <v/>
      </c>
      <c r="E311">
        <f>Data_thang!F311</f>
        <v/>
      </c>
      <c r="F311">
        <f>Data_thang!G311</f>
        <v/>
      </c>
      <c r="G311" s="29">
        <f>Data_thang!J311-Data_thang!K311</f>
        <v/>
      </c>
      <c r="H311" s="29">
        <f>Data_thang!N311</f>
        <v/>
      </c>
      <c r="I311" s="29">
        <f>H311-G311</f>
        <v/>
      </c>
      <c r="J311" s="30">
        <f>IF(H311=0,IF(I311=0,0,1),I311/ABS(H311))</f>
        <v/>
      </c>
      <c r="K311" s="29">
        <f>H311-(Data_thang!O311-Data_thang!K311)</f>
        <v/>
      </c>
      <c r="L311">
        <f>IF(AND(ABS(I311)&gt;Dashboard!$G$6,ABS(J311)&gt;Dashboard!$H$6),"⚠ Vượt","")</f>
        <v/>
      </c>
      <c r="M311">
        <f>IF(AND(A311=Dashboard!$D$6,OR(Dashboard!$C$6="*",F311=Dashboard!$C$6),L311&lt;&gt;""),ABS(I311)+ROW()/1000000000,0)</f>
        <v/>
      </c>
    </row>
    <row r="312">
      <c r="A312">
        <f>Data_thang!A312</f>
        <v/>
      </c>
      <c r="B312">
        <f>Data_thang!B312</f>
        <v/>
      </c>
      <c r="C312">
        <f>Data_thang!D312</f>
        <v/>
      </c>
      <c r="D312">
        <f>Data_thang!E312</f>
        <v/>
      </c>
      <c r="E312">
        <f>Data_thang!F312</f>
        <v/>
      </c>
      <c r="F312">
        <f>Data_thang!G312</f>
        <v/>
      </c>
      <c r="G312" s="29">
        <f>Data_thang!J312-Data_thang!K312</f>
        <v/>
      </c>
      <c r="H312" s="29">
        <f>Data_thang!N312</f>
        <v/>
      </c>
      <c r="I312" s="29">
        <f>H312-G312</f>
        <v/>
      </c>
      <c r="J312" s="30">
        <f>IF(H312=0,IF(I312=0,0,1),I312/ABS(H312))</f>
        <v/>
      </c>
      <c r="K312" s="29">
        <f>H312-(Data_thang!O312-Data_thang!K312)</f>
        <v/>
      </c>
      <c r="L312">
        <f>IF(AND(ABS(I312)&gt;Dashboard!$G$6,ABS(J312)&gt;Dashboard!$H$6),"⚠ Vượt","")</f>
        <v/>
      </c>
      <c r="M312">
        <f>IF(AND(A312=Dashboard!$D$6,OR(Dashboard!$C$6="*",F312=Dashboard!$C$6),L312&lt;&gt;""),ABS(I312)+ROW()/1000000000,0)</f>
        <v/>
      </c>
    </row>
    <row r="313">
      <c r="A313">
        <f>Data_thang!A313</f>
        <v/>
      </c>
      <c r="B313">
        <f>Data_thang!B313</f>
        <v/>
      </c>
      <c r="C313">
        <f>Data_thang!D313</f>
        <v/>
      </c>
      <c r="D313">
        <f>Data_thang!E313</f>
        <v/>
      </c>
      <c r="E313">
        <f>Data_thang!F313</f>
        <v/>
      </c>
      <c r="F313">
        <f>Data_thang!G313</f>
        <v/>
      </c>
      <c r="G313" s="29">
        <f>Data_thang!J313-Data_thang!K313</f>
        <v/>
      </c>
      <c r="H313" s="29">
        <f>Data_thang!N313</f>
        <v/>
      </c>
      <c r="I313" s="29">
        <f>H313-G313</f>
        <v/>
      </c>
      <c r="J313" s="30">
        <f>IF(H313=0,IF(I313=0,0,1),I313/ABS(H313))</f>
        <v/>
      </c>
      <c r="K313" s="29">
        <f>H313-(Data_thang!O313-Data_thang!K313)</f>
        <v/>
      </c>
      <c r="L313">
        <f>IF(AND(ABS(I313)&gt;Dashboard!$G$6,ABS(J313)&gt;Dashboard!$H$6),"⚠ Vượt","")</f>
        <v/>
      </c>
      <c r="M313">
        <f>IF(AND(A313=Dashboard!$D$6,OR(Dashboard!$C$6="*",F313=Dashboard!$C$6),L313&lt;&gt;""),ABS(I313)+ROW()/1000000000,0)</f>
        <v/>
      </c>
    </row>
    <row r="314">
      <c r="A314">
        <f>Data_thang!A314</f>
        <v/>
      </c>
      <c r="B314">
        <f>Data_thang!B314</f>
        <v/>
      </c>
      <c r="C314">
        <f>Data_thang!D314</f>
        <v/>
      </c>
      <c r="D314">
        <f>Data_thang!E314</f>
        <v/>
      </c>
      <c r="E314">
        <f>Data_thang!F314</f>
        <v/>
      </c>
      <c r="F314">
        <f>Data_thang!G314</f>
        <v/>
      </c>
      <c r="G314" s="29">
        <f>Data_thang!J314-Data_thang!K314</f>
        <v/>
      </c>
      <c r="H314" s="29">
        <f>Data_thang!N314</f>
        <v/>
      </c>
      <c r="I314" s="29">
        <f>H314-G314</f>
        <v/>
      </c>
      <c r="J314" s="30">
        <f>IF(H314=0,IF(I314=0,0,1),I314/ABS(H314))</f>
        <v/>
      </c>
      <c r="K314" s="29">
        <f>H314-(Data_thang!O314-Data_thang!K314)</f>
        <v/>
      </c>
      <c r="L314">
        <f>IF(AND(ABS(I314)&gt;Dashboard!$G$6,ABS(J314)&gt;Dashboard!$H$6),"⚠ Vượt","")</f>
        <v/>
      </c>
      <c r="M314">
        <f>IF(AND(A314=Dashboard!$D$6,OR(Dashboard!$C$6="*",F314=Dashboard!$C$6),L314&lt;&gt;""),ABS(I314)+ROW()/1000000000,0)</f>
        <v/>
      </c>
    </row>
    <row r="315">
      <c r="A315">
        <f>Data_thang!A315</f>
        <v/>
      </c>
      <c r="B315">
        <f>Data_thang!B315</f>
        <v/>
      </c>
      <c r="C315">
        <f>Data_thang!D315</f>
        <v/>
      </c>
      <c r="D315">
        <f>Data_thang!E315</f>
        <v/>
      </c>
      <c r="E315">
        <f>Data_thang!F315</f>
        <v/>
      </c>
      <c r="F315">
        <f>Data_thang!G315</f>
        <v/>
      </c>
      <c r="G315" s="29">
        <f>Data_thang!J315-Data_thang!K315</f>
        <v/>
      </c>
      <c r="H315" s="29">
        <f>Data_thang!N315</f>
        <v/>
      </c>
      <c r="I315" s="29">
        <f>H315-G315</f>
        <v/>
      </c>
      <c r="J315" s="30">
        <f>IF(H315=0,IF(I315=0,0,1),I315/ABS(H315))</f>
        <v/>
      </c>
      <c r="K315" s="29">
        <f>H315-(Data_thang!O315-Data_thang!K315)</f>
        <v/>
      </c>
      <c r="L315">
        <f>IF(AND(ABS(I315)&gt;Dashboard!$G$6,ABS(J315)&gt;Dashboard!$H$6),"⚠ Vượt","")</f>
        <v/>
      </c>
      <c r="M315">
        <f>IF(AND(A315=Dashboard!$D$6,OR(Dashboard!$C$6="*",F315=Dashboard!$C$6),L315&lt;&gt;""),ABS(I315)+ROW()/1000000000,0)</f>
        <v/>
      </c>
    </row>
    <row r="316">
      <c r="A316">
        <f>Data_thang!A316</f>
        <v/>
      </c>
      <c r="B316">
        <f>Data_thang!B316</f>
        <v/>
      </c>
      <c r="C316">
        <f>Data_thang!D316</f>
        <v/>
      </c>
      <c r="D316">
        <f>Data_thang!E316</f>
        <v/>
      </c>
      <c r="E316">
        <f>Data_thang!F316</f>
        <v/>
      </c>
      <c r="F316">
        <f>Data_thang!G316</f>
        <v/>
      </c>
      <c r="G316" s="29">
        <f>Data_thang!J316-Data_thang!K316</f>
        <v/>
      </c>
      <c r="H316" s="29">
        <f>Data_thang!N316</f>
        <v/>
      </c>
      <c r="I316" s="29">
        <f>H316-G316</f>
        <v/>
      </c>
      <c r="J316" s="30">
        <f>IF(H316=0,IF(I316=0,0,1),I316/ABS(H316))</f>
        <v/>
      </c>
      <c r="K316" s="29">
        <f>H316-(Data_thang!O316-Data_thang!K316)</f>
        <v/>
      </c>
      <c r="L316">
        <f>IF(AND(ABS(I316)&gt;Dashboard!$G$6,ABS(J316)&gt;Dashboard!$H$6),"⚠ Vượt","")</f>
        <v/>
      </c>
      <c r="M316">
        <f>IF(AND(A316=Dashboard!$D$6,OR(Dashboard!$C$6="*",F316=Dashboard!$C$6),L316&lt;&gt;""),ABS(I316)+ROW()/1000000000,0)</f>
        <v/>
      </c>
    </row>
    <row r="317">
      <c r="A317">
        <f>Data_thang!A317</f>
        <v/>
      </c>
      <c r="B317">
        <f>Data_thang!B317</f>
        <v/>
      </c>
      <c r="C317">
        <f>Data_thang!D317</f>
        <v/>
      </c>
      <c r="D317">
        <f>Data_thang!E317</f>
        <v/>
      </c>
      <c r="E317">
        <f>Data_thang!F317</f>
        <v/>
      </c>
      <c r="F317">
        <f>Data_thang!G317</f>
        <v/>
      </c>
      <c r="G317" s="29">
        <f>Data_thang!J317-Data_thang!K317</f>
        <v/>
      </c>
      <c r="H317" s="29">
        <f>Data_thang!N317</f>
        <v/>
      </c>
      <c r="I317" s="29">
        <f>H317-G317</f>
        <v/>
      </c>
      <c r="J317" s="30">
        <f>IF(H317=0,IF(I317=0,0,1),I317/ABS(H317))</f>
        <v/>
      </c>
      <c r="K317" s="29">
        <f>H317-(Data_thang!O317-Data_thang!K317)</f>
        <v/>
      </c>
      <c r="L317">
        <f>IF(AND(ABS(I317)&gt;Dashboard!$G$6,ABS(J317)&gt;Dashboard!$H$6),"⚠ Vượt","")</f>
        <v/>
      </c>
      <c r="M317">
        <f>IF(AND(A317=Dashboard!$D$6,OR(Dashboard!$C$6="*",F317=Dashboard!$C$6),L317&lt;&gt;""),ABS(I317)+ROW()/1000000000,0)</f>
        <v/>
      </c>
    </row>
    <row r="318">
      <c r="A318">
        <f>Data_thang!A318</f>
        <v/>
      </c>
      <c r="B318">
        <f>Data_thang!B318</f>
        <v/>
      </c>
      <c r="C318">
        <f>Data_thang!D318</f>
        <v/>
      </c>
      <c r="D318">
        <f>Data_thang!E318</f>
        <v/>
      </c>
      <c r="E318">
        <f>Data_thang!F318</f>
        <v/>
      </c>
      <c r="F318">
        <f>Data_thang!G318</f>
        <v/>
      </c>
      <c r="G318" s="29">
        <f>Data_thang!J318-Data_thang!K318</f>
        <v/>
      </c>
      <c r="H318" s="29">
        <f>Data_thang!N318</f>
        <v/>
      </c>
      <c r="I318" s="29">
        <f>H318-G318</f>
        <v/>
      </c>
      <c r="J318" s="30">
        <f>IF(H318=0,IF(I318=0,0,1),I318/ABS(H318))</f>
        <v/>
      </c>
      <c r="K318" s="29">
        <f>H318-(Data_thang!O318-Data_thang!K318)</f>
        <v/>
      </c>
      <c r="L318">
        <f>IF(AND(ABS(I318)&gt;Dashboard!$G$6,ABS(J318)&gt;Dashboard!$H$6),"⚠ Vượt","")</f>
        <v/>
      </c>
      <c r="M318">
        <f>IF(AND(A318=Dashboard!$D$6,OR(Dashboard!$C$6="*",F318=Dashboard!$C$6),L318&lt;&gt;""),ABS(I318)+ROW()/1000000000,0)</f>
        <v/>
      </c>
    </row>
    <row r="319">
      <c r="A319">
        <f>Data_thang!A319</f>
        <v/>
      </c>
      <c r="B319">
        <f>Data_thang!B319</f>
        <v/>
      </c>
      <c r="C319">
        <f>Data_thang!D319</f>
        <v/>
      </c>
      <c r="D319">
        <f>Data_thang!E319</f>
        <v/>
      </c>
      <c r="E319">
        <f>Data_thang!F319</f>
        <v/>
      </c>
      <c r="F319">
        <f>Data_thang!G319</f>
        <v/>
      </c>
      <c r="G319" s="29">
        <f>Data_thang!J319-Data_thang!K319</f>
        <v/>
      </c>
      <c r="H319" s="29">
        <f>Data_thang!N319</f>
        <v/>
      </c>
      <c r="I319" s="29">
        <f>H319-G319</f>
        <v/>
      </c>
      <c r="J319" s="30">
        <f>IF(H319=0,IF(I319=0,0,1),I319/ABS(H319))</f>
        <v/>
      </c>
      <c r="K319" s="29">
        <f>H319-(Data_thang!O319-Data_thang!K319)</f>
        <v/>
      </c>
      <c r="L319">
        <f>IF(AND(ABS(I319)&gt;Dashboard!$G$6,ABS(J319)&gt;Dashboard!$H$6),"⚠ Vượt","")</f>
        <v/>
      </c>
      <c r="M319">
        <f>IF(AND(A319=Dashboard!$D$6,OR(Dashboard!$C$6="*",F319=Dashboard!$C$6),L319&lt;&gt;""),ABS(I319)+ROW()/1000000000,0)</f>
        <v/>
      </c>
    </row>
    <row r="320">
      <c r="A320">
        <f>Data_thang!A320</f>
        <v/>
      </c>
      <c r="B320">
        <f>Data_thang!B320</f>
        <v/>
      </c>
      <c r="C320">
        <f>Data_thang!D320</f>
        <v/>
      </c>
      <c r="D320">
        <f>Data_thang!E320</f>
        <v/>
      </c>
      <c r="E320">
        <f>Data_thang!F320</f>
        <v/>
      </c>
      <c r="F320">
        <f>Data_thang!G320</f>
        <v/>
      </c>
      <c r="G320" s="29">
        <f>Data_thang!J320-Data_thang!K320</f>
        <v/>
      </c>
      <c r="H320" s="29">
        <f>Data_thang!N320</f>
        <v/>
      </c>
      <c r="I320" s="29">
        <f>H320-G320</f>
        <v/>
      </c>
      <c r="J320" s="30">
        <f>IF(H320=0,IF(I320=0,0,1),I320/ABS(H320))</f>
        <v/>
      </c>
      <c r="K320" s="29">
        <f>H320-(Data_thang!O320-Data_thang!K320)</f>
        <v/>
      </c>
      <c r="L320">
        <f>IF(AND(ABS(I320)&gt;Dashboard!$G$6,ABS(J320)&gt;Dashboard!$H$6),"⚠ Vượt","")</f>
        <v/>
      </c>
      <c r="M320">
        <f>IF(AND(A320=Dashboard!$D$6,OR(Dashboard!$C$6="*",F320=Dashboard!$C$6),L320&lt;&gt;""),ABS(I320)+ROW()/1000000000,0)</f>
        <v/>
      </c>
    </row>
    <row r="321">
      <c r="A321">
        <f>Data_thang!A321</f>
        <v/>
      </c>
      <c r="B321">
        <f>Data_thang!B321</f>
        <v/>
      </c>
      <c r="C321">
        <f>Data_thang!D321</f>
        <v/>
      </c>
      <c r="D321">
        <f>Data_thang!E321</f>
        <v/>
      </c>
      <c r="E321">
        <f>Data_thang!F321</f>
        <v/>
      </c>
      <c r="F321">
        <f>Data_thang!G321</f>
        <v/>
      </c>
      <c r="G321" s="29">
        <f>Data_thang!J321-Data_thang!K321</f>
        <v/>
      </c>
      <c r="H321" s="29">
        <f>Data_thang!N321</f>
        <v/>
      </c>
      <c r="I321" s="29">
        <f>H321-G321</f>
        <v/>
      </c>
      <c r="J321" s="30">
        <f>IF(H321=0,IF(I321=0,0,1),I321/ABS(H321))</f>
        <v/>
      </c>
      <c r="K321" s="29">
        <f>H321-(Data_thang!O321-Data_thang!K321)</f>
        <v/>
      </c>
      <c r="L321">
        <f>IF(AND(ABS(I321)&gt;Dashboard!$G$6,ABS(J321)&gt;Dashboard!$H$6),"⚠ Vượt","")</f>
        <v/>
      </c>
      <c r="M321">
        <f>IF(AND(A321=Dashboard!$D$6,OR(Dashboard!$C$6="*",F321=Dashboard!$C$6),L321&lt;&gt;""),ABS(I321)+ROW()/1000000000,0)</f>
        <v/>
      </c>
    </row>
    <row r="322">
      <c r="A322">
        <f>Data_thang!A322</f>
        <v/>
      </c>
      <c r="B322">
        <f>Data_thang!B322</f>
        <v/>
      </c>
      <c r="C322">
        <f>Data_thang!D322</f>
        <v/>
      </c>
      <c r="D322">
        <f>Data_thang!E322</f>
        <v/>
      </c>
      <c r="E322">
        <f>Data_thang!F322</f>
        <v/>
      </c>
      <c r="F322">
        <f>Data_thang!G322</f>
        <v/>
      </c>
      <c r="G322" s="29">
        <f>Data_thang!J322-Data_thang!K322</f>
        <v/>
      </c>
      <c r="H322" s="29">
        <f>Data_thang!N322</f>
        <v/>
      </c>
      <c r="I322" s="29">
        <f>H322-G322</f>
        <v/>
      </c>
      <c r="J322" s="30">
        <f>IF(H322=0,IF(I322=0,0,1),I322/ABS(H322))</f>
        <v/>
      </c>
      <c r="K322" s="29">
        <f>H322-(Data_thang!O322-Data_thang!K322)</f>
        <v/>
      </c>
      <c r="L322">
        <f>IF(AND(ABS(I322)&gt;Dashboard!$G$6,ABS(J322)&gt;Dashboard!$H$6),"⚠ Vượt","")</f>
        <v/>
      </c>
      <c r="M322">
        <f>IF(AND(A322=Dashboard!$D$6,OR(Dashboard!$C$6="*",F322=Dashboard!$C$6),L322&lt;&gt;""),ABS(I322)+ROW()/1000000000,0)</f>
        <v/>
      </c>
    </row>
    <row r="323">
      <c r="A323">
        <f>Data_thang!A323</f>
        <v/>
      </c>
      <c r="B323">
        <f>Data_thang!B323</f>
        <v/>
      </c>
      <c r="C323">
        <f>Data_thang!D323</f>
        <v/>
      </c>
      <c r="D323">
        <f>Data_thang!E323</f>
        <v/>
      </c>
      <c r="E323">
        <f>Data_thang!F323</f>
        <v/>
      </c>
      <c r="F323">
        <f>Data_thang!G323</f>
        <v/>
      </c>
      <c r="G323" s="29">
        <f>Data_thang!J323-Data_thang!K323</f>
        <v/>
      </c>
      <c r="H323" s="29">
        <f>Data_thang!N323</f>
        <v/>
      </c>
      <c r="I323" s="29">
        <f>H323-G323</f>
        <v/>
      </c>
      <c r="J323" s="30">
        <f>IF(H323=0,IF(I323=0,0,1),I323/ABS(H323))</f>
        <v/>
      </c>
      <c r="K323" s="29">
        <f>H323-(Data_thang!O323-Data_thang!K323)</f>
        <v/>
      </c>
      <c r="L323">
        <f>IF(AND(ABS(I323)&gt;Dashboard!$G$6,ABS(J323)&gt;Dashboard!$H$6),"⚠ Vượt","")</f>
        <v/>
      </c>
      <c r="M323">
        <f>IF(AND(A323=Dashboard!$D$6,OR(Dashboard!$C$6="*",F323=Dashboard!$C$6),L323&lt;&gt;""),ABS(I323)+ROW()/1000000000,0)</f>
        <v/>
      </c>
    </row>
    <row r="324">
      <c r="A324">
        <f>Data_thang!A324</f>
        <v/>
      </c>
      <c r="B324">
        <f>Data_thang!B324</f>
        <v/>
      </c>
      <c r="C324">
        <f>Data_thang!D324</f>
        <v/>
      </c>
      <c r="D324">
        <f>Data_thang!E324</f>
        <v/>
      </c>
      <c r="E324">
        <f>Data_thang!F324</f>
        <v/>
      </c>
      <c r="F324">
        <f>Data_thang!G324</f>
        <v/>
      </c>
      <c r="G324" s="29">
        <f>Data_thang!J324-Data_thang!K324</f>
        <v/>
      </c>
      <c r="H324" s="29">
        <f>Data_thang!N324</f>
        <v/>
      </c>
      <c r="I324" s="29">
        <f>H324-G324</f>
        <v/>
      </c>
      <c r="J324" s="30">
        <f>IF(H324=0,IF(I324=0,0,1),I324/ABS(H324))</f>
        <v/>
      </c>
      <c r="K324" s="29">
        <f>H324-(Data_thang!O324-Data_thang!K324)</f>
        <v/>
      </c>
      <c r="L324">
        <f>IF(AND(ABS(I324)&gt;Dashboard!$G$6,ABS(J324)&gt;Dashboard!$H$6),"⚠ Vượt","")</f>
        <v/>
      </c>
      <c r="M324">
        <f>IF(AND(A324=Dashboard!$D$6,OR(Dashboard!$C$6="*",F324=Dashboard!$C$6),L324&lt;&gt;""),ABS(I324)+ROW()/1000000000,0)</f>
        <v/>
      </c>
    </row>
    <row r="325">
      <c r="A325">
        <f>Data_thang!A325</f>
        <v/>
      </c>
      <c r="B325">
        <f>Data_thang!B325</f>
        <v/>
      </c>
      <c r="C325">
        <f>Data_thang!D325</f>
        <v/>
      </c>
      <c r="D325">
        <f>Data_thang!E325</f>
        <v/>
      </c>
      <c r="E325">
        <f>Data_thang!F325</f>
        <v/>
      </c>
      <c r="F325">
        <f>Data_thang!G325</f>
        <v/>
      </c>
      <c r="G325" s="29">
        <f>Data_thang!J325-Data_thang!K325</f>
        <v/>
      </c>
      <c r="H325" s="29">
        <f>Data_thang!N325</f>
        <v/>
      </c>
      <c r="I325" s="29">
        <f>H325-G325</f>
        <v/>
      </c>
      <c r="J325" s="30">
        <f>IF(H325=0,IF(I325=0,0,1),I325/ABS(H325))</f>
        <v/>
      </c>
      <c r="K325" s="29">
        <f>H325-(Data_thang!O325-Data_thang!K325)</f>
        <v/>
      </c>
      <c r="L325">
        <f>IF(AND(ABS(I325)&gt;Dashboard!$G$6,ABS(J325)&gt;Dashboard!$H$6),"⚠ Vượt","")</f>
        <v/>
      </c>
      <c r="M325">
        <f>IF(AND(A325=Dashboard!$D$6,OR(Dashboard!$C$6="*",F325=Dashboard!$C$6),L325&lt;&gt;""),ABS(I325)+ROW()/1000000000,0)</f>
        <v/>
      </c>
    </row>
    <row r="326">
      <c r="A326">
        <f>Data_thang!A326</f>
        <v/>
      </c>
      <c r="B326">
        <f>Data_thang!B326</f>
        <v/>
      </c>
      <c r="C326">
        <f>Data_thang!D326</f>
        <v/>
      </c>
      <c r="D326">
        <f>Data_thang!E326</f>
        <v/>
      </c>
      <c r="E326">
        <f>Data_thang!F326</f>
        <v/>
      </c>
      <c r="F326">
        <f>Data_thang!G326</f>
        <v/>
      </c>
      <c r="G326" s="29">
        <f>Data_thang!J326-Data_thang!K326</f>
        <v/>
      </c>
      <c r="H326" s="29">
        <f>Data_thang!N326</f>
        <v/>
      </c>
      <c r="I326" s="29">
        <f>H326-G326</f>
        <v/>
      </c>
      <c r="J326" s="30">
        <f>IF(H326=0,IF(I326=0,0,1),I326/ABS(H326))</f>
        <v/>
      </c>
      <c r="K326" s="29">
        <f>H326-(Data_thang!O326-Data_thang!K326)</f>
        <v/>
      </c>
      <c r="L326">
        <f>IF(AND(ABS(I326)&gt;Dashboard!$G$6,ABS(J326)&gt;Dashboard!$H$6),"⚠ Vượt","")</f>
        <v/>
      </c>
      <c r="M326">
        <f>IF(AND(A326=Dashboard!$D$6,OR(Dashboard!$C$6="*",F326=Dashboard!$C$6),L326&lt;&gt;""),ABS(I326)+ROW()/1000000000,0)</f>
        <v/>
      </c>
    </row>
    <row r="327">
      <c r="A327">
        <f>Data_thang!A327</f>
        <v/>
      </c>
      <c r="B327">
        <f>Data_thang!B327</f>
        <v/>
      </c>
      <c r="C327">
        <f>Data_thang!D327</f>
        <v/>
      </c>
      <c r="D327">
        <f>Data_thang!E327</f>
        <v/>
      </c>
      <c r="E327">
        <f>Data_thang!F327</f>
        <v/>
      </c>
      <c r="F327">
        <f>Data_thang!G327</f>
        <v/>
      </c>
      <c r="G327" s="29">
        <f>Data_thang!J327-Data_thang!K327</f>
        <v/>
      </c>
      <c r="H327" s="29">
        <f>Data_thang!N327</f>
        <v/>
      </c>
      <c r="I327" s="29">
        <f>H327-G327</f>
        <v/>
      </c>
      <c r="J327" s="30">
        <f>IF(H327=0,IF(I327=0,0,1),I327/ABS(H327))</f>
        <v/>
      </c>
      <c r="K327" s="29">
        <f>H327-(Data_thang!O327-Data_thang!K327)</f>
        <v/>
      </c>
      <c r="L327">
        <f>IF(AND(ABS(I327)&gt;Dashboard!$G$6,ABS(J327)&gt;Dashboard!$H$6),"⚠ Vượt","")</f>
        <v/>
      </c>
      <c r="M327">
        <f>IF(AND(A327=Dashboard!$D$6,OR(Dashboard!$C$6="*",F327=Dashboard!$C$6),L327&lt;&gt;""),ABS(I327)+ROW()/1000000000,0)</f>
        <v/>
      </c>
    </row>
    <row r="328">
      <c r="A328">
        <f>Data_thang!A328</f>
        <v/>
      </c>
      <c r="B328">
        <f>Data_thang!B328</f>
        <v/>
      </c>
      <c r="C328">
        <f>Data_thang!D328</f>
        <v/>
      </c>
      <c r="D328">
        <f>Data_thang!E328</f>
        <v/>
      </c>
      <c r="E328">
        <f>Data_thang!F328</f>
        <v/>
      </c>
      <c r="F328">
        <f>Data_thang!G328</f>
        <v/>
      </c>
      <c r="G328" s="29">
        <f>Data_thang!J328-Data_thang!K328</f>
        <v/>
      </c>
      <c r="H328" s="29">
        <f>Data_thang!N328</f>
        <v/>
      </c>
      <c r="I328" s="29">
        <f>H328-G328</f>
        <v/>
      </c>
      <c r="J328" s="30">
        <f>IF(H328=0,IF(I328=0,0,1),I328/ABS(H328))</f>
        <v/>
      </c>
      <c r="K328" s="29">
        <f>H328-(Data_thang!O328-Data_thang!K328)</f>
        <v/>
      </c>
      <c r="L328">
        <f>IF(AND(ABS(I328)&gt;Dashboard!$G$6,ABS(J328)&gt;Dashboard!$H$6),"⚠ Vượt","")</f>
        <v/>
      </c>
      <c r="M328">
        <f>IF(AND(A328=Dashboard!$D$6,OR(Dashboard!$C$6="*",F328=Dashboard!$C$6),L328&lt;&gt;""),ABS(I328)+ROW()/1000000000,0)</f>
        <v/>
      </c>
    </row>
    <row r="329">
      <c r="A329">
        <f>Data_thang!A329</f>
        <v/>
      </c>
      <c r="B329">
        <f>Data_thang!B329</f>
        <v/>
      </c>
      <c r="C329">
        <f>Data_thang!D329</f>
        <v/>
      </c>
      <c r="D329">
        <f>Data_thang!E329</f>
        <v/>
      </c>
      <c r="E329">
        <f>Data_thang!F329</f>
        <v/>
      </c>
      <c r="F329">
        <f>Data_thang!G329</f>
        <v/>
      </c>
      <c r="G329" s="29">
        <f>Data_thang!J329-Data_thang!K329</f>
        <v/>
      </c>
      <c r="H329" s="29">
        <f>Data_thang!N329</f>
        <v/>
      </c>
      <c r="I329" s="29">
        <f>H329-G329</f>
        <v/>
      </c>
      <c r="J329" s="30">
        <f>IF(H329=0,IF(I329=0,0,1),I329/ABS(H329))</f>
        <v/>
      </c>
      <c r="K329" s="29">
        <f>H329-(Data_thang!O329-Data_thang!K329)</f>
        <v/>
      </c>
      <c r="L329">
        <f>IF(AND(ABS(I329)&gt;Dashboard!$G$6,ABS(J329)&gt;Dashboard!$H$6),"⚠ Vượt","")</f>
        <v/>
      </c>
      <c r="M329">
        <f>IF(AND(A329=Dashboard!$D$6,OR(Dashboard!$C$6="*",F329=Dashboard!$C$6),L329&lt;&gt;""),ABS(I329)+ROW()/1000000000,0)</f>
        <v/>
      </c>
    </row>
    <row r="330">
      <c r="A330">
        <f>Data_thang!A330</f>
        <v/>
      </c>
      <c r="B330">
        <f>Data_thang!B330</f>
        <v/>
      </c>
      <c r="C330">
        <f>Data_thang!D330</f>
        <v/>
      </c>
      <c r="D330">
        <f>Data_thang!E330</f>
        <v/>
      </c>
      <c r="E330">
        <f>Data_thang!F330</f>
        <v/>
      </c>
      <c r="F330">
        <f>Data_thang!G330</f>
        <v/>
      </c>
      <c r="G330" s="29">
        <f>Data_thang!J330-Data_thang!K330</f>
        <v/>
      </c>
      <c r="H330" s="29">
        <f>Data_thang!N330</f>
        <v/>
      </c>
      <c r="I330" s="29">
        <f>H330-G330</f>
        <v/>
      </c>
      <c r="J330" s="30">
        <f>IF(H330=0,IF(I330=0,0,1),I330/ABS(H330))</f>
        <v/>
      </c>
      <c r="K330" s="29">
        <f>H330-(Data_thang!O330-Data_thang!K330)</f>
        <v/>
      </c>
      <c r="L330">
        <f>IF(AND(ABS(I330)&gt;Dashboard!$G$6,ABS(J330)&gt;Dashboard!$H$6),"⚠ Vượt","")</f>
        <v/>
      </c>
      <c r="M330">
        <f>IF(AND(A330=Dashboard!$D$6,OR(Dashboard!$C$6="*",F330=Dashboard!$C$6),L330&lt;&gt;""),ABS(I330)+ROW()/1000000000,0)</f>
        <v/>
      </c>
    </row>
    <row r="331">
      <c r="A331">
        <f>Data_thang!A331</f>
        <v/>
      </c>
      <c r="B331">
        <f>Data_thang!B331</f>
        <v/>
      </c>
      <c r="C331">
        <f>Data_thang!D331</f>
        <v/>
      </c>
      <c r="D331">
        <f>Data_thang!E331</f>
        <v/>
      </c>
      <c r="E331">
        <f>Data_thang!F331</f>
        <v/>
      </c>
      <c r="F331">
        <f>Data_thang!G331</f>
        <v/>
      </c>
      <c r="G331" s="29">
        <f>Data_thang!J331-Data_thang!K331</f>
        <v/>
      </c>
      <c r="H331" s="29">
        <f>Data_thang!N331</f>
        <v/>
      </c>
      <c r="I331" s="29">
        <f>H331-G331</f>
        <v/>
      </c>
      <c r="J331" s="30">
        <f>IF(H331=0,IF(I331=0,0,1),I331/ABS(H331))</f>
        <v/>
      </c>
      <c r="K331" s="29">
        <f>H331-(Data_thang!O331-Data_thang!K331)</f>
        <v/>
      </c>
      <c r="L331">
        <f>IF(AND(ABS(I331)&gt;Dashboard!$G$6,ABS(J331)&gt;Dashboard!$H$6),"⚠ Vượt","")</f>
        <v/>
      </c>
      <c r="M331">
        <f>IF(AND(A331=Dashboard!$D$6,OR(Dashboard!$C$6="*",F331=Dashboard!$C$6),L331&lt;&gt;""),ABS(I331)+ROW()/1000000000,0)</f>
        <v/>
      </c>
    </row>
    <row r="332">
      <c r="A332">
        <f>Data_thang!A332</f>
        <v/>
      </c>
      <c r="B332">
        <f>Data_thang!B332</f>
        <v/>
      </c>
      <c r="C332">
        <f>Data_thang!D332</f>
        <v/>
      </c>
      <c r="D332">
        <f>Data_thang!E332</f>
        <v/>
      </c>
      <c r="E332">
        <f>Data_thang!F332</f>
        <v/>
      </c>
      <c r="F332">
        <f>Data_thang!G332</f>
        <v/>
      </c>
      <c r="G332" s="29">
        <f>Data_thang!J332-Data_thang!K332</f>
        <v/>
      </c>
      <c r="H332" s="29">
        <f>Data_thang!N332</f>
        <v/>
      </c>
      <c r="I332" s="29">
        <f>H332-G332</f>
        <v/>
      </c>
      <c r="J332" s="30">
        <f>IF(H332=0,IF(I332=0,0,1),I332/ABS(H332))</f>
        <v/>
      </c>
      <c r="K332" s="29">
        <f>H332-(Data_thang!O332-Data_thang!K332)</f>
        <v/>
      </c>
      <c r="L332">
        <f>IF(AND(ABS(I332)&gt;Dashboard!$G$6,ABS(J332)&gt;Dashboard!$H$6),"⚠ Vượt","")</f>
        <v/>
      </c>
      <c r="M332">
        <f>IF(AND(A332=Dashboard!$D$6,OR(Dashboard!$C$6="*",F332=Dashboard!$C$6),L332&lt;&gt;""),ABS(I332)+ROW()/1000000000,0)</f>
        <v/>
      </c>
    </row>
    <row r="333">
      <c r="A333">
        <f>Data_thang!A333</f>
        <v/>
      </c>
      <c r="B333">
        <f>Data_thang!B333</f>
        <v/>
      </c>
      <c r="C333">
        <f>Data_thang!D333</f>
        <v/>
      </c>
      <c r="D333">
        <f>Data_thang!E333</f>
        <v/>
      </c>
      <c r="E333">
        <f>Data_thang!F333</f>
        <v/>
      </c>
      <c r="F333">
        <f>Data_thang!G333</f>
        <v/>
      </c>
      <c r="G333" s="29">
        <f>Data_thang!J333-Data_thang!K333</f>
        <v/>
      </c>
      <c r="H333" s="29">
        <f>Data_thang!N333</f>
        <v/>
      </c>
      <c r="I333" s="29">
        <f>H333-G333</f>
        <v/>
      </c>
      <c r="J333" s="30">
        <f>IF(H333=0,IF(I333=0,0,1),I333/ABS(H333))</f>
        <v/>
      </c>
      <c r="K333" s="29">
        <f>H333-(Data_thang!O333-Data_thang!K333)</f>
        <v/>
      </c>
      <c r="L333">
        <f>IF(AND(ABS(I333)&gt;Dashboard!$G$6,ABS(J333)&gt;Dashboard!$H$6),"⚠ Vượt","")</f>
        <v/>
      </c>
      <c r="M333">
        <f>IF(AND(A333=Dashboard!$D$6,OR(Dashboard!$C$6="*",F333=Dashboard!$C$6),L333&lt;&gt;""),ABS(I333)+ROW()/1000000000,0)</f>
        <v/>
      </c>
    </row>
    <row r="334">
      <c r="A334">
        <f>Data_thang!A334</f>
        <v/>
      </c>
      <c r="B334">
        <f>Data_thang!B334</f>
        <v/>
      </c>
      <c r="C334">
        <f>Data_thang!D334</f>
        <v/>
      </c>
      <c r="D334">
        <f>Data_thang!E334</f>
        <v/>
      </c>
      <c r="E334">
        <f>Data_thang!F334</f>
        <v/>
      </c>
      <c r="F334">
        <f>Data_thang!G334</f>
        <v/>
      </c>
      <c r="G334" s="29">
        <f>Data_thang!J334-Data_thang!K334</f>
        <v/>
      </c>
      <c r="H334" s="29">
        <f>Data_thang!N334</f>
        <v/>
      </c>
      <c r="I334" s="29">
        <f>H334-G334</f>
        <v/>
      </c>
      <c r="J334" s="30">
        <f>IF(H334=0,IF(I334=0,0,1),I334/ABS(H334))</f>
        <v/>
      </c>
      <c r="K334" s="29">
        <f>H334-(Data_thang!O334-Data_thang!K334)</f>
        <v/>
      </c>
      <c r="L334">
        <f>IF(AND(ABS(I334)&gt;Dashboard!$G$6,ABS(J334)&gt;Dashboard!$H$6),"⚠ Vượt","")</f>
        <v/>
      </c>
      <c r="M334">
        <f>IF(AND(A334=Dashboard!$D$6,OR(Dashboard!$C$6="*",F334=Dashboard!$C$6),L334&lt;&gt;""),ABS(I334)+ROW()/1000000000,0)</f>
        <v/>
      </c>
    </row>
    <row r="335">
      <c r="A335">
        <f>Data_thang!A335</f>
        <v/>
      </c>
      <c r="B335">
        <f>Data_thang!B335</f>
        <v/>
      </c>
      <c r="C335">
        <f>Data_thang!D335</f>
        <v/>
      </c>
      <c r="D335">
        <f>Data_thang!E335</f>
        <v/>
      </c>
      <c r="E335">
        <f>Data_thang!F335</f>
        <v/>
      </c>
      <c r="F335">
        <f>Data_thang!G335</f>
        <v/>
      </c>
      <c r="G335" s="29">
        <f>Data_thang!J335-Data_thang!K335</f>
        <v/>
      </c>
      <c r="H335" s="29">
        <f>Data_thang!N335</f>
        <v/>
      </c>
      <c r="I335" s="29">
        <f>H335-G335</f>
        <v/>
      </c>
      <c r="J335" s="30">
        <f>IF(H335=0,IF(I335=0,0,1),I335/ABS(H335))</f>
        <v/>
      </c>
      <c r="K335" s="29">
        <f>H335-(Data_thang!O335-Data_thang!K335)</f>
        <v/>
      </c>
      <c r="L335">
        <f>IF(AND(ABS(I335)&gt;Dashboard!$G$6,ABS(J335)&gt;Dashboard!$H$6),"⚠ Vượt","")</f>
        <v/>
      </c>
      <c r="M335">
        <f>IF(AND(A335=Dashboard!$D$6,OR(Dashboard!$C$6="*",F335=Dashboard!$C$6),L335&lt;&gt;""),ABS(I335)+ROW()/1000000000,0)</f>
        <v/>
      </c>
    </row>
    <row r="336">
      <c r="A336">
        <f>Data_thang!A336</f>
        <v/>
      </c>
      <c r="B336">
        <f>Data_thang!B336</f>
        <v/>
      </c>
      <c r="C336">
        <f>Data_thang!D336</f>
        <v/>
      </c>
      <c r="D336">
        <f>Data_thang!E336</f>
        <v/>
      </c>
      <c r="E336">
        <f>Data_thang!F336</f>
        <v/>
      </c>
      <c r="F336">
        <f>Data_thang!G336</f>
        <v/>
      </c>
      <c r="G336" s="29">
        <f>Data_thang!J336-Data_thang!K336</f>
        <v/>
      </c>
      <c r="H336" s="29">
        <f>Data_thang!N336</f>
        <v/>
      </c>
      <c r="I336" s="29">
        <f>H336-G336</f>
        <v/>
      </c>
      <c r="J336" s="30">
        <f>IF(H336=0,IF(I336=0,0,1),I336/ABS(H336))</f>
        <v/>
      </c>
      <c r="K336" s="29">
        <f>H336-(Data_thang!O336-Data_thang!K336)</f>
        <v/>
      </c>
      <c r="L336">
        <f>IF(AND(ABS(I336)&gt;Dashboard!$G$6,ABS(J336)&gt;Dashboard!$H$6),"⚠ Vượt","")</f>
        <v/>
      </c>
      <c r="M336">
        <f>IF(AND(A336=Dashboard!$D$6,OR(Dashboard!$C$6="*",F336=Dashboard!$C$6),L336&lt;&gt;""),ABS(I336)+ROW()/1000000000,0)</f>
        <v/>
      </c>
    </row>
    <row r="337">
      <c r="A337">
        <f>Data_thang!A337</f>
        <v/>
      </c>
      <c r="B337">
        <f>Data_thang!B337</f>
        <v/>
      </c>
      <c r="C337">
        <f>Data_thang!D337</f>
        <v/>
      </c>
      <c r="D337">
        <f>Data_thang!E337</f>
        <v/>
      </c>
      <c r="E337">
        <f>Data_thang!F337</f>
        <v/>
      </c>
      <c r="F337">
        <f>Data_thang!G337</f>
        <v/>
      </c>
      <c r="G337" s="29">
        <f>Data_thang!J337-Data_thang!K337</f>
        <v/>
      </c>
      <c r="H337" s="29">
        <f>Data_thang!N337</f>
        <v/>
      </c>
      <c r="I337" s="29">
        <f>H337-G337</f>
        <v/>
      </c>
      <c r="J337" s="30">
        <f>IF(H337=0,IF(I337=0,0,1),I337/ABS(H337))</f>
        <v/>
      </c>
      <c r="K337" s="29">
        <f>H337-(Data_thang!O337-Data_thang!K337)</f>
        <v/>
      </c>
      <c r="L337">
        <f>IF(AND(ABS(I337)&gt;Dashboard!$G$6,ABS(J337)&gt;Dashboard!$H$6),"⚠ Vượt","")</f>
        <v/>
      </c>
      <c r="M337">
        <f>IF(AND(A337=Dashboard!$D$6,OR(Dashboard!$C$6="*",F337=Dashboard!$C$6),L337&lt;&gt;""),ABS(I337)+ROW()/1000000000,0)</f>
        <v/>
      </c>
    </row>
    <row r="338">
      <c r="A338">
        <f>Data_thang!A338</f>
        <v/>
      </c>
      <c r="B338">
        <f>Data_thang!B338</f>
        <v/>
      </c>
      <c r="C338">
        <f>Data_thang!D338</f>
        <v/>
      </c>
      <c r="D338">
        <f>Data_thang!E338</f>
        <v/>
      </c>
      <c r="E338">
        <f>Data_thang!F338</f>
        <v/>
      </c>
      <c r="F338">
        <f>Data_thang!G338</f>
        <v/>
      </c>
      <c r="G338" s="29">
        <f>Data_thang!J338-Data_thang!K338</f>
        <v/>
      </c>
      <c r="H338" s="29">
        <f>Data_thang!N338</f>
        <v/>
      </c>
      <c r="I338" s="29">
        <f>H338-G338</f>
        <v/>
      </c>
      <c r="J338" s="30">
        <f>IF(H338=0,IF(I338=0,0,1),I338/ABS(H338))</f>
        <v/>
      </c>
      <c r="K338" s="29">
        <f>H338-(Data_thang!O338-Data_thang!K338)</f>
        <v/>
      </c>
      <c r="L338">
        <f>IF(AND(ABS(I338)&gt;Dashboard!$G$6,ABS(J338)&gt;Dashboard!$H$6),"⚠ Vượt","")</f>
        <v/>
      </c>
      <c r="M338">
        <f>IF(AND(A338=Dashboard!$D$6,OR(Dashboard!$C$6="*",F338=Dashboard!$C$6),L338&lt;&gt;""),ABS(I338)+ROW()/1000000000,0)</f>
        <v/>
      </c>
    </row>
    <row r="339">
      <c r="A339">
        <f>Data_thang!A339</f>
        <v/>
      </c>
      <c r="B339">
        <f>Data_thang!B339</f>
        <v/>
      </c>
      <c r="C339">
        <f>Data_thang!D339</f>
        <v/>
      </c>
      <c r="D339">
        <f>Data_thang!E339</f>
        <v/>
      </c>
      <c r="E339">
        <f>Data_thang!F339</f>
        <v/>
      </c>
      <c r="F339">
        <f>Data_thang!G339</f>
        <v/>
      </c>
      <c r="G339" s="29">
        <f>Data_thang!J339-Data_thang!K339</f>
        <v/>
      </c>
      <c r="H339" s="29">
        <f>Data_thang!N339</f>
        <v/>
      </c>
      <c r="I339" s="29">
        <f>H339-G339</f>
        <v/>
      </c>
      <c r="J339" s="30">
        <f>IF(H339=0,IF(I339=0,0,1),I339/ABS(H339))</f>
        <v/>
      </c>
      <c r="K339" s="29">
        <f>H339-(Data_thang!O339-Data_thang!K339)</f>
        <v/>
      </c>
      <c r="L339">
        <f>IF(AND(ABS(I339)&gt;Dashboard!$G$6,ABS(J339)&gt;Dashboard!$H$6),"⚠ Vượt","")</f>
        <v/>
      </c>
      <c r="M339">
        <f>IF(AND(A339=Dashboard!$D$6,OR(Dashboard!$C$6="*",F339=Dashboard!$C$6),L339&lt;&gt;""),ABS(I339)+ROW()/1000000000,0)</f>
        <v/>
      </c>
    </row>
    <row r="340">
      <c r="A340">
        <f>Data_thang!A340</f>
        <v/>
      </c>
      <c r="B340">
        <f>Data_thang!B340</f>
        <v/>
      </c>
      <c r="C340">
        <f>Data_thang!D340</f>
        <v/>
      </c>
      <c r="D340">
        <f>Data_thang!E340</f>
        <v/>
      </c>
      <c r="E340">
        <f>Data_thang!F340</f>
        <v/>
      </c>
      <c r="F340">
        <f>Data_thang!G340</f>
        <v/>
      </c>
      <c r="G340" s="29">
        <f>Data_thang!J340-Data_thang!K340</f>
        <v/>
      </c>
      <c r="H340" s="29">
        <f>Data_thang!N340</f>
        <v/>
      </c>
      <c r="I340" s="29">
        <f>H340-G340</f>
        <v/>
      </c>
      <c r="J340" s="30">
        <f>IF(H340=0,IF(I340=0,0,1),I340/ABS(H340))</f>
        <v/>
      </c>
      <c r="K340" s="29">
        <f>H340-(Data_thang!O340-Data_thang!K340)</f>
        <v/>
      </c>
      <c r="L340">
        <f>IF(AND(ABS(I340)&gt;Dashboard!$G$6,ABS(J340)&gt;Dashboard!$H$6),"⚠ Vượt","")</f>
        <v/>
      </c>
      <c r="M340">
        <f>IF(AND(A340=Dashboard!$D$6,OR(Dashboard!$C$6="*",F340=Dashboard!$C$6),L340&lt;&gt;""),ABS(I340)+ROW()/1000000000,0)</f>
        <v/>
      </c>
    </row>
    <row r="341">
      <c r="A341">
        <f>Data_thang!A341</f>
        <v/>
      </c>
      <c r="B341">
        <f>Data_thang!B341</f>
        <v/>
      </c>
      <c r="C341">
        <f>Data_thang!D341</f>
        <v/>
      </c>
      <c r="D341">
        <f>Data_thang!E341</f>
        <v/>
      </c>
      <c r="E341">
        <f>Data_thang!F341</f>
        <v/>
      </c>
      <c r="F341">
        <f>Data_thang!G341</f>
        <v/>
      </c>
      <c r="G341" s="29">
        <f>Data_thang!J341-Data_thang!K341</f>
        <v/>
      </c>
      <c r="H341" s="29">
        <f>Data_thang!N341</f>
        <v/>
      </c>
      <c r="I341" s="29">
        <f>H341-G341</f>
        <v/>
      </c>
      <c r="J341" s="30">
        <f>IF(H341=0,IF(I341=0,0,1),I341/ABS(H341))</f>
        <v/>
      </c>
      <c r="K341" s="29">
        <f>H341-(Data_thang!O341-Data_thang!K341)</f>
        <v/>
      </c>
      <c r="L341">
        <f>IF(AND(ABS(I341)&gt;Dashboard!$G$6,ABS(J341)&gt;Dashboard!$H$6),"⚠ Vượt","")</f>
        <v/>
      </c>
      <c r="M341">
        <f>IF(AND(A341=Dashboard!$D$6,OR(Dashboard!$C$6="*",F341=Dashboard!$C$6),L341&lt;&gt;""),ABS(I341)+ROW()/1000000000,0)</f>
        <v/>
      </c>
    </row>
    <row r="342">
      <c r="A342">
        <f>Data_thang!A342</f>
        <v/>
      </c>
      <c r="B342">
        <f>Data_thang!B342</f>
        <v/>
      </c>
      <c r="C342">
        <f>Data_thang!D342</f>
        <v/>
      </c>
      <c r="D342">
        <f>Data_thang!E342</f>
        <v/>
      </c>
      <c r="E342">
        <f>Data_thang!F342</f>
        <v/>
      </c>
      <c r="F342">
        <f>Data_thang!G342</f>
        <v/>
      </c>
      <c r="G342" s="29">
        <f>Data_thang!J342-Data_thang!K342</f>
        <v/>
      </c>
      <c r="H342" s="29">
        <f>Data_thang!N342</f>
        <v/>
      </c>
      <c r="I342" s="29">
        <f>H342-G342</f>
        <v/>
      </c>
      <c r="J342" s="30">
        <f>IF(H342=0,IF(I342=0,0,1),I342/ABS(H342))</f>
        <v/>
      </c>
      <c r="K342" s="29">
        <f>H342-(Data_thang!O342-Data_thang!K342)</f>
        <v/>
      </c>
      <c r="L342">
        <f>IF(AND(ABS(I342)&gt;Dashboard!$G$6,ABS(J342)&gt;Dashboard!$H$6),"⚠ Vượt","")</f>
        <v/>
      </c>
      <c r="M342">
        <f>IF(AND(A342=Dashboard!$D$6,OR(Dashboard!$C$6="*",F342=Dashboard!$C$6),L342&lt;&gt;""),ABS(I342)+ROW()/1000000000,0)</f>
        <v/>
      </c>
    </row>
    <row r="343">
      <c r="A343">
        <f>Data_thang!A343</f>
        <v/>
      </c>
      <c r="B343">
        <f>Data_thang!B343</f>
        <v/>
      </c>
      <c r="C343">
        <f>Data_thang!D343</f>
        <v/>
      </c>
      <c r="D343">
        <f>Data_thang!E343</f>
        <v/>
      </c>
      <c r="E343">
        <f>Data_thang!F343</f>
        <v/>
      </c>
      <c r="F343">
        <f>Data_thang!G343</f>
        <v/>
      </c>
      <c r="G343" s="29">
        <f>Data_thang!J343-Data_thang!K343</f>
        <v/>
      </c>
      <c r="H343" s="29">
        <f>Data_thang!N343</f>
        <v/>
      </c>
      <c r="I343" s="29">
        <f>H343-G343</f>
        <v/>
      </c>
      <c r="J343" s="30">
        <f>IF(H343=0,IF(I343=0,0,1),I343/ABS(H343))</f>
        <v/>
      </c>
      <c r="K343" s="29">
        <f>H343-(Data_thang!O343-Data_thang!K343)</f>
        <v/>
      </c>
      <c r="L343">
        <f>IF(AND(ABS(I343)&gt;Dashboard!$G$6,ABS(J343)&gt;Dashboard!$H$6),"⚠ Vượt","")</f>
        <v/>
      </c>
      <c r="M343">
        <f>IF(AND(A343=Dashboard!$D$6,OR(Dashboard!$C$6="*",F343=Dashboard!$C$6),L343&lt;&gt;""),ABS(I343)+ROW()/1000000000,0)</f>
        <v/>
      </c>
    </row>
    <row r="344">
      <c r="A344">
        <f>Data_thang!A344</f>
        <v/>
      </c>
      <c r="B344">
        <f>Data_thang!B344</f>
        <v/>
      </c>
      <c r="C344">
        <f>Data_thang!D344</f>
        <v/>
      </c>
      <c r="D344">
        <f>Data_thang!E344</f>
        <v/>
      </c>
      <c r="E344">
        <f>Data_thang!F344</f>
        <v/>
      </c>
      <c r="F344">
        <f>Data_thang!G344</f>
        <v/>
      </c>
      <c r="G344" s="29">
        <f>Data_thang!J344-Data_thang!K344</f>
        <v/>
      </c>
      <c r="H344" s="29">
        <f>Data_thang!N344</f>
        <v/>
      </c>
      <c r="I344" s="29">
        <f>H344-G344</f>
        <v/>
      </c>
      <c r="J344" s="30">
        <f>IF(H344=0,IF(I344=0,0,1),I344/ABS(H344))</f>
        <v/>
      </c>
      <c r="K344" s="29">
        <f>H344-(Data_thang!O344-Data_thang!K344)</f>
        <v/>
      </c>
      <c r="L344">
        <f>IF(AND(ABS(I344)&gt;Dashboard!$G$6,ABS(J344)&gt;Dashboard!$H$6),"⚠ Vượt","")</f>
        <v/>
      </c>
      <c r="M344">
        <f>IF(AND(A344=Dashboard!$D$6,OR(Dashboard!$C$6="*",F344=Dashboard!$C$6),L344&lt;&gt;""),ABS(I344)+ROW()/1000000000,0)</f>
        <v/>
      </c>
    </row>
    <row r="345">
      <c r="A345">
        <f>Data_thang!A345</f>
        <v/>
      </c>
      <c r="B345">
        <f>Data_thang!B345</f>
        <v/>
      </c>
      <c r="C345">
        <f>Data_thang!D345</f>
        <v/>
      </c>
      <c r="D345">
        <f>Data_thang!E345</f>
        <v/>
      </c>
      <c r="E345">
        <f>Data_thang!F345</f>
        <v/>
      </c>
      <c r="F345">
        <f>Data_thang!G345</f>
        <v/>
      </c>
      <c r="G345" s="29">
        <f>Data_thang!J345-Data_thang!K345</f>
        <v/>
      </c>
      <c r="H345" s="29">
        <f>Data_thang!N345</f>
        <v/>
      </c>
      <c r="I345" s="29">
        <f>H345-G345</f>
        <v/>
      </c>
      <c r="J345" s="30">
        <f>IF(H345=0,IF(I345=0,0,1),I345/ABS(H345))</f>
        <v/>
      </c>
      <c r="K345" s="29">
        <f>H345-(Data_thang!O345-Data_thang!K345)</f>
        <v/>
      </c>
      <c r="L345">
        <f>IF(AND(ABS(I345)&gt;Dashboard!$G$6,ABS(J345)&gt;Dashboard!$H$6),"⚠ Vượt","")</f>
        <v/>
      </c>
      <c r="M345">
        <f>IF(AND(A345=Dashboard!$D$6,OR(Dashboard!$C$6="*",F345=Dashboard!$C$6),L345&lt;&gt;""),ABS(I345)+ROW()/1000000000,0)</f>
        <v/>
      </c>
    </row>
    <row r="346">
      <c r="A346">
        <f>Data_thang!A346</f>
        <v/>
      </c>
      <c r="B346">
        <f>Data_thang!B346</f>
        <v/>
      </c>
      <c r="C346">
        <f>Data_thang!D346</f>
        <v/>
      </c>
      <c r="D346">
        <f>Data_thang!E346</f>
        <v/>
      </c>
      <c r="E346">
        <f>Data_thang!F346</f>
        <v/>
      </c>
      <c r="F346">
        <f>Data_thang!G346</f>
        <v/>
      </c>
      <c r="G346" s="29">
        <f>Data_thang!J346-Data_thang!K346</f>
        <v/>
      </c>
      <c r="H346" s="29">
        <f>Data_thang!N346</f>
        <v/>
      </c>
      <c r="I346" s="29">
        <f>H346-G346</f>
        <v/>
      </c>
      <c r="J346" s="30">
        <f>IF(H346=0,IF(I346=0,0,1),I346/ABS(H346))</f>
        <v/>
      </c>
      <c r="K346" s="29">
        <f>H346-(Data_thang!O346-Data_thang!K346)</f>
        <v/>
      </c>
      <c r="L346">
        <f>IF(AND(ABS(I346)&gt;Dashboard!$G$6,ABS(J346)&gt;Dashboard!$H$6),"⚠ Vượt","")</f>
        <v/>
      </c>
      <c r="M346">
        <f>IF(AND(A346=Dashboard!$D$6,OR(Dashboard!$C$6="*",F346=Dashboard!$C$6),L346&lt;&gt;""),ABS(I346)+ROW()/1000000000,0)</f>
        <v/>
      </c>
    </row>
    <row r="347">
      <c r="A347">
        <f>Data_thang!A347</f>
        <v/>
      </c>
      <c r="B347">
        <f>Data_thang!B347</f>
        <v/>
      </c>
      <c r="C347">
        <f>Data_thang!D347</f>
        <v/>
      </c>
      <c r="D347">
        <f>Data_thang!E347</f>
        <v/>
      </c>
      <c r="E347">
        <f>Data_thang!F347</f>
        <v/>
      </c>
      <c r="F347">
        <f>Data_thang!G347</f>
        <v/>
      </c>
      <c r="G347" s="29">
        <f>Data_thang!J347-Data_thang!K347</f>
        <v/>
      </c>
      <c r="H347" s="29">
        <f>Data_thang!N347</f>
        <v/>
      </c>
      <c r="I347" s="29">
        <f>H347-G347</f>
        <v/>
      </c>
      <c r="J347" s="30">
        <f>IF(H347=0,IF(I347=0,0,1),I347/ABS(H347))</f>
        <v/>
      </c>
      <c r="K347" s="29">
        <f>H347-(Data_thang!O347-Data_thang!K347)</f>
        <v/>
      </c>
      <c r="L347">
        <f>IF(AND(ABS(I347)&gt;Dashboard!$G$6,ABS(J347)&gt;Dashboard!$H$6),"⚠ Vượt","")</f>
        <v/>
      </c>
      <c r="M347">
        <f>IF(AND(A347=Dashboard!$D$6,OR(Dashboard!$C$6="*",F347=Dashboard!$C$6),L347&lt;&gt;""),ABS(I347)+ROW()/1000000000,0)</f>
        <v/>
      </c>
    </row>
    <row r="348">
      <c r="A348">
        <f>Data_thang!A348</f>
        <v/>
      </c>
      <c r="B348">
        <f>Data_thang!B348</f>
        <v/>
      </c>
      <c r="C348">
        <f>Data_thang!D348</f>
        <v/>
      </c>
      <c r="D348">
        <f>Data_thang!E348</f>
        <v/>
      </c>
      <c r="E348">
        <f>Data_thang!F348</f>
        <v/>
      </c>
      <c r="F348">
        <f>Data_thang!G348</f>
        <v/>
      </c>
      <c r="G348" s="29">
        <f>Data_thang!J348-Data_thang!K348</f>
        <v/>
      </c>
      <c r="H348" s="29">
        <f>Data_thang!N348</f>
        <v/>
      </c>
      <c r="I348" s="29">
        <f>H348-G348</f>
        <v/>
      </c>
      <c r="J348" s="30">
        <f>IF(H348=0,IF(I348=0,0,1),I348/ABS(H348))</f>
        <v/>
      </c>
      <c r="K348" s="29">
        <f>H348-(Data_thang!O348-Data_thang!K348)</f>
        <v/>
      </c>
      <c r="L348">
        <f>IF(AND(ABS(I348)&gt;Dashboard!$G$6,ABS(J348)&gt;Dashboard!$H$6),"⚠ Vượt","")</f>
        <v/>
      </c>
      <c r="M348">
        <f>IF(AND(A348=Dashboard!$D$6,OR(Dashboard!$C$6="*",F348=Dashboard!$C$6),L348&lt;&gt;""),ABS(I348)+ROW()/1000000000,0)</f>
        <v/>
      </c>
    </row>
    <row r="349">
      <c r="A349">
        <f>Data_thang!A349</f>
        <v/>
      </c>
      <c r="B349">
        <f>Data_thang!B349</f>
        <v/>
      </c>
      <c r="C349">
        <f>Data_thang!D349</f>
        <v/>
      </c>
      <c r="D349">
        <f>Data_thang!E349</f>
        <v/>
      </c>
      <c r="E349">
        <f>Data_thang!F349</f>
        <v/>
      </c>
      <c r="F349">
        <f>Data_thang!G349</f>
        <v/>
      </c>
      <c r="G349" s="29">
        <f>Data_thang!J349-Data_thang!K349</f>
        <v/>
      </c>
      <c r="H349" s="29">
        <f>Data_thang!N349</f>
        <v/>
      </c>
      <c r="I349" s="29">
        <f>H349-G349</f>
        <v/>
      </c>
      <c r="J349" s="30">
        <f>IF(H349=0,IF(I349=0,0,1),I349/ABS(H349))</f>
        <v/>
      </c>
      <c r="K349" s="29">
        <f>H349-(Data_thang!O349-Data_thang!K349)</f>
        <v/>
      </c>
      <c r="L349">
        <f>IF(AND(ABS(I349)&gt;Dashboard!$G$6,ABS(J349)&gt;Dashboard!$H$6),"⚠ Vượt","")</f>
        <v/>
      </c>
      <c r="M349">
        <f>IF(AND(A349=Dashboard!$D$6,OR(Dashboard!$C$6="*",F349=Dashboard!$C$6),L349&lt;&gt;""),ABS(I349)+ROW()/1000000000,0)</f>
        <v/>
      </c>
    </row>
    <row r="350">
      <c r="A350">
        <f>Data_thang!A350</f>
        <v/>
      </c>
      <c r="B350">
        <f>Data_thang!B350</f>
        <v/>
      </c>
      <c r="C350">
        <f>Data_thang!D350</f>
        <v/>
      </c>
      <c r="D350">
        <f>Data_thang!E350</f>
        <v/>
      </c>
      <c r="E350">
        <f>Data_thang!F350</f>
        <v/>
      </c>
      <c r="F350">
        <f>Data_thang!G350</f>
        <v/>
      </c>
      <c r="G350" s="29">
        <f>Data_thang!J350-Data_thang!K350</f>
        <v/>
      </c>
      <c r="H350" s="29">
        <f>Data_thang!N350</f>
        <v/>
      </c>
      <c r="I350" s="29">
        <f>H350-G350</f>
        <v/>
      </c>
      <c r="J350" s="30">
        <f>IF(H350=0,IF(I350=0,0,1),I350/ABS(H350))</f>
        <v/>
      </c>
      <c r="K350" s="29">
        <f>H350-(Data_thang!O350-Data_thang!K350)</f>
        <v/>
      </c>
      <c r="L350">
        <f>IF(AND(ABS(I350)&gt;Dashboard!$G$6,ABS(J350)&gt;Dashboard!$H$6),"⚠ Vượt","")</f>
        <v/>
      </c>
      <c r="M350">
        <f>IF(AND(A350=Dashboard!$D$6,OR(Dashboard!$C$6="*",F350=Dashboard!$C$6),L350&lt;&gt;""),ABS(I350)+ROW()/1000000000,0)</f>
        <v/>
      </c>
    </row>
    <row r="351">
      <c r="A351">
        <f>Data_thang!A351</f>
        <v/>
      </c>
      <c r="B351">
        <f>Data_thang!B351</f>
        <v/>
      </c>
      <c r="C351">
        <f>Data_thang!D351</f>
        <v/>
      </c>
      <c r="D351">
        <f>Data_thang!E351</f>
        <v/>
      </c>
      <c r="E351">
        <f>Data_thang!F351</f>
        <v/>
      </c>
      <c r="F351">
        <f>Data_thang!G351</f>
        <v/>
      </c>
      <c r="G351" s="29">
        <f>Data_thang!J351-Data_thang!K351</f>
        <v/>
      </c>
      <c r="H351" s="29">
        <f>Data_thang!N351</f>
        <v/>
      </c>
      <c r="I351" s="29">
        <f>H351-G351</f>
        <v/>
      </c>
      <c r="J351" s="30">
        <f>IF(H351=0,IF(I351=0,0,1),I351/ABS(H351))</f>
        <v/>
      </c>
      <c r="K351" s="29">
        <f>H351-(Data_thang!O351-Data_thang!K351)</f>
        <v/>
      </c>
      <c r="L351">
        <f>IF(AND(ABS(I351)&gt;Dashboard!$G$6,ABS(J351)&gt;Dashboard!$H$6),"⚠ Vượt","")</f>
        <v/>
      </c>
      <c r="M351">
        <f>IF(AND(A351=Dashboard!$D$6,OR(Dashboard!$C$6="*",F351=Dashboard!$C$6),L351&lt;&gt;""),ABS(I351)+ROW()/1000000000,0)</f>
        <v/>
      </c>
    </row>
    <row r="352">
      <c r="A352">
        <f>Data_thang!A352</f>
        <v/>
      </c>
      <c r="B352">
        <f>Data_thang!B352</f>
        <v/>
      </c>
      <c r="C352">
        <f>Data_thang!D352</f>
        <v/>
      </c>
      <c r="D352">
        <f>Data_thang!E352</f>
        <v/>
      </c>
      <c r="E352">
        <f>Data_thang!F352</f>
        <v/>
      </c>
      <c r="F352">
        <f>Data_thang!G352</f>
        <v/>
      </c>
      <c r="G352" s="29">
        <f>Data_thang!J352-Data_thang!K352</f>
        <v/>
      </c>
      <c r="H352" s="29">
        <f>Data_thang!N352</f>
        <v/>
      </c>
      <c r="I352" s="29">
        <f>H352-G352</f>
        <v/>
      </c>
      <c r="J352" s="30">
        <f>IF(H352=0,IF(I352=0,0,1),I352/ABS(H352))</f>
        <v/>
      </c>
      <c r="K352" s="29">
        <f>H352-(Data_thang!O352-Data_thang!K352)</f>
        <v/>
      </c>
      <c r="L352">
        <f>IF(AND(ABS(I352)&gt;Dashboard!$G$6,ABS(J352)&gt;Dashboard!$H$6),"⚠ Vượt","")</f>
        <v/>
      </c>
      <c r="M352">
        <f>IF(AND(A352=Dashboard!$D$6,OR(Dashboard!$C$6="*",F352=Dashboard!$C$6),L352&lt;&gt;""),ABS(I352)+ROW()/1000000000,0)</f>
        <v/>
      </c>
    </row>
    <row r="353">
      <c r="A353">
        <f>Data_thang!A353</f>
        <v/>
      </c>
      <c r="B353">
        <f>Data_thang!B353</f>
        <v/>
      </c>
      <c r="C353">
        <f>Data_thang!D353</f>
        <v/>
      </c>
      <c r="D353">
        <f>Data_thang!E353</f>
        <v/>
      </c>
      <c r="E353">
        <f>Data_thang!F353</f>
        <v/>
      </c>
      <c r="F353">
        <f>Data_thang!G353</f>
        <v/>
      </c>
      <c r="G353" s="29">
        <f>Data_thang!J353-Data_thang!K353</f>
        <v/>
      </c>
      <c r="H353" s="29">
        <f>Data_thang!N353</f>
        <v/>
      </c>
      <c r="I353" s="29">
        <f>H353-G353</f>
        <v/>
      </c>
      <c r="J353" s="30">
        <f>IF(H353=0,IF(I353=0,0,1),I353/ABS(H353))</f>
        <v/>
      </c>
      <c r="K353" s="29">
        <f>H353-(Data_thang!O353-Data_thang!K353)</f>
        <v/>
      </c>
      <c r="L353">
        <f>IF(AND(ABS(I353)&gt;Dashboard!$G$6,ABS(J353)&gt;Dashboard!$H$6),"⚠ Vượt","")</f>
        <v/>
      </c>
      <c r="M353">
        <f>IF(AND(A353=Dashboard!$D$6,OR(Dashboard!$C$6="*",F353=Dashboard!$C$6),L353&lt;&gt;""),ABS(I353)+ROW()/1000000000,0)</f>
        <v/>
      </c>
    </row>
    <row r="354">
      <c r="A354">
        <f>Data_thang!A354</f>
        <v/>
      </c>
      <c r="B354">
        <f>Data_thang!B354</f>
        <v/>
      </c>
      <c r="C354">
        <f>Data_thang!D354</f>
        <v/>
      </c>
      <c r="D354">
        <f>Data_thang!E354</f>
        <v/>
      </c>
      <c r="E354">
        <f>Data_thang!F354</f>
        <v/>
      </c>
      <c r="F354">
        <f>Data_thang!G354</f>
        <v/>
      </c>
      <c r="G354" s="29">
        <f>Data_thang!J354-Data_thang!K354</f>
        <v/>
      </c>
      <c r="H354" s="29">
        <f>Data_thang!N354</f>
        <v/>
      </c>
      <c r="I354" s="29">
        <f>H354-G354</f>
        <v/>
      </c>
      <c r="J354" s="30">
        <f>IF(H354=0,IF(I354=0,0,1),I354/ABS(H354))</f>
        <v/>
      </c>
      <c r="K354" s="29">
        <f>H354-(Data_thang!O354-Data_thang!K354)</f>
        <v/>
      </c>
      <c r="L354">
        <f>IF(AND(ABS(I354)&gt;Dashboard!$G$6,ABS(J354)&gt;Dashboard!$H$6),"⚠ Vượt","")</f>
        <v/>
      </c>
      <c r="M354">
        <f>IF(AND(A354=Dashboard!$D$6,OR(Dashboard!$C$6="*",F354=Dashboard!$C$6),L354&lt;&gt;""),ABS(I354)+ROW()/1000000000,0)</f>
        <v/>
      </c>
    </row>
    <row r="355">
      <c r="A355">
        <f>Data_thang!A355</f>
        <v/>
      </c>
      <c r="B355">
        <f>Data_thang!B355</f>
        <v/>
      </c>
      <c r="C355">
        <f>Data_thang!D355</f>
        <v/>
      </c>
      <c r="D355">
        <f>Data_thang!E355</f>
        <v/>
      </c>
      <c r="E355">
        <f>Data_thang!F355</f>
        <v/>
      </c>
      <c r="F355">
        <f>Data_thang!G355</f>
        <v/>
      </c>
      <c r="G355" s="29">
        <f>Data_thang!J355-Data_thang!K355</f>
        <v/>
      </c>
      <c r="H355" s="29">
        <f>Data_thang!N355</f>
        <v/>
      </c>
      <c r="I355" s="29">
        <f>H355-G355</f>
        <v/>
      </c>
      <c r="J355" s="30">
        <f>IF(H355=0,IF(I355=0,0,1),I355/ABS(H355))</f>
        <v/>
      </c>
      <c r="K355" s="29">
        <f>H355-(Data_thang!O355-Data_thang!K355)</f>
        <v/>
      </c>
      <c r="L355">
        <f>IF(AND(ABS(I355)&gt;Dashboard!$G$6,ABS(J355)&gt;Dashboard!$H$6),"⚠ Vượt","")</f>
        <v/>
      </c>
      <c r="M355">
        <f>IF(AND(A355=Dashboard!$D$6,OR(Dashboard!$C$6="*",F355=Dashboard!$C$6),L355&lt;&gt;""),ABS(I355)+ROW()/1000000000,0)</f>
        <v/>
      </c>
    </row>
    <row r="356">
      <c r="A356">
        <f>Data_thang!A356</f>
        <v/>
      </c>
      <c r="B356">
        <f>Data_thang!B356</f>
        <v/>
      </c>
      <c r="C356">
        <f>Data_thang!D356</f>
        <v/>
      </c>
      <c r="D356">
        <f>Data_thang!E356</f>
        <v/>
      </c>
      <c r="E356">
        <f>Data_thang!F356</f>
        <v/>
      </c>
      <c r="F356">
        <f>Data_thang!G356</f>
        <v/>
      </c>
      <c r="G356" s="29">
        <f>Data_thang!J356-Data_thang!K356</f>
        <v/>
      </c>
      <c r="H356" s="29">
        <f>Data_thang!N356</f>
        <v/>
      </c>
      <c r="I356" s="29">
        <f>H356-G356</f>
        <v/>
      </c>
      <c r="J356" s="30">
        <f>IF(H356=0,IF(I356=0,0,1),I356/ABS(H356))</f>
        <v/>
      </c>
      <c r="K356" s="29">
        <f>H356-(Data_thang!O356-Data_thang!K356)</f>
        <v/>
      </c>
      <c r="L356">
        <f>IF(AND(ABS(I356)&gt;Dashboard!$G$6,ABS(J356)&gt;Dashboard!$H$6),"⚠ Vượt","")</f>
        <v/>
      </c>
      <c r="M356">
        <f>IF(AND(A356=Dashboard!$D$6,OR(Dashboard!$C$6="*",F356=Dashboard!$C$6),L356&lt;&gt;""),ABS(I356)+ROW()/1000000000,0)</f>
        <v/>
      </c>
    </row>
    <row r="357">
      <c r="A357">
        <f>Data_thang!A357</f>
        <v/>
      </c>
      <c r="B357">
        <f>Data_thang!B357</f>
        <v/>
      </c>
      <c r="C357">
        <f>Data_thang!D357</f>
        <v/>
      </c>
      <c r="D357">
        <f>Data_thang!E357</f>
        <v/>
      </c>
      <c r="E357">
        <f>Data_thang!F357</f>
        <v/>
      </c>
      <c r="F357">
        <f>Data_thang!G357</f>
        <v/>
      </c>
      <c r="G357" s="29">
        <f>Data_thang!J357-Data_thang!K357</f>
        <v/>
      </c>
      <c r="H357" s="29">
        <f>Data_thang!N357</f>
        <v/>
      </c>
      <c r="I357" s="29">
        <f>H357-G357</f>
        <v/>
      </c>
      <c r="J357" s="30">
        <f>IF(H357=0,IF(I357=0,0,1),I357/ABS(H357))</f>
        <v/>
      </c>
      <c r="K357" s="29">
        <f>H357-(Data_thang!O357-Data_thang!K357)</f>
        <v/>
      </c>
      <c r="L357">
        <f>IF(AND(ABS(I357)&gt;Dashboard!$G$6,ABS(J357)&gt;Dashboard!$H$6),"⚠ Vượt","")</f>
        <v/>
      </c>
      <c r="M357">
        <f>IF(AND(A357=Dashboard!$D$6,OR(Dashboard!$C$6="*",F357=Dashboard!$C$6),L357&lt;&gt;""),ABS(I357)+ROW()/1000000000,0)</f>
        <v/>
      </c>
    </row>
    <row r="358">
      <c r="A358">
        <f>Data_thang!A358</f>
        <v/>
      </c>
      <c r="B358">
        <f>Data_thang!B358</f>
        <v/>
      </c>
      <c r="C358">
        <f>Data_thang!D358</f>
        <v/>
      </c>
      <c r="D358">
        <f>Data_thang!E358</f>
        <v/>
      </c>
      <c r="E358">
        <f>Data_thang!F358</f>
        <v/>
      </c>
      <c r="F358">
        <f>Data_thang!G358</f>
        <v/>
      </c>
      <c r="G358" s="29">
        <f>Data_thang!J358-Data_thang!K358</f>
        <v/>
      </c>
      <c r="H358" s="29">
        <f>Data_thang!N358</f>
        <v/>
      </c>
      <c r="I358" s="29">
        <f>H358-G358</f>
        <v/>
      </c>
      <c r="J358" s="30">
        <f>IF(H358=0,IF(I358=0,0,1),I358/ABS(H358))</f>
        <v/>
      </c>
      <c r="K358" s="29">
        <f>H358-(Data_thang!O358-Data_thang!K358)</f>
        <v/>
      </c>
      <c r="L358">
        <f>IF(AND(ABS(I358)&gt;Dashboard!$G$6,ABS(J358)&gt;Dashboard!$H$6),"⚠ Vượt","")</f>
        <v/>
      </c>
      <c r="M358">
        <f>IF(AND(A358=Dashboard!$D$6,OR(Dashboard!$C$6="*",F358=Dashboard!$C$6),L358&lt;&gt;""),ABS(I358)+ROW()/1000000000,0)</f>
        <v/>
      </c>
    </row>
    <row r="359">
      <c r="A359">
        <f>Data_thang!A359</f>
        <v/>
      </c>
      <c r="B359">
        <f>Data_thang!B359</f>
        <v/>
      </c>
      <c r="C359">
        <f>Data_thang!D359</f>
        <v/>
      </c>
      <c r="D359">
        <f>Data_thang!E359</f>
        <v/>
      </c>
      <c r="E359">
        <f>Data_thang!F359</f>
        <v/>
      </c>
      <c r="F359">
        <f>Data_thang!G359</f>
        <v/>
      </c>
      <c r="G359" s="29">
        <f>Data_thang!J359-Data_thang!K359</f>
        <v/>
      </c>
      <c r="H359" s="29">
        <f>Data_thang!N359</f>
        <v/>
      </c>
      <c r="I359" s="29">
        <f>H359-G359</f>
        <v/>
      </c>
      <c r="J359" s="30">
        <f>IF(H359=0,IF(I359=0,0,1),I359/ABS(H359))</f>
        <v/>
      </c>
      <c r="K359" s="29">
        <f>H359-(Data_thang!O359-Data_thang!K359)</f>
        <v/>
      </c>
      <c r="L359">
        <f>IF(AND(ABS(I359)&gt;Dashboard!$G$6,ABS(J359)&gt;Dashboard!$H$6),"⚠ Vượt","")</f>
        <v/>
      </c>
      <c r="M359">
        <f>IF(AND(A359=Dashboard!$D$6,OR(Dashboard!$C$6="*",F359=Dashboard!$C$6),L359&lt;&gt;""),ABS(I359)+ROW()/1000000000,0)</f>
        <v/>
      </c>
    </row>
    <row r="360">
      <c r="A360">
        <f>Data_thang!A360</f>
        <v/>
      </c>
      <c r="B360">
        <f>Data_thang!B360</f>
        <v/>
      </c>
      <c r="C360">
        <f>Data_thang!D360</f>
        <v/>
      </c>
      <c r="D360">
        <f>Data_thang!E360</f>
        <v/>
      </c>
      <c r="E360">
        <f>Data_thang!F360</f>
        <v/>
      </c>
      <c r="F360">
        <f>Data_thang!G360</f>
        <v/>
      </c>
      <c r="G360" s="29">
        <f>Data_thang!J360-Data_thang!K360</f>
        <v/>
      </c>
      <c r="H360" s="29">
        <f>Data_thang!N360</f>
        <v/>
      </c>
      <c r="I360" s="29">
        <f>H360-G360</f>
        <v/>
      </c>
      <c r="J360" s="30">
        <f>IF(H360=0,IF(I360=0,0,1),I360/ABS(H360))</f>
        <v/>
      </c>
      <c r="K360" s="29">
        <f>H360-(Data_thang!O360-Data_thang!K360)</f>
        <v/>
      </c>
      <c r="L360">
        <f>IF(AND(ABS(I360)&gt;Dashboard!$G$6,ABS(J360)&gt;Dashboard!$H$6),"⚠ Vượt","")</f>
        <v/>
      </c>
      <c r="M360">
        <f>IF(AND(A360=Dashboard!$D$6,OR(Dashboard!$C$6="*",F360=Dashboard!$C$6),L360&lt;&gt;""),ABS(I360)+ROW()/1000000000,0)</f>
        <v/>
      </c>
    </row>
    <row r="361">
      <c r="A361">
        <f>Data_thang!A361</f>
        <v/>
      </c>
      <c r="B361">
        <f>Data_thang!B361</f>
        <v/>
      </c>
      <c r="C361">
        <f>Data_thang!D361</f>
        <v/>
      </c>
      <c r="D361">
        <f>Data_thang!E361</f>
        <v/>
      </c>
      <c r="E361">
        <f>Data_thang!F361</f>
        <v/>
      </c>
      <c r="F361">
        <f>Data_thang!G361</f>
        <v/>
      </c>
      <c r="G361" s="29">
        <f>Data_thang!J361-Data_thang!K361</f>
        <v/>
      </c>
      <c r="H361" s="29">
        <f>Data_thang!N361</f>
        <v/>
      </c>
      <c r="I361" s="29">
        <f>H361-G361</f>
        <v/>
      </c>
      <c r="J361" s="30">
        <f>IF(H361=0,IF(I361=0,0,1),I361/ABS(H361))</f>
        <v/>
      </c>
      <c r="K361" s="29">
        <f>H361-(Data_thang!O361-Data_thang!K361)</f>
        <v/>
      </c>
      <c r="L361">
        <f>IF(AND(ABS(I361)&gt;Dashboard!$G$6,ABS(J361)&gt;Dashboard!$H$6),"⚠ Vượt","")</f>
        <v/>
      </c>
      <c r="M361">
        <f>IF(AND(A361=Dashboard!$D$6,OR(Dashboard!$C$6="*",F361=Dashboard!$C$6),L361&lt;&gt;""),ABS(I361)+ROW()/1000000000,0)</f>
        <v/>
      </c>
    </row>
    <row r="362">
      <c r="A362">
        <f>Data_thang!A362</f>
        <v/>
      </c>
      <c r="B362">
        <f>Data_thang!B362</f>
        <v/>
      </c>
      <c r="C362">
        <f>Data_thang!D362</f>
        <v/>
      </c>
      <c r="D362">
        <f>Data_thang!E362</f>
        <v/>
      </c>
      <c r="E362">
        <f>Data_thang!F362</f>
        <v/>
      </c>
      <c r="F362">
        <f>Data_thang!G362</f>
        <v/>
      </c>
      <c r="G362" s="29">
        <f>Data_thang!J362-Data_thang!K362</f>
        <v/>
      </c>
      <c r="H362" s="29">
        <f>Data_thang!N362</f>
        <v/>
      </c>
      <c r="I362" s="29">
        <f>H362-G362</f>
        <v/>
      </c>
      <c r="J362" s="30">
        <f>IF(H362=0,IF(I362=0,0,1),I362/ABS(H362))</f>
        <v/>
      </c>
      <c r="K362" s="29">
        <f>H362-(Data_thang!O362-Data_thang!K362)</f>
        <v/>
      </c>
      <c r="L362">
        <f>IF(AND(ABS(I362)&gt;Dashboard!$G$6,ABS(J362)&gt;Dashboard!$H$6),"⚠ Vượt","")</f>
        <v/>
      </c>
      <c r="M362">
        <f>IF(AND(A362=Dashboard!$D$6,OR(Dashboard!$C$6="*",F362=Dashboard!$C$6),L362&lt;&gt;""),ABS(I362)+ROW()/1000000000,0)</f>
        <v/>
      </c>
    </row>
    <row r="363">
      <c r="A363">
        <f>Data_thang!A363</f>
        <v/>
      </c>
      <c r="B363">
        <f>Data_thang!B363</f>
        <v/>
      </c>
      <c r="C363">
        <f>Data_thang!D363</f>
        <v/>
      </c>
      <c r="D363">
        <f>Data_thang!E363</f>
        <v/>
      </c>
      <c r="E363">
        <f>Data_thang!F363</f>
        <v/>
      </c>
      <c r="F363">
        <f>Data_thang!G363</f>
        <v/>
      </c>
      <c r="G363" s="29">
        <f>Data_thang!J363-Data_thang!K363</f>
        <v/>
      </c>
      <c r="H363" s="29">
        <f>Data_thang!N363</f>
        <v/>
      </c>
      <c r="I363" s="29">
        <f>H363-G363</f>
        <v/>
      </c>
      <c r="J363" s="30">
        <f>IF(H363=0,IF(I363=0,0,1),I363/ABS(H363))</f>
        <v/>
      </c>
      <c r="K363" s="29">
        <f>H363-(Data_thang!O363-Data_thang!K363)</f>
        <v/>
      </c>
      <c r="L363">
        <f>IF(AND(ABS(I363)&gt;Dashboard!$G$6,ABS(J363)&gt;Dashboard!$H$6),"⚠ Vượt","")</f>
        <v/>
      </c>
      <c r="M363">
        <f>IF(AND(A363=Dashboard!$D$6,OR(Dashboard!$C$6="*",F363=Dashboard!$C$6),L363&lt;&gt;""),ABS(I363)+ROW()/1000000000,0)</f>
        <v/>
      </c>
    </row>
    <row r="364">
      <c r="A364">
        <f>Data_thang!A364</f>
        <v/>
      </c>
      <c r="B364">
        <f>Data_thang!B364</f>
        <v/>
      </c>
      <c r="C364">
        <f>Data_thang!D364</f>
        <v/>
      </c>
      <c r="D364">
        <f>Data_thang!E364</f>
        <v/>
      </c>
      <c r="E364">
        <f>Data_thang!F364</f>
        <v/>
      </c>
      <c r="F364">
        <f>Data_thang!G364</f>
        <v/>
      </c>
      <c r="G364" s="29">
        <f>Data_thang!J364-Data_thang!K364</f>
        <v/>
      </c>
      <c r="H364" s="29">
        <f>Data_thang!N364</f>
        <v/>
      </c>
      <c r="I364" s="29">
        <f>H364-G364</f>
        <v/>
      </c>
      <c r="J364" s="30">
        <f>IF(H364=0,IF(I364=0,0,1),I364/ABS(H364))</f>
        <v/>
      </c>
      <c r="K364" s="29">
        <f>H364-(Data_thang!O364-Data_thang!K364)</f>
        <v/>
      </c>
      <c r="L364">
        <f>IF(AND(ABS(I364)&gt;Dashboard!$G$6,ABS(J364)&gt;Dashboard!$H$6),"⚠ Vượt","")</f>
        <v/>
      </c>
      <c r="M364">
        <f>IF(AND(A364=Dashboard!$D$6,OR(Dashboard!$C$6="*",F364=Dashboard!$C$6),L364&lt;&gt;""),ABS(I364)+ROW()/1000000000,0)</f>
        <v/>
      </c>
    </row>
    <row r="365">
      <c r="A365">
        <f>Data_thang!A365</f>
        <v/>
      </c>
      <c r="B365">
        <f>Data_thang!B365</f>
        <v/>
      </c>
      <c r="C365">
        <f>Data_thang!D365</f>
        <v/>
      </c>
      <c r="D365">
        <f>Data_thang!E365</f>
        <v/>
      </c>
      <c r="E365">
        <f>Data_thang!F365</f>
        <v/>
      </c>
      <c r="F365">
        <f>Data_thang!G365</f>
        <v/>
      </c>
      <c r="G365" s="29">
        <f>Data_thang!J365-Data_thang!K365</f>
        <v/>
      </c>
      <c r="H365" s="29">
        <f>Data_thang!N365</f>
        <v/>
      </c>
      <c r="I365" s="29">
        <f>H365-G365</f>
        <v/>
      </c>
      <c r="J365" s="30">
        <f>IF(H365=0,IF(I365=0,0,1),I365/ABS(H365))</f>
        <v/>
      </c>
      <c r="K365" s="29">
        <f>H365-(Data_thang!O365-Data_thang!K365)</f>
        <v/>
      </c>
      <c r="L365">
        <f>IF(AND(ABS(I365)&gt;Dashboard!$G$6,ABS(J365)&gt;Dashboard!$H$6),"⚠ Vượt","")</f>
        <v/>
      </c>
      <c r="M365">
        <f>IF(AND(A365=Dashboard!$D$6,OR(Dashboard!$C$6="*",F365=Dashboard!$C$6),L365&lt;&gt;""),ABS(I365)+ROW()/1000000000,0)</f>
        <v/>
      </c>
    </row>
    <row r="366">
      <c r="A366">
        <f>Data_thang!A366</f>
        <v/>
      </c>
      <c r="B366">
        <f>Data_thang!B366</f>
        <v/>
      </c>
      <c r="C366">
        <f>Data_thang!D366</f>
        <v/>
      </c>
      <c r="D366">
        <f>Data_thang!E366</f>
        <v/>
      </c>
      <c r="E366">
        <f>Data_thang!F366</f>
        <v/>
      </c>
      <c r="F366">
        <f>Data_thang!G366</f>
        <v/>
      </c>
      <c r="G366" s="29">
        <f>Data_thang!J366-Data_thang!K366</f>
        <v/>
      </c>
      <c r="H366" s="29">
        <f>Data_thang!N366</f>
        <v/>
      </c>
      <c r="I366" s="29">
        <f>H366-G366</f>
        <v/>
      </c>
      <c r="J366" s="30">
        <f>IF(H366=0,IF(I366=0,0,1),I366/ABS(H366))</f>
        <v/>
      </c>
      <c r="K366" s="29">
        <f>H366-(Data_thang!O366-Data_thang!K366)</f>
        <v/>
      </c>
      <c r="L366">
        <f>IF(AND(ABS(I366)&gt;Dashboard!$G$6,ABS(J366)&gt;Dashboard!$H$6),"⚠ Vượt","")</f>
        <v/>
      </c>
      <c r="M366">
        <f>IF(AND(A366=Dashboard!$D$6,OR(Dashboard!$C$6="*",F366=Dashboard!$C$6),L366&lt;&gt;""),ABS(I366)+ROW()/1000000000,0)</f>
        <v/>
      </c>
    </row>
    <row r="367">
      <c r="A367">
        <f>Data_thang!A367</f>
        <v/>
      </c>
      <c r="B367">
        <f>Data_thang!B367</f>
        <v/>
      </c>
      <c r="C367">
        <f>Data_thang!D367</f>
        <v/>
      </c>
      <c r="D367">
        <f>Data_thang!E367</f>
        <v/>
      </c>
      <c r="E367">
        <f>Data_thang!F367</f>
        <v/>
      </c>
      <c r="F367">
        <f>Data_thang!G367</f>
        <v/>
      </c>
      <c r="G367" s="29">
        <f>Data_thang!J367-Data_thang!K367</f>
        <v/>
      </c>
      <c r="H367" s="29">
        <f>Data_thang!N367</f>
        <v/>
      </c>
      <c r="I367" s="29">
        <f>H367-G367</f>
        <v/>
      </c>
      <c r="J367" s="30">
        <f>IF(H367=0,IF(I367=0,0,1),I367/ABS(H367))</f>
        <v/>
      </c>
      <c r="K367" s="29">
        <f>H367-(Data_thang!O367-Data_thang!K367)</f>
        <v/>
      </c>
      <c r="L367">
        <f>IF(AND(ABS(I367)&gt;Dashboard!$G$6,ABS(J367)&gt;Dashboard!$H$6),"⚠ Vượt","")</f>
        <v/>
      </c>
      <c r="M367">
        <f>IF(AND(A367=Dashboard!$D$6,OR(Dashboard!$C$6="*",F367=Dashboard!$C$6),L367&lt;&gt;""),ABS(I367)+ROW()/1000000000,0)</f>
        <v/>
      </c>
    </row>
    <row r="368">
      <c r="A368">
        <f>Data_thang!A368</f>
        <v/>
      </c>
      <c r="B368">
        <f>Data_thang!B368</f>
        <v/>
      </c>
      <c r="C368">
        <f>Data_thang!D368</f>
        <v/>
      </c>
      <c r="D368">
        <f>Data_thang!E368</f>
        <v/>
      </c>
      <c r="E368">
        <f>Data_thang!F368</f>
        <v/>
      </c>
      <c r="F368">
        <f>Data_thang!G368</f>
        <v/>
      </c>
      <c r="G368" s="29">
        <f>Data_thang!J368-Data_thang!K368</f>
        <v/>
      </c>
      <c r="H368" s="29">
        <f>Data_thang!N368</f>
        <v/>
      </c>
      <c r="I368" s="29">
        <f>H368-G368</f>
        <v/>
      </c>
      <c r="J368" s="30">
        <f>IF(H368=0,IF(I368=0,0,1),I368/ABS(H368))</f>
        <v/>
      </c>
      <c r="K368" s="29">
        <f>H368-(Data_thang!O368-Data_thang!K368)</f>
        <v/>
      </c>
      <c r="L368">
        <f>IF(AND(ABS(I368)&gt;Dashboard!$G$6,ABS(J368)&gt;Dashboard!$H$6),"⚠ Vượt","")</f>
        <v/>
      </c>
      <c r="M368">
        <f>IF(AND(A368=Dashboard!$D$6,OR(Dashboard!$C$6="*",F368=Dashboard!$C$6),L368&lt;&gt;""),ABS(I368)+ROW()/1000000000,0)</f>
        <v/>
      </c>
    </row>
    <row r="369">
      <c r="A369">
        <f>Data_thang!A369</f>
        <v/>
      </c>
      <c r="B369">
        <f>Data_thang!B369</f>
        <v/>
      </c>
      <c r="C369">
        <f>Data_thang!D369</f>
        <v/>
      </c>
      <c r="D369">
        <f>Data_thang!E369</f>
        <v/>
      </c>
      <c r="E369">
        <f>Data_thang!F369</f>
        <v/>
      </c>
      <c r="F369">
        <f>Data_thang!G369</f>
        <v/>
      </c>
      <c r="G369" s="29">
        <f>Data_thang!J369-Data_thang!K369</f>
        <v/>
      </c>
      <c r="H369" s="29">
        <f>Data_thang!N369</f>
        <v/>
      </c>
      <c r="I369" s="29">
        <f>H369-G369</f>
        <v/>
      </c>
      <c r="J369" s="30">
        <f>IF(H369=0,IF(I369=0,0,1),I369/ABS(H369))</f>
        <v/>
      </c>
      <c r="K369" s="29">
        <f>H369-(Data_thang!O369-Data_thang!K369)</f>
        <v/>
      </c>
      <c r="L369">
        <f>IF(AND(ABS(I369)&gt;Dashboard!$G$6,ABS(J369)&gt;Dashboard!$H$6),"⚠ Vượt","")</f>
        <v/>
      </c>
      <c r="M369">
        <f>IF(AND(A369=Dashboard!$D$6,OR(Dashboard!$C$6="*",F369=Dashboard!$C$6),L369&lt;&gt;""),ABS(I369)+ROW()/1000000000,0)</f>
        <v/>
      </c>
    </row>
    <row r="370">
      <c r="A370">
        <f>Data_thang!A370</f>
        <v/>
      </c>
      <c r="B370">
        <f>Data_thang!B370</f>
        <v/>
      </c>
      <c r="C370">
        <f>Data_thang!D370</f>
        <v/>
      </c>
      <c r="D370">
        <f>Data_thang!E370</f>
        <v/>
      </c>
      <c r="E370">
        <f>Data_thang!F370</f>
        <v/>
      </c>
      <c r="F370">
        <f>Data_thang!G370</f>
        <v/>
      </c>
      <c r="G370" s="29">
        <f>Data_thang!J370-Data_thang!K370</f>
        <v/>
      </c>
      <c r="H370" s="29">
        <f>Data_thang!N370</f>
        <v/>
      </c>
      <c r="I370" s="29">
        <f>H370-G370</f>
        <v/>
      </c>
      <c r="J370" s="30">
        <f>IF(H370=0,IF(I370=0,0,1),I370/ABS(H370))</f>
        <v/>
      </c>
      <c r="K370" s="29">
        <f>H370-(Data_thang!O370-Data_thang!K370)</f>
        <v/>
      </c>
      <c r="L370">
        <f>IF(AND(ABS(I370)&gt;Dashboard!$G$6,ABS(J370)&gt;Dashboard!$H$6),"⚠ Vượt","")</f>
        <v/>
      </c>
      <c r="M370">
        <f>IF(AND(A370=Dashboard!$D$6,OR(Dashboard!$C$6="*",F370=Dashboard!$C$6),L370&lt;&gt;""),ABS(I370)+ROW()/1000000000,0)</f>
        <v/>
      </c>
    </row>
    <row r="371">
      <c r="A371">
        <f>Data_thang!A371</f>
        <v/>
      </c>
      <c r="B371">
        <f>Data_thang!B371</f>
        <v/>
      </c>
      <c r="C371">
        <f>Data_thang!D371</f>
        <v/>
      </c>
      <c r="D371">
        <f>Data_thang!E371</f>
        <v/>
      </c>
      <c r="E371">
        <f>Data_thang!F371</f>
        <v/>
      </c>
      <c r="F371">
        <f>Data_thang!G371</f>
        <v/>
      </c>
      <c r="G371" s="29">
        <f>Data_thang!J371-Data_thang!K371</f>
        <v/>
      </c>
      <c r="H371" s="29">
        <f>Data_thang!N371</f>
        <v/>
      </c>
      <c r="I371" s="29">
        <f>H371-G371</f>
        <v/>
      </c>
      <c r="J371" s="30">
        <f>IF(H371=0,IF(I371=0,0,1),I371/ABS(H371))</f>
        <v/>
      </c>
      <c r="K371" s="29">
        <f>H371-(Data_thang!O371-Data_thang!K371)</f>
        <v/>
      </c>
      <c r="L371">
        <f>IF(AND(ABS(I371)&gt;Dashboard!$G$6,ABS(J371)&gt;Dashboard!$H$6),"⚠ Vượt","")</f>
        <v/>
      </c>
      <c r="M371">
        <f>IF(AND(A371=Dashboard!$D$6,OR(Dashboard!$C$6="*",F371=Dashboard!$C$6),L371&lt;&gt;""),ABS(I371)+ROW()/1000000000,0)</f>
        <v/>
      </c>
    </row>
    <row r="372">
      <c r="A372">
        <f>Data_thang!A372</f>
        <v/>
      </c>
      <c r="B372">
        <f>Data_thang!B372</f>
        <v/>
      </c>
      <c r="C372">
        <f>Data_thang!D372</f>
        <v/>
      </c>
      <c r="D372">
        <f>Data_thang!E372</f>
        <v/>
      </c>
      <c r="E372">
        <f>Data_thang!F372</f>
        <v/>
      </c>
      <c r="F372">
        <f>Data_thang!G372</f>
        <v/>
      </c>
      <c r="G372" s="29">
        <f>Data_thang!J372-Data_thang!K372</f>
        <v/>
      </c>
      <c r="H372" s="29">
        <f>Data_thang!N372</f>
        <v/>
      </c>
      <c r="I372" s="29">
        <f>H372-G372</f>
        <v/>
      </c>
      <c r="J372" s="30">
        <f>IF(H372=0,IF(I372=0,0,1),I372/ABS(H372))</f>
        <v/>
      </c>
      <c r="K372" s="29">
        <f>H372-(Data_thang!O372-Data_thang!K372)</f>
        <v/>
      </c>
      <c r="L372">
        <f>IF(AND(ABS(I372)&gt;Dashboard!$G$6,ABS(J372)&gt;Dashboard!$H$6),"⚠ Vượt","")</f>
        <v/>
      </c>
      <c r="M372">
        <f>IF(AND(A372=Dashboard!$D$6,OR(Dashboard!$C$6="*",F372=Dashboard!$C$6),L372&lt;&gt;""),ABS(I372)+ROW()/1000000000,0)</f>
        <v/>
      </c>
    </row>
    <row r="373">
      <c r="A373">
        <f>Data_thang!A373</f>
        <v/>
      </c>
      <c r="B373">
        <f>Data_thang!B373</f>
        <v/>
      </c>
      <c r="C373">
        <f>Data_thang!D373</f>
        <v/>
      </c>
      <c r="D373">
        <f>Data_thang!E373</f>
        <v/>
      </c>
      <c r="E373">
        <f>Data_thang!F373</f>
        <v/>
      </c>
      <c r="F373">
        <f>Data_thang!G373</f>
        <v/>
      </c>
      <c r="G373" s="29">
        <f>Data_thang!J373-Data_thang!K373</f>
        <v/>
      </c>
      <c r="H373" s="29">
        <f>Data_thang!N373</f>
        <v/>
      </c>
      <c r="I373" s="29">
        <f>H373-G373</f>
        <v/>
      </c>
      <c r="J373" s="30">
        <f>IF(H373=0,IF(I373=0,0,1),I373/ABS(H373))</f>
        <v/>
      </c>
      <c r="K373" s="29">
        <f>H373-(Data_thang!O373-Data_thang!K373)</f>
        <v/>
      </c>
      <c r="L373">
        <f>IF(AND(ABS(I373)&gt;Dashboard!$G$6,ABS(J373)&gt;Dashboard!$H$6),"⚠ Vượt","")</f>
        <v/>
      </c>
      <c r="M373">
        <f>IF(AND(A373=Dashboard!$D$6,OR(Dashboard!$C$6="*",F373=Dashboard!$C$6),L373&lt;&gt;""),ABS(I373)+ROW()/1000000000,0)</f>
        <v/>
      </c>
    </row>
    <row r="374">
      <c r="A374">
        <f>Data_thang!A374</f>
        <v/>
      </c>
      <c r="B374">
        <f>Data_thang!B374</f>
        <v/>
      </c>
      <c r="C374">
        <f>Data_thang!D374</f>
        <v/>
      </c>
      <c r="D374">
        <f>Data_thang!E374</f>
        <v/>
      </c>
      <c r="E374">
        <f>Data_thang!F374</f>
        <v/>
      </c>
      <c r="F374">
        <f>Data_thang!G374</f>
        <v/>
      </c>
      <c r="G374" s="29">
        <f>Data_thang!J374-Data_thang!K374</f>
        <v/>
      </c>
      <c r="H374" s="29">
        <f>Data_thang!N374</f>
        <v/>
      </c>
      <c r="I374" s="29">
        <f>H374-G374</f>
        <v/>
      </c>
      <c r="J374" s="30">
        <f>IF(H374=0,IF(I374=0,0,1),I374/ABS(H374))</f>
        <v/>
      </c>
      <c r="K374" s="29">
        <f>H374-(Data_thang!O374-Data_thang!K374)</f>
        <v/>
      </c>
      <c r="L374">
        <f>IF(AND(ABS(I374)&gt;Dashboard!$G$6,ABS(J374)&gt;Dashboard!$H$6),"⚠ Vượt","")</f>
        <v/>
      </c>
      <c r="M374">
        <f>IF(AND(A374=Dashboard!$D$6,OR(Dashboard!$C$6="*",F374=Dashboard!$C$6),L374&lt;&gt;""),ABS(I374)+ROW()/1000000000,0)</f>
        <v/>
      </c>
    </row>
    <row r="375">
      <c r="A375">
        <f>Data_thang!A375</f>
        <v/>
      </c>
      <c r="B375">
        <f>Data_thang!B375</f>
        <v/>
      </c>
      <c r="C375">
        <f>Data_thang!D375</f>
        <v/>
      </c>
      <c r="D375">
        <f>Data_thang!E375</f>
        <v/>
      </c>
      <c r="E375">
        <f>Data_thang!F375</f>
        <v/>
      </c>
      <c r="F375">
        <f>Data_thang!G375</f>
        <v/>
      </c>
      <c r="G375" s="29">
        <f>Data_thang!J375-Data_thang!K375</f>
        <v/>
      </c>
      <c r="H375" s="29">
        <f>Data_thang!N375</f>
        <v/>
      </c>
      <c r="I375" s="29">
        <f>H375-G375</f>
        <v/>
      </c>
      <c r="J375" s="30">
        <f>IF(H375=0,IF(I375=0,0,1),I375/ABS(H375))</f>
        <v/>
      </c>
      <c r="K375" s="29">
        <f>H375-(Data_thang!O375-Data_thang!K375)</f>
        <v/>
      </c>
      <c r="L375">
        <f>IF(AND(ABS(I375)&gt;Dashboard!$G$6,ABS(J375)&gt;Dashboard!$H$6),"⚠ Vượt","")</f>
        <v/>
      </c>
      <c r="M375">
        <f>IF(AND(A375=Dashboard!$D$6,OR(Dashboard!$C$6="*",F375=Dashboard!$C$6),L375&lt;&gt;""),ABS(I375)+ROW()/1000000000,0)</f>
        <v/>
      </c>
    </row>
    <row r="376">
      <c r="A376">
        <f>Data_thang!A376</f>
        <v/>
      </c>
      <c r="B376">
        <f>Data_thang!B376</f>
        <v/>
      </c>
      <c r="C376">
        <f>Data_thang!D376</f>
        <v/>
      </c>
      <c r="D376">
        <f>Data_thang!E376</f>
        <v/>
      </c>
      <c r="E376">
        <f>Data_thang!F376</f>
        <v/>
      </c>
      <c r="F376">
        <f>Data_thang!G376</f>
        <v/>
      </c>
      <c r="G376" s="29">
        <f>Data_thang!J376-Data_thang!K376</f>
        <v/>
      </c>
      <c r="H376" s="29">
        <f>Data_thang!N376</f>
        <v/>
      </c>
      <c r="I376" s="29">
        <f>H376-G376</f>
        <v/>
      </c>
      <c r="J376" s="30">
        <f>IF(H376=0,IF(I376=0,0,1),I376/ABS(H376))</f>
        <v/>
      </c>
      <c r="K376" s="29">
        <f>H376-(Data_thang!O376-Data_thang!K376)</f>
        <v/>
      </c>
      <c r="L376">
        <f>IF(AND(ABS(I376)&gt;Dashboard!$G$6,ABS(J376)&gt;Dashboard!$H$6),"⚠ Vượt","")</f>
        <v/>
      </c>
      <c r="M376">
        <f>IF(AND(A376=Dashboard!$D$6,OR(Dashboard!$C$6="*",F376=Dashboard!$C$6),L376&lt;&gt;""),ABS(I376)+ROW()/1000000000,0)</f>
        <v/>
      </c>
    </row>
    <row r="377">
      <c r="A377">
        <f>Data_thang!A377</f>
        <v/>
      </c>
      <c r="B377">
        <f>Data_thang!B377</f>
        <v/>
      </c>
      <c r="C377">
        <f>Data_thang!D377</f>
        <v/>
      </c>
      <c r="D377">
        <f>Data_thang!E377</f>
        <v/>
      </c>
      <c r="E377">
        <f>Data_thang!F377</f>
        <v/>
      </c>
      <c r="F377">
        <f>Data_thang!G377</f>
        <v/>
      </c>
      <c r="G377" s="29">
        <f>Data_thang!J377-Data_thang!K377</f>
        <v/>
      </c>
      <c r="H377" s="29">
        <f>Data_thang!N377</f>
        <v/>
      </c>
      <c r="I377" s="29">
        <f>H377-G377</f>
        <v/>
      </c>
      <c r="J377" s="30">
        <f>IF(H377=0,IF(I377=0,0,1),I377/ABS(H377))</f>
        <v/>
      </c>
      <c r="K377" s="29">
        <f>H377-(Data_thang!O377-Data_thang!K377)</f>
        <v/>
      </c>
      <c r="L377">
        <f>IF(AND(ABS(I377)&gt;Dashboard!$G$6,ABS(J377)&gt;Dashboard!$H$6),"⚠ Vượt","")</f>
        <v/>
      </c>
      <c r="M377">
        <f>IF(AND(A377=Dashboard!$D$6,OR(Dashboard!$C$6="*",F377=Dashboard!$C$6),L377&lt;&gt;""),ABS(I377)+ROW()/1000000000,0)</f>
        <v/>
      </c>
    </row>
    <row r="378">
      <c r="A378">
        <f>Data_thang!A378</f>
        <v/>
      </c>
      <c r="B378">
        <f>Data_thang!B378</f>
        <v/>
      </c>
      <c r="C378">
        <f>Data_thang!D378</f>
        <v/>
      </c>
      <c r="D378">
        <f>Data_thang!E378</f>
        <v/>
      </c>
      <c r="E378">
        <f>Data_thang!F378</f>
        <v/>
      </c>
      <c r="F378">
        <f>Data_thang!G378</f>
        <v/>
      </c>
      <c r="G378" s="29">
        <f>Data_thang!J378-Data_thang!K378</f>
        <v/>
      </c>
      <c r="H378" s="29">
        <f>Data_thang!N378</f>
        <v/>
      </c>
      <c r="I378" s="29">
        <f>H378-G378</f>
        <v/>
      </c>
      <c r="J378" s="30">
        <f>IF(H378=0,IF(I378=0,0,1),I378/ABS(H378))</f>
        <v/>
      </c>
      <c r="K378" s="29">
        <f>H378-(Data_thang!O378-Data_thang!K378)</f>
        <v/>
      </c>
      <c r="L378">
        <f>IF(AND(ABS(I378)&gt;Dashboard!$G$6,ABS(J378)&gt;Dashboard!$H$6),"⚠ Vượt","")</f>
        <v/>
      </c>
      <c r="M378">
        <f>IF(AND(A378=Dashboard!$D$6,OR(Dashboard!$C$6="*",F378=Dashboard!$C$6),L378&lt;&gt;""),ABS(I378)+ROW()/1000000000,0)</f>
        <v/>
      </c>
    </row>
    <row r="379">
      <c r="A379">
        <f>Data_thang!A379</f>
        <v/>
      </c>
      <c r="B379">
        <f>Data_thang!B379</f>
        <v/>
      </c>
      <c r="C379">
        <f>Data_thang!D379</f>
        <v/>
      </c>
      <c r="D379">
        <f>Data_thang!E379</f>
        <v/>
      </c>
      <c r="E379">
        <f>Data_thang!F379</f>
        <v/>
      </c>
      <c r="F379">
        <f>Data_thang!G379</f>
        <v/>
      </c>
      <c r="G379" s="29">
        <f>Data_thang!J379-Data_thang!K379</f>
        <v/>
      </c>
      <c r="H379" s="29">
        <f>Data_thang!N379</f>
        <v/>
      </c>
      <c r="I379" s="29">
        <f>H379-G379</f>
        <v/>
      </c>
      <c r="J379" s="30">
        <f>IF(H379=0,IF(I379=0,0,1),I379/ABS(H379))</f>
        <v/>
      </c>
      <c r="K379" s="29">
        <f>H379-(Data_thang!O379-Data_thang!K379)</f>
        <v/>
      </c>
      <c r="L379">
        <f>IF(AND(ABS(I379)&gt;Dashboard!$G$6,ABS(J379)&gt;Dashboard!$H$6),"⚠ Vượt","")</f>
        <v/>
      </c>
      <c r="M379">
        <f>IF(AND(A379=Dashboard!$D$6,OR(Dashboard!$C$6="*",F379=Dashboard!$C$6),L379&lt;&gt;""),ABS(I379)+ROW()/1000000000,0)</f>
        <v/>
      </c>
    </row>
    <row r="380">
      <c r="A380">
        <f>Data_thang!A380</f>
        <v/>
      </c>
      <c r="B380">
        <f>Data_thang!B380</f>
        <v/>
      </c>
      <c r="C380">
        <f>Data_thang!D380</f>
        <v/>
      </c>
      <c r="D380">
        <f>Data_thang!E380</f>
        <v/>
      </c>
      <c r="E380">
        <f>Data_thang!F380</f>
        <v/>
      </c>
      <c r="F380">
        <f>Data_thang!G380</f>
        <v/>
      </c>
      <c r="G380" s="29">
        <f>Data_thang!J380-Data_thang!K380</f>
        <v/>
      </c>
      <c r="H380" s="29">
        <f>Data_thang!N380</f>
        <v/>
      </c>
      <c r="I380" s="29">
        <f>H380-G380</f>
        <v/>
      </c>
      <c r="J380" s="30">
        <f>IF(H380=0,IF(I380=0,0,1),I380/ABS(H380))</f>
        <v/>
      </c>
      <c r="K380" s="29">
        <f>H380-(Data_thang!O380-Data_thang!K380)</f>
        <v/>
      </c>
      <c r="L380">
        <f>IF(AND(ABS(I380)&gt;Dashboard!$G$6,ABS(J380)&gt;Dashboard!$H$6),"⚠ Vượt","")</f>
        <v/>
      </c>
      <c r="M380">
        <f>IF(AND(A380=Dashboard!$D$6,OR(Dashboard!$C$6="*",F380=Dashboard!$C$6),L380&lt;&gt;""),ABS(I380)+ROW()/1000000000,0)</f>
        <v/>
      </c>
    </row>
    <row r="381">
      <c r="A381">
        <f>Data_thang!A381</f>
        <v/>
      </c>
      <c r="B381">
        <f>Data_thang!B381</f>
        <v/>
      </c>
      <c r="C381">
        <f>Data_thang!D381</f>
        <v/>
      </c>
      <c r="D381">
        <f>Data_thang!E381</f>
        <v/>
      </c>
      <c r="E381">
        <f>Data_thang!F381</f>
        <v/>
      </c>
      <c r="F381">
        <f>Data_thang!G381</f>
        <v/>
      </c>
      <c r="G381" s="29">
        <f>Data_thang!J381-Data_thang!K381</f>
        <v/>
      </c>
      <c r="H381" s="29">
        <f>Data_thang!N381</f>
        <v/>
      </c>
      <c r="I381" s="29">
        <f>H381-G381</f>
        <v/>
      </c>
      <c r="J381" s="30">
        <f>IF(H381=0,IF(I381=0,0,1),I381/ABS(H381))</f>
        <v/>
      </c>
      <c r="K381" s="29">
        <f>H381-(Data_thang!O381-Data_thang!K381)</f>
        <v/>
      </c>
      <c r="L381">
        <f>IF(AND(ABS(I381)&gt;Dashboard!$G$6,ABS(J381)&gt;Dashboard!$H$6),"⚠ Vượt","")</f>
        <v/>
      </c>
      <c r="M381">
        <f>IF(AND(A381=Dashboard!$D$6,OR(Dashboard!$C$6="*",F381=Dashboard!$C$6),L381&lt;&gt;""),ABS(I381)+ROW()/1000000000,0)</f>
        <v/>
      </c>
    </row>
    <row r="382">
      <c r="A382">
        <f>Data_thang!A382</f>
        <v/>
      </c>
      <c r="B382">
        <f>Data_thang!B382</f>
        <v/>
      </c>
      <c r="C382">
        <f>Data_thang!D382</f>
        <v/>
      </c>
      <c r="D382">
        <f>Data_thang!E382</f>
        <v/>
      </c>
      <c r="E382">
        <f>Data_thang!F382</f>
        <v/>
      </c>
      <c r="F382">
        <f>Data_thang!G382</f>
        <v/>
      </c>
      <c r="G382" s="29">
        <f>Data_thang!J382-Data_thang!K382</f>
        <v/>
      </c>
      <c r="H382" s="29">
        <f>Data_thang!N382</f>
        <v/>
      </c>
      <c r="I382" s="29">
        <f>H382-G382</f>
        <v/>
      </c>
      <c r="J382" s="30">
        <f>IF(H382=0,IF(I382=0,0,1),I382/ABS(H382))</f>
        <v/>
      </c>
      <c r="K382" s="29">
        <f>H382-(Data_thang!O382-Data_thang!K382)</f>
        <v/>
      </c>
      <c r="L382">
        <f>IF(AND(ABS(I382)&gt;Dashboard!$G$6,ABS(J382)&gt;Dashboard!$H$6),"⚠ Vượt","")</f>
        <v/>
      </c>
      <c r="M382">
        <f>IF(AND(A382=Dashboard!$D$6,OR(Dashboard!$C$6="*",F382=Dashboard!$C$6),L382&lt;&gt;""),ABS(I382)+ROW()/1000000000,0)</f>
        <v/>
      </c>
    </row>
    <row r="383">
      <c r="A383">
        <f>Data_thang!A383</f>
        <v/>
      </c>
      <c r="B383">
        <f>Data_thang!B383</f>
        <v/>
      </c>
      <c r="C383">
        <f>Data_thang!D383</f>
        <v/>
      </c>
      <c r="D383">
        <f>Data_thang!E383</f>
        <v/>
      </c>
      <c r="E383">
        <f>Data_thang!F383</f>
        <v/>
      </c>
      <c r="F383">
        <f>Data_thang!G383</f>
        <v/>
      </c>
      <c r="G383" s="29">
        <f>Data_thang!J383-Data_thang!K383</f>
        <v/>
      </c>
      <c r="H383" s="29">
        <f>Data_thang!N383</f>
        <v/>
      </c>
      <c r="I383" s="29">
        <f>H383-G383</f>
        <v/>
      </c>
      <c r="J383" s="30">
        <f>IF(H383=0,IF(I383=0,0,1),I383/ABS(H383))</f>
        <v/>
      </c>
      <c r="K383" s="29">
        <f>H383-(Data_thang!O383-Data_thang!K383)</f>
        <v/>
      </c>
      <c r="L383">
        <f>IF(AND(ABS(I383)&gt;Dashboard!$G$6,ABS(J383)&gt;Dashboard!$H$6),"⚠ Vượt","")</f>
        <v/>
      </c>
      <c r="M383">
        <f>IF(AND(A383=Dashboard!$D$6,OR(Dashboard!$C$6="*",F383=Dashboard!$C$6),L383&lt;&gt;""),ABS(I383)+ROW()/1000000000,0)</f>
        <v/>
      </c>
    </row>
    <row r="384">
      <c r="A384">
        <f>Data_thang!A384</f>
        <v/>
      </c>
      <c r="B384">
        <f>Data_thang!B384</f>
        <v/>
      </c>
      <c r="C384">
        <f>Data_thang!D384</f>
        <v/>
      </c>
      <c r="D384">
        <f>Data_thang!E384</f>
        <v/>
      </c>
      <c r="E384">
        <f>Data_thang!F384</f>
        <v/>
      </c>
      <c r="F384">
        <f>Data_thang!G384</f>
        <v/>
      </c>
      <c r="G384" s="29">
        <f>Data_thang!J384-Data_thang!K384</f>
        <v/>
      </c>
      <c r="H384" s="29">
        <f>Data_thang!N384</f>
        <v/>
      </c>
      <c r="I384" s="29">
        <f>H384-G384</f>
        <v/>
      </c>
      <c r="J384" s="30">
        <f>IF(H384=0,IF(I384=0,0,1),I384/ABS(H384))</f>
        <v/>
      </c>
      <c r="K384" s="29">
        <f>H384-(Data_thang!O384-Data_thang!K384)</f>
        <v/>
      </c>
      <c r="L384">
        <f>IF(AND(ABS(I384)&gt;Dashboard!$G$6,ABS(J384)&gt;Dashboard!$H$6),"⚠ Vượt","")</f>
        <v/>
      </c>
      <c r="M384">
        <f>IF(AND(A384=Dashboard!$D$6,OR(Dashboard!$C$6="*",F384=Dashboard!$C$6),L384&lt;&gt;""),ABS(I384)+ROW()/1000000000,0)</f>
        <v/>
      </c>
    </row>
    <row r="385">
      <c r="A385">
        <f>Data_thang!A385</f>
        <v/>
      </c>
      <c r="B385">
        <f>Data_thang!B385</f>
        <v/>
      </c>
      <c r="C385">
        <f>Data_thang!D385</f>
        <v/>
      </c>
      <c r="D385">
        <f>Data_thang!E385</f>
        <v/>
      </c>
      <c r="E385">
        <f>Data_thang!F385</f>
        <v/>
      </c>
      <c r="F385">
        <f>Data_thang!G385</f>
        <v/>
      </c>
      <c r="G385" s="29">
        <f>Data_thang!J385-Data_thang!K385</f>
        <v/>
      </c>
      <c r="H385" s="29">
        <f>Data_thang!N385</f>
        <v/>
      </c>
      <c r="I385" s="29">
        <f>H385-G385</f>
        <v/>
      </c>
      <c r="J385" s="30">
        <f>IF(H385=0,IF(I385=0,0,1),I385/ABS(H385))</f>
        <v/>
      </c>
      <c r="K385" s="29">
        <f>H385-(Data_thang!O385-Data_thang!K385)</f>
        <v/>
      </c>
      <c r="L385">
        <f>IF(AND(ABS(I385)&gt;Dashboard!$G$6,ABS(J385)&gt;Dashboard!$H$6),"⚠ Vượt","")</f>
        <v/>
      </c>
      <c r="M385">
        <f>IF(AND(A385=Dashboard!$D$6,OR(Dashboard!$C$6="*",F385=Dashboard!$C$6),L385&lt;&gt;""),ABS(I385)+ROW()/1000000000,0)</f>
        <v/>
      </c>
    </row>
    <row r="386">
      <c r="A386">
        <f>Data_thang!A386</f>
        <v/>
      </c>
      <c r="B386">
        <f>Data_thang!B386</f>
        <v/>
      </c>
      <c r="C386">
        <f>Data_thang!D386</f>
        <v/>
      </c>
      <c r="D386">
        <f>Data_thang!E386</f>
        <v/>
      </c>
      <c r="E386">
        <f>Data_thang!F386</f>
        <v/>
      </c>
      <c r="F386">
        <f>Data_thang!G386</f>
        <v/>
      </c>
      <c r="G386" s="29">
        <f>Data_thang!J386-Data_thang!K386</f>
        <v/>
      </c>
      <c r="H386" s="29">
        <f>Data_thang!N386</f>
        <v/>
      </c>
      <c r="I386" s="29">
        <f>H386-G386</f>
        <v/>
      </c>
      <c r="J386" s="30">
        <f>IF(H386=0,IF(I386=0,0,1),I386/ABS(H386))</f>
        <v/>
      </c>
      <c r="K386" s="29">
        <f>H386-(Data_thang!O386-Data_thang!K386)</f>
        <v/>
      </c>
      <c r="L386">
        <f>IF(AND(ABS(I386)&gt;Dashboard!$G$6,ABS(J386)&gt;Dashboard!$H$6),"⚠ Vượt","")</f>
        <v/>
      </c>
      <c r="M386">
        <f>IF(AND(A386=Dashboard!$D$6,OR(Dashboard!$C$6="*",F386=Dashboard!$C$6),L386&lt;&gt;""),ABS(I386)+ROW()/1000000000,0)</f>
        <v/>
      </c>
    </row>
    <row r="387">
      <c r="A387">
        <f>Data_thang!A387</f>
        <v/>
      </c>
      <c r="B387">
        <f>Data_thang!B387</f>
        <v/>
      </c>
      <c r="C387">
        <f>Data_thang!D387</f>
        <v/>
      </c>
      <c r="D387">
        <f>Data_thang!E387</f>
        <v/>
      </c>
      <c r="E387">
        <f>Data_thang!F387</f>
        <v/>
      </c>
      <c r="F387">
        <f>Data_thang!G387</f>
        <v/>
      </c>
      <c r="G387" s="29">
        <f>Data_thang!J387-Data_thang!K387</f>
        <v/>
      </c>
      <c r="H387" s="29">
        <f>Data_thang!N387</f>
        <v/>
      </c>
      <c r="I387" s="29">
        <f>H387-G387</f>
        <v/>
      </c>
      <c r="J387" s="30">
        <f>IF(H387=0,IF(I387=0,0,1),I387/ABS(H387))</f>
        <v/>
      </c>
      <c r="K387" s="29">
        <f>H387-(Data_thang!O387-Data_thang!K387)</f>
        <v/>
      </c>
      <c r="L387">
        <f>IF(AND(ABS(I387)&gt;Dashboard!$G$6,ABS(J387)&gt;Dashboard!$H$6),"⚠ Vượt","")</f>
        <v/>
      </c>
      <c r="M387">
        <f>IF(AND(A387=Dashboard!$D$6,OR(Dashboard!$C$6="*",F387=Dashboard!$C$6),L387&lt;&gt;""),ABS(I387)+ROW()/1000000000,0)</f>
        <v/>
      </c>
    </row>
    <row r="388">
      <c r="A388">
        <f>Data_thang!A388</f>
        <v/>
      </c>
      <c r="B388">
        <f>Data_thang!B388</f>
        <v/>
      </c>
      <c r="C388">
        <f>Data_thang!D388</f>
        <v/>
      </c>
      <c r="D388">
        <f>Data_thang!E388</f>
        <v/>
      </c>
      <c r="E388">
        <f>Data_thang!F388</f>
        <v/>
      </c>
      <c r="F388">
        <f>Data_thang!G388</f>
        <v/>
      </c>
      <c r="G388" s="29">
        <f>Data_thang!J388-Data_thang!K388</f>
        <v/>
      </c>
      <c r="H388" s="29">
        <f>Data_thang!N388</f>
        <v/>
      </c>
      <c r="I388" s="29">
        <f>H388-G388</f>
        <v/>
      </c>
      <c r="J388" s="30">
        <f>IF(H388=0,IF(I388=0,0,1),I388/ABS(H388))</f>
        <v/>
      </c>
      <c r="K388" s="29">
        <f>H388-(Data_thang!O388-Data_thang!K388)</f>
        <v/>
      </c>
      <c r="L388">
        <f>IF(AND(ABS(I388)&gt;Dashboard!$G$6,ABS(J388)&gt;Dashboard!$H$6),"⚠ Vượt","")</f>
        <v/>
      </c>
      <c r="M388">
        <f>IF(AND(A388=Dashboard!$D$6,OR(Dashboard!$C$6="*",F388=Dashboard!$C$6),L388&lt;&gt;""),ABS(I388)+ROW()/1000000000,0)</f>
        <v/>
      </c>
    </row>
    <row r="389">
      <c r="A389">
        <f>Data_thang!A389</f>
        <v/>
      </c>
      <c r="B389">
        <f>Data_thang!B389</f>
        <v/>
      </c>
      <c r="C389">
        <f>Data_thang!D389</f>
        <v/>
      </c>
      <c r="D389">
        <f>Data_thang!E389</f>
        <v/>
      </c>
      <c r="E389">
        <f>Data_thang!F389</f>
        <v/>
      </c>
      <c r="F389">
        <f>Data_thang!G389</f>
        <v/>
      </c>
      <c r="G389" s="29">
        <f>Data_thang!J389-Data_thang!K389</f>
        <v/>
      </c>
      <c r="H389" s="29">
        <f>Data_thang!N389</f>
        <v/>
      </c>
      <c r="I389" s="29">
        <f>H389-G389</f>
        <v/>
      </c>
      <c r="J389" s="30">
        <f>IF(H389=0,IF(I389=0,0,1),I389/ABS(H389))</f>
        <v/>
      </c>
      <c r="K389" s="29">
        <f>H389-(Data_thang!O389-Data_thang!K389)</f>
        <v/>
      </c>
      <c r="L389">
        <f>IF(AND(ABS(I389)&gt;Dashboard!$G$6,ABS(J389)&gt;Dashboard!$H$6),"⚠ Vượt","")</f>
        <v/>
      </c>
      <c r="M389">
        <f>IF(AND(A389=Dashboard!$D$6,OR(Dashboard!$C$6="*",F389=Dashboard!$C$6),L389&lt;&gt;""),ABS(I389)+ROW()/1000000000,0)</f>
        <v/>
      </c>
    </row>
    <row r="390">
      <c r="A390">
        <f>Data_thang!A390</f>
        <v/>
      </c>
      <c r="B390">
        <f>Data_thang!B390</f>
        <v/>
      </c>
      <c r="C390">
        <f>Data_thang!D390</f>
        <v/>
      </c>
      <c r="D390">
        <f>Data_thang!E390</f>
        <v/>
      </c>
      <c r="E390">
        <f>Data_thang!F390</f>
        <v/>
      </c>
      <c r="F390">
        <f>Data_thang!G390</f>
        <v/>
      </c>
      <c r="G390" s="29">
        <f>Data_thang!J390-Data_thang!K390</f>
        <v/>
      </c>
      <c r="H390" s="29">
        <f>Data_thang!N390</f>
        <v/>
      </c>
      <c r="I390" s="29">
        <f>H390-G390</f>
        <v/>
      </c>
      <c r="J390" s="30">
        <f>IF(H390=0,IF(I390=0,0,1),I390/ABS(H390))</f>
        <v/>
      </c>
      <c r="K390" s="29">
        <f>H390-(Data_thang!O390-Data_thang!K390)</f>
        <v/>
      </c>
      <c r="L390">
        <f>IF(AND(ABS(I390)&gt;Dashboard!$G$6,ABS(J390)&gt;Dashboard!$H$6),"⚠ Vượt","")</f>
        <v/>
      </c>
      <c r="M390">
        <f>IF(AND(A390=Dashboard!$D$6,OR(Dashboard!$C$6="*",F390=Dashboard!$C$6),L390&lt;&gt;""),ABS(I390)+ROW()/1000000000,0)</f>
        <v/>
      </c>
    </row>
    <row r="391">
      <c r="A391">
        <f>Data_thang!A391</f>
        <v/>
      </c>
      <c r="B391">
        <f>Data_thang!B391</f>
        <v/>
      </c>
      <c r="C391">
        <f>Data_thang!D391</f>
        <v/>
      </c>
      <c r="D391">
        <f>Data_thang!E391</f>
        <v/>
      </c>
      <c r="E391">
        <f>Data_thang!F391</f>
        <v/>
      </c>
      <c r="F391">
        <f>Data_thang!G391</f>
        <v/>
      </c>
      <c r="G391" s="29">
        <f>Data_thang!J391-Data_thang!K391</f>
        <v/>
      </c>
      <c r="H391" s="29">
        <f>Data_thang!N391</f>
        <v/>
      </c>
      <c r="I391" s="29">
        <f>H391-G391</f>
        <v/>
      </c>
      <c r="J391" s="30">
        <f>IF(H391=0,IF(I391=0,0,1),I391/ABS(H391))</f>
        <v/>
      </c>
      <c r="K391" s="29">
        <f>H391-(Data_thang!O391-Data_thang!K391)</f>
        <v/>
      </c>
      <c r="L391">
        <f>IF(AND(ABS(I391)&gt;Dashboard!$G$6,ABS(J391)&gt;Dashboard!$H$6),"⚠ Vượt","")</f>
        <v/>
      </c>
      <c r="M391">
        <f>IF(AND(A391=Dashboard!$D$6,OR(Dashboard!$C$6="*",F391=Dashboard!$C$6),L391&lt;&gt;""),ABS(I391)+ROW()/1000000000,0)</f>
        <v/>
      </c>
    </row>
    <row r="392">
      <c r="A392">
        <f>Data_thang!A392</f>
        <v/>
      </c>
      <c r="B392">
        <f>Data_thang!B392</f>
        <v/>
      </c>
      <c r="C392">
        <f>Data_thang!D392</f>
        <v/>
      </c>
      <c r="D392">
        <f>Data_thang!E392</f>
        <v/>
      </c>
      <c r="E392">
        <f>Data_thang!F392</f>
        <v/>
      </c>
      <c r="F392">
        <f>Data_thang!G392</f>
        <v/>
      </c>
      <c r="G392" s="29">
        <f>Data_thang!J392-Data_thang!K392</f>
        <v/>
      </c>
      <c r="H392" s="29">
        <f>Data_thang!N392</f>
        <v/>
      </c>
      <c r="I392" s="29">
        <f>H392-G392</f>
        <v/>
      </c>
      <c r="J392" s="30">
        <f>IF(H392=0,IF(I392=0,0,1),I392/ABS(H392))</f>
        <v/>
      </c>
      <c r="K392" s="29">
        <f>H392-(Data_thang!O392-Data_thang!K392)</f>
        <v/>
      </c>
      <c r="L392">
        <f>IF(AND(ABS(I392)&gt;Dashboard!$G$6,ABS(J392)&gt;Dashboard!$H$6),"⚠ Vượt","")</f>
        <v/>
      </c>
      <c r="M392">
        <f>IF(AND(A392=Dashboard!$D$6,OR(Dashboard!$C$6="*",F392=Dashboard!$C$6),L392&lt;&gt;""),ABS(I392)+ROW()/1000000000,0)</f>
        <v/>
      </c>
    </row>
    <row r="393">
      <c r="A393">
        <f>Data_thang!A393</f>
        <v/>
      </c>
      <c r="B393">
        <f>Data_thang!B393</f>
        <v/>
      </c>
      <c r="C393">
        <f>Data_thang!D393</f>
        <v/>
      </c>
      <c r="D393">
        <f>Data_thang!E393</f>
        <v/>
      </c>
      <c r="E393">
        <f>Data_thang!F393</f>
        <v/>
      </c>
      <c r="F393">
        <f>Data_thang!G393</f>
        <v/>
      </c>
      <c r="G393" s="29">
        <f>Data_thang!J393-Data_thang!K393</f>
        <v/>
      </c>
      <c r="H393" s="29">
        <f>Data_thang!N393</f>
        <v/>
      </c>
      <c r="I393" s="29">
        <f>H393-G393</f>
        <v/>
      </c>
      <c r="J393" s="30">
        <f>IF(H393=0,IF(I393=0,0,1),I393/ABS(H393))</f>
        <v/>
      </c>
      <c r="K393" s="29">
        <f>H393-(Data_thang!O393-Data_thang!K393)</f>
        <v/>
      </c>
      <c r="L393">
        <f>IF(AND(ABS(I393)&gt;Dashboard!$G$6,ABS(J393)&gt;Dashboard!$H$6),"⚠ Vượt","")</f>
        <v/>
      </c>
      <c r="M393">
        <f>IF(AND(A393=Dashboard!$D$6,OR(Dashboard!$C$6="*",F393=Dashboard!$C$6),L393&lt;&gt;""),ABS(I393)+ROW()/1000000000,0)</f>
        <v/>
      </c>
    </row>
    <row r="394">
      <c r="A394">
        <f>Data_thang!A394</f>
        <v/>
      </c>
      <c r="B394">
        <f>Data_thang!B394</f>
        <v/>
      </c>
      <c r="C394">
        <f>Data_thang!D394</f>
        <v/>
      </c>
      <c r="D394">
        <f>Data_thang!E394</f>
        <v/>
      </c>
      <c r="E394">
        <f>Data_thang!F394</f>
        <v/>
      </c>
      <c r="F394">
        <f>Data_thang!G394</f>
        <v/>
      </c>
      <c r="G394" s="29">
        <f>Data_thang!J394-Data_thang!K394</f>
        <v/>
      </c>
      <c r="H394" s="29">
        <f>Data_thang!N394</f>
        <v/>
      </c>
      <c r="I394" s="29">
        <f>H394-G394</f>
        <v/>
      </c>
      <c r="J394" s="30">
        <f>IF(H394=0,IF(I394=0,0,1),I394/ABS(H394))</f>
        <v/>
      </c>
      <c r="K394" s="29">
        <f>H394-(Data_thang!O394-Data_thang!K394)</f>
        <v/>
      </c>
      <c r="L394">
        <f>IF(AND(ABS(I394)&gt;Dashboard!$G$6,ABS(J394)&gt;Dashboard!$H$6),"⚠ Vượt","")</f>
        <v/>
      </c>
      <c r="M394">
        <f>IF(AND(A394=Dashboard!$D$6,OR(Dashboard!$C$6="*",F394=Dashboard!$C$6),L394&lt;&gt;""),ABS(I394)+ROW()/1000000000,0)</f>
        <v/>
      </c>
    </row>
    <row r="395">
      <c r="A395">
        <f>Data_thang!A395</f>
        <v/>
      </c>
      <c r="B395">
        <f>Data_thang!B395</f>
        <v/>
      </c>
      <c r="C395">
        <f>Data_thang!D395</f>
        <v/>
      </c>
      <c r="D395">
        <f>Data_thang!E395</f>
        <v/>
      </c>
      <c r="E395">
        <f>Data_thang!F395</f>
        <v/>
      </c>
      <c r="F395">
        <f>Data_thang!G395</f>
        <v/>
      </c>
      <c r="G395" s="29">
        <f>Data_thang!J395-Data_thang!K395</f>
        <v/>
      </c>
      <c r="H395" s="29">
        <f>Data_thang!N395</f>
        <v/>
      </c>
      <c r="I395" s="29">
        <f>H395-G395</f>
        <v/>
      </c>
      <c r="J395" s="30">
        <f>IF(H395=0,IF(I395=0,0,1),I395/ABS(H395))</f>
        <v/>
      </c>
      <c r="K395" s="29">
        <f>H395-(Data_thang!O395-Data_thang!K395)</f>
        <v/>
      </c>
      <c r="L395">
        <f>IF(AND(ABS(I395)&gt;Dashboard!$G$6,ABS(J395)&gt;Dashboard!$H$6),"⚠ Vượt","")</f>
        <v/>
      </c>
      <c r="M395">
        <f>IF(AND(A395=Dashboard!$D$6,OR(Dashboard!$C$6="*",F395=Dashboard!$C$6),L395&lt;&gt;""),ABS(I395)+ROW()/1000000000,0)</f>
        <v/>
      </c>
    </row>
    <row r="396">
      <c r="A396">
        <f>Data_thang!A396</f>
        <v/>
      </c>
      <c r="B396">
        <f>Data_thang!B396</f>
        <v/>
      </c>
      <c r="C396">
        <f>Data_thang!D396</f>
        <v/>
      </c>
      <c r="D396">
        <f>Data_thang!E396</f>
        <v/>
      </c>
      <c r="E396">
        <f>Data_thang!F396</f>
        <v/>
      </c>
      <c r="F396">
        <f>Data_thang!G396</f>
        <v/>
      </c>
      <c r="G396" s="29">
        <f>Data_thang!J396-Data_thang!K396</f>
        <v/>
      </c>
      <c r="H396" s="29">
        <f>Data_thang!N396</f>
        <v/>
      </c>
      <c r="I396" s="29">
        <f>H396-G396</f>
        <v/>
      </c>
      <c r="J396" s="30">
        <f>IF(H396=0,IF(I396=0,0,1),I396/ABS(H396))</f>
        <v/>
      </c>
      <c r="K396" s="29">
        <f>H396-(Data_thang!O396-Data_thang!K396)</f>
        <v/>
      </c>
      <c r="L396">
        <f>IF(AND(ABS(I396)&gt;Dashboard!$G$6,ABS(J396)&gt;Dashboard!$H$6),"⚠ Vượt","")</f>
        <v/>
      </c>
      <c r="M396">
        <f>IF(AND(A396=Dashboard!$D$6,OR(Dashboard!$C$6="*",F396=Dashboard!$C$6),L396&lt;&gt;""),ABS(I396)+ROW()/1000000000,0)</f>
        <v/>
      </c>
    </row>
    <row r="397">
      <c r="A397">
        <f>Data_thang!A397</f>
        <v/>
      </c>
      <c r="B397">
        <f>Data_thang!B397</f>
        <v/>
      </c>
      <c r="C397">
        <f>Data_thang!D397</f>
        <v/>
      </c>
      <c r="D397">
        <f>Data_thang!E397</f>
        <v/>
      </c>
      <c r="E397">
        <f>Data_thang!F397</f>
        <v/>
      </c>
      <c r="F397">
        <f>Data_thang!G397</f>
        <v/>
      </c>
      <c r="G397" s="29">
        <f>Data_thang!J397-Data_thang!K397</f>
        <v/>
      </c>
      <c r="H397" s="29">
        <f>Data_thang!N397</f>
        <v/>
      </c>
      <c r="I397" s="29">
        <f>H397-G397</f>
        <v/>
      </c>
      <c r="J397" s="30">
        <f>IF(H397=0,IF(I397=0,0,1),I397/ABS(H397))</f>
        <v/>
      </c>
      <c r="K397" s="29">
        <f>H397-(Data_thang!O397-Data_thang!K397)</f>
        <v/>
      </c>
      <c r="L397">
        <f>IF(AND(ABS(I397)&gt;Dashboard!$G$6,ABS(J397)&gt;Dashboard!$H$6),"⚠ Vượt","")</f>
        <v/>
      </c>
      <c r="M397">
        <f>IF(AND(A397=Dashboard!$D$6,OR(Dashboard!$C$6="*",F397=Dashboard!$C$6),L397&lt;&gt;""),ABS(I397)+ROW()/1000000000,0)</f>
        <v/>
      </c>
    </row>
    <row r="398">
      <c r="A398">
        <f>Data_thang!A398</f>
        <v/>
      </c>
      <c r="B398">
        <f>Data_thang!B398</f>
        <v/>
      </c>
      <c r="C398">
        <f>Data_thang!D398</f>
        <v/>
      </c>
      <c r="D398">
        <f>Data_thang!E398</f>
        <v/>
      </c>
      <c r="E398">
        <f>Data_thang!F398</f>
        <v/>
      </c>
      <c r="F398">
        <f>Data_thang!G398</f>
        <v/>
      </c>
      <c r="G398" s="29">
        <f>Data_thang!J398-Data_thang!K398</f>
        <v/>
      </c>
      <c r="H398" s="29">
        <f>Data_thang!N398</f>
        <v/>
      </c>
      <c r="I398" s="29">
        <f>H398-G398</f>
        <v/>
      </c>
      <c r="J398" s="30">
        <f>IF(H398=0,IF(I398=0,0,1),I398/ABS(H398))</f>
        <v/>
      </c>
      <c r="K398" s="29">
        <f>H398-(Data_thang!O398-Data_thang!K398)</f>
        <v/>
      </c>
      <c r="L398">
        <f>IF(AND(ABS(I398)&gt;Dashboard!$G$6,ABS(J398)&gt;Dashboard!$H$6),"⚠ Vượt","")</f>
        <v/>
      </c>
      <c r="M398">
        <f>IF(AND(A398=Dashboard!$D$6,OR(Dashboard!$C$6="*",F398=Dashboard!$C$6),L398&lt;&gt;""),ABS(I398)+ROW()/1000000000,0)</f>
        <v/>
      </c>
    </row>
    <row r="399">
      <c r="A399">
        <f>Data_thang!A399</f>
        <v/>
      </c>
      <c r="B399">
        <f>Data_thang!B399</f>
        <v/>
      </c>
      <c r="C399">
        <f>Data_thang!D399</f>
        <v/>
      </c>
      <c r="D399">
        <f>Data_thang!E399</f>
        <v/>
      </c>
      <c r="E399">
        <f>Data_thang!F399</f>
        <v/>
      </c>
      <c r="F399">
        <f>Data_thang!G399</f>
        <v/>
      </c>
      <c r="G399" s="29">
        <f>Data_thang!J399-Data_thang!K399</f>
        <v/>
      </c>
      <c r="H399" s="29">
        <f>Data_thang!N399</f>
        <v/>
      </c>
      <c r="I399" s="29">
        <f>H399-G399</f>
        <v/>
      </c>
      <c r="J399" s="30">
        <f>IF(H399=0,IF(I399=0,0,1),I399/ABS(H399))</f>
        <v/>
      </c>
      <c r="K399" s="29">
        <f>H399-(Data_thang!O399-Data_thang!K399)</f>
        <v/>
      </c>
      <c r="L399">
        <f>IF(AND(ABS(I399)&gt;Dashboard!$G$6,ABS(J399)&gt;Dashboard!$H$6),"⚠ Vượt","")</f>
        <v/>
      </c>
      <c r="M399">
        <f>IF(AND(A399=Dashboard!$D$6,OR(Dashboard!$C$6="*",F399=Dashboard!$C$6),L399&lt;&gt;""),ABS(I399)+ROW()/1000000000,0)</f>
        <v/>
      </c>
    </row>
    <row r="400">
      <c r="A400">
        <f>Data_thang!A400</f>
        <v/>
      </c>
      <c r="B400">
        <f>Data_thang!B400</f>
        <v/>
      </c>
      <c r="C400">
        <f>Data_thang!D400</f>
        <v/>
      </c>
      <c r="D400">
        <f>Data_thang!E400</f>
        <v/>
      </c>
      <c r="E400">
        <f>Data_thang!F400</f>
        <v/>
      </c>
      <c r="F400">
        <f>Data_thang!G400</f>
        <v/>
      </c>
      <c r="G400" s="29">
        <f>Data_thang!J400-Data_thang!K400</f>
        <v/>
      </c>
      <c r="H400" s="29">
        <f>Data_thang!N400</f>
        <v/>
      </c>
      <c r="I400" s="29">
        <f>H400-G400</f>
        <v/>
      </c>
      <c r="J400" s="30">
        <f>IF(H400=0,IF(I400=0,0,1),I400/ABS(H400))</f>
        <v/>
      </c>
      <c r="K400" s="29">
        <f>H400-(Data_thang!O400-Data_thang!K400)</f>
        <v/>
      </c>
      <c r="L400">
        <f>IF(AND(ABS(I400)&gt;Dashboard!$G$6,ABS(J400)&gt;Dashboard!$H$6),"⚠ Vượt","")</f>
        <v/>
      </c>
      <c r="M400">
        <f>IF(AND(A400=Dashboard!$D$6,OR(Dashboard!$C$6="*",F400=Dashboard!$C$6),L400&lt;&gt;""),ABS(I400)+ROW()/1000000000,0)</f>
        <v/>
      </c>
    </row>
    <row r="401">
      <c r="A401">
        <f>Data_thang!A401</f>
        <v/>
      </c>
      <c r="B401">
        <f>Data_thang!B401</f>
        <v/>
      </c>
      <c r="C401">
        <f>Data_thang!D401</f>
        <v/>
      </c>
      <c r="D401">
        <f>Data_thang!E401</f>
        <v/>
      </c>
      <c r="E401">
        <f>Data_thang!F401</f>
        <v/>
      </c>
      <c r="F401">
        <f>Data_thang!G401</f>
        <v/>
      </c>
      <c r="G401" s="29">
        <f>Data_thang!J401-Data_thang!K401</f>
        <v/>
      </c>
      <c r="H401" s="29">
        <f>Data_thang!N401</f>
        <v/>
      </c>
      <c r="I401" s="29">
        <f>H401-G401</f>
        <v/>
      </c>
      <c r="J401" s="30">
        <f>IF(H401=0,IF(I401=0,0,1),I401/ABS(H401))</f>
        <v/>
      </c>
      <c r="K401" s="29">
        <f>H401-(Data_thang!O401-Data_thang!K401)</f>
        <v/>
      </c>
      <c r="L401">
        <f>IF(AND(ABS(I401)&gt;Dashboard!$G$6,ABS(J401)&gt;Dashboard!$H$6),"⚠ Vượt","")</f>
        <v/>
      </c>
      <c r="M401">
        <f>IF(AND(A401=Dashboard!$D$6,OR(Dashboard!$C$6="*",F401=Dashboard!$C$6),L401&lt;&gt;""),ABS(I401)+ROW()/1000000000,0)</f>
        <v/>
      </c>
    </row>
    <row r="402">
      <c r="A402">
        <f>Data_thang!A402</f>
        <v/>
      </c>
      <c r="B402">
        <f>Data_thang!B402</f>
        <v/>
      </c>
      <c r="C402">
        <f>Data_thang!D402</f>
        <v/>
      </c>
      <c r="D402">
        <f>Data_thang!E402</f>
        <v/>
      </c>
      <c r="E402">
        <f>Data_thang!F402</f>
        <v/>
      </c>
      <c r="F402">
        <f>Data_thang!G402</f>
        <v/>
      </c>
      <c r="G402" s="29">
        <f>Data_thang!J402-Data_thang!K402</f>
        <v/>
      </c>
      <c r="H402" s="29">
        <f>Data_thang!N402</f>
        <v/>
      </c>
      <c r="I402" s="29">
        <f>H402-G402</f>
        <v/>
      </c>
      <c r="J402" s="30">
        <f>IF(H402=0,IF(I402=0,0,1),I402/ABS(H402))</f>
        <v/>
      </c>
      <c r="K402" s="29">
        <f>H402-(Data_thang!O402-Data_thang!K402)</f>
        <v/>
      </c>
      <c r="L402">
        <f>IF(AND(ABS(I402)&gt;Dashboard!$G$6,ABS(J402)&gt;Dashboard!$H$6),"⚠ Vượt","")</f>
        <v/>
      </c>
      <c r="M402">
        <f>IF(AND(A402=Dashboard!$D$6,OR(Dashboard!$C$6="*",F402=Dashboard!$C$6),L402&lt;&gt;""),ABS(I402)+ROW()/1000000000,0)</f>
        <v/>
      </c>
    </row>
    <row r="403">
      <c r="A403">
        <f>Data_thang!A403</f>
        <v/>
      </c>
      <c r="B403">
        <f>Data_thang!B403</f>
        <v/>
      </c>
      <c r="C403">
        <f>Data_thang!D403</f>
        <v/>
      </c>
      <c r="D403">
        <f>Data_thang!E403</f>
        <v/>
      </c>
      <c r="E403">
        <f>Data_thang!F403</f>
        <v/>
      </c>
      <c r="F403">
        <f>Data_thang!G403</f>
        <v/>
      </c>
      <c r="G403" s="29">
        <f>Data_thang!J403-Data_thang!K403</f>
        <v/>
      </c>
      <c r="H403" s="29">
        <f>Data_thang!N403</f>
        <v/>
      </c>
      <c r="I403" s="29">
        <f>H403-G403</f>
        <v/>
      </c>
      <c r="J403" s="30">
        <f>IF(H403=0,IF(I403=0,0,1),I403/ABS(H403))</f>
        <v/>
      </c>
      <c r="K403" s="29">
        <f>H403-(Data_thang!O403-Data_thang!K403)</f>
        <v/>
      </c>
      <c r="L403">
        <f>IF(AND(ABS(I403)&gt;Dashboard!$G$6,ABS(J403)&gt;Dashboard!$H$6),"⚠ Vượt","")</f>
        <v/>
      </c>
      <c r="M403">
        <f>IF(AND(A403=Dashboard!$D$6,OR(Dashboard!$C$6="*",F403=Dashboard!$C$6),L403&lt;&gt;""),ABS(I403)+ROW()/1000000000,0)</f>
        <v/>
      </c>
    </row>
    <row r="404">
      <c r="A404">
        <f>Data_thang!A404</f>
        <v/>
      </c>
      <c r="B404">
        <f>Data_thang!B404</f>
        <v/>
      </c>
      <c r="C404">
        <f>Data_thang!D404</f>
        <v/>
      </c>
      <c r="D404">
        <f>Data_thang!E404</f>
        <v/>
      </c>
      <c r="E404">
        <f>Data_thang!F404</f>
        <v/>
      </c>
      <c r="F404">
        <f>Data_thang!G404</f>
        <v/>
      </c>
      <c r="G404" s="29">
        <f>Data_thang!J404-Data_thang!K404</f>
        <v/>
      </c>
      <c r="H404" s="29">
        <f>Data_thang!N404</f>
        <v/>
      </c>
      <c r="I404" s="29">
        <f>H404-G404</f>
        <v/>
      </c>
      <c r="J404" s="30">
        <f>IF(H404=0,IF(I404=0,0,1),I404/ABS(H404))</f>
        <v/>
      </c>
      <c r="K404" s="29">
        <f>H404-(Data_thang!O404-Data_thang!K404)</f>
        <v/>
      </c>
      <c r="L404">
        <f>IF(AND(ABS(I404)&gt;Dashboard!$G$6,ABS(J404)&gt;Dashboard!$H$6),"⚠ Vượt","")</f>
        <v/>
      </c>
      <c r="M404">
        <f>IF(AND(A404=Dashboard!$D$6,OR(Dashboard!$C$6="*",F404=Dashboard!$C$6),L404&lt;&gt;""),ABS(I404)+ROW()/1000000000,0)</f>
        <v/>
      </c>
    </row>
    <row r="405">
      <c r="A405">
        <f>Data_thang!A405</f>
        <v/>
      </c>
      <c r="B405">
        <f>Data_thang!B405</f>
        <v/>
      </c>
      <c r="C405">
        <f>Data_thang!D405</f>
        <v/>
      </c>
      <c r="D405">
        <f>Data_thang!E405</f>
        <v/>
      </c>
      <c r="E405">
        <f>Data_thang!F405</f>
        <v/>
      </c>
      <c r="F405">
        <f>Data_thang!G405</f>
        <v/>
      </c>
      <c r="G405" s="29">
        <f>Data_thang!J405-Data_thang!K405</f>
        <v/>
      </c>
      <c r="H405" s="29">
        <f>Data_thang!N405</f>
        <v/>
      </c>
      <c r="I405" s="29">
        <f>H405-G405</f>
        <v/>
      </c>
      <c r="J405" s="30">
        <f>IF(H405=0,IF(I405=0,0,1),I405/ABS(H405))</f>
        <v/>
      </c>
      <c r="K405" s="29">
        <f>H405-(Data_thang!O405-Data_thang!K405)</f>
        <v/>
      </c>
      <c r="L405">
        <f>IF(AND(ABS(I405)&gt;Dashboard!$G$6,ABS(J405)&gt;Dashboard!$H$6),"⚠ Vượt","")</f>
        <v/>
      </c>
      <c r="M405">
        <f>IF(AND(A405=Dashboard!$D$6,OR(Dashboard!$C$6="*",F405=Dashboard!$C$6),L405&lt;&gt;""),ABS(I405)+ROW()/1000000000,0)</f>
        <v/>
      </c>
    </row>
    <row r="406">
      <c r="A406">
        <f>Data_thang!A406</f>
        <v/>
      </c>
      <c r="B406">
        <f>Data_thang!B406</f>
        <v/>
      </c>
      <c r="C406">
        <f>Data_thang!D406</f>
        <v/>
      </c>
      <c r="D406">
        <f>Data_thang!E406</f>
        <v/>
      </c>
      <c r="E406">
        <f>Data_thang!F406</f>
        <v/>
      </c>
      <c r="F406">
        <f>Data_thang!G406</f>
        <v/>
      </c>
      <c r="G406" s="29">
        <f>Data_thang!J406-Data_thang!K406</f>
        <v/>
      </c>
      <c r="H406" s="29">
        <f>Data_thang!N406</f>
        <v/>
      </c>
      <c r="I406" s="29">
        <f>H406-G406</f>
        <v/>
      </c>
      <c r="J406" s="30">
        <f>IF(H406=0,IF(I406=0,0,1),I406/ABS(H406))</f>
        <v/>
      </c>
      <c r="K406" s="29">
        <f>H406-(Data_thang!O406-Data_thang!K406)</f>
        <v/>
      </c>
      <c r="L406">
        <f>IF(AND(ABS(I406)&gt;Dashboard!$G$6,ABS(J406)&gt;Dashboard!$H$6),"⚠ Vượt","")</f>
        <v/>
      </c>
      <c r="M406">
        <f>IF(AND(A406=Dashboard!$D$6,OR(Dashboard!$C$6="*",F406=Dashboard!$C$6),L406&lt;&gt;""),ABS(I406)+ROW()/1000000000,0)</f>
        <v/>
      </c>
    </row>
    <row r="407">
      <c r="A407">
        <f>Data_thang!A407</f>
        <v/>
      </c>
      <c r="B407">
        <f>Data_thang!B407</f>
        <v/>
      </c>
      <c r="C407">
        <f>Data_thang!D407</f>
        <v/>
      </c>
      <c r="D407">
        <f>Data_thang!E407</f>
        <v/>
      </c>
      <c r="E407">
        <f>Data_thang!F407</f>
        <v/>
      </c>
      <c r="F407">
        <f>Data_thang!G407</f>
        <v/>
      </c>
      <c r="G407" s="29">
        <f>Data_thang!J407-Data_thang!K407</f>
        <v/>
      </c>
      <c r="H407" s="29">
        <f>Data_thang!N407</f>
        <v/>
      </c>
      <c r="I407" s="29">
        <f>H407-G407</f>
        <v/>
      </c>
      <c r="J407" s="30">
        <f>IF(H407=0,IF(I407=0,0,1),I407/ABS(H407))</f>
        <v/>
      </c>
      <c r="K407" s="29">
        <f>H407-(Data_thang!O407-Data_thang!K407)</f>
        <v/>
      </c>
      <c r="L407">
        <f>IF(AND(ABS(I407)&gt;Dashboard!$G$6,ABS(J407)&gt;Dashboard!$H$6),"⚠ Vượt","")</f>
        <v/>
      </c>
      <c r="M407">
        <f>IF(AND(A407=Dashboard!$D$6,OR(Dashboard!$C$6="*",F407=Dashboard!$C$6),L407&lt;&gt;""),ABS(I407)+ROW()/1000000000,0)</f>
        <v/>
      </c>
    </row>
    <row r="408">
      <c r="A408">
        <f>Data_thang!A408</f>
        <v/>
      </c>
      <c r="B408">
        <f>Data_thang!B408</f>
        <v/>
      </c>
      <c r="C408">
        <f>Data_thang!D408</f>
        <v/>
      </c>
      <c r="D408">
        <f>Data_thang!E408</f>
        <v/>
      </c>
      <c r="E408">
        <f>Data_thang!F408</f>
        <v/>
      </c>
      <c r="F408">
        <f>Data_thang!G408</f>
        <v/>
      </c>
      <c r="G408" s="29">
        <f>Data_thang!J408-Data_thang!K408</f>
        <v/>
      </c>
      <c r="H408" s="29">
        <f>Data_thang!N408</f>
        <v/>
      </c>
      <c r="I408" s="29">
        <f>H408-G408</f>
        <v/>
      </c>
      <c r="J408" s="30">
        <f>IF(H408=0,IF(I408=0,0,1),I408/ABS(H408))</f>
        <v/>
      </c>
      <c r="K408" s="29">
        <f>H408-(Data_thang!O408-Data_thang!K408)</f>
        <v/>
      </c>
      <c r="L408">
        <f>IF(AND(ABS(I408)&gt;Dashboard!$G$6,ABS(J408)&gt;Dashboard!$H$6),"⚠ Vượt","")</f>
        <v/>
      </c>
      <c r="M408">
        <f>IF(AND(A408=Dashboard!$D$6,OR(Dashboard!$C$6="*",F408=Dashboard!$C$6),L408&lt;&gt;""),ABS(I408)+ROW()/1000000000,0)</f>
        <v/>
      </c>
    </row>
    <row r="409">
      <c r="A409">
        <f>Data_thang!A409</f>
        <v/>
      </c>
      <c r="B409">
        <f>Data_thang!B409</f>
        <v/>
      </c>
      <c r="C409">
        <f>Data_thang!D409</f>
        <v/>
      </c>
      <c r="D409">
        <f>Data_thang!E409</f>
        <v/>
      </c>
      <c r="E409">
        <f>Data_thang!F409</f>
        <v/>
      </c>
      <c r="F409">
        <f>Data_thang!G409</f>
        <v/>
      </c>
      <c r="G409" s="29">
        <f>Data_thang!J409-Data_thang!K409</f>
        <v/>
      </c>
      <c r="H409" s="29">
        <f>Data_thang!N409</f>
        <v/>
      </c>
      <c r="I409" s="29">
        <f>H409-G409</f>
        <v/>
      </c>
      <c r="J409" s="30">
        <f>IF(H409=0,IF(I409=0,0,1),I409/ABS(H409))</f>
        <v/>
      </c>
      <c r="K409" s="29">
        <f>H409-(Data_thang!O409-Data_thang!K409)</f>
        <v/>
      </c>
      <c r="L409">
        <f>IF(AND(ABS(I409)&gt;Dashboard!$G$6,ABS(J409)&gt;Dashboard!$H$6),"⚠ Vượt","")</f>
        <v/>
      </c>
      <c r="M409">
        <f>IF(AND(A409=Dashboard!$D$6,OR(Dashboard!$C$6="*",F409=Dashboard!$C$6),L409&lt;&gt;""),ABS(I409)+ROW()/1000000000,0)</f>
        <v/>
      </c>
    </row>
    <row r="410">
      <c r="A410">
        <f>Data_thang!A410</f>
        <v/>
      </c>
      <c r="B410">
        <f>Data_thang!B410</f>
        <v/>
      </c>
      <c r="C410">
        <f>Data_thang!D410</f>
        <v/>
      </c>
      <c r="D410">
        <f>Data_thang!E410</f>
        <v/>
      </c>
      <c r="E410">
        <f>Data_thang!F410</f>
        <v/>
      </c>
      <c r="F410">
        <f>Data_thang!G410</f>
        <v/>
      </c>
      <c r="G410" s="29">
        <f>Data_thang!J410-Data_thang!K410</f>
        <v/>
      </c>
      <c r="H410" s="29">
        <f>Data_thang!N410</f>
        <v/>
      </c>
      <c r="I410" s="29">
        <f>H410-G410</f>
        <v/>
      </c>
      <c r="J410" s="30">
        <f>IF(H410=0,IF(I410=0,0,1),I410/ABS(H410))</f>
        <v/>
      </c>
      <c r="K410" s="29">
        <f>H410-(Data_thang!O410-Data_thang!K410)</f>
        <v/>
      </c>
      <c r="L410">
        <f>IF(AND(ABS(I410)&gt;Dashboard!$G$6,ABS(J410)&gt;Dashboard!$H$6),"⚠ Vượt","")</f>
        <v/>
      </c>
      <c r="M410">
        <f>IF(AND(A410=Dashboard!$D$6,OR(Dashboard!$C$6="*",F410=Dashboard!$C$6),L410&lt;&gt;""),ABS(I410)+ROW()/1000000000,0)</f>
        <v/>
      </c>
    </row>
    <row r="411">
      <c r="A411">
        <f>Data_thang!A411</f>
        <v/>
      </c>
      <c r="B411">
        <f>Data_thang!B411</f>
        <v/>
      </c>
      <c r="C411">
        <f>Data_thang!D411</f>
        <v/>
      </c>
      <c r="D411">
        <f>Data_thang!E411</f>
        <v/>
      </c>
      <c r="E411">
        <f>Data_thang!F411</f>
        <v/>
      </c>
      <c r="F411">
        <f>Data_thang!G411</f>
        <v/>
      </c>
      <c r="G411" s="29">
        <f>Data_thang!J411-Data_thang!K411</f>
        <v/>
      </c>
      <c r="H411" s="29">
        <f>Data_thang!N411</f>
        <v/>
      </c>
      <c r="I411" s="29">
        <f>H411-G411</f>
        <v/>
      </c>
      <c r="J411" s="30">
        <f>IF(H411=0,IF(I411=0,0,1),I411/ABS(H411))</f>
        <v/>
      </c>
      <c r="K411" s="29">
        <f>H411-(Data_thang!O411-Data_thang!K411)</f>
        <v/>
      </c>
      <c r="L411">
        <f>IF(AND(ABS(I411)&gt;Dashboard!$G$6,ABS(J411)&gt;Dashboard!$H$6),"⚠ Vượt","")</f>
        <v/>
      </c>
      <c r="M411">
        <f>IF(AND(A411=Dashboard!$D$6,OR(Dashboard!$C$6="*",F411=Dashboard!$C$6),L411&lt;&gt;""),ABS(I411)+ROW()/1000000000,0)</f>
        <v/>
      </c>
    </row>
    <row r="412">
      <c r="A412">
        <f>Data_thang!A412</f>
        <v/>
      </c>
      <c r="B412">
        <f>Data_thang!B412</f>
        <v/>
      </c>
      <c r="C412">
        <f>Data_thang!D412</f>
        <v/>
      </c>
      <c r="D412">
        <f>Data_thang!E412</f>
        <v/>
      </c>
      <c r="E412">
        <f>Data_thang!F412</f>
        <v/>
      </c>
      <c r="F412">
        <f>Data_thang!G412</f>
        <v/>
      </c>
      <c r="G412" s="29">
        <f>Data_thang!J412-Data_thang!K412</f>
        <v/>
      </c>
      <c r="H412" s="29">
        <f>Data_thang!N412</f>
        <v/>
      </c>
      <c r="I412" s="29">
        <f>H412-G412</f>
        <v/>
      </c>
      <c r="J412" s="30">
        <f>IF(H412=0,IF(I412=0,0,1),I412/ABS(H412))</f>
        <v/>
      </c>
      <c r="K412" s="29">
        <f>H412-(Data_thang!O412-Data_thang!K412)</f>
        <v/>
      </c>
      <c r="L412">
        <f>IF(AND(ABS(I412)&gt;Dashboard!$G$6,ABS(J412)&gt;Dashboard!$H$6),"⚠ Vượt","")</f>
        <v/>
      </c>
      <c r="M412">
        <f>IF(AND(A412=Dashboard!$D$6,OR(Dashboard!$C$6="*",F412=Dashboard!$C$6),L412&lt;&gt;""),ABS(I412)+ROW()/1000000000,0)</f>
        <v/>
      </c>
    </row>
    <row r="413">
      <c r="A413">
        <f>Data_thang!A413</f>
        <v/>
      </c>
      <c r="B413">
        <f>Data_thang!B413</f>
        <v/>
      </c>
      <c r="C413">
        <f>Data_thang!D413</f>
        <v/>
      </c>
      <c r="D413">
        <f>Data_thang!E413</f>
        <v/>
      </c>
      <c r="E413">
        <f>Data_thang!F413</f>
        <v/>
      </c>
      <c r="F413">
        <f>Data_thang!G413</f>
        <v/>
      </c>
      <c r="G413" s="29">
        <f>Data_thang!J413-Data_thang!K413</f>
        <v/>
      </c>
      <c r="H413" s="29">
        <f>Data_thang!N413</f>
        <v/>
      </c>
      <c r="I413" s="29">
        <f>H413-G413</f>
        <v/>
      </c>
      <c r="J413" s="30">
        <f>IF(H413=0,IF(I413=0,0,1),I413/ABS(H413))</f>
        <v/>
      </c>
      <c r="K413" s="29">
        <f>H413-(Data_thang!O413-Data_thang!K413)</f>
        <v/>
      </c>
      <c r="L413">
        <f>IF(AND(ABS(I413)&gt;Dashboard!$G$6,ABS(J413)&gt;Dashboard!$H$6),"⚠ Vượt","")</f>
        <v/>
      </c>
      <c r="M413">
        <f>IF(AND(A413=Dashboard!$D$6,OR(Dashboard!$C$6="*",F413=Dashboard!$C$6),L413&lt;&gt;""),ABS(I413)+ROW()/1000000000,0)</f>
        <v/>
      </c>
    </row>
    <row r="414">
      <c r="A414">
        <f>Data_thang!A414</f>
        <v/>
      </c>
      <c r="B414">
        <f>Data_thang!B414</f>
        <v/>
      </c>
      <c r="C414">
        <f>Data_thang!D414</f>
        <v/>
      </c>
      <c r="D414">
        <f>Data_thang!E414</f>
        <v/>
      </c>
      <c r="E414">
        <f>Data_thang!F414</f>
        <v/>
      </c>
      <c r="F414">
        <f>Data_thang!G414</f>
        <v/>
      </c>
      <c r="G414" s="29">
        <f>Data_thang!J414-Data_thang!K414</f>
        <v/>
      </c>
      <c r="H414" s="29">
        <f>Data_thang!N414</f>
        <v/>
      </c>
      <c r="I414" s="29">
        <f>H414-G414</f>
        <v/>
      </c>
      <c r="J414" s="30">
        <f>IF(H414=0,IF(I414=0,0,1),I414/ABS(H414))</f>
        <v/>
      </c>
      <c r="K414" s="29">
        <f>H414-(Data_thang!O414-Data_thang!K414)</f>
        <v/>
      </c>
      <c r="L414">
        <f>IF(AND(ABS(I414)&gt;Dashboard!$G$6,ABS(J414)&gt;Dashboard!$H$6),"⚠ Vượt","")</f>
        <v/>
      </c>
      <c r="M414">
        <f>IF(AND(A414=Dashboard!$D$6,OR(Dashboard!$C$6="*",F414=Dashboard!$C$6),L414&lt;&gt;""),ABS(I414)+ROW()/1000000000,0)</f>
        <v/>
      </c>
    </row>
    <row r="415">
      <c r="A415">
        <f>Data_thang!A415</f>
        <v/>
      </c>
      <c r="B415">
        <f>Data_thang!B415</f>
        <v/>
      </c>
      <c r="C415">
        <f>Data_thang!D415</f>
        <v/>
      </c>
      <c r="D415">
        <f>Data_thang!E415</f>
        <v/>
      </c>
      <c r="E415">
        <f>Data_thang!F415</f>
        <v/>
      </c>
      <c r="F415">
        <f>Data_thang!G415</f>
        <v/>
      </c>
      <c r="G415" s="29">
        <f>Data_thang!J415-Data_thang!K415</f>
        <v/>
      </c>
      <c r="H415" s="29">
        <f>Data_thang!N415</f>
        <v/>
      </c>
      <c r="I415" s="29">
        <f>H415-G415</f>
        <v/>
      </c>
      <c r="J415" s="30">
        <f>IF(H415=0,IF(I415=0,0,1),I415/ABS(H415))</f>
        <v/>
      </c>
      <c r="K415" s="29">
        <f>H415-(Data_thang!O415-Data_thang!K415)</f>
        <v/>
      </c>
      <c r="L415">
        <f>IF(AND(ABS(I415)&gt;Dashboard!$G$6,ABS(J415)&gt;Dashboard!$H$6),"⚠ Vượt","")</f>
        <v/>
      </c>
      <c r="M415">
        <f>IF(AND(A415=Dashboard!$D$6,OR(Dashboard!$C$6="*",F415=Dashboard!$C$6),L415&lt;&gt;""),ABS(I415)+ROW()/1000000000,0)</f>
        <v/>
      </c>
    </row>
    <row r="416">
      <c r="A416">
        <f>Data_thang!A416</f>
        <v/>
      </c>
      <c r="B416">
        <f>Data_thang!B416</f>
        <v/>
      </c>
      <c r="C416">
        <f>Data_thang!D416</f>
        <v/>
      </c>
      <c r="D416">
        <f>Data_thang!E416</f>
        <v/>
      </c>
      <c r="E416">
        <f>Data_thang!F416</f>
        <v/>
      </c>
      <c r="F416">
        <f>Data_thang!G416</f>
        <v/>
      </c>
      <c r="G416" s="29">
        <f>Data_thang!J416-Data_thang!K416</f>
        <v/>
      </c>
      <c r="H416" s="29">
        <f>Data_thang!N416</f>
        <v/>
      </c>
      <c r="I416" s="29">
        <f>H416-G416</f>
        <v/>
      </c>
      <c r="J416" s="30">
        <f>IF(H416=0,IF(I416=0,0,1),I416/ABS(H416))</f>
        <v/>
      </c>
      <c r="K416" s="29">
        <f>H416-(Data_thang!O416-Data_thang!K416)</f>
        <v/>
      </c>
      <c r="L416">
        <f>IF(AND(ABS(I416)&gt;Dashboard!$G$6,ABS(J416)&gt;Dashboard!$H$6),"⚠ Vượt","")</f>
        <v/>
      </c>
      <c r="M416">
        <f>IF(AND(A416=Dashboard!$D$6,OR(Dashboard!$C$6="*",F416=Dashboard!$C$6),L416&lt;&gt;""),ABS(I416)+ROW()/1000000000,0)</f>
        <v/>
      </c>
    </row>
    <row r="417">
      <c r="A417">
        <f>Data_thang!A417</f>
        <v/>
      </c>
      <c r="B417">
        <f>Data_thang!B417</f>
        <v/>
      </c>
      <c r="C417">
        <f>Data_thang!D417</f>
        <v/>
      </c>
      <c r="D417">
        <f>Data_thang!E417</f>
        <v/>
      </c>
      <c r="E417">
        <f>Data_thang!F417</f>
        <v/>
      </c>
      <c r="F417">
        <f>Data_thang!G417</f>
        <v/>
      </c>
      <c r="G417" s="29">
        <f>Data_thang!J417-Data_thang!K417</f>
        <v/>
      </c>
      <c r="H417" s="29">
        <f>Data_thang!N417</f>
        <v/>
      </c>
      <c r="I417" s="29">
        <f>H417-G417</f>
        <v/>
      </c>
      <c r="J417" s="30">
        <f>IF(H417=0,IF(I417=0,0,1),I417/ABS(H417))</f>
        <v/>
      </c>
      <c r="K417" s="29">
        <f>H417-(Data_thang!O417-Data_thang!K417)</f>
        <v/>
      </c>
      <c r="L417">
        <f>IF(AND(ABS(I417)&gt;Dashboard!$G$6,ABS(J417)&gt;Dashboard!$H$6),"⚠ Vượt","")</f>
        <v/>
      </c>
      <c r="M417">
        <f>IF(AND(A417=Dashboard!$D$6,OR(Dashboard!$C$6="*",F417=Dashboard!$C$6),L417&lt;&gt;""),ABS(I417)+ROW()/1000000000,0)</f>
        <v/>
      </c>
    </row>
    <row r="418">
      <c r="A418">
        <f>Data_thang!A418</f>
        <v/>
      </c>
      <c r="B418">
        <f>Data_thang!B418</f>
        <v/>
      </c>
      <c r="C418">
        <f>Data_thang!D418</f>
        <v/>
      </c>
      <c r="D418">
        <f>Data_thang!E418</f>
        <v/>
      </c>
      <c r="E418">
        <f>Data_thang!F418</f>
        <v/>
      </c>
      <c r="F418">
        <f>Data_thang!G418</f>
        <v/>
      </c>
      <c r="G418" s="29">
        <f>Data_thang!J418-Data_thang!K418</f>
        <v/>
      </c>
      <c r="H418" s="29">
        <f>Data_thang!N418</f>
        <v/>
      </c>
      <c r="I418" s="29">
        <f>H418-G418</f>
        <v/>
      </c>
      <c r="J418" s="30">
        <f>IF(H418=0,IF(I418=0,0,1),I418/ABS(H418))</f>
        <v/>
      </c>
      <c r="K418" s="29">
        <f>H418-(Data_thang!O418-Data_thang!K418)</f>
        <v/>
      </c>
      <c r="L418">
        <f>IF(AND(ABS(I418)&gt;Dashboard!$G$6,ABS(J418)&gt;Dashboard!$H$6),"⚠ Vượt","")</f>
        <v/>
      </c>
      <c r="M418">
        <f>IF(AND(A418=Dashboard!$D$6,OR(Dashboard!$C$6="*",F418=Dashboard!$C$6),L418&lt;&gt;""),ABS(I418)+ROW()/1000000000,0)</f>
        <v/>
      </c>
    </row>
    <row r="419">
      <c r="A419">
        <f>Data_thang!A419</f>
        <v/>
      </c>
      <c r="B419">
        <f>Data_thang!B419</f>
        <v/>
      </c>
      <c r="C419">
        <f>Data_thang!D419</f>
        <v/>
      </c>
      <c r="D419">
        <f>Data_thang!E419</f>
        <v/>
      </c>
      <c r="E419">
        <f>Data_thang!F419</f>
        <v/>
      </c>
      <c r="F419">
        <f>Data_thang!G419</f>
        <v/>
      </c>
      <c r="G419" s="29">
        <f>Data_thang!J419-Data_thang!K419</f>
        <v/>
      </c>
      <c r="H419" s="29">
        <f>Data_thang!N419</f>
        <v/>
      </c>
      <c r="I419" s="29">
        <f>H419-G419</f>
        <v/>
      </c>
      <c r="J419" s="30">
        <f>IF(H419=0,IF(I419=0,0,1),I419/ABS(H419))</f>
        <v/>
      </c>
      <c r="K419" s="29">
        <f>H419-(Data_thang!O419-Data_thang!K419)</f>
        <v/>
      </c>
      <c r="L419">
        <f>IF(AND(ABS(I419)&gt;Dashboard!$G$6,ABS(J419)&gt;Dashboard!$H$6),"⚠ Vượt","")</f>
        <v/>
      </c>
      <c r="M419">
        <f>IF(AND(A419=Dashboard!$D$6,OR(Dashboard!$C$6="*",F419=Dashboard!$C$6),L419&lt;&gt;""),ABS(I419)+ROW()/1000000000,0)</f>
        <v/>
      </c>
    </row>
    <row r="420">
      <c r="A420">
        <f>Data_thang!A420</f>
        <v/>
      </c>
      <c r="B420">
        <f>Data_thang!B420</f>
        <v/>
      </c>
      <c r="C420">
        <f>Data_thang!D420</f>
        <v/>
      </c>
      <c r="D420">
        <f>Data_thang!E420</f>
        <v/>
      </c>
      <c r="E420">
        <f>Data_thang!F420</f>
        <v/>
      </c>
      <c r="F420">
        <f>Data_thang!G420</f>
        <v/>
      </c>
      <c r="G420" s="29">
        <f>Data_thang!J420-Data_thang!K420</f>
        <v/>
      </c>
      <c r="H420" s="29">
        <f>Data_thang!N420</f>
        <v/>
      </c>
      <c r="I420" s="29">
        <f>H420-G420</f>
        <v/>
      </c>
      <c r="J420" s="30">
        <f>IF(H420=0,IF(I420=0,0,1),I420/ABS(H420))</f>
        <v/>
      </c>
      <c r="K420" s="29">
        <f>H420-(Data_thang!O420-Data_thang!K420)</f>
        <v/>
      </c>
      <c r="L420">
        <f>IF(AND(ABS(I420)&gt;Dashboard!$G$6,ABS(J420)&gt;Dashboard!$H$6),"⚠ Vượt","")</f>
        <v/>
      </c>
      <c r="M420">
        <f>IF(AND(A420=Dashboard!$D$6,OR(Dashboard!$C$6="*",F420=Dashboard!$C$6),L420&lt;&gt;""),ABS(I420)+ROW()/1000000000,0)</f>
        <v/>
      </c>
    </row>
    <row r="421">
      <c r="A421">
        <f>Data_thang!A421</f>
        <v/>
      </c>
      <c r="B421">
        <f>Data_thang!B421</f>
        <v/>
      </c>
      <c r="C421">
        <f>Data_thang!D421</f>
        <v/>
      </c>
      <c r="D421">
        <f>Data_thang!E421</f>
        <v/>
      </c>
      <c r="E421">
        <f>Data_thang!F421</f>
        <v/>
      </c>
      <c r="F421">
        <f>Data_thang!G421</f>
        <v/>
      </c>
      <c r="G421" s="29">
        <f>Data_thang!J421-Data_thang!K421</f>
        <v/>
      </c>
      <c r="H421" s="29">
        <f>Data_thang!N421</f>
        <v/>
      </c>
      <c r="I421" s="29">
        <f>H421-G421</f>
        <v/>
      </c>
      <c r="J421" s="30">
        <f>IF(H421=0,IF(I421=0,0,1),I421/ABS(H421))</f>
        <v/>
      </c>
      <c r="K421" s="29">
        <f>H421-(Data_thang!O421-Data_thang!K421)</f>
        <v/>
      </c>
      <c r="L421">
        <f>IF(AND(ABS(I421)&gt;Dashboard!$G$6,ABS(J421)&gt;Dashboard!$H$6),"⚠ Vượt","")</f>
        <v/>
      </c>
      <c r="M421">
        <f>IF(AND(A421=Dashboard!$D$6,OR(Dashboard!$C$6="*",F421=Dashboard!$C$6),L421&lt;&gt;""),ABS(I421)+ROW()/1000000000,0)</f>
        <v/>
      </c>
    </row>
    <row r="422">
      <c r="A422">
        <f>Data_thang!A422</f>
        <v/>
      </c>
      <c r="B422">
        <f>Data_thang!B422</f>
        <v/>
      </c>
      <c r="C422">
        <f>Data_thang!D422</f>
        <v/>
      </c>
      <c r="D422">
        <f>Data_thang!E422</f>
        <v/>
      </c>
      <c r="E422">
        <f>Data_thang!F422</f>
        <v/>
      </c>
      <c r="F422">
        <f>Data_thang!G422</f>
        <v/>
      </c>
      <c r="G422" s="29">
        <f>Data_thang!J422-Data_thang!K422</f>
        <v/>
      </c>
      <c r="H422" s="29">
        <f>Data_thang!N422</f>
        <v/>
      </c>
      <c r="I422" s="29">
        <f>H422-G422</f>
        <v/>
      </c>
      <c r="J422" s="30">
        <f>IF(H422=0,IF(I422=0,0,1),I422/ABS(H422))</f>
        <v/>
      </c>
      <c r="K422" s="29">
        <f>H422-(Data_thang!O422-Data_thang!K422)</f>
        <v/>
      </c>
      <c r="L422">
        <f>IF(AND(ABS(I422)&gt;Dashboard!$G$6,ABS(J422)&gt;Dashboard!$H$6),"⚠ Vượt","")</f>
        <v/>
      </c>
      <c r="M422">
        <f>IF(AND(A422=Dashboard!$D$6,OR(Dashboard!$C$6="*",F422=Dashboard!$C$6),L422&lt;&gt;""),ABS(I422)+ROW()/1000000000,0)</f>
        <v/>
      </c>
    </row>
    <row r="423">
      <c r="A423">
        <f>Data_thang!A423</f>
        <v/>
      </c>
      <c r="B423">
        <f>Data_thang!B423</f>
        <v/>
      </c>
      <c r="C423">
        <f>Data_thang!D423</f>
        <v/>
      </c>
      <c r="D423">
        <f>Data_thang!E423</f>
        <v/>
      </c>
      <c r="E423">
        <f>Data_thang!F423</f>
        <v/>
      </c>
      <c r="F423">
        <f>Data_thang!G423</f>
        <v/>
      </c>
      <c r="G423" s="29">
        <f>Data_thang!J423-Data_thang!K423</f>
        <v/>
      </c>
      <c r="H423" s="29">
        <f>Data_thang!N423</f>
        <v/>
      </c>
      <c r="I423" s="29">
        <f>H423-G423</f>
        <v/>
      </c>
      <c r="J423" s="30">
        <f>IF(H423=0,IF(I423=0,0,1),I423/ABS(H423))</f>
        <v/>
      </c>
      <c r="K423" s="29">
        <f>H423-(Data_thang!O423-Data_thang!K423)</f>
        <v/>
      </c>
      <c r="L423">
        <f>IF(AND(ABS(I423)&gt;Dashboard!$G$6,ABS(J423)&gt;Dashboard!$H$6),"⚠ Vượt","")</f>
        <v/>
      </c>
      <c r="M423">
        <f>IF(AND(A423=Dashboard!$D$6,OR(Dashboard!$C$6="*",F423=Dashboard!$C$6),L423&lt;&gt;""),ABS(I423)+ROW()/1000000000,0)</f>
        <v/>
      </c>
    </row>
    <row r="424">
      <c r="A424">
        <f>Data_thang!A424</f>
        <v/>
      </c>
      <c r="B424">
        <f>Data_thang!B424</f>
        <v/>
      </c>
      <c r="C424">
        <f>Data_thang!D424</f>
        <v/>
      </c>
      <c r="D424">
        <f>Data_thang!E424</f>
        <v/>
      </c>
      <c r="E424">
        <f>Data_thang!F424</f>
        <v/>
      </c>
      <c r="F424">
        <f>Data_thang!G424</f>
        <v/>
      </c>
      <c r="G424" s="29">
        <f>Data_thang!J424-Data_thang!K424</f>
        <v/>
      </c>
      <c r="H424" s="29">
        <f>Data_thang!N424</f>
        <v/>
      </c>
      <c r="I424" s="29">
        <f>H424-G424</f>
        <v/>
      </c>
      <c r="J424" s="30">
        <f>IF(H424=0,IF(I424=0,0,1),I424/ABS(H424))</f>
        <v/>
      </c>
      <c r="K424" s="29">
        <f>H424-(Data_thang!O424-Data_thang!K424)</f>
        <v/>
      </c>
      <c r="L424">
        <f>IF(AND(ABS(I424)&gt;Dashboard!$G$6,ABS(J424)&gt;Dashboard!$H$6),"⚠ Vượt","")</f>
        <v/>
      </c>
      <c r="M424">
        <f>IF(AND(A424=Dashboard!$D$6,OR(Dashboard!$C$6="*",F424=Dashboard!$C$6),L424&lt;&gt;""),ABS(I424)+ROW()/1000000000,0)</f>
        <v/>
      </c>
    </row>
    <row r="425">
      <c r="A425">
        <f>Data_thang!A425</f>
        <v/>
      </c>
      <c r="B425">
        <f>Data_thang!B425</f>
        <v/>
      </c>
      <c r="C425">
        <f>Data_thang!D425</f>
        <v/>
      </c>
      <c r="D425">
        <f>Data_thang!E425</f>
        <v/>
      </c>
      <c r="E425">
        <f>Data_thang!F425</f>
        <v/>
      </c>
      <c r="F425">
        <f>Data_thang!G425</f>
        <v/>
      </c>
      <c r="G425" s="29">
        <f>Data_thang!J425-Data_thang!K425</f>
        <v/>
      </c>
      <c r="H425" s="29">
        <f>Data_thang!N425</f>
        <v/>
      </c>
      <c r="I425" s="29">
        <f>H425-G425</f>
        <v/>
      </c>
      <c r="J425" s="30">
        <f>IF(H425=0,IF(I425=0,0,1),I425/ABS(H425))</f>
        <v/>
      </c>
      <c r="K425" s="29">
        <f>H425-(Data_thang!O425-Data_thang!K425)</f>
        <v/>
      </c>
      <c r="L425">
        <f>IF(AND(ABS(I425)&gt;Dashboard!$G$6,ABS(J425)&gt;Dashboard!$H$6),"⚠ Vượt","")</f>
        <v/>
      </c>
      <c r="M425">
        <f>IF(AND(A425=Dashboard!$D$6,OR(Dashboard!$C$6="*",F425=Dashboard!$C$6),L425&lt;&gt;""),ABS(I425)+ROW()/1000000000,0)</f>
        <v/>
      </c>
    </row>
    <row r="426">
      <c r="A426">
        <f>Data_thang!A426</f>
        <v/>
      </c>
      <c r="B426">
        <f>Data_thang!B426</f>
        <v/>
      </c>
      <c r="C426">
        <f>Data_thang!D426</f>
        <v/>
      </c>
      <c r="D426">
        <f>Data_thang!E426</f>
        <v/>
      </c>
      <c r="E426">
        <f>Data_thang!F426</f>
        <v/>
      </c>
      <c r="F426">
        <f>Data_thang!G426</f>
        <v/>
      </c>
      <c r="G426" s="29">
        <f>Data_thang!J426-Data_thang!K426</f>
        <v/>
      </c>
      <c r="H426" s="29">
        <f>Data_thang!N426</f>
        <v/>
      </c>
      <c r="I426" s="29">
        <f>H426-G426</f>
        <v/>
      </c>
      <c r="J426" s="30">
        <f>IF(H426=0,IF(I426=0,0,1),I426/ABS(H426))</f>
        <v/>
      </c>
      <c r="K426" s="29">
        <f>H426-(Data_thang!O426-Data_thang!K426)</f>
        <v/>
      </c>
      <c r="L426">
        <f>IF(AND(ABS(I426)&gt;Dashboard!$G$6,ABS(J426)&gt;Dashboard!$H$6),"⚠ Vượt","")</f>
        <v/>
      </c>
      <c r="M426">
        <f>IF(AND(A426=Dashboard!$D$6,OR(Dashboard!$C$6="*",F426=Dashboard!$C$6),L426&lt;&gt;""),ABS(I426)+ROW()/1000000000,0)</f>
        <v/>
      </c>
    </row>
    <row r="427">
      <c r="A427">
        <f>Data_thang!A427</f>
        <v/>
      </c>
      <c r="B427">
        <f>Data_thang!B427</f>
        <v/>
      </c>
      <c r="C427">
        <f>Data_thang!D427</f>
        <v/>
      </c>
      <c r="D427">
        <f>Data_thang!E427</f>
        <v/>
      </c>
      <c r="E427">
        <f>Data_thang!F427</f>
        <v/>
      </c>
      <c r="F427">
        <f>Data_thang!G427</f>
        <v/>
      </c>
      <c r="G427" s="29">
        <f>Data_thang!J427-Data_thang!K427</f>
        <v/>
      </c>
      <c r="H427" s="29">
        <f>Data_thang!N427</f>
        <v/>
      </c>
      <c r="I427" s="29">
        <f>H427-G427</f>
        <v/>
      </c>
      <c r="J427" s="30">
        <f>IF(H427=0,IF(I427=0,0,1),I427/ABS(H427))</f>
        <v/>
      </c>
      <c r="K427" s="29">
        <f>H427-(Data_thang!O427-Data_thang!K427)</f>
        <v/>
      </c>
      <c r="L427">
        <f>IF(AND(ABS(I427)&gt;Dashboard!$G$6,ABS(J427)&gt;Dashboard!$H$6),"⚠ Vượt","")</f>
        <v/>
      </c>
      <c r="M427">
        <f>IF(AND(A427=Dashboard!$D$6,OR(Dashboard!$C$6="*",F427=Dashboard!$C$6),L427&lt;&gt;""),ABS(I427)+ROW()/1000000000,0)</f>
        <v/>
      </c>
    </row>
    <row r="428">
      <c r="A428">
        <f>Data_thang!A428</f>
        <v/>
      </c>
      <c r="B428">
        <f>Data_thang!B428</f>
        <v/>
      </c>
      <c r="C428">
        <f>Data_thang!D428</f>
        <v/>
      </c>
      <c r="D428">
        <f>Data_thang!E428</f>
        <v/>
      </c>
      <c r="E428">
        <f>Data_thang!F428</f>
        <v/>
      </c>
      <c r="F428">
        <f>Data_thang!G428</f>
        <v/>
      </c>
      <c r="G428" s="29">
        <f>Data_thang!J428-Data_thang!K428</f>
        <v/>
      </c>
      <c r="H428" s="29">
        <f>Data_thang!N428</f>
        <v/>
      </c>
      <c r="I428" s="29">
        <f>H428-G428</f>
        <v/>
      </c>
      <c r="J428" s="30">
        <f>IF(H428=0,IF(I428=0,0,1),I428/ABS(H428))</f>
        <v/>
      </c>
      <c r="K428" s="29">
        <f>H428-(Data_thang!O428-Data_thang!K428)</f>
        <v/>
      </c>
      <c r="L428">
        <f>IF(AND(ABS(I428)&gt;Dashboard!$G$6,ABS(J428)&gt;Dashboard!$H$6),"⚠ Vượt","")</f>
        <v/>
      </c>
      <c r="M428">
        <f>IF(AND(A428=Dashboard!$D$6,OR(Dashboard!$C$6="*",F428=Dashboard!$C$6),L428&lt;&gt;""),ABS(I428)+ROW()/1000000000,0)</f>
        <v/>
      </c>
    </row>
    <row r="429">
      <c r="A429">
        <f>Data_thang!A429</f>
        <v/>
      </c>
      <c r="B429">
        <f>Data_thang!B429</f>
        <v/>
      </c>
      <c r="C429">
        <f>Data_thang!D429</f>
        <v/>
      </c>
      <c r="D429">
        <f>Data_thang!E429</f>
        <v/>
      </c>
      <c r="E429">
        <f>Data_thang!F429</f>
        <v/>
      </c>
      <c r="F429">
        <f>Data_thang!G429</f>
        <v/>
      </c>
      <c r="G429" s="29">
        <f>Data_thang!J429-Data_thang!K429</f>
        <v/>
      </c>
      <c r="H429" s="29">
        <f>Data_thang!N429</f>
        <v/>
      </c>
      <c r="I429" s="29">
        <f>H429-G429</f>
        <v/>
      </c>
      <c r="J429" s="30">
        <f>IF(H429=0,IF(I429=0,0,1),I429/ABS(H429))</f>
        <v/>
      </c>
      <c r="K429" s="29">
        <f>H429-(Data_thang!O429-Data_thang!K429)</f>
        <v/>
      </c>
      <c r="L429">
        <f>IF(AND(ABS(I429)&gt;Dashboard!$G$6,ABS(J429)&gt;Dashboard!$H$6),"⚠ Vượt","")</f>
        <v/>
      </c>
      <c r="M429">
        <f>IF(AND(A429=Dashboard!$D$6,OR(Dashboard!$C$6="*",F429=Dashboard!$C$6),L429&lt;&gt;""),ABS(I429)+ROW()/1000000000,0)</f>
        <v/>
      </c>
    </row>
    <row r="430">
      <c r="A430">
        <f>Data_thang!A430</f>
        <v/>
      </c>
      <c r="B430">
        <f>Data_thang!B430</f>
        <v/>
      </c>
      <c r="C430">
        <f>Data_thang!D430</f>
        <v/>
      </c>
      <c r="D430">
        <f>Data_thang!E430</f>
        <v/>
      </c>
      <c r="E430">
        <f>Data_thang!F430</f>
        <v/>
      </c>
      <c r="F430">
        <f>Data_thang!G430</f>
        <v/>
      </c>
      <c r="G430" s="29">
        <f>Data_thang!J430-Data_thang!K430</f>
        <v/>
      </c>
      <c r="H430" s="29">
        <f>Data_thang!N430</f>
        <v/>
      </c>
      <c r="I430" s="29">
        <f>H430-G430</f>
        <v/>
      </c>
      <c r="J430" s="30">
        <f>IF(H430=0,IF(I430=0,0,1),I430/ABS(H430))</f>
        <v/>
      </c>
      <c r="K430" s="29">
        <f>H430-(Data_thang!O430-Data_thang!K430)</f>
        <v/>
      </c>
      <c r="L430">
        <f>IF(AND(ABS(I430)&gt;Dashboard!$G$6,ABS(J430)&gt;Dashboard!$H$6),"⚠ Vượt","")</f>
        <v/>
      </c>
      <c r="M430">
        <f>IF(AND(A430=Dashboard!$D$6,OR(Dashboard!$C$6="*",F430=Dashboard!$C$6),L430&lt;&gt;""),ABS(I430)+ROW()/1000000000,0)</f>
        <v/>
      </c>
    </row>
    <row r="431">
      <c r="A431">
        <f>Data_thang!A431</f>
        <v/>
      </c>
      <c r="B431">
        <f>Data_thang!B431</f>
        <v/>
      </c>
      <c r="C431">
        <f>Data_thang!D431</f>
        <v/>
      </c>
      <c r="D431">
        <f>Data_thang!E431</f>
        <v/>
      </c>
      <c r="E431">
        <f>Data_thang!F431</f>
        <v/>
      </c>
      <c r="F431">
        <f>Data_thang!G431</f>
        <v/>
      </c>
      <c r="G431" s="29">
        <f>Data_thang!J431-Data_thang!K431</f>
        <v/>
      </c>
      <c r="H431" s="29">
        <f>Data_thang!N431</f>
        <v/>
      </c>
      <c r="I431" s="29">
        <f>H431-G431</f>
        <v/>
      </c>
      <c r="J431" s="30">
        <f>IF(H431=0,IF(I431=0,0,1),I431/ABS(H431))</f>
        <v/>
      </c>
      <c r="K431" s="29">
        <f>H431-(Data_thang!O431-Data_thang!K431)</f>
        <v/>
      </c>
      <c r="L431">
        <f>IF(AND(ABS(I431)&gt;Dashboard!$G$6,ABS(J431)&gt;Dashboard!$H$6),"⚠ Vượt","")</f>
        <v/>
      </c>
      <c r="M431">
        <f>IF(AND(A431=Dashboard!$D$6,OR(Dashboard!$C$6="*",F431=Dashboard!$C$6),L431&lt;&gt;""),ABS(I431)+ROW()/1000000000,0)</f>
        <v/>
      </c>
    </row>
    <row r="432">
      <c r="A432">
        <f>Data_thang!A432</f>
        <v/>
      </c>
      <c r="B432">
        <f>Data_thang!B432</f>
        <v/>
      </c>
      <c r="C432">
        <f>Data_thang!D432</f>
        <v/>
      </c>
      <c r="D432">
        <f>Data_thang!E432</f>
        <v/>
      </c>
      <c r="E432">
        <f>Data_thang!F432</f>
        <v/>
      </c>
      <c r="F432">
        <f>Data_thang!G432</f>
        <v/>
      </c>
      <c r="G432" s="29">
        <f>Data_thang!J432-Data_thang!K432</f>
        <v/>
      </c>
      <c r="H432" s="29">
        <f>Data_thang!N432</f>
        <v/>
      </c>
      <c r="I432" s="29">
        <f>H432-G432</f>
        <v/>
      </c>
      <c r="J432" s="30">
        <f>IF(H432=0,IF(I432=0,0,1),I432/ABS(H432))</f>
        <v/>
      </c>
      <c r="K432" s="29">
        <f>H432-(Data_thang!O432-Data_thang!K432)</f>
        <v/>
      </c>
      <c r="L432">
        <f>IF(AND(ABS(I432)&gt;Dashboard!$G$6,ABS(J432)&gt;Dashboard!$H$6),"⚠ Vượt","")</f>
        <v/>
      </c>
      <c r="M432">
        <f>IF(AND(A432=Dashboard!$D$6,OR(Dashboard!$C$6="*",F432=Dashboard!$C$6),L432&lt;&gt;""),ABS(I432)+ROW()/1000000000,0)</f>
        <v/>
      </c>
    </row>
    <row r="433">
      <c r="A433">
        <f>Data_thang!A433</f>
        <v/>
      </c>
      <c r="B433">
        <f>Data_thang!B433</f>
        <v/>
      </c>
      <c r="C433">
        <f>Data_thang!D433</f>
        <v/>
      </c>
      <c r="D433">
        <f>Data_thang!E433</f>
        <v/>
      </c>
      <c r="E433">
        <f>Data_thang!F433</f>
        <v/>
      </c>
      <c r="F433">
        <f>Data_thang!G433</f>
        <v/>
      </c>
      <c r="G433" s="29">
        <f>Data_thang!J433-Data_thang!K433</f>
        <v/>
      </c>
      <c r="H433" s="29">
        <f>Data_thang!N433</f>
        <v/>
      </c>
      <c r="I433" s="29">
        <f>H433-G433</f>
        <v/>
      </c>
      <c r="J433" s="30">
        <f>IF(H433=0,IF(I433=0,0,1),I433/ABS(H433))</f>
        <v/>
      </c>
      <c r="K433" s="29">
        <f>H433-(Data_thang!O433-Data_thang!K433)</f>
        <v/>
      </c>
      <c r="L433">
        <f>IF(AND(ABS(I433)&gt;Dashboard!$G$6,ABS(J433)&gt;Dashboard!$H$6),"⚠ Vượt","")</f>
        <v/>
      </c>
      <c r="M433">
        <f>IF(AND(A433=Dashboard!$D$6,OR(Dashboard!$C$6="*",F433=Dashboard!$C$6),L433&lt;&gt;""),ABS(I433)+ROW()/1000000000,0)</f>
        <v/>
      </c>
    </row>
    <row r="434">
      <c r="A434">
        <f>Data_thang!A434</f>
        <v/>
      </c>
      <c r="B434">
        <f>Data_thang!B434</f>
        <v/>
      </c>
      <c r="C434">
        <f>Data_thang!D434</f>
        <v/>
      </c>
      <c r="D434">
        <f>Data_thang!E434</f>
        <v/>
      </c>
      <c r="E434">
        <f>Data_thang!F434</f>
        <v/>
      </c>
      <c r="F434">
        <f>Data_thang!G434</f>
        <v/>
      </c>
      <c r="G434" s="29">
        <f>Data_thang!J434-Data_thang!K434</f>
        <v/>
      </c>
      <c r="H434" s="29">
        <f>Data_thang!N434</f>
        <v/>
      </c>
      <c r="I434" s="29">
        <f>H434-G434</f>
        <v/>
      </c>
      <c r="J434" s="30">
        <f>IF(H434=0,IF(I434=0,0,1),I434/ABS(H434))</f>
        <v/>
      </c>
      <c r="K434" s="29">
        <f>H434-(Data_thang!O434-Data_thang!K434)</f>
        <v/>
      </c>
      <c r="L434">
        <f>IF(AND(ABS(I434)&gt;Dashboard!$G$6,ABS(J434)&gt;Dashboard!$H$6),"⚠ Vượt","")</f>
        <v/>
      </c>
      <c r="M434">
        <f>IF(AND(A434=Dashboard!$D$6,OR(Dashboard!$C$6="*",F434=Dashboard!$C$6),L434&lt;&gt;""),ABS(I434)+ROW()/1000000000,0)</f>
        <v/>
      </c>
    </row>
    <row r="435">
      <c r="A435">
        <f>Data_thang!A435</f>
        <v/>
      </c>
      <c r="B435">
        <f>Data_thang!B435</f>
        <v/>
      </c>
      <c r="C435">
        <f>Data_thang!D435</f>
        <v/>
      </c>
      <c r="D435">
        <f>Data_thang!E435</f>
        <v/>
      </c>
      <c r="E435">
        <f>Data_thang!F435</f>
        <v/>
      </c>
      <c r="F435">
        <f>Data_thang!G435</f>
        <v/>
      </c>
      <c r="G435" s="29">
        <f>Data_thang!J435-Data_thang!K435</f>
        <v/>
      </c>
      <c r="H435" s="29">
        <f>Data_thang!N435</f>
        <v/>
      </c>
      <c r="I435" s="29">
        <f>H435-G435</f>
        <v/>
      </c>
      <c r="J435" s="30">
        <f>IF(H435=0,IF(I435=0,0,1),I435/ABS(H435))</f>
        <v/>
      </c>
      <c r="K435" s="29">
        <f>H435-(Data_thang!O435-Data_thang!K435)</f>
        <v/>
      </c>
      <c r="L435">
        <f>IF(AND(ABS(I435)&gt;Dashboard!$G$6,ABS(J435)&gt;Dashboard!$H$6),"⚠ Vượt","")</f>
        <v/>
      </c>
      <c r="M435">
        <f>IF(AND(A435=Dashboard!$D$6,OR(Dashboard!$C$6="*",F435=Dashboard!$C$6),L435&lt;&gt;""),ABS(I435)+ROW()/1000000000,0)</f>
        <v/>
      </c>
    </row>
    <row r="436">
      <c r="A436">
        <f>Data_thang!A436</f>
        <v/>
      </c>
      <c r="B436">
        <f>Data_thang!B436</f>
        <v/>
      </c>
      <c r="C436">
        <f>Data_thang!D436</f>
        <v/>
      </c>
      <c r="D436">
        <f>Data_thang!E436</f>
        <v/>
      </c>
      <c r="E436">
        <f>Data_thang!F436</f>
        <v/>
      </c>
      <c r="F436">
        <f>Data_thang!G436</f>
        <v/>
      </c>
      <c r="G436" s="29">
        <f>Data_thang!J436-Data_thang!K436</f>
        <v/>
      </c>
      <c r="H436" s="29">
        <f>Data_thang!N436</f>
        <v/>
      </c>
      <c r="I436" s="29">
        <f>H436-G436</f>
        <v/>
      </c>
      <c r="J436" s="30">
        <f>IF(H436=0,IF(I436=0,0,1),I436/ABS(H436))</f>
        <v/>
      </c>
      <c r="K436" s="29">
        <f>H436-(Data_thang!O436-Data_thang!K436)</f>
        <v/>
      </c>
      <c r="L436">
        <f>IF(AND(ABS(I436)&gt;Dashboard!$G$6,ABS(J436)&gt;Dashboard!$H$6),"⚠ Vượt","")</f>
        <v/>
      </c>
      <c r="M436">
        <f>IF(AND(A436=Dashboard!$D$6,OR(Dashboard!$C$6="*",F436=Dashboard!$C$6),L436&lt;&gt;""),ABS(I436)+ROW()/1000000000,0)</f>
        <v/>
      </c>
    </row>
    <row r="437">
      <c r="A437">
        <f>Data_thang!A437</f>
        <v/>
      </c>
      <c r="B437">
        <f>Data_thang!B437</f>
        <v/>
      </c>
      <c r="C437">
        <f>Data_thang!D437</f>
        <v/>
      </c>
      <c r="D437">
        <f>Data_thang!E437</f>
        <v/>
      </c>
      <c r="E437">
        <f>Data_thang!F437</f>
        <v/>
      </c>
      <c r="F437">
        <f>Data_thang!G437</f>
        <v/>
      </c>
      <c r="G437" s="29">
        <f>Data_thang!J437-Data_thang!K437</f>
        <v/>
      </c>
      <c r="H437" s="29">
        <f>Data_thang!N437</f>
        <v/>
      </c>
      <c r="I437" s="29">
        <f>H437-G437</f>
        <v/>
      </c>
      <c r="J437" s="30">
        <f>IF(H437=0,IF(I437=0,0,1),I437/ABS(H437))</f>
        <v/>
      </c>
      <c r="K437" s="29">
        <f>H437-(Data_thang!O437-Data_thang!K437)</f>
        <v/>
      </c>
      <c r="L437">
        <f>IF(AND(ABS(I437)&gt;Dashboard!$G$6,ABS(J437)&gt;Dashboard!$H$6),"⚠ Vượt","")</f>
        <v/>
      </c>
      <c r="M437">
        <f>IF(AND(A437=Dashboard!$D$6,OR(Dashboard!$C$6="*",F437=Dashboard!$C$6),L437&lt;&gt;""),ABS(I437)+ROW()/1000000000,0)</f>
        <v/>
      </c>
    </row>
    <row r="438">
      <c r="A438">
        <f>Data_thang!A438</f>
        <v/>
      </c>
      <c r="B438">
        <f>Data_thang!B438</f>
        <v/>
      </c>
      <c r="C438">
        <f>Data_thang!D438</f>
        <v/>
      </c>
      <c r="D438">
        <f>Data_thang!E438</f>
        <v/>
      </c>
      <c r="E438">
        <f>Data_thang!F438</f>
        <v/>
      </c>
      <c r="F438">
        <f>Data_thang!G438</f>
        <v/>
      </c>
      <c r="G438" s="29">
        <f>Data_thang!J438-Data_thang!K438</f>
        <v/>
      </c>
      <c r="H438" s="29">
        <f>Data_thang!N438</f>
        <v/>
      </c>
      <c r="I438" s="29">
        <f>H438-G438</f>
        <v/>
      </c>
      <c r="J438" s="30">
        <f>IF(H438=0,IF(I438=0,0,1),I438/ABS(H438))</f>
        <v/>
      </c>
      <c r="K438" s="29">
        <f>H438-(Data_thang!O438-Data_thang!K438)</f>
        <v/>
      </c>
      <c r="L438">
        <f>IF(AND(ABS(I438)&gt;Dashboard!$G$6,ABS(J438)&gt;Dashboard!$H$6),"⚠ Vượt","")</f>
        <v/>
      </c>
      <c r="M438">
        <f>IF(AND(A438=Dashboard!$D$6,OR(Dashboard!$C$6="*",F438=Dashboard!$C$6),L438&lt;&gt;""),ABS(I438)+ROW()/1000000000,0)</f>
        <v/>
      </c>
    </row>
    <row r="439">
      <c r="A439">
        <f>Data_thang!A439</f>
        <v/>
      </c>
      <c r="B439">
        <f>Data_thang!B439</f>
        <v/>
      </c>
      <c r="C439">
        <f>Data_thang!D439</f>
        <v/>
      </c>
      <c r="D439">
        <f>Data_thang!E439</f>
        <v/>
      </c>
      <c r="E439">
        <f>Data_thang!F439</f>
        <v/>
      </c>
      <c r="F439">
        <f>Data_thang!G439</f>
        <v/>
      </c>
      <c r="G439" s="29">
        <f>Data_thang!J439-Data_thang!K439</f>
        <v/>
      </c>
      <c r="H439" s="29">
        <f>Data_thang!N439</f>
        <v/>
      </c>
      <c r="I439" s="29">
        <f>H439-G439</f>
        <v/>
      </c>
      <c r="J439" s="30">
        <f>IF(H439=0,IF(I439=0,0,1),I439/ABS(H439))</f>
        <v/>
      </c>
      <c r="K439" s="29">
        <f>H439-(Data_thang!O439-Data_thang!K439)</f>
        <v/>
      </c>
      <c r="L439">
        <f>IF(AND(ABS(I439)&gt;Dashboard!$G$6,ABS(J439)&gt;Dashboard!$H$6),"⚠ Vượt","")</f>
        <v/>
      </c>
      <c r="M439">
        <f>IF(AND(A439=Dashboard!$D$6,OR(Dashboard!$C$6="*",F439=Dashboard!$C$6),L439&lt;&gt;""),ABS(I439)+ROW()/1000000000,0)</f>
        <v/>
      </c>
    </row>
    <row r="440">
      <c r="A440">
        <f>Data_thang!A440</f>
        <v/>
      </c>
      <c r="B440">
        <f>Data_thang!B440</f>
        <v/>
      </c>
      <c r="C440">
        <f>Data_thang!D440</f>
        <v/>
      </c>
      <c r="D440">
        <f>Data_thang!E440</f>
        <v/>
      </c>
      <c r="E440">
        <f>Data_thang!F440</f>
        <v/>
      </c>
      <c r="F440">
        <f>Data_thang!G440</f>
        <v/>
      </c>
      <c r="G440" s="29">
        <f>Data_thang!J440-Data_thang!K440</f>
        <v/>
      </c>
      <c r="H440" s="29">
        <f>Data_thang!N440</f>
        <v/>
      </c>
      <c r="I440" s="29">
        <f>H440-G440</f>
        <v/>
      </c>
      <c r="J440" s="30">
        <f>IF(H440=0,IF(I440=0,0,1),I440/ABS(H440))</f>
        <v/>
      </c>
      <c r="K440" s="29">
        <f>H440-(Data_thang!O440-Data_thang!K440)</f>
        <v/>
      </c>
      <c r="L440">
        <f>IF(AND(ABS(I440)&gt;Dashboard!$G$6,ABS(J440)&gt;Dashboard!$H$6),"⚠ Vượt","")</f>
        <v/>
      </c>
      <c r="M440">
        <f>IF(AND(A440=Dashboard!$D$6,OR(Dashboard!$C$6="*",F440=Dashboard!$C$6),L440&lt;&gt;""),ABS(I440)+ROW()/1000000000,0)</f>
        <v/>
      </c>
    </row>
    <row r="441">
      <c r="A441">
        <f>Data_thang!A441</f>
        <v/>
      </c>
      <c r="B441">
        <f>Data_thang!B441</f>
        <v/>
      </c>
      <c r="C441">
        <f>Data_thang!D441</f>
        <v/>
      </c>
      <c r="D441">
        <f>Data_thang!E441</f>
        <v/>
      </c>
      <c r="E441">
        <f>Data_thang!F441</f>
        <v/>
      </c>
      <c r="F441">
        <f>Data_thang!G441</f>
        <v/>
      </c>
      <c r="G441" s="29">
        <f>Data_thang!J441-Data_thang!K441</f>
        <v/>
      </c>
      <c r="H441" s="29">
        <f>Data_thang!N441</f>
        <v/>
      </c>
      <c r="I441" s="29">
        <f>H441-G441</f>
        <v/>
      </c>
      <c r="J441" s="30">
        <f>IF(H441=0,IF(I441=0,0,1),I441/ABS(H441))</f>
        <v/>
      </c>
      <c r="K441" s="29">
        <f>H441-(Data_thang!O441-Data_thang!K441)</f>
        <v/>
      </c>
      <c r="L441">
        <f>IF(AND(ABS(I441)&gt;Dashboard!$G$6,ABS(J441)&gt;Dashboard!$H$6),"⚠ Vượt","")</f>
        <v/>
      </c>
      <c r="M441">
        <f>IF(AND(A441=Dashboard!$D$6,OR(Dashboard!$C$6="*",F441=Dashboard!$C$6),L441&lt;&gt;""),ABS(I441)+ROW()/1000000000,0)</f>
        <v/>
      </c>
    </row>
    <row r="442">
      <c r="A442">
        <f>Data_thang!A442</f>
        <v/>
      </c>
      <c r="B442">
        <f>Data_thang!B442</f>
        <v/>
      </c>
      <c r="C442">
        <f>Data_thang!D442</f>
        <v/>
      </c>
      <c r="D442">
        <f>Data_thang!E442</f>
        <v/>
      </c>
      <c r="E442">
        <f>Data_thang!F442</f>
        <v/>
      </c>
      <c r="F442">
        <f>Data_thang!G442</f>
        <v/>
      </c>
      <c r="G442" s="29">
        <f>Data_thang!J442-Data_thang!K442</f>
        <v/>
      </c>
      <c r="H442" s="29">
        <f>Data_thang!N442</f>
        <v/>
      </c>
      <c r="I442" s="29">
        <f>H442-G442</f>
        <v/>
      </c>
      <c r="J442" s="30">
        <f>IF(H442=0,IF(I442=0,0,1),I442/ABS(H442))</f>
        <v/>
      </c>
      <c r="K442" s="29">
        <f>H442-(Data_thang!O442-Data_thang!K442)</f>
        <v/>
      </c>
      <c r="L442">
        <f>IF(AND(ABS(I442)&gt;Dashboard!$G$6,ABS(J442)&gt;Dashboard!$H$6),"⚠ Vượt","")</f>
        <v/>
      </c>
      <c r="M442">
        <f>IF(AND(A442=Dashboard!$D$6,OR(Dashboard!$C$6="*",F442=Dashboard!$C$6),L442&lt;&gt;""),ABS(I442)+ROW()/1000000000,0)</f>
        <v/>
      </c>
    </row>
    <row r="443">
      <c r="A443">
        <f>Data_thang!A443</f>
        <v/>
      </c>
      <c r="B443">
        <f>Data_thang!B443</f>
        <v/>
      </c>
      <c r="C443">
        <f>Data_thang!D443</f>
        <v/>
      </c>
      <c r="D443">
        <f>Data_thang!E443</f>
        <v/>
      </c>
      <c r="E443">
        <f>Data_thang!F443</f>
        <v/>
      </c>
      <c r="F443">
        <f>Data_thang!G443</f>
        <v/>
      </c>
      <c r="G443" s="29">
        <f>Data_thang!J443-Data_thang!K443</f>
        <v/>
      </c>
      <c r="H443" s="29">
        <f>Data_thang!N443</f>
        <v/>
      </c>
      <c r="I443" s="29">
        <f>H443-G443</f>
        <v/>
      </c>
      <c r="J443" s="30">
        <f>IF(H443=0,IF(I443=0,0,1),I443/ABS(H443))</f>
        <v/>
      </c>
      <c r="K443" s="29">
        <f>H443-(Data_thang!O443-Data_thang!K443)</f>
        <v/>
      </c>
      <c r="L443">
        <f>IF(AND(ABS(I443)&gt;Dashboard!$G$6,ABS(J443)&gt;Dashboard!$H$6),"⚠ Vượt","")</f>
        <v/>
      </c>
      <c r="M443">
        <f>IF(AND(A443=Dashboard!$D$6,OR(Dashboard!$C$6="*",F443=Dashboard!$C$6),L443&lt;&gt;""),ABS(I443)+ROW()/1000000000,0)</f>
        <v/>
      </c>
    </row>
    <row r="444">
      <c r="A444">
        <f>Data_thang!A444</f>
        <v/>
      </c>
      <c r="B444">
        <f>Data_thang!B444</f>
        <v/>
      </c>
      <c r="C444">
        <f>Data_thang!D444</f>
        <v/>
      </c>
      <c r="D444">
        <f>Data_thang!E444</f>
        <v/>
      </c>
      <c r="E444">
        <f>Data_thang!F444</f>
        <v/>
      </c>
      <c r="F444">
        <f>Data_thang!G444</f>
        <v/>
      </c>
      <c r="G444" s="29">
        <f>Data_thang!J444-Data_thang!K444</f>
        <v/>
      </c>
      <c r="H444" s="29">
        <f>Data_thang!N444</f>
        <v/>
      </c>
      <c r="I444" s="29">
        <f>H444-G444</f>
        <v/>
      </c>
      <c r="J444" s="30">
        <f>IF(H444=0,IF(I444=0,0,1),I444/ABS(H444))</f>
        <v/>
      </c>
      <c r="K444" s="29">
        <f>H444-(Data_thang!O444-Data_thang!K444)</f>
        <v/>
      </c>
      <c r="L444">
        <f>IF(AND(ABS(I444)&gt;Dashboard!$G$6,ABS(J444)&gt;Dashboard!$H$6),"⚠ Vượt","")</f>
        <v/>
      </c>
      <c r="M444">
        <f>IF(AND(A444=Dashboard!$D$6,OR(Dashboard!$C$6="*",F444=Dashboard!$C$6),L444&lt;&gt;""),ABS(I444)+ROW()/1000000000,0)</f>
        <v/>
      </c>
    </row>
    <row r="445">
      <c r="A445">
        <f>Data_thang!A445</f>
        <v/>
      </c>
      <c r="B445">
        <f>Data_thang!B445</f>
        <v/>
      </c>
      <c r="C445">
        <f>Data_thang!D445</f>
        <v/>
      </c>
      <c r="D445">
        <f>Data_thang!E445</f>
        <v/>
      </c>
      <c r="E445">
        <f>Data_thang!F445</f>
        <v/>
      </c>
      <c r="F445">
        <f>Data_thang!G445</f>
        <v/>
      </c>
      <c r="G445" s="29">
        <f>Data_thang!J445-Data_thang!K445</f>
        <v/>
      </c>
      <c r="H445" s="29">
        <f>Data_thang!N445</f>
        <v/>
      </c>
      <c r="I445" s="29">
        <f>H445-G445</f>
        <v/>
      </c>
      <c r="J445" s="30">
        <f>IF(H445=0,IF(I445=0,0,1),I445/ABS(H445))</f>
        <v/>
      </c>
      <c r="K445" s="29">
        <f>H445-(Data_thang!O445-Data_thang!K445)</f>
        <v/>
      </c>
      <c r="L445">
        <f>IF(AND(ABS(I445)&gt;Dashboard!$G$6,ABS(J445)&gt;Dashboard!$H$6),"⚠ Vượt","")</f>
        <v/>
      </c>
      <c r="M445">
        <f>IF(AND(A445=Dashboard!$D$6,OR(Dashboard!$C$6="*",F445=Dashboard!$C$6),L445&lt;&gt;""),ABS(I445)+ROW()/1000000000,0)</f>
        <v/>
      </c>
    </row>
    <row r="446">
      <c r="A446">
        <f>Data_thang!A446</f>
        <v/>
      </c>
      <c r="B446">
        <f>Data_thang!B446</f>
        <v/>
      </c>
      <c r="C446">
        <f>Data_thang!D446</f>
        <v/>
      </c>
      <c r="D446">
        <f>Data_thang!E446</f>
        <v/>
      </c>
      <c r="E446">
        <f>Data_thang!F446</f>
        <v/>
      </c>
      <c r="F446">
        <f>Data_thang!G446</f>
        <v/>
      </c>
      <c r="G446" s="29">
        <f>Data_thang!J446-Data_thang!K446</f>
        <v/>
      </c>
      <c r="H446" s="29">
        <f>Data_thang!N446</f>
        <v/>
      </c>
      <c r="I446" s="29">
        <f>H446-G446</f>
        <v/>
      </c>
      <c r="J446" s="30">
        <f>IF(H446=0,IF(I446=0,0,1),I446/ABS(H446))</f>
        <v/>
      </c>
      <c r="K446" s="29">
        <f>H446-(Data_thang!O446-Data_thang!K446)</f>
        <v/>
      </c>
      <c r="L446">
        <f>IF(AND(ABS(I446)&gt;Dashboard!$G$6,ABS(J446)&gt;Dashboard!$H$6),"⚠ Vượt","")</f>
        <v/>
      </c>
      <c r="M446">
        <f>IF(AND(A446=Dashboard!$D$6,OR(Dashboard!$C$6="*",F446=Dashboard!$C$6),L446&lt;&gt;""),ABS(I446)+ROW()/1000000000,0)</f>
        <v/>
      </c>
    </row>
    <row r="447">
      <c r="A447">
        <f>Data_thang!A447</f>
        <v/>
      </c>
      <c r="B447">
        <f>Data_thang!B447</f>
        <v/>
      </c>
      <c r="C447">
        <f>Data_thang!D447</f>
        <v/>
      </c>
      <c r="D447">
        <f>Data_thang!E447</f>
        <v/>
      </c>
      <c r="E447">
        <f>Data_thang!F447</f>
        <v/>
      </c>
      <c r="F447">
        <f>Data_thang!G447</f>
        <v/>
      </c>
      <c r="G447" s="29">
        <f>Data_thang!J447-Data_thang!K447</f>
        <v/>
      </c>
      <c r="H447" s="29">
        <f>Data_thang!N447</f>
        <v/>
      </c>
      <c r="I447" s="29">
        <f>H447-G447</f>
        <v/>
      </c>
      <c r="J447" s="30">
        <f>IF(H447=0,IF(I447=0,0,1),I447/ABS(H447))</f>
        <v/>
      </c>
      <c r="K447" s="29">
        <f>H447-(Data_thang!O447-Data_thang!K447)</f>
        <v/>
      </c>
      <c r="L447">
        <f>IF(AND(ABS(I447)&gt;Dashboard!$G$6,ABS(J447)&gt;Dashboard!$H$6),"⚠ Vượt","")</f>
        <v/>
      </c>
      <c r="M447">
        <f>IF(AND(A447=Dashboard!$D$6,OR(Dashboard!$C$6="*",F447=Dashboard!$C$6),L447&lt;&gt;""),ABS(I447)+ROW()/1000000000,0)</f>
        <v/>
      </c>
    </row>
    <row r="448">
      <c r="A448">
        <f>Data_thang!A448</f>
        <v/>
      </c>
      <c r="B448">
        <f>Data_thang!B448</f>
        <v/>
      </c>
      <c r="C448">
        <f>Data_thang!D448</f>
        <v/>
      </c>
      <c r="D448">
        <f>Data_thang!E448</f>
        <v/>
      </c>
      <c r="E448">
        <f>Data_thang!F448</f>
        <v/>
      </c>
      <c r="F448">
        <f>Data_thang!G448</f>
        <v/>
      </c>
      <c r="G448" s="29">
        <f>Data_thang!J448-Data_thang!K448</f>
        <v/>
      </c>
      <c r="H448" s="29">
        <f>Data_thang!N448</f>
        <v/>
      </c>
      <c r="I448" s="29">
        <f>H448-G448</f>
        <v/>
      </c>
      <c r="J448" s="30">
        <f>IF(H448=0,IF(I448=0,0,1),I448/ABS(H448))</f>
        <v/>
      </c>
      <c r="K448" s="29">
        <f>H448-(Data_thang!O448-Data_thang!K448)</f>
        <v/>
      </c>
      <c r="L448">
        <f>IF(AND(ABS(I448)&gt;Dashboard!$G$6,ABS(J448)&gt;Dashboard!$H$6),"⚠ Vượt","")</f>
        <v/>
      </c>
      <c r="M448">
        <f>IF(AND(A448=Dashboard!$D$6,OR(Dashboard!$C$6="*",F448=Dashboard!$C$6),L448&lt;&gt;""),ABS(I448)+ROW()/1000000000,0)</f>
        <v/>
      </c>
    </row>
    <row r="449">
      <c r="A449">
        <f>Data_thang!A449</f>
        <v/>
      </c>
      <c r="B449">
        <f>Data_thang!B449</f>
        <v/>
      </c>
      <c r="C449">
        <f>Data_thang!D449</f>
        <v/>
      </c>
      <c r="D449">
        <f>Data_thang!E449</f>
        <v/>
      </c>
      <c r="E449">
        <f>Data_thang!F449</f>
        <v/>
      </c>
      <c r="F449">
        <f>Data_thang!G449</f>
        <v/>
      </c>
      <c r="G449" s="29">
        <f>Data_thang!J449-Data_thang!K449</f>
        <v/>
      </c>
      <c r="H449" s="29">
        <f>Data_thang!N449</f>
        <v/>
      </c>
      <c r="I449" s="29">
        <f>H449-G449</f>
        <v/>
      </c>
      <c r="J449" s="30">
        <f>IF(H449=0,IF(I449=0,0,1),I449/ABS(H449))</f>
        <v/>
      </c>
      <c r="K449" s="29">
        <f>H449-(Data_thang!O449-Data_thang!K449)</f>
        <v/>
      </c>
      <c r="L449">
        <f>IF(AND(ABS(I449)&gt;Dashboard!$G$6,ABS(J449)&gt;Dashboard!$H$6),"⚠ Vượt","")</f>
        <v/>
      </c>
      <c r="M449">
        <f>IF(AND(A449=Dashboard!$D$6,OR(Dashboard!$C$6="*",F449=Dashboard!$C$6),L449&lt;&gt;""),ABS(I449)+ROW()/1000000000,0)</f>
        <v/>
      </c>
    </row>
    <row r="450">
      <c r="A450">
        <f>Data_thang!A450</f>
        <v/>
      </c>
      <c r="B450">
        <f>Data_thang!B450</f>
        <v/>
      </c>
      <c r="C450">
        <f>Data_thang!D450</f>
        <v/>
      </c>
      <c r="D450">
        <f>Data_thang!E450</f>
        <v/>
      </c>
      <c r="E450">
        <f>Data_thang!F450</f>
        <v/>
      </c>
      <c r="F450">
        <f>Data_thang!G450</f>
        <v/>
      </c>
      <c r="G450" s="29">
        <f>Data_thang!J450-Data_thang!K450</f>
        <v/>
      </c>
      <c r="H450" s="29">
        <f>Data_thang!N450</f>
        <v/>
      </c>
      <c r="I450" s="29">
        <f>H450-G450</f>
        <v/>
      </c>
      <c r="J450" s="30">
        <f>IF(H450=0,IF(I450=0,0,1),I450/ABS(H450))</f>
        <v/>
      </c>
      <c r="K450" s="29">
        <f>H450-(Data_thang!O450-Data_thang!K450)</f>
        <v/>
      </c>
      <c r="L450">
        <f>IF(AND(ABS(I450)&gt;Dashboard!$G$6,ABS(J450)&gt;Dashboard!$H$6),"⚠ Vượt","")</f>
        <v/>
      </c>
      <c r="M450">
        <f>IF(AND(A450=Dashboard!$D$6,OR(Dashboard!$C$6="*",F450=Dashboard!$C$6),L450&lt;&gt;""),ABS(I450)+ROW()/1000000000,0)</f>
        <v/>
      </c>
    </row>
    <row r="451">
      <c r="A451">
        <f>Data_thang!A451</f>
        <v/>
      </c>
      <c r="B451">
        <f>Data_thang!B451</f>
        <v/>
      </c>
      <c r="C451">
        <f>Data_thang!D451</f>
        <v/>
      </c>
      <c r="D451">
        <f>Data_thang!E451</f>
        <v/>
      </c>
      <c r="E451">
        <f>Data_thang!F451</f>
        <v/>
      </c>
      <c r="F451">
        <f>Data_thang!G451</f>
        <v/>
      </c>
      <c r="G451" s="29">
        <f>Data_thang!J451-Data_thang!K451</f>
        <v/>
      </c>
      <c r="H451" s="29">
        <f>Data_thang!N451</f>
        <v/>
      </c>
      <c r="I451" s="29">
        <f>H451-G451</f>
        <v/>
      </c>
      <c r="J451" s="30">
        <f>IF(H451=0,IF(I451=0,0,1),I451/ABS(H451))</f>
        <v/>
      </c>
      <c r="K451" s="29">
        <f>H451-(Data_thang!O451-Data_thang!K451)</f>
        <v/>
      </c>
      <c r="L451">
        <f>IF(AND(ABS(I451)&gt;Dashboard!$G$6,ABS(J451)&gt;Dashboard!$H$6),"⚠ Vượt","")</f>
        <v/>
      </c>
      <c r="M451">
        <f>IF(AND(A451=Dashboard!$D$6,OR(Dashboard!$C$6="*",F451=Dashboard!$C$6),L451&lt;&gt;""),ABS(I451)+ROW()/1000000000,0)</f>
        <v/>
      </c>
    </row>
    <row r="452">
      <c r="A452">
        <f>Data_thang!A452</f>
        <v/>
      </c>
      <c r="B452">
        <f>Data_thang!B452</f>
        <v/>
      </c>
      <c r="C452">
        <f>Data_thang!D452</f>
        <v/>
      </c>
      <c r="D452">
        <f>Data_thang!E452</f>
        <v/>
      </c>
      <c r="E452">
        <f>Data_thang!F452</f>
        <v/>
      </c>
      <c r="F452">
        <f>Data_thang!G452</f>
        <v/>
      </c>
      <c r="G452" s="29">
        <f>Data_thang!J452-Data_thang!K452</f>
        <v/>
      </c>
      <c r="H452" s="29">
        <f>Data_thang!N452</f>
        <v/>
      </c>
      <c r="I452" s="29">
        <f>H452-G452</f>
        <v/>
      </c>
      <c r="J452" s="30">
        <f>IF(H452=0,IF(I452=0,0,1),I452/ABS(H452))</f>
        <v/>
      </c>
      <c r="K452" s="29">
        <f>H452-(Data_thang!O452-Data_thang!K452)</f>
        <v/>
      </c>
      <c r="L452">
        <f>IF(AND(ABS(I452)&gt;Dashboard!$G$6,ABS(J452)&gt;Dashboard!$H$6),"⚠ Vượt","")</f>
        <v/>
      </c>
      <c r="M452">
        <f>IF(AND(A452=Dashboard!$D$6,OR(Dashboard!$C$6="*",F452=Dashboard!$C$6),L452&lt;&gt;""),ABS(I452)+ROW()/1000000000,0)</f>
        <v/>
      </c>
    </row>
    <row r="453">
      <c r="A453">
        <f>Data_thang!A453</f>
        <v/>
      </c>
      <c r="B453">
        <f>Data_thang!B453</f>
        <v/>
      </c>
      <c r="C453">
        <f>Data_thang!D453</f>
        <v/>
      </c>
      <c r="D453">
        <f>Data_thang!E453</f>
        <v/>
      </c>
      <c r="E453">
        <f>Data_thang!F453</f>
        <v/>
      </c>
      <c r="F453">
        <f>Data_thang!G453</f>
        <v/>
      </c>
      <c r="G453" s="29">
        <f>Data_thang!J453-Data_thang!K453</f>
        <v/>
      </c>
      <c r="H453" s="29">
        <f>Data_thang!N453</f>
        <v/>
      </c>
      <c r="I453" s="29">
        <f>H453-G453</f>
        <v/>
      </c>
      <c r="J453" s="30">
        <f>IF(H453=0,IF(I453=0,0,1),I453/ABS(H453))</f>
        <v/>
      </c>
      <c r="K453" s="29">
        <f>H453-(Data_thang!O453-Data_thang!K453)</f>
        <v/>
      </c>
      <c r="L453">
        <f>IF(AND(ABS(I453)&gt;Dashboard!$G$6,ABS(J453)&gt;Dashboard!$H$6),"⚠ Vượt","")</f>
        <v/>
      </c>
      <c r="M453">
        <f>IF(AND(A453=Dashboard!$D$6,OR(Dashboard!$C$6="*",F453=Dashboard!$C$6),L453&lt;&gt;""),ABS(I453)+ROW()/1000000000,0)</f>
        <v/>
      </c>
    </row>
    <row r="454">
      <c r="A454">
        <f>Data_thang!A454</f>
        <v/>
      </c>
      <c r="B454">
        <f>Data_thang!B454</f>
        <v/>
      </c>
      <c r="C454">
        <f>Data_thang!D454</f>
        <v/>
      </c>
      <c r="D454">
        <f>Data_thang!E454</f>
        <v/>
      </c>
      <c r="E454">
        <f>Data_thang!F454</f>
        <v/>
      </c>
      <c r="F454">
        <f>Data_thang!G454</f>
        <v/>
      </c>
      <c r="G454" s="29">
        <f>Data_thang!J454-Data_thang!K454</f>
        <v/>
      </c>
      <c r="H454" s="29">
        <f>Data_thang!N454</f>
        <v/>
      </c>
      <c r="I454" s="29">
        <f>H454-G454</f>
        <v/>
      </c>
      <c r="J454" s="30">
        <f>IF(H454=0,IF(I454=0,0,1),I454/ABS(H454))</f>
        <v/>
      </c>
      <c r="K454" s="29">
        <f>H454-(Data_thang!O454-Data_thang!K454)</f>
        <v/>
      </c>
      <c r="L454">
        <f>IF(AND(ABS(I454)&gt;Dashboard!$G$6,ABS(J454)&gt;Dashboard!$H$6),"⚠ Vượt","")</f>
        <v/>
      </c>
      <c r="M454">
        <f>IF(AND(A454=Dashboard!$D$6,OR(Dashboard!$C$6="*",F454=Dashboard!$C$6),L454&lt;&gt;""),ABS(I454)+ROW()/1000000000,0)</f>
        <v/>
      </c>
    </row>
    <row r="455">
      <c r="A455">
        <f>Data_thang!A455</f>
        <v/>
      </c>
      <c r="B455">
        <f>Data_thang!B455</f>
        <v/>
      </c>
      <c r="C455">
        <f>Data_thang!D455</f>
        <v/>
      </c>
      <c r="D455">
        <f>Data_thang!E455</f>
        <v/>
      </c>
      <c r="E455">
        <f>Data_thang!F455</f>
        <v/>
      </c>
      <c r="F455">
        <f>Data_thang!G455</f>
        <v/>
      </c>
      <c r="G455" s="29">
        <f>Data_thang!J455-Data_thang!K455</f>
        <v/>
      </c>
      <c r="H455" s="29">
        <f>Data_thang!N455</f>
        <v/>
      </c>
      <c r="I455" s="29">
        <f>H455-G455</f>
        <v/>
      </c>
      <c r="J455" s="30">
        <f>IF(H455=0,IF(I455=0,0,1),I455/ABS(H455))</f>
        <v/>
      </c>
      <c r="K455" s="29">
        <f>H455-(Data_thang!O455-Data_thang!K455)</f>
        <v/>
      </c>
      <c r="L455">
        <f>IF(AND(ABS(I455)&gt;Dashboard!$G$6,ABS(J455)&gt;Dashboard!$H$6),"⚠ Vượt","")</f>
        <v/>
      </c>
      <c r="M455">
        <f>IF(AND(A455=Dashboard!$D$6,OR(Dashboard!$C$6="*",F455=Dashboard!$C$6),L455&lt;&gt;""),ABS(I455)+ROW()/1000000000,0)</f>
        <v/>
      </c>
    </row>
    <row r="456">
      <c r="A456">
        <f>Data_thang!A456</f>
        <v/>
      </c>
      <c r="B456">
        <f>Data_thang!B456</f>
        <v/>
      </c>
      <c r="C456">
        <f>Data_thang!D456</f>
        <v/>
      </c>
      <c r="D456">
        <f>Data_thang!E456</f>
        <v/>
      </c>
      <c r="E456">
        <f>Data_thang!F456</f>
        <v/>
      </c>
      <c r="F456">
        <f>Data_thang!G456</f>
        <v/>
      </c>
      <c r="G456" s="29">
        <f>Data_thang!J456-Data_thang!K456</f>
        <v/>
      </c>
      <c r="H456" s="29">
        <f>Data_thang!N456</f>
        <v/>
      </c>
      <c r="I456" s="29">
        <f>H456-G456</f>
        <v/>
      </c>
      <c r="J456" s="30">
        <f>IF(H456=0,IF(I456=0,0,1),I456/ABS(H456))</f>
        <v/>
      </c>
      <c r="K456" s="29">
        <f>H456-(Data_thang!O456-Data_thang!K456)</f>
        <v/>
      </c>
      <c r="L456">
        <f>IF(AND(ABS(I456)&gt;Dashboard!$G$6,ABS(J456)&gt;Dashboard!$H$6),"⚠ Vượt","")</f>
        <v/>
      </c>
      <c r="M456">
        <f>IF(AND(A456=Dashboard!$D$6,OR(Dashboard!$C$6="*",F456=Dashboard!$C$6),L456&lt;&gt;""),ABS(I456)+ROW()/1000000000,0)</f>
        <v/>
      </c>
    </row>
    <row r="457">
      <c r="A457">
        <f>Data_thang!A457</f>
        <v/>
      </c>
      <c r="B457">
        <f>Data_thang!B457</f>
        <v/>
      </c>
      <c r="C457">
        <f>Data_thang!D457</f>
        <v/>
      </c>
      <c r="D457">
        <f>Data_thang!E457</f>
        <v/>
      </c>
      <c r="E457">
        <f>Data_thang!F457</f>
        <v/>
      </c>
      <c r="F457">
        <f>Data_thang!G457</f>
        <v/>
      </c>
      <c r="G457" s="29">
        <f>Data_thang!J457-Data_thang!K457</f>
        <v/>
      </c>
      <c r="H457" s="29">
        <f>Data_thang!N457</f>
        <v/>
      </c>
      <c r="I457" s="29">
        <f>H457-G457</f>
        <v/>
      </c>
      <c r="J457" s="30">
        <f>IF(H457=0,IF(I457=0,0,1),I457/ABS(H457))</f>
        <v/>
      </c>
      <c r="K457" s="29">
        <f>H457-(Data_thang!O457-Data_thang!K457)</f>
        <v/>
      </c>
      <c r="L457">
        <f>IF(AND(ABS(I457)&gt;Dashboard!$G$6,ABS(J457)&gt;Dashboard!$H$6),"⚠ Vượt","")</f>
        <v/>
      </c>
      <c r="M457">
        <f>IF(AND(A457=Dashboard!$D$6,OR(Dashboard!$C$6="*",F457=Dashboard!$C$6),L457&lt;&gt;""),ABS(I457)+ROW()/1000000000,0)</f>
        <v/>
      </c>
    </row>
    <row r="458">
      <c r="A458">
        <f>Data_thang!A458</f>
        <v/>
      </c>
      <c r="B458">
        <f>Data_thang!B458</f>
        <v/>
      </c>
      <c r="C458">
        <f>Data_thang!D458</f>
        <v/>
      </c>
      <c r="D458">
        <f>Data_thang!E458</f>
        <v/>
      </c>
      <c r="E458">
        <f>Data_thang!F458</f>
        <v/>
      </c>
      <c r="F458">
        <f>Data_thang!G458</f>
        <v/>
      </c>
      <c r="G458" s="29">
        <f>Data_thang!J458-Data_thang!K458</f>
        <v/>
      </c>
      <c r="H458" s="29">
        <f>Data_thang!N458</f>
        <v/>
      </c>
      <c r="I458" s="29">
        <f>H458-G458</f>
        <v/>
      </c>
      <c r="J458" s="30">
        <f>IF(H458=0,IF(I458=0,0,1),I458/ABS(H458))</f>
        <v/>
      </c>
      <c r="K458" s="29">
        <f>H458-(Data_thang!O458-Data_thang!K458)</f>
        <v/>
      </c>
      <c r="L458">
        <f>IF(AND(ABS(I458)&gt;Dashboard!$G$6,ABS(J458)&gt;Dashboard!$H$6),"⚠ Vượt","")</f>
        <v/>
      </c>
      <c r="M458">
        <f>IF(AND(A458=Dashboard!$D$6,OR(Dashboard!$C$6="*",F458=Dashboard!$C$6),L458&lt;&gt;""),ABS(I458)+ROW()/1000000000,0)</f>
        <v/>
      </c>
    </row>
    <row r="459">
      <c r="A459">
        <f>Data_thang!A459</f>
        <v/>
      </c>
      <c r="B459">
        <f>Data_thang!B459</f>
        <v/>
      </c>
      <c r="C459">
        <f>Data_thang!D459</f>
        <v/>
      </c>
      <c r="D459">
        <f>Data_thang!E459</f>
        <v/>
      </c>
      <c r="E459">
        <f>Data_thang!F459</f>
        <v/>
      </c>
      <c r="F459">
        <f>Data_thang!G459</f>
        <v/>
      </c>
      <c r="G459" s="29">
        <f>Data_thang!J459-Data_thang!K459</f>
        <v/>
      </c>
      <c r="H459" s="29">
        <f>Data_thang!N459</f>
        <v/>
      </c>
      <c r="I459" s="29">
        <f>H459-G459</f>
        <v/>
      </c>
      <c r="J459" s="30">
        <f>IF(H459=0,IF(I459=0,0,1),I459/ABS(H459))</f>
        <v/>
      </c>
      <c r="K459" s="29">
        <f>H459-(Data_thang!O459-Data_thang!K459)</f>
        <v/>
      </c>
      <c r="L459">
        <f>IF(AND(ABS(I459)&gt;Dashboard!$G$6,ABS(J459)&gt;Dashboard!$H$6),"⚠ Vượt","")</f>
        <v/>
      </c>
      <c r="M459">
        <f>IF(AND(A459=Dashboard!$D$6,OR(Dashboard!$C$6="*",F459=Dashboard!$C$6),L459&lt;&gt;""),ABS(I459)+ROW()/1000000000,0)</f>
        <v/>
      </c>
    </row>
    <row r="460">
      <c r="A460">
        <f>Data_thang!A460</f>
        <v/>
      </c>
      <c r="B460">
        <f>Data_thang!B460</f>
        <v/>
      </c>
      <c r="C460">
        <f>Data_thang!D460</f>
        <v/>
      </c>
      <c r="D460">
        <f>Data_thang!E460</f>
        <v/>
      </c>
      <c r="E460">
        <f>Data_thang!F460</f>
        <v/>
      </c>
      <c r="F460">
        <f>Data_thang!G460</f>
        <v/>
      </c>
      <c r="G460" s="29">
        <f>Data_thang!J460-Data_thang!K460</f>
        <v/>
      </c>
      <c r="H460" s="29">
        <f>Data_thang!N460</f>
        <v/>
      </c>
      <c r="I460" s="29">
        <f>H460-G460</f>
        <v/>
      </c>
      <c r="J460" s="30">
        <f>IF(H460=0,IF(I460=0,0,1),I460/ABS(H460))</f>
        <v/>
      </c>
      <c r="K460" s="29">
        <f>H460-(Data_thang!O460-Data_thang!K460)</f>
        <v/>
      </c>
      <c r="L460">
        <f>IF(AND(ABS(I460)&gt;Dashboard!$G$6,ABS(J460)&gt;Dashboard!$H$6),"⚠ Vượt","")</f>
        <v/>
      </c>
      <c r="M460">
        <f>IF(AND(A460=Dashboard!$D$6,OR(Dashboard!$C$6="*",F460=Dashboard!$C$6),L460&lt;&gt;""),ABS(I460)+ROW()/1000000000,0)</f>
        <v/>
      </c>
    </row>
    <row r="461">
      <c r="A461">
        <f>Data_thang!A461</f>
        <v/>
      </c>
      <c r="B461">
        <f>Data_thang!B461</f>
        <v/>
      </c>
      <c r="C461">
        <f>Data_thang!D461</f>
        <v/>
      </c>
      <c r="D461">
        <f>Data_thang!E461</f>
        <v/>
      </c>
      <c r="E461">
        <f>Data_thang!F461</f>
        <v/>
      </c>
      <c r="F461">
        <f>Data_thang!G461</f>
        <v/>
      </c>
      <c r="G461" s="29">
        <f>Data_thang!J461-Data_thang!K461</f>
        <v/>
      </c>
      <c r="H461" s="29">
        <f>Data_thang!N461</f>
        <v/>
      </c>
      <c r="I461" s="29">
        <f>H461-G461</f>
        <v/>
      </c>
      <c r="J461" s="30">
        <f>IF(H461=0,IF(I461=0,0,1),I461/ABS(H461))</f>
        <v/>
      </c>
      <c r="K461" s="29">
        <f>H461-(Data_thang!O461-Data_thang!K461)</f>
        <v/>
      </c>
      <c r="L461">
        <f>IF(AND(ABS(I461)&gt;Dashboard!$G$6,ABS(J461)&gt;Dashboard!$H$6),"⚠ Vượt","")</f>
        <v/>
      </c>
      <c r="M461">
        <f>IF(AND(A461=Dashboard!$D$6,OR(Dashboard!$C$6="*",F461=Dashboard!$C$6),L461&lt;&gt;""),ABS(I461)+ROW()/1000000000,0)</f>
        <v/>
      </c>
    </row>
    <row r="462">
      <c r="A462">
        <f>Data_thang!A462</f>
        <v/>
      </c>
      <c r="B462">
        <f>Data_thang!B462</f>
        <v/>
      </c>
      <c r="C462">
        <f>Data_thang!D462</f>
        <v/>
      </c>
      <c r="D462">
        <f>Data_thang!E462</f>
        <v/>
      </c>
      <c r="E462">
        <f>Data_thang!F462</f>
        <v/>
      </c>
      <c r="F462">
        <f>Data_thang!G462</f>
        <v/>
      </c>
      <c r="G462" s="29">
        <f>Data_thang!J462-Data_thang!K462</f>
        <v/>
      </c>
      <c r="H462" s="29">
        <f>Data_thang!N462</f>
        <v/>
      </c>
      <c r="I462" s="29">
        <f>H462-G462</f>
        <v/>
      </c>
      <c r="J462" s="30">
        <f>IF(H462=0,IF(I462=0,0,1),I462/ABS(H462))</f>
        <v/>
      </c>
      <c r="K462" s="29">
        <f>H462-(Data_thang!O462-Data_thang!K462)</f>
        <v/>
      </c>
      <c r="L462">
        <f>IF(AND(ABS(I462)&gt;Dashboard!$G$6,ABS(J462)&gt;Dashboard!$H$6),"⚠ Vượt","")</f>
        <v/>
      </c>
      <c r="M462">
        <f>IF(AND(A462=Dashboard!$D$6,OR(Dashboard!$C$6="*",F462=Dashboard!$C$6),L462&lt;&gt;""),ABS(I462)+ROW()/1000000000,0)</f>
        <v/>
      </c>
    </row>
    <row r="463">
      <c r="A463">
        <f>Data_thang!A463</f>
        <v/>
      </c>
      <c r="B463">
        <f>Data_thang!B463</f>
        <v/>
      </c>
      <c r="C463">
        <f>Data_thang!D463</f>
        <v/>
      </c>
      <c r="D463">
        <f>Data_thang!E463</f>
        <v/>
      </c>
      <c r="E463">
        <f>Data_thang!F463</f>
        <v/>
      </c>
      <c r="F463">
        <f>Data_thang!G463</f>
        <v/>
      </c>
      <c r="G463" s="29">
        <f>Data_thang!J463-Data_thang!K463</f>
        <v/>
      </c>
      <c r="H463" s="29">
        <f>Data_thang!N463</f>
        <v/>
      </c>
      <c r="I463" s="29">
        <f>H463-G463</f>
        <v/>
      </c>
      <c r="J463" s="30">
        <f>IF(H463=0,IF(I463=0,0,1),I463/ABS(H463))</f>
        <v/>
      </c>
      <c r="K463" s="29">
        <f>H463-(Data_thang!O463-Data_thang!K463)</f>
        <v/>
      </c>
      <c r="L463">
        <f>IF(AND(ABS(I463)&gt;Dashboard!$G$6,ABS(J463)&gt;Dashboard!$H$6),"⚠ Vượt","")</f>
        <v/>
      </c>
      <c r="M463">
        <f>IF(AND(A463=Dashboard!$D$6,OR(Dashboard!$C$6="*",F463=Dashboard!$C$6),L463&lt;&gt;""),ABS(I463)+ROW()/1000000000,0)</f>
        <v/>
      </c>
    </row>
    <row r="464">
      <c r="A464">
        <f>Data_thang!A464</f>
        <v/>
      </c>
      <c r="B464">
        <f>Data_thang!B464</f>
        <v/>
      </c>
      <c r="C464">
        <f>Data_thang!D464</f>
        <v/>
      </c>
      <c r="D464">
        <f>Data_thang!E464</f>
        <v/>
      </c>
      <c r="E464">
        <f>Data_thang!F464</f>
        <v/>
      </c>
      <c r="F464">
        <f>Data_thang!G464</f>
        <v/>
      </c>
      <c r="G464" s="29">
        <f>Data_thang!J464-Data_thang!K464</f>
        <v/>
      </c>
      <c r="H464" s="29">
        <f>Data_thang!N464</f>
        <v/>
      </c>
      <c r="I464" s="29">
        <f>H464-G464</f>
        <v/>
      </c>
      <c r="J464" s="30">
        <f>IF(H464=0,IF(I464=0,0,1),I464/ABS(H464))</f>
        <v/>
      </c>
      <c r="K464" s="29">
        <f>H464-(Data_thang!O464-Data_thang!K464)</f>
        <v/>
      </c>
      <c r="L464">
        <f>IF(AND(ABS(I464)&gt;Dashboard!$G$6,ABS(J464)&gt;Dashboard!$H$6),"⚠ Vượt","")</f>
        <v/>
      </c>
      <c r="M464">
        <f>IF(AND(A464=Dashboard!$D$6,OR(Dashboard!$C$6="*",F464=Dashboard!$C$6),L464&lt;&gt;""),ABS(I464)+ROW()/1000000000,0)</f>
        <v/>
      </c>
    </row>
    <row r="465">
      <c r="A465">
        <f>Data_thang!A465</f>
        <v/>
      </c>
      <c r="B465">
        <f>Data_thang!B465</f>
        <v/>
      </c>
      <c r="C465">
        <f>Data_thang!D465</f>
        <v/>
      </c>
      <c r="D465">
        <f>Data_thang!E465</f>
        <v/>
      </c>
      <c r="E465">
        <f>Data_thang!F465</f>
        <v/>
      </c>
      <c r="F465">
        <f>Data_thang!G465</f>
        <v/>
      </c>
      <c r="G465" s="29">
        <f>Data_thang!J465-Data_thang!K465</f>
        <v/>
      </c>
      <c r="H465" s="29">
        <f>Data_thang!N465</f>
        <v/>
      </c>
      <c r="I465" s="29">
        <f>H465-G465</f>
        <v/>
      </c>
      <c r="J465" s="30">
        <f>IF(H465=0,IF(I465=0,0,1),I465/ABS(H465))</f>
        <v/>
      </c>
      <c r="K465" s="29">
        <f>H465-(Data_thang!O465-Data_thang!K465)</f>
        <v/>
      </c>
      <c r="L465">
        <f>IF(AND(ABS(I465)&gt;Dashboard!$G$6,ABS(J465)&gt;Dashboard!$H$6),"⚠ Vượt","")</f>
        <v/>
      </c>
      <c r="M465">
        <f>IF(AND(A465=Dashboard!$D$6,OR(Dashboard!$C$6="*",F465=Dashboard!$C$6),L465&lt;&gt;""),ABS(I465)+ROW()/1000000000,0)</f>
        <v/>
      </c>
    </row>
    <row r="466">
      <c r="A466">
        <f>Data_thang!A466</f>
        <v/>
      </c>
      <c r="B466">
        <f>Data_thang!B466</f>
        <v/>
      </c>
      <c r="C466">
        <f>Data_thang!D466</f>
        <v/>
      </c>
      <c r="D466">
        <f>Data_thang!E466</f>
        <v/>
      </c>
      <c r="E466">
        <f>Data_thang!F466</f>
        <v/>
      </c>
      <c r="F466">
        <f>Data_thang!G466</f>
        <v/>
      </c>
      <c r="G466" s="29">
        <f>Data_thang!J466-Data_thang!K466</f>
        <v/>
      </c>
      <c r="H466" s="29">
        <f>Data_thang!N466</f>
        <v/>
      </c>
      <c r="I466" s="29">
        <f>H466-G466</f>
        <v/>
      </c>
      <c r="J466" s="30">
        <f>IF(H466=0,IF(I466=0,0,1),I466/ABS(H466))</f>
        <v/>
      </c>
      <c r="K466" s="29">
        <f>H466-(Data_thang!O466-Data_thang!K466)</f>
        <v/>
      </c>
      <c r="L466">
        <f>IF(AND(ABS(I466)&gt;Dashboard!$G$6,ABS(J466)&gt;Dashboard!$H$6),"⚠ Vượt","")</f>
        <v/>
      </c>
      <c r="M466">
        <f>IF(AND(A466=Dashboard!$D$6,OR(Dashboard!$C$6="*",F466=Dashboard!$C$6),L466&lt;&gt;""),ABS(I466)+ROW()/1000000000,0)</f>
        <v/>
      </c>
    </row>
    <row r="467">
      <c r="A467">
        <f>Data_thang!A467</f>
        <v/>
      </c>
      <c r="B467">
        <f>Data_thang!B467</f>
        <v/>
      </c>
      <c r="C467">
        <f>Data_thang!D467</f>
        <v/>
      </c>
      <c r="D467">
        <f>Data_thang!E467</f>
        <v/>
      </c>
      <c r="E467">
        <f>Data_thang!F467</f>
        <v/>
      </c>
      <c r="F467">
        <f>Data_thang!G467</f>
        <v/>
      </c>
      <c r="G467" s="29">
        <f>Data_thang!J467-Data_thang!K467</f>
        <v/>
      </c>
      <c r="H467" s="29">
        <f>Data_thang!N467</f>
        <v/>
      </c>
      <c r="I467" s="29">
        <f>H467-G467</f>
        <v/>
      </c>
      <c r="J467" s="30">
        <f>IF(H467=0,IF(I467=0,0,1),I467/ABS(H467))</f>
        <v/>
      </c>
      <c r="K467" s="29">
        <f>H467-(Data_thang!O467-Data_thang!K467)</f>
        <v/>
      </c>
      <c r="L467">
        <f>IF(AND(ABS(I467)&gt;Dashboard!$G$6,ABS(J467)&gt;Dashboard!$H$6),"⚠ Vượt","")</f>
        <v/>
      </c>
      <c r="M467">
        <f>IF(AND(A467=Dashboard!$D$6,OR(Dashboard!$C$6="*",F467=Dashboard!$C$6),L467&lt;&gt;""),ABS(I467)+ROW()/1000000000,0)</f>
        <v/>
      </c>
    </row>
    <row r="468">
      <c r="A468">
        <f>Data_thang!A468</f>
        <v/>
      </c>
      <c r="B468">
        <f>Data_thang!B468</f>
        <v/>
      </c>
      <c r="C468">
        <f>Data_thang!D468</f>
        <v/>
      </c>
      <c r="D468">
        <f>Data_thang!E468</f>
        <v/>
      </c>
      <c r="E468">
        <f>Data_thang!F468</f>
        <v/>
      </c>
      <c r="F468">
        <f>Data_thang!G468</f>
        <v/>
      </c>
      <c r="G468" s="29">
        <f>Data_thang!J468-Data_thang!K468</f>
        <v/>
      </c>
      <c r="H468" s="29">
        <f>Data_thang!N468</f>
        <v/>
      </c>
      <c r="I468" s="29">
        <f>H468-G468</f>
        <v/>
      </c>
      <c r="J468" s="30">
        <f>IF(H468=0,IF(I468=0,0,1),I468/ABS(H468))</f>
        <v/>
      </c>
      <c r="K468" s="29">
        <f>H468-(Data_thang!O468-Data_thang!K468)</f>
        <v/>
      </c>
      <c r="L468">
        <f>IF(AND(ABS(I468)&gt;Dashboard!$G$6,ABS(J468)&gt;Dashboard!$H$6),"⚠ Vượt","")</f>
        <v/>
      </c>
      <c r="M468">
        <f>IF(AND(A468=Dashboard!$D$6,OR(Dashboard!$C$6="*",F468=Dashboard!$C$6),L468&lt;&gt;""),ABS(I468)+ROW()/1000000000,0)</f>
        <v/>
      </c>
    </row>
    <row r="469">
      <c r="A469">
        <f>Data_thang!A469</f>
        <v/>
      </c>
      <c r="B469">
        <f>Data_thang!B469</f>
        <v/>
      </c>
      <c r="C469">
        <f>Data_thang!D469</f>
        <v/>
      </c>
      <c r="D469">
        <f>Data_thang!E469</f>
        <v/>
      </c>
      <c r="E469">
        <f>Data_thang!F469</f>
        <v/>
      </c>
      <c r="F469">
        <f>Data_thang!G469</f>
        <v/>
      </c>
      <c r="G469" s="29">
        <f>Data_thang!J469-Data_thang!K469</f>
        <v/>
      </c>
      <c r="H469" s="29">
        <f>Data_thang!N469</f>
        <v/>
      </c>
      <c r="I469" s="29">
        <f>H469-G469</f>
        <v/>
      </c>
      <c r="J469" s="30">
        <f>IF(H469=0,IF(I469=0,0,1),I469/ABS(H469))</f>
        <v/>
      </c>
      <c r="K469" s="29">
        <f>H469-(Data_thang!O469-Data_thang!K469)</f>
        <v/>
      </c>
      <c r="L469">
        <f>IF(AND(ABS(I469)&gt;Dashboard!$G$6,ABS(J469)&gt;Dashboard!$H$6),"⚠ Vượt","")</f>
        <v/>
      </c>
      <c r="M469">
        <f>IF(AND(A469=Dashboard!$D$6,OR(Dashboard!$C$6="*",F469=Dashboard!$C$6),L469&lt;&gt;""),ABS(I469)+ROW()/1000000000,0)</f>
        <v/>
      </c>
    </row>
    <row r="470">
      <c r="A470">
        <f>Data_thang!A470</f>
        <v/>
      </c>
      <c r="B470">
        <f>Data_thang!B470</f>
        <v/>
      </c>
      <c r="C470">
        <f>Data_thang!D470</f>
        <v/>
      </c>
      <c r="D470">
        <f>Data_thang!E470</f>
        <v/>
      </c>
      <c r="E470">
        <f>Data_thang!F470</f>
        <v/>
      </c>
      <c r="F470">
        <f>Data_thang!G470</f>
        <v/>
      </c>
      <c r="G470" s="29">
        <f>Data_thang!J470-Data_thang!K470</f>
        <v/>
      </c>
      <c r="H470" s="29">
        <f>Data_thang!N470</f>
        <v/>
      </c>
      <c r="I470" s="29">
        <f>H470-G470</f>
        <v/>
      </c>
      <c r="J470" s="30">
        <f>IF(H470=0,IF(I470=0,0,1),I470/ABS(H470))</f>
        <v/>
      </c>
      <c r="K470" s="29">
        <f>H470-(Data_thang!O470-Data_thang!K470)</f>
        <v/>
      </c>
      <c r="L470">
        <f>IF(AND(ABS(I470)&gt;Dashboard!$G$6,ABS(J470)&gt;Dashboard!$H$6),"⚠ Vượt","")</f>
        <v/>
      </c>
      <c r="M470">
        <f>IF(AND(A470=Dashboard!$D$6,OR(Dashboard!$C$6="*",F470=Dashboard!$C$6),L470&lt;&gt;""),ABS(I470)+ROW()/1000000000,0)</f>
        <v/>
      </c>
    </row>
    <row r="471">
      <c r="A471">
        <f>Data_thang!A471</f>
        <v/>
      </c>
      <c r="B471">
        <f>Data_thang!B471</f>
        <v/>
      </c>
      <c r="C471">
        <f>Data_thang!D471</f>
        <v/>
      </c>
      <c r="D471">
        <f>Data_thang!E471</f>
        <v/>
      </c>
      <c r="E471">
        <f>Data_thang!F471</f>
        <v/>
      </c>
      <c r="F471">
        <f>Data_thang!G471</f>
        <v/>
      </c>
      <c r="G471" s="29">
        <f>Data_thang!J471-Data_thang!K471</f>
        <v/>
      </c>
      <c r="H471" s="29">
        <f>Data_thang!N471</f>
        <v/>
      </c>
      <c r="I471" s="29">
        <f>H471-G471</f>
        <v/>
      </c>
      <c r="J471" s="30">
        <f>IF(H471=0,IF(I471=0,0,1),I471/ABS(H471))</f>
        <v/>
      </c>
      <c r="K471" s="29">
        <f>H471-(Data_thang!O471-Data_thang!K471)</f>
        <v/>
      </c>
      <c r="L471">
        <f>IF(AND(ABS(I471)&gt;Dashboard!$G$6,ABS(J471)&gt;Dashboard!$H$6),"⚠ Vượt","")</f>
        <v/>
      </c>
      <c r="M471">
        <f>IF(AND(A471=Dashboard!$D$6,OR(Dashboard!$C$6="*",F471=Dashboard!$C$6),L471&lt;&gt;""),ABS(I471)+ROW()/1000000000,0)</f>
        <v/>
      </c>
    </row>
    <row r="472">
      <c r="A472">
        <f>Data_thang!A472</f>
        <v/>
      </c>
      <c r="B472">
        <f>Data_thang!B472</f>
        <v/>
      </c>
      <c r="C472">
        <f>Data_thang!D472</f>
        <v/>
      </c>
      <c r="D472">
        <f>Data_thang!E472</f>
        <v/>
      </c>
      <c r="E472">
        <f>Data_thang!F472</f>
        <v/>
      </c>
      <c r="F472">
        <f>Data_thang!G472</f>
        <v/>
      </c>
      <c r="G472" s="29">
        <f>Data_thang!J472-Data_thang!K472</f>
        <v/>
      </c>
      <c r="H472" s="29">
        <f>Data_thang!N472</f>
        <v/>
      </c>
      <c r="I472" s="29">
        <f>H472-G472</f>
        <v/>
      </c>
      <c r="J472" s="30">
        <f>IF(H472=0,IF(I472=0,0,1),I472/ABS(H472))</f>
        <v/>
      </c>
      <c r="K472" s="29">
        <f>H472-(Data_thang!O472-Data_thang!K472)</f>
        <v/>
      </c>
      <c r="L472">
        <f>IF(AND(ABS(I472)&gt;Dashboard!$G$6,ABS(J472)&gt;Dashboard!$H$6),"⚠ Vượt","")</f>
        <v/>
      </c>
      <c r="M472">
        <f>IF(AND(A472=Dashboard!$D$6,OR(Dashboard!$C$6="*",F472=Dashboard!$C$6),L472&lt;&gt;""),ABS(I472)+ROW()/1000000000,0)</f>
        <v/>
      </c>
    </row>
    <row r="473">
      <c r="A473">
        <f>Data_thang!A473</f>
        <v/>
      </c>
      <c r="B473">
        <f>Data_thang!B473</f>
        <v/>
      </c>
      <c r="C473">
        <f>Data_thang!D473</f>
        <v/>
      </c>
      <c r="D473">
        <f>Data_thang!E473</f>
        <v/>
      </c>
      <c r="E473">
        <f>Data_thang!F473</f>
        <v/>
      </c>
      <c r="F473">
        <f>Data_thang!G473</f>
        <v/>
      </c>
      <c r="G473" s="29">
        <f>Data_thang!J473-Data_thang!K473</f>
        <v/>
      </c>
      <c r="H473" s="29">
        <f>Data_thang!N473</f>
        <v/>
      </c>
      <c r="I473" s="29">
        <f>H473-G473</f>
        <v/>
      </c>
      <c r="J473" s="30">
        <f>IF(H473=0,IF(I473=0,0,1),I473/ABS(H473))</f>
        <v/>
      </c>
      <c r="K473" s="29">
        <f>H473-(Data_thang!O473-Data_thang!K473)</f>
        <v/>
      </c>
      <c r="L473">
        <f>IF(AND(ABS(I473)&gt;Dashboard!$G$6,ABS(J473)&gt;Dashboard!$H$6),"⚠ Vượt","")</f>
        <v/>
      </c>
      <c r="M473">
        <f>IF(AND(A473=Dashboard!$D$6,OR(Dashboard!$C$6="*",F473=Dashboard!$C$6),L473&lt;&gt;""),ABS(I473)+ROW()/1000000000,0)</f>
        <v/>
      </c>
    </row>
    <row r="474">
      <c r="A474">
        <f>Data_thang!A474</f>
        <v/>
      </c>
      <c r="B474">
        <f>Data_thang!B474</f>
        <v/>
      </c>
      <c r="C474">
        <f>Data_thang!D474</f>
        <v/>
      </c>
      <c r="D474">
        <f>Data_thang!E474</f>
        <v/>
      </c>
      <c r="E474">
        <f>Data_thang!F474</f>
        <v/>
      </c>
      <c r="F474">
        <f>Data_thang!G474</f>
        <v/>
      </c>
      <c r="G474" s="29">
        <f>Data_thang!J474-Data_thang!K474</f>
        <v/>
      </c>
      <c r="H474" s="29">
        <f>Data_thang!N474</f>
        <v/>
      </c>
      <c r="I474" s="29">
        <f>H474-G474</f>
        <v/>
      </c>
      <c r="J474" s="30">
        <f>IF(H474=0,IF(I474=0,0,1),I474/ABS(H474))</f>
        <v/>
      </c>
      <c r="K474" s="29">
        <f>H474-(Data_thang!O474-Data_thang!K474)</f>
        <v/>
      </c>
      <c r="L474">
        <f>IF(AND(ABS(I474)&gt;Dashboard!$G$6,ABS(J474)&gt;Dashboard!$H$6),"⚠ Vượt","")</f>
        <v/>
      </c>
      <c r="M474">
        <f>IF(AND(A474=Dashboard!$D$6,OR(Dashboard!$C$6="*",F474=Dashboard!$C$6),L474&lt;&gt;""),ABS(I474)+ROW()/1000000000,0)</f>
        <v/>
      </c>
    </row>
    <row r="475">
      <c r="A475">
        <f>Data_thang!A475</f>
        <v/>
      </c>
      <c r="B475">
        <f>Data_thang!B475</f>
        <v/>
      </c>
      <c r="C475">
        <f>Data_thang!D475</f>
        <v/>
      </c>
      <c r="D475">
        <f>Data_thang!E475</f>
        <v/>
      </c>
      <c r="E475">
        <f>Data_thang!F475</f>
        <v/>
      </c>
      <c r="F475">
        <f>Data_thang!G475</f>
        <v/>
      </c>
      <c r="G475" s="29">
        <f>Data_thang!J475-Data_thang!K475</f>
        <v/>
      </c>
      <c r="H475" s="29">
        <f>Data_thang!N475</f>
        <v/>
      </c>
      <c r="I475" s="29">
        <f>H475-G475</f>
        <v/>
      </c>
      <c r="J475" s="30">
        <f>IF(H475=0,IF(I475=0,0,1),I475/ABS(H475))</f>
        <v/>
      </c>
      <c r="K475" s="29">
        <f>H475-(Data_thang!O475-Data_thang!K475)</f>
        <v/>
      </c>
      <c r="L475">
        <f>IF(AND(ABS(I475)&gt;Dashboard!$G$6,ABS(J475)&gt;Dashboard!$H$6),"⚠ Vượt","")</f>
        <v/>
      </c>
      <c r="M475">
        <f>IF(AND(A475=Dashboard!$D$6,OR(Dashboard!$C$6="*",F475=Dashboard!$C$6),L475&lt;&gt;""),ABS(I475)+ROW()/1000000000,0)</f>
        <v/>
      </c>
    </row>
    <row r="476">
      <c r="A476">
        <f>Data_thang!A476</f>
        <v/>
      </c>
      <c r="B476">
        <f>Data_thang!B476</f>
        <v/>
      </c>
      <c r="C476">
        <f>Data_thang!D476</f>
        <v/>
      </c>
      <c r="D476">
        <f>Data_thang!E476</f>
        <v/>
      </c>
      <c r="E476">
        <f>Data_thang!F476</f>
        <v/>
      </c>
      <c r="F476">
        <f>Data_thang!G476</f>
        <v/>
      </c>
      <c r="G476" s="29">
        <f>Data_thang!J476-Data_thang!K476</f>
        <v/>
      </c>
      <c r="H476" s="29">
        <f>Data_thang!N476</f>
        <v/>
      </c>
      <c r="I476" s="29">
        <f>H476-G476</f>
        <v/>
      </c>
      <c r="J476" s="30">
        <f>IF(H476=0,IF(I476=0,0,1),I476/ABS(H476))</f>
        <v/>
      </c>
      <c r="K476" s="29">
        <f>H476-(Data_thang!O476-Data_thang!K476)</f>
        <v/>
      </c>
      <c r="L476">
        <f>IF(AND(ABS(I476)&gt;Dashboard!$G$6,ABS(J476)&gt;Dashboard!$H$6),"⚠ Vượt","")</f>
        <v/>
      </c>
      <c r="M476">
        <f>IF(AND(A476=Dashboard!$D$6,OR(Dashboard!$C$6="*",F476=Dashboard!$C$6),L476&lt;&gt;""),ABS(I476)+ROW()/1000000000,0)</f>
        <v/>
      </c>
    </row>
    <row r="477">
      <c r="A477">
        <f>Data_thang!A477</f>
        <v/>
      </c>
      <c r="B477">
        <f>Data_thang!B477</f>
        <v/>
      </c>
      <c r="C477">
        <f>Data_thang!D477</f>
        <v/>
      </c>
      <c r="D477">
        <f>Data_thang!E477</f>
        <v/>
      </c>
      <c r="E477">
        <f>Data_thang!F477</f>
        <v/>
      </c>
      <c r="F477">
        <f>Data_thang!G477</f>
        <v/>
      </c>
      <c r="G477" s="29">
        <f>Data_thang!J477-Data_thang!K477</f>
        <v/>
      </c>
      <c r="H477" s="29">
        <f>Data_thang!N477</f>
        <v/>
      </c>
      <c r="I477" s="29">
        <f>H477-G477</f>
        <v/>
      </c>
      <c r="J477" s="30">
        <f>IF(H477=0,IF(I477=0,0,1),I477/ABS(H477))</f>
        <v/>
      </c>
      <c r="K477" s="29">
        <f>H477-(Data_thang!O477-Data_thang!K477)</f>
        <v/>
      </c>
      <c r="L477">
        <f>IF(AND(ABS(I477)&gt;Dashboard!$G$6,ABS(J477)&gt;Dashboard!$H$6),"⚠ Vượt","")</f>
        <v/>
      </c>
      <c r="M477">
        <f>IF(AND(A477=Dashboard!$D$6,OR(Dashboard!$C$6="*",F477=Dashboard!$C$6),L477&lt;&gt;""),ABS(I477)+ROW()/1000000000,0)</f>
        <v/>
      </c>
    </row>
    <row r="478">
      <c r="A478">
        <f>Data_thang!A478</f>
        <v/>
      </c>
      <c r="B478">
        <f>Data_thang!B478</f>
        <v/>
      </c>
      <c r="C478">
        <f>Data_thang!D478</f>
        <v/>
      </c>
      <c r="D478">
        <f>Data_thang!E478</f>
        <v/>
      </c>
      <c r="E478">
        <f>Data_thang!F478</f>
        <v/>
      </c>
      <c r="F478">
        <f>Data_thang!G478</f>
        <v/>
      </c>
      <c r="G478" s="29">
        <f>Data_thang!J478-Data_thang!K478</f>
        <v/>
      </c>
      <c r="H478" s="29">
        <f>Data_thang!N478</f>
        <v/>
      </c>
      <c r="I478" s="29">
        <f>H478-G478</f>
        <v/>
      </c>
      <c r="J478" s="30">
        <f>IF(H478=0,IF(I478=0,0,1),I478/ABS(H478))</f>
        <v/>
      </c>
      <c r="K478" s="29">
        <f>H478-(Data_thang!O478-Data_thang!K478)</f>
        <v/>
      </c>
      <c r="L478">
        <f>IF(AND(ABS(I478)&gt;Dashboard!$G$6,ABS(J478)&gt;Dashboard!$H$6),"⚠ Vượt","")</f>
        <v/>
      </c>
      <c r="M478">
        <f>IF(AND(A478=Dashboard!$D$6,OR(Dashboard!$C$6="*",F478=Dashboard!$C$6),L478&lt;&gt;""),ABS(I478)+ROW()/1000000000,0)</f>
        <v/>
      </c>
    </row>
    <row r="479">
      <c r="A479">
        <f>Data_thang!A479</f>
        <v/>
      </c>
      <c r="B479">
        <f>Data_thang!B479</f>
        <v/>
      </c>
      <c r="C479">
        <f>Data_thang!D479</f>
        <v/>
      </c>
      <c r="D479">
        <f>Data_thang!E479</f>
        <v/>
      </c>
      <c r="E479">
        <f>Data_thang!F479</f>
        <v/>
      </c>
      <c r="F479">
        <f>Data_thang!G479</f>
        <v/>
      </c>
      <c r="G479" s="29">
        <f>Data_thang!J479-Data_thang!K479</f>
        <v/>
      </c>
      <c r="H479" s="29">
        <f>Data_thang!N479</f>
        <v/>
      </c>
      <c r="I479" s="29">
        <f>H479-G479</f>
        <v/>
      </c>
      <c r="J479" s="30">
        <f>IF(H479=0,IF(I479=0,0,1),I479/ABS(H479))</f>
        <v/>
      </c>
      <c r="K479" s="29">
        <f>H479-(Data_thang!O479-Data_thang!K479)</f>
        <v/>
      </c>
      <c r="L479">
        <f>IF(AND(ABS(I479)&gt;Dashboard!$G$6,ABS(J479)&gt;Dashboard!$H$6),"⚠ Vượt","")</f>
        <v/>
      </c>
      <c r="M479">
        <f>IF(AND(A479=Dashboard!$D$6,OR(Dashboard!$C$6="*",F479=Dashboard!$C$6),L479&lt;&gt;""),ABS(I479)+ROW()/1000000000,0)</f>
        <v/>
      </c>
    </row>
    <row r="480">
      <c r="A480">
        <f>Data_thang!A480</f>
        <v/>
      </c>
      <c r="B480">
        <f>Data_thang!B480</f>
        <v/>
      </c>
      <c r="C480">
        <f>Data_thang!D480</f>
        <v/>
      </c>
      <c r="D480">
        <f>Data_thang!E480</f>
        <v/>
      </c>
      <c r="E480">
        <f>Data_thang!F480</f>
        <v/>
      </c>
      <c r="F480">
        <f>Data_thang!G480</f>
        <v/>
      </c>
      <c r="G480" s="29">
        <f>Data_thang!J480-Data_thang!K480</f>
        <v/>
      </c>
      <c r="H480" s="29">
        <f>Data_thang!N480</f>
        <v/>
      </c>
      <c r="I480" s="29">
        <f>H480-G480</f>
        <v/>
      </c>
      <c r="J480" s="30">
        <f>IF(H480=0,IF(I480=0,0,1),I480/ABS(H480))</f>
        <v/>
      </c>
      <c r="K480" s="29">
        <f>H480-(Data_thang!O480-Data_thang!K480)</f>
        <v/>
      </c>
      <c r="L480">
        <f>IF(AND(ABS(I480)&gt;Dashboard!$G$6,ABS(J480)&gt;Dashboard!$H$6),"⚠ Vượt","")</f>
        <v/>
      </c>
      <c r="M480">
        <f>IF(AND(A480=Dashboard!$D$6,OR(Dashboard!$C$6="*",F480=Dashboard!$C$6),L480&lt;&gt;""),ABS(I480)+ROW()/1000000000,0)</f>
        <v/>
      </c>
    </row>
    <row r="481">
      <c r="A481">
        <f>Data_thang!A481</f>
        <v/>
      </c>
      <c r="B481">
        <f>Data_thang!B481</f>
        <v/>
      </c>
      <c r="C481">
        <f>Data_thang!D481</f>
        <v/>
      </c>
      <c r="D481">
        <f>Data_thang!E481</f>
        <v/>
      </c>
      <c r="E481">
        <f>Data_thang!F481</f>
        <v/>
      </c>
      <c r="F481">
        <f>Data_thang!G481</f>
        <v/>
      </c>
      <c r="G481" s="29">
        <f>Data_thang!J481-Data_thang!K481</f>
        <v/>
      </c>
      <c r="H481" s="29">
        <f>Data_thang!N481</f>
        <v/>
      </c>
      <c r="I481" s="29">
        <f>H481-G481</f>
        <v/>
      </c>
      <c r="J481" s="30">
        <f>IF(H481=0,IF(I481=0,0,1),I481/ABS(H481))</f>
        <v/>
      </c>
      <c r="K481" s="29">
        <f>H481-(Data_thang!O481-Data_thang!K481)</f>
        <v/>
      </c>
      <c r="L481">
        <f>IF(AND(ABS(I481)&gt;Dashboard!$G$6,ABS(J481)&gt;Dashboard!$H$6),"⚠ Vượt","")</f>
        <v/>
      </c>
      <c r="M481">
        <f>IF(AND(A481=Dashboard!$D$6,OR(Dashboard!$C$6="*",F481=Dashboard!$C$6),L481&lt;&gt;""),ABS(I481)+ROW()/1000000000,0)</f>
        <v/>
      </c>
    </row>
    <row r="482">
      <c r="A482">
        <f>Data_thang!A482</f>
        <v/>
      </c>
      <c r="B482">
        <f>Data_thang!B482</f>
        <v/>
      </c>
      <c r="C482">
        <f>Data_thang!D482</f>
        <v/>
      </c>
      <c r="D482">
        <f>Data_thang!E482</f>
        <v/>
      </c>
      <c r="E482">
        <f>Data_thang!F482</f>
        <v/>
      </c>
      <c r="F482">
        <f>Data_thang!G482</f>
        <v/>
      </c>
      <c r="G482" s="29">
        <f>Data_thang!J482-Data_thang!K482</f>
        <v/>
      </c>
      <c r="H482" s="29">
        <f>Data_thang!N482</f>
        <v/>
      </c>
      <c r="I482" s="29">
        <f>H482-G482</f>
        <v/>
      </c>
      <c r="J482" s="30">
        <f>IF(H482=0,IF(I482=0,0,1),I482/ABS(H482))</f>
        <v/>
      </c>
      <c r="K482" s="29">
        <f>H482-(Data_thang!O482-Data_thang!K482)</f>
        <v/>
      </c>
      <c r="L482">
        <f>IF(AND(ABS(I482)&gt;Dashboard!$G$6,ABS(J482)&gt;Dashboard!$H$6),"⚠ Vượt","")</f>
        <v/>
      </c>
      <c r="M482">
        <f>IF(AND(A482=Dashboard!$D$6,OR(Dashboard!$C$6="*",F482=Dashboard!$C$6),L482&lt;&gt;""),ABS(I482)+ROW()/1000000000,0)</f>
        <v/>
      </c>
    </row>
    <row r="483">
      <c r="A483">
        <f>Data_thang!A483</f>
        <v/>
      </c>
      <c r="B483">
        <f>Data_thang!B483</f>
        <v/>
      </c>
      <c r="C483">
        <f>Data_thang!D483</f>
        <v/>
      </c>
      <c r="D483">
        <f>Data_thang!E483</f>
        <v/>
      </c>
      <c r="E483">
        <f>Data_thang!F483</f>
        <v/>
      </c>
      <c r="F483">
        <f>Data_thang!G483</f>
        <v/>
      </c>
      <c r="G483" s="29">
        <f>Data_thang!J483-Data_thang!K483</f>
        <v/>
      </c>
      <c r="H483" s="29">
        <f>Data_thang!N483</f>
        <v/>
      </c>
      <c r="I483" s="29">
        <f>H483-G483</f>
        <v/>
      </c>
      <c r="J483" s="30">
        <f>IF(H483=0,IF(I483=0,0,1),I483/ABS(H483))</f>
        <v/>
      </c>
      <c r="K483" s="29">
        <f>H483-(Data_thang!O483-Data_thang!K483)</f>
        <v/>
      </c>
      <c r="L483">
        <f>IF(AND(ABS(I483)&gt;Dashboard!$G$6,ABS(J483)&gt;Dashboard!$H$6),"⚠ Vượt","")</f>
        <v/>
      </c>
      <c r="M483">
        <f>IF(AND(A483=Dashboard!$D$6,OR(Dashboard!$C$6="*",F483=Dashboard!$C$6),L483&lt;&gt;""),ABS(I483)+ROW()/1000000000,0)</f>
        <v/>
      </c>
    </row>
    <row r="484">
      <c r="A484">
        <f>Data_thang!A484</f>
        <v/>
      </c>
      <c r="B484">
        <f>Data_thang!B484</f>
        <v/>
      </c>
      <c r="C484">
        <f>Data_thang!D484</f>
        <v/>
      </c>
      <c r="D484">
        <f>Data_thang!E484</f>
        <v/>
      </c>
      <c r="E484">
        <f>Data_thang!F484</f>
        <v/>
      </c>
      <c r="F484">
        <f>Data_thang!G484</f>
        <v/>
      </c>
      <c r="G484" s="29">
        <f>Data_thang!J484-Data_thang!K484</f>
        <v/>
      </c>
      <c r="H484" s="29">
        <f>Data_thang!N484</f>
        <v/>
      </c>
      <c r="I484" s="29">
        <f>H484-G484</f>
        <v/>
      </c>
      <c r="J484" s="30">
        <f>IF(H484=0,IF(I484=0,0,1),I484/ABS(H484))</f>
        <v/>
      </c>
      <c r="K484" s="29">
        <f>H484-(Data_thang!O484-Data_thang!K484)</f>
        <v/>
      </c>
      <c r="L484">
        <f>IF(AND(ABS(I484)&gt;Dashboard!$G$6,ABS(J484)&gt;Dashboard!$H$6),"⚠ Vượt","")</f>
        <v/>
      </c>
      <c r="M484">
        <f>IF(AND(A484=Dashboard!$D$6,OR(Dashboard!$C$6="*",F484=Dashboard!$C$6),L484&lt;&gt;""),ABS(I484)+ROW()/1000000000,0)</f>
        <v/>
      </c>
    </row>
    <row r="485">
      <c r="A485">
        <f>Data_thang!A485</f>
        <v/>
      </c>
      <c r="B485">
        <f>Data_thang!B485</f>
        <v/>
      </c>
      <c r="C485">
        <f>Data_thang!D485</f>
        <v/>
      </c>
      <c r="D485">
        <f>Data_thang!E485</f>
        <v/>
      </c>
      <c r="E485">
        <f>Data_thang!F485</f>
        <v/>
      </c>
      <c r="F485">
        <f>Data_thang!G485</f>
        <v/>
      </c>
      <c r="G485" s="29">
        <f>Data_thang!J485-Data_thang!K485</f>
        <v/>
      </c>
      <c r="H485" s="29">
        <f>Data_thang!N485</f>
        <v/>
      </c>
      <c r="I485" s="29">
        <f>H485-G485</f>
        <v/>
      </c>
      <c r="J485" s="30">
        <f>IF(H485=0,IF(I485=0,0,1),I485/ABS(H485))</f>
        <v/>
      </c>
      <c r="K485" s="29">
        <f>H485-(Data_thang!O485-Data_thang!K485)</f>
        <v/>
      </c>
      <c r="L485">
        <f>IF(AND(ABS(I485)&gt;Dashboard!$G$6,ABS(J485)&gt;Dashboard!$H$6),"⚠ Vượt","")</f>
        <v/>
      </c>
      <c r="M485">
        <f>IF(AND(A485=Dashboard!$D$6,OR(Dashboard!$C$6="*",F485=Dashboard!$C$6),L485&lt;&gt;""),ABS(I485)+ROW()/1000000000,0)</f>
        <v/>
      </c>
    </row>
    <row r="486">
      <c r="A486">
        <f>Data_thang!A486</f>
        <v/>
      </c>
      <c r="B486">
        <f>Data_thang!B486</f>
        <v/>
      </c>
      <c r="C486">
        <f>Data_thang!D486</f>
        <v/>
      </c>
      <c r="D486">
        <f>Data_thang!E486</f>
        <v/>
      </c>
      <c r="E486">
        <f>Data_thang!F486</f>
        <v/>
      </c>
      <c r="F486">
        <f>Data_thang!G486</f>
        <v/>
      </c>
      <c r="G486" s="29">
        <f>Data_thang!J486-Data_thang!K486</f>
        <v/>
      </c>
      <c r="H486" s="29">
        <f>Data_thang!N486</f>
        <v/>
      </c>
      <c r="I486" s="29">
        <f>H486-G486</f>
        <v/>
      </c>
      <c r="J486" s="30">
        <f>IF(H486=0,IF(I486=0,0,1),I486/ABS(H486))</f>
        <v/>
      </c>
      <c r="K486" s="29">
        <f>H486-(Data_thang!O486-Data_thang!K486)</f>
        <v/>
      </c>
      <c r="L486">
        <f>IF(AND(ABS(I486)&gt;Dashboard!$G$6,ABS(J486)&gt;Dashboard!$H$6),"⚠ Vượt","")</f>
        <v/>
      </c>
      <c r="M486">
        <f>IF(AND(A486=Dashboard!$D$6,OR(Dashboard!$C$6="*",F486=Dashboard!$C$6),L486&lt;&gt;""),ABS(I486)+ROW()/1000000000,0)</f>
        <v/>
      </c>
    </row>
    <row r="487">
      <c r="A487">
        <f>Data_thang!A487</f>
        <v/>
      </c>
      <c r="B487">
        <f>Data_thang!B487</f>
        <v/>
      </c>
      <c r="C487">
        <f>Data_thang!D487</f>
        <v/>
      </c>
      <c r="D487">
        <f>Data_thang!E487</f>
        <v/>
      </c>
      <c r="E487">
        <f>Data_thang!F487</f>
        <v/>
      </c>
      <c r="F487">
        <f>Data_thang!G487</f>
        <v/>
      </c>
      <c r="G487" s="29">
        <f>Data_thang!J487-Data_thang!K487</f>
        <v/>
      </c>
      <c r="H487" s="29">
        <f>Data_thang!N487</f>
        <v/>
      </c>
      <c r="I487" s="29">
        <f>H487-G487</f>
        <v/>
      </c>
      <c r="J487" s="30">
        <f>IF(H487=0,IF(I487=0,0,1),I487/ABS(H487))</f>
        <v/>
      </c>
      <c r="K487" s="29">
        <f>H487-(Data_thang!O487-Data_thang!K487)</f>
        <v/>
      </c>
      <c r="L487">
        <f>IF(AND(ABS(I487)&gt;Dashboard!$G$6,ABS(J487)&gt;Dashboard!$H$6),"⚠ Vượt","")</f>
        <v/>
      </c>
      <c r="M487">
        <f>IF(AND(A487=Dashboard!$D$6,OR(Dashboard!$C$6="*",F487=Dashboard!$C$6),L487&lt;&gt;""),ABS(I487)+ROW()/1000000000,0)</f>
        <v/>
      </c>
    </row>
    <row r="488">
      <c r="A488">
        <f>Data_thang!A488</f>
        <v/>
      </c>
      <c r="B488">
        <f>Data_thang!B488</f>
        <v/>
      </c>
      <c r="C488">
        <f>Data_thang!D488</f>
        <v/>
      </c>
      <c r="D488">
        <f>Data_thang!E488</f>
        <v/>
      </c>
      <c r="E488">
        <f>Data_thang!F488</f>
        <v/>
      </c>
      <c r="F488">
        <f>Data_thang!G488</f>
        <v/>
      </c>
      <c r="G488" s="29">
        <f>Data_thang!J488-Data_thang!K488</f>
        <v/>
      </c>
      <c r="H488" s="29">
        <f>Data_thang!N488</f>
        <v/>
      </c>
      <c r="I488" s="29">
        <f>H488-G488</f>
        <v/>
      </c>
      <c r="J488" s="30">
        <f>IF(H488=0,IF(I488=0,0,1),I488/ABS(H488))</f>
        <v/>
      </c>
      <c r="K488" s="29">
        <f>H488-(Data_thang!O488-Data_thang!K488)</f>
        <v/>
      </c>
      <c r="L488">
        <f>IF(AND(ABS(I488)&gt;Dashboard!$G$6,ABS(J488)&gt;Dashboard!$H$6),"⚠ Vượt","")</f>
        <v/>
      </c>
      <c r="M488">
        <f>IF(AND(A488=Dashboard!$D$6,OR(Dashboard!$C$6="*",F488=Dashboard!$C$6),L488&lt;&gt;""),ABS(I488)+ROW()/1000000000,0)</f>
        <v/>
      </c>
    </row>
    <row r="489">
      <c r="A489">
        <f>Data_thang!A489</f>
        <v/>
      </c>
      <c r="B489">
        <f>Data_thang!B489</f>
        <v/>
      </c>
      <c r="C489">
        <f>Data_thang!D489</f>
        <v/>
      </c>
      <c r="D489">
        <f>Data_thang!E489</f>
        <v/>
      </c>
      <c r="E489">
        <f>Data_thang!F489</f>
        <v/>
      </c>
      <c r="F489">
        <f>Data_thang!G489</f>
        <v/>
      </c>
      <c r="G489" s="29">
        <f>Data_thang!J489-Data_thang!K489</f>
        <v/>
      </c>
      <c r="H489" s="29">
        <f>Data_thang!N489</f>
        <v/>
      </c>
      <c r="I489" s="29">
        <f>H489-G489</f>
        <v/>
      </c>
      <c r="J489" s="30">
        <f>IF(H489=0,IF(I489=0,0,1),I489/ABS(H489))</f>
        <v/>
      </c>
      <c r="K489" s="29">
        <f>H489-(Data_thang!O489-Data_thang!K489)</f>
        <v/>
      </c>
      <c r="L489">
        <f>IF(AND(ABS(I489)&gt;Dashboard!$G$6,ABS(J489)&gt;Dashboard!$H$6),"⚠ Vượt","")</f>
        <v/>
      </c>
      <c r="M489">
        <f>IF(AND(A489=Dashboard!$D$6,OR(Dashboard!$C$6="*",F489=Dashboard!$C$6),L489&lt;&gt;""),ABS(I489)+ROW()/1000000000,0)</f>
        <v/>
      </c>
    </row>
    <row r="490">
      <c r="A490">
        <f>Data_thang!A490</f>
        <v/>
      </c>
      <c r="B490">
        <f>Data_thang!B490</f>
        <v/>
      </c>
      <c r="C490">
        <f>Data_thang!D490</f>
        <v/>
      </c>
      <c r="D490">
        <f>Data_thang!E490</f>
        <v/>
      </c>
      <c r="E490">
        <f>Data_thang!F490</f>
        <v/>
      </c>
      <c r="F490">
        <f>Data_thang!G490</f>
        <v/>
      </c>
      <c r="G490" s="29">
        <f>Data_thang!J490-Data_thang!K490</f>
        <v/>
      </c>
      <c r="H490" s="29">
        <f>Data_thang!N490</f>
        <v/>
      </c>
      <c r="I490" s="29">
        <f>H490-G490</f>
        <v/>
      </c>
      <c r="J490" s="30">
        <f>IF(H490=0,IF(I490=0,0,1),I490/ABS(H490))</f>
        <v/>
      </c>
      <c r="K490" s="29">
        <f>H490-(Data_thang!O490-Data_thang!K490)</f>
        <v/>
      </c>
      <c r="L490">
        <f>IF(AND(ABS(I490)&gt;Dashboard!$G$6,ABS(J490)&gt;Dashboard!$H$6),"⚠ Vượt","")</f>
        <v/>
      </c>
      <c r="M490">
        <f>IF(AND(A490=Dashboard!$D$6,OR(Dashboard!$C$6="*",F490=Dashboard!$C$6),L490&lt;&gt;""),ABS(I490)+ROW()/1000000000,0)</f>
        <v/>
      </c>
    </row>
    <row r="491">
      <c r="A491">
        <f>Data_thang!A491</f>
        <v/>
      </c>
      <c r="B491">
        <f>Data_thang!B491</f>
        <v/>
      </c>
      <c r="C491">
        <f>Data_thang!D491</f>
        <v/>
      </c>
      <c r="D491">
        <f>Data_thang!E491</f>
        <v/>
      </c>
      <c r="E491">
        <f>Data_thang!F491</f>
        <v/>
      </c>
      <c r="F491">
        <f>Data_thang!G491</f>
        <v/>
      </c>
      <c r="G491" s="29">
        <f>Data_thang!J491-Data_thang!K491</f>
        <v/>
      </c>
      <c r="H491" s="29">
        <f>Data_thang!N491</f>
        <v/>
      </c>
      <c r="I491" s="29">
        <f>H491-G491</f>
        <v/>
      </c>
      <c r="J491" s="30">
        <f>IF(H491=0,IF(I491=0,0,1),I491/ABS(H491))</f>
        <v/>
      </c>
      <c r="K491" s="29">
        <f>H491-(Data_thang!O491-Data_thang!K491)</f>
        <v/>
      </c>
      <c r="L491">
        <f>IF(AND(ABS(I491)&gt;Dashboard!$G$6,ABS(J491)&gt;Dashboard!$H$6),"⚠ Vượt","")</f>
        <v/>
      </c>
      <c r="M491">
        <f>IF(AND(A491=Dashboard!$D$6,OR(Dashboard!$C$6="*",F491=Dashboard!$C$6),L491&lt;&gt;""),ABS(I491)+ROW()/1000000000,0)</f>
        <v/>
      </c>
    </row>
    <row r="492">
      <c r="A492">
        <f>Data_thang!A492</f>
        <v/>
      </c>
      <c r="B492">
        <f>Data_thang!B492</f>
        <v/>
      </c>
      <c r="C492">
        <f>Data_thang!D492</f>
        <v/>
      </c>
      <c r="D492">
        <f>Data_thang!E492</f>
        <v/>
      </c>
      <c r="E492">
        <f>Data_thang!F492</f>
        <v/>
      </c>
      <c r="F492">
        <f>Data_thang!G492</f>
        <v/>
      </c>
      <c r="G492" s="29">
        <f>Data_thang!J492-Data_thang!K492</f>
        <v/>
      </c>
      <c r="H492" s="29">
        <f>Data_thang!N492</f>
        <v/>
      </c>
      <c r="I492" s="29">
        <f>H492-G492</f>
        <v/>
      </c>
      <c r="J492" s="30">
        <f>IF(H492=0,IF(I492=0,0,1),I492/ABS(H492))</f>
        <v/>
      </c>
      <c r="K492" s="29">
        <f>H492-(Data_thang!O492-Data_thang!K492)</f>
        <v/>
      </c>
      <c r="L492">
        <f>IF(AND(ABS(I492)&gt;Dashboard!$G$6,ABS(J492)&gt;Dashboard!$H$6),"⚠ Vượt","")</f>
        <v/>
      </c>
      <c r="M492">
        <f>IF(AND(A492=Dashboard!$D$6,OR(Dashboard!$C$6="*",F492=Dashboard!$C$6),L492&lt;&gt;""),ABS(I492)+ROW()/1000000000,0)</f>
        <v/>
      </c>
    </row>
    <row r="493">
      <c r="A493">
        <f>Data_thang!A493</f>
        <v/>
      </c>
      <c r="B493">
        <f>Data_thang!B493</f>
        <v/>
      </c>
      <c r="C493">
        <f>Data_thang!D493</f>
        <v/>
      </c>
      <c r="D493">
        <f>Data_thang!E493</f>
        <v/>
      </c>
      <c r="E493">
        <f>Data_thang!F493</f>
        <v/>
      </c>
      <c r="F493">
        <f>Data_thang!G493</f>
        <v/>
      </c>
      <c r="G493" s="29">
        <f>Data_thang!J493-Data_thang!K493</f>
        <v/>
      </c>
      <c r="H493" s="29">
        <f>Data_thang!N493</f>
        <v/>
      </c>
      <c r="I493" s="29">
        <f>H493-G493</f>
        <v/>
      </c>
      <c r="J493" s="30">
        <f>IF(H493=0,IF(I493=0,0,1),I493/ABS(H493))</f>
        <v/>
      </c>
      <c r="K493" s="29">
        <f>H493-(Data_thang!O493-Data_thang!K493)</f>
        <v/>
      </c>
      <c r="L493">
        <f>IF(AND(ABS(I493)&gt;Dashboard!$G$6,ABS(J493)&gt;Dashboard!$H$6),"⚠ Vượt","")</f>
        <v/>
      </c>
      <c r="M493">
        <f>IF(AND(A493=Dashboard!$D$6,OR(Dashboard!$C$6="*",F493=Dashboard!$C$6),L493&lt;&gt;""),ABS(I493)+ROW()/1000000000,0)</f>
        <v/>
      </c>
    </row>
    <row r="494">
      <c r="A494">
        <f>Data_thang!A494</f>
        <v/>
      </c>
      <c r="B494">
        <f>Data_thang!B494</f>
        <v/>
      </c>
      <c r="C494">
        <f>Data_thang!D494</f>
        <v/>
      </c>
      <c r="D494">
        <f>Data_thang!E494</f>
        <v/>
      </c>
      <c r="E494">
        <f>Data_thang!F494</f>
        <v/>
      </c>
      <c r="F494">
        <f>Data_thang!G494</f>
        <v/>
      </c>
      <c r="G494" s="29">
        <f>Data_thang!J494-Data_thang!K494</f>
        <v/>
      </c>
      <c r="H494" s="29">
        <f>Data_thang!N494</f>
        <v/>
      </c>
      <c r="I494" s="29">
        <f>H494-G494</f>
        <v/>
      </c>
      <c r="J494" s="30">
        <f>IF(H494=0,IF(I494=0,0,1),I494/ABS(H494))</f>
        <v/>
      </c>
      <c r="K494" s="29">
        <f>H494-(Data_thang!O494-Data_thang!K494)</f>
        <v/>
      </c>
      <c r="L494">
        <f>IF(AND(ABS(I494)&gt;Dashboard!$G$6,ABS(J494)&gt;Dashboard!$H$6),"⚠ Vượt","")</f>
        <v/>
      </c>
      <c r="M494">
        <f>IF(AND(A494=Dashboard!$D$6,OR(Dashboard!$C$6="*",F494=Dashboard!$C$6),L494&lt;&gt;""),ABS(I494)+ROW()/1000000000,0)</f>
        <v/>
      </c>
    </row>
    <row r="495">
      <c r="A495">
        <f>Data_thang!A495</f>
        <v/>
      </c>
      <c r="B495">
        <f>Data_thang!B495</f>
        <v/>
      </c>
      <c r="C495">
        <f>Data_thang!D495</f>
        <v/>
      </c>
      <c r="D495">
        <f>Data_thang!E495</f>
        <v/>
      </c>
      <c r="E495">
        <f>Data_thang!F495</f>
        <v/>
      </c>
      <c r="F495">
        <f>Data_thang!G495</f>
        <v/>
      </c>
      <c r="G495" s="29">
        <f>Data_thang!J495-Data_thang!K495</f>
        <v/>
      </c>
      <c r="H495" s="29">
        <f>Data_thang!N495</f>
        <v/>
      </c>
      <c r="I495" s="29">
        <f>H495-G495</f>
        <v/>
      </c>
      <c r="J495" s="30">
        <f>IF(H495=0,IF(I495=0,0,1),I495/ABS(H495))</f>
        <v/>
      </c>
      <c r="K495" s="29">
        <f>H495-(Data_thang!O495-Data_thang!K495)</f>
        <v/>
      </c>
      <c r="L495">
        <f>IF(AND(ABS(I495)&gt;Dashboard!$G$6,ABS(J495)&gt;Dashboard!$H$6),"⚠ Vượt","")</f>
        <v/>
      </c>
      <c r="M495">
        <f>IF(AND(A495=Dashboard!$D$6,OR(Dashboard!$C$6="*",F495=Dashboard!$C$6),L495&lt;&gt;""),ABS(I495)+ROW()/1000000000,0)</f>
        <v/>
      </c>
    </row>
    <row r="496">
      <c r="A496">
        <f>Data_thang!A496</f>
        <v/>
      </c>
      <c r="B496">
        <f>Data_thang!B496</f>
        <v/>
      </c>
      <c r="C496">
        <f>Data_thang!D496</f>
        <v/>
      </c>
      <c r="D496">
        <f>Data_thang!E496</f>
        <v/>
      </c>
      <c r="E496">
        <f>Data_thang!F496</f>
        <v/>
      </c>
      <c r="F496">
        <f>Data_thang!G496</f>
        <v/>
      </c>
      <c r="G496" s="29">
        <f>Data_thang!J496-Data_thang!K496</f>
        <v/>
      </c>
      <c r="H496" s="29">
        <f>Data_thang!N496</f>
        <v/>
      </c>
      <c r="I496" s="29">
        <f>H496-G496</f>
        <v/>
      </c>
      <c r="J496" s="30">
        <f>IF(H496=0,IF(I496=0,0,1),I496/ABS(H496))</f>
        <v/>
      </c>
      <c r="K496" s="29">
        <f>H496-(Data_thang!O496-Data_thang!K496)</f>
        <v/>
      </c>
      <c r="L496">
        <f>IF(AND(ABS(I496)&gt;Dashboard!$G$6,ABS(J496)&gt;Dashboard!$H$6),"⚠ Vượt","")</f>
        <v/>
      </c>
      <c r="M496">
        <f>IF(AND(A496=Dashboard!$D$6,OR(Dashboard!$C$6="*",F496=Dashboard!$C$6),L496&lt;&gt;""),ABS(I496)+ROW()/1000000000,0)</f>
        <v/>
      </c>
    </row>
    <row r="497">
      <c r="A497">
        <f>Data_thang!A497</f>
        <v/>
      </c>
      <c r="B497">
        <f>Data_thang!B497</f>
        <v/>
      </c>
      <c r="C497">
        <f>Data_thang!D497</f>
        <v/>
      </c>
      <c r="D497">
        <f>Data_thang!E497</f>
        <v/>
      </c>
      <c r="E497">
        <f>Data_thang!F497</f>
        <v/>
      </c>
      <c r="F497">
        <f>Data_thang!G497</f>
        <v/>
      </c>
      <c r="G497" s="29">
        <f>Data_thang!J497-Data_thang!K497</f>
        <v/>
      </c>
      <c r="H497" s="29">
        <f>Data_thang!N497</f>
        <v/>
      </c>
      <c r="I497" s="29">
        <f>H497-G497</f>
        <v/>
      </c>
      <c r="J497" s="30">
        <f>IF(H497=0,IF(I497=0,0,1),I497/ABS(H497))</f>
        <v/>
      </c>
      <c r="K497" s="29">
        <f>H497-(Data_thang!O497-Data_thang!K497)</f>
        <v/>
      </c>
      <c r="L497">
        <f>IF(AND(ABS(I497)&gt;Dashboard!$G$6,ABS(J497)&gt;Dashboard!$H$6),"⚠ Vượt","")</f>
        <v/>
      </c>
      <c r="M497">
        <f>IF(AND(A497=Dashboard!$D$6,OR(Dashboard!$C$6="*",F497=Dashboard!$C$6),L497&lt;&gt;""),ABS(I497)+ROW()/1000000000,0)</f>
        <v/>
      </c>
    </row>
    <row r="498">
      <c r="A498">
        <f>Data_thang!A498</f>
        <v/>
      </c>
      <c r="B498">
        <f>Data_thang!B498</f>
        <v/>
      </c>
      <c r="C498">
        <f>Data_thang!D498</f>
        <v/>
      </c>
      <c r="D498">
        <f>Data_thang!E498</f>
        <v/>
      </c>
      <c r="E498">
        <f>Data_thang!F498</f>
        <v/>
      </c>
      <c r="F498">
        <f>Data_thang!G498</f>
        <v/>
      </c>
      <c r="G498" s="29">
        <f>Data_thang!J498-Data_thang!K498</f>
        <v/>
      </c>
      <c r="H498" s="29">
        <f>Data_thang!N498</f>
        <v/>
      </c>
      <c r="I498" s="29">
        <f>H498-G498</f>
        <v/>
      </c>
      <c r="J498" s="30">
        <f>IF(H498=0,IF(I498=0,0,1),I498/ABS(H498))</f>
        <v/>
      </c>
      <c r="K498" s="29">
        <f>H498-(Data_thang!O498-Data_thang!K498)</f>
        <v/>
      </c>
      <c r="L498">
        <f>IF(AND(ABS(I498)&gt;Dashboard!$G$6,ABS(J498)&gt;Dashboard!$H$6),"⚠ Vượt","")</f>
        <v/>
      </c>
      <c r="M498">
        <f>IF(AND(A498=Dashboard!$D$6,OR(Dashboard!$C$6="*",F498=Dashboard!$C$6),L498&lt;&gt;""),ABS(I498)+ROW()/1000000000,0)</f>
        <v/>
      </c>
    </row>
    <row r="499">
      <c r="A499">
        <f>Data_thang!A499</f>
        <v/>
      </c>
      <c r="B499">
        <f>Data_thang!B499</f>
        <v/>
      </c>
      <c r="C499">
        <f>Data_thang!D499</f>
        <v/>
      </c>
      <c r="D499">
        <f>Data_thang!E499</f>
        <v/>
      </c>
      <c r="E499">
        <f>Data_thang!F499</f>
        <v/>
      </c>
      <c r="F499">
        <f>Data_thang!G499</f>
        <v/>
      </c>
      <c r="G499" s="29">
        <f>Data_thang!J499-Data_thang!K499</f>
        <v/>
      </c>
      <c r="H499" s="29">
        <f>Data_thang!N499</f>
        <v/>
      </c>
      <c r="I499" s="29">
        <f>H499-G499</f>
        <v/>
      </c>
      <c r="J499" s="30">
        <f>IF(H499=0,IF(I499=0,0,1),I499/ABS(H499))</f>
        <v/>
      </c>
      <c r="K499" s="29">
        <f>H499-(Data_thang!O499-Data_thang!K499)</f>
        <v/>
      </c>
      <c r="L499">
        <f>IF(AND(ABS(I499)&gt;Dashboard!$G$6,ABS(J499)&gt;Dashboard!$H$6),"⚠ Vượt","")</f>
        <v/>
      </c>
      <c r="M499">
        <f>IF(AND(A499=Dashboard!$D$6,OR(Dashboard!$C$6="*",F499=Dashboard!$C$6),L499&lt;&gt;""),ABS(I499)+ROW()/1000000000,0)</f>
        <v/>
      </c>
    </row>
    <row r="500">
      <c r="A500">
        <f>Data_thang!A500</f>
        <v/>
      </c>
      <c r="B500">
        <f>Data_thang!B500</f>
        <v/>
      </c>
      <c r="C500">
        <f>Data_thang!D500</f>
        <v/>
      </c>
      <c r="D500">
        <f>Data_thang!E500</f>
        <v/>
      </c>
      <c r="E500">
        <f>Data_thang!F500</f>
        <v/>
      </c>
      <c r="F500">
        <f>Data_thang!G500</f>
        <v/>
      </c>
      <c r="G500" s="29">
        <f>Data_thang!J500-Data_thang!K500</f>
        <v/>
      </c>
      <c r="H500" s="29">
        <f>Data_thang!N500</f>
        <v/>
      </c>
      <c r="I500" s="29">
        <f>H500-G500</f>
        <v/>
      </c>
      <c r="J500" s="30">
        <f>IF(H500=0,IF(I500=0,0,1),I500/ABS(H500))</f>
        <v/>
      </c>
      <c r="K500" s="29">
        <f>H500-(Data_thang!O500-Data_thang!K500)</f>
        <v/>
      </c>
      <c r="L500">
        <f>IF(AND(ABS(I500)&gt;Dashboard!$G$6,ABS(J500)&gt;Dashboard!$H$6),"⚠ Vượt","")</f>
        <v/>
      </c>
      <c r="M500">
        <f>IF(AND(A500=Dashboard!$D$6,OR(Dashboard!$C$6="*",F500=Dashboard!$C$6),L500&lt;&gt;""),ABS(I500)+ROW()/1000000000,0)</f>
        <v/>
      </c>
    </row>
    <row r="501">
      <c r="A501">
        <f>Data_thang!A501</f>
        <v/>
      </c>
      <c r="B501">
        <f>Data_thang!B501</f>
        <v/>
      </c>
      <c r="C501">
        <f>Data_thang!D501</f>
        <v/>
      </c>
      <c r="D501">
        <f>Data_thang!E501</f>
        <v/>
      </c>
      <c r="E501">
        <f>Data_thang!F501</f>
        <v/>
      </c>
      <c r="F501">
        <f>Data_thang!G501</f>
        <v/>
      </c>
      <c r="G501" s="29">
        <f>Data_thang!J501-Data_thang!K501</f>
        <v/>
      </c>
      <c r="H501" s="29">
        <f>Data_thang!N501</f>
        <v/>
      </c>
      <c r="I501" s="29">
        <f>H501-G501</f>
        <v/>
      </c>
      <c r="J501" s="30">
        <f>IF(H501=0,IF(I501=0,0,1),I501/ABS(H501))</f>
        <v/>
      </c>
      <c r="K501" s="29">
        <f>H501-(Data_thang!O501-Data_thang!K501)</f>
        <v/>
      </c>
      <c r="L501">
        <f>IF(AND(ABS(I501)&gt;Dashboard!$G$6,ABS(J501)&gt;Dashboard!$H$6),"⚠ Vượt","")</f>
        <v/>
      </c>
      <c r="M501">
        <f>IF(AND(A501=Dashboard!$D$6,OR(Dashboard!$C$6="*",F501=Dashboard!$C$6),L501&lt;&gt;""),ABS(I501)+ROW()/1000000000,0)</f>
        <v/>
      </c>
    </row>
    <row r="502">
      <c r="A502">
        <f>Data_thang!A502</f>
        <v/>
      </c>
      <c r="B502">
        <f>Data_thang!B502</f>
        <v/>
      </c>
      <c r="C502">
        <f>Data_thang!D502</f>
        <v/>
      </c>
      <c r="D502">
        <f>Data_thang!E502</f>
        <v/>
      </c>
      <c r="E502">
        <f>Data_thang!F502</f>
        <v/>
      </c>
      <c r="F502">
        <f>Data_thang!G502</f>
        <v/>
      </c>
      <c r="G502" s="29">
        <f>Data_thang!J502-Data_thang!K502</f>
        <v/>
      </c>
      <c r="H502" s="29">
        <f>Data_thang!N502</f>
        <v/>
      </c>
      <c r="I502" s="29">
        <f>H502-G502</f>
        <v/>
      </c>
      <c r="J502" s="30">
        <f>IF(H502=0,IF(I502=0,0,1),I502/ABS(H502))</f>
        <v/>
      </c>
      <c r="K502" s="29">
        <f>H502-(Data_thang!O502-Data_thang!K502)</f>
        <v/>
      </c>
      <c r="L502">
        <f>IF(AND(ABS(I502)&gt;Dashboard!$G$6,ABS(J502)&gt;Dashboard!$H$6),"⚠ Vượt","")</f>
        <v/>
      </c>
      <c r="M502">
        <f>IF(AND(A502=Dashboard!$D$6,OR(Dashboard!$C$6="*",F502=Dashboard!$C$6),L502&lt;&gt;""),ABS(I502)+ROW()/1000000000,0)</f>
        <v/>
      </c>
    </row>
    <row r="503">
      <c r="A503">
        <f>Data_thang!A503</f>
        <v/>
      </c>
      <c r="B503">
        <f>Data_thang!B503</f>
        <v/>
      </c>
      <c r="C503">
        <f>Data_thang!D503</f>
        <v/>
      </c>
      <c r="D503">
        <f>Data_thang!E503</f>
        <v/>
      </c>
      <c r="E503">
        <f>Data_thang!F503</f>
        <v/>
      </c>
      <c r="F503">
        <f>Data_thang!G503</f>
        <v/>
      </c>
      <c r="G503" s="29">
        <f>Data_thang!J503-Data_thang!K503</f>
        <v/>
      </c>
      <c r="H503" s="29">
        <f>Data_thang!N503</f>
        <v/>
      </c>
      <c r="I503" s="29">
        <f>H503-G503</f>
        <v/>
      </c>
      <c r="J503" s="30">
        <f>IF(H503=0,IF(I503=0,0,1),I503/ABS(H503))</f>
        <v/>
      </c>
      <c r="K503" s="29">
        <f>H503-(Data_thang!O503-Data_thang!K503)</f>
        <v/>
      </c>
      <c r="L503">
        <f>IF(AND(ABS(I503)&gt;Dashboard!$G$6,ABS(J503)&gt;Dashboard!$H$6),"⚠ Vượt","")</f>
        <v/>
      </c>
      <c r="M503">
        <f>IF(AND(A503=Dashboard!$D$6,OR(Dashboard!$C$6="*",F503=Dashboard!$C$6),L503&lt;&gt;""),ABS(I503)+ROW()/1000000000,0)</f>
        <v/>
      </c>
    </row>
    <row r="504">
      <c r="A504">
        <f>Data_thang!A504</f>
        <v/>
      </c>
      <c r="B504">
        <f>Data_thang!B504</f>
        <v/>
      </c>
      <c r="C504">
        <f>Data_thang!D504</f>
        <v/>
      </c>
      <c r="D504">
        <f>Data_thang!E504</f>
        <v/>
      </c>
      <c r="E504">
        <f>Data_thang!F504</f>
        <v/>
      </c>
      <c r="F504">
        <f>Data_thang!G504</f>
        <v/>
      </c>
      <c r="G504" s="29">
        <f>Data_thang!J504-Data_thang!K504</f>
        <v/>
      </c>
      <c r="H504" s="29">
        <f>Data_thang!N504</f>
        <v/>
      </c>
      <c r="I504" s="29">
        <f>H504-G504</f>
        <v/>
      </c>
      <c r="J504" s="30">
        <f>IF(H504=0,IF(I504=0,0,1),I504/ABS(H504))</f>
        <v/>
      </c>
      <c r="K504" s="29">
        <f>H504-(Data_thang!O504-Data_thang!K504)</f>
        <v/>
      </c>
      <c r="L504">
        <f>IF(AND(ABS(I504)&gt;Dashboard!$G$6,ABS(J504)&gt;Dashboard!$H$6),"⚠ Vượt","")</f>
        <v/>
      </c>
      <c r="M504">
        <f>IF(AND(A504=Dashboard!$D$6,OR(Dashboard!$C$6="*",F504=Dashboard!$C$6),L504&lt;&gt;""),ABS(I504)+ROW()/1000000000,0)</f>
        <v/>
      </c>
    </row>
    <row r="505">
      <c r="A505">
        <f>Data_thang!A505</f>
        <v/>
      </c>
      <c r="B505">
        <f>Data_thang!B505</f>
        <v/>
      </c>
      <c r="C505">
        <f>Data_thang!D505</f>
        <v/>
      </c>
      <c r="D505">
        <f>Data_thang!E505</f>
        <v/>
      </c>
      <c r="E505">
        <f>Data_thang!F505</f>
        <v/>
      </c>
      <c r="F505">
        <f>Data_thang!G505</f>
        <v/>
      </c>
      <c r="G505" s="29">
        <f>Data_thang!J505-Data_thang!K505</f>
        <v/>
      </c>
      <c r="H505" s="29">
        <f>Data_thang!N505</f>
        <v/>
      </c>
      <c r="I505" s="29">
        <f>H505-G505</f>
        <v/>
      </c>
      <c r="J505" s="30">
        <f>IF(H505=0,IF(I505=0,0,1),I505/ABS(H505))</f>
        <v/>
      </c>
      <c r="K505" s="29">
        <f>H505-(Data_thang!O505-Data_thang!K505)</f>
        <v/>
      </c>
      <c r="L505">
        <f>IF(AND(ABS(I505)&gt;Dashboard!$G$6,ABS(J505)&gt;Dashboard!$H$6),"⚠ Vượt","")</f>
        <v/>
      </c>
      <c r="M505">
        <f>IF(AND(A505=Dashboard!$D$6,OR(Dashboard!$C$6="*",F505=Dashboard!$C$6),L505&lt;&gt;""),ABS(I505)+ROW()/1000000000,0)</f>
        <v/>
      </c>
    </row>
    <row r="506">
      <c r="A506">
        <f>Data_thang!A506</f>
        <v/>
      </c>
      <c r="B506">
        <f>Data_thang!B506</f>
        <v/>
      </c>
      <c r="C506">
        <f>Data_thang!D506</f>
        <v/>
      </c>
      <c r="D506">
        <f>Data_thang!E506</f>
        <v/>
      </c>
      <c r="E506">
        <f>Data_thang!F506</f>
        <v/>
      </c>
      <c r="F506">
        <f>Data_thang!G506</f>
        <v/>
      </c>
      <c r="G506" s="29">
        <f>Data_thang!J506-Data_thang!K506</f>
        <v/>
      </c>
      <c r="H506" s="29">
        <f>Data_thang!N506</f>
        <v/>
      </c>
      <c r="I506" s="29">
        <f>H506-G506</f>
        <v/>
      </c>
      <c r="J506" s="30">
        <f>IF(H506=0,IF(I506=0,0,1),I506/ABS(H506))</f>
        <v/>
      </c>
      <c r="K506" s="29">
        <f>H506-(Data_thang!O506-Data_thang!K506)</f>
        <v/>
      </c>
      <c r="L506">
        <f>IF(AND(ABS(I506)&gt;Dashboard!$G$6,ABS(J506)&gt;Dashboard!$H$6),"⚠ Vượt","")</f>
        <v/>
      </c>
      <c r="M506">
        <f>IF(AND(A506=Dashboard!$D$6,OR(Dashboard!$C$6="*",F506=Dashboard!$C$6),L506&lt;&gt;""),ABS(I506)+ROW()/1000000000,0)</f>
        <v/>
      </c>
    </row>
    <row r="507">
      <c r="A507">
        <f>Data_thang!A507</f>
        <v/>
      </c>
      <c r="B507">
        <f>Data_thang!B507</f>
        <v/>
      </c>
      <c r="C507">
        <f>Data_thang!D507</f>
        <v/>
      </c>
      <c r="D507">
        <f>Data_thang!E507</f>
        <v/>
      </c>
      <c r="E507">
        <f>Data_thang!F507</f>
        <v/>
      </c>
      <c r="F507">
        <f>Data_thang!G507</f>
        <v/>
      </c>
      <c r="G507" s="29">
        <f>Data_thang!J507-Data_thang!K507</f>
        <v/>
      </c>
      <c r="H507" s="29">
        <f>Data_thang!N507</f>
        <v/>
      </c>
      <c r="I507" s="29">
        <f>H507-G507</f>
        <v/>
      </c>
      <c r="J507" s="30">
        <f>IF(H507=0,IF(I507=0,0,1),I507/ABS(H507))</f>
        <v/>
      </c>
      <c r="K507" s="29">
        <f>H507-(Data_thang!O507-Data_thang!K507)</f>
        <v/>
      </c>
      <c r="L507">
        <f>IF(AND(ABS(I507)&gt;Dashboard!$G$6,ABS(J507)&gt;Dashboard!$H$6),"⚠ Vượt","")</f>
        <v/>
      </c>
      <c r="M507">
        <f>IF(AND(A507=Dashboard!$D$6,OR(Dashboard!$C$6="*",F507=Dashboard!$C$6),L507&lt;&gt;""),ABS(I507)+ROW()/1000000000,0)</f>
        <v/>
      </c>
    </row>
    <row r="508">
      <c r="A508">
        <f>Data_thang!A508</f>
        <v/>
      </c>
      <c r="B508">
        <f>Data_thang!B508</f>
        <v/>
      </c>
      <c r="C508">
        <f>Data_thang!D508</f>
        <v/>
      </c>
      <c r="D508">
        <f>Data_thang!E508</f>
        <v/>
      </c>
      <c r="E508">
        <f>Data_thang!F508</f>
        <v/>
      </c>
      <c r="F508">
        <f>Data_thang!G508</f>
        <v/>
      </c>
      <c r="G508" s="29">
        <f>Data_thang!J508-Data_thang!K508</f>
        <v/>
      </c>
      <c r="H508" s="29">
        <f>Data_thang!N508</f>
        <v/>
      </c>
      <c r="I508" s="29">
        <f>H508-G508</f>
        <v/>
      </c>
      <c r="J508" s="30">
        <f>IF(H508=0,IF(I508=0,0,1),I508/ABS(H508))</f>
        <v/>
      </c>
      <c r="K508" s="29">
        <f>H508-(Data_thang!O508-Data_thang!K508)</f>
        <v/>
      </c>
      <c r="L508">
        <f>IF(AND(ABS(I508)&gt;Dashboard!$G$6,ABS(J508)&gt;Dashboard!$H$6),"⚠ Vượt","")</f>
        <v/>
      </c>
      <c r="M508">
        <f>IF(AND(A508=Dashboard!$D$6,OR(Dashboard!$C$6="*",F508=Dashboard!$C$6),L508&lt;&gt;""),ABS(I508)+ROW()/1000000000,0)</f>
        <v/>
      </c>
    </row>
    <row r="509">
      <c r="A509">
        <f>Data_thang!A509</f>
        <v/>
      </c>
      <c r="B509">
        <f>Data_thang!B509</f>
        <v/>
      </c>
      <c r="C509">
        <f>Data_thang!D509</f>
        <v/>
      </c>
      <c r="D509">
        <f>Data_thang!E509</f>
        <v/>
      </c>
      <c r="E509">
        <f>Data_thang!F509</f>
        <v/>
      </c>
      <c r="F509">
        <f>Data_thang!G509</f>
        <v/>
      </c>
      <c r="G509" s="29">
        <f>Data_thang!J509-Data_thang!K509</f>
        <v/>
      </c>
      <c r="H509" s="29">
        <f>Data_thang!N509</f>
        <v/>
      </c>
      <c r="I509" s="29">
        <f>H509-G509</f>
        <v/>
      </c>
      <c r="J509" s="30">
        <f>IF(H509=0,IF(I509=0,0,1),I509/ABS(H509))</f>
        <v/>
      </c>
      <c r="K509" s="29">
        <f>H509-(Data_thang!O509-Data_thang!K509)</f>
        <v/>
      </c>
      <c r="L509">
        <f>IF(AND(ABS(I509)&gt;Dashboard!$G$6,ABS(J509)&gt;Dashboard!$H$6),"⚠ Vượt","")</f>
        <v/>
      </c>
      <c r="M509">
        <f>IF(AND(A509=Dashboard!$D$6,OR(Dashboard!$C$6="*",F509=Dashboard!$C$6),L509&lt;&gt;""),ABS(I509)+ROW()/1000000000,0)</f>
        <v/>
      </c>
    </row>
    <row r="510">
      <c r="A510">
        <f>Data_thang!A510</f>
        <v/>
      </c>
      <c r="B510">
        <f>Data_thang!B510</f>
        <v/>
      </c>
      <c r="C510">
        <f>Data_thang!D510</f>
        <v/>
      </c>
      <c r="D510">
        <f>Data_thang!E510</f>
        <v/>
      </c>
      <c r="E510">
        <f>Data_thang!F510</f>
        <v/>
      </c>
      <c r="F510">
        <f>Data_thang!G510</f>
        <v/>
      </c>
      <c r="G510" s="29">
        <f>Data_thang!J510-Data_thang!K510</f>
        <v/>
      </c>
      <c r="H510" s="29">
        <f>Data_thang!N510</f>
        <v/>
      </c>
      <c r="I510" s="29">
        <f>H510-G510</f>
        <v/>
      </c>
      <c r="J510" s="30">
        <f>IF(H510=0,IF(I510=0,0,1),I510/ABS(H510))</f>
        <v/>
      </c>
      <c r="K510" s="29">
        <f>H510-(Data_thang!O510-Data_thang!K510)</f>
        <v/>
      </c>
      <c r="L510">
        <f>IF(AND(ABS(I510)&gt;Dashboard!$G$6,ABS(J510)&gt;Dashboard!$H$6),"⚠ Vượt","")</f>
        <v/>
      </c>
      <c r="M510">
        <f>IF(AND(A510=Dashboard!$D$6,OR(Dashboard!$C$6="*",F510=Dashboard!$C$6),L510&lt;&gt;""),ABS(I510)+ROW()/1000000000,0)</f>
        <v/>
      </c>
    </row>
    <row r="511">
      <c r="A511">
        <f>Data_thang!A511</f>
        <v/>
      </c>
      <c r="B511">
        <f>Data_thang!B511</f>
        <v/>
      </c>
      <c r="C511">
        <f>Data_thang!D511</f>
        <v/>
      </c>
      <c r="D511">
        <f>Data_thang!E511</f>
        <v/>
      </c>
      <c r="E511">
        <f>Data_thang!F511</f>
        <v/>
      </c>
      <c r="F511">
        <f>Data_thang!G511</f>
        <v/>
      </c>
      <c r="G511" s="29">
        <f>Data_thang!J511-Data_thang!K511</f>
        <v/>
      </c>
      <c r="H511" s="29">
        <f>Data_thang!N511</f>
        <v/>
      </c>
      <c r="I511" s="29">
        <f>H511-G511</f>
        <v/>
      </c>
      <c r="J511" s="30">
        <f>IF(H511=0,IF(I511=0,0,1),I511/ABS(H511))</f>
        <v/>
      </c>
      <c r="K511" s="29">
        <f>H511-(Data_thang!O511-Data_thang!K511)</f>
        <v/>
      </c>
      <c r="L511">
        <f>IF(AND(ABS(I511)&gt;Dashboard!$G$6,ABS(J511)&gt;Dashboard!$H$6),"⚠ Vượt","")</f>
        <v/>
      </c>
      <c r="M511">
        <f>IF(AND(A511=Dashboard!$D$6,OR(Dashboard!$C$6="*",F511=Dashboard!$C$6),L511&lt;&gt;""),ABS(I511)+ROW()/1000000000,0)</f>
        <v/>
      </c>
    </row>
    <row r="512">
      <c r="A512">
        <f>Data_thang!A512</f>
        <v/>
      </c>
      <c r="B512">
        <f>Data_thang!B512</f>
        <v/>
      </c>
      <c r="C512">
        <f>Data_thang!D512</f>
        <v/>
      </c>
      <c r="D512">
        <f>Data_thang!E512</f>
        <v/>
      </c>
      <c r="E512">
        <f>Data_thang!F512</f>
        <v/>
      </c>
      <c r="F512">
        <f>Data_thang!G512</f>
        <v/>
      </c>
      <c r="G512" s="29">
        <f>Data_thang!J512-Data_thang!K512</f>
        <v/>
      </c>
      <c r="H512" s="29">
        <f>Data_thang!N512</f>
        <v/>
      </c>
      <c r="I512" s="29">
        <f>H512-G512</f>
        <v/>
      </c>
      <c r="J512" s="30">
        <f>IF(H512=0,IF(I512=0,0,1),I512/ABS(H512))</f>
        <v/>
      </c>
      <c r="K512" s="29">
        <f>H512-(Data_thang!O512-Data_thang!K512)</f>
        <v/>
      </c>
      <c r="L512">
        <f>IF(AND(ABS(I512)&gt;Dashboard!$G$6,ABS(J512)&gt;Dashboard!$H$6),"⚠ Vượt","")</f>
        <v/>
      </c>
      <c r="M512">
        <f>IF(AND(A512=Dashboard!$D$6,OR(Dashboard!$C$6="*",F512=Dashboard!$C$6),L512&lt;&gt;""),ABS(I512)+ROW()/1000000000,0)</f>
        <v/>
      </c>
    </row>
    <row r="513">
      <c r="A513">
        <f>Data_thang!A513</f>
        <v/>
      </c>
      <c r="B513">
        <f>Data_thang!B513</f>
        <v/>
      </c>
      <c r="C513">
        <f>Data_thang!D513</f>
        <v/>
      </c>
      <c r="D513">
        <f>Data_thang!E513</f>
        <v/>
      </c>
      <c r="E513">
        <f>Data_thang!F513</f>
        <v/>
      </c>
      <c r="F513">
        <f>Data_thang!G513</f>
        <v/>
      </c>
      <c r="G513" s="29">
        <f>Data_thang!J513-Data_thang!K513</f>
        <v/>
      </c>
      <c r="H513" s="29">
        <f>Data_thang!N513</f>
        <v/>
      </c>
      <c r="I513" s="29">
        <f>H513-G513</f>
        <v/>
      </c>
      <c r="J513" s="30">
        <f>IF(H513=0,IF(I513=0,0,1),I513/ABS(H513))</f>
        <v/>
      </c>
      <c r="K513" s="29">
        <f>H513-(Data_thang!O513-Data_thang!K513)</f>
        <v/>
      </c>
      <c r="L513">
        <f>IF(AND(ABS(I513)&gt;Dashboard!$G$6,ABS(J513)&gt;Dashboard!$H$6),"⚠ Vượt","")</f>
        <v/>
      </c>
      <c r="M513">
        <f>IF(AND(A513=Dashboard!$D$6,OR(Dashboard!$C$6="*",F513=Dashboard!$C$6),L513&lt;&gt;""),ABS(I513)+ROW()/1000000000,0)</f>
        <v/>
      </c>
    </row>
    <row r="514">
      <c r="A514">
        <f>Data_thang!A514</f>
        <v/>
      </c>
      <c r="B514">
        <f>Data_thang!B514</f>
        <v/>
      </c>
      <c r="C514">
        <f>Data_thang!D514</f>
        <v/>
      </c>
      <c r="D514">
        <f>Data_thang!E514</f>
        <v/>
      </c>
      <c r="E514">
        <f>Data_thang!F514</f>
        <v/>
      </c>
      <c r="F514">
        <f>Data_thang!G514</f>
        <v/>
      </c>
      <c r="G514" s="29">
        <f>Data_thang!J514-Data_thang!K514</f>
        <v/>
      </c>
      <c r="H514" s="29">
        <f>Data_thang!N514</f>
        <v/>
      </c>
      <c r="I514" s="29">
        <f>H514-G514</f>
        <v/>
      </c>
      <c r="J514" s="30">
        <f>IF(H514=0,IF(I514=0,0,1),I514/ABS(H514))</f>
        <v/>
      </c>
      <c r="K514" s="29">
        <f>H514-(Data_thang!O514-Data_thang!K514)</f>
        <v/>
      </c>
      <c r="L514">
        <f>IF(AND(ABS(I514)&gt;Dashboard!$G$6,ABS(J514)&gt;Dashboard!$H$6),"⚠ Vượt","")</f>
        <v/>
      </c>
      <c r="M514">
        <f>IF(AND(A514=Dashboard!$D$6,OR(Dashboard!$C$6="*",F514=Dashboard!$C$6),L514&lt;&gt;""),ABS(I514)+ROW()/1000000000,0)</f>
        <v/>
      </c>
    </row>
    <row r="515">
      <c r="A515">
        <f>Data_thang!A515</f>
        <v/>
      </c>
      <c r="B515">
        <f>Data_thang!B515</f>
        <v/>
      </c>
      <c r="C515">
        <f>Data_thang!D515</f>
        <v/>
      </c>
      <c r="D515">
        <f>Data_thang!E515</f>
        <v/>
      </c>
      <c r="E515">
        <f>Data_thang!F515</f>
        <v/>
      </c>
      <c r="F515">
        <f>Data_thang!G515</f>
        <v/>
      </c>
      <c r="G515" s="29">
        <f>Data_thang!J515-Data_thang!K515</f>
        <v/>
      </c>
      <c r="H515" s="29">
        <f>Data_thang!N515</f>
        <v/>
      </c>
      <c r="I515" s="29">
        <f>H515-G515</f>
        <v/>
      </c>
      <c r="J515" s="30">
        <f>IF(H515=0,IF(I515=0,0,1),I515/ABS(H515))</f>
        <v/>
      </c>
      <c r="K515" s="29">
        <f>H515-(Data_thang!O515-Data_thang!K515)</f>
        <v/>
      </c>
      <c r="L515">
        <f>IF(AND(ABS(I515)&gt;Dashboard!$G$6,ABS(J515)&gt;Dashboard!$H$6),"⚠ Vượt","")</f>
        <v/>
      </c>
      <c r="M515">
        <f>IF(AND(A515=Dashboard!$D$6,OR(Dashboard!$C$6="*",F515=Dashboard!$C$6),L515&lt;&gt;""),ABS(I515)+ROW()/1000000000,0)</f>
        <v/>
      </c>
    </row>
    <row r="516">
      <c r="A516">
        <f>Data_thang!A516</f>
        <v/>
      </c>
      <c r="B516">
        <f>Data_thang!B516</f>
        <v/>
      </c>
      <c r="C516">
        <f>Data_thang!D516</f>
        <v/>
      </c>
      <c r="D516">
        <f>Data_thang!E516</f>
        <v/>
      </c>
      <c r="E516">
        <f>Data_thang!F516</f>
        <v/>
      </c>
      <c r="F516">
        <f>Data_thang!G516</f>
        <v/>
      </c>
      <c r="G516" s="29">
        <f>Data_thang!J516-Data_thang!K516</f>
        <v/>
      </c>
      <c r="H516" s="29">
        <f>Data_thang!N516</f>
        <v/>
      </c>
      <c r="I516" s="29">
        <f>H516-G516</f>
        <v/>
      </c>
      <c r="J516" s="30">
        <f>IF(H516=0,IF(I516=0,0,1),I516/ABS(H516))</f>
        <v/>
      </c>
      <c r="K516" s="29">
        <f>H516-(Data_thang!O516-Data_thang!K516)</f>
        <v/>
      </c>
      <c r="L516">
        <f>IF(AND(ABS(I516)&gt;Dashboard!$G$6,ABS(J516)&gt;Dashboard!$H$6),"⚠ Vượt","")</f>
        <v/>
      </c>
      <c r="M516">
        <f>IF(AND(A516=Dashboard!$D$6,OR(Dashboard!$C$6="*",F516=Dashboard!$C$6),L516&lt;&gt;""),ABS(I516)+ROW()/1000000000,0)</f>
        <v/>
      </c>
    </row>
    <row r="517">
      <c r="A517">
        <f>Data_thang!A517</f>
        <v/>
      </c>
      <c r="B517">
        <f>Data_thang!B517</f>
        <v/>
      </c>
      <c r="C517">
        <f>Data_thang!D517</f>
        <v/>
      </c>
      <c r="D517">
        <f>Data_thang!E517</f>
        <v/>
      </c>
      <c r="E517">
        <f>Data_thang!F517</f>
        <v/>
      </c>
      <c r="F517">
        <f>Data_thang!G517</f>
        <v/>
      </c>
      <c r="G517" s="29">
        <f>Data_thang!J517-Data_thang!K517</f>
        <v/>
      </c>
      <c r="H517" s="29">
        <f>Data_thang!N517</f>
        <v/>
      </c>
      <c r="I517" s="29">
        <f>H517-G517</f>
        <v/>
      </c>
      <c r="J517" s="30">
        <f>IF(H517=0,IF(I517=0,0,1),I517/ABS(H517))</f>
        <v/>
      </c>
      <c r="K517" s="29">
        <f>H517-(Data_thang!O517-Data_thang!K517)</f>
        <v/>
      </c>
      <c r="L517">
        <f>IF(AND(ABS(I517)&gt;Dashboard!$G$6,ABS(J517)&gt;Dashboard!$H$6),"⚠ Vượt","")</f>
        <v/>
      </c>
      <c r="M517">
        <f>IF(AND(A517=Dashboard!$D$6,OR(Dashboard!$C$6="*",F517=Dashboard!$C$6),L517&lt;&gt;""),ABS(I517)+ROW()/1000000000,0)</f>
        <v/>
      </c>
    </row>
    <row r="518">
      <c r="A518">
        <f>Data_thang!A518</f>
        <v/>
      </c>
      <c r="B518">
        <f>Data_thang!B518</f>
        <v/>
      </c>
      <c r="C518">
        <f>Data_thang!D518</f>
        <v/>
      </c>
      <c r="D518">
        <f>Data_thang!E518</f>
        <v/>
      </c>
      <c r="E518">
        <f>Data_thang!F518</f>
        <v/>
      </c>
      <c r="F518">
        <f>Data_thang!G518</f>
        <v/>
      </c>
      <c r="G518" s="29">
        <f>Data_thang!J518-Data_thang!K518</f>
        <v/>
      </c>
      <c r="H518" s="29">
        <f>Data_thang!N518</f>
        <v/>
      </c>
      <c r="I518" s="29">
        <f>H518-G518</f>
        <v/>
      </c>
      <c r="J518" s="30">
        <f>IF(H518=0,IF(I518=0,0,1),I518/ABS(H518))</f>
        <v/>
      </c>
      <c r="K518" s="29">
        <f>H518-(Data_thang!O518-Data_thang!K518)</f>
        <v/>
      </c>
      <c r="L518">
        <f>IF(AND(ABS(I518)&gt;Dashboard!$G$6,ABS(J518)&gt;Dashboard!$H$6),"⚠ Vượt","")</f>
        <v/>
      </c>
      <c r="M518">
        <f>IF(AND(A518=Dashboard!$D$6,OR(Dashboard!$C$6="*",F518=Dashboard!$C$6),L518&lt;&gt;""),ABS(I518)+ROW()/1000000000,0)</f>
        <v/>
      </c>
    </row>
    <row r="519">
      <c r="A519">
        <f>Data_thang!A519</f>
        <v/>
      </c>
      <c r="B519">
        <f>Data_thang!B519</f>
        <v/>
      </c>
      <c r="C519">
        <f>Data_thang!D519</f>
        <v/>
      </c>
      <c r="D519">
        <f>Data_thang!E519</f>
        <v/>
      </c>
      <c r="E519">
        <f>Data_thang!F519</f>
        <v/>
      </c>
      <c r="F519">
        <f>Data_thang!G519</f>
        <v/>
      </c>
      <c r="G519" s="29">
        <f>Data_thang!J519-Data_thang!K519</f>
        <v/>
      </c>
      <c r="H519" s="29">
        <f>Data_thang!N519</f>
        <v/>
      </c>
      <c r="I519" s="29">
        <f>H519-G519</f>
        <v/>
      </c>
      <c r="J519" s="30">
        <f>IF(H519=0,IF(I519=0,0,1),I519/ABS(H519))</f>
        <v/>
      </c>
      <c r="K519" s="29">
        <f>H519-(Data_thang!O519-Data_thang!K519)</f>
        <v/>
      </c>
      <c r="L519">
        <f>IF(AND(ABS(I519)&gt;Dashboard!$G$6,ABS(J519)&gt;Dashboard!$H$6),"⚠ Vượt","")</f>
        <v/>
      </c>
      <c r="M519">
        <f>IF(AND(A519=Dashboard!$D$6,OR(Dashboard!$C$6="*",F519=Dashboard!$C$6),L519&lt;&gt;""),ABS(I519)+ROW()/1000000000,0)</f>
        <v/>
      </c>
    </row>
    <row r="520">
      <c r="A520">
        <f>Data_thang!A520</f>
        <v/>
      </c>
      <c r="B520">
        <f>Data_thang!B520</f>
        <v/>
      </c>
      <c r="C520">
        <f>Data_thang!D520</f>
        <v/>
      </c>
      <c r="D520">
        <f>Data_thang!E520</f>
        <v/>
      </c>
      <c r="E520">
        <f>Data_thang!F520</f>
        <v/>
      </c>
      <c r="F520">
        <f>Data_thang!G520</f>
        <v/>
      </c>
      <c r="G520" s="29">
        <f>Data_thang!J520-Data_thang!K520</f>
        <v/>
      </c>
      <c r="H520" s="29">
        <f>Data_thang!N520</f>
        <v/>
      </c>
      <c r="I520" s="29">
        <f>H520-G520</f>
        <v/>
      </c>
      <c r="J520" s="30">
        <f>IF(H520=0,IF(I520=0,0,1),I520/ABS(H520))</f>
        <v/>
      </c>
      <c r="K520" s="29">
        <f>H520-(Data_thang!O520-Data_thang!K520)</f>
        <v/>
      </c>
      <c r="L520">
        <f>IF(AND(ABS(I520)&gt;Dashboard!$G$6,ABS(J520)&gt;Dashboard!$H$6),"⚠ Vượt","")</f>
        <v/>
      </c>
      <c r="M520">
        <f>IF(AND(A520=Dashboard!$D$6,OR(Dashboard!$C$6="*",F520=Dashboard!$C$6),L520&lt;&gt;""),ABS(I520)+ROW()/1000000000,0)</f>
        <v/>
      </c>
    </row>
    <row r="521">
      <c r="A521">
        <f>Data_thang!A521</f>
        <v/>
      </c>
      <c r="B521">
        <f>Data_thang!B521</f>
        <v/>
      </c>
      <c r="C521">
        <f>Data_thang!D521</f>
        <v/>
      </c>
      <c r="D521">
        <f>Data_thang!E521</f>
        <v/>
      </c>
      <c r="E521">
        <f>Data_thang!F521</f>
        <v/>
      </c>
      <c r="F521">
        <f>Data_thang!G521</f>
        <v/>
      </c>
      <c r="G521" s="29">
        <f>Data_thang!J521-Data_thang!K521</f>
        <v/>
      </c>
      <c r="H521" s="29">
        <f>Data_thang!N521</f>
        <v/>
      </c>
      <c r="I521" s="29">
        <f>H521-G521</f>
        <v/>
      </c>
      <c r="J521" s="30">
        <f>IF(H521=0,IF(I521=0,0,1),I521/ABS(H521))</f>
        <v/>
      </c>
      <c r="K521" s="29">
        <f>H521-(Data_thang!O521-Data_thang!K521)</f>
        <v/>
      </c>
      <c r="L521">
        <f>IF(AND(ABS(I521)&gt;Dashboard!$G$6,ABS(J521)&gt;Dashboard!$H$6),"⚠ Vượt","")</f>
        <v/>
      </c>
      <c r="M521">
        <f>IF(AND(A521=Dashboard!$D$6,OR(Dashboard!$C$6="*",F521=Dashboard!$C$6),L521&lt;&gt;""),ABS(I521)+ROW()/1000000000,0)</f>
        <v/>
      </c>
    </row>
    <row r="522">
      <c r="A522">
        <f>Data_thang!A522</f>
        <v/>
      </c>
      <c r="B522">
        <f>Data_thang!B522</f>
        <v/>
      </c>
      <c r="C522">
        <f>Data_thang!D522</f>
        <v/>
      </c>
      <c r="D522">
        <f>Data_thang!E522</f>
        <v/>
      </c>
      <c r="E522">
        <f>Data_thang!F522</f>
        <v/>
      </c>
      <c r="F522">
        <f>Data_thang!G522</f>
        <v/>
      </c>
      <c r="G522" s="29">
        <f>Data_thang!J522-Data_thang!K522</f>
        <v/>
      </c>
      <c r="H522" s="29">
        <f>Data_thang!N522</f>
        <v/>
      </c>
      <c r="I522" s="29">
        <f>H522-G522</f>
        <v/>
      </c>
      <c r="J522" s="30">
        <f>IF(H522=0,IF(I522=0,0,1),I522/ABS(H522))</f>
        <v/>
      </c>
      <c r="K522" s="29">
        <f>H522-(Data_thang!O522-Data_thang!K522)</f>
        <v/>
      </c>
      <c r="L522">
        <f>IF(AND(ABS(I522)&gt;Dashboard!$G$6,ABS(J522)&gt;Dashboard!$H$6),"⚠ Vượt","")</f>
        <v/>
      </c>
      <c r="M522">
        <f>IF(AND(A522=Dashboard!$D$6,OR(Dashboard!$C$6="*",F522=Dashboard!$C$6),L522&lt;&gt;""),ABS(I522)+ROW()/1000000000,0)</f>
        <v/>
      </c>
    </row>
    <row r="523">
      <c r="A523">
        <f>Data_thang!A523</f>
        <v/>
      </c>
      <c r="B523">
        <f>Data_thang!B523</f>
        <v/>
      </c>
      <c r="C523">
        <f>Data_thang!D523</f>
        <v/>
      </c>
      <c r="D523">
        <f>Data_thang!E523</f>
        <v/>
      </c>
      <c r="E523">
        <f>Data_thang!F523</f>
        <v/>
      </c>
      <c r="F523">
        <f>Data_thang!G523</f>
        <v/>
      </c>
      <c r="G523" s="29">
        <f>Data_thang!J523-Data_thang!K523</f>
        <v/>
      </c>
      <c r="H523" s="29">
        <f>Data_thang!N523</f>
        <v/>
      </c>
      <c r="I523" s="29">
        <f>H523-G523</f>
        <v/>
      </c>
      <c r="J523" s="30">
        <f>IF(H523=0,IF(I523=0,0,1),I523/ABS(H523))</f>
        <v/>
      </c>
      <c r="K523" s="29">
        <f>H523-(Data_thang!O523-Data_thang!K523)</f>
        <v/>
      </c>
      <c r="L523">
        <f>IF(AND(ABS(I523)&gt;Dashboard!$G$6,ABS(J523)&gt;Dashboard!$H$6),"⚠ Vượt","")</f>
        <v/>
      </c>
      <c r="M523">
        <f>IF(AND(A523=Dashboard!$D$6,OR(Dashboard!$C$6="*",F523=Dashboard!$C$6),L523&lt;&gt;""),ABS(I523)+ROW()/1000000000,0)</f>
        <v/>
      </c>
    </row>
    <row r="524">
      <c r="A524">
        <f>Data_thang!A524</f>
        <v/>
      </c>
      <c r="B524">
        <f>Data_thang!B524</f>
        <v/>
      </c>
      <c r="C524">
        <f>Data_thang!D524</f>
        <v/>
      </c>
      <c r="D524">
        <f>Data_thang!E524</f>
        <v/>
      </c>
      <c r="E524">
        <f>Data_thang!F524</f>
        <v/>
      </c>
      <c r="F524">
        <f>Data_thang!G524</f>
        <v/>
      </c>
      <c r="G524" s="29">
        <f>Data_thang!J524-Data_thang!K524</f>
        <v/>
      </c>
      <c r="H524" s="29">
        <f>Data_thang!N524</f>
        <v/>
      </c>
      <c r="I524" s="29">
        <f>H524-G524</f>
        <v/>
      </c>
      <c r="J524" s="30">
        <f>IF(H524=0,IF(I524=0,0,1),I524/ABS(H524))</f>
        <v/>
      </c>
      <c r="K524" s="29">
        <f>H524-(Data_thang!O524-Data_thang!K524)</f>
        <v/>
      </c>
      <c r="L524">
        <f>IF(AND(ABS(I524)&gt;Dashboard!$G$6,ABS(J524)&gt;Dashboard!$H$6),"⚠ Vượt","")</f>
        <v/>
      </c>
      <c r="M524">
        <f>IF(AND(A524=Dashboard!$D$6,OR(Dashboard!$C$6="*",F524=Dashboard!$C$6),L524&lt;&gt;""),ABS(I524)+ROW()/1000000000,0)</f>
        <v/>
      </c>
    </row>
    <row r="525">
      <c r="A525">
        <f>Data_thang!A525</f>
        <v/>
      </c>
      <c r="B525">
        <f>Data_thang!B525</f>
        <v/>
      </c>
      <c r="C525">
        <f>Data_thang!D525</f>
        <v/>
      </c>
      <c r="D525">
        <f>Data_thang!E525</f>
        <v/>
      </c>
      <c r="E525">
        <f>Data_thang!F525</f>
        <v/>
      </c>
      <c r="F525">
        <f>Data_thang!G525</f>
        <v/>
      </c>
      <c r="G525" s="29">
        <f>Data_thang!J525-Data_thang!K525</f>
        <v/>
      </c>
      <c r="H525" s="29">
        <f>Data_thang!N525</f>
        <v/>
      </c>
      <c r="I525" s="29">
        <f>H525-G525</f>
        <v/>
      </c>
      <c r="J525" s="30">
        <f>IF(H525=0,IF(I525=0,0,1),I525/ABS(H525))</f>
        <v/>
      </c>
      <c r="K525" s="29">
        <f>H525-(Data_thang!O525-Data_thang!K525)</f>
        <v/>
      </c>
      <c r="L525">
        <f>IF(AND(ABS(I525)&gt;Dashboard!$G$6,ABS(J525)&gt;Dashboard!$H$6),"⚠ Vượt","")</f>
        <v/>
      </c>
      <c r="M525">
        <f>IF(AND(A525=Dashboard!$D$6,OR(Dashboard!$C$6="*",F525=Dashboard!$C$6),L525&lt;&gt;""),ABS(I525)+ROW()/1000000000,0)</f>
        <v/>
      </c>
    </row>
    <row r="526">
      <c r="A526">
        <f>Data_thang!A526</f>
        <v/>
      </c>
      <c r="B526">
        <f>Data_thang!B526</f>
        <v/>
      </c>
      <c r="C526">
        <f>Data_thang!D526</f>
        <v/>
      </c>
      <c r="D526">
        <f>Data_thang!E526</f>
        <v/>
      </c>
      <c r="E526">
        <f>Data_thang!F526</f>
        <v/>
      </c>
      <c r="F526">
        <f>Data_thang!G526</f>
        <v/>
      </c>
      <c r="G526" s="29">
        <f>Data_thang!J526-Data_thang!K526</f>
        <v/>
      </c>
      <c r="H526" s="29">
        <f>Data_thang!N526</f>
        <v/>
      </c>
      <c r="I526" s="29">
        <f>H526-G526</f>
        <v/>
      </c>
      <c r="J526" s="30">
        <f>IF(H526=0,IF(I526=0,0,1),I526/ABS(H526))</f>
        <v/>
      </c>
      <c r="K526" s="29">
        <f>H526-(Data_thang!O526-Data_thang!K526)</f>
        <v/>
      </c>
      <c r="L526">
        <f>IF(AND(ABS(I526)&gt;Dashboard!$G$6,ABS(J526)&gt;Dashboard!$H$6),"⚠ Vượt","")</f>
        <v/>
      </c>
      <c r="M526">
        <f>IF(AND(A526=Dashboard!$D$6,OR(Dashboard!$C$6="*",F526=Dashboard!$C$6),L526&lt;&gt;""),ABS(I526)+ROW()/1000000000,0)</f>
        <v/>
      </c>
    </row>
    <row r="527">
      <c r="A527">
        <f>Data_thang!A527</f>
        <v/>
      </c>
      <c r="B527">
        <f>Data_thang!B527</f>
        <v/>
      </c>
      <c r="C527">
        <f>Data_thang!D527</f>
        <v/>
      </c>
      <c r="D527">
        <f>Data_thang!E527</f>
        <v/>
      </c>
      <c r="E527">
        <f>Data_thang!F527</f>
        <v/>
      </c>
      <c r="F527">
        <f>Data_thang!G527</f>
        <v/>
      </c>
      <c r="G527" s="29">
        <f>Data_thang!J527-Data_thang!K527</f>
        <v/>
      </c>
      <c r="H527" s="29">
        <f>Data_thang!N527</f>
        <v/>
      </c>
      <c r="I527" s="29">
        <f>H527-G527</f>
        <v/>
      </c>
      <c r="J527" s="30">
        <f>IF(H527=0,IF(I527=0,0,1),I527/ABS(H527))</f>
        <v/>
      </c>
      <c r="K527" s="29">
        <f>H527-(Data_thang!O527-Data_thang!K527)</f>
        <v/>
      </c>
      <c r="L527">
        <f>IF(AND(ABS(I527)&gt;Dashboard!$G$6,ABS(J527)&gt;Dashboard!$H$6),"⚠ Vượt","")</f>
        <v/>
      </c>
      <c r="M527">
        <f>IF(AND(A527=Dashboard!$D$6,OR(Dashboard!$C$6="*",F527=Dashboard!$C$6),L527&lt;&gt;""),ABS(I527)+ROW()/1000000000,0)</f>
        <v/>
      </c>
    </row>
    <row r="528">
      <c r="A528">
        <f>Data_thang!A528</f>
        <v/>
      </c>
      <c r="B528">
        <f>Data_thang!B528</f>
        <v/>
      </c>
      <c r="C528">
        <f>Data_thang!D528</f>
        <v/>
      </c>
      <c r="D528">
        <f>Data_thang!E528</f>
        <v/>
      </c>
      <c r="E528">
        <f>Data_thang!F528</f>
        <v/>
      </c>
      <c r="F528">
        <f>Data_thang!G528</f>
        <v/>
      </c>
      <c r="G528" s="29">
        <f>Data_thang!J528-Data_thang!K528</f>
        <v/>
      </c>
      <c r="H528" s="29">
        <f>Data_thang!N528</f>
        <v/>
      </c>
      <c r="I528" s="29">
        <f>H528-G528</f>
        <v/>
      </c>
      <c r="J528" s="30">
        <f>IF(H528=0,IF(I528=0,0,1),I528/ABS(H528))</f>
        <v/>
      </c>
      <c r="K528" s="29">
        <f>H528-(Data_thang!O528-Data_thang!K528)</f>
        <v/>
      </c>
      <c r="L528">
        <f>IF(AND(ABS(I528)&gt;Dashboard!$G$6,ABS(J528)&gt;Dashboard!$H$6),"⚠ Vượt","")</f>
        <v/>
      </c>
      <c r="M528">
        <f>IF(AND(A528=Dashboard!$D$6,OR(Dashboard!$C$6="*",F528=Dashboard!$C$6),L528&lt;&gt;""),ABS(I528)+ROW()/1000000000,0)</f>
        <v/>
      </c>
    </row>
    <row r="529">
      <c r="A529">
        <f>Data_thang!A529</f>
        <v/>
      </c>
      <c r="B529">
        <f>Data_thang!B529</f>
        <v/>
      </c>
      <c r="C529">
        <f>Data_thang!D529</f>
        <v/>
      </c>
      <c r="D529">
        <f>Data_thang!E529</f>
        <v/>
      </c>
      <c r="E529">
        <f>Data_thang!F529</f>
        <v/>
      </c>
      <c r="F529">
        <f>Data_thang!G529</f>
        <v/>
      </c>
      <c r="G529" s="29">
        <f>Data_thang!J529-Data_thang!K529</f>
        <v/>
      </c>
      <c r="H529" s="29">
        <f>Data_thang!N529</f>
        <v/>
      </c>
      <c r="I529" s="29">
        <f>H529-G529</f>
        <v/>
      </c>
      <c r="J529" s="30">
        <f>IF(H529=0,IF(I529=0,0,1),I529/ABS(H529))</f>
        <v/>
      </c>
      <c r="K529" s="29">
        <f>H529-(Data_thang!O529-Data_thang!K529)</f>
        <v/>
      </c>
      <c r="L529">
        <f>IF(AND(ABS(I529)&gt;Dashboard!$G$6,ABS(J529)&gt;Dashboard!$H$6),"⚠ Vượt","")</f>
        <v/>
      </c>
      <c r="M529">
        <f>IF(AND(A529=Dashboard!$D$6,OR(Dashboard!$C$6="*",F529=Dashboard!$C$6),L529&lt;&gt;""),ABS(I529)+ROW()/1000000000,0)</f>
        <v/>
      </c>
    </row>
    <row r="530">
      <c r="A530">
        <f>Data_thang!A530</f>
        <v/>
      </c>
      <c r="B530">
        <f>Data_thang!B530</f>
        <v/>
      </c>
      <c r="C530">
        <f>Data_thang!D530</f>
        <v/>
      </c>
      <c r="D530">
        <f>Data_thang!E530</f>
        <v/>
      </c>
      <c r="E530">
        <f>Data_thang!F530</f>
        <v/>
      </c>
      <c r="F530">
        <f>Data_thang!G530</f>
        <v/>
      </c>
      <c r="G530" s="29">
        <f>Data_thang!J530-Data_thang!K530</f>
        <v/>
      </c>
      <c r="H530" s="29">
        <f>Data_thang!N530</f>
        <v/>
      </c>
      <c r="I530" s="29">
        <f>H530-G530</f>
        <v/>
      </c>
      <c r="J530" s="30">
        <f>IF(H530=0,IF(I530=0,0,1),I530/ABS(H530))</f>
        <v/>
      </c>
      <c r="K530" s="29">
        <f>H530-(Data_thang!O530-Data_thang!K530)</f>
        <v/>
      </c>
      <c r="L530">
        <f>IF(AND(ABS(I530)&gt;Dashboard!$G$6,ABS(J530)&gt;Dashboard!$H$6),"⚠ Vượt","")</f>
        <v/>
      </c>
      <c r="M530">
        <f>IF(AND(A530=Dashboard!$D$6,OR(Dashboard!$C$6="*",F530=Dashboard!$C$6),L530&lt;&gt;""),ABS(I530)+ROW()/1000000000,0)</f>
        <v/>
      </c>
    </row>
    <row r="531">
      <c r="A531">
        <f>Data_thang!A531</f>
        <v/>
      </c>
      <c r="B531">
        <f>Data_thang!B531</f>
        <v/>
      </c>
      <c r="C531">
        <f>Data_thang!D531</f>
        <v/>
      </c>
      <c r="D531">
        <f>Data_thang!E531</f>
        <v/>
      </c>
      <c r="E531">
        <f>Data_thang!F531</f>
        <v/>
      </c>
      <c r="F531">
        <f>Data_thang!G531</f>
        <v/>
      </c>
      <c r="G531" s="29">
        <f>Data_thang!J531-Data_thang!K531</f>
        <v/>
      </c>
      <c r="H531" s="29">
        <f>Data_thang!N531</f>
        <v/>
      </c>
      <c r="I531" s="29">
        <f>H531-G531</f>
        <v/>
      </c>
      <c r="J531" s="30">
        <f>IF(H531=0,IF(I531=0,0,1),I531/ABS(H531))</f>
        <v/>
      </c>
      <c r="K531" s="29">
        <f>H531-(Data_thang!O531-Data_thang!K531)</f>
        <v/>
      </c>
      <c r="L531">
        <f>IF(AND(ABS(I531)&gt;Dashboard!$G$6,ABS(J531)&gt;Dashboard!$H$6),"⚠ Vượt","")</f>
        <v/>
      </c>
      <c r="M531">
        <f>IF(AND(A531=Dashboard!$D$6,OR(Dashboard!$C$6="*",F531=Dashboard!$C$6),L531&lt;&gt;""),ABS(I531)+ROW()/1000000000,0)</f>
        <v/>
      </c>
    </row>
    <row r="532">
      <c r="A532">
        <f>Data_thang!A532</f>
        <v/>
      </c>
      <c r="B532">
        <f>Data_thang!B532</f>
        <v/>
      </c>
      <c r="C532">
        <f>Data_thang!D532</f>
        <v/>
      </c>
      <c r="D532">
        <f>Data_thang!E532</f>
        <v/>
      </c>
      <c r="E532">
        <f>Data_thang!F532</f>
        <v/>
      </c>
      <c r="F532">
        <f>Data_thang!G532</f>
        <v/>
      </c>
      <c r="G532" s="29">
        <f>Data_thang!J532-Data_thang!K532</f>
        <v/>
      </c>
      <c r="H532" s="29">
        <f>Data_thang!N532</f>
        <v/>
      </c>
      <c r="I532" s="29">
        <f>H532-G532</f>
        <v/>
      </c>
      <c r="J532" s="30">
        <f>IF(H532=0,IF(I532=0,0,1),I532/ABS(H532))</f>
        <v/>
      </c>
      <c r="K532" s="29">
        <f>H532-(Data_thang!O532-Data_thang!K532)</f>
        <v/>
      </c>
      <c r="L532">
        <f>IF(AND(ABS(I532)&gt;Dashboard!$G$6,ABS(J532)&gt;Dashboard!$H$6),"⚠ Vượt","")</f>
        <v/>
      </c>
      <c r="M532">
        <f>IF(AND(A532=Dashboard!$D$6,OR(Dashboard!$C$6="*",F532=Dashboard!$C$6),L532&lt;&gt;""),ABS(I532)+ROW()/1000000000,0)</f>
        <v/>
      </c>
    </row>
    <row r="533">
      <c r="A533">
        <f>Data_thang!A533</f>
        <v/>
      </c>
      <c r="B533">
        <f>Data_thang!B533</f>
        <v/>
      </c>
      <c r="C533">
        <f>Data_thang!D533</f>
        <v/>
      </c>
      <c r="D533">
        <f>Data_thang!E533</f>
        <v/>
      </c>
      <c r="E533">
        <f>Data_thang!F533</f>
        <v/>
      </c>
      <c r="F533">
        <f>Data_thang!G533</f>
        <v/>
      </c>
      <c r="G533" s="29">
        <f>Data_thang!J533-Data_thang!K533</f>
        <v/>
      </c>
      <c r="H533" s="29">
        <f>Data_thang!N533</f>
        <v/>
      </c>
      <c r="I533" s="29">
        <f>H533-G533</f>
        <v/>
      </c>
      <c r="J533" s="30">
        <f>IF(H533=0,IF(I533=0,0,1),I533/ABS(H533))</f>
        <v/>
      </c>
      <c r="K533" s="29">
        <f>H533-(Data_thang!O533-Data_thang!K533)</f>
        <v/>
      </c>
      <c r="L533">
        <f>IF(AND(ABS(I533)&gt;Dashboard!$G$6,ABS(J533)&gt;Dashboard!$H$6),"⚠ Vượt","")</f>
        <v/>
      </c>
      <c r="M533">
        <f>IF(AND(A533=Dashboard!$D$6,OR(Dashboard!$C$6="*",F533=Dashboard!$C$6),L533&lt;&gt;""),ABS(I533)+ROW()/1000000000,0)</f>
        <v/>
      </c>
    </row>
    <row r="534">
      <c r="A534">
        <f>Data_thang!A534</f>
        <v/>
      </c>
      <c r="B534">
        <f>Data_thang!B534</f>
        <v/>
      </c>
      <c r="C534">
        <f>Data_thang!D534</f>
        <v/>
      </c>
      <c r="D534">
        <f>Data_thang!E534</f>
        <v/>
      </c>
      <c r="E534">
        <f>Data_thang!F534</f>
        <v/>
      </c>
      <c r="F534">
        <f>Data_thang!G534</f>
        <v/>
      </c>
      <c r="G534" s="29">
        <f>Data_thang!J534-Data_thang!K534</f>
        <v/>
      </c>
      <c r="H534" s="29">
        <f>Data_thang!N534</f>
        <v/>
      </c>
      <c r="I534" s="29">
        <f>H534-G534</f>
        <v/>
      </c>
      <c r="J534" s="30">
        <f>IF(H534=0,IF(I534=0,0,1),I534/ABS(H534))</f>
        <v/>
      </c>
      <c r="K534" s="29">
        <f>H534-(Data_thang!O534-Data_thang!K534)</f>
        <v/>
      </c>
      <c r="L534">
        <f>IF(AND(ABS(I534)&gt;Dashboard!$G$6,ABS(J534)&gt;Dashboard!$H$6),"⚠ Vượt","")</f>
        <v/>
      </c>
      <c r="M534">
        <f>IF(AND(A534=Dashboard!$D$6,OR(Dashboard!$C$6="*",F534=Dashboard!$C$6),L534&lt;&gt;""),ABS(I534)+ROW()/1000000000,0)</f>
        <v/>
      </c>
    </row>
    <row r="535">
      <c r="A535">
        <f>Data_thang!A535</f>
        <v/>
      </c>
      <c r="B535">
        <f>Data_thang!B535</f>
        <v/>
      </c>
      <c r="C535">
        <f>Data_thang!D535</f>
        <v/>
      </c>
      <c r="D535">
        <f>Data_thang!E535</f>
        <v/>
      </c>
      <c r="E535">
        <f>Data_thang!F535</f>
        <v/>
      </c>
      <c r="F535">
        <f>Data_thang!G535</f>
        <v/>
      </c>
      <c r="G535" s="29">
        <f>Data_thang!J535-Data_thang!K535</f>
        <v/>
      </c>
      <c r="H535" s="29">
        <f>Data_thang!N535</f>
        <v/>
      </c>
      <c r="I535" s="29">
        <f>H535-G535</f>
        <v/>
      </c>
      <c r="J535" s="30">
        <f>IF(H535=0,IF(I535=0,0,1),I535/ABS(H535))</f>
        <v/>
      </c>
      <c r="K535" s="29">
        <f>H535-(Data_thang!O535-Data_thang!K535)</f>
        <v/>
      </c>
      <c r="L535">
        <f>IF(AND(ABS(I535)&gt;Dashboard!$G$6,ABS(J535)&gt;Dashboard!$H$6),"⚠ Vượt","")</f>
        <v/>
      </c>
      <c r="M535">
        <f>IF(AND(A535=Dashboard!$D$6,OR(Dashboard!$C$6="*",F535=Dashboard!$C$6),L535&lt;&gt;""),ABS(I535)+ROW()/1000000000,0)</f>
        <v/>
      </c>
    </row>
    <row r="536">
      <c r="A536">
        <f>Data_thang!A536</f>
        <v/>
      </c>
      <c r="B536">
        <f>Data_thang!B536</f>
        <v/>
      </c>
      <c r="C536">
        <f>Data_thang!D536</f>
        <v/>
      </c>
      <c r="D536">
        <f>Data_thang!E536</f>
        <v/>
      </c>
      <c r="E536">
        <f>Data_thang!F536</f>
        <v/>
      </c>
      <c r="F536">
        <f>Data_thang!G536</f>
        <v/>
      </c>
      <c r="G536" s="29">
        <f>Data_thang!J536-Data_thang!K536</f>
        <v/>
      </c>
      <c r="H536" s="29">
        <f>Data_thang!N536</f>
        <v/>
      </c>
      <c r="I536" s="29">
        <f>H536-G536</f>
        <v/>
      </c>
      <c r="J536" s="30">
        <f>IF(H536=0,IF(I536=0,0,1),I536/ABS(H536))</f>
        <v/>
      </c>
      <c r="K536" s="29">
        <f>H536-(Data_thang!O536-Data_thang!K536)</f>
        <v/>
      </c>
      <c r="L536">
        <f>IF(AND(ABS(I536)&gt;Dashboard!$G$6,ABS(J536)&gt;Dashboard!$H$6),"⚠ Vượt","")</f>
        <v/>
      </c>
      <c r="M536">
        <f>IF(AND(A536=Dashboard!$D$6,OR(Dashboard!$C$6="*",F536=Dashboard!$C$6),L536&lt;&gt;""),ABS(I536)+ROW()/1000000000,0)</f>
        <v/>
      </c>
    </row>
    <row r="537">
      <c r="A537">
        <f>Data_thang!A537</f>
        <v/>
      </c>
      <c r="B537">
        <f>Data_thang!B537</f>
        <v/>
      </c>
      <c r="C537">
        <f>Data_thang!D537</f>
        <v/>
      </c>
      <c r="D537">
        <f>Data_thang!E537</f>
        <v/>
      </c>
      <c r="E537">
        <f>Data_thang!F537</f>
        <v/>
      </c>
      <c r="F537">
        <f>Data_thang!G537</f>
        <v/>
      </c>
      <c r="G537" s="29">
        <f>Data_thang!J537-Data_thang!K537</f>
        <v/>
      </c>
      <c r="H537" s="29">
        <f>Data_thang!N537</f>
        <v/>
      </c>
      <c r="I537" s="29">
        <f>H537-G537</f>
        <v/>
      </c>
      <c r="J537" s="30">
        <f>IF(H537=0,IF(I537=0,0,1),I537/ABS(H537))</f>
        <v/>
      </c>
      <c r="K537" s="29">
        <f>H537-(Data_thang!O537-Data_thang!K537)</f>
        <v/>
      </c>
      <c r="L537">
        <f>IF(AND(ABS(I537)&gt;Dashboard!$G$6,ABS(J537)&gt;Dashboard!$H$6),"⚠ Vượt","")</f>
        <v/>
      </c>
      <c r="M537">
        <f>IF(AND(A537=Dashboard!$D$6,OR(Dashboard!$C$6="*",F537=Dashboard!$C$6),L537&lt;&gt;""),ABS(I537)+ROW()/1000000000,0)</f>
        <v/>
      </c>
    </row>
    <row r="538">
      <c r="A538">
        <f>Data_thang!A538</f>
        <v/>
      </c>
      <c r="B538">
        <f>Data_thang!B538</f>
        <v/>
      </c>
      <c r="C538">
        <f>Data_thang!D538</f>
        <v/>
      </c>
      <c r="D538">
        <f>Data_thang!E538</f>
        <v/>
      </c>
      <c r="E538">
        <f>Data_thang!F538</f>
        <v/>
      </c>
      <c r="F538">
        <f>Data_thang!G538</f>
        <v/>
      </c>
      <c r="G538" s="29">
        <f>Data_thang!J538-Data_thang!K538</f>
        <v/>
      </c>
      <c r="H538" s="29">
        <f>Data_thang!N538</f>
        <v/>
      </c>
      <c r="I538" s="29">
        <f>H538-G538</f>
        <v/>
      </c>
      <c r="J538" s="30">
        <f>IF(H538=0,IF(I538=0,0,1),I538/ABS(H538))</f>
        <v/>
      </c>
      <c r="K538" s="29">
        <f>H538-(Data_thang!O538-Data_thang!K538)</f>
        <v/>
      </c>
      <c r="L538">
        <f>IF(AND(ABS(I538)&gt;Dashboard!$G$6,ABS(J538)&gt;Dashboard!$H$6),"⚠ Vượt","")</f>
        <v/>
      </c>
      <c r="M538">
        <f>IF(AND(A538=Dashboard!$D$6,OR(Dashboard!$C$6="*",F538=Dashboard!$C$6),L538&lt;&gt;""),ABS(I538)+ROW()/1000000000,0)</f>
        <v/>
      </c>
    </row>
    <row r="539">
      <c r="A539">
        <f>Data_thang!A539</f>
        <v/>
      </c>
      <c r="B539">
        <f>Data_thang!B539</f>
        <v/>
      </c>
      <c r="C539">
        <f>Data_thang!D539</f>
        <v/>
      </c>
      <c r="D539">
        <f>Data_thang!E539</f>
        <v/>
      </c>
      <c r="E539">
        <f>Data_thang!F539</f>
        <v/>
      </c>
      <c r="F539">
        <f>Data_thang!G539</f>
        <v/>
      </c>
      <c r="G539" s="29">
        <f>Data_thang!J539-Data_thang!K539</f>
        <v/>
      </c>
      <c r="H539" s="29">
        <f>Data_thang!N539</f>
        <v/>
      </c>
      <c r="I539" s="29">
        <f>H539-G539</f>
        <v/>
      </c>
      <c r="J539" s="30">
        <f>IF(H539=0,IF(I539=0,0,1),I539/ABS(H539))</f>
        <v/>
      </c>
      <c r="K539" s="29">
        <f>H539-(Data_thang!O539-Data_thang!K539)</f>
        <v/>
      </c>
      <c r="L539">
        <f>IF(AND(ABS(I539)&gt;Dashboard!$G$6,ABS(J539)&gt;Dashboard!$H$6),"⚠ Vượt","")</f>
        <v/>
      </c>
      <c r="M539">
        <f>IF(AND(A539=Dashboard!$D$6,OR(Dashboard!$C$6="*",F539=Dashboard!$C$6),L539&lt;&gt;""),ABS(I539)+ROW()/1000000000,0)</f>
        <v/>
      </c>
    </row>
    <row r="540">
      <c r="A540">
        <f>Data_thang!A540</f>
        <v/>
      </c>
      <c r="B540">
        <f>Data_thang!B540</f>
        <v/>
      </c>
      <c r="C540">
        <f>Data_thang!D540</f>
        <v/>
      </c>
      <c r="D540">
        <f>Data_thang!E540</f>
        <v/>
      </c>
      <c r="E540">
        <f>Data_thang!F540</f>
        <v/>
      </c>
      <c r="F540">
        <f>Data_thang!G540</f>
        <v/>
      </c>
      <c r="G540" s="29">
        <f>Data_thang!J540-Data_thang!K540</f>
        <v/>
      </c>
      <c r="H540" s="29">
        <f>Data_thang!N540</f>
        <v/>
      </c>
      <c r="I540" s="29">
        <f>H540-G540</f>
        <v/>
      </c>
      <c r="J540" s="30">
        <f>IF(H540=0,IF(I540=0,0,1),I540/ABS(H540))</f>
        <v/>
      </c>
      <c r="K540" s="29">
        <f>H540-(Data_thang!O540-Data_thang!K540)</f>
        <v/>
      </c>
      <c r="L540">
        <f>IF(AND(ABS(I540)&gt;Dashboard!$G$6,ABS(J540)&gt;Dashboard!$H$6),"⚠ Vượt","")</f>
        <v/>
      </c>
      <c r="M540">
        <f>IF(AND(A540=Dashboard!$D$6,OR(Dashboard!$C$6="*",F540=Dashboard!$C$6),L540&lt;&gt;""),ABS(I540)+ROW()/1000000000,0)</f>
        <v/>
      </c>
    </row>
    <row r="541">
      <c r="A541">
        <f>Data_thang!A541</f>
        <v/>
      </c>
      <c r="B541">
        <f>Data_thang!B541</f>
        <v/>
      </c>
      <c r="C541">
        <f>Data_thang!D541</f>
        <v/>
      </c>
      <c r="D541">
        <f>Data_thang!E541</f>
        <v/>
      </c>
      <c r="E541">
        <f>Data_thang!F541</f>
        <v/>
      </c>
      <c r="F541">
        <f>Data_thang!G541</f>
        <v/>
      </c>
      <c r="G541" s="29">
        <f>Data_thang!J541-Data_thang!K541</f>
        <v/>
      </c>
      <c r="H541" s="29">
        <f>Data_thang!N541</f>
        <v/>
      </c>
      <c r="I541" s="29">
        <f>H541-G541</f>
        <v/>
      </c>
      <c r="J541" s="30">
        <f>IF(H541=0,IF(I541=0,0,1),I541/ABS(H541))</f>
        <v/>
      </c>
      <c r="K541" s="29">
        <f>H541-(Data_thang!O541-Data_thang!K541)</f>
        <v/>
      </c>
      <c r="L541">
        <f>IF(AND(ABS(I541)&gt;Dashboard!$G$6,ABS(J541)&gt;Dashboard!$H$6),"⚠ Vượt","")</f>
        <v/>
      </c>
      <c r="M541">
        <f>IF(AND(A541=Dashboard!$D$6,OR(Dashboard!$C$6="*",F541=Dashboard!$C$6),L541&lt;&gt;""),ABS(I541)+ROW()/1000000000,0)</f>
        <v/>
      </c>
    </row>
    <row r="542">
      <c r="A542">
        <f>Data_thang!A542</f>
        <v/>
      </c>
      <c r="B542">
        <f>Data_thang!B542</f>
        <v/>
      </c>
      <c r="C542">
        <f>Data_thang!D542</f>
        <v/>
      </c>
      <c r="D542">
        <f>Data_thang!E542</f>
        <v/>
      </c>
      <c r="E542">
        <f>Data_thang!F542</f>
        <v/>
      </c>
      <c r="F542">
        <f>Data_thang!G542</f>
        <v/>
      </c>
      <c r="G542" s="29">
        <f>Data_thang!J542-Data_thang!K542</f>
        <v/>
      </c>
      <c r="H542" s="29">
        <f>Data_thang!N542</f>
        <v/>
      </c>
      <c r="I542" s="29">
        <f>H542-G542</f>
        <v/>
      </c>
      <c r="J542" s="30">
        <f>IF(H542=0,IF(I542=0,0,1),I542/ABS(H542))</f>
        <v/>
      </c>
      <c r="K542" s="29">
        <f>H542-(Data_thang!O542-Data_thang!K542)</f>
        <v/>
      </c>
      <c r="L542">
        <f>IF(AND(ABS(I542)&gt;Dashboard!$G$6,ABS(J542)&gt;Dashboard!$H$6),"⚠ Vượt","")</f>
        <v/>
      </c>
      <c r="M542">
        <f>IF(AND(A542=Dashboard!$D$6,OR(Dashboard!$C$6="*",F542=Dashboard!$C$6),L542&lt;&gt;""),ABS(I542)+ROW()/1000000000,0)</f>
        <v/>
      </c>
    </row>
    <row r="543">
      <c r="A543">
        <f>Data_thang!A543</f>
        <v/>
      </c>
      <c r="B543">
        <f>Data_thang!B543</f>
        <v/>
      </c>
      <c r="C543">
        <f>Data_thang!D543</f>
        <v/>
      </c>
      <c r="D543">
        <f>Data_thang!E543</f>
        <v/>
      </c>
      <c r="E543">
        <f>Data_thang!F543</f>
        <v/>
      </c>
      <c r="F543">
        <f>Data_thang!G543</f>
        <v/>
      </c>
      <c r="G543" s="29">
        <f>Data_thang!J543-Data_thang!K543</f>
        <v/>
      </c>
      <c r="H543" s="29">
        <f>Data_thang!N543</f>
        <v/>
      </c>
      <c r="I543" s="29">
        <f>H543-G543</f>
        <v/>
      </c>
      <c r="J543" s="30">
        <f>IF(H543=0,IF(I543=0,0,1),I543/ABS(H543))</f>
        <v/>
      </c>
      <c r="K543" s="29">
        <f>H543-(Data_thang!O543-Data_thang!K543)</f>
        <v/>
      </c>
      <c r="L543">
        <f>IF(AND(ABS(I543)&gt;Dashboard!$G$6,ABS(J543)&gt;Dashboard!$H$6),"⚠ Vượt","")</f>
        <v/>
      </c>
      <c r="M543">
        <f>IF(AND(A543=Dashboard!$D$6,OR(Dashboard!$C$6="*",F543=Dashboard!$C$6),L543&lt;&gt;""),ABS(I543)+ROW()/1000000000,0)</f>
        <v/>
      </c>
    </row>
    <row r="544">
      <c r="A544">
        <f>Data_thang!A544</f>
        <v/>
      </c>
      <c r="B544">
        <f>Data_thang!B544</f>
        <v/>
      </c>
      <c r="C544">
        <f>Data_thang!D544</f>
        <v/>
      </c>
      <c r="D544">
        <f>Data_thang!E544</f>
        <v/>
      </c>
      <c r="E544">
        <f>Data_thang!F544</f>
        <v/>
      </c>
      <c r="F544">
        <f>Data_thang!G544</f>
        <v/>
      </c>
      <c r="G544" s="29">
        <f>Data_thang!J544-Data_thang!K544</f>
        <v/>
      </c>
      <c r="H544" s="29">
        <f>Data_thang!N544</f>
        <v/>
      </c>
      <c r="I544" s="29">
        <f>H544-G544</f>
        <v/>
      </c>
      <c r="J544" s="30">
        <f>IF(H544=0,IF(I544=0,0,1),I544/ABS(H544))</f>
        <v/>
      </c>
      <c r="K544" s="29">
        <f>H544-(Data_thang!O544-Data_thang!K544)</f>
        <v/>
      </c>
      <c r="L544">
        <f>IF(AND(ABS(I544)&gt;Dashboard!$G$6,ABS(J544)&gt;Dashboard!$H$6),"⚠ Vượt","")</f>
        <v/>
      </c>
      <c r="M544">
        <f>IF(AND(A544=Dashboard!$D$6,OR(Dashboard!$C$6="*",F544=Dashboard!$C$6),L544&lt;&gt;""),ABS(I544)+ROW()/1000000000,0)</f>
        <v/>
      </c>
    </row>
    <row r="545">
      <c r="A545">
        <f>Data_thang!A545</f>
        <v/>
      </c>
      <c r="B545">
        <f>Data_thang!B545</f>
        <v/>
      </c>
      <c r="C545">
        <f>Data_thang!D545</f>
        <v/>
      </c>
      <c r="D545">
        <f>Data_thang!E545</f>
        <v/>
      </c>
      <c r="E545">
        <f>Data_thang!F545</f>
        <v/>
      </c>
      <c r="F545">
        <f>Data_thang!G545</f>
        <v/>
      </c>
      <c r="G545" s="29">
        <f>Data_thang!J545-Data_thang!K545</f>
        <v/>
      </c>
      <c r="H545" s="29">
        <f>Data_thang!N545</f>
        <v/>
      </c>
      <c r="I545" s="29">
        <f>H545-G545</f>
        <v/>
      </c>
      <c r="J545" s="30">
        <f>IF(H545=0,IF(I545=0,0,1),I545/ABS(H545))</f>
        <v/>
      </c>
      <c r="K545" s="29">
        <f>H545-(Data_thang!O545-Data_thang!K545)</f>
        <v/>
      </c>
      <c r="L545">
        <f>IF(AND(ABS(I545)&gt;Dashboard!$G$6,ABS(J545)&gt;Dashboard!$H$6),"⚠ Vượt","")</f>
        <v/>
      </c>
      <c r="M545">
        <f>IF(AND(A545=Dashboard!$D$6,OR(Dashboard!$C$6="*",F545=Dashboard!$C$6),L545&lt;&gt;""),ABS(I545)+ROW()/1000000000,0)</f>
        <v/>
      </c>
    </row>
    <row r="546">
      <c r="A546">
        <f>Data_thang!A546</f>
        <v/>
      </c>
      <c r="B546">
        <f>Data_thang!B546</f>
        <v/>
      </c>
      <c r="C546">
        <f>Data_thang!D546</f>
        <v/>
      </c>
      <c r="D546">
        <f>Data_thang!E546</f>
        <v/>
      </c>
      <c r="E546">
        <f>Data_thang!F546</f>
        <v/>
      </c>
      <c r="F546">
        <f>Data_thang!G546</f>
        <v/>
      </c>
      <c r="G546" s="29">
        <f>Data_thang!J546-Data_thang!K546</f>
        <v/>
      </c>
      <c r="H546" s="29">
        <f>Data_thang!N546</f>
        <v/>
      </c>
      <c r="I546" s="29">
        <f>H546-G546</f>
        <v/>
      </c>
      <c r="J546" s="30">
        <f>IF(H546=0,IF(I546=0,0,1),I546/ABS(H546))</f>
        <v/>
      </c>
      <c r="K546" s="29">
        <f>H546-(Data_thang!O546-Data_thang!K546)</f>
        <v/>
      </c>
      <c r="L546">
        <f>IF(AND(ABS(I546)&gt;Dashboard!$G$6,ABS(J546)&gt;Dashboard!$H$6),"⚠ Vượt","")</f>
        <v/>
      </c>
      <c r="M546">
        <f>IF(AND(A546=Dashboard!$D$6,OR(Dashboard!$C$6="*",F546=Dashboard!$C$6),L546&lt;&gt;""),ABS(I546)+ROW()/1000000000,0)</f>
        <v/>
      </c>
    </row>
    <row r="547">
      <c r="A547">
        <f>Data_thang!A547</f>
        <v/>
      </c>
      <c r="B547">
        <f>Data_thang!B547</f>
        <v/>
      </c>
      <c r="C547">
        <f>Data_thang!D547</f>
        <v/>
      </c>
      <c r="D547">
        <f>Data_thang!E547</f>
        <v/>
      </c>
      <c r="E547">
        <f>Data_thang!F547</f>
        <v/>
      </c>
      <c r="F547">
        <f>Data_thang!G547</f>
        <v/>
      </c>
      <c r="G547" s="29">
        <f>Data_thang!J547-Data_thang!K547</f>
        <v/>
      </c>
      <c r="H547" s="29">
        <f>Data_thang!N547</f>
        <v/>
      </c>
      <c r="I547" s="29">
        <f>H547-G547</f>
        <v/>
      </c>
      <c r="J547" s="30">
        <f>IF(H547=0,IF(I547=0,0,1),I547/ABS(H547))</f>
        <v/>
      </c>
      <c r="K547" s="29">
        <f>H547-(Data_thang!O547-Data_thang!K547)</f>
        <v/>
      </c>
      <c r="L547">
        <f>IF(AND(ABS(I547)&gt;Dashboard!$G$6,ABS(J547)&gt;Dashboard!$H$6),"⚠ Vượt","")</f>
        <v/>
      </c>
      <c r="M547">
        <f>IF(AND(A547=Dashboard!$D$6,OR(Dashboard!$C$6="*",F547=Dashboard!$C$6),L547&lt;&gt;""),ABS(I547)+ROW()/1000000000,0)</f>
        <v/>
      </c>
    </row>
    <row r="548">
      <c r="A548">
        <f>Data_thang!A548</f>
        <v/>
      </c>
      <c r="B548">
        <f>Data_thang!B548</f>
        <v/>
      </c>
      <c r="C548">
        <f>Data_thang!D548</f>
        <v/>
      </c>
      <c r="D548">
        <f>Data_thang!E548</f>
        <v/>
      </c>
      <c r="E548">
        <f>Data_thang!F548</f>
        <v/>
      </c>
      <c r="F548">
        <f>Data_thang!G548</f>
        <v/>
      </c>
      <c r="G548" s="29">
        <f>Data_thang!J548-Data_thang!K548</f>
        <v/>
      </c>
      <c r="H548" s="29">
        <f>Data_thang!N548</f>
        <v/>
      </c>
      <c r="I548" s="29">
        <f>H548-G548</f>
        <v/>
      </c>
      <c r="J548" s="30">
        <f>IF(H548=0,IF(I548=0,0,1),I548/ABS(H548))</f>
        <v/>
      </c>
      <c r="K548" s="29">
        <f>H548-(Data_thang!O548-Data_thang!K548)</f>
        <v/>
      </c>
      <c r="L548">
        <f>IF(AND(ABS(I548)&gt;Dashboard!$G$6,ABS(J548)&gt;Dashboard!$H$6),"⚠ Vượt","")</f>
        <v/>
      </c>
      <c r="M548">
        <f>IF(AND(A548=Dashboard!$D$6,OR(Dashboard!$C$6="*",F548=Dashboard!$C$6),L548&lt;&gt;""),ABS(I548)+ROW()/1000000000,0)</f>
        <v/>
      </c>
    </row>
    <row r="549">
      <c r="A549">
        <f>Data_thang!A549</f>
        <v/>
      </c>
      <c r="B549">
        <f>Data_thang!B549</f>
        <v/>
      </c>
      <c r="C549">
        <f>Data_thang!D549</f>
        <v/>
      </c>
      <c r="D549">
        <f>Data_thang!E549</f>
        <v/>
      </c>
      <c r="E549">
        <f>Data_thang!F549</f>
        <v/>
      </c>
      <c r="F549">
        <f>Data_thang!G549</f>
        <v/>
      </c>
      <c r="G549" s="29">
        <f>Data_thang!J549-Data_thang!K549</f>
        <v/>
      </c>
      <c r="H549" s="29">
        <f>Data_thang!N549</f>
        <v/>
      </c>
      <c r="I549" s="29">
        <f>H549-G549</f>
        <v/>
      </c>
      <c r="J549" s="30">
        <f>IF(H549=0,IF(I549=0,0,1),I549/ABS(H549))</f>
        <v/>
      </c>
      <c r="K549" s="29">
        <f>H549-(Data_thang!O549-Data_thang!K549)</f>
        <v/>
      </c>
      <c r="L549">
        <f>IF(AND(ABS(I549)&gt;Dashboard!$G$6,ABS(J549)&gt;Dashboard!$H$6),"⚠ Vượt","")</f>
        <v/>
      </c>
      <c r="M549">
        <f>IF(AND(A549=Dashboard!$D$6,OR(Dashboard!$C$6="*",F549=Dashboard!$C$6),L549&lt;&gt;""),ABS(I549)+ROW()/1000000000,0)</f>
        <v/>
      </c>
    </row>
    <row r="550">
      <c r="A550">
        <f>Data_thang!A550</f>
        <v/>
      </c>
      <c r="B550">
        <f>Data_thang!B550</f>
        <v/>
      </c>
      <c r="C550">
        <f>Data_thang!D550</f>
        <v/>
      </c>
      <c r="D550">
        <f>Data_thang!E550</f>
        <v/>
      </c>
      <c r="E550">
        <f>Data_thang!F550</f>
        <v/>
      </c>
      <c r="F550">
        <f>Data_thang!G550</f>
        <v/>
      </c>
      <c r="G550" s="29">
        <f>Data_thang!J550-Data_thang!K550</f>
        <v/>
      </c>
      <c r="H550" s="29">
        <f>Data_thang!N550</f>
        <v/>
      </c>
      <c r="I550" s="29">
        <f>H550-G550</f>
        <v/>
      </c>
      <c r="J550" s="30">
        <f>IF(H550=0,IF(I550=0,0,1),I550/ABS(H550))</f>
        <v/>
      </c>
      <c r="K550" s="29">
        <f>H550-(Data_thang!O550-Data_thang!K550)</f>
        <v/>
      </c>
      <c r="L550">
        <f>IF(AND(ABS(I550)&gt;Dashboard!$G$6,ABS(J550)&gt;Dashboard!$H$6),"⚠ Vượt","")</f>
        <v/>
      </c>
      <c r="M550">
        <f>IF(AND(A550=Dashboard!$D$6,OR(Dashboard!$C$6="*",F550=Dashboard!$C$6),L550&lt;&gt;""),ABS(I550)+ROW()/1000000000,0)</f>
        <v/>
      </c>
    </row>
    <row r="551">
      <c r="A551">
        <f>Data_thang!A551</f>
        <v/>
      </c>
      <c r="B551">
        <f>Data_thang!B551</f>
        <v/>
      </c>
      <c r="C551">
        <f>Data_thang!D551</f>
        <v/>
      </c>
      <c r="D551">
        <f>Data_thang!E551</f>
        <v/>
      </c>
      <c r="E551">
        <f>Data_thang!F551</f>
        <v/>
      </c>
      <c r="F551">
        <f>Data_thang!G551</f>
        <v/>
      </c>
      <c r="G551" s="29">
        <f>Data_thang!J551-Data_thang!K551</f>
        <v/>
      </c>
      <c r="H551" s="29">
        <f>Data_thang!N551</f>
        <v/>
      </c>
      <c r="I551" s="29">
        <f>H551-G551</f>
        <v/>
      </c>
      <c r="J551" s="30">
        <f>IF(H551=0,IF(I551=0,0,1),I551/ABS(H551))</f>
        <v/>
      </c>
      <c r="K551" s="29">
        <f>H551-(Data_thang!O551-Data_thang!K551)</f>
        <v/>
      </c>
      <c r="L551">
        <f>IF(AND(ABS(I551)&gt;Dashboard!$G$6,ABS(J551)&gt;Dashboard!$H$6),"⚠ Vượt","")</f>
        <v/>
      </c>
      <c r="M551">
        <f>IF(AND(A551=Dashboard!$D$6,OR(Dashboard!$C$6="*",F551=Dashboard!$C$6),L551&lt;&gt;""),ABS(I551)+ROW()/1000000000,0)</f>
        <v/>
      </c>
    </row>
    <row r="552">
      <c r="A552">
        <f>Data_thang!A552</f>
        <v/>
      </c>
      <c r="B552">
        <f>Data_thang!B552</f>
        <v/>
      </c>
      <c r="C552">
        <f>Data_thang!D552</f>
        <v/>
      </c>
      <c r="D552">
        <f>Data_thang!E552</f>
        <v/>
      </c>
      <c r="E552">
        <f>Data_thang!F552</f>
        <v/>
      </c>
      <c r="F552">
        <f>Data_thang!G552</f>
        <v/>
      </c>
      <c r="G552" s="29">
        <f>Data_thang!J552-Data_thang!K552</f>
        <v/>
      </c>
      <c r="H552" s="29">
        <f>Data_thang!N552</f>
        <v/>
      </c>
      <c r="I552" s="29">
        <f>H552-G552</f>
        <v/>
      </c>
      <c r="J552" s="30">
        <f>IF(H552=0,IF(I552=0,0,1),I552/ABS(H552))</f>
        <v/>
      </c>
      <c r="K552" s="29">
        <f>H552-(Data_thang!O552-Data_thang!K552)</f>
        <v/>
      </c>
      <c r="L552">
        <f>IF(AND(ABS(I552)&gt;Dashboard!$G$6,ABS(J552)&gt;Dashboard!$H$6),"⚠ Vượt","")</f>
        <v/>
      </c>
      <c r="M552">
        <f>IF(AND(A552=Dashboard!$D$6,OR(Dashboard!$C$6="*",F552=Dashboard!$C$6),L552&lt;&gt;""),ABS(I552)+ROW()/1000000000,0)</f>
        <v/>
      </c>
    </row>
    <row r="553">
      <c r="A553">
        <f>Data_thang!A553</f>
        <v/>
      </c>
      <c r="B553">
        <f>Data_thang!B553</f>
        <v/>
      </c>
      <c r="C553">
        <f>Data_thang!D553</f>
        <v/>
      </c>
      <c r="D553">
        <f>Data_thang!E553</f>
        <v/>
      </c>
      <c r="E553">
        <f>Data_thang!F553</f>
        <v/>
      </c>
      <c r="F553">
        <f>Data_thang!G553</f>
        <v/>
      </c>
      <c r="G553" s="29">
        <f>Data_thang!J553-Data_thang!K553</f>
        <v/>
      </c>
      <c r="H553" s="29">
        <f>Data_thang!N553</f>
        <v/>
      </c>
      <c r="I553" s="29">
        <f>H553-G553</f>
        <v/>
      </c>
      <c r="J553" s="30">
        <f>IF(H553=0,IF(I553=0,0,1),I553/ABS(H553))</f>
        <v/>
      </c>
      <c r="K553" s="29">
        <f>H553-(Data_thang!O553-Data_thang!K553)</f>
        <v/>
      </c>
      <c r="L553">
        <f>IF(AND(ABS(I553)&gt;Dashboard!$G$6,ABS(J553)&gt;Dashboard!$H$6),"⚠ Vượt","")</f>
        <v/>
      </c>
      <c r="M553">
        <f>IF(AND(A553=Dashboard!$D$6,OR(Dashboard!$C$6="*",F553=Dashboard!$C$6),L553&lt;&gt;""),ABS(I553)+ROW()/1000000000,0)</f>
        <v/>
      </c>
    </row>
    <row r="554">
      <c r="A554">
        <f>Data_thang!A554</f>
        <v/>
      </c>
      <c r="B554">
        <f>Data_thang!B554</f>
        <v/>
      </c>
      <c r="C554">
        <f>Data_thang!D554</f>
        <v/>
      </c>
      <c r="D554">
        <f>Data_thang!E554</f>
        <v/>
      </c>
      <c r="E554">
        <f>Data_thang!F554</f>
        <v/>
      </c>
      <c r="F554">
        <f>Data_thang!G554</f>
        <v/>
      </c>
      <c r="G554" s="29">
        <f>Data_thang!J554-Data_thang!K554</f>
        <v/>
      </c>
      <c r="H554" s="29">
        <f>Data_thang!N554</f>
        <v/>
      </c>
      <c r="I554" s="29">
        <f>H554-G554</f>
        <v/>
      </c>
      <c r="J554" s="30">
        <f>IF(H554=0,IF(I554=0,0,1),I554/ABS(H554))</f>
        <v/>
      </c>
      <c r="K554" s="29">
        <f>H554-(Data_thang!O554-Data_thang!K554)</f>
        <v/>
      </c>
      <c r="L554">
        <f>IF(AND(ABS(I554)&gt;Dashboard!$G$6,ABS(J554)&gt;Dashboard!$H$6),"⚠ Vượt","")</f>
        <v/>
      </c>
      <c r="M554">
        <f>IF(AND(A554=Dashboard!$D$6,OR(Dashboard!$C$6="*",F554=Dashboard!$C$6),L554&lt;&gt;""),ABS(I554)+ROW()/1000000000,0)</f>
        <v/>
      </c>
    </row>
    <row r="555">
      <c r="A555">
        <f>Data_thang!A555</f>
        <v/>
      </c>
      <c r="B555">
        <f>Data_thang!B555</f>
        <v/>
      </c>
      <c r="C555">
        <f>Data_thang!D555</f>
        <v/>
      </c>
      <c r="D555">
        <f>Data_thang!E555</f>
        <v/>
      </c>
      <c r="E555">
        <f>Data_thang!F555</f>
        <v/>
      </c>
      <c r="F555">
        <f>Data_thang!G555</f>
        <v/>
      </c>
      <c r="G555" s="29">
        <f>Data_thang!J555-Data_thang!K555</f>
        <v/>
      </c>
      <c r="H555" s="29">
        <f>Data_thang!N555</f>
        <v/>
      </c>
      <c r="I555" s="29">
        <f>H555-G555</f>
        <v/>
      </c>
      <c r="J555" s="30">
        <f>IF(H555=0,IF(I555=0,0,1),I555/ABS(H555))</f>
        <v/>
      </c>
      <c r="K555" s="29">
        <f>H555-(Data_thang!O555-Data_thang!K555)</f>
        <v/>
      </c>
      <c r="L555">
        <f>IF(AND(ABS(I555)&gt;Dashboard!$G$6,ABS(J555)&gt;Dashboard!$H$6),"⚠ Vượt","")</f>
        <v/>
      </c>
      <c r="M555">
        <f>IF(AND(A555=Dashboard!$D$6,OR(Dashboard!$C$6="*",F555=Dashboard!$C$6),L555&lt;&gt;""),ABS(I555)+ROW()/1000000000,0)</f>
        <v/>
      </c>
    </row>
    <row r="556">
      <c r="A556">
        <f>Data_thang!A556</f>
        <v/>
      </c>
      <c r="B556">
        <f>Data_thang!B556</f>
        <v/>
      </c>
      <c r="C556">
        <f>Data_thang!D556</f>
        <v/>
      </c>
      <c r="D556">
        <f>Data_thang!E556</f>
        <v/>
      </c>
      <c r="E556">
        <f>Data_thang!F556</f>
        <v/>
      </c>
      <c r="F556">
        <f>Data_thang!G556</f>
        <v/>
      </c>
      <c r="G556" s="29">
        <f>Data_thang!J556-Data_thang!K556</f>
        <v/>
      </c>
      <c r="H556" s="29">
        <f>Data_thang!N556</f>
        <v/>
      </c>
      <c r="I556" s="29">
        <f>H556-G556</f>
        <v/>
      </c>
      <c r="J556" s="30">
        <f>IF(H556=0,IF(I556=0,0,1),I556/ABS(H556))</f>
        <v/>
      </c>
      <c r="K556" s="29">
        <f>H556-(Data_thang!O556-Data_thang!K556)</f>
        <v/>
      </c>
      <c r="L556">
        <f>IF(AND(ABS(I556)&gt;Dashboard!$G$6,ABS(J556)&gt;Dashboard!$H$6),"⚠ Vượt","")</f>
        <v/>
      </c>
      <c r="M556">
        <f>IF(AND(A556=Dashboard!$D$6,OR(Dashboard!$C$6="*",F556=Dashboard!$C$6),L556&lt;&gt;""),ABS(I556)+ROW()/1000000000,0)</f>
        <v/>
      </c>
    </row>
    <row r="557">
      <c r="A557">
        <f>Data_thang!A557</f>
        <v/>
      </c>
      <c r="B557">
        <f>Data_thang!B557</f>
        <v/>
      </c>
      <c r="C557">
        <f>Data_thang!D557</f>
        <v/>
      </c>
      <c r="D557">
        <f>Data_thang!E557</f>
        <v/>
      </c>
      <c r="E557">
        <f>Data_thang!F557</f>
        <v/>
      </c>
      <c r="F557">
        <f>Data_thang!G557</f>
        <v/>
      </c>
      <c r="G557" s="29">
        <f>Data_thang!J557-Data_thang!K557</f>
        <v/>
      </c>
      <c r="H557" s="29">
        <f>Data_thang!N557</f>
        <v/>
      </c>
      <c r="I557" s="29">
        <f>H557-G557</f>
        <v/>
      </c>
      <c r="J557" s="30">
        <f>IF(H557=0,IF(I557=0,0,1),I557/ABS(H557))</f>
        <v/>
      </c>
      <c r="K557" s="29">
        <f>H557-(Data_thang!O557-Data_thang!K557)</f>
        <v/>
      </c>
      <c r="L557">
        <f>IF(AND(ABS(I557)&gt;Dashboard!$G$6,ABS(J557)&gt;Dashboard!$H$6),"⚠ Vượt","")</f>
        <v/>
      </c>
      <c r="M557">
        <f>IF(AND(A557=Dashboard!$D$6,OR(Dashboard!$C$6="*",F557=Dashboard!$C$6),L557&lt;&gt;""),ABS(I557)+ROW()/1000000000,0)</f>
        <v/>
      </c>
    </row>
    <row r="558">
      <c r="A558">
        <f>Data_thang!A558</f>
        <v/>
      </c>
      <c r="B558">
        <f>Data_thang!B558</f>
        <v/>
      </c>
      <c r="C558">
        <f>Data_thang!D558</f>
        <v/>
      </c>
      <c r="D558">
        <f>Data_thang!E558</f>
        <v/>
      </c>
      <c r="E558">
        <f>Data_thang!F558</f>
        <v/>
      </c>
      <c r="F558">
        <f>Data_thang!G558</f>
        <v/>
      </c>
      <c r="G558" s="29">
        <f>Data_thang!J558-Data_thang!K558</f>
        <v/>
      </c>
      <c r="H558" s="29">
        <f>Data_thang!N558</f>
        <v/>
      </c>
      <c r="I558" s="29">
        <f>H558-G558</f>
        <v/>
      </c>
      <c r="J558" s="30">
        <f>IF(H558=0,IF(I558=0,0,1),I558/ABS(H558))</f>
        <v/>
      </c>
      <c r="K558" s="29">
        <f>H558-(Data_thang!O558-Data_thang!K558)</f>
        <v/>
      </c>
      <c r="L558">
        <f>IF(AND(ABS(I558)&gt;Dashboard!$G$6,ABS(J558)&gt;Dashboard!$H$6),"⚠ Vượt","")</f>
        <v/>
      </c>
      <c r="M558">
        <f>IF(AND(A558=Dashboard!$D$6,OR(Dashboard!$C$6="*",F558=Dashboard!$C$6),L558&lt;&gt;""),ABS(I558)+ROW()/1000000000,0)</f>
        <v/>
      </c>
    </row>
    <row r="559">
      <c r="A559">
        <f>Data_thang!A559</f>
        <v/>
      </c>
      <c r="B559">
        <f>Data_thang!B559</f>
        <v/>
      </c>
      <c r="C559">
        <f>Data_thang!D559</f>
        <v/>
      </c>
      <c r="D559">
        <f>Data_thang!E559</f>
        <v/>
      </c>
      <c r="E559">
        <f>Data_thang!F559</f>
        <v/>
      </c>
      <c r="F559">
        <f>Data_thang!G559</f>
        <v/>
      </c>
      <c r="G559" s="29">
        <f>Data_thang!J559-Data_thang!K559</f>
        <v/>
      </c>
      <c r="H559" s="29">
        <f>Data_thang!N559</f>
        <v/>
      </c>
      <c r="I559" s="29">
        <f>H559-G559</f>
        <v/>
      </c>
      <c r="J559" s="30">
        <f>IF(H559=0,IF(I559=0,0,1),I559/ABS(H559))</f>
        <v/>
      </c>
      <c r="K559" s="29">
        <f>H559-(Data_thang!O559-Data_thang!K559)</f>
        <v/>
      </c>
      <c r="L559">
        <f>IF(AND(ABS(I559)&gt;Dashboard!$G$6,ABS(J559)&gt;Dashboard!$H$6),"⚠ Vượt","")</f>
        <v/>
      </c>
      <c r="M559">
        <f>IF(AND(A559=Dashboard!$D$6,OR(Dashboard!$C$6="*",F559=Dashboard!$C$6),L559&lt;&gt;""),ABS(I559)+ROW()/1000000000,0)</f>
        <v/>
      </c>
    </row>
    <row r="560">
      <c r="A560">
        <f>Data_thang!A560</f>
        <v/>
      </c>
      <c r="B560">
        <f>Data_thang!B560</f>
        <v/>
      </c>
      <c r="C560">
        <f>Data_thang!D560</f>
        <v/>
      </c>
      <c r="D560">
        <f>Data_thang!E560</f>
        <v/>
      </c>
      <c r="E560">
        <f>Data_thang!F560</f>
        <v/>
      </c>
      <c r="F560">
        <f>Data_thang!G560</f>
        <v/>
      </c>
      <c r="G560" s="29">
        <f>Data_thang!J560-Data_thang!K560</f>
        <v/>
      </c>
      <c r="H560" s="29">
        <f>Data_thang!N560</f>
        <v/>
      </c>
      <c r="I560" s="29">
        <f>H560-G560</f>
        <v/>
      </c>
      <c r="J560" s="30">
        <f>IF(H560=0,IF(I560=0,0,1),I560/ABS(H560))</f>
        <v/>
      </c>
      <c r="K560" s="29">
        <f>H560-(Data_thang!O560-Data_thang!K560)</f>
        <v/>
      </c>
      <c r="L560">
        <f>IF(AND(ABS(I560)&gt;Dashboard!$G$6,ABS(J560)&gt;Dashboard!$H$6),"⚠ Vượt","")</f>
        <v/>
      </c>
      <c r="M560">
        <f>IF(AND(A560=Dashboard!$D$6,OR(Dashboard!$C$6="*",F560=Dashboard!$C$6),L560&lt;&gt;""),ABS(I560)+ROW()/1000000000,0)</f>
        <v/>
      </c>
    </row>
    <row r="561">
      <c r="A561">
        <f>Data_thang!A561</f>
        <v/>
      </c>
      <c r="B561">
        <f>Data_thang!B561</f>
        <v/>
      </c>
      <c r="C561">
        <f>Data_thang!D561</f>
        <v/>
      </c>
      <c r="D561">
        <f>Data_thang!E561</f>
        <v/>
      </c>
      <c r="E561">
        <f>Data_thang!F561</f>
        <v/>
      </c>
      <c r="F561">
        <f>Data_thang!G561</f>
        <v/>
      </c>
      <c r="G561" s="29">
        <f>Data_thang!J561-Data_thang!K561</f>
        <v/>
      </c>
      <c r="H561" s="29">
        <f>Data_thang!N561</f>
        <v/>
      </c>
      <c r="I561" s="29">
        <f>H561-G561</f>
        <v/>
      </c>
      <c r="J561" s="30">
        <f>IF(H561=0,IF(I561=0,0,1),I561/ABS(H561))</f>
        <v/>
      </c>
      <c r="K561" s="29">
        <f>H561-(Data_thang!O561-Data_thang!K561)</f>
        <v/>
      </c>
      <c r="L561">
        <f>IF(AND(ABS(I561)&gt;Dashboard!$G$6,ABS(J561)&gt;Dashboard!$H$6),"⚠ Vượt","")</f>
        <v/>
      </c>
      <c r="M561">
        <f>IF(AND(A561=Dashboard!$D$6,OR(Dashboard!$C$6="*",F561=Dashboard!$C$6),L561&lt;&gt;""),ABS(I561)+ROW()/1000000000,0)</f>
        <v/>
      </c>
    </row>
    <row r="562">
      <c r="A562">
        <f>Data_thang!A562</f>
        <v/>
      </c>
      <c r="B562">
        <f>Data_thang!B562</f>
        <v/>
      </c>
      <c r="C562">
        <f>Data_thang!D562</f>
        <v/>
      </c>
      <c r="D562">
        <f>Data_thang!E562</f>
        <v/>
      </c>
      <c r="E562">
        <f>Data_thang!F562</f>
        <v/>
      </c>
      <c r="F562">
        <f>Data_thang!G562</f>
        <v/>
      </c>
      <c r="G562" s="29">
        <f>Data_thang!J562-Data_thang!K562</f>
        <v/>
      </c>
      <c r="H562" s="29">
        <f>Data_thang!N562</f>
        <v/>
      </c>
      <c r="I562" s="29">
        <f>H562-G562</f>
        <v/>
      </c>
      <c r="J562" s="30">
        <f>IF(H562=0,IF(I562=0,0,1),I562/ABS(H562))</f>
        <v/>
      </c>
      <c r="K562" s="29">
        <f>H562-(Data_thang!O562-Data_thang!K562)</f>
        <v/>
      </c>
      <c r="L562">
        <f>IF(AND(ABS(I562)&gt;Dashboard!$G$6,ABS(J562)&gt;Dashboard!$H$6),"⚠ Vượt","")</f>
        <v/>
      </c>
      <c r="M562">
        <f>IF(AND(A562=Dashboard!$D$6,OR(Dashboard!$C$6="*",F562=Dashboard!$C$6),L562&lt;&gt;""),ABS(I562)+ROW()/1000000000,0)</f>
        <v/>
      </c>
    </row>
    <row r="563">
      <c r="A563">
        <f>Data_thang!A563</f>
        <v/>
      </c>
      <c r="B563">
        <f>Data_thang!B563</f>
        <v/>
      </c>
      <c r="C563">
        <f>Data_thang!D563</f>
        <v/>
      </c>
      <c r="D563">
        <f>Data_thang!E563</f>
        <v/>
      </c>
      <c r="E563">
        <f>Data_thang!F563</f>
        <v/>
      </c>
      <c r="F563">
        <f>Data_thang!G563</f>
        <v/>
      </c>
      <c r="G563" s="29">
        <f>Data_thang!J563-Data_thang!K563</f>
        <v/>
      </c>
      <c r="H563" s="29">
        <f>Data_thang!N563</f>
        <v/>
      </c>
      <c r="I563" s="29">
        <f>H563-G563</f>
        <v/>
      </c>
      <c r="J563" s="30">
        <f>IF(H563=0,IF(I563=0,0,1),I563/ABS(H563))</f>
        <v/>
      </c>
      <c r="K563" s="29">
        <f>H563-(Data_thang!O563-Data_thang!K563)</f>
        <v/>
      </c>
      <c r="L563">
        <f>IF(AND(ABS(I563)&gt;Dashboard!$G$6,ABS(J563)&gt;Dashboard!$H$6),"⚠ Vượt","")</f>
        <v/>
      </c>
      <c r="M563">
        <f>IF(AND(A563=Dashboard!$D$6,OR(Dashboard!$C$6="*",F563=Dashboard!$C$6),L563&lt;&gt;""),ABS(I563)+ROW()/1000000000,0)</f>
        <v/>
      </c>
    </row>
    <row r="564">
      <c r="A564">
        <f>Data_thang!A564</f>
        <v/>
      </c>
      <c r="B564">
        <f>Data_thang!B564</f>
        <v/>
      </c>
      <c r="C564">
        <f>Data_thang!D564</f>
        <v/>
      </c>
      <c r="D564">
        <f>Data_thang!E564</f>
        <v/>
      </c>
      <c r="E564">
        <f>Data_thang!F564</f>
        <v/>
      </c>
      <c r="F564">
        <f>Data_thang!G564</f>
        <v/>
      </c>
      <c r="G564" s="29">
        <f>Data_thang!J564-Data_thang!K564</f>
        <v/>
      </c>
      <c r="H564" s="29">
        <f>Data_thang!N564</f>
        <v/>
      </c>
      <c r="I564" s="29">
        <f>H564-G564</f>
        <v/>
      </c>
      <c r="J564" s="30">
        <f>IF(H564=0,IF(I564=0,0,1),I564/ABS(H564))</f>
        <v/>
      </c>
      <c r="K564" s="29">
        <f>H564-(Data_thang!O564-Data_thang!K564)</f>
        <v/>
      </c>
      <c r="L564">
        <f>IF(AND(ABS(I564)&gt;Dashboard!$G$6,ABS(J564)&gt;Dashboard!$H$6),"⚠ Vượt","")</f>
        <v/>
      </c>
      <c r="M564">
        <f>IF(AND(A564=Dashboard!$D$6,OR(Dashboard!$C$6="*",F564=Dashboard!$C$6),L564&lt;&gt;""),ABS(I564)+ROW()/1000000000,0)</f>
        <v/>
      </c>
    </row>
    <row r="565">
      <c r="A565">
        <f>Data_thang!A565</f>
        <v/>
      </c>
      <c r="B565">
        <f>Data_thang!B565</f>
        <v/>
      </c>
      <c r="C565">
        <f>Data_thang!D565</f>
        <v/>
      </c>
      <c r="D565">
        <f>Data_thang!E565</f>
        <v/>
      </c>
      <c r="E565">
        <f>Data_thang!F565</f>
        <v/>
      </c>
      <c r="F565">
        <f>Data_thang!G565</f>
        <v/>
      </c>
      <c r="G565" s="29">
        <f>Data_thang!J565-Data_thang!K565</f>
        <v/>
      </c>
      <c r="H565" s="29">
        <f>Data_thang!N565</f>
        <v/>
      </c>
      <c r="I565" s="29">
        <f>H565-G565</f>
        <v/>
      </c>
      <c r="J565" s="30">
        <f>IF(H565=0,IF(I565=0,0,1),I565/ABS(H565))</f>
        <v/>
      </c>
      <c r="K565" s="29">
        <f>H565-(Data_thang!O565-Data_thang!K565)</f>
        <v/>
      </c>
      <c r="L565">
        <f>IF(AND(ABS(I565)&gt;Dashboard!$G$6,ABS(J565)&gt;Dashboard!$H$6),"⚠ Vượt","")</f>
        <v/>
      </c>
      <c r="M565">
        <f>IF(AND(A565=Dashboard!$D$6,OR(Dashboard!$C$6="*",F565=Dashboard!$C$6),L565&lt;&gt;""),ABS(I565)+ROW()/1000000000,0)</f>
        <v/>
      </c>
    </row>
    <row r="566">
      <c r="A566">
        <f>Data_thang!A566</f>
        <v/>
      </c>
      <c r="B566">
        <f>Data_thang!B566</f>
        <v/>
      </c>
      <c r="C566">
        <f>Data_thang!D566</f>
        <v/>
      </c>
      <c r="D566">
        <f>Data_thang!E566</f>
        <v/>
      </c>
      <c r="E566">
        <f>Data_thang!F566</f>
        <v/>
      </c>
      <c r="F566">
        <f>Data_thang!G566</f>
        <v/>
      </c>
      <c r="G566" s="29">
        <f>Data_thang!J566-Data_thang!K566</f>
        <v/>
      </c>
      <c r="H566" s="29">
        <f>Data_thang!N566</f>
        <v/>
      </c>
      <c r="I566" s="29">
        <f>H566-G566</f>
        <v/>
      </c>
      <c r="J566" s="30">
        <f>IF(H566=0,IF(I566=0,0,1),I566/ABS(H566))</f>
        <v/>
      </c>
      <c r="K566" s="29">
        <f>H566-(Data_thang!O566-Data_thang!K566)</f>
        <v/>
      </c>
      <c r="L566">
        <f>IF(AND(ABS(I566)&gt;Dashboard!$G$6,ABS(J566)&gt;Dashboard!$H$6),"⚠ Vượt","")</f>
        <v/>
      </c>
      <c r="M566">
        <f>IF(AND(A566=Dashboard!$D$6,OR(Dashboard!$C$6="*",F566=Dashboard!$C$6),L566&lt;&gt;""),ABS(I566)+ROW()/1000000000,0)</f>
        <v/>
      </c>
    </row>
    <row r="567">
      <c r="A567">
        <f>Data_thang!A567</f>
        <v/>
      </c>
      <c r="B567">
        <f>Data_thang!B567</f>
        <v/>
      </c>
      <c r="C567">
        <f>Data_thang!D567</f>
        <v/>
      </c>
      <c r="D567">
        <f>Data_thang!E567</f>
        <v/>
      </c>
      <c r="E567">
        <f>Data_thang!F567</f>
        <v/>
      </c>
      <c r="F567">
        <f>Data_thang!G567</f>
        <v/>
      </c>
      <c r="G567" s="29">
        <f>Data_thang!J567-Data_thang!K567</f>
        <v/>
      </c>
      <c r="H567" s="29">
        <f>Data_thang!N567</f>
        <v/>
      </c>
      <c r="I567" s="29">
        <f>H567-G567</f>
        <v/>
      </c>
      <c r="J567" s="30">
        <f>IF(H567=0,IF(I567=0,0,1),I567/ABS(H567))</f>
        <v/>
      </c>
      <c r="K567" s="29">
        <f>H567-(Data_thang!O567-Data_thang!K567)</f>
        <v/>
      </c>
      <c r="L567">
        <f>IF(AND(ABS(I567)&gt;Dashboard!$G$6,ABS(J567)&gt;Dashboard!$H$6),"⚠ Vượt","")</f>
        <v/>
      </c>
      <c r="M567">
        <f>IF(AND(A567=Dashboard!$D$6,OR(Dashboard!$C$6="*",F567=Dashboard!$C$6),L567&lt;&gt;""),ABS(I567)+ROW()/1000000000,0)</f>
        <v/>
      </c>
    </row>
    <row r="568">
      <c r="A568">
        <f>Data_thang!A568</f>
        <v/>
      </c>
      <c r="B568">
        <f>Data_thang!B568</f>
        <v/>
      </c>
      <c r="C568">
        <f>Data_thang!D568</f>
        <v/>
      </c>
      <c r="D568">
        <f>Data_thang!E568</f>
        <v/>
      </c>
      <c r="E568">
        <f>Data_thang!F568</f>
        <v/>
      </c>
      <c r="F568">
        <f>Data_thang!G568</f>
        <v/>
      </c>
      <c r="G568" s="29">
        <f>Data_thang!J568-Data_thang!K568</f>
        <v/>
      </c>
      <c r="H568" s="29">
        <f>Data_thang!N568</f>
        <v/>
      </c>
      <c r="I568" s="29">
        <f>H568-G568</f>
        <v/>
      </c>
      <c r="J568" s="30">
        <f>IF(H568=0,IF(I568=0,0,1),I568/ABS(H568))</f>
        <v/>
      </c>
      <c r="K568" s="29">
        <f>H568-(Data_thang!O568-Data_thang!K568)</f>
        <v/>
      </c>
      <c r="L568">
        <f>IF(AND(ABS(I568)&gt;Dashboard!$G$6,ABS(J568)&gt;Dashboard!$H$6),"⚠ Vượt","")</f>
        <v/>
      </c>
      <c r="M568">
        <f>IF(AND(A568=Dashboard!$D$6,OR(Dashboard!$C$6="*",F568=Dashboard!$C$6),L568&lt;&gt;""),ABS(I568)+ROW()/1000000000,0)</f>
        <v/>
      </c>
    </row>
    <row r="569">
      <c r="A569">
        <f>Data_thang!A569</f>
        <v/>
      </c>
      <c r="B569">
        <f>Data_thang!B569</f>
        <v/>
      </c>
      <c r="C569">
        <f>Data_thang!D569</f>
        <v/>
      </c>
      <c r="D569">
        <f>Data_thang!E569</f>
        <v/>
      </c>
      <c r="E569">
        <f>Data_thang!F569</f>
        <v/>
      </c>
      <c r="F569">
        <f>Data_thang!G569</f>
        <v/>
      </c>
      <c r="G569" s="29">
        <f>Data_thang!J569-Data_thang!K569</f>
        <v/>
      </c>
      <c r="H569" s="29">
        <f>Data_thang!N569</f>
        <v/>
      </c>
      <c r="I569" s="29">
        <f>H569-G569</f>
        <v/>
      </c>
      <c r="J569" s="30">
        <f>IF(H569=0,IF(I569=0,0,1),I569/ABS(H569))</f>
        <v/>
      </c>
      <c r="K569" s="29">
        <f>H569-(Data_thang!O569-Data_thang!K569)</f>
        <v/>
      </c>
      <c r="L569">
        <f>IF(AND(ABS(I569)&gt;Dashboard!$G$6,ABS(J569)&gt;Dashboard!$H$6),"⚠ Vượt","")</f>
        <v/>
      </c>
      <c r="M569">
        <f>IF(AND(A569=Dashboard!$D$6,OR(Dashboard!$C$6="*",F569=Dashboard!$C$6),L569&lt;&gt;""),ABS(I569)+ROW()/1000000000,0)</f>
        <v/>
      </c>
    </row>
    <row r="570">
      <c r="A570">
        <f>Data_thang!A570</f>
        <v/>
      </c>
      <c r="B570">
        <f>Data_thang!B570</f>
        <v/>
      </c>
      <c r="C570">
        <f>Data_thang!D570</f>
        <v/>
      </c>
      <c r="D570">
        <f>Data_thang!E570</f>
        <v/>
      </c>
      <c r="E570">
        <f>Data_thang!F570</f>
        <v/>
      </c>
      <c r="F570">
        <f>Data_thang!G570</f>
        <v/>
      </c>
      <c r="G570" s="29">
        <f>Data_thang!J570-Data_thang!K570</f>
        <v/>
      </c>
      <c r="H570" s="29">
        <f>Data_thang!N570</f>
        <v/>
      </c>
      <c r="I570" s="29">
        <f>H570-G570</f>
        <v/>
      </c>
      <c r="J570" s="30">
        <f>IF(H570=0,IF(I570=0,0,1),I570/ABS(H570))</f>
        <v/>
      </c>
      <c r="K570" s="29">
        <f>H570-(Data_thang!O570-Data_thang!K570)</f>
        <v/>
      </c>
      <c r="L570">
        <f>IF(AND(ABS(I570)&gt;Dashboard!$G$6,ABS(J570)&gt;Dashboard!$H$6),"⚠ Vượt","")</f>
        <v/>
      </c>
      <c r="M570">
        <f>IF(AND(A570=Dashboard!$D$6,OR(Dashboard!$C$6="*",F570=Dashboard!$C$6),L570&lt;&gt;""),ABS(I570)+ROW()/1000000000,0)</f>
        <v/>
      </c>
    </row>
    <row r="571">
      <c r="A571">
        <f>Data_thang!A571</f>
        <v/>
      </c>
      <c r="B571">
        <f>Data_thang!B571</f>
        <v/>
      </c>
      <c r="C571">
        <f>Data_thang!D571</f>
        <v/>
      </c>
      <c r="D571">
        <f>Data_thang!E571</f>
        <v/>
      </c>
      <c r="E571">
        <f>Data_thang!F571</f>
        <v/>
      </c>
      <c r="F571">
        <f>Data_thang!G571</f>
        <v/>
      </c>
      <c r="G571" s="29">
        <f>Data_thang!J571-Data_thang!K571</f>
        <v/>
      </c>
      <c r="H571" s="29">
        <f>Data_thang!N571</f>
        <v/>
      </c>
      <c r="I571" s="29">
        <f>H571-G571</f>
        <v/>
      </c>
      <c r="J571" s="30">
        <f>IF(H571=0,IF(I571=0,0,1),I571/ABS(H571))</f>
        <v/>
      </c>
      <c r="K571" s="29">
        <f>H571-(Data_thang!O571-Data_thang!K571)</f>
        <v/>
      </c>
      <c r="L571">
        <f>IF(AND(ABS(I571)&gt;Dashboard!$G$6,ABS(J571)&gt;Dashboard!$H$6),"⚠ Vượt","")</f>
        <v/>
      </c>
      <c r="M571">
        <f>IF(AND(A571=Dashboard!$D$6,OR(Dashboard!$C$6="*",F571=Dashboard!$C$6),L571&lt;&gt;""),ABS(I571)+ROW()/1000000000,0)</f>
        <v/>
      </c>
    </row>
    <row r="572">
      <c r="A572">
        <f>Data_thang!A572</f>
        <v/>
      </c>
      <c r="B572">
        <f>Data_thang!B572</f>
        <v/>
      </c>
      <c r="C572">
        <f>Data_thang!D572</f>
        <v/>
      </c>
      <c r="D572">
        <f>Data_thang!E572</f>
        <v/>
      </c>
      <c r="E572">
        <f>Data_thang!F572</f>
        <v/>
      </c>
      <c r="F572">
        <f>Data_thang!G572</f>
        <v/>
      </c>
      <c r="G572" s="29">
        <f>Data_thang!J572-Data_thang!K572</f>
        <v/>
      </c>
      <c r="H572" s="29">
        <f>Data_thang!N572</f>
        <v/>
      </c>
      <c r="I572" s="29">
        <f>H572-G572</f>
        <v/>
      </c>
      <c r="J572" s="30">
        <f>IF(H572=0,IF(I572=0,0,1),I572/ABS(H572))</f>
        <v/>
      </c>
      <c r="K572" s="29">
        <f>H572-(Data_thang!O572-Data_thang!K572)</f>
        <v/>
      </c>
      <c r="L572">
        <f>IF(AND(ABS(I572)&gt;Dashboard!$G$6,ABS(J572)&gt;Dashboard!$H$6),"⚠ Vượt","")</f>
        <v/>
      </c>
      <c r="M572">
        <f>IF(AND(A572=Dashboard!$D$6,OR(Dashboard!$C$6="*",F572=Dashboard!$C$6),L572&lt;&gt;""),ABS(I572)+ROW()/1000000000,0)</f>
        <v/>
      </c>
    </row>
    <row r="573">
      <c r="A573">
        <f>Data_thang!A573</f>
        <v/>
      </c>
      <c r="B573">
        <f>Data_thang!B573</f>
        <v/>
      </c>
      <c r="C573">
        <f>Data_thang!D573</f>
        <v/>
      </c>
      <c r="D573">
        <f>Data_thang!E573</f>
        <v/>
      </c>
      <c r="E573">
        <f>Data_thang!F573</f>
        <v/>
      </c>
      <c r="F573">
        <f>Data_thang!G573</f>
        <v/>
      </c>
      <c r="G573" s="29">
        <f>Data_thang!J573-Data_thang!K573</f>
        <v/>
      </c>
      <c r="H573" s="29">
        <f>Data_thang!N573</f>
        <v/>
      </c>
      <c r="I573" s="29">
        <f>H573-G573</f>
        <v/>
      </c>
      <c r="J573" s="30">
        <f>IF(H573=0,IF(I573=0,0,1),I573/ABS(H573))</f>
        <v/>
      </c>
      <c r="K573" s="29">
        <f>H573-(Data_thang!O573-Data_thang!K573)</f>
        <v/>
      </c>
      <c r="L573">
        <f>IF(AND(ABS(I573)&gt;Dashboard!$G$6,ABS(J573)&gt;Dashboard!$H$6),"⚠ Vượt","")</f>
        <v/>
      </c>
      <c r="M573">
        <f>IF(AND(A573=Dashboard!$D$6,OR(Dashboard!$C$6="*",F573=Dashboard!$C$6),L573&lt;&gt;""),ABS(I573)+ROW()/1000000000,0)</f>
        <v/>
      </c>
    </row>
    <row r="574">
      <c r="A574">
        <f>Data_thang!A574</f>
        <v/>
      </c>
      <c r="B574">
        <f>Data_thang!B574</f>
        <v/>
      </c>
      <c r="C574">
        <f>Data_thang!D574</f>
        <v/>
      </c>
      <c r="D574">
        <f>Data_thang!E574</f>
        <v/>
      </c>
      <c r="E574">
        <f>Data_thang!F574</f>
        <v/>
      </c>
      <c r="F574">
        <f>Data_thang!G574</f>
        <v/>
      </c>
      <c r="G574" s="29">
        <f>Data_thang!J574-Data_thang!K574</f>
        <v/>
      </c>
      <c r="H574" s="29">
        <f>Data_thang!N574</f>
        <v/>
      </c>
      <c r="I574" s="29">
        <f>H574-G574</f>
        <v/>
      </c>
      <c r="J574" s="30">
        <f>IF(H574=0,IF(I574=0,0,1),I574/ABS(H574))</f>
        <v/>
      </c>
      <c r="K574" s="29">
        <f>H574-(Data_thang!O574-Data_thang!K574)</f>
        <v/>
      </c>
      <c r="L574">
        <f>IF(AND(ABS(I574)&gt;Dashboard!$G$6,ABS(J574)&gt;Dashboard!$H$6),"⚠ Vượt","")</f>
        <v/>
      </c>
      <c r="M574">
        <f>IF(AND(A574=Dashboard!$D$6,OR(Dashboard!$C$6="*",F574=Dashboard!$C$6),L574&lt;&gt;""),ABS(I574)+ROW()/1000000000,0)</f>
        <v/>
      </c>
    </row>
    <row r="575">
      <c r="A575">
        <f>Data_thang!A575</f>
        <v/>
      </c>
      <c r="B575">
        <f>Data_thang!B575</f>
        <v/>
      </c>
      <c r="C575">
        <f>Data_thang!D575</f>
        <v/>
      </c>
      <c r="D575">
        <f>Data_thang!E575</f>
        <v/>
      </c>
      <c r="E575">
        <f>Data_thang!F575</f>
        <v/>
      </c>
      <c r="F575">
        <f>Data_thang!G575</f>
        <v/>
      </c>
      <c r="G575" s="29">
        <f>Data_thang!J575-Data_thang!K575</f>
        <v/>
      </c>
      <c r="H575" s="29">
        <f>Data_thang!N575</f>
        <v/>
      </c>
      <c r="I575" s="29">
        <f>H575-G575</f>
        <v/>
      </c>
      <c r="J575" s="30">
        <f>IF(H575=0,IF(I575=0,0,1),I575/ABS(H575))</f>
        <v/>
      </c>
      <c r="K575" s="29">
        <f>H575-(Data_thang!O575-Data_thang!K575)</f>
        <v/>
      </c>
      <c r="L575">
        <f>IF(AND(ABS(I575)&gt;Dashboard!$G$6,ABS(J575)&gt;Dashboard!$H$6),"⚠ Vượt","")</f>
        <v/>
      </c>
      <c r="M575">
        <f>IF(AND(A575=Dashboard!$D$6,OR(Dashboard!$C$6="*",F575=Dashboard!$C$6),L575&lt;&gt;""),ABS(I575)+ROW()/1000000000,0)</f>
        <v/>
      </c>
    </row>
    <row r="576">
      <c r="A576">
        <f>Data_thang!A576</f>
        <v/>
      </c>
      <c r="B576">
        <f>Data_thang!B576</f>
        <v/>
      </c>
      <c r="C576">
        <f>Data_thang!D576</f>
        <v/>
      </c>
      <c r="D576">
        <f>Data_thang!E576</f>
        <v/>
      </c>
      <c r="E576">
        <f>Data_thang!F576</f>
        <v/>
      </c>
      <c r="F576">
        <f>Data_thang!G576</f>
        <v/>
      </c>
      <c r="G576" s="29">
        <f>Data_thang!J576-Data_thang!K576</f>
        <v/>
      </c>
      <c r="H576" s="29">
        <f>Data_thang!N576</f>
        <v/>
      </c>
      <c r="I576" s="29">
        <f>H576-G576</f>
        <v/>
      </c>
      <c r="J576" s="30">
        <f>IF(H576=0,IF(I576=0,0,1),I576/ABS(H576))</f>
        <v/>
      </c>
      <c r="K576" s="29">
        <f>H576-(Data_thang!O576-Data_thang!K576)</f>
        <v/>
      </c>
      <c r="L576">
        <f>IF(AND(ABS(I576)&gt;Dashboard!$G$6,ABS(J576)&gt;Dashboard!$H$6),"⚠ Vượt","")</f>
        <v/>
      </c>
      <c r="M576">
        <f>IF(AND(A576=Dashboard!$D$6,OR(Dashboard!$C$6="*",F576=Dashboard!$C$6),L576&lt;&gt;""),ABS(I576)+ROW()/1000000000,0)</f>
        <v/>
      </c>
    </row>
    <row r="577">
      <c r="A577">
        <f>Data_thang!A577</f>
        <v/>
      </c>
      <c r="B577">
        <f>Data_thang!B577</f>
        <v/>
      </c>
      <c r="C577">
        <f>Data_thang!D577</f>
        <v/>
      </c>
      <c r="D577">
        <f>Data_thang!E577</f>
        <v/>
      </c>
      <c r="E577">
        <f>Data_thang!F577</f>
        <v/>
      </c>
      <c r="F577">
        <f>Data_thang!G577</f>
        <v/>
      </c>
      <c r="G577" s="29">
        <f>Data_thang!J577-Data_thang!K577</f>
        <v/>
      </c>
      <c r="H577" s="29">
        <f>Data_thang!N577</f>
        <v/>
      </c>
      <c r="I577" s="29">
        <f>H577-G577</f>
        <v/>
      </c>
      <c r="J577" s="30">
        <f>IF(H577=0,IF(I577=0,0,1),I577/ABS(H577))</f>
        <v/>
      </c>
      <c r="K577" s="29">
        <f>H577-(Data_thang!O577-Data_thang!K577)</f>
        <v/>
      </c>
      <c r="L577">
        <f>IF(AND(ABS(I577)&gt;Dashboard!$G$6,ABS(J577)&gt;Dashboard!$H$6),"⚠ Vượt","")</f>
        <v/>
      </c>
      <c r="M577">
        <f>IF(AND(A577=Dashboard!$D$6,OR(Dashboard!$C$6="*",F577=Dashboard!$C$6),L577&lt;&gt;""),ABS(I577)+ROW()/1000000000,0)</f>
        <v/>
      </c>
    </row>
    <row r="578">
      <c r="A578">
        <f>Data_thang!A578</f>
        <v/>
      </c>
      <c r="B578">
        <f>Data_thang!B578</f>
        <v/>
      </c>
      <c r="C578">
        <f>Data_thang!D578</f>
        <v/>
      </c>
      <c r="D578">
        <f>Data_thang!E578</f>
        <v/>
      </c>
      <c r="E578">
        <f>Data_thang!F578</f>
        <v/>
      </c>
      <c r="F578">
        <f>Data_thang!G578</f>
        <v/>
      </c>
      <c r="G578" s="29">
        <f>Data_thang!J578-Data_thang!K578</f>
        <v/>
      </c>
      <c r="H578" s="29">
        <f>Data_thang!N578</f>
        <v/>
      </c>
      <c r="I578" s="29">
        <f>H578-G578</f>
        <v/>
      </c>
      <c r="J578" s="30">
        <f>IF(H578=0,IF(I578=0,0,1),I578/ABS(H578))</f>
        <v/>
      </c>
      <c r="K578" s="29">
        <f>H578-(Data_thang!O578-Data_thang!K578)</f>
        <v/>
      </c>
      <c r="L578">
        <f>IF(AND(ABS(I578)&gt;Dashboard!$G$6,ABS(J578)&gt;Dashboard!$H$6),"⚠ Vượt","")</f>
        <v/>
      </c>
      <c r="M578">
        <f>IF(AND(A578=Dashboard!$D$6,OR(Dashboard!$C$6="*",F578=Dashboard!$C$6),L578&lt;&gt;""),ABS(I578)+ROW()/1000000000,0)</f>
        <v/>
      </c>
    </row>
    <row r="579">
      <c r="A579">
        <f>Data_thang!A579</f>
        <v/>
      </c>
      <c r="B579">
        <f>Data_thang!B579</f>
        <v/>
      </c>
      <c r="C579">
        <f>Data_thang!D579</f>
        <v/>
      </c>
      <c r="D579">
        <f>Data_thang!E579</f>
        <v/>
      </c>
      <c r="E579">
        <f>Data_thang!F579</f>
        <v/>
      </c>
      <c r="F579">
        <f>Data_thang!G579</f>
        <v/>
      </c>
      <c r="G579" s="29">
        <f>Data_thang!J579-Data_thang!K579</f>
        <v/>
      </c>
      <c r="H579" s="29">
        <f>Data_thang!N579</f>
        <v/>
      </c>
      <c r="I579" s="29">
        <f>H579-G579</f>
        <v/>
      </c>
      <c r="J579" s="30">
        <f>IF(H579=0,IF(I579=0,0,1),I579/ABS(H579))</f>
        <v/>
      </c>
      <c r="K579" s="29">
        <f>H579-(Data_thang!O579-Data_thang!K579)</f>
        <v/>
      </c>
      <c r="L579">
        <f>IF(AND(ABS(I579)&gt;Dashboard!$G$6,ABS(J579)&gt;Dashboard!$H$6),"⚠ Vượt","")</f>
        <v/>
      </c>
      <c r="M579">
        <f>IF(AND(A579=Dashboard!$D$6,OR(Dashboard!$C$6="*",F579=Dashboard!$C$6),L579&lt;&gt;""),ABS(I579)+ROW()/1000000000,0)</f>
        <v/>
      </c>
    </row>
    <row r="580">
      <c r="A580">
        <f>Data_thang!A580</f>
        <v/>
      </c>
      <c r="B580">
        <f>Data_thang!B580</f>
        <v/>
      </c>
      <c r="C580">
        <f>Data_thang!D580</f>
        <v/>
      </c>
      <c r="D580">
        <f>Data_thang!E580</f>
        <v/>
      </c>
      <c r="E580">
        <f>Data_thang!F580</f>
        <v/>
      </c>
      <c r="F580">
        <f>Data_thang!G580</f>
        <v/>
      </c>
      <c r="G580" s="29">
        <f>Data_thang!J580-Data_thang!K580</f>
        <v/>
      </c>
      <c r="H580" s="29">
        <f>Data_thang!N580</f>
        <v/>
      </c>
      <c r="I580" s="29">
        <f>H580-G580</f>
        <v/>
      </c>
      <c r="J580" s="30">
        <f>IF(H580=0,IF(I580=0,0,1),I580/ABS(H580))</f>
        <v/>
      </c>
      <c r="K580" s="29">
        <f>H580-(Data_thang!O580-Data_thang!K580)</f>
        <v/>
      </c>
      <c r="L580">
        <f>IF(AND(ABS(I580)&gt;Dashboard!$G$6,ABS(J580)&gt;Dashboard!$H$6),"⚠ Vượt","")</f>
        <v/>
      </c>
      <c r="M580">
        <f>IF(AND(A580=Dashboard!$D$6,OR(Dashboard!$C$6="*",F580=Dashboard!$C$6),L580&lt;&gt;""),ABS(I580)+ROW()/1000000000,0)</f>
        <v/>
      </c>
    </row>
    <row r="581">
      <c r="A581">
        <f>Data_thang!A581</f>
        <v/>
      </c>
      <c r="B581">
        <f>Data_thang!B581</f>
        <v/>
      </c>
      <c r="C581">
        <f>Data_thang!D581</f>
        <v/>
      </c>
      <c r="D581">
        <f>Data_thang!E581</f>
        <v/>
      </c>
      <c r="E581">
        <f>Data_thang!F581</f>
        <v/>
      </c>
      <c r="F581">
        <f>Data_thang!G581</f>
        <v/>
      </c>
      <c r="G581" s="29">
        <f>Data_thang!J581-Data_thang!K581</f>
        <v/>
      </c>
      <c r="H581" s="29">
        <f>Data_thang!N581</f>
        <v/>
      </c>
      <c r="I581" s="29">
        <f>H581-G581</f>
        <v/>
      </c>
      <c r="J581" s="30">
        <f>IF(H581=0,IF(I581=0,0,1),I581/ABS(H581))</f>
        <v/>
      </c>
      <c r="K581" s="29">
        <f>H581-(Data_thang!O581-Data_thang!K581)</f>
        <v/>
      </c>
      <c r="L581">
        <f>IF(AND(ABS(I581)&gt;Dashboard!$G$6,ABS(J581)&gt;Dashboard!$H$6),"⚠ Vượt","")</f>
        <v/>
      </c>
      <c r="M581">
        <f>IF(AND(A581=Dashboard!$D$6,OR(Dashboard!$C$6="*",F581=Dashboard!$C$6),L581&lt;&gt;""),ABS(I581)+ROW()/1000000000,0)</f>
        <v/>
      </c>
    </row>
    <row r="582">
      <c r="A582">
        <f>Data_thang!A582</f>
        <v/>
      </c>
      <c r="B582">
        <f>Data_thang!B582</f>
        <v/>
      </c>
      <c r="C582">
        <f>Data_thang!D582</f>
        <v/>
      </c>
      <c r="D582">
        <f>Data_thang!E582</f>
        <v/>
      </c>
      <c r="E582">
        <f>Data_thang!F582</f>
        <v/>
      </c>
      <c r="F582">
        <f>Data_thang!G582</f>
        <v/>
      </c>
      <c r="G582" s="29">
        <f>Data_thang!J582-Data_thang!K582</f>
        <v/>
      </c>
      <c r="H582" s="29">
        <f>Data_thang!N582</f>
        <v/>
      </c>
      <c r="I582" s="29">
        <f>H582-G582</f>
        <v/>
      </c>
      <c r="J582" s="30">
        <f>IF(H582=0,IF(I582=0,0,1),I582/ABS(H582))</f>
        <v/>
      </c>
      <c r="K582" s="29">
        <f>H582-(Data_thang!O582-Data_thang!K582)</f>
        <v/>
      </c>
      <c r="L582">
        <f>IF(AND(ABS(I582)&gt;Dashboard!$G$6,ABS(J582)&gt;Dashboard!$H$6),"⚠ Vượt","")</f>
        <v/>
      </c>
      <c r="M582">
        <f>IF(AND(A582=Dashboard!$D$6,OR(Dashboard!$C$6="*",F582=Dashboard!$C$6),L582&lt;&gt;""),ABS(I582)+ROW()/1000000000,0)</f>
        <v/>
      </c>
    </row>
    <row r="583">
      <c r="A583">
        <f>Data_thang!A583</f>
        <v/>
      </c>
      <c r="B583">
        <f>Data_thang!B583</f>
        <v/>
      </c>
      <c r="C583">
        <f>Data_thang!D583</f>
        <v/>
      </c>
      <c r="D583">
        <f>Data_thang!E583</f>
        <v/>
      </c>
      <c r="E583">
        <f>Data_thang!F583</f>
        <v/>
      </c>
      <c r="F583">
        <f>Data_thang!G583</f>
        <v/>
      </c>
      <c r="G583" s="29">
        <f>Data_thang!J583-Data_thang!K583</f>
        <v/>
      </c>
      <c r="H583" s="29">
        <f>Data_thang!N583</f>
        <v/>
      </c>
      <c r="I583" s="29">
        <f>H583-G583</f>
        <v/>
      </c>
      <c r="J583" s="30">
        <f>IF(H583=0,IF(I583=0,0,1),I583/ABS(H583))</f>
        <v/>
      </c>
      <c r="K583" s="29">
        <f>H583-(Data_thang!O583-Data_thang!K583)</f>
        <v/>
      </c>
      <c r="L583">
        <f>IF(AND(ABS(I583)&gt;Dashboard!$G$6,ABS(J583)&gt;Dashboard!$H$6),"⚠ Vượt","")</f>
        <v/>
      </c>
      <c r="M583">
        <f>IF(AND(A583=Dashboard!$D$6,OR(Dashboard!$C$6="*",F583=Dashboard!$C$6),L583&lt;&gt;""),ABS(I583)+ROW()/1000000000,0)</f>
        <v/>
      </c>
    </row>
    <row r="584">
      <c r="A584">
        <f>Data_thang!A584</f>
        <v/>
      </c>
      <c r="B584">
        <f>Data_thang!B584</f>
        <v/>
      </c>
      <c r="C584">
        <f>Data_thang!D584</f>
        <v/>
      </c>
      <c r="D584">
        <f>Data_thang!E584</f>
        <v/>
      </c>
      <c r="E584">
        <f>Data_thang!F584</f>
        <v/>
      </c>
      <c r="F584">
        <f>Data_thang!G584</f>
        <v/>
      </c>
      <c r="G584" s="29">
        <f>Data_thang!J584-Data_thang!K584</f>
        <v/>
      </c>
      <c r="H584" s="29">
        <f>Data_thang!N584</f>
        <v/>
      </c>
      <c r="I584" s="29">
        <f>H584-G584</f>
        <v/>
      </c>
      <c r="J584" s="30">
        <f>IF(H584=0,IF(I584=0,0,1),I584/ABS(H584))</f>
        <v/>
      </c>
      <c r="K584" s="29">
        <f>H584-(Data_thang!O584-Data_thang!K584)</f>
        <v/>
      </c>
      <c r="L584">
        <f>IF(AND(ABS(I584)&gt;Dashboard!$G$6,ABS(J584)&gt;Dashboard!$H$6),"⚠ Vượt","")</f>
        <v/>
      </c>
      <c r="M584">
        <f>IF(AND(A584=Dashboard!$D$6,OR(Dashboard!$C$6="*",F584=Dashboard!$C$6),L584&lt;&gt;""),ABS(I584)+ROW()/1000000000,0)</f>
        <v/>
      </c>
    </row>
    <row r="585">
      <c r="A585">
        <f>Data_thang!A585</f>
        <v/>
      </c>
      <c r="B585">
        <f>Data_thang!B585</f>
        <v/>
      </c>
      <c r="C585">
        <f>Data_thang!D585</f>
        <v/>
      </c>
      <c r="D585">
        <f>Data_thang!E585</f>
        <v/>
      </c>
      <c r="E585">
        <f>Data_thang!F585</f>
        <v/>
      </c>
      <c r="F585">
        <f>Data_thang!G585</f>
        <v/>
      </c>
      <c r="G585" s="29">
        <f>Data_thang!J585-Data_thang!K585</f>
        <v/>
      </c>
      <c r="H585" s="29">
        <f>Data_thang!N585</f>
        <v/>
      </c>
      <c r="I585" s="29">
        <f>H585-G585</f>
        <v/>
      </c>
      <c r="J585" s="30">
        <f>IF(H585=0,IF(I585=0,0,1),I585/ABS(H585))</f>
        <v/>
      </c>
      <c r="K585" s="29">
        <f>H585-(Data_thang!O585-Data_thang!K585)</f>
        <v/>
      </c>
      <c r="L585">
        <f>IF(AND(ABS(I585)&gt;Dashboard!$G$6,ABS(J585)&gt;Dashboard!$H$6),"⚠ Vượt","")</f>
        <v/>
      </c>
      <c r="M585">
        <f>IF(AND(A585=Dashboard!$D$6,OR(Dashboard!$C$6="*",F585=Dashboard!$C$6),L585&lt;&gt;""),ABS(I585)+ROW()/1000000000,0)</f>
        <v/>
      </c>
    </row>
    <row r="586">
      <c r="A586">
        <f>Data_thang!A586</f>
        <v/>
      </c>
      <c r="B586">
        <f>Data_thang!B586</f>
        <v/>
      </c>
      <c r="C586">
        <f>Data_thang!D586</f>
        <v/>
      </c>
      <c r="D586">
        <f>Data_thang!E586</f>
        <v/>
      </c>
      <c r="E586">
        <f>Data_thang!F586</f>
        <v/>
      </c>
      <c r="F586">
        <f>Data_thang!G586</f>
        <v/>
      </c>
      <c r="G586" s="29">
        <f>Data_thang!J586-Data_thang!K586</f>
        <v/>
      </c>
      <c r="H586" s="29">
        <f>Data_thang!N586</f>
        <v/>
      </c>
      <c r="I586" s="29">
        <f>H586-G586</f>
        <v/>
      </c>
      <c r="J586" s="30">
        <f>IF(H586=0,IF(I586=0,0,1),I586/ABS(H586))</f>
        <v/>
      </c>
      <c r="K586" s="29">
        <f>H586-(Data_thang!O586-Data_thang!K586)</f>
        <v/>
      </c>
      <c r="L586">
        <f>IF(AND(ABS(I586)&gt;Dashboard!$G$6,ABS(J586)&gt;Dashboard!$H$6),"⚠ Vượt","")</f>
        <v/>
      </c>
      <c r="M586">
        <f>IF(AND(A586=Dashboard!$D$6,OR(Dashboard!$C$6="*",F586=Dashboard!$C$6),L586&lt;&gt;""),ABS(I586)+ROW()/1000000000,0)</f>
        <v/>
      </c>
    </row>
    <row r="587">
      <c r="A587">
        <f>Data_thang!A587</f>
        <v/>
      </c>
      <c r="B587">
        <f>Data_thang!B587</f>
        <v/>
      </c>
      <c r="C587">
        <f>Data_thang!D587</f>
        <v/>
      </c>
      <c r="D587">
        <f>Data_thang!E587</f>
        <v/>
      </c>
      <c r="E587">
        <f>Data_thang!F587</f>
        <v/>
      </c>
      <c r="F587">
        <f>Data_thang!G587</f>
        <v/>
      </c>
      <c r="G587" s="29">
        <f>Data_thang!J587-Data_thang!K587</f>
        <v/>
      </c>
      <c r="H587" s="29">
        <f>Data_thang!N587</f>
        <v/>
      </c>
      <c r="I587" s="29">
        <f>H587-G587</f>
        <v/>
      </c>
      <c r="J587" s="30">
        <f>IF(H587=0,IF(I587=0,0,1),I587/ABS(H587))</f>
        <v/>
      </c>
      <c r="K587" s="29">
        <f>H587-(Data_thang!O587-Data_thang!K587)</f>
        <v/>
      </c>
      <c r="L587">
        <f>IF(AND(ABS(I587)&gt;Dashboard!$G$6,ABS(J587)&gt;Dashboard!$H$6),"⚠ Vượt","")</f>
        <v/>
      </c>
      <c r="M587">
        <f>IF(AND(A587=Dashboard!$D$6,OR(Dashboard!$C$6="*",F587=Dashboard!$C$6),L587&lt;&gt;""),ABS(I587)+ROW()/1000000000,0)</f>
        <v/>
      </c>
    </row>
    <row r="588">
      <c r="A588">
        <f>Data_thang!A588</f>
        <v/>
      </c>
      <c r="B588">
        <f>Data_thang!B588</f>
        <v/>
      </c>
      <c r="C588">
        <f>Data_thang!D588</f>
        <v/>
      </c>
      <c r="D588">
        <f>Data_thang!E588</f>
        <v/>
      </c>
      <c r="E588">
        <f>Data_thang!F588</f>
        <v/>
      </c>
      <c r="F588">
        <f>Data_thang!G588</f>
        <v/>
      </c>
      <c r="G588" s="29">
        <f>Data_thang!J588-Data_thang!K588</f>
        <v/>
      </c>
      <c r="H588" s="29">
        <f>Data_thang!N588</f>
        <v/>
      </c>
      <c r="I588" s="29">
        <f>H588-G588</f>
        <v/>
      </c>
      <c r="J588" s="30">
        <f>IF(H588=0,IF(I588=0,0,1),I588/ABS(H588))</f>
        <v/>
      </c>
      <c r="K588" s="29">
        <f>H588-(Data_thang!O588-Data_thang!K588)</f>
        <v/>
      </c>
      <c r="L588">
        <f>IF(AND(ABS(I588)&gt;Dashboard!$G$6,ABS(J588)&gt;Dashboard!$H$6),"⚠ Vượt","")</f>
        <v/>
      </c>
      <c r="M588">
        <f>IF(AND(A588=Dashboard!$D$6,OR(Dashboard!$C$6="*",F588=Dashboard!$C$6),L588&lt;&gt;""),ABS(I588)+ROW()/1000000000,0)</f>
        <v/>
      </c>
    </row>
    <row r="589">
      <c r="A589">
        <f>Data_thang!A589</f>
        <v/>
      </c>
      <c r="B589">
        <f>Data_thang!B589</f>
        <v/>
      </c>
      <c r="C589">
        <f>Data_thang!D589</f>
        <v/>
      </c>
      <c r="D589">
        <f>Data_thang!E589</f>
        <v/>
      </c>
      <c r="E589">
        <f>Data_thang!F589</f>
        <v/>
      </c>
      <c r="F589">
        <f>Data_thang!G589</f>
        <v/>
      </c>
      <c r="G589" s="29">
        <f>Data_thang!J589-Data_thang!K589</f>
        <v/>
      </c>
      <c r="H589" s="29">
        <f>Data_thang!N589</f>
        <v/>
      </c>
      <c r="I589" s="29">
        <f>H589-G589</f>
        <v/>
      </c>
      <c r="J589" s="30">
        <f>IF(H589=0,IF(I589=0,0,1),I589/ABS(H589))</f>
        <v/>
      </c>
      <c r="K589" s="29">
        <f>H589-(Data_thang!O589-Data_thang!K589)</f>
        <v/>
      </c>
      <c r="L589">
        <f>IF(AND(ABS(I589)&gt;Dashboard!$G$6,ABS(J589)&gt;Dashboard!$H$6),"⚠ Vượt","")</f>
        <v/>
      </c>
      <c r="M589">
        <f>IF(AND(A589=Dashboard!$D$6,OR(Dashboard!$C$6="*",F589=Dashboard!$C$6),L589&lt;&gt;""),ABS(I589)+ROW()/1000000000,0)</f>
        <v/>
      </c>
    </row>
    <row r="590">
      <c r="A590">
        <f>Data_thang!A590</f>
        <v/>
      </c>
      <c r="B590">
        <f>Data_thang!B590</f>
        <v/>
      </c>
      <c r="C590">
        <f>Data_thang!D590</f>
        <v/>
      </c>
      <c r="D590">
        <f>Data_thang!E590</f>
        <v/>
      </c>
      <c r="E590">
        <f>Data_thang!F590</f>
        <v/>
      </c>
      <c r="F590">
        <f>Data_thang!G590</f>
        <v/>
      </c>
      <c r="G590" s="29">
        <f>Data_thang!J590-Data_thang!K590</f>
        <v/>
      </c>
      <c r="H590" s="29">
        <f>Data_thang!N590</f>
        <v/>
      </c>
      <c r="I590" s="29">
        <f>H590-G590</f>
        <v/>
      </c>
      <c r="J590" s="30">
        <f>IF(H590=0,IF(I590=0,0,1),I590/ABS(H590))</f>
        <v/>
      </c>
      <c r="K590" s="29">
        <f>H590-(Data_thang!O590-Data_thang!K590)</f>
        <v/>
      </c>
      <c r="L590">
        <f>IF(AND(ABS(I590)&gt;Dashboard!$G$6,ABS(J590)&gt;Dashboard!$H$6),"⚠ Vượt","")</f>
        <v/>
      </c>
      <c r="M590">
        <f>IF(AND(A590=Dashboard!$D$6,OR(Dashboard!$C$6="*",F590=Dashboard!$C$6),L590&lt;&gt;""),ABS(I590)+ROW()/1000000000,0)</f>
        <v/>
      </c>
    </row>
    <row r="591">
      <c r="A591">
        <f>Data_thang!A591</f>
        <v/>
      </c>
      <c r="B591">
        <f>Data_thang!B591</f>
        <v/>
      </c>
      <c r="C591">
        <f>Data_thang!D591</f>
        <v/>
      </c>
      <c r="D591">
        <f>Data_thang!E591</f>
        <v/>
      </c>
      <c r="E591">
        <f>Data_thang!F591</f>
        <v/>
      </c>
      <c r="F591">
        <f>Data_thang!G591</f>
        <v/>
      </c>
      <c r="G591" s="29">
        <f>Data_thang!J591-Data_thang!K591</f>
        <v/>
      </c>
      <c r="H591" s="29">
        <f>Data_thang!N591</f>
        <v/>
      </c>
      <c r="I591" s="29">
        <f>H591-G591</f>
        <v/>
      </c>
      <c r="J591" s="30">
        <f>IF(H591=0,IF(I591=0,0,1),I591/ABS(H591))</f>
        <v/>
      </c>
      <c r="K591" s="29">
        <f>H591-(Data_thang!O591-Data_thang!K591)</f>
        <v/>
      </c>
      <c r="L591">
        <f>IF(AND(ABS(I591)&gt;Dashboard!$G$6,ABS(J591)&gt;Dashboard!$H$6),"⚠ Vượt","")</f>
        <v/>
      </c>
      <c r="M591">
        <f>IF(AND(A591=Dashboard!$D$6,OR(Dashboard!$C$6="*",F591=Dashboard!$C$6),L591&lt;&gt;""),ABS(I591)+ROW()/1000000000,0)</f>
        <v/>
      </c>
    </row>
    <row r="592">
      <c r="A592">
        <f>Data_thang!A592</f>
        <v/>
      </c>
      <c r="B592">
        <f>Data_thang!B592</f>
        <v/>
      </c>
      <c r="C592">
        <f>Data_thang!D592</f>
        <v/>
      </c>
      <c r="D592">
        <f>Data_thang!E592</f>
        <v/>
      </c>
      <c r="E592">
        <f>Data_thang!F592</f>
        <v/>
      </c>
      <c r="F592">
        <f>Data_thang!G592</f>
        <v/>
      </c>
      <c r="G592" s="29">
        <f>Data_thang!J592-Data_thang!K592</f>
        <v/>
      </c>
      <c r="H592" s="29">
        <f>Data_thang!N592</f>
        <v/>
      </c>
      <c r="I592" s="29">
        <f>H592-G592</f>
        <v/>
      </c>
      <c r="J592" s="30">
        <f>IF(H592=0,IF(I592=0,0,1),I592/ABS(H592))</f>
        <v/>
      </c>
      <c r="K592" s="29">
        <f>H592-(Data_thang!O592-Data_thang!K592)</f>
        <v/>
      </c>
      <c r="L592">
        <f>IF(AND(ABS(I592)&gt;Dashboard!$G$6,ABS(J592)&gt;Dashboard!$H$6),"⚠ Vượt","")</f>
        <v/>
      </c>
      <c r="M592">
        <f>IF(AND(A592=Dashboard!$D$6,OR(Dashboard!$C$6="*",F592=Dashboard!$C$6),L592&lt;&gt;""),ABS(I592)+ROW()/1000000000,0)</f>
        <v/>
      </c>
    </row>
    <row r="593">
      <c r="A593">
        <f>Data_thang!A593</f>
        <v/>
      </c>
      <c r="B593">
        <f>Data_thang!B593</f>
        <v/>
      </c>
      <c r="C593">
        <f>Data_thang!D593</f>
        <v/>
      </c>
      <c r="D593">
        <f>Data_thang!E593</f>
        <v/>
      </c>
      <c r="E593">
        <f>Data_thang!F593</f>
        <v/>
      </c>
      <c r="F593">
        <f>Data_thang!G593</f>
        <v/>
      </c>
      <c r="G593" s="29">
        <f>Data_thang!J593-Data_thang!K593</f>
        <v/>
      </c>
      <c r="H593" s="29">
        <f>Data_thang!N593</f>
        <v/>
      </c>
      <c r="I593" s="29">
        <f>H593-G593</f>
        <v/>
      </c>
      <c r="J593" s="30">
        <f>IF(H593=0,IF(I593=0,0,1),I593/ABS(H593))</f>
        <v/>
      </c>
      <c r="K593" s="29">
        <f>H593-(Data_thang!O593-Data_thang!K593)</f>
        <v/>
      </c>
      <c r="L593">
        <f>IF(AND(ABS(I593)&gt;Dashboard!$G$6,ABS(J593)&gt;Dashboard!$H$6),"⚠ Vượt","")</f>
        <v/>
      </c>
      <c r="M593">
        <f>IF(AND(A593=Dashboard!$D$6,OR(Dashboard!$C$6="*",F593=Dashboard!$C$6),L593&lt;&gt;""),ABS(I593)+ROW()/1000000000,0)</f>
        <v/>
      </c>
    </row>
    <row r="594">
      <c r="A594">
        <f>Data_thang!A594</f>
        <v/>
      </c>
      <c r="B594">
        <f>Data_thang!B594</f>
        <v/>
      </c>
      <c r="C594">
        <f>Data_thang!D594</f>
        <v/>
      </c>
      <c r="D594">
        <f>Data_thang!E594</f>
        <v/>
      </c>
      <c r="E594">
        <f>Data_thang!F594</f>
        <v/>
      </c>
      <c r="F594">
        <f>Data_thang!G594</f>
        <v/>
      </c>
      <c r="G594" s="29">
        <f>Data_thang!J594-Data_thang!K594</f>
        <v/>
      </c>
      <c r="H594" s="29">
        <f>Data_thang!N594</f>
        <v/>
      </c>
      <c r="I594" s="29">
        <f>H594-G594</f>
        <v/>
      </c>
      <c r="J594" s="30">
        <f>IF(H594=0,IF(I594=0,0,1),I594/ABS(H594))</f>
        <v/>
      </c>
      <c r="K594" s="29">
        <f>H594-(Data_thang!O594-Data_thang!K594)</f>
        <v/>
      </c>
      <c r="L594">
        <f>IF(AND(ABS(I594)&gt;Dashboard!$G$6,ABS(J594)&gt;Dashboard!$H$6),"⚠ Vượt","")</f>
        <v/>
      </c>
      <c r="M594">
        <f>IF(AND(A594=Dashboard!$D$6,OR(Dashboard!$C$6="*",F594=Dashboard!$C$6),L594&lt;&gt;""),ABS(I594)+ROW()/1000000000,0)</f>
        <v/>
      </c>
    </row>
    <row r="595">
      <c r="A595">
        <f>Data_thang!A595</f>
        <v/>
      </c>
      <c r="B595">
        <f>Data_thang!B595</f>
        <v/>
      </c>
      <c r="C595">
        <f>Data_thang!D595</f>
        <v/>
      </c>
      <c r="D595">
        <f>Data_thang!E595</f>
        <v/>
      </c>
      <c r="E595">
        <f>Data_thang!F595</f>
        <v/>
      </c>
      <c r="F595">
        <f>Data_thang!G595</f>
        <v/>
      </c>
      <c r="G595" s="29">
        <f>Data_thang!J595-Data_thang!K595</f>
        <v/>
      </c>
      <c r="H595" s="29">
        <f>Data_thang!N595</f>
        <v/>
      </c>
      <c r="I595" s="29">
        <f>H595-G595</f>
        <v/>
      </c>
      <c r="J595" s="30">
        <f>IF(H595=0,IF(I595=0,0,1),I595/ABS(H595))</f>
        <v/>
      </c>
      <c r="K595" s="29">
        <f>H595-(Data_thang!O595-Data_thang!K595)</f>
        <v/>
      </c>
      <c r="L595">
        <f>IF(AND(ABS(I595)&gt;Dashboard!$G$6,ABS(J595)&gt;Dashboard!$H$6),"⚠ Vượt","")</f>
        <v/>
      </c>
      <c r="M595">
        <f>IF(AND(A595=Dashboard!$D$6,OR(Dashboard!$C$6="*",F595=Dashboard!$C$6),L595&lt;&gt;""),ABS(I595)+ROW()/1000000000,0)</f>
        <v/>
      </c>
    </row>
    <row r="596">
      <c r="A596">
        <f>Data_thang!A596</f>
        <v/>
      </c>
      <c r="B596">
        <f>Data_thang!B596</f>
        <v/>
      </c>
      <c r="C596">
        <f>Data_thang!D596</f>
        <v/>
      </c>
      <c r="D596">
        <f>Data_thang!E596</f>
        <v/>
      </c>
      <c r="E596">
        <f>Data_thang!F596</f>
        <v/>
      </c>
      <c r="F596">
        <f>Data_thang!G596</f>
        <v/>
      </c>
      <c r="G596" s="29">
        <f>Data_thang!J596-Data_thang!K596</f>
        <v/>
      </c>
      <c r="H596" s="29">
        <f>Data_thang!N596</f>
        <v/>
      </c>
      <c r="I596" s="29">
        <f>H596-G596</f>
        <v/>
      </c>
      <c r="J596" s="30">
        <f>IF(H596=0,IF(I596=0,0,1),I596/ABS(H596))</f>
        <v/>
      </c>
      <c r="K596" s="29">
        <f>H596-(Data_thang!O596-Data_thang!K596)</f>
        <v/>
      </c>
      <c r="L596">
        <f>IF(AND(ABS(I596)&gt;Dashboard!$G$6,ABS(J596)&gt;Dashboard!$H$6),"⚠ Vượt","")</f>
        <v/>
      </c>
      <c r="M596">
        <f>IF(AND(A596=Dashboard!$D$6,OR(Dashboard!$C$6="*",F596=Dashboard!$C$6),L596&lt;&gt;""),ABS(I596)+ROW()/1000000000,0)</f>
        <v/>
      </c>
    </row>
    <row r="597">
      <c r="A597">
        <f>Data_thang!A597</f>
        <v/>
      </c>
      <c r="B597">
        <f>Data_thang!B597</f>
        <v/>
      </c>
      <c r="C597">
        <f>Data_thang!D597</f>
        <v/>
      </c>
      <c r="D597">
        <f>Data_thang!E597</f>
        <v/>
      </c>
      <c r="E597">
        <f>Data_thang!F597</f>
        <v/>
      </c>
      <c r="F597">
        <f>Data_thang!G597</f>
        <v/>
      </c>
      <c r="G597" s="29">
        <f>Data_thang!J597-Data_thang!K597</f>
        <v/>
      </c>
      <c r="H597" s="29">
        <f>Data_thang!N597</f>
        <v/>
      </c>
      <c r="I597" s="29">
        <f>H597-G597</f>
        <v/>
      </c>
      <c r="J597" s="30">
        <f>IF(H597=0,IF(I597=0,0,1),I597/ABS(H597))</f>
        <v/>
      </c>
      <c r="K597" s="29">
        <f>H597-(Data_thang!O597-Data_thang!K597)</f>
        <v/>
      </c>
      <c r="L597">
        <f>IF(AND(ABS(I597)&gt;Dashboard!$G$6,ABS(J597)&gt;Dashboard!$H$6),"⚠ Vượt","")</f>
        <v/>
      </c>
      <c r="M597">
        <f>IF(AND(A597=Dashboard!$D$6,OR(Dashboard!$C$6="*",F597=Dashboard!$C$6),L597&lt;&gt;""),ABS(I597)+ROW()/1000000000,0)</f>
        <v/>
      </c>
    </row>
    <row r="598">
      <c r="A598">
        <f>Data_thang!A598</f>
        <v/>
      </c>
      <c r="B598">
        <f>Data_thang!B598</f>
        <v/>
      </c>
      <c r="C598">
        <f>Data_thang!D598</f>
        <v/>
      </c>
      <c r="D598">
        <f>Data_thang!E598</f>
        <v/>
      </c>
      <c r="E598">
        <f>Data_thang!F598</f>
        <v/>
      </c>
      <c r="F598">
        <f>Data_thang!G598</f>
        <v/>
      </c>
      <c r="G598" s="29">
        <f>Data_thang!J598-Data_thang!K598</f>
        <v/>
      </c>
      <c r="H598" s="29">
        <f>Data_thang!N598</f>
        <v/>
      </c>
      <c r="I598" s="29">
        <f>H598-G598</f>
        <v/>
      </c>
      <c r="J598" s="30">
        <f>IF(H598=0,IF(I598=0,0,1),I598/ABS(H598))</f>
        <v/>
      </c>
      <c r="K598" s="29">
        <f>H598-(Data_thang!O598-Data_thang!K598)</f>
        <v/>
      </c>
      <c r="L598">
        <f>IF(AND(ABS(I598)&gt;Dashboard!$G$6,ABS(J598)&gt;Dashboard!$H$6),"⚠ Vượt","")</f>
        <v/>
      </c>
      <c r="M598">
        <f>IF(AND(A598=Dashboard!$D$6,OR(Dashboard!$C$6="*",F598=Dashboard!$C$6),L598&lt;&gt;""),ABS(I598)+ROW()/1000000000,0)</f>
        <v/>
      </c>
    </row>
    <row r="599">
      <c r="A599">
        <f>Data_thang!A599</f>
        <v/>
      </c>
      <c r="B599">
        <f>Data_thang!B599</f>
        <v/>
      </c>
      <c r="C599">
        <f>Data_thang!D599</f>
        <v/>
      </c>
      <c r="D599">
        <f>Data_thang!E599</f>
        <v/>
      </c>
      <c r="E599">
        <f>Data_thang!F599</f>
        <v/>
      </c>
      <c r="F599">
        <f>Data_thang!G599</f>
        <v/>
      </c>
      <c r="G599" s="29">
        <f>Data_thang!J599-Data_thang!K599</f>
        <v/>
      </c>
      <c r="H599" s="29">
        <f>Data_thang!N599</f>
        <v/>
      </c>
      <c r="I599" s="29">
        <f>H599-G599</f>
        <v/>
      </c>
      <c r="J599" s="30">
        <f>IF(H599=0,IF(I599=0,0,1),I599/ABS(H599))</f>
        <v/>
      </c>
      <c r="K599" s="29">
        <f>H599-(Data_thang!O599-Data_thang!K599)</f>
        <v/>
      </c>
      <c r="L599">
        <f>IF(AND(ABS(I599)&gt;Dashboard!$G$6,ABS(J599)&gt;Dashboard!$H$6),"⚠ Vượt","")</f>
        <v/>
      </c>
      <c r="M599">
        <f>IF(AND(A599=Dashboard!$D$6,OR(Dashboard!$C$6="*",F599=Dashboard!$C$6),L599&lt;&gt;""),ABS(I599)+ROW()/1000000000,0)</f>
        <v/>
      </c>
    </row>
    <row r="600">
      <c r="A600">
        <f>Data_thang!A600</f>
        <v/>
      </c>
      <c r="B600">
        <f>Data_thang!B600</f>
        <v/>
      </c>
      <c r="C600">
        <f>Data_thang!D600</f>
        <v/>
      </c>
      <c r="D600">
        <f>Data_thang!E600</f>
        <v/>
      </c>
      <c r="E600">
        <f>Data_thang!F600</f>
        <v/>
      </c>
      <c r="F600">
        <f>Data_thang!G600</f>
        <v/>
      </c>
      <c r="G600" s="29">
        <f>Data_thang!J600-Data_thang!K600</f>
        <v/>
      </c>
      <c r="H600" s="29">
        <f>Data_thang!N600</f>
        <v/>
      </c>
      <c r="I600" s="29">
        <f>H600-G600</f>
        <v/>
      </c>
      <c r="J600" s="30">
        <f>IF(H600=0,IF(I600=0,0,1),I600/ABS(H600))</f>
        <v/>
      </c>
      <c r="K600" s="29">
        <f>H600-(Data_thang!O600-Data_thang!K600)</f>
        <v/>
      </c>
      <c r="L600">
        <f>IF(AND(ABS(I600)&gt;Dashboard!$G$6,ABS(J600)&gt;Dashboard!$H$6),"⚠ Vượt","")</f>
        <v/>
      </c>
      <c r="M600">
        <f>IF(AND(A600=Dashboard!$D$6,OR(Dashboard!$C$6="*",F600=Dashboard!$C$6),L600&lt;&gt;""),ABS(I600)+ROW()/1000000000,0)</f>
        <v/>
      </c>
    </row>
    <row r="601">
      <c r="A601">
        <f>Data_thang!A601</f>
        <v/>
      </c>
      <c r="B601">
        <f>Data_thang!B601</f>
        <v/>
      </c>
      <c r="C601">
        <f>Data_thang!D601</f>
        <v/>
      </c>
      <c r="D601">
        <f>Data_thang!E601</f>
        <v/>
      </c>
      <c r="E601">
        <f>Data_thang!F601</f>
        <v/>
      </c>
      <c r="F601">
        <f>Data_thang!G601</f>
        <v/>
      </c>
      <c r="G601" s="29">
        <f>Data_thang!J601-Data_thang!K601</f>
        <v/>
      </c>
      <c r="H601" s="29">
        <f>Data_thang!N601</f>
        <v/>
      </c>
      <c r="I601" s="29">
        <f>H601-G601</f>
        <v/>
      </c>
      <c r="J601" s="30">
        <f>IF(H601=0,IF(I601=0,0,1),I601/ABS(H601))</f>
        <v/>
      </c>
      <c r="K601" s="29">
        <f>H601-(Data_thang!O601-Data_thang!K601)</f>
        <v/>
      </c>
      <c r="L601">
        <f>IF(AND(ABS(I601)&gt;Dashboard!$G$6,ABS(J601)&gt;Dashboard!$H$6),"⚠ Vượt","")</f>
        <v/>
      </c>
      <c r="M601">
        <f>IF(AND(A601=Dashboard!$D$6,OR(Dashboard!$C$6="*",F601=Dashboard!$C$6),L601&lt;&gt;""),ABS(I601)+ROW()/1000000000,0)</f>
        <v/>
      </c>
    </row>
    <row r="602">
      <c r="A602">
        <f>Data_thang!A602</f>
        <v/>
      </c>
      <c r="B602">
        <f>Data_thang!B602</f>
        <v/>
      </c>
      <c r="C602">
        <f>Data_thang!D602</f>
        <v/>
      </c>
      <c r="D602">
        <f>Data_thang!E602</f>
        <v/>
      </c>
      <c r="E602">
        <f>Data_thang!F602</f>
        <v/>
      </c>
      <c r="F602">
        <f>Data_thang!G602</f>
        <v/>
      </c>
      <c r="G602" s="29">
        <f>Data_thang!J602-Data_thang!K602</f>
        <v/>
      </c>
      <c r="H602" s="29">
        <f>Data_thang!N602</f>
        <v/>
      </c>
      <c r="I602" s="29">
        <f>H602-G602</f>
        <v/>
      </c>
      <c r="J602" s="30">
        <f>IF(H602=0,IF(I602=0,0,1),I602/ABS(H602))</f>
        <v/>
      </c>
      <c r="K602" s="29">
        <f>H602-(Data_thang!O602-Data_thang!K602)</f>
        <v/>
      </c>
      <c r="L602">
        <f>IF(AND(ABS(I602)&gt;Dashboard!$G$6,ABS(J602)&gt;Dashboard!$H$6),"⚠ Vượt","")</f>
        <v/>
      </c>
      <c r="M602">
        <f>IF(AND(A602=Dashboard!$D$6,OR(Dashboard!$C$6="*",F602=Dashboard!$C$6),L602&lt;&gt;""),ABS(I602)+ROW()/1000000000,0)</f>
        <v/>
      </c>
    </row>
    <row r="603">
      <c r="A603">
        <f>Data_thang!A603</f>
        <v/>
      </c>
      <c r="B603">
        <f>Data_thang!B603</f>
        <v/>
      </c>
      <c r="C603">
        <f>Data_thang!D603</f>
        <v/>
      </c>
      <c r="D603">
        <f>Data_thang!E603</f>
        <v/>
      </c>
      <c r="E603">
        <f>Data_thang!F603</f>
        <v/>
      </c>
      <c r="F603">
        <f>Data_thang!G603</f>
        <v/>
      </c>
      <c r="G603" s="29">
        <f>Data_thang!J603-Data_thang!K603</f>
        <v/>
      </c>
      <c r="H603" s="29">
        <f>Data_thang!N603</f>
        <v/>
      </c>
      <c r="I603" s="29">
        <f>H603-G603</f>
        <v/>
      </c>
      <c r="J603" s="30">
        <f>IF(H603=0,IF(I603=0,0,1),I603/ABS(H603))</f>
        <v/>
      </c>
      <c r="K603" s="29">
        <f>H603-(Data_thang!O603-Data_thang!K603)</f>
        <v/>
      </c>
      <c r="L603">
        <f>IF(AND(ABS(I603)&gt;Dashboard!$G$6,ABS(J603)&gt;Dashboard!$H$6),"⚠ Vượt","")</f>
        <v/>
      </c>
      <c r="M603">
        <f>IF(AND(A603=Dashboard!$D$6,OR(Dashboard!$C$6="*",F603=Dashboard!$C$6),L603&lt;&gt;""),ABS(I603)+ROW()/1000000000,0)</f>
        <v/>
      </c>
    </row>
    <row r="604">
      <c r="A604">
        <f>Data_thang!A604</f>
        <v/>
      </c>
      <c r="B604">
        <f>Data_thang!B604</f>
        <v/>
      </c>
      <c r="C604">
        <f>Data_thang!D604</f>
        <v/>
      </c>
      <c r="D604">
        <f>Data_thang!E604</f>
        <v/>
      </c>
      <c r="E604">
        <f>Data_thang!F604</f>
        <v/>
      </c>
      <c r="F604">
        <f>Data_thang!G604</f>
        <v/>
      </c>
      <c r="G604" s="29">
        <f>Data_thang!J604-Data_thang!K604</f>
        <v/>
      </c>
      <c r="H604" s="29">
        <f>Data_thang!N604</f>
        <v/>
      </c>
      <c r="I604" s="29">
        <f>H604-G604</f>
        <v/>
      </c>
      <c r="J604" s="30">
        <f>IF(H604=0,IF(I604=0,0,1),I604/ABS(H604))</f>
        <v/>
      </c>
      <c r="K604" s="29">
        <f>H604-(Data_thang!O604-Data_thang!K604)</f>
        <v/>
      </c>
      <c r="L604">
        <f>IF(AND(ABS(I604)&gt;Dashboard!$G$6,ABS(J604)&gt;Dashboard!$H$6),"⚠ Vượt","")</f>
        <v/>
      </c>
      <c r="M604">
        <f>IF(AND(A604=Dashboard!$D$6,OR(Dashboard!$C$6="*",F604=Dashboard!$C$6),L604&lt;&gt;""),ABS(I604)+ROW()/1000000000,0)</f>
        <v/>
      </c>
    </row>
    <row r="605">
      <c r="A605">
        <f>Data_thang!A605</f>
        <v/>
      </c>
      <c r="B605">
        <f>Data_thang!B605</f>
        <v/>
      </c>
      <c r="C605">
        <f>Data_thang!D605</f>
        <v/>
      </c>
      <c r="D605">
        <f>Data_thang!E605</f>
        <v/>
      </c>
      <c r="E605">
        <f>Data_thang!F605</f>
        <v/>
      </c>
      <c r="F605">
        <f>Data_thang!G605</f>
        <v/>
      </c>
      <c r="G605" s="29">
        <f>Data_thang!J605-Data_thang!K605</f>
        <v/>
      </c>
      <c r="H605" s="29">
        <f>Data_thang!N605</f>
        <v/>
      </c>
      <c r="I605" s="29">
        <f>H605-G605</f>
        <v/>
      </c>
      <c r="J605" s="30">
        <f>IF(H605=0,IF(I605=0,0,1),I605/ABS(H605))</f>
        <v/>
      </c>
      <c r="K605" s="29">
        <f>H605-(Data_thang!O605-Data_thang!K605)</f>
        <v/>
      </c>
      <c r="L605">
        <f>IF(AND(ABS(I605)&gt;Dashboard!$G$6,ABS(J605)&gt;Dashboard!$H$6),"⚠ Vượt","")</f>
        <v/>
      </c>
      <c r="M605">
        <f>IF(AND(A605=Dashboard!$D$6,OR(Dashboard!$C$6="*",F605=Dashboard!$C$6),L605&lt;&gt;""),ABS(I605)+ROW()/1000000000,0)</f>
        <v/>
      </c>
    </row>
    <row r="606">
      <c r="A606">
        <f>Data_thang!A606</f>
        <v/>
      </c>
      <c r="B606">
        <f>Data_thang!B606</f>
        <v/>
      </c>
      <c r="C606">
        <f>Data_thang!D606</f>
        <v/>
      </c>
      <c r="D606">
        <f>Data_thang!E606</f>
        <v/>
      </c>
      <c r="E606">
        <f>Data_thang!F606</f>
        <v/>
      </c>
      <c r="F606">
        <f>Data_thang!G606</f>
        <v/>
      </c>
      <c r="G606" s="29">
        <f>Data_thang!J606-Data_thang!K606</f>
        <v/>
      </c>
      <c r="H606" s="29">
        <f>Data_thang!N606</f>
        <v/>
      </c>
      <c r="I606" s="29">
        <f>H606-G606</f>
        <v/>
      </c>
      <c r="J606" s="30">
        <f>IF(H606=0,IF(I606=0,0,1),I606/ABS(H606))</f>
        <v/>
      </c>
      <c r="K606" s="29">
        <f>H606-(Data_thang!O606-Data_thang!K606)</f>
        <v/>
      </c>
      <c r="L606">
        <f>IF(AND(ABS(I606)&gt;Dashboard!$G$6,ABS(J606)&gt;Dashboard!$H$6),"⚠ Vượt","")</f>
        <v/>
      </c>
      <c r="M606">
        <f>IF(AND(A606=Dashboard!$D$6,OR(Dashboard!$C$6="*",F606=Dashboard!$C$6),L606&lt;&gt;""),ABS(I606)+ROW()/1000000000,0)</f>
        <v/>
      </c>
    </row>
    <row r="607">
      <c r="A607">
        <f>Data_thang!A607</f>
        <v/>
      </c>
      <c r="B607">
        <f>Data_thang!B607</f>
        <v/>
      </c>
      <c r="C607">
        <f>Data_thang!D607</f>
        <v/>
      </c>
      <c r="D607">
        <f>Data_thang!E607</f>
        <v/>
      </c>
      <c r="E607">
        <f>Data_thang!F607</f>
        <v/>
      </c>
      <c r="F607">
        <f>Data_thang!G607</f>
        <v/>
      </c>
      <c r="G607" s="29">
        <f>Data_thang!J607-Data_thang!K607</f>
        <v/>
      </c>
      <c r="H607" s="29">
        <f>Data_thang!N607</f>
        <v/>
      </c>
      <c r="I607" s="29">
        <f>H607-G607</f>
        <v/>
      </c>
      <c r="J607" s="30">
        <f>IF(H607=0,IF(I607=0,0,1),I607/ABS(H607))</f>
        <v/>
      </c>
      <c r="K607" s="29">
        <f>H607-(Data_thang!O607-Data_thang!K607)</f>
        <v/>
      </c>
      <c r="L607">
        <f>IF(AND(ABS(I607)&gt;Dashboard!$G$6,ABS(J607)&gt;Dashboard!$H$6),"⚠ Vượt","")</f>
        <v/>
      </c>
      <c r="M607">
        <f>IF(AND(A607=Dashboard!$D$6,OR(Dashboard!$C$6="*",F607=Dashboard!$C$6),L607&lt;&gt;""),ABS(I607)+ROW()/1000000000,0)</f>
        <v/>
      </c>
    </row>
    <row r="608">
      <c r="A608">
        <f>Data_thang!A608</f>
        <v/>
      </c>
      <c r="B608">
        <f>Data_thang!B608</f>
        <v/>
      </c>
      <c r="C608">
        <f>Data_thang!D608</f>
        <v/>
      </c>
      <c r="D608">
        <f>Data_thang!E608</f>
        <v/>
      </c>
      <c r="E608">
        <f>Data_thang!F608</f>
        <v/>
      </c>
      <c r="F608">
        <f>Data_thang!G608</f>
        <v/>
      </c>
      <c r="G608" s="29">
        <f>Data_thang!J608-Data_thang!K608</f>
        <v/>
      </c>
      <c r="H608" s="29">
        <f>Data_thang!N608</f>
        <v/>
      </c>
      <c r="I608" s="29">
        <f>H608-G608</f>
        <v/>
      </c>
      <c r="J608" s="30">
        <f>IF(H608=0,IF(I608=0,0,1),I608/ABS(H608))</f>
        <v/>
      </c>
      <c r="K608" s="29">
        <f>H608-(Data_thang!O608-Data_thang!K608)</f>
        <v/>
      </c>
      <c r="L608">
        <f>IF(AND(ABS(I608)&gt;Dashboard!$G$6,ABS(J608)&gt;Dashboard!$H$6),"⚠ Vượt","")</f>
        <v/>
      </c>
      <c r="M608">
        <f>IF(AND(A608=Dashboard!$D$6,OR(Dashboard!$C$6="*",F608=Dashboard!$C$6),L608&lt;&gt;""),ABS(I608)+ROW()/1000000000,0)</f>
        <v/>
      </c>
    </row>
    <row r="609">
      <c r="A609">
        <f>Data_thang!A609</f>
        <v/>
      </c>
      <c r="B609">
        <f>Data_thang!B609</f>
        <v/>
      </c>
      <c r="C609">
        <f>Data_thang!D609</f>
        <v/>
      </c>
      <c r="D609">
        <f>Data_thang!E609</f>
        <v/>
      </c>
      <c r="E609">
        <f>Data_thang!F609</f>
        <v/>
      </c>
      <c r="F609">
        <f>Data_thang!G609</f>
        <v/>
      </c>
      <c r="G609" s="29">
        <f>Data_thang!J609-Data_thang!K609</f>
        <v/>
      </c>
      <c r="H609" s="29">
        <f>Data_thang!N609</f>
        <v/>
      </c>
      <c r="I609" s="29">
        <f>H609-G609</f>
        <v/>
      </c>
      <c r="J609" s="30">
        <f>IF(H609=0,IF(I609=0,0,1),I609/ABS(H609))</f>
        <v/>
      </c>
      <c r="K609" s="29">
        <f>H609-(Data_thang!O609-Data_thang!K609)</f>
        <v/>
      </c>
      <c r="L609">
        <f>IF(AND(ABS(I609)&gt;Dashboard!$G$6,ABS(J609)&gt;Dashboard!$H$6),"⚠ Vượt","")</f>
        <v/>
      </c>
      <c r="M609">
        <f>IF(AND(A609=Dashboard!$D$6,OR(Dashboard!$C$6="*",F609=Dashboard!$C$6),L609&lt;&gt;""),ABS(I609)+ROW()/1000000000,0)</f>
        <v/>
      </c>
    </row>
    <row r="610">
      <c r="A610">
        <f>Data_thang!A610</f>
        <v/>
      </c>
      <c r="B610">
        <f>Data_thang!B610</f>
        <v/>
      </c>
      <c r="C610">
        <f>Data_thang!D610</f>
        <v/>
      </c>
      <c r="D610">
        <f>Data_thang!E610</f>
        <v/>
      </c>
      <c r="E610">
        <f>Data_thang!F610</f>
        <v/>
      </c>
      <c r="F610">
        <f>Data_thang!G610</f>
        <v/>
      </c>
      <c r="G610" s="29">
        <f>Data_thang!J610-Data_thang!K610</f>
        <v/>
      </c>
      <c r="H610" s="29">
        <f>Data_thang!N610</f>
        <v/>
      </c>
      <c r="I610" s="29">
        <f>H610-G610</f>
        <v/>
      </c>
      <c r="J610" s="30">
        <f>IF(H610=0,IF(I610=0,0,1),I610/ABS(H610))</f>
        <v/>
      </c>
      <c r="K610" s="29">
        <f>H610-(Data_thang!O610-Data_thang!K610)</f>
        <v/>
      </c>
      <c r="L610">
        <f>IF(AND(ABS(I610)&gt;Dashboard!$G$6,ABS(J610)&gt;Dashboard!$H$6),"⚠ Vượt","")</f>
        <v/>
      </c>
      <c r="M610">
        <f>IF(AND(A610=Dashboard!$D$6,OR(Dashboard!$C$6="*",F610=Dashboard!$C$6),L610&lt;&gt;""),ABS(I610)+ROW()/1000000000,0)</f>
        <v/>
      </c>
    </row>
    <row r="611">
      <c r="A611">
        <f>Data_thang!A611</f>
        <v/>
      </c>
      <c r="B611">
        <f>Data_thang!B611</f>
        <v/>
      </c>
      <c r="C611">
        <f>Data_thang!D611</f>
        <v/>
      </c>
      <c r="D611">
        <f>Data_thang!E611</f>
        <v/>
      </c>
      <c r="E611">
        <f>Data_thang!F611</f>
        <v/>
      </c>
      <c r="F611">
        <f>Data_thang!G611</f>
        <v/>
      </c>
      <c r="G611" s="29">
        <f>Data_thang!J611-Data_thang!K611</f>
        <v/>
      </c>
      <c r="H611" s="29">
        <f>Data_thang!N611</f>
        <v/>
      </c>
      <c r="I611" s="29">
        <f>H611-G611</f>
        <v/>
      </c>
      <c r="J611" s="30">
        <f>IF(H611=0,IF(I611=0,0,1),I611/ABS(H611))</f>
        <v/>
      </c>
      <c r="K611" s="29">
        <f>H611-(Data_thang!O611-Data_thang!K611)</f>
        <v/>
      </c>
      <c r="L611">
        <f>IF(AND(ABS(I611)&gt;Dashboard!$G$6,ABS(J611)&gt;Dashboard!$H$6),"⚠ Vượt","")</f>
        <v/>
      </c>
      <c r="M611">
        <f>IF(AND(A611=Dashboard!$D$6,OR(Dashboard!$C$6="*",F611=Dashboard!$C$6),L611&lt;&gt;""),ABS(I611)+ROW()/1000000000,0)</f>
        <v/>
      </c>
    </row>
    <row r="612">
      <c r="A612">
        <f>Data_thang!A612</f>
        <v/>
      </c>
      <c r="B612">
        <f>Data_thang!B612</f>
        <v/>
      </c>
      <c r="C612">
        <f>Data_thang!D612</f>
        <v/>
      </c>
      <c r="D612">
        <f>Data_thang!E612</f>
        <v/>
      </c>
      <c r="E612">
        <f>Data_thang!F612</f>
        <v/>
      </c>
      <c r="F612">
        <f>Data_thang!G612</f>
        <v/>
      </c>
      <c r="G612" s="29">
        <f>Data_thang!J612-Data_thang!K612</f>
        <v/>
      </c>
      <c r="H612" s="29">
        <f>Data_thang!N612</f>
        <v/>
      </c>
      <c r="I612" s="29">
        <f>H612-G612</f>
        <v/>
      </c>
      <c r="J612" s="30">
        <f>IF(H612=0,IF(I612=0,0,1),I612/ABS(H612))</f>
        <v/>
      </c>
      <c r="K612" s="29">
        <f>H612-(Data_thang!O612-Data_thang!K612)</f>
        <v/>
      </c>
      <c r="L612">
        <f>IF(AND(ABS(I612)&gt;Dashboard!$G$6,ABS(J612)&gt;Dashboard!$H$6),"⚠ Vượt","")</f>
        <v/>
      </c>
      <c r="M612">
        <f>IF(AND(A612=Dashboard!$D$6,OR(Dashboard!$C$6="*",F612=Dashboard!$C$6),L612&lt;&gt;""),ABS(I612)+ROW()/1000000000,0)</f>
        <v/>
      </c>
    </row>
    <row r="613">
      <c r="A613">
        <f>Data_thang!A613</f>
        <v/>
      </c>
      <c r="B613">
        <f>Data_thang!B613</f>
        <v/>
      </c>
      <c r="C613">
        <f>Data_thang!D613</f>
        <v/>
      </c>
      <c r="D613">
        <f>Data_thang!E613</f>
        <v/>
      </c>
      <c r="E613">
        <f>Data_thang!F613</f>
        <v/>
      </c>
      <c r="F613">
        <f>Data_thang!G613</f>
        <v/>
      </c>
      <c r="G613" s="29">
        <f>Data_thang!J613-Data_thang!K613</f>
        <v/>
      </c>
      <c r="H613" s="29">
        <f>Data_thang!N613</f>
        <v/>
      </c>
      <c r="I613" s="29">
        <f>H613-G613</f>
        <v/>
      </c>
      <c r="J613" s="30">
        <f>IF(H613=0,IF(I613=0,0,1),I613/ABS(H613))</f>
        <v/>
      </c>
      <c r="K613" s="29">
        <f>H613-(Data_thang!O613-Data_thang!K613)</f>
        <v/>
      </c>
      <c r="L613">
        <f>IF(AND(ABS(I613)&gt;Dashboard!$G$6,ABS(J613)&gt;Dashboard!$H$6),"⚠ Vượt","")</f>
        <v/>
      </c>
      <c r="M613">
        <f>IF(AND(A613=Dashboard!$D$6,OR(Dashboard!$C$6="*",F613=Dashboard!$C$6),L613&lt;&gt;""),ABS(I613)+ROW()/1000000000,0)</f>
        <v/>
      </c>
    </row>
    <row r="614">
      <c r="A614">
        <f>Data_thang!A614</f>
        <v/>
      </c>
      <c r="B614">
        <f>Data_thang!B614</f>
        <v/>
      </c>
      <c r="C614">
        <f>Data_thang!D614</f>
        <v/>
      </c>
      <c r="D614">
        <f>Data_thang!E614</f>
        <v/>
      </c>
      <c r="E614">
        <f>Data_thang!F614</f>
        <v/>
      </c>
      <c r="F614">
        <f>Data_thang!G614</f>
        <v/>
      </c>
      <c r="G614" s="29">
        <f>Data_thang!J614-Data_thang!K614</f>
        <v/>
      </c>
      <c r="H614" s="29">
        <f>Data_thang!N614</f>
        <v/>
      </c>
      <c r="I614" s="29">
        <f>H614-G614</f>
        <v/>
      </c>
      <c r="J614" s="30">
        <f>IF(H614=0,IF(I614=0,0,1),I614/ABS(H614))</f>
        <v/>
      </c>
      <c r="K614" s="29">
        <f>H614-(Data_thang!O614-Data_thang!K614)</f>
        <v/>
      </c>
      <c r="L614">
        <f>IF(AND(ABS(I614)&gt;Dashboard!$G$6,ABS(J614)&gt;Dashboard!$H$6),"⚠ Vượt","")</f>
        <v/>
      </c>
      <c r="M614">
        <f>IF(AND(A614=Dashboard!$D$6,OR(Dashboard!$C$6="*",F614=Dashboard!$C$6),L614&lt;&gt;""),ABS(I614)+ROW()/1000000000,0)</f>
        <v/>
      </c>
    </row>
    <row r="615">
      <c r="A615">
        <f>Data_thang!A615</f>
        <v/>
      </c>
      <c r="B615">
        <f>Data_thang!B615</f>
        <v/>
      </c>
      <c r="C615">
        <f>Data_thang!D615</f>
        <v/>
      </c>
      <c r="D615">
        <f>Data_thang!E615</f>
        <v/>
      </c>
      <c r="E615">
        <f>Data_thang!F615</f>
        <v/>
      </c>
      <c r="F615">
        <f>Data_thang!G615</f>
        <v/>
      </c>
      <c r="G615" s="29">
        <f>Data_thang!J615-Data_thang!K615</f>
        <v/>
      </c>
      <c r="H615" s="29">
        <f>Data_thang!N615</f>
        <v/>
      </c>
      <c r="I615" s="29">
        <f>H615-G615</f>
        <v/>
      </c>
      <c r="J615" s="30">
        <f>IF(H615=0,IF(I615=0,0,1),I615/ABS(H615))</f>
        <v/>
      </c>
      <c r="K615" s="29">
        <f>H615-(Data_thang!O615-Data_thang!K615)</f>
        <v/>
      </c>
      <c r="L615">
        <f>IF(AND(ABS(I615)&gt;Dashboard!$G$6,ABS(J615)&gt;Dashboard!$H$6),"⚠ Vượt","")</f>
        <v/>
      </c>
      <c r="M615">
        <f>IF(AND(A615=Dashboard!$D$6,OR(Dashboard!$C$6="*",F615=Dashboard!$C$6),L615&lt;&gt;""),ABS(I615)+ROW()/1000000000,0)</f>
        <v/>
      </c>
    </row>
    <row r="616">
      <c r="A616">
        <f>Data_thang!A616</f>
        <v/>
      </c>
      <c r="B616">
        <f>Data_thang!B616</f>
        <v/>
      </c>
      <c r="C616">
        <f>Data_thang!D616</f>
        <v/>
      </c>
      <c r="D616">
        <f>Data_thang!E616</f>
        <v/>
      </c>
      <c r="E616">
        <f>Data_thang!F616</f>
        <v/>
      </c>
      <c r="F616">
        <f>Data_thang!G616</f>
        <v/>
      </c>
      <c r="G616" s="29">
        <f>Data_thang!J616-Data_thang!K616</f>
        <v/>
      </c>
      <c r="H616" s="29">
        <f>Data_thang!N616</f>
        <v/>
      </c>
      <c r="I616" s="29">
        <f>H616-G616</f>
        <v/>
      </c>
      <c r="J616" s="30">
        <f>IF(H616=0,IF(I616=0,0,1),I616/ABS(H616))</f>
        <v/>
      </c>
      <c r="K616" s="29">
        <f>H616-(Data_thang!O616-Data_thang!K616)</f>
        <v/>
      </c>
      <c r="L616">
        <f>IF(AND(ABS(I616)&gt;Dashboard!$G$6,ABS(J616)&gt;Dashboard!$H$6),"⚠ Vượt","")</f>
        <v/>
      </c>
      <c r="M616">
        <f>IF(AND(A616=Dashboard!$D$6,OR(Dashboard!$C$6="*",F616=Dashboard!$C$6),L616&lt;&gt;""),ABS(I616)+ROW()/1000000000,0)</f>
        <v/>
      </c>
    </row>
    <row r="617">
      <c r="A617">
        <f>Data_thang!A617</f>
        <v/>
      </c>
      <c r="B617">
        <f>Data_thang!B617</f>
        <v/>
      </c>
      <c r="C617">
        <f>Data_thang!D617</f>
        <v/>
      </c>
      <c r="D617">
        <f>Data_thang!E617</f>
        <v/>
      </c>
      <c r="E617">
        <f>Data_thang!F617</f>
        <v/>
      </c>
      <c r="F617">
        <f>Data_thang!G617</f>
        <v/>
      </c>
      <c r="G617" s="29">
        <f>Data_thang!J617-Data_thang!K617</f>
        <v/>
      </c>
      <c r="H617" s="29">
        <f>Data_thang!N617</f>
        <v/>
      </c>
      <c r="I617" s="29">
        <f>H617-G617</f>
        <v/>
      </c>
      <c r="J617" s="30">
        <f>IF(H617=0,IF(I617=0,0,1),I617/ABS(H617))</f>
        <v/>
      </c>
      <c r="K617" s="29">
        <f>H617-(Data_thang!O617-Data_thang!K617)</f>
        <v/>
      </c>
      <c r="L617">
        <f>IF(AND(ABS(I617)&gt;Dashboard!$G$6,ABS(J617)&gt;Dashboard!$H$6),"⚠ Vượt","")</f>
        <v/>
      </c>
      <c r="M617">
        <f>IF(AND(A617=Dashboard!$D$6,OR(Dashboard!$C$6="*",F617=Dashboard!$C$6),L617&lt;&gt;""),ABS(I617)+ROW()/1000000000,0)</f>
        <v/>
      </c>
    </row>
    <row r="618">
      <c r="A618">
        <f>Data_thang!A618</f>
        <v/>
      </c>
      <c r="B618">
        <f>Data_thang!B618</f>
        <v/>
      </c>
      <c r="C618">
        <f>Data_thang!D618</f>
        <v/>
      </c>
      <c r="D618">
        <f>Data_thang!E618</f>
        <v/>
      </c>
      <c r="E618">
        <f>Data_thang!F618</f>
        <v/>
      </c>
      <c r="F618">
        <f>Data_thang!G618</f>
        <v/>
      </c>
      <c r="G618" s="29">
        <f>Data_thang!J618-Data_thang!K618</f>
        <v/>
      </c>
      <c r="H618" s="29">
        <f>Data_thang!N618</f>
        <v/>
      </c>
      <c r="I618" s="29">
        <f>H618-G618</f>
        <v/>
      </c>
      <c r="J618" s="30">
        <f>IF(H618=0,IF(I618=0,0,1),I618/ABS(H618))</f>
        <v/>
      </c>
      <c r="K618" s="29">
        <f>H618-(Data_thang!O618-Data_thang!K618)</f>
        <v/>
      </c>
      <c r="L618">
        <f>IF(AND(ABS(I618)&gt;Dashboard!$G$6,ABS(J618)&gt;Dashboard!$H$6),"⚠ Vượt","")</f>
        <v/>
      </c>
      <c r="M618">
        <f>IF(AND(A618=Dashboard!$D$6,OR(Dashboard!$C$6="*",F618=Dashboard!$C$6),L618&lt;&gt;""),ABS(I618)+ROW()/1000000000,0)</f>
        <v/>
      </c>
    </row>
    <row r="619">
      <c r="A619">
        <f>Data_thang!A619</f>
        <v/>
      </c>
      <c r="B619">
        <f>Data_thang!B619</f>
        <v/>
      </c>
      <c r="C619">
        <f>Data_thang!D619</f>
        <v/>
      </c>
      <c r="D619">
        <f>Data_thang!E619</f>
        <v/>
      </c>
      <c r="E619">
        <f>Data_thang!F619</f>
        <v/>
      </c>
      <c r="F619">
        <f>Data_thang!G619</f>
        <v/>
      </c>
      <c r="G619" s="29">
        <f>Data_thang!J619-Data_thang!K619</f>
        <v/>
      </c>
      <c r="H619" s="29">
        <f>Data_thang!N619</f>
        <v/>
      </c>
      <c r="I619" s="29">
        <f>H619-G619</f>
        <v/>
      </c>
      <c r="J619" s="30">
        <f>IF(H619=0,IF(I619=0,0,1),I619/ABS(H619))</f>
        <v/>
      </c>
      <c r="K619" s="29">
        <f>H619-(Data_thang!O619-Data_thang!K619)</f>
        <v/>
      </c>
      <c r="L619">
        <f>IF(AND(ABS(I619)&gt;Dashboard!$G$6,ABS(J619)&gt;Dashboard!$H$6),"⚠ Vượt","")</f>
        <v/>
      </c>
      <c r="M619">
        <f>IF(AND(A619=Dashboard!$D$6,OR(Dashboard!$C$6="*",F619=Dashboard!$C$6),L619&lt;&gt;""),ABS(I619)+ROW()/1000000000,0)</f>
        <v/>
      </c>
    </row>
    <row r="620">
      <c r="A620">
        <f>Data_thang!A620</f>
        <v/>
      </c>
      <c r="B620">
        <f>Data_thang!B620</f>
        <v/>
      </c>
      <c r="C620">
        <f>Data_thang!D620</f>
        <v/>
      </c>
      <c r="D620">
        <f>Data_thang!E620</f>
        <v/>
      </c>
      <c r="E620">
        <f>Data_thang!F620</f>
        <v/>
      </c>
      <c r="F620">
        <f>Data_thang!G620</f>
        <v/>
      </c>
      <c r="G620" s="29">
        <f>Data_thang!J620-Data_thang!K620</f>
        <v/>
      </c>
      <c r="H620" s="29">
        <f>Data_thang!N620</f>
        <v/>
      </c>
      <c r="I620" s="29">
        <f>H620-G620</f>
        <v/>
      </c>
      <c r="J620" s="30">
        <f>IF(H620=0,IF(I620=0,0,1),I620/ABS(H620))</f>
        <v/>
      </c>
      <c r="K620" s="29">
        <f>H620-(Data_thang!O620-Data_thang!K620)</f>
        <v/>
      </c>
      <c r="L620">
        <f>IF(AND(ABS(I620)&gt;Dashboard!$G$6,ABS(J620)&gt;Dashboard!$H$6),"⚠ Vượt","")</f>
        <v/>
      </c>
      <c r="M620">
        <f>IF(AND(A620=Dashboard!$D$6,OR(Dashboard!$C$6="*",F620=Dashboard!$C$6),L620&lt;&gt;""),ABS(I620)+ROW()/1000000000,0)</f>
        <v/>
      </c>
    </row>
    <row r="621">
      <c r="A621">
        <f>Data_thang!A621</f>
        <v/>
      </c>
      <c r="B621">
        <f>Data_thang!B621</f>
        <v/>
      </c>
      <c r="C621">
        <f>Data_thang!D621</f>
        <v/>
      </c>
      <c r="D621">
        <f>Data_thang!E621</f>
        <v/>
      </c>
      <c r="E621">
        <f>Data_thang!F621</f>
        <v/>
      </c>
      <c r="F621">
        <f>Data_thang!G621</f>
        <v/>
      </c>
      <c r="G621" s="29">
        <f>Data_thang!J621-Data_thang!K621</f>
        <v/>
      </c>
      <c r="H621" s="29">
        <f>Data_thang!N621</f>
        <v/>
      </c>
      <c r="I621" s="29">
        <f>H621-G621</f>
        <v/>
      </c>
      <c r="J621" s="30">
        <f>IF(H621=0,IF(I621=0,0,1),I621/ABS(H621))</f>
        <v/>
      </c>
      <c r="K621" s="29">
        <f>H621-(Data_thang!O621-Data_thang!K621)</f>
        <v/>
      </c>
      <c r="L621">
        <f>IF(AND(ABS(I621)&gt;Dashboard!$G$6,ABS(J621)&gt;Dashboard!$H$6),"⚠ Vượt","")</f>
        <v/>
      </c>
      <c r="M621">
        <f>IF(AND(A621=Dashboard!$D$6,OR(Dashboard!$C$6="*",F621=Dashboard!$C$6),L621&lt;&gt;""),ABS(I621)+ROW()/1000000000,0)</f>
        <v/>
      </c>
    </row>
    <row r="622">
      <c r="A622">
        <f>Data_thang!A622</f>
        <v/>
      </c>
      <c r="B622">
        <f>Data_thang!B622</f>
        <v/>
      </c>
      <c r="C622">
        <f>Data_thang!D622</f>
        <v/>
      </c>
      <c r="D622">
        <f>Data_thang!E622</f>
        <v/>
      </c>
      <c r="E622">
        <f>Data_thang!F622</f>
        <v/>
      </c>
      <c r="F622">
        <f>Data_thang!G622</f>
        <v/>
      </c>
      <c r="G622" s="29">
        <f>Data_thang!J622-Data_thang!K622</f>
        <v/>
      </c>
      <c r="H622" s="29">
        <f>Data_thang!N622</f>
        <v/>
      </c>
      <c r="I622" s="29">
        <f>H622-G622</f>
        <v/>
      </c>
      <c r="J622" s="30">
        <f>IF(H622=0,IF(I622=0,0,1),I622/ABS(H622))</f>
        <v/>
      </c>
      <c r="K622" s="29">
        <f>H622-(Data_thang!O622-Data_thang!K622)</f>
        <v/>
      </c>
      <c r="L622">
        <f>IF(AND(ABS(I622)&gt;Dashboard!$G$6,ABS(J622)&gt;Dashboard!$H$6),"⚠ Vượt","")</f>
        <v/>
      </c>
      <c r="M622">
        <f>IF(AND(A622=Dashboard!$D$6,OR(Dashboard!$C$6="*",F622=Dashboard!$C$6),L622&lt;&gt;""),ABS(I622)+ROW()/1000000000,0)</f>
        <v/>
      </c>
    </row>
    <row r="623">
      <c r="A623">
        <f>Data_thang!A623</f>
        <v/>
      </c>
      <c r="B623">
        <f>Data_thang!B623</f>
        <v/>
      </c>
      <c r="C623">
        <f>Data_thang!D623</f>
        <v/>
      </c>
      <c r="D623">
        <f>Data_thang!E623</f>
        <v/>
      </c>
      <c r="E623">
        <f>Data_thang!F623</f>
        <v/>
      </c>
      <c r="F623">
        <f>Data_thang!G623</f>
        <v/>
      </c>
      <c r="G623" s="29">
        <f>Data_thang!J623-Data_thang!K623</f>
        <v/>
      </c>
      <c r="H623" s="29">
        <f>Data_thang!N623</f>
        <v/>
      </c>
      <c r="I623" s="29">
        <f>H623-G623</f>
        <v/>
      </c>
      <c r="J623" s="30">
        <f>IF(H623=0,IF(I623=0,0,1),I623/ABS(H623))</f>
        <v/>
      </c>
      <c r="K623" s="29">
        <f>H623-(Data_thang!O623-Data_thang!K623)</f>
        <v/>
      </c>
      <c r="L623">
        <f>IF(AND(ABS(I623)&gt;Dashboard!$G$6,ABS(J623)&gt;Dashboard!$H$6),"⚠ Vượt","")</f>
        <v/>
      </c>
      <c r="M623">
        <f>IF(AND(A623=Dashboard!$D$6,OR(Dashboard!$C$6="*",F623=Dashboard!$C$6),L623&lt;&gt;""),ABS(I623)+ROW()/1000000000,0)</f>
        <v/>
      </c>
    </row>
    <row r="624">
      <c r="A624">
        <f>Data_thang!A624</f>
        <v/>
      </c>
      <c r="B624">
        <f>Data_thang!B624</f>
        <v/>
      </c>
      <c r="C624">
        <f>Data_thang!D624</f>
        <v/>
      </c>
      <c r="D624">
        <f>Data_thang!E624</f>
        <v/>
      </c>
      <c r="E624">
        <f>Data_thang!F624</f>
        <v/>
      </c>
      <c r="F624">
        <f>Data_thang!G624</f>
        <v/>
      </c>
      <c r="G624" s="29">
        <f>Data_thang!J624-Data_thang!K624</f>
        <v/>
      </c>
      <c r="H624" s="29">
        <f>Data_thang!N624</f>
        <v/>
      </c>
      <c r="I624" s="29">
        <f>H624-G624</f>
        <v/>
      </c>
      <c r="J624" s="30">
        <f>IF(H624=0,IF(I624=0,0,1),I624/ABS(H624))</f>
        <v/>
      </c>
      <c r="K624" s="29">
        <f>H624-(Data_thang!O624-Data_thang!K624)</f>
        <v/>
      </c>
      <c r="L624">
        <f>IF(AND(ABS(I624)&gt;Dashboard!$G$6,ABS(J624)&gt;Dashboard!$H$6),"⚠ Vượt","")</f>
        <v/>
      </c>
      <c r="M624">
        <f>IF(AND(A624=Dashboard!$D$6,OR(Dashboard!$C$6="*",F624=Dashboard!$C$6),L624&lt;&gt;""),ABS(I624)+ROW()/1000000000,0)</f>
        <v/>
      </c>
    </row>
    <row r="625">
      <c r="A625">
        <f>Data_thang!A625</f>
        <v/>
      </c>
      <c r="B625">
        <f>Data_thang!B625</f>
        <v/>
      </c>
      <c r="C625">
        <f>Data_thang!D625</f>
        <v/>
      </c>
      <c r="D625">
        <f>Data_thang!E625</f>
        <v/>
      </c>
      <c r="E625">
        <f>Data_thang!F625</f>
        <v/>
      </c>
      <c r="F625">
        <f>Data_thang!G625</f>
        <v/>
      </c>
      <c r="G625" s="29">
        <f>Data_thang!J625-Data_thang!K625</f>
        <v/>
      </c>
      <c r="H625" s="29">
        <f>Data_thang!N625</f>
        <v/>
      </c>
      <c r="I625" s="29">
        <f>H625-G625</f>
        <v/>
      </c>
      <c r="J625" s="30">
        <f>IF(H625=0,IF(I625=0,0,1),I625/ABS(H625))</f>
        <v/>
      </c>
      <c r="K625" s="29">
        <f>H625-(Data_thang!O625-Data_thang!K625)</f>
        <v/>
      </c>
      <c r="L625">
        <f>IF(AND(ABS(I625)&gt;Dashboard!$G$6,ABS(J625)&gt;Dashboard!$H$6),"⚠ Vượt","")</f>
        <v/>
      </c>
      <c r="M625">
        <f>IF(AND(A625=Dashboard!$D$6,OR(Dashboard!$C$6="*",F625=Dashboard!$C$6),L625&lt;&gt;""),ABS(I625)+ROW()/1000000000,0)</f>
        <v/>
      </c>
    </row>
    <row r="626">
      <c r="A626">
        <f>Data_thang!A626</f>
        <v/>
      </c>
      <c r="B626">
        <f>Data_thang!B626</f>
        <v/>
      </c>
      <c r="C626">
        <f>Data_thang!D626</f>
        <v/>
      </c>
      <c r="D626">
        <f>Data_thang!E626</f>
        <v/>
      </c>
      <c r="E626">
        <f>Data_thang!F626</f>
        <v/>
      </c>
      <c r="F626">
        <f>Data_thang!G626</f>
        <v/>
      </c>
      <c r="G626" s="29">
        <f>Data_thang!J626-Data_thang!K626</f>
        <v/>
      </c>
      <c r="H626" s="29">
        <f>Data_thang!N626</f>
        <v/>
      </c>
      <c r="I626" s="29">
        <f>H626-G626</f>
        <v/>
      </c>
      <c r="J626" s="30">
        <f>IF(H626=0,IF(I626=0,0,1),I626/ABS(H626))</f>
        <v/>
      </c>
      <c r="K626" s="29">
        <f>H626-(Data_thang!O626-Data_thang!K626)</f>
        <v/>
      </c>
      <c r="L626">
        <f>IF(AND(ABS(I626)&gt;Dashboard!$G$6,ABS(J626)&gt;Dashboard!$H$6),"⚠ Vượt","")</f>
        <v/>
      </c>
      <c r="M626">
        <f>IF(AND(A626=Dashboard!$D$6,OR(Dashboard!$C$6="*",F626=Dashboard!$C$6),L626&lt;&gt;""),ABS(I626)+ROW()/1000000000,0)</f>
        <v/>
      </c>
    </row>
    <row r="627">
      <c r="A627">
        <f>Data_thang!A627</f>
        <v/>
      </c>
      <c r="B627">
        <f>Data_thang!B627</f>
        <v/>
      </c>
      <c r="C627">
        <f>Data_thang!D627</f>
        <v/>
      </c>
      <c r="D627">
        <f>Data_thang!E627</f>
        <v/>
      </c>
      <c r="E627">
        <f>Data_thang!F627</f>
        <v/>
      </c>
      <c r="F627">
        <f>Data_thang!G627</f>
        <v/>
      </c>
      <c r="G627" s="29">
        <f>Data_thang!J627-Data_thang!K627</f>
        <v/>
      </c>
      <c r="H627" s="29">
        <f>Data_thang!N627</f>
        <v/>
      </c>
      <c r="I627" s="29">
        <f>H627-G627</f>
        <v/>
      </c>
      <c r="J627" s="30">
        <f>IF(H627=0,IF(I627=0,0,1),I627/ABS(H627))</f>
        <v/>
      </c>
      <c r="K627" s="29">
        <f>H627-(Data_thang!O627-Data_thang!K627)</f>
        <v/>
      </c>
      <c r="L627">
        <f>IF(AND(ABS(I627)&gt;Dashboard!$G$6,ABS(J627)&gt;Dashboard!$H$6),"⚠ Vượt","")</f>
        <v/>
      </c>
      <c r="M627">
        <f>IF(AND(A627=Dashboard!$D$6,OR(Dashboard!$C$6="*",F627=Dashboard!$C$6),L627&lt;&gt;""),ABS(I627)+ROW()/1000000000,0)</f>
        <v/>
      </c>
    </row>
    <row r="628">
      <c r="A628">
        <f>Data_thang!A628</f>
        <v/>
      </c>
      <c r="B628">
        <f>Data_thang!B628</f>
        <v/>
      </c>
      <c r="C628">
        <f>Data_thang!D628</f>
        <v/>
      </c>
      <c r="D628">
        <f>Data_thang!E628</f>
        <v/>
      </c>
      <c r="E628">
        <f>Data_thang!F628</f>
        <v/>
      </c>
      <c r="F628">
        <f>Data_thang!G628</f>
        <v/>
      </c>
      <c r="G628" s="29">
        <f>Data_thang!J628-Data_thang!K628</f>
        <v/>
      </c>
      <c r="H628" s="29">
        <f>Data_thang!N628</f>
        <v/>
      </c>
      <c r="I628" s="29">
        <f>H628-G628</f>
        <v/>
      </c>
      <c r="J628" s="30">
        <f>IF(H628=0,IF(I628=0,0,1),I628/ABS(H628))</f>
        <v/>
      </c>
      <c r="K628" s="29">
        <f>H628-(Data_thang!O628-Data_thang!K628)</f>
        <v/>
      </c>
      <c r="L628">
        <f>IF(AND(ABS(I628)&gt;Dashboard!$G$6,ABS(J628)&gt;Dashboard!$H$6),"⚠ Vượt","")</f>
        <v/>
      </c>
      <c r="M628">
        <f>IF(AND(A628=Dashboard!$D$6,OR(Dashboard!$C$6="*",F628=Dashboard!$C$6),L628&lt;&gt;""),ABS(I628)+ROW()/1000000000,0)</f>
        <v/>
      </c>
    </row>
    <row r="629">
      <c r="A629">
        <f>Data_thang!A629</f>
        <v/>
      </c>
      <c r="B629">
        <f>Data_thang!B629</f>
        <v/>
      </c>
      <c r="C629">
        <f>Data_thang!D629</f>
        <v/>
      </c>
      <c r="D629">
        <f>Data_thang!E629</f>
        <v/>
      </c>
      <c r="E629">
        <f>Data_thang!F629</f>
        <v/>
      </c>
      <c r="F629">
        <f>Data_thang!G629</f>
        <v/>
      </c>
      <c r="G629" s="29">
        <f>Data_thang!J629-Data_thang!K629</f>
        <v/>
      </c>
      <c r="H629" s="29">
        <f>Data_thang!N629</f>
        <v/>
      </c>
      <c r="I629" s="29">
        <f>H629-G629</f>
        <v/>
      </c>
      <c r="J629" s="30">
        <f>IF(H629=0,IF(I629=0,0,1),I629/ABS(H629))</f>
        <v/>
      </c>
      <c r="K629" s="29">
        <f>H629-(Data_thang!O629-Data_thang!K629)</f>
        <v/>
      </c>
      <c r="L629">
        <f>IF(AND(ABS(I629)&gt;Dashboard!$G$6,ABS(J629)&gt;Dashboard!$H$6),"⚠ Vượt","")</f>
        <v/>
      </c>
      <c r="M629">
        <f>IF(AND(A629=Dashboard!$D$6,OR(Dashboard!$C$6="*",F629=Dashboard!$C$6),L629&lt;&gt;""),ABS(I629)+ROW()/1000000000,0)</f>
        <v/>
      </c>
    </row>
    <row r="630">
      <c r="A630">
        <f>Data_thang!A630</f>
        <v/>
      </c>
      <c r="B630">
        <f>Data_thang!B630</f>
        <v/>
      </c>
      <c r="C630">
        <f>Data_thang!D630</f>
        <v/>
      </c>
      <c r="D630">
        <f>Data_thang!E630</f>
        <v/>
      </c>
      <c r="E630">
        <f>Data_thang!F630</f>
        <v/>
      </c>
      <c r="F630">
        <f>Data_thang!G630</f>
        <v/>
      </c>
      <c r="G630" s="29">
        <f>Data_thang!J630-Data_thang!K630</f>
        <v/>
      </c>
      <c r="H630" s="29">
        <f>Data_thang!N630</f>
        <v/>
      </c>
      <c r="I630" s="29">
        <f>H630-G630</f>
        <v/>
      </c>
      <c r="J630" s="30">
        <f>IF(H630=0,IF(I630=0,0,1),I630/ABS(H630))</f>
        <v/>
      </c>
      <c r="K630" s="29">
        <f>H630-(Data_thang!O630-Data_thang!K630)</f>
        <v/>
      </c>
      <c r="L630">
        <f>IF(AND(ABS(I630)&gt;Dashboard!$G$6,ABS(J630)&gt;Dashboard!$H$6),"⚠ Vượt","")</f>
        <v/>
      </c>
      <c r="M630">
        <f>IF(AND(A630=Dashboard!$D$6,OR(Dashboard!$C$6="*",F630=Dashboard!$C$6),L630&lt;&gt;""),ABS(I630)+ROW()/1000000000,0)</f>
        <v/>
      </c>
    </row>
    <row r="631">
      <c r="A631">
        <f>Data_thang!A631</f>
        <v/>
      </c>
      <c r="B631">
        <f>Data_thang!B631</f>
        <v/>
      </c>
      <c r="C631">
        <f>Data_thang!D631</f>
        <v/>
      </c>
      <c r="D631">
        <f>Data_thang!E631</f>
        <v/>
      </c>
      <c r="E631">
        <f>Data_thang!F631</f>
        <v/>
      </c>
      <c r="F631">
        <f>Data_thang!G631</f>
        <v/>
      </c>
      <c r="G631" s="29">
        <f>Data_thang!J631-Data_thang!K631</f>
        <v/>
      </c>
      <c r="H631" s="29">
        <f>Data_thang!N631</f>
        <v/>
      </c>
      <c r="I631" s="29">
        <f>H631-G631</f>
        <v/>
      </c>
      <c r="J631" s="30">
        <f>IF(H631=0,IF(I631=0,0,1),I631/ABS(H631))</f>
        <v/>
      </c>
      <c r="K631" s="29">
        <f>H631-(Data_thang!O631-Data_thang!K631)</f>
        <v/>
      </c>
      <c r="L631">
        <f>IF(AND(ABS(I631)&gt;Dashboard!$G$6,ABS(J631)&gt;Dashboard!$H$6),"⚠ Vượt","")</f>
        <v/>
      </c>
      <c r="M631">
        <f>IF(AND(A631=Dashboard!$D$6,OR(Dashboard!$C$6="*",F631=Dashboard!$C$6),L631&lt;&gt;""),ABS(I631)+ROW()/1000000000,0)</f>
        <v/>
      </c>
    </row>
    <row r="632">
      <c r="A632">
        <f>Data_thang!A632</f>
        <v/>
      </c>
      <c r="B632">
        <f>Data_thang!B632</f>
        <v/>
      </c>
      <c r="C632">
        <f>Data_thang!D632</f>
        <v/>
      </c>
      <c r="D632">
        <f>Data_thang!E632</f>
        <v/>
      </c>
      <c r="E632">
        <f>Data_thang!F632</f>
        <v/>
      </c>
      <c r="F632">
        <f>Data_thang!G632</f>
        <v/>
      </c>
      <c r="G632" s="29">
        <f>Data_thang!J632-Data_thang!K632</f>
        <v/>
      </c>
      <c r="H632" s="29">
        <f>Data_thang!N632</f>
        <v/>
      </c>
      <c r="I632" s="29">
        <f>H632-G632</f>
        <v/>
      </c>
      <c r="J632" s="30">
        <f>IF(H632=0,IF(I632=0,0,1),I632/ABS(H632))</f>
        <v/>
      </c>
      <c r="K632" s="29">
        <f>H632-(Data_thang!O632-Data_thang!K632)</f>
        <v/>
      </c>
      <c r="L632">
        <f>IF(AND(ABS(I632)&gt;Dashboard!$G$6,ABS(J632)&gt;Dashboard!$H$6),"⚠ Vượt","")</f>
        <v/>
      </c>
      <c r="M632">
        <f>IF(AND(A632=Dashboard!$D$6,OR(Dashboard!$C$6="*",F632=Dashboard!$C$6),L632&lt;&gt;""),ABS(I632)+ROW()/1000000000,0)</f>
        <v/>
      </c>
    </row>
    <row r="633">
      <c r="A633">
        <f>Data_thang!A633</f>
        <v/>
      </c>
      <c r="B633">
        <f>Data_thang!B633</f>
        <v/>
      </c>
      <c r="C633">
        <f>Data_thang!D633</f>
        <v/>
      </c>
      <c r="D633">
        <f>Data_thang!E633</f>
        <v/>
      </c>
      <c r="E633">
        <f>Data_thang!F633</f>
        <v/>
      </c>
      <c r="F633">
        <f>Data_thang!G633</f>
        <v/>
      </c>
      <c r="G633" s="29">
        <f>Data_thang!J633-Data_thang!K633</f>
        <v/>
      </c>
      <c r="H633" s="29">
        <f>Data_thang!N633</f>
        <v/>
      </c>
      <c r="I633" s="29">
        <f>H633-G633</f>
        <v/>
      </c>
      <c r="J633" s="30">
        <f>IF(H633=0,IF(I633=0,0,1),I633/ABS(H633))</f>
        <v/>
      </c>
      <c r="K633" s="29">
        <f>H633-(Data_thang!O633-Data_thang!K633)</f>
        <v/>
      </c>
      <c r="L633">
        <f>IF(AND(ABS(I633)&gt;Dashboard!$G$6,ABS(J633)&gt;Dashboard!$H$6),"⚠ Vượt","")</f>
        <v/>
      </c>
      <c r="M633">
        <f>IF(AND(A633=Dashboard!$D$6,OR(Dashboard!$C$6="*",F633=Dashboard!$C$6),L633&lt;&gt;""),ABS(I633)+ROW()/1000000000,0)</f>
        <v/>
      </c>
    </row>
    <row r="634">
      <c r="A634">
        <f>Data_thang!A634</f>
        <v/>
      </c>
      <c r="B634">
        <f>Data_thang!B634</f>
        <v/>
      </c>
      <c r="C634">
        <f>Data_thang!D634</f>
        <v/>
      </c>
      <c r="D634">
        <f>Data_thang!E634</f>
        <v/>
      </c>
      <c r="E634">
        <f>Data_thang!F634</f>
        <v/>
      </c>
      <c r="F634">
        <f>Data_thang!G634</f>
        <v/>
      </c>
      <c r="G634" s="29">
        <f>Data_thang!J634-Data_thang!K634</f>
        <v/>
      </c>
      <c r="H634" s="29">
        <f>Data_thang!N634</f>
        <v/>
      </c>
      <c r="I634" s="29">
        <f>H634-G634</f>
        <v/>
      </c>
      <c r="J634" s="30">
        <f>IF(H634=0,IF(I634=0,0,1),I634/ABS(H634))</f>
        <v/>
      </c>
      <c r="K634" s="29">
        <f>H634-(Data_thang!O634-Data_thang!K634)</f>
        <v/>
      </c>
      <c r="L634">
        <f>IF(AND(ABS(I634)&gt;Dashboard!$G$6,ABS(J634)&gt;Dashboard!$H$6),"⚠ Vượt","")</f>
        <v/>
      </c>
      <c r="M634">
        <f>IF(AND(A634=Dashboard!$D$6,OR(Dashboard!$C$6="*",F634=Dashboard!$C$6),L634&lt;&gt;""),ABS(I634)+ROW()/1000000000,0)</f>
        <v/>
      </c>
    </row>
    <row r="635">
      <c r="A635">
        <f>Data_thang!A635</f>
        <v/>
      </c>
      <c r="B635">
        <f>Data_thang!B635</f>
        <v/>
      </c>
      <c r="C635">
        <f>Data_thang!D635</f>
        <v/>
      </c>
      <c r="D635">
        <f>Data_thang!E635</f>
        <v/>
      </c>
      <c r="E635">
        <f>Data_thang!F635</f>
        <v/>
      </c>
      <c r="F635">
        <f>Data_thang!G635</f>
        <v/>
      </c>
      <c r="G635" s="29">
        <f>Data_thang!J635-Data_thang!K635</f>
        <v/>
      </c>
      <c r="H635" s="29">
        <f>Data_thang!N635</f>
        <v/>
      </c>
      <c r="I635" s="29">
        <f>H635-G635</f>
        <v/>
      </c>
      <c r="J635" s="30">
        <f>IF(H635=0,IF(I635=0,0,1),I635/ABS(H635))</f>
        <v/>
      </c>
      <c r="K635" s="29">
        <f>H635-(Data_thang!O635-Data_thang!K635)</f>
        <v/>
      </c>
      <c r="L635">
        <f>IF(AND(ABS(I635)&gt;Dashboard!$G$6,ABS(J635)&gt;Dashboard!$H$6),"⚠ Vượt","")</f>
        <v/>
      </c>
      <c r="M635">
        <f>IF(AND(A635=Dashboard!$D$6,OR(Dashboard!$C$6="*",F635=Dashboard!$C$6),L635&lt;&gt;""),ABS(I635)+ROW()/1000000000,0)</f>
        <v/>
      </c>
    </row>
    <row r="636">
      <c r="A636">
        <f>Data_thang!A636</f>
        <v/>
      </c>
      <c r="B636">
        <f>Data_thang!B636</f>
        <v/>
      </c>
      <c r="C636">
        <f>Data_thang!D636</f>
        <v/>
      </c>
      <c r="D636">
        <f>Data_thang!E636</f>
        <v/>
      </c>
      <c r="E636">
        <f>Data_thang!F636</f>
        <v/>
      </c>
      <c r="F636">
        <f>Data_thang!G636</f>
        <v/>
      </c>
      <c r="G636" s="29">
        <f>Data_thang!J636-Data_thang!K636</f>
        <v/>
      </c>
      <c r="H636" s="29">
        <f>Data_thang!N636</f>
        <v/>
      </c>
      <c r="I636" s="29">
        <f>H636-G636</f>
        <v/>
      </c>
      <c r="J636" s="30">
        <f>IF(H636=0,IF(I636=0,0,1),I636/ABS(H636))</f>
        <v/>
      </c>
      <c r="K636" s="29">
        <f>H636-(Data_thang!O636-Data_thang!K636)</f>
        <v/>
      </c>
      <c r="L636">
        <f>IF(AND(ABS(I636)&gt;Dashboard!$G$6,ABS(J636)&gt;Dashboard!$H$6),"⚠ Vượt","")</f>
        <v/>
      </c>
      <c r="M636">
        <f>IF(AND(A636=Dashboard!$D$6,OR(Dashboard!$C$6="*",F636=Dashboard!$C$6),L636&lt;&gt;""),ABS(I636)+ROW()/1000000000,0)</f>
        <v/>
      </c>
    </row>
    <row r="637">
      <c r="A637">
        <f>Data_thang!A637</f>
        <v/>
      </c>
      <c r="B637">
        <f>Data_thang!B637</f>
        <v/>
      </c>
      <c r="C637">
        <f>Data_thang!D637</f>
        <v/>
      </c>
      <c r="D637">
        <f>Data_thang!E637</f>
        <v/>
      </c>
      <c r="E637">
        <f>Data_thang!F637</f>
        <v/>
      </c>
      <c r="F637">
        <f>Data_thang!G637</f>
        <v/>
      </c>
      <c r="G637" s="29">
        <f>Data_thang!J637-Data_thang!K637</f>
        <v/>
      </c>
      <c r="H637" s="29">
        <f>Data_thang!N637</f>
        <v/>
      </c>
      <c r="I637" s="29">
        <f>H637-G637</f>
        <v/>
      </c>
      <c r="J637" s="30">
        <f>IF(H637=0,IF(I637=0,0,1),I637/ABS(H637))</f>
        <v/>
      </c>
      <c r="K637" s="29">
        <f>H637-(Data_thang!O637-Data_thang!K637)</f>
        <v/>
      </c>
      <c r="L637">
        <f>IF(AND(ABS(I637)&gt;Dashboard!$G$6,ABS(J637)&gt;Dashboard!$H$6),"⚠ Vượt","")</f>
        <v/>
      </c>
      <c r="M637">
        <f>IF(AND(A637=Dashboard!$D$6,OR(Dashboard!$C$6="*",F637=Dashboard!$C$6),L637&lt;&gt;""),ABS(I637)+ROW()/1000000000,0)</f>
        <v/>
      </c>
    </row>
    <row r="638">
      <c r="A638">
        <f>Data_thang!A638</f>
        <v/>
      </c>
      <c r="B638">
        <f>Data_thang!B638</f>
        <v/>
      </c>
      <c r="C638">
        <f>Data_thang!D638</f>
        <v/>
      </c>
      <c r="D638">
        <f>Data_thang!E638</f>
        <v/>
      </c>
      <c r="E638">
        <f>Data_thang!F638</f>
        <v/>
      </c>
      <c r="F638">
        <f>Data_thang!G638</f>
        <v/>
      </c>
      <c r="G638" s="29">
        <f>Data_thang!J638-Data_thang!K638</f>
        <v/>
      </c>
      <c r="H638" s="29">
        <f>Data_thang!N638</f>
        <v/>
      </c>
      <c r="I638" s="29">
        <f>H638-G638</f>
        <v/>
      </c>
      <c r="J638" s="30">
        <f>IF(H638=0,IF(I638=0,0,1),I638/ABS(H638))</f>
        <v/>
      </c>
      <c r="K638" s="29">
        <f>H638-(Data_thang!O638-Data_thang!K638)</f>
        <v/>
      </c>
      <c r="L638">
        <f>IF(AND(ABS(I638)&gt;Dashboard!$G$6,ABS(J638)&gt;Dashboard!$H$6),"⚠ Vượt","")</f>
        <v/>
      </c>
      <c r="M638">
        <f>IF(AND(A638=Dashboard!$D$6,OR(Dashboard!$C$6="*",F638=Dashboard!$C$6),L638&lt;&gt;""),ABS(I638)+ROW()/1000000000,0)</f>
        <v/>
      </c>
    </row>
    <row r="639">
      <c r="A639">
        <f>Data_thang!A639</f>
        <v/>
      </c>
      <c r="B639">
        <f>Data_thang!B639</f>
        <v/>
      </c>
      <c r="C639">
        <f>Data_thang!D639</f>
        <v/>
      </c>
      <c r="D639">
        <f>Data_thang!E639</f>
        <v/>
      </c>
      <c r="E639">
        <f>Data_thang!F639</f>
        <v/>
      </c>
      <c r="F639">
        <f>Data_thang!G639</f>
        <v/>
      </c>
      <c r="G639" s="29">
        <f>Data_thang!J639-Data_thang!K639</f>
        <v/>
      </c>
      <c r="H639" s="29">
        <f>Data_thang!N639</f>
        <v/>
      </c>
      <c r="I639" s="29">
        <f>H639-G639</f>
        <v/>
      </c>
      <c r="J639" s="30">
        <f>IF(H639=0,IF(I639=0,0,1),I639/ABS(H639))</f>
        <v/>
      </c>
      <c r="K639" s="29">
        <f>H639-(Data_thang!O639-Data_thang!K639)</f>
        <v/>
      </c>
      <c r="L639">
        <f>IF(AND(ABS(I639)&gt;Dashboard!$G$6,ABS(J639)&gt;Dashboard!$H$6),"⚠ Vượt","")</f>
        <v/>
      </c>
      <c r="M639">
        <f>IF(AND(A639=Dashboard!$D$6,OR(Dashboard!$C$6="*",F639=Dashboard!$C$6),L639&lt;&gt;""),ABS(I639)+ROW()/1000000000,0)</f>
        <v/>
      </c>
    </row>
    <row r="640">
      <c r="A640">
        <f>Data_thang!A640</f>
        <v/>
      </c>
      <c r="B640">
        <f>Data_thang!B640</f>
        <v/>
      </c>
      <c r="C640">
        <f>Data_thang!D640</f>
        <v/>
      </c>
      <c r="D640">
        <f>Data_thang!E640</f>
        <v/>
      </c>
      <c r="E640">
        <f>Data_thang!F640</f>
        <v/>
      </c>
      <c r="F640">
        <f>Data_thang!G640</f>
        <v/>
      </c>
      <c r="G640" s="29">
        <f>Data_thang!J640-Data_thang!K640</f>
        <v/>
      </c>
      <c r="H640" s="29">
        <f>Data_thang!N640</f>
        <v/>
      </c>
      <c r="I640" s="29">
        <f>H640-G640</f>
        <v/>
      </c>
      <c r="J640" s="30">
        <f>IF(H640=0,IF(I640=0,0,1),I640/ABS(H640))</f>
        <v/>
      </c>
      <c r="K640" s="29">
        <f>H640-(Data_thang!O640-Data_thang!K640)</f>
        <v/>
      </c>
      <c r="L640">
        <f>IF(AND(ABS(I640)&gt;Dashboard!$G$6,ABS(J640)&gt;Dashboard!$H$6),"⚠ Vượt","")</f>
        <v/>
      </c>
      <c r="M640">
        <f>IF(AND(A640=Dashboard!$D$6,OR(Dashboard!$C$6="*",F640=Dashboard!$C$6),L640&lt;&gt;""),ABS(I640)+ROW()/1000000000,0)</f>
        <v/>
      </c>
    </row>
    <row r="641">
      <c r="A641">
        <f>Data_thang!A641</f>
        <v/>
      </c>
      <c r="B641">
        <f>Data_thang!B641</f>
        <v/>
      </c>
      <c r="C641">
        <f>Data_thang!D641</f>
        <v/>
      </c>
      <c r="D641">
        <f>Data_thang!E641</f>
        <v/>
      </c>
      <c r="E641">
        <f>Data_thang!F641</f>
        <v/>
      </c>
      <c r="F641">
        <f>Data_thang!G641</f>
        <v/>
      </c>
      <c r="G641" s="29">
        <f>Data_thang!J641-Data_thang!K641</f>
        <v/>
      </c>
      <c r="H641" s="29">
        <f>Data_thang!N641</f>
        <v/>
      </c>
      <c r="I641" s="29">
        <f>H641-G641</f>
        <v/>
      </c>
      <c r="J641" s="30">
        <f>IF(H641=0,IF(I641=0,0,1),I641/ABS(H641))</f>
        <v/>
      </c>
      <c r="K641" s="29">
        <f>H641-(Data_thang!O641-Data_thang!K641)</f>
        <v/>
      </c>
      <c r="L641">
        <f>IF(AND(ABS(I641)&gt;Dashboard!$G$6,ABS(J641)&gt;Dashboard!$H$6),"⚠ Vượt","")</f>
        <v/>
      </c>
      <c r="M641">
        <f>IF(AND(A641=Dashboard!$D$6,OR(Dashboard!$C$6="*",F641=Dashboard!$C$6),L641&lt;&gt;""),ABS(I641)+ROW()/1000000000,0)</f>
        <v/>
      </c>
    </row>
    <row r="642">
      <c r="A642">
        <f>Data_thang!A642</f>
        <v/>
      </c>
      <c r="B642">
        <f>Data_thang!B642</f>
        <v/>
      </c>
      <c r="C642">
        <f>Data_thang!D642</f>
        <v/>
      </c>
      <c r="D642">
        <f>Data_thang!E642</f>
        <v/>
      </c>
      <c r="E642">
        <f>Data_thang!F642</f>
        <v/>
      </c>
      <c r="F642">
        <f>Data_thang!G642</f>
        <v/>
      </c>
      <c r="G642" s="29">
        <f>Data_thang!J642-Data_thang!K642</f>
        <v/>
      </c>
      <c r="H642" s="29">
        <f>Data_thang!N642</f>
        <v/>
      </c>
      <c r="I642" s="29">
        <f>H642-G642</f>
        <v/>
      </c>
      <c r="J642" s="30">
        <f>IF(H642=0,IF(I642=0,0,1),I642/ABS(H642))</f>
        <v/>
      </c>
      <c r="K642" s="29">
        <f>H642-(Data_thang!O642-Data_thang!K642)</f>
        <v/>
      </c>
      <c r="L642">
        <f>IF(AND(ABS(I642)&gt;Dashboard!$G$6,ABS(J642)&gt;Dashboard!$H$6),"⚠ Vượt","")</f>
        <v/>
      </c>
      <c r="M642">
        <f>IF(AND(A642=Dashboard!$D$6,OR(Dashboard!$C$6="*",F642=Dashboard!$C$6),L642&lt;&gt;""),ABS(I642)+ROW()/1000000000,0)</f>
        <v/>
      </c>
    </row>
    <row r="643">
      <c r="A643">
        <f>Data_thang!A643</f>
        <v/>
      </c>
      <c r="B643">
        <f>Data_thang!B643</f>
        <v/>
      </c>
      <c r="C643">
        <f>Data_thang!D643</f>
        <v/>
      </c>
      <c r="D643">
        <f>Data_thang!E643</f>
        <v/>
      </c>
      <c r="E643">
        <f>Data_thang!F643</f>
        <v/>
      </c>
      <c r="F643">
        <f>Data_thang!G643</f>
        <v/>
      </c>
      <c r="G643" s="29">
        <f>Data_thang!J643-Data_thang!K643</f>
        <v/>
      </c>
      <c r="H643" s="29">
        <f>Data_thang!N643</f>
        <v/>
      </c>
      <c r="I643" s="29">
        <f>H643-G643</f>
        <v/>
      </c>
      <c r="J643" s="30">
        <f>IF(H643=0,IF(I643=0,0,1),I643/ABS(H643))</f>
        <v/>
      </c>
      <c r="K643" s="29">
        <f>H643-(Data_thang!O643-Data_thang!K643)</f>
        <v/>
      </c>
      <c r="L643">
        <f>IF(AND(ABS(I643)&gt;Dashboard!$G$6,ABS(J643)&gt;Dashboard!$H$6),"⚠ Vượt","")</f>
        <v/>
      </c>
      <c r="M643">
        <f>IF(AND(A643=Dashboard!$D$6,OR(Dashboard!$C$6="*",F643=Dashboard!$C$6),L643&lt;&gt;""),ABS(I643)+ROW()/1000000000,0)</f>
        <v/>
      </c>
    </row>
    <row r="644">
      <c r="A644">
        <f>Data_thang!A644</f>
        <v/>
      </c>
      <c r="B644">
        <f>Data_thang!B644</f>
        <v/>
      </c>
      <c r="C644">
        <f>Data_thang!D644</f>
        <v/>
      </c>
      <c r="D644">
        <f>Data_thang!E644</f>
        <v/>
      </c>
      <c r="E644">
        <f>Data_thang!F644</f>
        <v/>
      </c>
      <c r="F644">
        <f>Data_thang!G644</f>
        <v/>
      </c>
      <c r="G644" s="29">
        <f>Data_thang!J644-Data_thang!K644</f>
        <v/>
      </c>
      <c r="H644" s="29">
        <f>Data_thang!N644</f>
        <v/>
      </c>
      <c r="I644" s="29">
        <f>H644-G644</f>
        <v/>
      </c>
      <c r="J644" s="30">
        <f>IF(H644=0,IF(I644=0,0,1),I644/ABS(H644))</f>
        <v/>
      </c>
      <c r="K644" s="29">
        <f>H644-(Data_thang!O644-Data_thang!K644)</f>
        <v/>
      </c>
      <c r="L644">
        <f>IF(AND(ABS(I644)&gt;Dashboard!$G$6,ABS(J644)&gt;Dashboard!$H$6),"⚠ Vượt","")</f>
        <v/>
      </c>
      <c r="M644">
        <f>IF(AND(A644=Dashboard!$D$6,OR(Dashboard!$C$6="*",F644=Dashboard!$C$6),L644&lt;&gt;""),ABS(I644)+ROW()/1000000000,0)</f>
        <v/>
      </c>
    </row>
    <row r="645">
      <c r="A645">
        <f>Data_thang!A645</f>
        <v/>
      </c>
      <c r="B645">
        <f>Data_thang!B645</f>
        <v/>
      </c>
      <c r="C645">
        <f>Data_thang!D645</f>
        <v/>
      </c>
      <c r="D645">
        <f>Data_thang!E645</f>
        <v/>
      </c>
      <c r="E645">
        <f>Data_thang!F645</f>
        <v/>
      </c>
      <c r="F645">
        <f>Data_thang!G645</f>
        <v/>
      </c>
      <c r="G645" s="29">
        <f>Data_thang!J645-Data_thang!K645</f>
        <v/>
      </c>
      <c r="H645" s="29">
        <f>Data_thang!N645</f>
        <v/>
      </c>
      <c r="I645" s="29">
        <f>H645-G645</f>
        <v/>
      </c>
      <c r="J645" s="30">
        <f>IF(H645=0,IF(I645=0,0,1),I645/ABS(H645))</f>
        <v/>
      </c>
      <c r="K645" s="29">
        <f>H645-(Data_thang!O645-Data_thang!K645)</f>
        <v/>
      </c>
      <c r="L645">
        <f>IF(AND(ABS(I645)&gt;Dashboard!$G$6,ABS(J645)&gt;Dashboard!$H$6),"⚠ Vượt","")</f>
        <v/>
      </c>
      <c r="M645">
        <f>IF(AND(A645=Dashboard!$D$6,OR(Dashboard!$C$6="*",F645=Dashboard!$C$6),L645&lt;&gt;""),ABS(I645)+ROW()/1000000000,0)</f>
        <v/>
      </c>
    </row>
    <row r="646">
      <c r="A646">
        <f>Data_thang!A646</f>
        <v/>
      </c>
      <c r="B646">
        <f>Data_thang!B646</f>
        <v/>
      </c>
      <c r="C646">
        <f>Data_thang!D646</f>
        <v/>
      </c>
      <c r="D646">
        <f>Data_thang!E646</f>
        <v/>
      </c>
      <c r="E646">
        <f>Data_thang!F646</f>
        <v/>
      </c>
      <c r="F646">
        <f>Data_thang!G646</f>
        <v/>
      </c>
      <c r="G646" s="29">
        <f>Data_thang!J646-Data_thang!K646</f>
        <v/>
      </c>
      <c r="H646" s="29">
        <f>Data_thang!N646</f>
        <v/>
      </c>
      <c r="I646" s="29">
        <f>H646-G646</f>
        <v/>
      </c>
      <c r="J646" s="30">
        <f>IF(H646=0,IF(I646=0,0,1),I646/ABS(H646))</f>
        <v/>
      </c>
      <c r="K646" s="29">
        <f>H646-(Data_thang!O646-Data_thang!K646)</f>
        <v/>
      </c>
      <c r="L646">
        <f>IF(AND(ABS(I646)&gt;Dashboard!$G$6,ABS(J646)&gt;Dashboard!$H$6),"⚠ Vượt","")</f>
        <v/>
      </c>
      <c r="M646">
        <f>IF(AND(A646=Dashboard!$D$6,OR(Dashboard!$C$6="*",F646=Dashboard!$C$6),L646&lt;&gt;""),ABS(I646)+ROW()/1000000000,0)</f>
        <v/>
      </c>
    </row>
    <row r="647">
      <c r="A647">
        <f>Data_thang!A647</f>
        <v/>
      </c>
      <c r="B647">
        <f>Data_thang!B647</f>
        <v/>
      </c>
      <c r="C647">
        <f>Data_thang!D647</f>
        <v/>
      </c>
      <c r="D647">
        <f>Data_thang!E647</f>
        <v/>
      </c>
      <c r="E647">
        <f>Data_thang!F647</f>
        <v/>
      </c>
      <c r="F647">
        <f>Data_thang!G647</f>
        <v/>
      </c>
      <c r="G647" s="29">
        <f>Data_thang!J647-Data_thang!K647</f>
        <v/>
      </c>
      <c r="H647" s="29">
        <f>Data_thang!N647</f>
        <v/>
      </c>
      <c r="I647" s="29">
        <f>H647-G647</f>
        <v/>
      </c>
      <c r="J647" s="30">
        <f>IF(H647=0,IF(I647=0,0,1),I647/ABS(H647))</f>
        <v/>
      </c>
      <c r="K647" s="29">
        <f>H647-(Data_thang!O647-Data_thang!K647)</f>
        <v/>
      </c>
      <c r="L647">
        <f>IF(AND(ABS(I647)&gt;Dashboard!$G$6,ABS(J647)&gt;Dashboard!$H$6),"⚠ Vượt","")</f>
        <v/>
      </c>
      <c r="M647">
        <f>IF(AND(A647=Dashboard!$D$6,OR(Dashboard!$C$6="*",F647=Dashboard!$C$6),L647&lt;&gt;""),ABS(I647)+ROW()/1000000000,0)</f>
        <v/>
      </c>
    </row>
    <row r="648">
      <c r="A648">
        <f>Data_thang!A648</f>
        <v/>
      </c>
      <c r="B648">
        <f>Data_thang!B648</f>
        <v/>
      </c>
      <c r="C648">
        <f>Data_thang!D648</f>
        <v/>
      </c>
      <c r="D648">
        <f>Data_thang!E648</f>
        <v/>
      </c>
      <c r="E648">
        <f>Data_thang!F648</f>
        <v/>
      </c>
      <c r="F648">
        <f>Data_thang!G648</f>
        <v/>
      </c>
      <c r="G648" s="29">
        <f>Data_thang!J648-Data_thang!K648</f>
        <v/>
      </c>
      <c r="H648" s="29">
        <f>Data_thang!N648</f>
        <v/>
      </c>
      <c r="I648" s="29">
        <f>H648-G648</f>
        <v/>
      </c>
      <c r="J648" s="30">
        <f>IF(H648=0,IF(I648=0,0,1),I648/ABS(H648))</f>
        <v/>
      </c>
      <c r="K648" s="29">
        <f>H648-(Data_thang!O648-Data_thang!K648)</f>
        <v/>
      </c>
      <c r="L648">
        <f>IF(AND(ABS(I648)&gt;Dashboard!$G$6,ABS(J648)&gt;Dashboard!$H$6),"⚠ Vượt","")</f>
        <v/>
      </c>
      <c r="M648">
        <f>IF(AND(A648=Dashboard!$D$6,OR(Dashboard!$C$6="*",F648=Dashboard!$C$6),L648&lt;&gt;""),ABS(I648)+ROW()/1000000000,0)</f>
        <v/>
      </c>
    </row>
    <row r="649">
      <c r="A649">
        <f>Data_thang!A649</f>
        <v/>
      </c>
      <c r="B649">
        <f>Data_thang!B649</f>
        <v/>
      </c>
      <c r="C649">
        <f>Data_thang!D649</f>
        <v/>
      </c>
      <c r="D649">
        <f>Data_thang!E649</f>
        <v/>
      </c>
      <c r="E649">
        <f>Data_thang!F649</f>
        <v/>
      </c>
      <c r="F649">
        <f>Data_thang!G649</f>
        <v/>
      </c>
      <c r="G649" s="29">
        <f>Data_thang!J649-Data_thang!K649</f>
        <v/>
      </c>
      <c r="H649" s="29">
        <f>Data_thang!N649</f>
        <v/>
      </c>
      <c r="I649" s="29">
        <f>H649-G649</f>
        <v/>
      </c>
      <c r="J649" s="30">
        <f>IF(H649=0,IF(I649=0,0,1),I649/ABS(H649))</f>
        <v/>
      </c>
      <c r="K649" s="29">
        <f>H649-(Data_thang!O649-Data_thang!K649)</f>
        <v/>
      </c>
      <c r="L649">
        <f>IF(AND(ABS(I649)&gt;Dashboard!$G$6,ABS(J649)&gt;Dashboard!$H$6),"⚠ Vượt","")</f>
        <v/>
      </c>
      <c r="M649">
        <f>IF(AND(A649=Dashboard!$D$6,OR(Dashboard!$C$6="*",F649=Dashboard!$C$6),L649&lt;&gt;""),ABS(I649)+ROW()/1000000000,0)</f>
        <v/>
      </c>
    </row>
    <row r="650">
      <c r="A650">
        <f>Data_thang!A650</f>
        <v/>
      </c>
      <c r="B650">
        <f>Data_thang!B650</f>
        <v/>
      </c>
      <c r="C650">
        <f>Data_thang!D650</f>
        <v/>
      </c>
      <c r="D650">
        <f>Data_thang!E650</f>
        <v/>
      </c>
      <c r="E650">
        <f>Data_thang!F650</f>
        <v/>
      </c>
      <c r="F650">
        <f>Data_thang!G650</f>
        <v/>
      </c>
      <c r="G650" s="29">
        <f>Data_thang!J650-Data_thang!K650</f>
        <v/>
      </c>
      <c r="H650" s="29">
        <f>Data_thang!N650</f>
        <v/>
      </c>
      <c r="I650" s="29">
        <f>H650-G650</f>
        <v/>
      </c>
      <c r="J650" s="30">
        <f>IF(H650=0,IF(I650=0,0,1),I650/ABS(H650))</f>
        <v/>
      </c>
      <c r="K650" s="29">
        <f>H650-(Data_thang!O650-Data_thang!K650)</f>
        <v/>
      </c>
      <c r="L650">
        <f>IF(AND(ABS(I650)&gt;Dashboard!$G$6,ABS(J650)&gt;Dashboard!$H$6),"⚠ Vượt","")</f>
        <v/>
      </c>
      <c r="M650">
        <f>IF(AND(A650=Dashboard!$D$6,OR(Dashboard!$C$6="*",F650=Dashboard!$C$6),L650&lt;&gt;""),ABS(I650)+ROW()/1000000000,0)</f>
        <v/>
      </c>
    </row>
    <row r="651">
      <c r="A651">
        <f>Data_thang!A651</f>
        <v/>
      </c>
      <c r="B651">
        <f>Data_thang!B651</f>
        <v/>
      </c>
      <c r="C651">
        <f>Data_thang!D651</f>
        <v/>
      </c>
      <c r="D651">
        <f>Data_thang!E651</f>
        <v/>
      </c>
      <c r="E651">
        <f>Data_thang!F651</f>
        <v/>
      </c>
      <c r="F651">
        <f>Data_thang!G651</f>
        <v/>
      </c>
      <c r="G651" s="29">
        <f>Data_thang!J651-Data_thang!K651</f>
        <v/>
      </c>
      <c r="H651" s="29">
        <f>Data_thang!N651</f>
        <v/>
      </c>
      <c r="I651" s="29">
        <f>H651-G651</f>
        <v/>
      </c>
      <c r="J651" s="30">
        <f>IF(H651=0,IF(I651=0,0,1),I651/ABS(H651))</f>
        <v/>
      </c>
      <c r="K651" s="29">
        <f>H651-(Data_thang!O651-Data_thang!K651)</f>
        <v/>
      </c>
      <c r="L651">
        <f>IF(AND(ABS(I651)&gt;Dashboard!$G$6,ABS(J651)&gt;Dashboard!$H$6),"⚠ Vượt","")</f>
        <v/>
      </c>
      <c r="M651">
        <f>IF(AND(A651=Dashboard!$D$6,OR(Dashboard!$C$6="*",F651=Dashboard!$C$6),L651&lt;&gt;""),ABS(I651)+ROW()/1000000000,0)</f>
        <v/>
      </c>
    </row>
    <row r="652">
      <c r="A652">
        <f>Data_thang!A652</f>
        <v/>
      </c>
      <c r="B652">
        <f>Data_thang!B652</f>
        <v/>
      </c>
      <c r="C652">
        <f>Data_thang!D652</f>
        <v/>
      </c>
      <c r="D652">
        <f>Data_thang!E652</f>
        <v/>
      </c>
      <c r="E652">
        <f>Data_thang!F652</f>
        <v/>
      </c>
      <c r="F652">
        <f>Data_thang!G652</f>
        <v/>
      </c>
      <c r="G652" s="29">
        <f>Data_thang!J652-Data_thang!K652</f>
        <v/>
      </c>
      <c r="H652" s="29">
        <f>Data_thang!N652</f>
        <v/>
      </c>
      <c r="I652" s="29">
        <f>H652-G652</f>
        <v/>
      </c>
      <c r="J652" s="30">
        <f>IF(H652=0,IF(I652=0,0,1),I652/ABS(H652))</f>
        <v/>
      </c>
      <c r="K652" s="29">
        <f>H652-(Data_thang!O652-Data_thang!K652)</f>
        <v/>
      </c>
      <c r="L652">
        <f>IF(AND(ABS(I652)&gt;Dashboard!$G$6,ABS(J652)&gt;Dashboard!$H$6),"⚠ Vượt","")</f>
        <v/>
      </c>
      <c r="M652">
        <f>IF(AND(A652=Dashboard!$D$6,OR(Dashboard!$C$6="*",F652=Dashboard!$C$6),L652&lt;&gt;""),ABS(I652)+ROW()/1000000000,0)</f>
        <v/>
      </c>
    </row>
    <row r="653">
      <c r="A653">
        <f>Data_thang!A653</f>
        <v/>
      </c>
      <c r="B653">
        <f>Data_thang!B653</f>
        <v/>
      </c>
      <c r="C653">
        <f>Data_thang!D653</f>
        <v/>
      </c>
      <c r="D653">
        <f>Data_thang!E653</f>
        <v/>
      </c>
      <c r="E653">
        <f>Data_thang!F653</f>
        <v/>
      </c>
      <c r="F653">
        <f>Data_thang!G653</f>
        <v/>
      </c>
      <c r="G653" s="29">
        <f>Data_thang!J653-Data_thang!K653</f>
        <v/>
      </c>
      <c r="H653" s="29">
        <f>Data_thang!N653</f>
        <v/>
      </c>
      <c r="I653" s="29">
        <f>H653-G653</f>
        <v/>
      </c>
      <c r="J653" s="30">
        <f>IF(H653=0,IF(I653=0,0,1),I653/ABS(H653))</f>
        <v/>
      </c>
      <c r="K653" s="29">
        <f>H653-(Data_thang!O653-Data_thang!K653)</f>
        <v/>
      </c>
      <c r="L653">
        <f>IF(AND(ABS(I653)&gt;Dashboard!$G$6,ABS(J653)&gt;Dashboard!$H$6),"⚠ Vượt","")</f>
        <v/>
      </c>
      <c r="M653">
        <f>IF(AND(A653=Dashboard!$D$6,OR(Dashboard!$C$6="*",F653=Dashboard!$C$6),L653&lt;&gt;""),ABS(I653)+ROW()/1000000000,0)</f>
        <v/>
      </c>
    </row>
    <row r="654">
      <c r="A654">
        <f>Data_thang!A654</f>
        <v/>
      </c>
      <c r="B654">
        <f>Data_thang!B654</f>
        <v/>
      </c>
      <c r="C654">
        <f>Data_thang!D654</f>
        <v/>
      </c>
      <c r="D654">
        <f>Data_thang!E654</f>
        <v/>
      </c>
      <c r="E654">
        <f>Data_thang!F654</f>
        <v/>
      </c>
      <c r="F654">
        <f>Data_thang!G654</f>
        <v/>
      </c>
      <c r="G654" s="29">
        <f>Data_thang!J654-Data_thang!K654</f>
        <v/>
      </c>
      <c r="H654" s="29">
        <f>Data_thang!N654</f>
        <v/>
      </c>
      <c r="I654" s="29">
        <f>H654-G654</f>
        <v/>
      </c>
      <c r="J654" s="30">
        <f>IF(H654=0,IF(I654=0,0,1),I654/ABS(H654))</f>
        <v/>
      </c>
      <c r="K654" s="29">
        <f>H654-(Data_thang!O654-Data_thang!K654)</f>
        <v/>
      </c>
      <c r="L654">
        <f>IF(AND(ABS(I654)&gt;Dashboard!$G$6,ABS(J654)&gt;Dashboard!$H$6),"⚠ Vượt","")</f>
        <v/>
      </c>
      <c r="M654">
        <f>IF(AND(A654=Dashboard!$D$6,OR(Dashboard!$C$6="*",F654=Dashboard!$C$6),L654&lt;&gt;""),ABS(I654)+ROW()/1000000000,0)</f>
        <v/>
      </c>
    </row>
    <row r="655">
      <c r="A655">
        <f>Data_thang!A655</f>
        <v/>
      </c>
      <c r="B655">
        <f>Data_thang!B655</f>
        <v/>
      </c>
      <c r="C655">
        <f>Data_thang!D655</f>
        <v/>
      </c>
      <c r="D655">
        <f>Data_thang!E655</f>
        <v/>
      </c>
      <c r="E655">
        <f>Data_thang!F655</f>
        <v/>
      </c>
      <c r="F655">
        <f>Data_thang!G655</f>
        <v/>
      </c>
      <c r="G655" s="29">
        <f>Data_thang!J655-Data_thang!K655</f>
        <v/>
      </c>
      <c r="H655" s="29">
        <f>Data_thang!N655</f>
        <v/>
      </c>
      <c r="I655" s="29">
        <f>H655-G655</f>
        <v/>
      </c>
      <c r="J655" s="30">
        <f>IF(H655=0,IF(I655=0,0,1),I655/ABS(H655))</f>
        <v/>
      </c>
      <c r="K655" s="29">
        <f>H655-(Data_thang!O655-Data_thang!K655)</f>
        <v/>
      </c>
      <c r="L655">
        <f>IF(AND(ABS(I655)&gt;Dashboard!$G$6,ABS(J655)&gt;Dashboard!$H$6),"⚠ Vượt","")</f>
        <v/>
      </c>
      <c r="M655">
        <f>IF(AND(A655=Dashboard!$D$6,OR(Dashboard!$C$6="*",F655=Dashboard!$C$6),L655&lt;&gt;""),ABS(I655)+ROW()/1000000000,0)</f>
        <v/>
      </c>
    </row>
    <row r="656">
      <c r="A656">
        <f>Data_thang!A656</f>
        <v/>
      </c>
      <c r="B656">
        <f>Data_thang!B656</f>
        <v/>
      </c>
      <c r="C656">
        <f>Data_thang!D656</f>
        <v/>
      </c>
      <c r="D656">
        <f>Data_thang!E656</f>
        <v/>
      </c>
      <c r="E656">
        <f>Data_thang!F656</f>
        <v/>
      </c>
      <c r="F656">
        <f>Data_thang!G656</f>
        <v/>
      </c>
      <c r="G656" s="29">
        <f>Data_thang!J656-Data_thang!K656</f>
        <v/>
      </c>
      <c r="H656" s="29">
        <f>Data_thang!N656</f>
        <v/>
      </c>
      <c r="I656" s="29">
        <f>H656-G656</f>
        <v/>
      </c>
      <c r="J656" s="30">
        <f>IF(H656=0,IF(I656=0,0,1),I656/ABS(H656))</f>
        <v/>
      </c>
      <c r="K656" s="29">
        <f>H656-(Data_thang!O656-Data_thang!K656)</f>
        <v/>
      </c>
      <c r="L656">
        <f>IF(AND(ABS(I656)&gt;Dashboard!$G$6,ABS(J656)&gt;Dashboard!$H$6),"⚠ Vượt","")</f>
        <v/>
      </c>
      <c r="M656">
        <f>IF(AND(A656=Dashboard!$D$6,OR(Dashboard!$C$6="*",F656=Dashboard!$C$6),L656&lt;&gt;""),ABS(I656)+ROW()/1000000000,0)</f>
        <v/>
      </c>
    </row>
    <row r="657">
      <c r="A657">
        <f>Data_thang!A657</f>
        <v/>
      </c>
      <c r="B657">
        <f>Data_thang!B657</f>
        <v/>
      </c>
      <c r="C657">
        <f>Data_thang!D657</f>
        <v/>
      </c>
      <c r="D657">
        <f>Data_thang!E657</f>
        <v/>
      </c>
      <c r="E657">
        <f>Data_thang!F657</f>
        <v/>
      </c>
      <c r="F657">
        <f>Data_thang!G657</f>
        <v/>
      </c>
      <c r="G657" s="29">
        <f>Data_thang!J657-Data_thang!K657</f>
        <v/>
      </c>
      <c r="H657" s="29">
        <f>Data_thang!N657</f>
        <v/>
      </c>
      <c r="I657" s="29">
        <f>H657-G657</f>
        <v/>
      </c>
      <c r="J657" s="30">
        <f>IF(H657=0,IF(I657=0,0,1),I657/ABS(H657))</f>
        <v/>
      </c>
      <c r="K657" s="29">
        <f>H657-(Data_thang!O657-Data_thang!K657)</f>
        <v/>
      </c>
      <c r="L657">
        <f>IF(AND(ABS(I657)&gt;Dashboard!$G$6,ABS(J657)&gt;Dashboard!$H$6),"⚠ Vượt","")</f>
        <v/>
      </c>
      <c r="M657">
        <f>IF(AND(A657=Dashboard!$D$6,OR(Dashboard!$C$6="*",F657=Dashboard!$C$6),L657&lt;&gt;""),ABS(I657)+ROW()/1000000000,0)</f>
        <v/>
      </c>
    </row>
    <row r="658">
      <c r="A658">
        <f>Data_thang!A658</f>
        <v/>
      </c>
      <c r="B658">
        <f>Data_thang!B658</f>
        <v/>
      </c>
      <c r="C658">
        <f>Data_thang!D658</f>
        <v/>
      </c>
      <c r="D658">
        <f>Data_thang!E658</f>
        <v/>
      </c>
      <c r="E658">
        <f>Data_thang!F658</f>
        <v/>
      </c>
      <c r="F658">
        <f>Data_thang!G658</f>
        <v/>
      </c>
      <c r="G658" s="29">
        <f>Data_thang!J658-Data_thang!K658</f>
        <v/>
      </c>
      <c r="H658" s="29">
        <f>Data_thang!N658</f>
        <v/>
      </c>
      <c r="I658" s="29">
        <f>H658-G658</f>
        <v/>
      </c>
      <c r="J658" s="30">
        <f>IF(H658=0,IF(I658=0,0,1),I658/ABS(H658))</f>
        <v/>
      </c>
      <c r="K658" s="29">
        <f>H658-(Data_thang!O658-Data_thang!K658)</f>
        <v/>
      </c>
      <c r="L658">
        <f>IF(AND(ABS(I658)&gt;Dashboard!$G$6,ABS(J658)&gt;Dashboard!$H$6),"⚠ Vượt","")</f>
        <v/>
      </c>
      <c r="M658">
        <f>IF(AND(A658=Dashboard!$D$6,OR(Dashboard!$C$6="*",F658=Dashboard!$C$6),L658&lt;&gt;""),ABS(I658)+ROW()/1000000000,0)</f>
        <v/>
      </c>
    </row>
    <row r="659">
      <c r="A659">
        <f>Data_thang!A659</f>
        <v/>
      </c>
      <c r="B659">
        <f>Data_thang!B659</f>
        <v/>
      </c>
      <c r="C659">
        <f>Data_thang!D659</f>
        <v/>
      </c>
      <c r="D659">
        <f>Data_thang!E659</f>
        <v/>
      </c>
      <c r="E659">
        <f>Data_thang!F659</f>
        <v/>
      </c>
      <c r="F659">
        <f>Data_thang!G659</f>
        <v/>
      </c>
      <c r="G659" s="29">
        <f>Data_thang!J659-Data_thang!K659</f>
        <v/>
      </c>
      <c r="H659" s="29">
        <f>Data_thang!N659</f>
        <v/>
      </c>
      <c r="I659" s="29">
        <f>H659-G659</f>
        <v/>
      </c>
      <c r="J659" s="30">
        <f>IF(H659=0,IF(I659=0,0,1),I659/ABS(H659))</f>
        <v/>
      </c>
      <c r="K659" s="29">
        <f>H659-(Data_thang!O659-Data_thang!K659)</f>
        <v/>
      </c>
      <c r="L659">
        <f>IF(AND(ABS(I659)&gt;Dashboard!$G$6,ABS(J659)&gt;Dashboard!$H$6),"⚠ Vượt","")</f>
        <v/>
      </c>
      <c r="M659">
        <f>IF(AND(A659=Dashboard!$D$6,OR(Dashboard!$C$6="*",F659=Dashboard!$C$6),L659&lt;&gt;""),ABS(I659)+ROW()/1000000000,0)</f>
        <v/>
      </c>
    </row>
    <row r="660">
      <c r="A660">
        <f>Data_thang!A660</f>
        <v/>
      </c>
      <c r="B660">
        <f>Data_thang!B660</f>
        <v/>
      </c>
      <c r="C660">
        <f>Data_thang!D660</f>
        <v/>
      </c>
      <c r="D660">
        <f>Data_thang!E660</f>
        <v/>
      </c>
      <c r="E660">
        <f>Data_thang!F660</f>
        <v/>
      </c>
      <c r="F660">
        <f>Data_thang!G660</f>
        <v/>
      </c>
      <c r="G660" s="29">
        <f>Data_thang!J660-Data_thang!K660</f>
        <v/>
      </c>
      <c r="H660" s="29">
        <f>Data_thang!N660</f>
        <v/>
      </c>
      <c r="I660" s="29">
        <f>H660-G660</f>
        <v/>
      </c>
      <c r="J660" s="30">
        <f>IF(H660=0,IF(I660=0,0,1),I660/ABS(H660))</f>
        <v/>
      </c>
      <c r="K660" s="29">
        <f>H660-(Data_thang!O660-Data_thang!K660)</f>
        <v/>
      </c>
      <c r="L660">
        <f>IF(AND(ABS(I660)&gt;Dashboard!$G$6,ABS(J660)&gt;Dashboard!$H$6),"⚠ Vượt","")</f>
        <v/>
      </c>
      <c r="M660">
        <f>IF(AND(A660=Dashboard!$D$6,OR(Dashboard!$C$6="*",F660=Dashboard!$C$6),L660&lt;&gt;""),ABS(I660)+ROW()/1000000000,0)</f>
        <v/>
      </c>
    </row>
    <row r="661">
      <c r="A661">
        <f>Data_thang!A661</f>
        <v/>
      </c>
      <c r="B661">
        <f>Data_thang!B661</f>
        <v/>
      </c>
      <c r="C661">
        <f>Data_thang!D661</f>
        <v/>
      </c>
      <c r="D661">
        <f>Data_thang!E661</f>
        <v/>
      </c>
      <c r="E661">
        <f>Data_thang!F661</f>
        <v/>
      </c>
      <c r="F661">
        <f>Data_thang!G661</f>
        <v/>
      </c>
      <c r="G661" s="29">
        <f>Data_thang!J661-Data_thang!K661</f>
        <v/>
      </c>
      <c r="H661" s="29">
        <f>Data_thang!N661</f>
        <v/>
      </c>
      <c r="I661" s="29">
        <f>H661-G661</f>
        <v/>
      </c>
      <c r="J661" s="30">
        <f>IF(H661=0,IF(I661=0,0,1),I661/ABS(H661))</f>
        <v/>
      </c>
      <c r="K661" s="29">
        <f>H661-(Data_thang!O661-Data_thang!K661)</f>
        <v/>
      </c>
      <c r="L661">
        <f>IF(AND(ABS(I661)&gt;Dashboard!$G$6,ABS(J661)&gt;Dashboard!$H$6),"⚠ Vượt","")</f>
        <v/>
      </c>
      <c r="M661">
        <f>IF(AND(A661=Dashboard!$D$6,OR(Dashboard!$C$6="*",F661=Dashboard!$C$6),L661&lt;&gt;""),ABS(I661)+ROW()/1000000000,0)</f>
        <v/>
      </c>
    </row>
    <row r="662">
      <c r="A662">
        <f>Data_thang!A662</f>
        <v/>
      </c>
      <c r="B662">
        <f>Data_thang!B662</f>
        <v/>
      </c>
      <c r="C662">
        <f>Data_thang!D662</f>
        <v/>
      </c>
      <c r="D662">
        <f>Data_thang!E662</f>
        <v/>
      </c>
      <c r="E662">
        <f>Data_thang!F662</f>
        <v/>
      </c>
      <c r="F662">
        <f>Data_thang!G662</f>
        <v/>
      </c>
      <c r="G662" s="29">
        <f>Data_thang!J662-Data_thang!K662</f>
        <v/>
      </c>
      <c r="H662" s="29">
        <f>Data_thang!N662</f>
        <v/>
      </c>
      <c r="I662" s="29">
        <f>H662-G662</f>
        <v/>
      </c>
      <c r="J662" s="30">
        <f>IF(H662=0,IF(I662=0,0,1),I662/ABS(H662))</f>
        <v/>
      </c>
      <c r="K662" s="29">
        <f>H662-(Data_thang!O662-Data_thang!K662)</f>
        <v/>
      </c>
      <c r="L662">
        <f>IF(AND(ABS(I662)&gt;Dashboard!$G$6,ABS(J662)&gt;Dashboard!$H$6),"⚠ Vượt","")</f>
        <v/>
      </c>
      <c r="M662">
        <f>IF(AND(A662=Dashboard!$D$6,OR(Dashboard!$C$6="*",F662=Dashboard!$C$6),L662&lt;&gt;""),ABS(I662)+ROW()/1000000000,0)</f>
        <v/>
      </c>
    </row>
    <row r="663">
      <c r="A663">
        <f>Data_thang!A663</f>
        <v/>
      </c>
      <c r="B663">
        <f>Data_thang!B663</f>
        <v/>
      </c>
      <c r="C663">
        <f>Data_thang!D663</f>
        <v/>
      </c>
      <c r="D663">
        <f>Data_thang!E663</f>
        <v/>
      </c>
      <c r="E663">
        <f>Data_thang!F663</f>
        <v/>
      </c>
      <c r="F663">
        <f>Data_thang!G663</f>
        <v/>
      </c>
      <c r="G663" s="29">
        <f>Data_thang!J663-Data_thang!K663</f>
        <v/>
      </c>
      <c r="H663" s="29">
        <f>Data_thang!N663</f>
        <v/>
      </c>
      <c r="I663" s="29">
        <f>H663-G663</f>
        <v/>
      </c>
      <c r="J663" s="30">
        <f>IF(H663=0,IF(I663=0,0,1),I663/ABS(H663))</f>
        <v/>
      </c>
      <c r="K663" s="29">
        <f>H663-(Data_thang!O663-Data_thang!K663)</f>
        <v/>
      </c>
      <c r="L663">
        <f>IF(AND(ABS(I663)&gt;Dashboard!$G$6,ABS(J663)&gt;Dashboard!$H$6),"⚠ Vượt","")</f>
        <v/>
      </c>
      <c r="M663">
        <f>IF(AND(A663=Dashboard!$D$6,OR(Dashboard!$C$6="*",F663=Dashboard!$C$6),L663&lt;&gt;""),ABS(I663)+ROW()/1000000000,0)</f>
        <v/>
      </c>
    </row>
    <row r="664">
      <c r="A664">
        <f>Data_thang!A664</f>
        <v/>
      </c>
      <c r="B664">
        <f>Data_thang!B664</f>
        <v/>
      </c>
      <c r="C664">
        <f>Data_thang!D664</f>
        <v/>
      </c>
      <c r="D664">
        <f>Data_thang!E664</f>
        <v/>
      </c>
      <c r="E664">
        <f>Data_thang!F664</f>
        <v/>
      </c>
      <c r="F664">
        <f>Data_thang!G664</f>
        <v/>
      </c>
      <c r="G664" s="29">
        <f>Data_thang!J664-Data_thang!K664</f>
        <v/>
      </c>
      <c r="H664" s="29">
        <f>Data_thang!N664</f>
        <v/>
      </c>
      <c r="I664" s="29">
        <f>H664-G664</f>
        <v/>
      </c>
      <c r="J664" s="30">
        <f>IF(H664=0,IF(I664=0,0,1),I664/ABS(H664))</f>
        <v/>
      </c>
      <c r="K664" s="29">
        <f>H664-(Data_thang!O664-Data_thang!K664)</f>
        <v/>
      </c>
      <c r="L664">
        <f>IF(AND(ABS(I664)&gt;Dashboard!$G$6,ABS(J664)&gt;Dashboard!$H$6),"⚠ Vượt","")</f>
        <v/>
      </c>
      <c r="M664">
        <f>IF(AND(A664=Dashboard!$D$6,OR(Dashboard!$C$6="*",F664=Dashboard!$C$6),L664&lt;&gt;""),ABS(I664)+ROW()/1000000000,0)</f>
        <v/>
      </c>
    </row>
    <row r="665">
      <c r="A665">
        <f>Data_thang!A665</f>
        <v/>
      </c>
      <c r="B665">
        <f>Data_thang!B665</f>
        <v/>
      </c>
      <c r="C665">
        <f>Data_thang!D665</f>
        <v/>
      </c>
      <c r="D665">
        <f>Data_thang!E665</f>
        <v/>
      </c>
      <c r="E665">
        <f>Data_thang!F665</f>
        <v/>
      </c>
      <c r="F665">
        <f>Data_thang!G665</f>
        <v/>
      </c>
      <c r="G665" s="29">
        <f>Data_thang!J665-Data_thang!K665</f>
        <v/>
      </c>
      <c r="H665" s="29">
        <f>Data_thang!N665</f>
        <v/>
      </c>
      <c r="I665" s="29">
        <f>H665-G665</f>
        <v/>
      </c>
      <c r="J665" s="30">
        <f>IF(H665=0,IF(I665=0,0,1),I665/ABS(H665))</f>
        <v/>
      </c>
      <c r="K665" s="29">
        <f>H665-(Data_thang!O665-Data_thang!K665)</f>
        <v/>
      </c>
      <c r="L665">
        <f>IF(AND(ABS(I665)&gt;Dashboard!$G$6,ABS(J665)&gt;Dashboard!$H$6),"⚠ Vượt","")</f>
        <v/>
      </c>
      <c r="M665">
        <f>IF(AND(A665=Dashboard!$D$6,OR(Dashboard!$C$6="*",F665=Dashboard!$C$6),L665&lt;&gt;""),ABS(I665)+ROW()/1000000000,0)</f>
        <v/>
      </c>
    </row>
    <row r="666">
      <c r="A666">
        <f>Data_thang!A666</f>
        <v/>
      </c>
      <c r="B666">
        <f>Data_thang!B666</f>
        <v/>
      </c>
      <c r="C666">
        <f>Data_thang!D666</f>
        <v/>
      </c>
      <c r="D666">
        <f>Data_thang!E666</f>
        <v/>
      </c>
      <c r="E666">
        <f>Data_thang!F666</f>
        <v/>
      </c>
      <c r="F666">
        <f>Data_thang!G666</f>
        <v/>
      </c>
      <c r="G666" s="29">
        <f>Data_thang!J666-Data_thang!K666</f>
        <v/>
      </c>
      <c r="H666" s="29">
        <f>Data_thang!N666</f>
        <v/>
      </c>
      <c r="I666" s="29">
        <f>H666-G666</f>
        <v/>
      </c>
      <c r="J666" s="30">
        <f>IF(H666=0,IF(I666=0,0,1),I666/ABS(H666))</f>
        <v/>
      </c>
      <c r="K666" s="29">
        <f>H666-(Data_thang!O666-Data_thang!K666)</f>
        <v/>
      </c>
      <c r="L666">
        <f>IF(AND(ABS(I666)&gt;Dashboard!$G$6,ABS(J666)&gt;Dashboard!$H$6),"⚠ Vượt","")</f>
        <v/>
      </c>
      <c r="M666">
        <f>IF(AND(A666=Dashboard!$D$6,OR(Dashboard!$C$6="*",F666=Dashboard!$C$6),L666&lt;&gt;""),ABS(I666)+ROW()/1000000000,0)</f>
        <v/>
      </c>
    </row>
    <row r="667">
      <c r="A667">
        <f>Data_thang!A667</f>
        <v/>
      </c>
      <c r="B667">
        <f>Data_thang!B667</f>
        <v/>
      </c>
      <c r="C667">
        <f>Data_thang!D667</f>
        <v/>
      </c>
      <c r="D667">
        <f>Data_thang!E667</f>
        <v/>
      </c>
      <c r="E667">
        <f>Data_thang!F667</f>
        <v/>
      </c>
      <c r="F667">
        <f>Data_thang!G667</f>
        <v/>
      </c>
      <c r="G667" s="29">
        <f>Data_thang!J667-Data_thang!K667</f>
        <v/>
      </c>
      <c r="H667" s="29">
        <f>Data_thang!N667</f>
        <v/>
      </c>
      <c r="I667" s="29">
        <f>H667-G667</f>
        <v/>
      </c>
      <c r="J667" s="30">
        <f>IF(H667=0,IF(I667=0,0,1),I667/ABS(H667))</f>
        <v/>
      </c>
      <c r="K667" s="29">
        <f>H667-(Data_thang!O667-Data_thang!K667)</f>
        <v/>
      </c>
      <c r="L667">
        <f>IF(AND(ABS(I667)&gt;Dashboard!$G$6,ABS(J667)&gt;Dashboard!$H$6),"⚠ Vượt","")</f>
        <v/>
      </c>
      <c r="M667">
        <f>IF(AND(A667=Dashboard!$D$6,OR(Dashboard!$C$6="*",F667=Dashboard!$C$6),L667&lt;&gt;""),ABS(I667)+ROW()/1000000000,0)</f>
        <v/>
      </c>
    </row>
    <row r="668">
      <c r="A668">
        <f>Data_thang!A668</f>
        <v/>
      </c>
      <c r="B668">
        <f>Data_thang!B668</f>
        <v/>
      </c>
      <c r="C668">
        <f>Data_thang!D668</f>
        <v/>
      </c>
      <c r="D668">
        <f>Data_thang!E668</f>
        <v/>
      </c>
      <c r="E668">
        <f>Data_thang!F668</f>
        <v/>
      </c>
      <c r="F668">
        <f>Data_thang!G668</f>
        <v/>
      </c>
      <c r="G668" s="29">
        <f>Data_thang!J668-Data_thang!K668</f>
        <v/>
      </c>
      <c r="H668" s="29">
        <f>Data_thang!N668</f>
        <v/>
      </c>
      <c r="I668" s="29">
        <f>H668-G668</f>
        <v/>
      </c>
      <c r="J668" s="30">
        <f>IF(H668=0,IF(I668=0,0,1),I668/ABS(H668))</f>
        <v/>
      </c>
      <c r="K668" s="29">
        <f>H668-(Data_thang!O668-Data_thang!K668)</f>
        <v/>
      </c>
      <c r="L668">
        <f>IF(AND(ABS(I668)&gt;Dashboard!$G$6,ABS(J668)&gt;Dashboard!$H$6),"⚠ Vượt","")</f>
        <v/>
      </c>
      <c r="M668">
        <f>IF(AND(A668=Dashboard!$D$6,OR(Dashboard!$C$6="*",F668=Dashboard!$C$6),L668&lt;&gt;""),ABS(I668)+ROW()/1000000000,0)</f>
        <v/>
      </c>
    </row>
    <row r="669">
      <c r="A669">
        <f>Data_thang!A669</f>
        <v/>
      </c>
      <c r="B669">
        <f>Data_thang!B669</f>
        <v/>
      </c>
      <c r="C669">
        <f>Data_thang!D669</f>
        <v/>
      </c>
      <c r="D669">
        <f>Data_thang!E669</f>
        <v/>
      </c>
      <c r="E669">
        <f>Data_thang!F669</f>
        <v/>
      </c>
      <c r="F669">
        <f>Data_thang!G669</f>
        <v/>
      </c>
      <c r="G669" s="29">
        <f>Data_thang!J669-Data_thang!K669</f>
        <v/>
      </c>
      <c r="H669" s="29">
        <f>Data_thang!N669</f>
        <v/>
      </c>
      <c r="I669" s="29">
        <f>H669-G669</f>
        <v/>
      </c>
      <c r="J669" s="30">
        <f>IF(H669=0,IF(I669=0,0,1),I669/ABS(H669))</f>
        <v/>
      </c>
      <c r="K669" s="29">
        <f>H669-(Data_thang!O669-Data_thang!K669)</f>
        <v/>
      </c>
      <c r="L669">
        <f>IF(AND(ABS(I669)&gt;Dashboard!$G$6,ABS(J669)&gt;Dashboard!$H$6),"⚠ Vượt","")</f>
        <v/>
      </c>
      <c r="M669">
        <f>IF(AND(A669=Dashboard!$D$6,OR(Dashboard!$C$6="*",F669=Dashboard!$C$6),L669&lt;&gt;""),ABS(I669)+ROW()/1000000000,0)</f>
        <v/>
      </c>
    </row>
    <row r="670">
      <c r="A670">
        <f>Data_thang!A670</f>
        <v/>
      </c>
      <c r="B670">
        <f>Data_thang!B670</f>
        <v/>
      </c>
      <c r="C670">
        <f>Data_thang!D670</f>
        <v/>
      </c>
      <c r="D670">
        <f>Data_thang!E670</f>
        <v/>
      </c>
      <c r="E670">
        <f>Data_thang!F670</f>
        <v/>
      </c>
      <c r="F670">
        <f>Data_thang!G670</f>
        <v/>
      </c>
      <c r="G670" s="29">
        <f>Data_thang!J670-Data_thang!K670</f>
        <v/>
      </c>
      <c r="H670" s="29">
        <f>Data_thang!N670</f>
        <v/>
      </c>
      <c r="I670" s="29">
        <f>H670-G670</f>
        <v/>
      </c>
      <c r="J670" s="30">
        <f>IF(H670=0,IF(I670=0,0,1),I670/ABS(H670))</f>
        <v/>
      </c>
      <c r="K670" s="29">
        <f>H670-(Data_thang!O670-Data_thang!K670)</f>
        <v/>
      </c>
      <c r="L670">
        <f>IF(AND(ABS(I670)&gt;Dashboard!$G$6,ABS(J670)&gt;Dashboard!$H$6),"⚠ Vượt","")</f>
        <v/>
      </c>
      <c r="M670">
        <f>IF(AND(A670=Dashboard!$D$6,OR(Dashboard!$C$6="*",F670=Dashboard!$C$6),L670&lt;&gt;""),ABS(I670)+ROW()/1000000000,0)</f>
        <v/>
      </c>
    </row>
    <row r="671">
      <c r="A671">
        <f>Data_thang!A671</f>
        <v/>
      </c>
      <c r="B671">
        <f>Data_thang!B671</f>
        <v/>
      </c>
      <c r="C671">
        <f>Data_thang!D671</f>
        <v/>
      </c>
      <c r="D671">
        <f>Data_thang!E671</f>
        <v/>
      </c>
      <c r="E671">
        <f>Data_thang!F671</f>
        <v/>
      </c>
      <c r="F671">
        <f>Data_thang!G671</f>
        <v/>
      </c>
      <c r="G671" s="29">
        <f>Data_thang!J671-Data_thang!K671</f>
        <v/>
      </c>
      <c r="H671" s="29">
        <f>Data_thang!N671</f>
        <v/>
      </c>
      <c r="I671" s="29">
        <f>H671-G671</f>
        <v/>
      </c>
      <c r="J671" s="30">
        <f>IF(H671=0,IF(I671=0,0,1),I671/ABS(H671))</f>
        <v/>
      </c>
      <c r="K671" s="29">
        <f>H671-(Data_thang!O671-Data_thang!K671)</f>
        <v/>
      </c>
      <c r="L671">
        <f>IF(AND(ABS(I671)&gt;Dashboard!$G$6,ABS(J671)&gt;Dashboard!$H$6),"⚠ Vượt","")</f>
        <v/>
      </c>
      <c r="M671">
        <f>IF(AND(A671=Dashboard!$D$6,OR(Dashboard!$C$6="*",F671=Dashboard!$C$6),L671&lt;&gt;""),ABS(I671)+ROW()/1000000000,0)</f>
        <v/>
      </c>
    </row>
    <row r="672">
      <c r="A672">
        <f>Data_thang!A672</f>
        <v/>
      </c>
      <c r="B672">
        <f>Data_thang!B672</f>
        <v/>
      </c>
      <c r="C672">
        <f>Data_thang!D672</f>
        <v/>
      </c>
      <c r="D672">
        <f>Data_thang!E672</f>
        <v/>
      </c>
      <c r="E672">
        <f>Data_thang!F672</f>
        <v/>
      </c>
      <c r="F672">
        <f>Data_thang!G672</f>
        <v/>
      </c>
      <c r="G672" s="29">
        <f>Data_thang!J672-Data_thang!K672</f>
        <v/>
      </c>
      <c r="H672" s="29">
        <f>Data_thang!N672</f>
        <v/>
      </c>
      <c r="I672" s="29">
        <f>H672-G672</f>
        <v/>
      </c>
      <c r="J672" s="30">
        <f>IF(H672=0,IF(I672=0,0,1),I672/ABS(H672))</f>
        <v/>
      </c>
      <c r="K672" s="29">
        <f>H672-(Data_thang!O672-Data_thang!K672)</f>
        <v/>
      </c>
      <c r="L672">
        <f>IF(AND(ABS(I672)&gt;Dashboard!$G$6,ABS(J672)&gt;Dashboard!$H$6),"⚠ Vượt","")</f>
        <v/>
      </c>
      <c r="M672">
        <f>IF(AND(A672=Dashboard!$D$6,OR(Dashboard!$C$6="*",F672=Dashboard!$C$6),L672&lt;&gt;""),ABS(I672)+ROW()/1000000000,0)</f>
        <v/>
      </c>
    </row>
    <row r="673">
      <c r="A673">
        <f>Data_thang!A673</f>
        <v/>
      </c>
      <c r="B673">
        <f>Data_thang!B673</f>
        <v/>
      </c>
      <c r="C673">
        <f>Data_thang!D673</f>
        <v/>
      </c>
      <c r="D673">
        <f>Data_thang!E673</f>
        <v/>
      </c>
      <c r="E673">
        <f>Data_thang!F673</f>
        <v/>
      </c>
      <c r="F673">
        <f>Data_thang!G673</f>
        <v/>
      </c>
      <c r="G673" s="29">
        <f>Data_thang!J673-Data_thang!K673</f>
        <v/>
      </c>
      <c r="H673" s="29">
        <f>Data_thang!N673</f>
        <v/>
      </c>
      <c r="I673" s="29">
        <f>H673-G673</f>
        <v/>
      </c>
      <c r="J673" s="30">
        <f>IF(H673=0,IF(I673=0,0,1),I673/ABS(H673))</f>
        <v/>
      </c>
      <c r="K673" s="29">
        <f>H673-(Data_thang!O673-Data_thang!K673)</f>
        <v/>
      </c>
      <c r="L673">
        <f>IF(AND(ABS(I673)&gt;Dashboard!$G$6,ABS(J673)&gt;Dashboard!$H$6),"⚠ Vượt","")</f>
        <v/>
      </c>
      <c r="M673">
        <f>IF(AND(A673=Dashboard!$D$6,OR(Dashboard!$C$6="*",F673=Dashboard!$C$6),L673&lt;&gt;""),ABS(I673)+ROW()/1000000000,0)</f>
        <v/>
      </c>
    </row>
    <row r="674">
      <c r="A674">
        <f>Data_thang!A674</f>
        <v/>
      </c>
      <c r="B674">
        <f>Data_thang!B674</f>
        <v/>
      </c>
      <c r="C674">
        <f>Data_thang!D674</f>
        <v/>
      </c>
      <c r="D674">
        <f>Data_thang!E674</f>
        <v/>
      </c>
      <c r="E674">
        <f>Data_thang!F674</f>
        <v/>
      </c>
      <c r="F674">
        <f>Data_thang!G674</f>
        <v/>
      </c>
      <c r="G674" s="29">
        <f>Data_thang!J674-Data_thang!K674</f>
        <v/>
      </c>
      <c r="H674" s="29">
        <f>Data_thang!N674</f>
        <v/>
      </c>
      <c r="I674" s="29">
        <f>H674-G674</f>
        <v/>
      </c>
      <c r="J674" s="30">
        <f>IF(H674=0,IF(I674=0,0,1),I674/ABS(H674))</f>
        <v/>
      </c>
      <c r="K674" s="29">
        <f>H674-(Data_thang!O674-Data_thang!K674)</f>
        <v/>
      </c>
      <c r="L674">
        <f>IF(AND(ABS(I674)&gt;Dashboard!$G$6,ABS(J674)&gt;Dashboard!$H$6),"⚠ Vượt","")</f>
        <v/>
      </c>
      <c r="M674">
        <f>IF(AND(A674=Dashboard!$D$6,OR(Dashboard!$C$6="*",F674=Dashboard!$C$6),L674&lt;&gt;""),ABS(I674)+ROW()/1000000000,0)</f>
        <v/>
      </c>
    </row>
    <row r="675">
      <c r="A675">
        <f>Data_thang!A675</f>
        <v/>
      </c>
      <c r="B675">
        <f>Data_thang!B675</f>
        <v/>
      </c>
      <c r="C675">
        <f>Data_thang!D675</f>
        <v/>
      </c>
      <c r="D675">
        <f>Data_thang!E675</f>
        <v/>
      </c>
      <c r="E675">
        <f>Data_thang!F675</f>
        <v/>
      </c>
      <c r="F675">
        <f>Data_thang!G675</f>
        <v/>
      </c>
      <c r="G675" s="29">
        <f>Data_thang!J675-Data_thang!K675</f>
        <v/>
      </c>
      <c r="H675" s="29">
        <f>Data_thang!N675</f>
        <v/>
      </c>
      <c r="I675" s="29">
        <f>H675-G675</f>
        <v/>
      </c>
      <c r="J675" s="30">
        <f>IF(H675=0,IF(I675=0,0,1),I675/ABS(H675))</f>
        <v/>
      </c>
      <c r="K675" s="29">
        <f>H675-(Data_thang!O675-Data_thang!K675)</f>
        <v/>
      </c>
      <c r="L675">
        <f>IF(AND(ABS(I675)&gt;Dashboard!$G$6,ABS(J675)&gt;Dashboard!$H$6),"⚠ Vượt","")</f>
        <v/>
      </c>
      <c r="M675">
        <f>IF(AND(A675=Dashboard!$D$6,OR(Dashboard!$C$6="*",F675=Dashboard!$C$6),L675&lt;&gt;""),ABS(I675)+ROW()/1000000000,0)</f>
        <v/>
      </c>
    </row>
    <row r="676">
      <c r="A676">
        <f>Data_thang!A676</f>
        <v/>
      </c>
      <c r="B676">
        <f>Data_thang!B676</f>
        <v/>
      </c>
      <c r="C676">
        <f>Data_thang!D676</f>
        <v/>
      </c>
      <c r="D676">
        <f>Data_thang!E676</f>
        <v/>
      </c>
      <c r="E676">
        <f>Data_thang!F676</f>
        <v/>
      </c>
      <c r="F676">
        <f>Data_thang!G676</f>
        <v/>
      </c>
      <c r="G676" s="29">
        <f>Data_thang!J676-Data_thang!K676</f>
        <v/>
      </c>
      <c r="H676" s="29">
        <f>Data_thang!N676</f>
        <v/>
      </c>
      <c r="I676" s="29">
        <f>H676-G676</f>
        <v/>
      </c>
      <c r="J676" s="30">
        <f>IF(H676=0,IF(I676=0,0,1),I676/ABS(H676))</f>
        <v/>
      </c>
      <c r="K676" s="29">
        <f>H676-(Data_thang!O676-Data_thang!K676)</f>
        <v/>
      </c>
      <c r="L676">
        <f>IF(AND(ABS(I676)&gt;Dashboard!$G$6,ABS(J676)&gt;Dashboard!$H$6),"⚠ Vượt","")</f>
        <v/>
      </c>
      <c r="M676">
        <f>IF(AND(A676=Dashboard!$D$6,OR(Dashboard!$C$6="*",F676=Dashboard!$C$6),L676&lt;&gt;""),ABS(I676)+ROW()/1000000000,0)</f>
        <v/>
      </c>
    </row>
    <row r="677">
      <c r="A677">
        <f>Data_thang!A677</f>
        <v/>
      </c>
      <c r="B677">
        <f>Data_thang!B677</f>
        <v/>
      </c>
      <c r="C677">
        <f>Data_thang!D677</f>
        <v/>
      </c>
      <c r="D677">
        <f>Data_thang!E677</f>
        <v/>
      </c>
      <c r="E677">
        <f>Data_thang!F677</f>
        <v/>
      </c>
      <c r="F677">
        <f>Data_thang!G677</f>
        <v/>
      </c>
      <c r="G677" s="29">
        <f>Data_thang!J677-Data_thang!K677</f>
        <v/>
      </c>
      <c r="H677" s="29">
        <f>Data_thang!N677</f>
        <v/>
      </c>
      <c r="I677" s="29">
        <f>H677-G677</f>
        <v/>
      </c>
      <c r="J677" s="30">
        <f>IF(H677=0,IF(I677=0,0,1),I677/ABS(H677))</f>
        <v/>
      </c>
      <c r="K677" s="29">
        <f>H677-(Data_thang!O677-Data_thang!K677)</f>
        <v/>
      </c>
      <c r="L677">
        <f>IF(AND(ABS(I677)&gt;Dashboard!$G$6,ABS(J677)&gt;Dashboard!$H$6),"⚠ Vượt","")</f>
        <v/>
      </c>
      <c r="M677">
        <f>IF(AND(A677=Dashboard!$D$6,OR(Dashboard!$C$6="*",F677=Dashboard!$C$6),L677&lt;&gt;""),ABS(I677)+ROW()/1000000000,0)</f>
        <v/>
      </c>
    </row>
    <row r="678">
      <c r="A678">
        <f>Data_thang!A678</f>
        <v/>
      </c>
      <c r="B678">
        <f>Data_thang!B678</f>
        <v/>
      </c>
      <c r="C678">
        <f>Data_thang!D678</f>
        <v/>
      </c>
      <c r="D678">
        <f>Data_thang!E678</f>
        <v/>
      </c>
      <c r="E678">
        <f>Data_thang!F678</f>
        <v/>
      </c>
      <c r="F678">
        <f>Data_thang!G678</f>
        <v/>
      </c>
      <c r="G678" s="29">
        <f>Data_thang!J678-Data_thang!K678</f>
        <v/>
      </c>
      <c r="H678" s="29">
        <f>Data_thang!N678</f>
        <v/>
      </c>
      <c r="I678" s="29">
        <f>H678-G678</f>
        <v/>
      </c>
      <c r="J678" s="30">
        <f>IF(H678=0,IF(I678=0,0,1),I678/ABS(H678))</f>
        <v/>
      </c>
      <c r="K678" s="29">
        <f>H678-(Data_thang!O678-Data_thang!K678)</f>
        <v/>
      </c>
      <c r="L678">
        <f>IF(AND(ABS(I678)&gt;Dashboard!$G$6,ABS(J678)&gt;Dashboard!$H$6),"⚠ Vượt","")</f>
        <v/>
      </c>
      <c r="M678">
        <f>IF(AND(A678=Dashboard!$D$6,OR(Dashboard!$C$6="*",F678=Dashboard!$C$6),L678&lt;&gt;""),ABS(I678)+ROW()/1000000000,0)</f>
        <v/>
      </c>
    </row>
    <row r="679">
      <c r="A679">
        <f>Data_thang!A679</f>
        <v/>
      </c>
      <c r="B679">
        <f>Data_thang!B679</f>
        <v/>
      </c>
      <c r="C679">
        <f>Data_thang!D679</f>
        <v/>
      </c>
      <c r="D679">
        <f>Data_thang!E679</f>
        <v/>
      </c>
      <c r="E679">
        <f>Data_thang!F679</f>
        <v/>
      </c>
      <c r="F679">
        <f>Data_thang!G679</f>
        <v/>
      </c>
      <c r="G679" s="29">
        <f>Data_thang!J679-Data_thang!K679</f>
        <v/>
      </c>
      <c r="H679" s="29">
        <f>Data_thang!N679</f>
        <v/>
      </c>
      <c r="I679" s="29">
        <f>H679-G679</f>
        <v/>
      </c>
      <c r="J679" s="30">
        <f>IF(H679=0,IF(I679=0,0,1),I679/ABS(H679))</f>
        <v/>
      </c>
      <c r="K679" s="29">
        <f>H679-(Data_thang!O679-Data_thang!K679)</f>
        <v/>
      </c>
      <c r="L679">
        <f>IF(AND(ABS(I679)&gt;Dashboard!$G$6,ABS(J679)&gt;Dashboard!$H$6),"⚠ Vượt","")</f>
        <v/>
      </c>
      <c r="M679">
        <f>IF(AND(A679=Dashboard!$D$6,OR(Dashboard!$C$6="*",F679=Dashboard!$C$6),L679&lt;&gt;""),ABS(I679)+ROW()/1000000000,0)</f>
        <v/>
      </c>
    </row>
    <row r="680">
      <c r="A680">
        <f>Data_thang!A680</f>
        <v/>
      </c>
      <c r="B680">
        <f>Data_thang!B680</f>
        <v/>
      </c>
      <c r="C680">
        <f>Data_thang!D680</f>
        <v/>
      </c>
      <c r="D680">
        <f>Data_thang!E680</f>
        <v/>
      </c>
      <c r="E680">
        <f>Data_thang!F680</f>
        <v/>
      </c>
      <c r="F680">
        <f>Data_thang!G680</f>
        <v/>
      </c>
      <c r="G680" s="29">
        <f>Data_thang!J680-Data_thang!K680</f>
        <v/>
      </c>
      <c r="H680" s="29">
        <f>Data_thang!N680</f>
        <v/>
      </c>
      <c r="I680" s="29">
        <f>H680-G680</f>
        <v/>
      </c>
      <c r="J680" s="30">
        <f>IF(H680=0,IF(I680=0,0,1),I680/ABS(H680))</f>
        <v/>
      </c>
      <c r="K680" s="29">
        <f>H680-(Data_thang!O680-Data_thang!K680)</f>
        <v/>
      </c>
      <c r="L680">
        <f>IF(AND(ABS(I680)&gt;Dashboard!$G$6,ABS(J680)&gt;Dashboard!$H$6),"⚠ Vượt","")</f>
        <v/>
      </c>
      <c r="M680">
        <f>IF(AND(A680=Dashboard!$D$6,OR(Dashboard!$C$6="*",F680=Dashboard!$C$6),L680&lt;&gt;""),ABS(I680)+ROW()/1000000000,0)</f>
        <v/>
      </c>
    </row>
    <row r="681">
      <c r="A681">
        <f>Data_thang!A681</f>
        <v/>
      </c>
      <c r="B681">
        <f>Data_thang!B681</f>
        <v/>
      </c>
      <c r="C681">
        <f>Data_thang!D681</f>
        <v/>
      </c>
      <c r="D681">
        <f>Data_thang!E681</f>
        <v/>
      </c>
      <c r="E681">
        <f>Data_thang!F681</f>
        <v/>
      </c>
      <c r="F681">
        <f>Data_thang!G681</f>
        <v/>
      </c>
      <c r="G681" s="29">
        <f>Data_thang!J681-Data_thang!K681</f>
        <v/>
      </c>
      <c r="H681" s="29">
        <f>Data_thang!N681</f>
        <v/>
      </c>
      <c r="I681" s="29">
        <f>H681-G681</f>
        <v/>
      </c>
      <c r="J681" s="30">
        <f>IF(H681=0,IF(I681=0,0,1),I681/ABS(H681))</f>
        <v/>
      </c>
      <c r="K681" s="29">
        <f>H681-(Data_thang!O681-Data_thang!K681)</f>
        <v/>
      </c>
      <c r="L681">
        <f>IF(AND(ABS(I681)&gt;Dashboard!$G$6,ABS(J681)&gt;Dashboard!$H$6),"⚠ Vượt","")</f>
        <v/>
      </c>
      <c r="M681">
        <f>IF(AND(A681=Dashboard!$D$6,OR(Dashboard!$C$6="*",F681=Dashboard!$C$6),L681&lt;&gt;""),ABS(I681)+ROW()/1000000000,0)</f>
        <v/>
      </c>
    </row>
    <row r="682">
      <c r="A682">
        <f>Data_thang!A682</f>
        <v/>
      </c>
      <c r="B682">
        <f>Data_thang!B682</f>
        <v/>
      </c>
      <c r="C682">
        <f>Data_thang!D682</f>
        <v/>
      </c>
      <c r="D682">
        <f>Data_thang!E682</f>
        <v/>
      </c>
      <c r="E682">
        <f>Data_thang!F682</f>
        <v/>
      </c>
      <c r="F682">
        <f>Data_thang!G682</f>
        <v/>
      </c>
      <c r="G682" s="29">
        <f>Data_thang!J682-Data_thang!K682</f>
        <v/>
      </c>
      <c r="H682" s="29">
        <f>Data_thang!N682</f>
        <v/>
      </c>
      <c r="I682" s="29">
        <f>H682-G682</f>
        <v/>
      </c>
      <c r="J682" s="30">
        <f>IF(H682=0,IF(I682=0,0,1),I682/ABS(H682))</f>
        <v/>
      </c>
      <c r="K682" s="29">
        <f>H682-(Data_thang!O682-Data_thang!K682)</f>
        <v/>
      </c>
      <c r="L682">
        <f>IF(AND(ABS(I682)&gt;Dashboard!$G$6,ABS(J682)&gt;Dashboard!$H$6),"⚠ Vượt","")</f>
        <v/>
      </c>
      <c r="M682">
        <f>IF(AND(A682=Dashboard!$D$6,OR(Dashboard!$C$6="*",F682=Dashboard!$C$6),L682&lt;&gt;""),ABS(I682)+ROW()/1000000000,0)</f>
        <v/>
      </c>
    </row>
    <row r="683">
      <c r="A683">
        <f>Data_thang!A683</f>
        <v/>
      </c>
      <c r="B683">
        <f>Data_thang!B683</f>
        <v/>
      </c>
      <c r="C683">
        <f>Data_thang!D683</f>
        <v/>
      </c>
      <c r="D683">
        <f>Data_thang!E683</f>
        <v/>
      </c>
      <c r="E683">
        <f>Data_thang!F683</f>
        <v/>
      </c>
      <c r="F683">
        <f>Data_thang!G683</f>
        <v/>
      </c>
      <c r="G683" s="29">
        <f>Data_thang!J683-Data_thang!K683</f>
        <v/>
      </c>
      <c r="H683" s="29">
        <f>Data_thang!N683</f>
        <v/>
      </c>
      <c r="I683" s="29">
        <f>H683-G683</f>
        <v/>
      </c>
      <c r="J683" s="30">
        <f>IF(H683=0,IF(I683=0,0,1),I683/ABS(H683))</f>
        <v/>
      </c>
      <c r="K683" s="29">
        <f>H683-(Data_thang!O683-Data_thang!K683)</f>
        <v/>
      </c>
      <c r="L683">
        <f>IF(AND(ABS(I683)&gt;Dashboard!$G$6,ABS(J683)&gt;Dashboard!$H$6),"⚠ Vượt","")</f>
        <v/>
      </c>
      <c r="M683">
        <f>IF(AND(A683=Dashboard!$D$6,OR(Dashboard!$C$6="*",F683=Dashboard!$C$6),L683&lt;&gt;""),ABS(I683)+ROW()/1000000000,0)</f>
        <v/>
      </c>
    </row>
    <row r="684">
      <c r="A684">
        <f>Data_thang!A684</f>
        <v/>
      </c>
      <c r="B684">
        <f>Data_thang!B684</f>
        <v/>
      </c>
      <c r="C684">
        <f>Data_thang!D684</f>
        <v/>
      </c>
      <c r="D684">
        <f>Data_thang!E684</f>
        <v/>
      </c>
      <c r="E684">
        <f>Data_thang!F684</f>
        <v/>
      </c>
      <c r="F684">
        <f>Data_thang!G684</f>
        <v/>
      </c>
      <c r="G684" s="29">
        <f>Data_thang!J684-Data_thang!K684</f>
        <v/>
      </c>
      <c r="H684" s="29">
        <f>Data_thang!N684</f>
        <v/>
      </c>
      <c r="I684" s="29">
        <f>H684-G684</f>
        <v/>
      </c>
      <c r="J684" s="30">
        <f>IF(H684=0,IF(I684=0,0,1),I684/ABS(H684))</f>
        <v/>
      </c>
      <c r="K684" s="29">
        <f>H684-(Data_thang!O684-Data_thang!K684)</f>
        <v/>
      </c>
      <c r="L684">
        <f>IF(AND(ABS(I684)&gt;Dashboard!$G$6,ABS(J684)&gt;Dashboard!$H$6),"⚠ Vượt","")</f>
        <v/>
      </c>
      <c r="M684">
        <f>IF(AND(A684=Dashboard!$D$6,OR(Dashboard!$C$6="*",F684=Dashboard!$C$6),L684&lt;&gt;""),ABS(I684)+ROW()/1000000000,0)</f>
        <v/>
      </c>
    </row>
    <row r="685">
      <c r="A685">
        <f>Data_thang!A685</f>
        <v/>
      </c>
      <c r="B685">
        <f>Data_thang!B685</f>
        <v/>
      </c>
      <c r="C685">
        <f>Data_thang!D685</f>
        <v/>
      </c>
      <c r="D685">
        <f>Data_thang!E685</f>
        <v/>
      </c>
      <c r="E685">
        <f>Data_thang!F685</f>
        <v/>
      </c>
      <c r="F685">
        <f>Data_thang!G685</f>
        <v/>
      </c>
      <c r="G685" s="29">
        <f>Data_thang!J685-Data_thang!K685</f>
        <v/>
      </c>
      <c r="H685" s="29">
        <f>Data_thang!N685</f>
        <v/>
      </c>
      <c r="I685" s="29">
        <f>H685-G685</f>
        <v/>
      </c>
      <c r="J685" s="30">
        <f>IF(H685=0,IF(I685=0,0,1),I685/ABS(H685))</f>
        <v/>
      </c>
      <c r="K685" s="29">
        <f>H685-(Data_thang!O685-Data_thang!K685)</f>
        <v/>
      </c>
      <c r="L685">
        <f>IF(AND(ABS(I685)&gt;Dashboard!$G$6,ABS(J685)&gt;Dashboard!$H$6),"⚠ Vượt","")</f>
        <v/>
      </c>
      <c r="M685">
        <f>IF(AND(A685=Dashboard!$D$6,OR(Dashboard!$C$6="*",F685=Dashboard!$C$6),L685&lt;&gt;""),ABS(I685)+ROW()/1000000000,0)</f>
        <v/>
      </c>
    </row>
    <row r="686">
      <c r="A686">
        <f>Data_thang!A686</f>
        <v/>
      </c>
      <c r="B686">
        <f>Data_thang!B686</f>
        <v/>
      </c>
      <c r="C686">
        <f>Data_thang!D686</f>
        <v/>
      </c>
      <c r="D686">
        <f>Data_thang!E686</f>
        <v/>
      </c>
      <c r="E686">
        <f>Data_thang!F686</f>
        <v/>
      </c>
      <c r="F686">
        <f>Data_thang!G686</f>
        <v/>
      </c>
      <c r="G686" s="29">
        <f>Data_thang!J686-Data_thang!K686</f>
        <v/>
      </c>
      <c r="H686" s="29">
        <f>Data_thang!N686</f>
        <v/>
      </c>
      <c r="I686" s="29">
        <f>H686-G686</f>
        <v/>
      </c>
      <c r="J686" s="30">
        <f>IF(H686=0,IF(I686=0,0,1),I686/ABS(H686))</f>
        <v/>
      </c>
      <c r="K686" s="29">
        <f>H686-(Data_thang!O686-Data_thang!K686)</f>
        <v/>
      </c>
      <c r="L686">
        <f>IF(AND(ABS(I686)&gt;Dashboard!$G$6,ABS(J686)&gt;Dashboard!$H$6),"⚠ Vượt","")</f>
        <v/>
      </c>
      <c r="M686">
        <f>IF(AND(A686=Dashboard!$D$6,OR(Dashboard!$C$6="*",F686=Dashboard!$C$6),L686&lt;&gt;""),ABS(I686)+ROW()/1000000000,0)</f>
        <v/>
      </c>
    </row>
    <row r="687">
      <c r="A687">
        <f>Data_thang!A687</f>
        <v/>
      </c>
      <c r="B687">
        <f>Data_thang!B687</f>
        <v/>
      </c>
      <c r="C687">
        <f>Data_thang!D687</f>
        <v/>
      </c>
      <c r="D687">
        <f>Data_thang!E687</f>
        <v/>
      </c>
      <c r="E687">
        <f>Data_thang!F687</f>
        <v/>
      </c>
      <c r="F687">
        <f>Data_thang!G687</f>
        <v/>
      </c>
      <c r="G687" s="29">
        <f>Data_thang!J687-Data_thang!K687</f>
        <v/>
      </c>
      <c r="H687" s="29">
        <f>Data_thang!N687</f>
        <v/>
      </c>
      <c r="I687" s="29">
        <f>H687-G687</f>
        <v/>
      </c>
      <c r="J687" s="30">
        <f>IF(H687=0,IF(I687=0,0,1),I687/ABS(H687))</f>
        <v/>
      </c>
      <c r="K687" s="29">
        <f>H687-(Data_thang!O687-Data_thang!K687)</f>
        <v/>
      </c>
      <c r="L687">
        <f>IF(AND(ABS(I687)&gt;Dashboard!$G$6,ABS(J687)&gt;Dashboard!$H$6),"⚠ Vượt","")</f>
        <v/>
      </c>
      <c r="M687">
        <f>IF(AND(A687=Dashboard!$D$6,OR(Dashboard!$C$6="*",F687=Dashboard!$C$6),L687&lt;&gt;""),ABS(I687)+ROW()/1000000000,0)</f>
        <v/>
      </c>
    </row>
    <row r="688">
      <c r="A688">
        <f>Data_thang!A688</f>
        <v/>
      </c>
      <c r="B688">
        <f>Data_thang!B688</f>
        <v/>
      </c>
      <c r="C688">
        <f>Data_thang!D688</f>
        <v/>
      </c>
      <c r="D688">
        <f>Data_thang!E688</f>
        <v/>
      </c>
      <c r="E688">
        <f>Data_thang!F688</f>
        <v/>
      </c>
      <c r="F688">
        <f>Data_thang!G688</f>
        <v/>
      </c>
      <c r="G688" s="29">
        <f>Data_thang!J688-Data_thang!K688</f>
        <v/>
      </c>
      <c r="H688" s="29">
        <f>Data_thang!N688</f>
        <v/>
      </c>
      <c r="I688" s="29">
        <f>H688-G688</f>
        <v/>
      </c>
      <c r="J688" s="30">
        <f>IF(H688=0,IF(I688=0,0,1),I688/ABS(H688))</f>
        <v/>
      </c>
      <c r="K688" s="29">
        <f>H688-(Data_thang!O688-Data_thang!K688)</f>
        <v/>
      </c>
      <c r="L688">
        <f>IF(AND(ABS(I688)&gt;Dashboard!$G$6,ABS(J688)&gt;Dashboard!$H$6),"⚠ Vượt","")</f>
        <v/>
      </c>
      <c r="M688">
        <f>IF(AND(A688=Dashboard!$D$6,OR(Dashboard!$C$6="*",F688=Dashboard!$C$6),L688&lt;&gt;""),ABS(I688)+ROW()/1000000000,0)</f>
        <v/>
      </c>
    </row>
    <row r="689">
      <c r="A689">
        <f>Data_thang!A689</f>
        <v/>
      </c>
      <c r="B689">
        <f>Data_thang!B689</f>
        <v/>
      </c>
      <c r="C689">
        <f>Data_thang!D689</f>
        <v/>
      </c>
      <c r="D689">
        <f>Data_thang!E689</f>
        <v/>
      </c>
      <c r="E689">
        <f>Data_thang!F689</f>
        <v/>
      </c>
      <c r="F689">
        <f>Data_thang!G689</f>
        <v/>
      </c>
      <c r="G689" s="29">
        <f>Data_thang!J689-Data_thang!K689</f>
        <v/>
      </c>
      <c r="H689" s="29">
        <f>Data_thang!N689</f>
        <v/>
      </c>
      <c r="I689" s="29">
        <f>H689-G689</f>
        <v/>
      </c>
      <c r="J689" s="30">
        <f>IF(H689=0,IF(I689=0,0,1),I689/ABS(H689))</f>
        <v/>
      </c>
      <c r="K689" s="29">
        <f>H689-(Data_thang!O689-Data_thang!K689)</f>
        <v/>
      </c>
      <c r="L689">
        <f>IF(AND(ABS(I689)&gt;Dashboard!$G$6,ABS(J689)&gt;Dashboard!$H$6),"⚠ Vượt","")</f>
        <v/>
      </c>
      <c r="M689">
        <f>IF(AND(A689=Dashboard!$D$6,OR(Dashboard!$C$6="*",F689=Dashboard!$C$6),L689&lt;&gt;""),ABS(I689)+ROW()/1000000000,0)</f>
        <v/>
      </c>
    </row>
    <row r="690">
      <c r="A690">
        <f>Data_thang!A690</f>
        <v/>
      </c>
      <c r="B690">
        <f>Data_thang!B690</f>
        <v/>
      </c>
      <c r="C690">
        <f>Data_thang!D690</f>
        <v/>
      </c>
      <c r="D690">
        <f>Data_thang!E690</f>
        <v/>
      </c>
      <c r="E690">
        <f>Data_thang!F690</f>
        <v/>
      </c>
      <c r="F690">
        <f>Data_thang!G690</f>
        <v/>
      </c>
      <c r="G690" s="29">
        <f>Data_thang!J690-Data_thang!K690</f>
        <v/>
      </c>
      <c r="H690" s="29">
        <f>Data_thang!N690</f>
        <v/>
      </c>
      <c r="I690" s="29">
        <f>H690-G690</f>
        <v/>
      </c>
      <c r="J690" s="30">
        <f>IF(H690=0,IF(I690=0,0,1),I690/ABS(H690))</f>
        <v/>
      </c>
      <c r="K690" s="29">
        <f>H690-(Data_thang!O690-Data_thang!K690)</f>
        <v/>
      </c>
      <c r="L690">
        <f>IF(AND(ABS(I690)&gt;Dashboard!$G$6,ABS(J690)&gt;Dashboard!$H$6),"⚠ Vượt","")</f>
        <v/>
      </c>
      <c r="M690">
        <f>IF(AND(A690=Dashboard!$D$6,OR(Dashboard!$C$6="*",F690=Dashboard!$C$6),L690&lt;&gt;""),ABS(I690)+ROW()/1000000000,0)</f>
        <v/>
      </c>
    </row>
    <row r="691">
      <c r="A691">
        <f>Data_thang!A691</f>
        <v/>
      </c>
      <c r="B691">
        <f>Data_thang!B691</f>
        <v/>
      </c>
      <c r="C691">
        <f>Data_thang!D691</f>
        <v/>
      </c>
      <c r="D691">
        <f>Data_thang!E691</f>
        <v/>
      </c>
      <c r="E691">
        <f>Data_thang!F691</f>
        <v/>
      </c>
      <c r="F691">
        <f>Data_thang!G691</f>
        <v/>
      </c>
      <c r="G691" s="29">
        <f>Data_thang!J691-Data_thang!K691</f>
        <v/>
      </c>
      <c r="H691" s="29">
        <f>Data_thang!N691</f>
        <v/>
      </c>
      <c r="I691" s="29">
        <f>H691-G691</f>
        <v/>
      </c>
      <c r="J691" s="30">
        <f>IF(H691=0,IF(I691=0,0,1),I691/ABS(H691))</f>
        <v/>
      </c>
      <c r="K691" s="29">
        <f>H691-(Data_thang!O691-Data_thang!K691)</f>
        <v/>
      </c>
      <c r="L691">
        <f>IF(AND(ABS(I691)&gt;Dashboard!$G$6,ABS(J691)&gt;Dashboard!$H$6),"⚠ Vượt","")</f>
        <v/>
      </c>
      <c r="M691">
        <f>IF(AND(A691=Dashboard!$D$6,OR(Dashboard!$C$6="*",F691=Dashboard!$C$6),L691&lt;&gt;""),ABS(I691)+ROW()/1000000000,0)</f>
        <v/>
      </c>
    </row>
    <row r="692">
      <c r="A692">
        <f>Data_thang!A692</f>
        <v/>
      </c>
      <c r="B692">
        <f>Data_thang!B692</f>
        <v/>
      </c>
      <c r="C692">
        <f>Data_thang!D692</f>
        <v/>
      </c>
      <c r="D692">
        <f>Data_thang!E692</f>
        <v/>
      </c>
      <c r="E692">
        <f>Data_thang!F692</f>
        <v/>
      </c>
      <c r="F692">
        <f>Data_thang!G692</f>
        <v/>
      </c>
      <c r="G692" s="29">
        <f>Data_thang!J692-Data_thang!K692</f>
        <v/>
      </c>
      <c r="H692" s="29">
        <f>Data_thang!N692</f>
        <v/>
      </c>
      <c r="I692" s="29">
        <f>H692-G692</f>
        <v/>
      </c>
      <c r="J692" s="30">
        <f>IF(H692=0,IF(I692=0,0,1),I692/ABS(H692))</f>
        <v/>
      </c>
      <c r="K692" s="29">
        <f>H692-(Data_thang!O692-Data_thang!K692)</f>
        <v/>
      </c>
      <c r="L692">
        <f>IF(AND(ABS(I692)&gt;Dashboard!$G$6,ABS(J692)&gt;Dashboard!$H$6),"⚠ Vượt","")</f>
        <v/>
      </c>
      <c r="M692">
        <f>IF(AND(A692=Dashboard!$D$6,OR(Dashboard!$C$6="*",F692=Dashboard!$C$6),L692&lt;&gt;""),ABS(I692)+ROW()/1000000000,0)</f>
        <v/>
      </c>
    </row>
    <row r="693">
      <c r="A693">
        <f>Data_thang!A693</f>
        <v/>
      </c>
      <c r="B693">
        <f>Data_thang!B693</f>
        <v/>
      </c>
      <c r="C693">
        <f>Data_thang!D693</f>
        <v/>
      </c>
      <c r="D693">
        <f>Data_thang!E693</f>
        <v/>
      </c>
      <c r="E693">
        <f>Data_thang!F693</f>
        <v/>
      </c>
      <c r="F693">
        <f>Data_thang!G693</f>
        <v/>
      </c>
      <c r="G693" s="29">
        <f>Data_thang!J693-Data_thang!K693</f>
        <v/>
      </c>
      <c r="H693" s="29">
        <f>Data_thang!N693</f>
        <v/>
      </c>
      <c r="I693" s="29">
        <f>H693-G693</f>
        <v/>
      </c>
      <c r="J693" s="30">
        <f>IF(H693=0,IF(I693=0,0,1),I693/ABS(H693))</f>
        <v/>
      </c>
      <c r="K693" s="29">
        <f>H693-(Data_thang!O693-Data_thang!K693)</f>
        <v/>
      </c>
      <c r="L693">
        <f>IF(AND(ABS(I693)&gt;Dashboard!$G$6,ABS(J693)&gt;Dashboard!$H$6),"⚠ Vượt","")</f>
        <v/>
      </c>
      <c r="M693">
        <f>IF(AND(A693=Dashboard!$D$6,OR(Dashboard!$C$6="*",F693=Dashboard!$C$6),L693&lt;&gt;""),ABS(I693)+ROW()/1000000000,0)</f>
        <v/>
      </c>
    </row>
    <row r="694">
      <c r="A694">
        <f>Data_thang!A694</f>
        <v/>
      </c>
      <c r="B694">
        <f>Data_thang!B694</f>
        <v/>
      </c>
      <c r="C694">
        <f>Data_thang!D694</f>
        <v/>
      </c>
      <c r="D694">
        <f>Data_thang!E694</f>
        <v/>
      </c>
      <c r="E694">
        <f>Data_thang!F694</f>
        <v/>
      </c>
      <c r="F694">
        <f>Data_thang!G694</f>
        <v/>
      </c>
      <c r="G694" s="29">
        <f>Data_thang!J694-Data_thang!K694</f>
        <v/>
      </c>
      <c r="H694" s="29">
        <f>Data_thang!N694</f>
        <v/>
      </c>
      <c r="I694" s="29">
        <f>H694-G694</f>
        <v/>
      </c>
      <c r="J694" s="30">
        <f>IF(H694=0,IF(I694=0,0,1),I694/ABS(H694))</f>
        <v/>
      </c>
      <c r="K694" s="29">
        <f>H694-(Data_thang!O694-Data_thang!K694)</f>
        <v/>
      </c>
      <c r="L694">
        <f>IF(AND(ABS(I694)&gt;Dashboard!$G$6,ABS(J694)&gt;Dashboard!$H$6),"⚠ Vượt","")</f>
        <v/>
      </c>
      <c r="M694">
        <f>IF(AND(A694=Dashboard!$D$6,OR(Dashboard!$C$6="*",F694=Dashboard!$C$6),L694&lt;&gt;""),ABS(I694)+ROW()/1000000000,0)</f>
        <v/>
      </c>
    </row>
    <row r="695">
      <c r="A695">
        <f>Data_thang!A695</f>
        <v/>
      </c>
      <c r="B695">
        <f>Data_thang!B695</f>
        <v/>
      </c>
      <c r="C695">
        <f>Data_thang!D695</f>
        <v/>
      </c>
      <c r="D695">
        <f>Data_thang!E695</f>
        <v/>
      </c>
      <c r="E695">
        <f>Data_thang!F695</f>
        <v/>
      </c>
      <c r="F695">
        <f>Data_thang!G695</f>
        <v/>
      </c>
      <c r="G695" s="29">
        <f>Data_thang!J695-Data_thang!K695</f>
        <v/>
      </c>
      <c r="H695" s="29">
        <f>Data_thang!N695</f>
        <v/>
      </c>
      <c r="I695" s="29">
        <f>H695-G695</f>
        <v/>
      </c>
      <c r="J695" s="30">
        <f>IF(H695=0,IF(I695=0,0,1),I695/ABS(H695))</f>
        <v/>
      </c>
      <c r="K695" s="29">
        <f>H695-(Data_thang!O695-Data_thang!K695)</f>
        <v/>
      </c>
      <c r="L695">
        <f>IF(AND(ABS(I695)&gt;Dashboard!$G$6,ABS(J695)&gt;Dashboard!$H$6),"⚠ Vượt","")</f>
        <v/>
      </c>
      <c r="M695">
        <f>IF(AND(A695=Dashboard!$D$6,OR(Dashboard!$C$6="*",F695=Dashboard!$C$6),L695&lt;&gt;""),ABS(I695)+ROW()/1000000000,0)</f>
        <v/>
      </c>
    </row>
    <row r="696">
      <c r="A696">
        <f>Data_thang!A696</f>
        <v/>
      </c>
      <c r="B696">
        <f>Data_thang!B696</f>
        <v/>
      </c>
      <c r="C696">
        <f>Data_thang!D696</f>
        <v/>
      </c>
      <c r="D696">
        <f>Data_thang!E696</f>
        <v/>
      </c>
      <c r="E696">
        <f>Data_thang!F696</f>
        <v/>
      </c>
      <c r="F696">
        <f>Data_thang!G696</f>
        <v/>
      </c>
      <c r="G696" s="29">
        <f>Data_thang!J696-Data_thang!K696</f>
        <v/>
      </c>
      <c r="H696" s="29">
        <f>Data_thang!N696</f>
        <v/>
      </c>
      <c r="I696" s="29">
        <f>H696-G696</f>
        <v/>
      </c>
      <c r="J696" s="30">
        <f>IF(H696=0,IF(I696=0,0,1),I696/ABS(H696))</f>
        <v/>
      </c>
      <c r="K696" s="29">
        <f>H696-(Data_thang!O696-Data_thang!K696)</f>
        <v/>
      </c>
      <c r="L696">
        <f>IF(AND(ABS(I696)&gt;Dashboard!$G$6,ABS(J696)&gt;Dashboard!$H$6),"⚠ Vượt","")</f>
        <v/>
      </c>
      <c r="M696">
        <f>IF(AND(A696=Dashboard!$D$6,OR(Dashboard!$C$6="*",F696=Dashboard!$C$6),L696&lt;&gt;""),ABS(I696)+ROW()/1000000000,0)</f>
        <v/>
      </c>
    </row>
    <row r="697">
      <c r="A697">
        <f>Data_thang!A697</f>
        <v/>
      </c>
      <c r="B697">
        <f>Data_thang!B697</f>
        <v/>
      </c>
      <c r="C697">
        <f>Data_thang!D697</f>
        <v/>
      </c>
      <c r="D697">
        <f>Data_thang!E697</f>
        <v/>
      </c>
      <c r="E697">
        <f>Data_thang!F697</f>
        <v/>
      </c>
      <c r="F697">
        <f>Data_thang!G697</f>
        <v/>
      </c>
      <c r="G697" s="29">
        <f>Data_thang!J697-Data_thang!K697</f>
        <v/>
      </c>
      <c r="H697" s="29">
        <f>Data_thang!N697</f>
        <v/>
      </c>
      <c r="I697" s="29">
        <f>H697-G697</f>
        <v/>
      </c>
      <c r="J697" s="30">
        <f>IF(H697=0,IF(I697=0,0,1),I697/ABS(H697))</f>
        <v/>
      </c>
      <c r="K697" s="29">
        <f>H697-(Data_thang!O697-Data_thang!K697)</f>
        <v/>
      </c>
      <c r="L697">
        <f>IF(AND(ABS(I697)&gt;Dashboard!$G$6,ABS(J697)&gt;Dashboard!$H$6),"⚠ Vượt","")</f>
        <v/>
      </c>
      <c r="M697">
        <f>IF(AND(A697=Dashboard!$D$6,OR(Dashboard!$C$6="*",F697=Dashboard!$C$6),L697&lt;&gt;""),ABS(I697)+ROW()/1000000000,0)</f>
        <v/>
      </c>
    </row>
    <row r="698">
      <c r="A698">
        <f>Data_thang!A698</f>
        <v/>
      </c>
      <c r="B698">
        <f>Data_thang!B698</f>
        <v/>
      </c>
      <c r="C698">
        <f>Data_thang!D698</f>
        <v/>
      </c>
      <c r="D698">
        <f>Data_thang!E698</f>
        <v/>
      </c>
      <c r="E698">
        <f>Data_thang!F698</f>
        <v/>
      </c>
      <c r="F698">
        <f>Data_thang!G698</f>
        <v/>
      </c>
      <c r="G698" s="29">
        <f>Data_thang!J698-Data_thang!K698</f>
        <v/>
      </c>
      <c r="H698" s="29">
        <f>Data_thang!N698</f>
        <v/>
      </c>
      <c r="I698" s="29">
        <f>H698-G698</f>
        <v/>
      </c>
      <c r="J698" s="30">
        <f>IF(H698=0,IF(I698=0,0,1),I698/ABS(H698))</f>
        <v/>
      </c>
      <c r="K698" s="29">
        <f>H698-(Data_thang!O698-Data_thang!K698)</f>
        <v/>
      </c>
      <c r="L698">
        <f>IF(AND(ABS(I698)&gt;Dashboard!$G$6,ABS(J698)&gt;Dashboard!$H$6),"⚠ Vượt","")</f>
        <v/>
      </c>
      <c r="M698">
        <f>IF(AND(A698=Dashboard!$D$6,OR(Dashboard!$C$6="*",F698=Dashboard!$C$6),L698&lt;&gt;""),ABS(I698)+ROW()/1000000000,0)</f>
        <v/>
      </c>
    </row>
    <row r="699">
      <c r="A699">
        <f>Data_thang!A699</f>
        <v/>
      </c>
      <c r="B699">
        <f>Data_thang!B699</f>
        <v/>
      </c>
      <c r="C699">
        <f>Data_thang!D699</f>
        <v/>
      </c>
      <c r="D699">
        <f>Data_thang!E699</f>
        <v/>
      </c>
      <c r="E699">
        <f>Data_thang!F699</f>
        <v/>
      </c>
      <c r="F699">
        <f>Data_thang!G699</f>
        <v/>
      </c>
      <c r="G699" s="29">
        <f>Data_thang!J699-Data_thang!K699</f>
        <v/>
      </c>
      <c r="H699" s="29">
        <f>Data_thang!N699</f>
        <v/>
      </c>
      <c r="I699" s="29">
        <f>H699-G699</f>
        <v/>
      </c>
      <c r="J699" s="30">
        <f>IF(H699=0,IF(I699=0,0,1),I699/ABS(H699))</f>
        <v/>
      </c>
      <c r="K699" s="29">
        <f>H699-(Data_thang!O699-Data_thang!K699)</f>
        <v/>
      </c>
      <c r="L699">
        <f>IF(AND(ABS(I699)&gt;Dashboard!$G$6,ABS(J699)&gt;Dashboard!$H$6),"⚠ Vượt","")</f>
        <v/>
      </c>
      <c r="M699">
        <f>IF(AND(A699=Dashboard!$D$6,OR(Dashboard!$C$6="*",F699=Dashboard!$C$6),L699&lt;&gt;""),ABS(I699)+ROW()/1000000000,0)</f>
        <v/>
      </c>
    </row>
    <row r="700">
      <c r="A700">
        <f>Data_thang!A700</f>
        <v/>
      </c>
      <c r="B700">
        <f>Data_thang!B700</f>
        <v/>
      </c>
      <c r="C700">
        <f>Data_thang!D700</f>
        <v/>
      </c>
      <c r="D700">
        <f>Data_thang!E700</f>
        <v/>
      </c>
      <c r="E700">
        <f>Data_thang!F700</f>
        <v/>
      </c>
      <c r="F700">
        <f>Data_thang!G700</f>
        <v/>
      </c>
      <c r="G700" s="29">
        <f>Data_thang!J700-Data_thang!K700</f>
        <v/>
      </c>
      <c r="H700" s="29">
        <f>Data_thang!N700</f>
        <v/>
      </c>
      <c r="I700" s="29">
        <f>H700-G700</f>
        <v/>
      </c>
      <c r="J700" s="30">
        <f>IF(H700=0,IF(I700=0,0,1),I700/ABS(H700))</f>
        <v/>
      </c>
      <c r="K700" s="29">
        <f>H700-(Data_thang!O700-Data_thang!K700)</f>
        <v/>
      </c>
      <c r="L700">
        <f>IF(AND(ABS(I700)&gt;Dashboard!$G$6,ABS(J700)&gt;Dashboard!$H$6),"⚠ Vượt","")</f>
        <v/>
      </c>
      <c r="M700">
        <f>IF(AND(A700=Dashboard!$D$6,OR(Dashboard!$C$6="*",F700=Dashboard!$C$6),L700&lt;&gt;""),ABS(I700)+ROW()/1000000000,0)</f>
        <v/>
      </c>
    </row>
    <row r="701">
      <c r="A701">
        <f>Data_thang!A701</f>
        <v/>
      </c>
      <c r="B701">
        <f>Data_thang!B701</f>
        <v/>
      </c>
      <c r="C701">
        <f>Data_thang!D701</f>
        <v/>
      </c>
      <c r="D701">
        <f>Data_thang!E701</f>
        <v/>
      </c>
      <c r="E701">
        <f>Data_thang!F701</f>
        <v/>
      </c>
      <c r="F701">
        <f>Data_thang!G701</f>
        <v/>
      </c>
      <c r="G701" s="29">
        <f>Data_thang!J701-Data_thang!K701</f>
        <v/>
      </c>
      <c r="H701" s="29">
        <f>Data_thang!N701</f>
        <v/>
      </c>
      <c r="I701" s="29">
        <f>H701-G701</f>
        <v/>
      </c>
      <c r="J701" s="30">
        <f>IF(H701=0,IF(I701=0,0,1),I701/ABS(H701))</f>
        <v/>
      </c>
      <c r="K701" s="29">
        <f>H701-(Data_thang!O701-Data_thang!K701)</f>
        <v/>
      </c>
      <c r="L701">
        <f>IF(AND(ABS(I701)&gt;Dashboard!$G$6,ABS(J701)&gt;Dashboard!$H$6),"⚠ Vượt","")</f>
        <v/>
      </c>
      <c r="M701">
        <f>IF(AND(A701=Dashboard!$D$6,OR(Dashboard!$C$6="*",F701=Dashboard!$C$6),L701&lt;&gt;""),ABS(I701)+ROW()/1000000000,0)</f>
        <v/>
      </c>
    </row>
    <row r="702">
      <c r="A702">
        <f>Data_thang!A702</f>
        <v/>
      </c>
      <c r="B702">
        <f>Data_thang!B702</f>
        <v/>
      </c>
      <c r="C702">
        <f>Data_thang!D702</f>
        <v/>
      </c>
      <c r="D702">
        <f>Data_thang!E702</f>
        <v/>
      </c>
      <c r="E702">
        <f>Data_thang!F702</f>
        <v/>
      </c>
      <c r="F702">
        <f>Data_thang!G702</f>
        <v/>
      </c>
      <c r="G702" s="29">
        <f>Data_thang!J702-Data_thang!K702</f>
        <v/>
      </c>
      <c r="H702" s="29">
        <f>Data_thang!N702</f>
        <v/>
      </c>
      <c r="I702" s="29">
        <f>H702-G702</f>
        <v/>
      </c>
      <c r="J702" s="30">
        <f>IF(H702=0,IF(I702=0,0,1),I702/ABS(H702))</f>
        <v/>
      </c>
      <c r="K702" s="29">
        <f>H702-(Data_thang!O702-Data_thang!K702)</f>
        <v/>
      </c>
      <c r="L702">
        <f>IF(AND(ABS(I702)&gt;Dashboard!$G$6,ABS(J702)&gt;Dashboard!$H$6),"⚠ Vượt","")</f>
        <v/>
      </c>
      <c r="M702">
        <f>IF(AND(A702=Dashboard!$D$6,OR(Dashboard!$C$6="*",F702=Dashboard!$C$6),L702&lt;&gt;""),ABS(I702)+ROW()/1000000000,0)</f>
        <v/>
      </c>
    </row>
    <row r="703">
      <c r="A703">
        <f>Data_thang!A703</f>
        <v/>
      </c>
      <c r="B703">
        <f>Data_thang!B703</f>
        <v/>
      </c>
      <c r="C703">
        <f>Data_thang!D703</f>
        <v/>
      </c>
      <c r="D703">
        <f>Data_thang!E703</f>
        <v/>
      </c>
      <c r="E703">
        <f>Data_thang!F703</f>
        <v/>
      </c>
      <c r="F703">
        <f>Data_thang!G703</f>
        <v/>
      </c>
      <c r="G703" s="29">
        <f>Data_thang!J703-Data_thang!K703</f>
        <v/>
      </c>
      <c r="H703" s="29">
        <f>Data_thang!N703</f>
        <v/>
      </c>
      <c r="I703" s="29">
        <f>H703-G703</f>
        <v/>
      </c>
      <c r="J703" s="30">
        <f>IF(H703=0,IF(I703=0,0,1),I703/ABS(H703))</f>
        <v/>
      </c>
      <c r="K703" s="29">
        <f>H703-(Data_thang!O703-Data_thang!K703)</f>
        <v/>
      </c>
      <c r="L703">
        <f>IF(AND(ABS(I703)&gt;Dashboard!$G$6,ABS(J703)&gt;Dashboard!$H$6),"⚠ Vượt","")</f>
        <v/>
      </c>
      <c r="M703">
        <f>IF(AND(A703=Dashboard!$D$6,OR(Dashboard!$C$6="*",F703=Dashboard!$C$6),L703&lt;&gt;""),ABS(I703)+ROW()/1000000000,0)</f>
        <v/>
      </c>
    </row>
    <row r="704">
      <c r="A704">
        <f>Data_thang!A704</f>
        <v/>
      </c>
      <c r="B704">
        <f>Data_thang!B704</f>
        <v/>
      </c>
      <c r="C704">
        <f>Data_thang!D704</f>
        <v/>
      </c>
      <c r="D704">
        <f>Data_thang!E704</f>
        <v/>
      </c>
      <c r="E704">
        <f>Data_thang!F704</f>
        <v/>
      </c>
      <c r="F704">
        <f>Data_thang!G704</f>
        <v/>
      </c>
      <c r="G704" s="29">
        <f>Data_thang!J704-Data_thang!K704</f>
        <v/>
      </c>
      <c r="H704" s="29">
        <f>Data_thang!N704</f>
        <v/>
      </c>
      <c r="I704" s="29">
        <f>H704-G704</f>
        <v/>
      </c>
      <c r="J704" s="30">
        <f>IF(H704=0,IF(I704=0,0,1),I704/ABS(H704))</f>
        <v/>
      </c>
      <c r="K704" s="29">
        <f>H704-(Data_thang!O704-Data_thang!K704)</f>
        <v/>
      </c>
      <c r="L704">
        <f>IF(AND(ABS(I704)&gt;Dashboard!$G$6,ABS(J704)&gt;Dashboard!$H$6),"⚠ Vượt","")</f>
        <v/>
      </c>
      <c r="M704">
        <f>IF(AND(A704=Dashboard!$D$6,OR(Dashboard!$C$6="*",F704=Dashboard!$C$6),L704&lt;&gt;""),ABS(I704)+ROW()/1000000000,0)</f>
        <v/>
      </c>
    </row>
    <row r="705">
      <c r="A705">
        <f>Data_thang!A705</f>
        <v/>
      </c>
      <c r="B705">
        <f>Data_thang!B705</f>
        <v/>
      </c>
      <c r="C705">
        <f>Data_thang!D705</f>
        <v/>
      </c>
      <c r="D705">
        <f>Data_thang!E705</f>
        <v/>
      </c>
      <c r="E705">
        <f>Data_thang!F705</f>
        <v/>
      </c>
      <c r="F705">
        <f>Data_thang!G705</f>
        <v/>
      </c>
      <c r="G705" s="29">
        <f>Data_thang!J705-Data_thang!K705</f>
        <v/>
      </c>
      <c r="H705" s="29">
        <f>Data_thang!N705</f>
        <v/>
      </c>
      <c r="I705" s="29">
        <f>H705-G705</f>
        <v/>
      </c>
      <c r="J705" s="30">
        <f>IF(H705=0,IF(I705=0,0,1),I705/ABS(H705))</f>
        <v/>
      </c>
      <c r="K705" s="29">
        <f>H705-(Data_thang!O705-Data_thang!K705)</f>
        <v/>
      </c>
      <c r="L705">
        <f>IF(AND(ABS(I705)&gt;Dashboard!$G$6,ABS(J705)&gt;Dashboard!$H$6),"⚠ Vượt","")</f>
        <v/>
      </c>
      <c r="M705">
        <f>IF(AND(A705=Dashboard!$D$6,OR(Dashboard!$C$6="*",F705=Dashboard!$C$6),L705&lt;&gt;""),ABS(I705)+ROW()/1000000000,0)</f>
        <v/>
      </c>
    </row>
    <row r="706">
      <c r="A706">
        <f>Data_thang!A706</f>
        <v/>
      </c>
      <c r="B706">
        <f>Data_thang!B706</f>
        <v/>
      </c>
      <c r="C706">
        <f>Data_thang!D706</f>
        <v/>
      </c>
      <c r="D706">
        <f>Data_thang!E706</f>
        <v/>
      </c>
      <c r="E706">
        <f>Data_thang!F706</f>
        <v/>
      </c>
      <c r="F706">
        <f>Data_thang!G706</f>
        <v/>
      </c>
      <c r="G706" s="29">
        <f>Data_thang!J706-Data_thang!K706</f>
        <v/>
      </c>
      <c r="H706" s="29">
        <f>Data_thang!N706</f>
        <v/>
      </c>
      <c r="I706" s="29">
        <f>H706-G706</f>
        <v/>
      </c>
      <c r="J706" s="30">
        <f>IF(H706=0,IF(I706=0,0,1),I706/ABS(H706))</f>
        <v/>
      </c>
      <c r="K706" s="29">
        <f>H706-(Data_thang!O706-Data_thang!K706)</f>
        <v/>
      </c>
      <c r="L706">
        <f>IF(AND(ABS(I706)&gt;Dashboard!$G$6,ABS(J706)&gt;Dashboard!$H$6),"⚠ Vượt","")</f>
        <v/>
      </c>
      <c r="M706">
        <f>IF(AND(A706=Dashboard!$D$6,OR(Dashboard!$C$6="*",F706=Dashboard!$C$6),L706&lt;&gt;""),ABS(I706)+ROW()/1000000000,0)</f>
        <v/>
      </c>
    </row>
    <row r="707">
      <c r="A707">
        <f>Data_thang!A707</f>
        <v/>
      </c>
      <c r="B707">
        <f>Data_thang!B707</f>
        <v/>
      </c>
      <c r="C707">
        <f>Data_thang!D707</f>
        <v/>
      </c>
      <c r="D707">
        <f>Data_thang!E707</f>
        <v/>
      </c>
      <c r="E707">
        <f>Data_thang!F707</f>
        <v/>
      </c>
      <c r="F707">
        <f>Data_thang!G707</f>
        <v/>
      </c>
      <c r="G707" s="29">
        <f>Data_thang!J707-Data_thang!K707</f>
        <v/>
      </c>
      <c r="H707" s="29">
        <f>Data_thang!N707</f>
        <v/>
      </c>
      <c r="I707" s="29">
        <f>H707-G707</f>
        <v/>
      </c>
      <c r="J707" s="30">
        <f>IF(H707=0,IF(I707=0,0,1),I707/ABS(H707))</f>
        <v/>
      </c>
      <c r="K707" s="29">
        <f>H707-(Data_thang!O707-Data_thang!K707)</f>
        <v/>
      </c>
      <c r="L707">
        <f>IF(AND(ABS(I707)&gt;Dashboard!$G$6,ABS(J707)&gt;Dashboard!$H$6),"⚠ Vượt","")</f>
        <v/>
      </c>
      <c r="M707">
        <f>IF(AND(A707=Dashboard!$D$6,OR(Dashboard!$C$6="*",F707=Dashboard!$C$6),L707&lt;&gt;""),ABS(I707)+ROW()/1000000000,0)</f>
        <v/>
      </c>
    </row>
    <row r="708">
      <c r="A708">
        <f>Data_thang!A708</f>
        <v/>
      </c>
      <c r="B708">
        <f>Data_thang!B708</f>
        <v/>
      </c>
      <c r="C708">
        <f>Data_thang!D708</f>
        <v/>
      </c>
      <c r="D708">
        <f>Data_thang!E708</f>
        <v/>
      </c>
      <c r="E708">
        <f>Data_thang!F708</f>
        <v/>
      </c>
      <c r="F708">
        <f>Data_thang!G708</f>
        <v/>
      </c>
      <c r="G708" s="29">
        <f>Data_thang!J708-Data_thang!K708</f>
        <v/>
      </c>
      <c r="H708" s="29">
        <f>Data_thang!N708</f>
        <v/>
      </c>
      <c r="I708" s="29">
        <f>H708-G708</f>
        <v/>
      </c>
      <c r="J708" s="30">
        <f>IF(H708=0,IF(I708=0,0,1),I708/ABS(H708))</f>
        <v/>
      </c>
      <c r="K708" s="29">
        <f>H708-(Data_thang!O708-Data_thang!K708)</f>
        <v/>
      </c>
      <c r="L708">
        <f>IF(AND(ABS(I708)&gt;Dashboard!$G$6,ABS(J708)&gt;Dashboard!$H$6),"⚠ Vượt","")</f>
        <v/>
      </c>
      <c r="M708">
        <f>IF(AND(A708=Dashboard!$D$6,OR(Dashboard!$C$6="*",F708=Dashboard!$C$6),L708&lt;&gt;""),ABS(I708)+ROW()/1000000000,0)</f>
        <v/>
      </c>
    </row>
    <row r="709">
      <c r="A709">
        <f>Data_thang!A709</f>
        <v/>
      </c>
      <c r="B709">
        <f>Data_thang!B709</f>
        <v/>
      </c>
      <c r="C709">
        <f>Data_thang!D709</f>
        <v/>
      </c>
      <c r="D709">
        <f>Data_thang!E709</f>
        <v/>
      </c>
      <c r="E709">
        <f>Data_thang!F709</f>
        <v/>
      </c>
      <c r="F709">
        <f>Data_thang!G709</f>
        <v/>
      </c>
      <c r="G709" s="29">
        <f>Data_thang!J709-Data_thang!K709</f>
        <v/>
      </c>
      <c r="H709" s="29">
        <f>Data_thang!N709</f>
        <v/>
      </c>
      <c r="I709" s="29">
        <f>H709-G709</f>
        <v/>
      </c>
      <c r="J709" s="30">
        <f>IF(H709=0,IF(I709=0,0,1),I709/ABS(H709))</f>
        <v/>
      </c>
      <c r="K709" s="29">
        <f>H709-(Data_thang!O709-Data_thang!K709)</f>
        <v/>
      </c>
      <c r="L709">
        <f>IF(AND(ABS(I709)&gt;Dashboard!$G$6,ABS(J709)&gt;Dashboard!$H$6),"⚠ Vượt","")</f>
        <v/>
      </c>
      <c r="M709">
        <f>IF(AND(A709=Dashboard!$D$6,OR(Dashboard!$C$6="*",F709=Dashboard!$C$6),L709&lt;&gt;""),ABS(I709)+ROW()/1000000000,0)</f>
        <v/>
      </c>
    </row>
    <row r="710">
      <c r="A710">
        <f>Data_thang!A710</f>
        <v/>
      </c>
      <c r="B710">
        <f>Data_thang!B710</f>
        <v/>
      </c>
      <c r="C710">
        <f>Data_thang!D710</f>
        <v/>
      </c>
      <c r="D710">
        <f>Data_thang!E710</f>
        <v/>
      </c>
      <c r="E710">
        <f>Data_thang!F710</f>
        <v/>
      </c>
      <c r="F710">
        <f>Data_thang!G710</f>
        <v/>
      </c>
      <c r="G710" s="29">
        <f>Data_thang!J710-Data_thang!K710</f>
        <v/>
      </c>
      <c r="H710" s="29">
        <f>Data_thang!N710</f>
        <v/>
      </c>
      <c r="I710" s="29">
        <f>H710-G710</f>
        <v/>
      </c>
      <c r="J710" s="30">
        <f>IF(H710=0,IF(I710=0,0,1),I710/ABS(H710))</f>
        <v/>
      </c>
      <c r="K710" s="29">
        <f>H710-(Data_thang!O710-Data_thang!K710)</f>
        <v/>
      </c>
      <c r="L710">
        <f>IF(AND(ABS(I710)&gt;Dashboard!$G$6,ABS(J710)&gt;Dashboard!$H$6),"⚠ Vượt","")</f>
        <v/>
      </c>
      <c r="M710">
        <f>IF(AND(A710=Dashboard!$D$6,OR(Dashboard!$C$6="*",F710=Dashboard!$C$6),L710&lt;&gt;""),ABS(I710)+ROW()/1000000000,0)</f>
        <v/>
      </c>
    </row>
    <row r="711">
      <c r="A711">
        <f>Data_thang!A711</f>
        <v/>
      </c>
      <c r="B711">
        <f>Data_thang!B711</f>
        <v/>
      </c>
      <c r="C711">
        <f>Data_thang!D711</f>
        <v/>
      </c>
      <c r="D711">
        <f>Data_thang!E711</f>
        <v/>
      </c>
      <c r="E711">
        <f>Data_thang!F711</f>
        <v/>
      </c>
      <c r="F711">
        <f>Data_thang!G711</f>
        <v/>
      </c>
      <c r="G711" s="29">
        <f>Data_thang!J711-Data_thang!K711</f>
        <v/>
      </c>
      <c r="H711" s="29">
        <f>Data_thang!N711</f>
        <v/>
      </c>
      <c r="I711" s="29">
        <f>H711-G711</f>
        <v/>
      </c>
      <c r="J711" s="30">
        <f>IF(H711=0,IF(I711=0,0,1),I711/ABS(H711))</f>
        <v/>
      </c>
      <c r="K711" s="29">
        <f>H711-(Data_thang!O711-Data_thang!K711)</f>
        <v/>
      </c>
      <c r="L711">
        <f>IF(AND(ABS(I711)&gt;Dashboard!$G$6,ABS(J711)&gt;Dashboard!$H$6),"⚠ Vượt","")</f>
        <v/>
      </c>
      <c r="M711">
        <f>IF(AND(A711=Dashboard!$D$6,OR(Dashboard!$C$6="*",F711=Dashboard!$C$6),L711&lt;&gt;""),ABS(I711)+ROW()/1000000000,0)</f>
        <v/>
      </c>
    </row>
    <row r="712">
      <c r="A712">
        <f>Data_thang!A712</f>
        <v/>
      </c>
      <c r="B712">
        <f>Data_thang!B712</f>
        <v/>
      </c>
      <c r="C712">
        <f>Data_thang!D712</f>
        <v/>
      </c>
      <c r="D712">
        <f>Data_thang!E712</f>
        <v/>
      </c>
      <c r="E712">
        <f>Data_thang!F712</f>
        <v/>
      </c>
      <c r="F712">
        <f>Data_thang!G712</f>
        <v/>
      </c>
      <c r="G712" s="29">
        <f>Data_thang!J712-Data_thang!K712</f>
        <v/>
      </c>
      <c r="H712" s="29">
        <f>Data_thang!N712</f>
        <v/>
      </c>
      <c r="I712" s="29">
        <f>H712-G712</f>
        <v/>
      </c>
      <c r="J712" s="30">
        <f>IF(H712=0,IF(I712=0,0,1),I712/ABS(H712))</f>
        <v/>
      </c>
      <c r="K712" s="29">
        <f>H712-(Data_thang!O712-Data_thang!K712)</f>
        <v/>
      </c>
      <c r="L712">
        <f>IF(AND(ABS(I712)&gt;Dashboard!$G$6,ABS(J712)&gt;Dashboard!$H$6),"⚠ Vượt","")</f>
        <v/>
      </c>
      <c r="M712">
        <f>IF(AND(A712=Dashboard!$D$6,OR(Dashboard!$C$6="*",F712=Dashboard!$C$6),L712&lt;&gt;""),ABS(I712)+ROW()/1000000000,0)</f>
        <v/>
      </c>
    </row>
    <row r="713">
      <c r="A713">
        <f>Data_thang!A713</f>
        <v/>
      </c>
      <c r="B713">
        <f>Data_thang!B713</f>
        <v/>
      </c>
      <c r="C713">
        <f>Data_thang!D713</f>
        <v/>
      </c>
      <c r="D713">
        <f>Data_thang!E713</f>
        <v/>
      </c>
      <c r="E713">
        <f>Data_thang!F713</f>
        <v/>
      </c>
      <c r="F713">
        <f>Data_thang!G713</f>
        <v/>
      </c>
      <c r="G713" s="29">
        <f>Data_thang!J713-Data_thang!K713</f>
        <v/>
      </c>
      <c r="H713" s="29">
        <f>Data_thang!N713</f>
        <v/>
      </c>
      <c r="I713" s="29">
        <f>H713-G713</f>
        <v/>
      </c>
      <c r="J713" s="30">
        <f>IF(H713=0,IF(I713=0,0,1),I713/ABS(H713))</f>
        <v/>
      </c>
      <c r="K713" s="29">
        <f>H713-(Data_thang!O713-Data_thang!K713)</f>
        <v/>
      </c>
      <c r="L713">
        <f>IF(AND(ABS(I713)&gt;Dashboard!$G$6,ABS(J713)&gt;Dashboard!$H$6),"⚠ Vượt","")</f>
        <v/>
      </c>
      <c r="M713">
        <f>IF(AND(A713=Dashboard!$D$6,OR(Dashboard!$C$6="*",F713=Dashboard!$C$6),L713&lt;&gt;""),ABS(I713)+ROW()/1000000000,0)</f>
        <v/>
      </c>
    </row>
    <row r="714">
      <c r="A714">
        <f>Data_thang!A714</f>
        <v/>
      </c>
      <c r="B714">
        <f>Data_thang!B714</f>
        <v/>
      </c>
      <c r="C714">
        <f>Data_thang!D714</f>
        <v/>
      </c>
      <c r="D714">
        <f>Data_thang!E714</f>
        <v/>
      </c>
      <c r="E714">
        <f>Data_thang!F714</f>
        <v/>
      </c>
      <c r="F714">
        <f>Data_thang!G714</f>
        <v/>
      </c>
      <c r="G714" s="29">
        <f>Data_thang!J714-Data_thang!K714</f>
        <v/>
      </c>
      <c r="H714" s="29">
        <f>Data_thang!N714</f>
        <v/>
      </c>
      <c r="I714" s="29">
        <f>H714-G714</f>
        <v/>
      </c>
      <c r="J714" s="30">
        <f>IF(H714=0,IF(I714=0,0,1),I714/ABS(H714))</f>
        <v/>
      </c>
      <c r="K714" s="29">
        <f>H714-(Data_thang!O714-Data_thang!K714)</f>
        <v/>
      </c>
      <c r="L714">
        <f>IF(AND(ABS(I714)&gt;Dashboard!$G$6,ABS(J714)&gt;Dashboard!$H$6),"⚠ Vượt","")</f>
        <v/>
      </c>
      <c r="M714">
        <f>IF(AND(A714=Dashboard!$D$6,OR(Dashboard!$C$6="*",F714=Dashboard!$C$6),L714&lt;&gt;""),ABS(I714)+ROW()/1000000000,0)</f>
        <v/>
      </c>
    </row>
    <row r="715">
      <c r="A715">
        <f>Data_thang!A715</f>
        <v/>
      </c>
      <c r="B715">
        <f>Data_thang!B715</f>
        <v/>
      </c>
      <c r="C715">
        <f>Data_thang!D715</f>
        <v/>
      </c>
      <c r="D715">
        <f>Data_thang!E715</f>
        <v/>
      </c>
      <c r="E715">
        <f>Data_thang!F715</f>
        <v/>
      </c>
      <c r="F715">
        <f>Data_thang!G715</f>
        <v/>
      </c>
      <c r="G715" s="29">
        <f>Data_thang!J715-Data_thang!K715</f>
        <v/>
      </c>
      <c r="H715" s="29">
        <f>Data_thang!N715</f>
        <v/>
      </c>
      <c r="I715" s="29">
        <f>H715-G715</f>
        <v/>
      </c>
      <c r="J715" s="30">
        <f>IF(H715=0,IF(I715=0,0,1),I715/ABS(H715))</f>
        <v/>
      </c>
      <c r="K715" s="29">
        <f>H715-(Data_thang!O715-Data_thang!K715)</f>
        <v/>
      </c>
      <c r="L715">
        <f>IF(AND(ABS(I715)&gt;Dashboard!$G$6,ABS(J715)&gt;Dashboard!$H$6),"⚠ Vượt","")</f>
        <v/>
      </c>
      <c r="M715">
        <f>IF(AND(A715=Dashboard!$D$6,OR(Dashboard!$C$6="*",F715=Dashboard!$C$6),L715&lt;&gt;""),ABS(I715)+ROW()/1000000000,0)</f>
        <v/>
      </c>
    </row>
    <row r="716">
      <c r="A716">
        <f>Data_thang!A716</f>
        <v/>
      </c>
      <c r="B716">
        <f>Data_thang!B716</f>
        <v/>
      </c>
      <c r="C716">
        <f>Data_thang!D716</f>
        <v/>
      </c>
      <c r="D716">
        <f>Data_thang!E716</f>
        <v/>
      </c>
      <c r="E716">
        <f>Data_thang!F716</f>
        <v/>
      </c>
      <c r="F716">
        <f>Data_thang!G716</f>
        <v/>
      </c>
      <c r="G716" s="29">
        <f>Data_thang!J716-Data_thang!K716</f>
        <v/>
      </c>
      <c r="H716" s="29">
        <f>Data_thang!N716</f>
        <v/>
      </c>
      <c r="I716" s="29">
        <f>H716-G716</f>
        <v/>
      </c>
      <c r="J716" s="30">
        <f>IF(H716=0,IF(I716=0,0,1),I716/ABS(H716))</f>
        <v/>
      </c>
      <c r="K716" s="29">
        <f>H716-(Data_thang!O716-Data_thang!K716)</f>
        <v/>
      </c>
      <c r="L716">
        <f>IF(AND(ABS(I716)&gt;Dashboard!$G$6,ABS(J716)&gt;Dashboard!$H$6),"⚠ Vượt","")</f>
        <v/>
      </c>
      <c r="M716">
        <f>IF(AND(A716=Dashboard!$D$6,OR(Dashboard!$C$6="*",F716=Dashboard!$C$6),L716&lt;&gt;""),ABS(I716)+ROW()/1000000000,0)</f>
        <v/>
      </c>
    </row>
    <row r="717">
      <c r="A717">
        <f>Data_thang!A717</f>
        <v/>
      </c>
      <c r="B717">
        <f>Data_thang!B717</f>
        <v/>
      </c>
      <c r="C717">
        <f>Data_thang!D717</f>
        <v/>
      </c>
      <c r="D717">
        <f>Data_thang!E717</f>
        <v/>
      </c>
      <c r="E717">
        <f>Data_thang!F717</f>
        <v/>
      </c>
      <c r="F717">
        <f>Data_thang!G717</f>
        <v/>
      </c>
      <c r="G717" s="29">
        <f>Data_thang!J717-Data_thang!K717</f>
        <v/>
      </c>
      <c r="H717" s="29">
        <f>Data_thang!N717</f>
        <v/>
      </c>
      <c r="I717" s="29">
        <f>H717-G717</f>
        <v/>
      </c>
      <c r="J717" s="30">
        <f>IF(H717=0,IF(I717=0,0,1),I717/ABS(H717))</f>
        <v/>
      </c>
      <c r="K717" s="29">
        <f>H717-(Data_thang!O717-Data_thang!K717)</f>
        <v/>
      </c>
      <c r="L717">
        <f>IF(AND(ABS(I717)&gt;Dashboard!$G$6,ABS(J717)&gt;Dashboard!$H$6),"⚠ Vượt","")</f>
        <v/>
      </c>
      <c r="M717">
        <f>IF(AND(A717=Dashboard!$D$6,OR(Dashboard!$C$6="*",F717=Dashboard!$C$6),L717&lt;&gt;""),ABS(I717)+ROW()/1000000000,0)</f>
        <v/>
      </c>
    </row>
    <row r="718">
      <c r="A718">
        <f>Data_thang!A718</f>
        <v/>
      </c>
      <c r="B718">
        <f>Data_thang!B718</f>
        <v/>
      </c>
      <c r="C718">
        <f>Data_thang!D718</f>
        <v/>
      </c>
      <c r="D718">
        <f>Data_thang!E718</f>
        <v/>
      </c>
      <c r="E718">
        <f>Data_thang!F718</f>
        <v/>
      </c>
      <c r="F718">
        <f>Data_thang!G718</f>
        <v/>
      </c>
      <c r="G718" s="29">
        <f>Data_thang!J718-Data_thang!K718</f>
        <v/>
      </c>
      <c r="H718" s="29">
        <f>Data_thang!N718</f>
        <v/>
      </c>
      <c r="I718" s="29">
        <f>H718-G718</f>
        <v/>
      </c>
      <c r="J718" s="30">
        <f>IF(H718=0,IF(I718=0,0,1),I718/ABS(H718))</f>
        <v/>
      </c>
      <c r="K718" s="29">
        <f>H718-(Data_thang!O718-Data_thang!K718)</f>
        <v/>
      </c>
      <c r="L718">
        <f>IF(AND(ABS(I718)&gt;Dashboard!$G$6,ABS(J718)&gt;Dashboard!$H$6),"⚠ Vượt","")</f>
        <v/>
      </c>
      <c r="M718">
        <f>IF(AND(A718=Dashboard!$D$6,OR(Dashboard!$C$6="*",F718=Dashboard!$C$6),L718&lt;&gt;""),ABS(I718)+ROW()/1000000000,0)</f>
        <v/>
      </c>
    </row>
    <row r="719">
      <c r="A719">
        <f>Data_thang!A719</f>
        <v/>
      </c>
      <c r="B719">
        <f>Data_thang!B719</f>
        <v/>
      </c>
      <c r="C719">
        <f>Data_thang!D719</f>
        <v/>
      </c>
      <c r="D719">
        <f>Data_thang!E719</f>
        <v/>
      </c>
      <c r="E719">
        <f>Data_thang!F719</f>
        <v/>
      </c>
      <c r="F719">
        <f>Data_thang!G719</f>
        <v/>
      </c>
      <c r="G719" s="29">
        <f>Data_thang!J719-Data_thang!K719</f>
        <v/>
      </c>
      <c r="H719" s="29">
        <f>Data_thang!N719</f>
        <v/>
      </c>
      <c r="I719" s="29">
        <f>H719-G719</f>
        <v/>
      </c>
      <c r="J719" s="30">
        <f>IF(H719=0,IF(I719=0,0,1),I719/ABS(H719))</f>
        <v/>
      </c>
      <c r="K719" s="29">
        <f>H719-(Data_thang!O719-Data_thang!K719)</f>
        <v/>
      </c>
      <c r="L719">
        <f>IF(AND(ABS(I719)&gt;Dashboard!$G$6,ABS(J719)&gt;Dashboard!$H$6),"⚠ Vượt","")</f>
        <v/>
      </c>
      <c r="M719">
        <f>IF(AND(A719=Dashboard!$D$6,OR(Dashboard!$C$6="*",F719=Dashboard!$C$6),L719&lt;&gt;""),ABS(I719)+ROW()/1000000000,0)</f>
        <v/>
      </c>
    </row>
    <row r="720">
      <c r="A720">
        <f>Data_thang!A720</f>
        <v/>
      </c>
      <c r="B720">
        <f>Data_thang!B720</f>
        <v/>
      </c>
      <c r="C720">
        <f>Data_thang!D720</f>
        <v/>
      </c>
      <c r="D720">
        <f>Data_thang!E720</f>
        <v/>
      </c>
      <c r="E720">
        <f>Data_thang!F720</f>
        <v/>
      </c>
      <c r="F720">
        <f>Data_thang!G720</f>
        <v/>
      </c>
      <c r="G720" s="29">
        <f>Data_thang!J720-Data_thang!K720</f>
        <v/>
      </c>
      <c r="H720" s="29">
        <f>Data_thang!N720</f>
        <v/>
      </c>
      <c r="I720" s="29">
        <f>H720-G720</f>
        <v/>
      </c>
      <c r="J720" s="30">
        <f>IF(H720=0,IF(I720=0,0,1),I720/ABS(H720))</f>
        <v/>
      </c>
      <c r="K720" s="29">
        <f>H720-(Data_thang!O720-Data_thang!K720)</f>
        <v/>
      </c>
      <c r="L720">
        <f>IF(AND(ABS(I720)&gt;Dashboard!$G$6,ABS(J720)&gt;Dashboard!$H$6),"⚠ Vượt","")</f>
        <v/>
      </c>
      <c r="M720">
        <f>IF(AND(A720=Dashboard!$D$6,OR(Dashboard!$C$6="*",F720=Dashboard!$C$6),L720&lt;&gt;""),ABS(I720)+ROW()/1000000000,0)</f>
        <v/>
      </c>
    </row>
    <row r="721">
      <c r="A721">
        <f>Data_thang!A721</f>
        <v/>
      </c>
      <c r="B721">
        <f>Data_thang!B721</f>
        <v/>
      </c>
      <c r="C721">
        <f>Data_thang!D721</f>
        <v/>
      </c>
      <c r="D721">
        <f>Data_thang!E721</f>
        <v/>
      </c>
      <c r="E721">
        <f>Data_thang!F721</f>
        <v/>
      </c>
      <c r="F721">
        <f>Data_thang!G721</f>
        <v/>
      </c>
      <c r="G721" s="29">
        <f>Data_thang!J721-Data_thang!K721</f>
        <v/>
      </c>
      <c r="H721" s="29">
        <f>Data_thang!N721</f>
        <v/>
      </c>
      <c r="I721" s="29">
        <f>H721-G721</f>
        <v/>
      </c>
      <c r="J721" s="30">
        <f>IF(H721=0,IF(I721=0,0,1),I721/ABS(H721))</f>
        <v/>
      </c>
      <c r="K721" s="29">
        <f>H721-(Data_thang!O721-Data_thang!K721)</f>
        <v/>
      </c>
      <c r="L721">
        <f>IF(AND(ABS(I721)&gt;Dashboard!$G$6,ABS(J721)&gt;Dashboard!$H$6),"⚠ Vượt","")</f>
        <v/>
      </c>
      <c r="M721">
        <f>IF(AND(A721=Dashboard!$D$6,OR(Dashboard!$C$6="*",F721=Dashboard!$C$6),L721&lt;&gt;""),ABS(I721)+ROW()/1000000000,0)</f>
        <v/>
      </c>
    </row>
    <row r="722">
      <c r="A722">
        <f>Data_thang!A722</f>
        <v/>
      </c>
      <c r="B722">
        <f>Data_thang!B722</f>
        <v/>
      </c>
      <c r="C722">
        <f>Data_thang!D722</f>
        <v/>
      </c>
      <c r="D722">
        <f>Data_thang!E722</f>
        <v/>
      </c>
      <c r="E722">
        <f>Data_thang!F722</f>
        <v/>
      </c>
      <c r="F722">
        <f>Data_thang!G722</f>
        <v/>
      </c>
      <c r="G722" s="29">
        <f>Data_thang!J722-Data_thang!K722</f>
        <v/>
      </c>
      <c r="H722" s="29">
        <f>Data_thang!N722</f>
        <v/>
      </c>
      <c r="I722" s="29">
        <f>H722-G722</f>
        <v/>
      </c>
      <c r="J722" s="30">
        <f>IF(H722=0,IF(I722=0,0,1),I722/ABS(H722))</f>
        <v/>
      </c>
      <c r="K722" s="29">
        <f>H722-(Data_thang!O722-Data_thang!K722)</f>
        <v/>
      </c>
      <c r="L722">
        <f>IF(AND(ABS(I722)&gt;Dashboard!$G$6,ABS(J722)&gt;Dashboard!$H$6),"⚠ Vượt","")</f>
        <v/>
      </c>
      <c r="M722">
        <f>IF(AND(A722=Dashboard!$D$6,OR(Dashboard!$C$6="*",F722=Dashboard!$C$6),L722&lt;&gt;""),ABS(I722)+ROW()/1000000000,0)</f>
        <v/>
      </c>
    </row>
    <row r="723">
      <c r="A723">
        <f>Data_thang!A723</f>
        <v/>
      </c>
      <c r="B723">
        <f>Data_thang!B723</f>
        <v/>
      </c>
      <c r="C723">
        <f>Data_thang!D723</f>
        <v/>
      </c>
      <c r="D723">
        <f>Data_thang!E723</f>
        <v/>
      </c>
      <c r="E723">
        <f>Data_thang!F723</f>
        <v/>
      </c>
      <c r="F723">
        <f>Data_thang!G723</f>
        <v/>
      </c>
      <c r="G723" s="29">
        <f>Data_thang!J723-Data_thang!K723</f>
        <v/>
      </c>
      <c r="H723" s="29">
        <f>Data_thang!N723</f>
        <v/>
      </c>
      <c r="I723" s="29">
        <f>H723-G723</f>
        <v/>
      </c>
      <c r="J723" s="30">
        <f>IF(H723=0,IF(I723=0,0,1),I723/ABS(H723))</f>
        <v/>
      </c>
      <c r="K723" s="29">
        <f>H723-(Data_thang!O723-Data_thang!K723)</f>
        <v/>
      </c>
      <c r="L723">
        <f>IF(AND(ABS(I723)&gt;Dashboard!$G$6,ABS(J723)&gt;Dashboard!$H$6),"⚠ Vượt","")</f>
        <v/>
      </c>
      <c r="M723">
        <f>IF(AND(A723=Dashboard!$D$6,OR(Dashboard!$C$6="*",F723=Dashboard!$C$6),L723&lt;&gt;""),ABS(I723)+ROW()/1000000000,0)</f>
        <v/>
      </c>
    </row>
    <row r="724">
      <c r="A724">
        <f>Data_thang!A724</f>
        <v/>
      </c>
      <c r="B724">
        <f>Data_thang!B724</f>
        <v/>
      </c>
      <c r="C724">
        <f>Data_thang!D724</f>
        <v/>
      </c>
      <c r="D724">
        <f>Data_thang!E724</f>
        <v/>
      </c>
      <c r="E724">
        <f>Data_thang!F724</f>
        <v/>
      </c>
      <c r="F724">
        <f>Data_thang!G724</f>
        <v/>
      </c>
      <c r="G724" s="29">
        <f>Data_thang!J724-Data_thang!K724</f>
        <v/>
      </c>
      <c r="H724" s="29">
        <f>Data_thang!N724</f>
        <v/>
      </c>
      <c r="I724" s="29">
        <f>H724-G724</f>
        <v/>
      </c>
      <c r="J724" s="30">
        <f>IF(H724=0,IF(I724=0,0,1),I724/ABS(H724))</f>
        <v/>
      </c>
      <c r="K724" s="29">
        <f>H724-(Data_thang!O724-Data_thang!K724)</f>
        <v/>
      </c>
      <c r="L724">
        <f>IF(AND(ABS(I724)&gt;Dashboard!$G$6,ABS(J724)&gt;Dashboard!$H$6),"⚠ Vượt","")</f>
        <v/>
      </c>
      <c r="M724">
        <f>IF(AND(A724=Dashboard!$D$6,OR(Dashboard!$C$6="*",F724=Dashboard!$C$6),L724&lt;&gt;""),ABS(I724)+ROW()/1000000000,0)</f>
        <v/>
      </c>
    </row>
    <row r="725">
      <c r="A725">
        <f>Data_thang!A725</f>
        <v/>
      </c>
      <c r="B725">
        <f>Data_thang!B725</f>
        <v/>
      </c>
      <c r="C725">
        <f>Data_thang!D725</f>
        <v/>
      </c>
      <c r="D725">
        <f>Data_thang!E725</f>
        <v/>
      </c>
      <c r="E725">
        <f>Data_thang!F725</f>
        <v/>
      </c>
      <c r="F725">
        <f>Data_thang!G725</f>
        <v/>
      </c>
      <c r="G725" s="29">
        <f>Data_thang!J725-Data_thang!K725</f>
        <v/>
      </c>
      <c r="H725" s="29">
        <f>Data_thang!N725</f>
        <v/>
      </c>
      <c r="I725" s="29">
        <f>H725-G725</f>
        <v/>
      </c>
      <c r="J725" s="30">
        <f>IF(H725=0,IF(I725=0,0,1),I725/ABS(H725))</f>
        <v/>
      </c>
      <c r="K725" s="29">
        <f>H725-(Data_thang!O725-Data_thang!K725)</f>
        <v/>
      </c>
      <c r="L725">
        <f>IF(AND(ABS(I725)&gt;Dashboard!$G$6,ABS(J725)&gt;Dashboard!$H$6),"⚠ Vượt","")</f>
        <v/>
      </c>
      <c r="M725">
        <f>IF(AND(A725=Dashboard!$D$6,OR(Dashboard!$C$6="*",F725=Dashboard!$C$6),L725&lt;&gt;""),ABS(I725)+ROW()/1000000000,0)</f>
        <v/>
      </c>
    </row>
    <row r="726">
      <c r="A726">
        <f>Data_thang!A726</f>
        <v/>
      </c>
      <c r="B726">
        <f>Data_thang!B726</f>
        <v/>
      </c>
      <c r="C726">
        <f>Data_thang!D726</f>
        <v/>
      </c>
      <c r="D726">
        <f>Data_thang!E726</f>
        <v/>
      </c>
      <c r="E726">
        <f>Data_thang!F726</f>
        <v/>
      </c>
      <c r="F726">
        <f>Data_thang!G726</f>
        <v/>
      </c>
      <c r="G726" s="29">
        <f>Data_thang!J726-Data_thang!K726</f>
        <v/>
      </c>
      <c r="H726" s="29">
        <f>Data_thang!N726</f>
        <v/>
      </c>
      <c r="I726" s="29">
        <f>H726-G726</f>
        <v/>
      </c>
      <c r="J726" s="30">
        <f>IF(H726=0,IF(I726=0,0,1),I726/ABS(H726))</f>
        <v/>
      </c>
      <c r="K726" s="29">
        <f>H726-(Data_thang!O726-Data_thang!K726)</f>
        <v/>
      </c>
      <c r="L726">
        <f>IF(AND(ABS(I726)&gt;Dashboard!$G$6,ABS(J726)&gt;Dashboard!$H$6),"⚠ Vượt","")</f>
        <v/>
      </c>
      <c r="M726">
        <f>IF(AND(A726=Dashboard!$D$6,OR(Dashboard!$C$6="*",F726=Dashboard!$C$6),L726&lt;&gt;""),ABS(I726)+ROW()/1000000000,0)</f>
        <v/>
      </c>
    </row>
    <row r="727">
      <c r="A727">
        <f>Data_thang!A727</f>
        <v/>
      </c>
      <c r="B727">
        <f>Data_thang!B727</f>
        <v/>
      </c>
      <c r="C727">
        <f>Data_thang!D727</f>
        <v/>
      </c>
      <c r="D727">
        <f>Data_thang!E727</f>
        <v/>
      </c>
      <c r="E727">
        <f>Data_thang!F727</f>
        <v/>
      </c>
      <c r="F727">
        <f>Data_thang!G727</f>
        <v/>
      </c>
      <c r="G727" s="29">
        <f>Data_thang!J727-Data_thang!K727</f>
        <v/>
      </c>
      <c r="H727" s="29">
        <f>Data_thang!N727</f>
        <v/>
      </c>
      <c r="I727" s="29">
        <f>H727-G727</f>
        <v/>
      </c>
      <c r="J727" s="30">
        <f>IF(H727=0,IF(I727=0,0,1),I727/ABS(H727))</f>
        <v/>
      </c>
      <c r="K727" s="29">
        <f>H727-(Data_thang!O727-Data_thang!K727)</f>
        <v/>
      </c>
      <c r="L727">
        <f>IF(AND(ABS(I727)&gt;Dashboard!$G$6,ABS(J727)&gt;Dashboard!$H$6),"⚠ Vượt","")</f>
        <v/>
      </c>
      <c r="M727">
        <f>IF(AND(A727=Dashboard!$D$6,OR(Dashboard!$C$6="*",F727=Dashboard!$C$6),L727&lt;&gt;""),ABS(I727)+ROW()/1000000000,0)</f>
        <v/>
      </c>
    </row>
    <row r="728">
      <c r="A728">
        <f>Data_thang!A728</f>
        <v/>
      </c>
      <c r="B728">
        <f>Data_thang!B728</f>
        <v/>
      </c>
      <c r="C728">
        <f>Data_thang!D728</f>
        <v/>
      </c>
      <c r="D728">
        <f>Data_thang!E728</f>
        <v/>
      </c>
      <c r="E728">
        <f>Data_thang!F728</f>
        <v/>
      </c>
      <c r="F728">
        <f>Data_thang!G728</f>
        <v/>
      </c>
      <c r="G728" s="29">
        <f>Data_thang!J728-Data_thang!K728</f>
        <v/>
      </c>
      <c r="H728" s="29">
        <f>Data_thang!N728</f>
        <v/>
      </c>
      <c r="I728" s="29">
        <f>H728-G728</f>
        <v/>
      </c>
      <c r="J728" s="30">
        <f>IF(H728=0,IF(I728=0,0,1),I728/ABS(H728))</f>
        <v/>
      </c>
      <c r="K728" s="29">
        <f>H728-(Data_thang!O728-Data_thang!K728)</f>
        <v/>
      </c>
      <c r="L728">
        <f>IF(AND(ABS(I728)&gt;Dashboard!$G$6,ABS(J728)&gt;Dashboard!$H$6),"⚠ Vượt","")</f>
        <v/>
      </c>
      <c r="M728">
        <f>IF(AND(A728=Dashboard!$D$6,OR(Dashboard!$C$6="*",F728=Dashboard!$C$6),L728&lt;&gt;""),ABS(I728)+ROW()/1000000000,0)</f>
        <v/>
      </c>
    </row>
    <row r="729">
      <c r="A729">
        <f>Data_thang!A729</f>
        <v/>
      </c>
      <c r="B729">
        <f>Data_thang!B729</f>
        <v/>
      </c>
      <c r="C729">
        <f>Data_thang!D729</f>
        <v/>
      </c>
      <c r="D729">
        <f>Data_thang!E729</f>
        <v/>
      </c>
      <c r="E729">
        <f>Data_thang!F729</f>
        <v/>
      </c>
      <c r="F729">
        <f>Data_thang!G729</f>
        <v/>
      </c>
      <c r="G729" s="29">
        <f>Data_thang!J729-Data_thang!K729</f>
        <v/>
      </c>
      <c r="H729" s="29">
        <f>Data_thang!N729</f>
        <v/>
      </c>
      <c r="I729" s="29">
        <f>H729-G729</f>
        <v/>
      </c>
      <c r="J729" s="30">
        <f>IF(H729=0,IF(I729=0,0,1),I729/ABS(H729))</f>
        <v/>
      </c>
      <c r="K729" s="29">
        <f>H729-(Data_thang!O729-Data_thang!K729)</f>
        <v/>
      </c>
      <c r="L729">
        <f>IF(AND(ABS(I729)&gt;Dashboard!$G$6,ABS(J729)&gt;Dashboard!$H$6),"⚠ Vượt","")</f>
        <v/>
      </c>
      <c r="M729">
        <f>IF(AND(A729=Dashboard!$D$6,OR(Dashboard!$C$6="*",F729=Dashboard!$C$6),L729&lt;&gt;""),ABS(I729)+ROW()/1000000000,0)</f>
        <v/>
      </c>
    </row>
    <row r="730">
      <c r="A730">
        <f>Data_thang!A730</f>
        <v/>
      </c>
      <c r="B730">
        <f>Data_thang!B730</f>
        <v/>
      </c>
      <c r="C730">
        <f>Data_thang!D730</f>
        <v/>
      </c>
      <c r="D730">
        <f>Data_thang!E730</f>
        <v/>
      </c>
      <c r="E730">
        <f>Data_thang!F730</f>
        <v/>
      </c>
      <c r="F730">
        <f>Data_thang!G730</f>
        <v/>
      </c>
      <c r="G730" s="29">
        <f>Data_thang!J730-Data_thang!K730</f>
        <v/>
      </c>
      <c r="H730" s="29">
        <f>Data_thang!N730</f>
        <v/>
      </c>
      <c r="I730" s="29">
        <f>H730-G730</f>
        <v/>
      </c>
      <c r="J730" s="30">
        <f>IF(H730=0,IF(I730=0,0,1),I730/ABS(H730))</f>
        <v/>
      </c>
      <c r="K730" s="29">
        <f>H730-(Data_thang!O730-Data_thang!K730)</f>
        <v/>
      </c>
      <c r="L730">
        <f>IF(AND(ABS(I730)&gt;Dashboard!$G$6,ABS(J730)&gt;Dashboard!$H$6),"⚠ Vượt","")</f>
        <v/>
      </c>
      <c r="M730">
        <f>IF(AND(A730=Dashboard!$D$6,OR(Dashboard!$C$6="*",F730=Dashboard!$C$6),L730&lt;&gt;""),ABS(I730)+ROW()/1000000000,0)</f>
        <v/>
      </c>
    </row>
    <row r="731">
      <c r="A731">
        <f>Data_thang!A731</f>
        <v/>
      </c>
      <c r="B731">
        <f>Data_thang!B731</f>
        <v/>
      </c>
      <c r="C731">
        <f>Data_thang!D731</f>
        <v/>
      </c>
      <c r="D731">
        <f>Data_thang!E731</f>
        <v/>
      </c>
      <c r="E731">
        <f>Data_thang!F731</f>
        <v/>
      </c>
      <c r="F731">
        <f>Data_thang!G731</f>
        <v/>
      </c>
      <c r="G731" s="29">
        <f>Data_thang!J731-Data_thang!K731</f>
        <v/>
      </c>
      <c r="H731" s="29">
        <f>Data_thang!N731</f>
        <v/>
      </c>
      <c r="I731" s="29">
        <f>H731-G731</f>
        <v/>
      </c>
      <c r="J731" s="30">
        <f>IF(H731=0,IF(I731=0,0,1),I731/ABS(H731))</f>
        <v/>
      </c>
      <c r="K731" s="29">
        <f>H731-(Data_thang!O731-Data_thang!K731)</f>
        <v/>
      </c>
      <c r="L731">
        <f>IF(AND(ABS(I731)&gt;Dashboard!$G$6,ABS(J731)&gt;Dashboard!$H$6),"⚠ Vượt","")</f>
        <v/>
      </c>
      <c r="M731">
        <f>IF(AND(A731=Dashboard!$D$6,OR(Dashboard!$C$6="*",F731=Dashboard!$C$6),L731&lt;&gt;""),ABS(I731)+ROW()/1000000000,0)</f>
        <v/>
      </c>
    </row>
    <row r="732">
      <c r="A732">
        <f>Data_thang!A732</f>
        <v/>
      </c>
      <c r="B732">
        <f>Data_thang!B732</f>
        <v/>
      </c>
      <c r="C732">
        <f>Data_thang!D732</f>
        <v/>
      </c>
      <c r="D732">
        <f>Data_thang!E732</f>
        <v/>
      </c>
      <c r="E732">
        <f>Data_thang!F732</f>
        <v/>
      </c>
      <c r="F732">
        <f>Data_thang!G732</f>
        <v/>
      </c>
      <c r="G732" s="29">
        <f>Data_thang!J732-Data_thang!K732</f>
        <v/>
      </c>
      <c r="H732" s="29">
        <f>Data_thang!N732</f>
        <v/>
      </c>
      <c r="I732" s="29">
        <f>H732-G732</f>
        <v/>
      </c>
      <c r="J732" s="30">
        <f>IF(H732=0,IF(I732=0,0,1),I732/ABS(H732))</f>
        <v/>
      </c>
      <c r="K732" s="29">
        <f>H732-(Data_thang!O732-Data_thang!K732)</f>
        <v/>
      </c>
      <c r="L732">
        <f>IF(AND(ABS(I732)&gt;Dashboard!$G$6,ABS(J732)&gt;Dashboard!$H$6),"⚠ Vượt","")</f>
        <v/>
      </c>
      <c r="M732">
        <f>IF(AND(A732=Dashboard!$D$6,OR(Dashboard!$C$6="*",F732=Dashboard!$C$6),L732&lt;&gt;""),ABS(I732)+ROW()/1000000000,0)</f>
        <v/>
      </c>
    </row>
    <row r="733">
      <c r="A733">
        <f>Data_thang!A733</f>
        <v/>
      </c>
      <c r="B733">
        <f>Data_thang!B733</f>
        <v/>
      </c>
      <c r="C733">
        <f>Data_thang!D733</f>
        <v/>
      </c>
      <c r="D733">
        <f>Data_thang!E733</f>
        <v/>
      </c>
      <c r="E733">
        <f>Data_thang!F733</f>
        <v/>
      </c>
      <c r="F733">
        <f>Data_thang!G733</f>
        <v/>
      </c>
      <c r="G733" s="29">
        <f>Data_thang!J733-Data_thang!K733</f>
        <v/>
      </c>
      <c r="H733" s="29">
        <f>Data_thang!N733</f>
        <v/>
      </c>
      <c r="I733" s="29">
        <f>H733-G733</f>
        <v/>
      </c>
      <c r="J733" s="30">
        <f>IF(H733=0,IF(I733=0,0,1),I733/ABS(H733))</f>
        <v/>
      </c>
      <c r="K733" s="29">
        <f>H733-(Data_thang!O733-Data_thang!K733)</f>
        <v/>
      </c>
      <c r="L733">
        <f>IF(AND(ABS(I733)&gt;Dashboard!$G$6,ABS(J733)&gt;Dashboard!$H$6),"⚠ Vượt","")</f>
        <v/>
      </c>
      <c r="M733">
        <f>IF(AND(A733=Dashboard!$D$6,OR(Dashboard!$C$6="*",F733=Dashboard!$C$6),L733&lt;&gt;""),ABS(I733)+ROW()/1000000000,0)</f>
        <v/>
      </c>
    </row>
    <row r="734">
      <c r="A734">
        <f>Data_thang!A734</f>
        <v/>
      </c>
      <c r="B734">
        <f>Data_thang!B734</f>
        <v/>
      </c>
      <c r="C734">
        <f>Data_thang!D734</f>
        <v/>
      </c>
      <c r="D734">
        <f>Data_thang!E734</f>
        <v/>
      </c>
      <c r="E734">
        <f>Data_thang!F734</f>
        <v/>
      </c>
      <c r="F734">
        <f>Data_thang!G734</f>
        <v/>
      </c>
      <c r="G734" s="29">
        <f>Data_thang!J734-Data_thang!K734</f>
        <v/>
      </c>
      <c r="H734" s="29">
        <f>Data_thang!N734</f>
        <v/>
      </c>
      <c r="I734" s="29">
        <f>H734-G734</f>
        <v/>
      </c>
      <c r="J734" s="30">
        <f>IF(H734=0,IF(I734=0,0,1),I734/ABS(H734))</f>
        <v/>
      </c>
      <c r="K734" s="29">
        <f>H734-(Data_thang!O734-Data_thang!K734)</f>
        <v/>
      </c>
      <c r="L734">
        <f>IF(AND(ABS(I734)&gt;Dashboard!$G$6,ABS(J734)&gt;Dashboard!$H$6),"⚠ Vượt","")</f>
        <v/>
      </c>
      <c r="M734">
        <f>IF(AND(A734=Dashboard!$D$6,OR(Dashboard!$C$6="*",F734=Dashboard!$C$6),L734&lt;&gt;""),ABS(I734)+ROW()/1000000000,0)</f>
        <v/>
      </c>
    </row>
    <row r="735">
      <c r="A735">
        <f>Data_thang!A735</f>
        <v/>
      </c>
      <c r="B735">
        <f>Data_thang!B735</f>
        <v/>
      </c>
      <c r="C735">
        <f>Data_thang!D735</f>
        <v/>
      </c>
      <c r="D735">
        <f>Data_thang!E735</f>
        <v/>
      </c>
      <c r="E735">
        <f>Data_thang!F735</f>
        <v/>
      </c>
      <c r="F735">
        <f>Data_thang!G735</f>
        <v/>
      </c>
      <c r="G735" s="29">
        <f>Data_thang!J735-Data_thang!K735</f>
        <v/>
      </c>
      <c r="H735" s="29">
        <f>Data_thang!N735</f>
        <v/>
      </c>
      <c r="I735" s="29">
        <f>H735-G735</f>
        <v/>
      </c>
      <c r="J735" s="30">
        <f>IF(H735=0,IF(I735=0,0,1),I735/ABS(H735))</f>
        <v/>
      </c>
      <c r="K735" s="29">
        <f>H735-(Data_thang!O735-Data_thang!K735)</f>
        <v/>
      </c>
      <c r="L735">
        <f>IF(AND(ABS(I735)&gt;Dashboard!$G$6,ABS(J735)&gt;Dashboard!$H$6),"⚠ Vượt","")</f>
        <v/>
      </c>
      <c r="M735">
        <f>IF(AND(A735=Dashboard!$D$6,OR(Dashboard!$C$6="*",F735=Dashboard!$C$6),L735&lt;&gt;""),ABS(I735)+ROW()/1000000000,0)</f>
        <v/>
      </c>
    </row>
    <row r="736">
      <c r="A736">
        <f>Data_thang!A736</f>
        <v/>
      </c>
      <c r="B736">
        <f>Data_thang!B736</f>
        <v/>
      </c>
      <c r="C736">
        <f>Data_thang!D736</f>
        <v/>
      </c>
      <c r="D736">
        <f>Data_thang!E736</f>
        <v/>
      </c>
      <c r="E736">
        <f>Data_thang!F736</f>
        <v/>
      </c>
      <c r="F736">
        <f>Data_thang!G736</f>
        <v/>
      </c>
      <c r="G736" s="29">
        <f>Data_thang!J736-Data_thang!K736</f>
        <v/>
      </c>
      <c r="H736" s="29">
        <f>Data_thang!N736</f>
        <v/>
      </c>
      <c r="I736" s="29">
        <f>H736-G736</f>
        <v/>
      </c>
      <c r="J736" s="30">
        <f>IF(H736=0,IF(I736=0,0,1),I736/ABS(H736))</f>
        <v/>
      </c>
      <c r="K736" s="29">
        <f>H736-(Data_thang!O736-Data_thang!K736)</f>
        <v/>
      </c>
      <c r="L736">
        <f>IF(AND(ABS(I736)&gt;Dashboard!$G$6,ABS(J736)&gt;Dashboard!$H$6),"⚠ Vượt","")</f>
        <v/>
      </c>
      <c r="M736">
        <f>IF(AND(A736=Dashboard!$D$6,OR(Dashboard!$C$6="*",F736=Dashboard!$C$6),L736&lt;&gt;""),ABS(I736)+ROW()/1000000000,0)</f>
        <v/>
      </c>
    </row>
    <row r="737">
      <c r="A737">
        <f>Data_thang!A737</f>
        <v/>
      </c>
      <c r="B737">
        <f>Data_thang!B737</f>
        <v/>
      </c>
      <c r="C737">
        <f>Data_thang!D737</f>
        <v/>
      </c>
      <c r="D737">
        <f>Data_thang!E737</f>
        <v/>
      </c>
      <c r="E737">
        <f>Data_thang!F737</f>
        <v/>
      </c>
      <c r="F737">
        <f>Data_thang!G737</f>
        <v/>
      </c>
      <c r="G737" s="29">
        <f>Data_thang!J737-Data_thang!K737</f>
        <v/>
      </c>
      <c r="H737" s="29">
        <f>Data_thang!N737</f>
        <v/>
      </c>
      <c r="I737" s="29">
        <f>H737-G737</f>
        <v/>
      </c>
      <c r="J737" s="30">
        <f>IF(H737=0,IF(I737=0,0,1),I737/ABS(H737))</f>
        <v/>
      </c>
      <c r="K737" s="29">
        <f>H737-(Data_thang!O737-Data_thang!K737)</f>
        <v/>
      </c>
      <c r="L737">
        <f>IF(AND(ABS(I737)&gt;Dashboard!$G$6,ABS(J737)&gt;Dashboard!$H$6),"⚠ Vượt","")</f>
        <v/>
      </c>
      <c r="M737">
        <f>IF(AND(A737=Dashboard!$D$6,OR(Dashboard!$C$6="*",F737=Dashboard!$C$6),L737&lt;&gt;""),ABS(I737)+ROW()/1000000000,0)</f>
        <v/>
      </c>
    </row>
    <row r="738">
      <c r="A738">
        <f>Data_thang!A738</f>
        <v/>
      </c>
      <c r="B738">
        <f>Data_thang!B738</f>
        <v/>
      </c>
      <c r="C738">
        <f>Data_thang!D738</f>
        <v/>
      </c>
      <c r="D738">
        <f>Data_thang!E738</f>
        <v/>
      </c>
      <c r="E738">
        <f>Data_thang!F738</f>
        <v/>
      </c>
      <c r="F738">
        <f>Data_thang!G738</f>
        <v/>
      </c>
      <c r="G738" s="29">
        <f>Data_thang!J738-Data_thang!K738</f>
        <v/>
      </c>
      <c r="H738" s="29">
        <f>Data_thang!N738</f>
        <v/>
      </c>
      <c r="I738" s="29">
        <f>H738-G738</f>
        <v/>
      </c>
      <c r="J738" s="30">
        <f>IF(H738=0,IF(I738=0,0,1),I738/ABS(H738))</f>
        <v/>
      </c>
      <c r="K738" s="29">
        <f>H738-(Data_thang!O738-Data_thang!K738)</f>
        <v/>
      </c>
      <c r="L738">
        <f>IF(AND(ABS(I738)&gt;Dashboard!$G$6,ABS(J738)&gt;Dashboard!$H$6),"⚠ Vượt","")</f>
        <v/>
      </c>
      <c r="M738">
        <f>IF(AND(A738=Dashboard!$D$6,OR(Dashboard!$C$6="*",F738=Dashboard!$C$6),L738&lt;&gt;""),ABS(I738)+ROW()/1000000000,0)</f>
        <v/>
      </c>
    </row>
    <row r="739">
      <c r="A739">
        <f>Data_thang!A739</f>
        <v/>
      </c>
      <c r="B739">
        <f>Data_thang!B739</f>
        <v/>
      </c>
      <c r="C739">
        <f>Data_thang!D739</f>
        <v/>
      </c>
      <c r="D739">
        <f>Data_thang!E739</f>
        <v/>
      </c>
      <c r="E739">
        <f>Data_thang!F739</f>
        <v/>
      </c>
      <c r="F739">
        <f>Data_thang!G739</f>
        <v/>
      </c>
      <c r="G739" s="29">
        <f>Data_thang!J739-Data_thang!K739</f>
        <v/>
      </c>
      <c r="H739" s="29">
        <f>Data_thang!N739</f>
        <v/>
      </c>
      <c r="I739" s="29">
        <f>H739-G739</f>
        <v/>
      </c>
      <c r="J739" s="30">
        <f>IF(H739=0,IF(I739=0,0,1),I739/ABS(H739))</f>
        <v/>
      </c>
      <c r="K739" s="29">
        <f>H739-(Data_thang!O739-Data_thang!K739)</f>
        <v/>
      </c>
      <c r="L739">
        <f>IF(AND(ABS(I739)&gt;Dashboard!$G$6,ABS(J739)&gt;Dashboard!$H$6),"⚠ Vượt","")</f>
        <v/>
      </c>
      <c r="M739">
        <f>IF(AND(A739=Dashboard!$D$6,OR(Dashboard!$C$6="*",F739=Dashboard!$C$6),L739&lt;&gt;""),ABS(I739)+ROW()/1000000000,0)</f>
        <v/>
      </c>
    </row>
    <row r="740">
      <c r="A740">
        <f>Data_thang!A740</f>
        <v/>
      </c>
      <c r="B740">
        <f>Data_thang!B740</f>
        <v/>
      </c>
      <c r="C740">
        <f>Data_thang!D740</f>
        <v/>
      </c>
      <c r="D740">
        <f>Data_thang!E740</f>
        <v/>
      </c>
      <c r="E740">
        <f>Data_thang!F740</f>
        <v/>
      </c>
      <c r="F740">
        <f>Data_thang!G740</f>
        <v/>
      </c>
      <c r="G740" s="29">
        <f>Data_thang!J740-Data_thang!K740</f>
        <v/>
      </c>
      <c r="H740" s="29">
        <f>Data_thang!N740</f>
        <v/>
      </c>
      <c r="I740" s="29">
        <f>H740-G740</f>
        <v/>
      </c>
      <c r="J740" s="30">
        <f>IF(H740=0,IF(I740=0,0,1),I740/ABS(H740))</f>
        <v/>
      </c>
      <c r="K740" s="29">
        <f>H740-(Data_thang!O740-Data_thang!K740)</f>
        <v/>
      </c>
      <c r="L740">
        <f>IF(AND(ABS(I740)&gt;Dashboard!$G$6,ABS(J740)&gt;Dashboard!$H$6),"⚠ Vượt","")</f>
        <v/>
      </c>
      <c r="M740">
        <f>IF(AND(A740=Dashboard!$D$6,OR(Dashboard!$C$6="*",F740=Dashboard!$C$6),L740&lt;&gt;""),ABS(I740)+ROW()/1000000000,0)</f>
        <v/>
      </c>
    </row>
    <row r="741">
      <c r="A741">
        <f>Data_thang!A741</f>
        <v/>
      </c>
      <c r="B741">
        <f>Data_thang!B741</f>
        <v/>
      </c>
      <c r="C741">
        <f>Data_thang!D741</f>
        <v/>
      </c>
      <c r="D741">
        <f>Data_thang!E741</f>
        <v/>
      </c>
      <c r="E741">
        <f>Data_thang!F741</f>
        <v/>
      </c>
      <c r="F741">
        <f>Data_thang!G741</f>
        <v/>
      </c>
      <c r="G741" s="29">
        <f>Data_thang!J741-Data_thang!K741</f>
        <v/>
      </c>
      <c r="H741" s="29">
        <f>Data_thang!N741</f>
        <v/>
      </c>
      <c r="I741" s="29">
        <f>H741-G741</f>
        <v/>
      </c>
      <c r="J741" s="30">
        <f>IF(H741=0,IF(I741=0,0,1),I741/ABS(H741))</f>
        <v/>
      </c>
      <c r="K741" s="29">
        <f>H741-(Data_thang!O741-Data_thang!K741)</f>
        <v/>
      </c>
      <c r="L741">
        <f>IF(AND(ABS(I741)&gt;Dashboard!$G$6,ABS(J741)&gt;Dashboard!$H$6),"⚠ Vượt","")</f>
        <v/>
      </c>
      <c r="M741">
        <f>IF(AND(A741=Dashboard!$D$6,OR(Dashboard!$C$6="*",F741=Dashboard!$C$6),L741&lt;&gt;""),ABS(I741)+ROW()/1000000000,0)</f>
        <v/>
      </c>
    </row>
    <row r="742">
      <c r="A742">
        <f>Data_thang!A742</f>
        <v/>
      </c>
      <c r="B742">
        <f>Data_thang!B742</f>
        <v/>
      </c>
      <c r="C742">
        <f>Data_thang!D742</f>
        <v/>
      </c>
      <c r="D742">
        <f>Data_thang!E742</f>
        <v/>
      </c>
      <c r="E742">
        <f>Data_thang!F742</f>
        <v/>
      </c>
      <c r="F742">
        <f>Data_thang!G742</f>
        <v/>
      </c>
      <c r="G742" s="29">
        <f>Data_thang!J742-Data_thang!K742</f>
        <v/>
      </c>
      <c r="H742" s="29">
        <f>Data_thang!N742</f>
        <v/>
      </c>
      <c r="I742" s="29">
        <f>H742-G742</f>
        <v/>
      </c>
      <c r="J742" s="30">
        <f>IF(H742=0,IF(I742=0,0,1),I742/ABS(H742))</f>
        <v/>
      </c>
      <c r="K742" s="29">
        <f>H742-(Data_thang!O742-Data_thang!K742)</f>
        <v/>
      </c>
      <c r="L742">
        <f>IF(AND(ABS(I742)&gt;Dashboard!$G$6,ABS(J742)&gt;Dashboard!$H$6),"⚠ Vượt","")</f>
        <v/>
      </c>
      <c r="M742">
        <f>IF(AND(A742=Dashboard!$D$6,OR(Dashboard!$C$6="*",F742=Dashboard!$C$6),L742&lt;&gt;""),ABS(I742)+ROW()/1000000000,0)</f>
        <v/>
      </c>
    </row>
    <row r="743">
      <c r="A743">
        <f>Data_thang!A743</f>
        <v/>
      </c>
      <c r="B743">
        <f>Data_thang!B743</f>
        <v/>
      </c>
      <c r="C743">
        <f>Data_thang!D743</f>
        <v/>
      </c>
      <c r="D743">
        <f>Data_thang!E743</f>
        <v/>
      </c>
      <c r="E743">
        <f>Data_thang!F743</f>
        <v/>
      </c>
      <c r="F743">
        <f>Data_thang!G743</f>
        <v/>
      </c>
      <c r="G743" s="29">
        <f>Data_thang!J743-Data_thang!K743</f>
        <v/>
      </c>
      <c r="H743" s="29">
        <f>Data_thang!N743</f>
        <v/>
      </c>
      <c r="I743" s="29">
        <f>H743-G743</f>
        <v/>
      </c>
      <c r="J743" s="30">
        <f>IF(H743=0,IF(I743=0,0,1),I743/ABS(H743))</f>
        <v/>
      </c>
      <c r="K743" s="29">
        <f>H743-(Data_thang!O743-Data_thang!K743)</f>
        <v/>
      </c>
      <c r="L743">
        <f>IF(AND(ABS(I743)&gt;Dashboard!$G$6,ABS(J743)&gt;Dashboard!$H$6),"⚠ Vượt","")</f>
        <v/>
      </c>
      <c r="M743">
        <f>IF(AND(A743=Dashboard!$D$6,OR(Dashboard!$C$6="*",F743=Dashboard!$C$6),L743&lt;&gt;""),ABS(I743)+ROW()/1000000000,0)</f>
        <v/>
      </c>
    </row>
    <row r="744">
      <c r="A744">
        <f>Data_thang!A744</f>
        <v/>
      </c>
      <c r="B744">
        <f>Data_thang!B744</f>
        <v/>
      </c>
      <c r="C744">
        <f>Data_thang!D744</f>
        <v/>
      </c>
      <c r="D744">
        <f>Data_thang!E744</f>
        <v/>
      </c>
      <c r="E744">
        <f>Data_thang!F744</f>
        <v/>
      </c>
      <c r="F744">
        <f>Data_thang!G744</f>
        <v/>
      </c>
      <c r="G744" s="29">
        <f>Data_thang!J744-Data_thang!K744</f>
        <v/>
      </c>
      <c r="H744" s="29">
        <f>Data_thang!N744</f>
        <v/>
      </c>
      <c r="I744" s="29">
        <f>H744-G744</f>
        <v/>
      </c>
      <c r="J744" s="30">
        <f>IF(H744=0,IF(I744=0,0,1),I744/ABS(H744))</f>
        <v/>
      </c>
      <c r="K744" s="29">
        <f>H744-(Data_thang!O744-Data_thang!K744)</f>
        <v/>
      </c>
      <c r="L744">
        <f>IF(AND(ABS(I744)&gt;Dashboard!$G$6,ABS(J744)&gt;Dashboard!$H$6),"⚠ Vượt","")</f>
        <v/>
      </c>
      <c r="M744">
        <f>IF(AND(A744=Dashboard!$D$6,OR(Dashboard!$C$6="*",F744=Dashboard!$C$6),L744&lt;&gt;""),ABS(I744)+ROW()/1000000000,0)</f>
        <v/>
      </c>
    </row>
    <row r="745">
      <c r="A745">
        <f>Data_thang!A745</f>
        <v/>
      </c>
      <c r="B745">
        <f>Data_thang!B745</f>
        <v/>
      </c>
      <c r="C745">
        <f>Data_thang!D745</f>
        <v/>
      </c>
      <c r="D745">
        <f>Data_thang!E745</f>
        <v/>
      </c>
      <c r="E745">
        <f>Data_thang!F745</f>
        <v/>
      </c>
      <c r="F745">
        <f>Data_thang!G745</f>
        <v/>
      </c>
      <c r="G745" s="29">
        <f>Data_thang!J745-Data_thang!K745</f>
        <v/>
      </c>
      <c r="H745" s="29">
        <f>Data_thang!N745</f>
        <v/>
      </c>
      <c r="I745" s="29">
        <f>H745-G745</f>
        <v/>
      </c>
      <c r="J745" s="30">
        <f>IF(H745=0,IF(I745=0,0,1),I745/ABS(H745))</f>
        <v/>
      </c>
      <c r="K745" s="29">
        <f>H745-(Data_thang!O745-Data_thang!K745)</f>
        <v/>
      </c>
      <c r="L745">
        <f>IF(AND(ABS(I745)&gt;Dashboard!$G$6,ABS(J745)&gt;Dashboard!$H$6),"⚠ Vượt","")</f>
        <v/>
      </c>
      <c r="M745">
        <f>IF(AND(A745=Dashboard!$D$6,OR(Dashboard!$C$6="*",F745=Dashboard!$C$6),L745&lt;&gt;""),ABS(I745)+ROW()/1000000000,0)</f>
        <v/>
      </c>
    </row>
    <row r="746">
      <c r="A746">
        <f>Data_thang!A746</f>
        <v/>
      </c>
      <c r="B746">
        <f>Data_thang!B746</f>
        <v/>
      </c>
      <c r="C746">
        <f>Data_thang!D746</f>
        <v/>
      </c>
      <c r="D746">
        <f>Data_thang!E746</f>
        <v/>
      </c>
      <c r="E746">
        <f>Data_thang!F746</f>
        <v/>
      </c>
      <c r="F746">
        <f>Data_thang!G746</f>
        <v/>
      </c>
      <c r="G746" s="29">
        <f>Data_thang!J746-Data_thang!K746</f>
        <v/>
      </c>
      <c r="H746" s="29">
        <f>Data_thang!N746</f>
        <v/>
      </c>
      <c r="I746" s="29">
        <f>H746-G746</f>
        <v/>
      </c>
      <c r="J746" s="30">
        <f>IF(H746=0,IF(I746=0,0,1),I746/ABS(H746))</f>
        <v/>
      </c>
      <c r="K746" s="29">
        <f>H746-(Data_thang!O746-Data_thang!K746)</f>
        <v/>
      </c>
      <c r="L746">
        <f>IF(AND(ABS(I746)&gt;Dashboard!$G$6,ABS(J746)&gt;Dashboard!$H$6),"⚠ Vượt","")</f>
        <v/>
      </c>
      <c r="M746">
        <f>IF(AND(A746=Dashboard!$D$6,OR(Dashboard!$C$6="*",F746=Dashboard!$C$6),L746&lt;&gt;""),ABS(I746)+ROW()/1000000000,0)</f>
        <v/>
      </c>
    </row>
    <row r="747">
      <c r="A747">
        <f>Data_thang!A747</f>
        <v/>
      </c>
      <c r="B747">
        <f>Data_thang!B747</f>
        <v/>
      </c>
      <c r="C747">
        <f>Data_thang!D747</f>
        <v/>
      </c>
      <c r="D747">
        <f>Data_thang!E747</f>
        <v/>
      </c>
      <c r="E747">
        <f>Data_thang!F747</f>
        <v/>
      </c>
      <c r="F747">
        <f>Data_thang!G747</f>
        <v/>
      </c>
      <c r="G747" s="29">
        <f>Data_thang!J747-Data_thang!K747</f>
        <v/>
      </c>
      <c r="H747" s="29">
        <f>Data_thang!N747</f>
        <v/>
      </c>
      <c r="I747" s="29">
        <f>H747-G747</f>
        <v/>
      </c>
      <c r="J747" s="30">
        <f>IF(H747=0,IF(I747=0,0,1),I747/ABS(H747))</f>
        <v/>
      </c>
      <c r="K747" s="29">
        <f>H747-(Data_thang!O747-Data_thang!K747)</f>
        <v/>
      </c>
      <c r="L747">
        <f>IF(AND(ABS(I747)&gt;Dashboard!$G$6,ABS(J747)&gt;Dashboard!$H$6),"⚠ Vượt","")</f>
        <v/>
      </c>
      <c r="M747">
        <f>IF(AND(A747=Dashboard!$D$6,OR(Dashboard!$C$6="*",F747=Dashboard!$C$6),L747&lt;&gt;""),ABS(I747)+ROW()/1000000000,0)</f>
        <v/>
      </c>
    </row>
    <row r="748">
      <c r="A748">
        <f>Data_thang!A748</f>
        <v/>
      </c>
      <c r="B748">
        <f>Data_thang!B748</f>
        <v/>
      </c>
      <c r="C748">
        <f>Data_thang!D748</f>
        <v/>
      </c>
      <c r="D748">
        <f>Data_thang!E748</f>
        <v/>
      </c>
      <c r="E748">
        <f>Data_thang!F748</f>
        <v/>
      </c>
      <c r="F748">
        <f>Data_thang!G748</f>
        <v/>
      </c>
      <c r="G748" s="29">
        <f>Data_thang!J748-Data_thang!K748</f>
        <v/>
      </c>
      <c r="H748" s="29">
        <f>Data_thang!N748</f>
        <v/>
      </c>
      <c r="I748" s="29">
        <f>H748-G748</f>
        <v/>
      </c>
      <c r="J748" s="30">
        <f>IF(H748=0,IF(I748=0,0,1),I748/ABS(H748))</f>
        <v/>
      </c>
      <c r="K748" s="29">
        <f>H748-(Data_thang!O748-Data_thang!K748)</f>
        <v/>
      </c>
      <c r="L748">
        <f>IF(AND(ABS(I748)&gt;Dashboard!$G$6,ABS(J748)&gt;Dashboard!$H$6),"⚠ Vượt","")</f>
        <v/>
      </c>
      <c r="M748">
        <f>IF(AND(A748=Dashboard!$D$6,OR(Dashboard!$C$6="*",F748=Dashboard!$C$6),L748&lt;&gt;""),ABS(I748)+ROW()/1000000000,0)</f>
        <v/>
      </c>
    </row>
    <row r="749">
      <c r="A749">
        <f>Data_thang!A749</f>
        <v/>
      </c>
      <c r="B749">
        <f>Data_thang!B749</f>
        <v/>
      </c>
      <c r="C749">
        <f>Data_thang!D749</f>
        <v/>
      </c>
      <c r="D749">
        <f>Data_thang!E749</f>
        <v/>
      </c>
      <c r="E749">
        <f>Data_thang!F749</f>
        <v/>
      </c>
      <c r="F749">
        <f>Data_thang!G749</f>
        <v/>
      </c>
      <c r="G749" s="29">
        <f>Data_thang!J749-Data_thang!K749</f>
        <v/>
      </c>
      <c r="H749" s="29">
        <f>Data_thang!N749</f>
        <v/>
      </c>
      <c r="I749" s="29">
        <f>H749-G749</f>
        <v/>
      </c>
      <c r="J749" s="30">
        <f>IF(H749=0,IF(I749=0,0,1),I749/ABS(H749))</f>
        <v/>
      </c>
      <c r="K749" s="29">
        <f>H749-(Data_thang!O749-Data_thang!K749)</f>
        <v/>
      </c>
      <c r="L749">
        <f>IF(AND(ABS(I749)&gt;Dashboard!$G$6,ABS(J749)&gt;Dashboard!$H$6),"⚠ Vượt","")</f>
        <v/>
      </c>
      <c r="M749">
        <f>IF(AND(A749=Dashboard!$D$6,OR(Dashboard!$C$6="*",F749=Dashboard!$C$6),L749&lt;&gt;""),ABS(I749)+ROW()/1000000000,0)</f>
        <v/>
      </c>
    </row>
    <row r="750">
      <c r="A750">
        <f>Data_thang!A750</f>
        <v/>
      </c>
      <c r="B750">
        <f>Data_thang!B750</f>
        <v/>
      </c>
      <c r="C750">
        <f>Data_thang!D750</f>
        <v/>
      </c>
      <c r="D750">
        <f>Data_thang!E750</f>
        <v/>
      </c>
      <c r="E750">
        <f>Data_thang!F750</f>
        <v/>
      </c>
      <c r="F750">
        <f>Data_thang!G750</f>
        <v/>
      </c>
      <c r="G750" s="29">
        <f>Data_thang!J750-Data_thang!K750</f>
        <v/>
      </c>
      <c r="H750" s="29">
        <f>Data_thang!N750</f>
        <v/>
      </c>
      <c r="I750" s="29">
        <f>H750-G750</f>
        <v/>
      </c>
      <c r="J750" s="30">
        <f>IF(H750=0,IF(I750=0,0,1),I750/ABS(H750))</f>
        <v/>
      </c>
      <c r="K750" s="29">
        <f>H750-(Data_thang!O750-Data_thang!K750)</f>
        <v/>
      </c>
      <c r="L750">
        <f>IF(AND(ABS(I750)&gt;Dashboard!$G$6,ABS(J750)&gt;Dashboard!$H$6),"⚠ Vượt","")</f>
        <v/>
      </c>
      <c r="M750">
        <f>IF(AND(A750=Dashboard!$D$6,OR(Dashboard!$C$6="*",F750=Dashboard!$C$6),L750&lt;&gt;""),ABS(I750)+ROW()/1000000000,0)</f>
        <v/>
      </c>
    </row>
    <row r="751">
      <c r="A751">
        <f>Data_thang!A751</f>
        <v/>
      </c>
      <c r="B751">
        <f>Data_thang!B751</f>
        <v/>
      </c>
      <c r="C751">
        <f>Data_thang!D751</f>
        <v/>
      </c>
      <c r="D751">
        <f>Data_thang!E751</f>
        <v/>
      </c>
      <c r="E751">
        <f>Data_thang!F751</f>
        <v/>
      </c>
      <c r="F751">
        <f>Data_thang!G751</f>
        <v/>
      </c>
      <c r="G751" s="29">
        <f>Data_thang!J751-Data_thang!K751</f>
        <v/>
      </c>
      <c r="H751" s="29">
        <f>Data_thang!N751</f>
        <v/>
      </c>
      <c r="I751" s="29">
        <f>H751-G751</f>
        <v/>
      </c>
      <c r="J751" s="30">
        <f>IF(H751=0,IF(I751=0,0,1),I751/ABS(H751))</f>
        <v/>
      </c>
      <c r="K751" s="29">
        <f>H751-(Data_thang!O751-Data_thang!K751)</f>
        <v/>
      </c>
      <c r="L751">
        <f>IF(AND(ABS(I751)&gt;Dashboard!$G$6,ABS(J751)&gt;Dashboard!$H$6),"⚠ Vượt","")</f>
        <v/>
      </c>
      <c r="M751">
        <f>IF(AND(A751=Dashboard!$D$6,OR(Dashboard!$C$6="*",F751=Dashboard!$C$6),L751&lt;&gt;""),ABS(I751)+ROW()/1000000000,0)</f>
        <v/>
      </c>
    </row>
    <row r="752">
      <c r="A752">
        <f>Data_thang!A752</f>
        <v/>
      </c>
      <c r="B752">
        <f>Data_thang!B752</f>
        <v/>
      </c>
      <c r="C752">
        <f>Data_thang!D752</f>
        <v/>
      </c>
      <c r="D752">
        <f>Data_thang!E752</f>
        <v/>
      </c>
      <c r="E752">
        <f>Data_thang!F752</f>
        <v/>
      </c>
      <c r="F752">
        <f>Data_thang!G752</f>
        <v/>
      </c>
      <c r="G752" s="29">
        <f>Data_thang!J752-Data_thang!K752</f>
        <v/>
      </c>
      <c r="H752" s="29">
        <f>Data_thang!N752</f>
        <v/>
      </c>
      <c r="I752" s="29">
        <f>H752-G752</f>
        <v/>
      </c>
      <c r="J752" s="30">
        <f>IF(H752=0,IF(I752=0,0,1),I752/ABS(H752))</f>
        <v/>
      </c>
      <c r="K752" s="29">
        <f>H752-(Data_thang!O752-Data_thang!K752)</f>
        <v/>
      </c>
      <c r="L752">
        <f>IF(AND(ABS(I752)&gt;Dashboard!$G$6,ABS(J752)&gt;Dashboard!$H$6),"⚠ Vượt","")</f>
        <v/>
      </c>
      <c r="M752">
        <f>IF(AND(A752=Dashboard!$D$6,OR(Dashboard!$C$6="*",F752=Dashboard!$C$6),L752&lt;&gt;""),ABS(I752)+ROW()/1000000000,0)</f>
        <v/>
      </c>
    </row>
    <row r="753">
      <c r="A753">
        <f>Data_thang!A753</f>
        <v/>
      </c>
      <c r="B753">
        <f>Data_thang!B753</f>
        <v/>
      </c>
      <c r="C753">
        <f>Data_thang!D753</f>
        <v/>
      </c>
      <c r="D753">
        <f>Data_thang!E753</f>
        <v/>
      </c>
      <c r="E753">
        <f>Data_thang!F753</f>
        <v/>
      </c>
      <c r="F753">
        <f>Data_thang!G753</f>
        <v/>
      </c>
      <c r="G753" s="29">
        <f>Data_thang!J753-Data_thang!K753</f>
        <v/>
      </c>
      <c r="H753" s="29">
        <f>Data_thang!N753</f>
        <v/>
      </c>
      <c r="I753" s="29">
        <f>H753-G753</f>
        <v/>
      </c>
      <c r="J753" s="30">
        <f>IF(H753=0,IF(I753=0,0,1),I753/ABS(H753))</f>
        <v/>
      </c>
      <c r="K753" s="29">
        <f>H753-(Data_thang!O753-Data_thang!K753)</f>
        <v/>
      </c>
      <c r="L753">
        <f>IF(AND(ABS(I753)&gt;Dashboard!$G$6,ABS(J753)&gt;Dashboard!$H$6),"⚠ Vượt","")</f>
        <v/>
      </c>
      <c r="M753">
        <f>IF(AND(A753=Dashboard!$D$6,OR(Dashboard!$C$6="*",F753=Dashboard!$C$6),L753&lt;&gt;""),ABS(I753)+ROW()/1000000000,0)</f>
        <v/>
      </c>
    </row>
    <row r="754">
      <c r="A754">
        <f>Data_thang!A754</f>
        <v/>
      </c>
      <c r="B754">
        <f>Data_thang!B754</f>
        <v/>
      </c>
      <c r="C754">
        <f>Data_thang!D754</f>
        <v/>
      </c>
      <c r="D754">
        <f>Data_thang!E754</f>
        <v/>
      </c>
      <c r="E754">
        <f>Data_thang!F754</f>
        <v/>
      </c>
      <c r="F754">
        <f>Data_thang!G754</f>
        <v/>
      </c>
      <c r="G754" s="29">
        <f>Data_thang!J754-Data_thang!K754</f>
        <v/>
      </c>
      <c r="H754" s="29">
        <f>Data_thang!N754</f>
        <v/>
      </c>
      <c r="I754" s="29">
        <f>H754-G754</f>
        <v/>
      </c>
      <c r="J754" s="30">
        <f>IF(H754=0,IF(I754=0,0,1),I754/ABS(H754))</f>
        <v/>
      </c>
      <c r="K754" s="29">
        <f>H754-(Data_thang!O754-Data_thang!K754)</f>
        <v/>
      </c>
      <c r="L754">
        <f>IF(AND(ABS(I754)&gt;Dashboard!$G$6,ABS(J754)&gt;Dashboard!$H$6),"⚠ Vượt","")</f>
        <v/>
      </c>
      <c r="M754">
        <f>IF(AND(A754=Dashboard!$D$6,OR(Dashboard!$C$6="*",F754=Dashboard!$C$6),L754&lt;&gt;""),ABS(I754)+ROW()/1000000000,0)</f>
        <v/>
      </c>
    </row>
    <row r="755">
      <c r="A755">
        <f>Data_thang!A755</f>
        <v/>
      </c>
      <c r="B755">
        <f>Data_thang!B755</f>
        <v/>
      </c>
      <c r="C755">
        <f>Data_thang!D755</f>
        <v/>
      </c>
      <c r="D755">
        <f>Data_thang!E755</f>
        <v/>
      </c>
      <c r="E755">
        <f>Data_thang!F755</f>
        <v/>
      </c>
      <c r="F755">
        <f>Data_thang!G755</f>
        <v/>
      </c>
      <c r="G755" s="29">
        <f>Data_thang!J755-Data_thang!K755</f>
        <v/>
      </c>
      <c r="H755" s="29">
        <f>Data_thang!N755</f>
        <v/>
      </c>
      <c r="I755" s="29">
        <f>H755-G755</f>
        <v/>
      </c>
      <c r="J755" s="30">
        <f>IF(H755=0,IF(I755=0,0,1),I755/ABS(H755))</f>
        <v/>
      </c>
      <c r="K755" s="29">
        <f>H755-(Data_thang!O755-Data_thang!K755)</f>
        <v/>
      </c>
      <c r="L755">
        <f>IF(AND(ABS(I755)&gt;Dashboard!$G$6,ABS(J755)&gt;Dashboard!$H$6),"⚠ Vượt","")</f>
        <v/>
      </c>
      <c r="M755">
        <f>IF(AND(A755=Dashboard!$D$6,OR(Dashboard!$C$6="*",F755=Dashboard!$C$6),L755&lt;&gt;""),ABS(I755)+ROW()/1000000000,0)</f>
        <v/>
      </c>
    </row>
    <row r="756">
      <c r="A756">
        <f>Data_thang!A756</f>
        <v/>
      </c>
      <c r="B756">
        <f>Data_thang!B756</f>
        <v/>
      </c>
      <c r="C756">
        <f>Data_thang!D756</f>
        <v/>
      </c>
      <c r="D756">
        <f>Data_thang!E756</f>
        <v/>
      </c>
      <c r="E756">
        <f>Data_thang!F756</f>
        <v/>
      </c>
      <c r="F756">
        <f>Data_thang!G756</f>
        <v/>
      </c>
      <c r="G756" s="29">
        <f>Data_thang!J756-Data_thang!K756</f>
        <v/>
      </c>
      <c r="H756" s="29">
        <f>Data_thang!N756</f>
        <v/>
      </c>
      <c r="I756" s="29">
        <f>H756-G756</f>
        <v/>
      </c>
      <c r="J756" s="30">
        <f>IF(H756=0,IF(I756=0,0,1),I756/ABS(H756))</f>
        <v/>
      </c>
      <c r="K756" s="29">
        <f>H756-(Data_thang!O756-Data_thang!K756)</f>
        <v/>
      </c>
      <c r="L756">
        <f>IF(AND(ABS(I756)&gt;Dashboard!$G$6,ABS(J756)&gt;Dashboard!$H$6),"⚠ Vượt","")</f>
        <v/>
      </c>
      <c r="M756">
        <f>IF(AND(A756=Dashboard!$D$6,OR(Dashboard!$C$6="*",F756=Dashboard!$C$6),L756&lt;&gt;""),ABS(I756)+ROW()/1000000000,0)</f>
        <v/>
      </c>
    </row>
    <row r="757">
      <c r="A757">
        <f>Data_thang!A757</f>
        <v/>
      </c>
      <c r="B757">
        <f>Data_thang!B757</f>
        <v/>
      </c>
      <c r="C757">
        <f>Data_thang!D757</f>
        <v/>
      </c>
      <c r="D757">
        <f>Data_thang!E757</f>
        <v/>
      </c>
      <c r="E757">
        <f>Data_thang!F757</f>
        <v/>
      </c>
      <c r="F757">
        <f>Data_thang!G757</f>
        <v/>
      </c>
      <c r="G757" s="29">
        <f>Data_thang!J757-Data_thang!K757</f>
        <v/>
      </c>
      <c r="H757" s="29">
        <f>Data_thang!N757</f>
        <v/>
      </c>
      <c r="I757" s="29">
        <f>H757-G757</f>
        <v/>
      </c>
      <c r="J757" s="30">
        <f>IF(H757=0,IF(I757=0,0,1),I757/ABS(H757))</f>
        <v/>
      </c>
      <c r="K757" s="29">
        <f>H757-(Data_thang!O757-Data_thang!K757)</f>
        <v/>
      </c>
      <c r="L757">
        <f>IF(AND(ABS(I757)&gt;Dashboard!$G$6,ABS(J757)&gt;Dashboard!$H$6),"⚠ Vượt","")</f>
        <v/>
      </c>
      <c r="M757">
        <f>IF(AND(A757=Dashboard!$D$6,OR(Dashboard!$C$6="*",F757=Dashboard!$C$6),L757&lt;&gt;""),ABS(I757)+ROW()/1000000000,0)</f>
        <v/>
      </c>
    </row>
    <row r="758">
      <c r="A758">
        <f>Data_thang!A758</f>
        <v/>
      </c>
      <c r="B758">
        <f>Data_thang!B758</f>
        <v/>
      </c>
      <c r="C758">
        <f>Data_thang!D758</f>
        <v/>
      </c>
      <c r="D758">
        <f>Data_thang!E758</f>
        <v/>
      </c>
      <c r="E758">
        <f>Data_thang!F758</f>
        <v/>
      </c>
      <c r="F758">
        <f>Data_thang!G758</f>
        <v/>
      </c>
      <c r="G758" s="29">
        <f>Data_thang!J758-Data_thang!K758</f>
        <v/>
      </c>
      <c r="H758" s="29">
        <f>Data_thang!N758</f>
        <v/>
      </c>
      <c r="I758" s="29">
        <f>H758-G758</f>
        <v/>
      </c>
      <c r="J758" s="30">
        <f>IF(H758=0,IF(I758=0,0,1),I758/ABS(H758))</f>
        <v/>
      </c>
      <c r="K758" s="29">
        <f>H758-(Data_thang!O758-Data_thang!K758)</f>
        <v/>
      </c>
      <c r="L758">
        <f>IF(AND(ABS(I758)&gt;Dashboard!$G$6,ABS(J758)&gt;Dashboard!$H$6),"⚠ Vượt","")</f>
        <v/>
      </c>
      <c r="M758">
        <f>IF(AND(A758=Dashboard!$D$6,OR(Dashboard!$C$6="*",F758=Dashboard!$C$6),L758&lt;&gt;""),ABS(I758)+ROW()/1000000000,0)</f>
        <v/>
      </c>
    </row>
    <row r="759">
      <c r="A759">
        <f>Data_thang!A759</f>
        <v/>
      </c>
      <c r="B759">
        <f>Data_thang!B759</f>
        <v/>
      </c>
      <c r="C759">
        <f>Data_thang!D759</f>
        <v/>
      </c>
      <c r="D759">
        <f>Data_thang!E759</f>
        <v/>
      </c>
      <c r="E759">
        <f>Data_thang!F759</f>
        <v/>
      </c>
      <c r="F759">
        <f>Data_thang!G759</f>
        <v/>
      </c>
      <c r="G759" s="29">
        <f>Data_thang!J759-Data_thang!K759</f>
        <v/>
      </c>
      <c r="H759" s="29">
        <f>Data_thang!N759</f>
        <v/>
      </c>
      <c r="I759" s="29">
        <f>H759-G759</f>
        <v/>
      </c>
      <c r="J759" s="30">
        <f>IF(H759=0,IF(I759=0,0,1),I759/ABS(H759))</f>
        <v/>
      </c>
      <c r="K759" s="29">
        <f>H759-(Data_thang!O759-Data_thang!K759)</f>
        <v/>
      </c>
      <c r="L759">
        <f>IF(AND(ABS(I759)&gt;Dashboard!$G$6,ABS(J759)&gt;Dashboard!$H$6),"⚠ Vượt","")</f>
        <v/>
      </c>
      <c r="M759">
        <f>IF(AND(A759=Dashboard!$D$6,OR(Dashboard!$C$6="*",F759=Dashboard!$C$6),L759&lt;&gt;""),ABS(I759)+ROW()/1000000000,0)</f>
        <v/>
      </c>
    </row>
    <row r="760">
      <c r="A760">
        <f>Data_thang!A760</f>
        <v/>
      </c>
      <c r="B760">
        <f>Data_thang!B760</f>
        <v/>
      </c>
      <c r="C760">
        <f>Data_thang!D760</f>
        <v/>
      </c>
      <c r="D760">
        <f>Data_thang!E760</f>
        <v/>
      </c>
      <c r="E760">
        <f>Data_thang!F760</f>
        <v/>
      </c>
      <c r="F760">
        <f>Data_thang!G760</f>
        <v/>
      </c>
      <c r="G760" s="29">
        <f>Data_thang!J760-Data_thang!K760</f>
        <v/>
      </c>
      <c r="H760" s="29">
        <f>Data_thang!N760</f>
        <v/>
      </c>
      <c r="I760" s="29">
        <f>H760-G760</f>
        <v/>
      </c>
      <c r="J760" s="30">
        <f>IF(H760=0,IF(I760=0,0,1),I760/ABS(H760))</f>
        <v/>
      </c>
      <c r="K760" s="29">
        <f>H760-(Data_thang!O760-Data_thang!K760)</f>
        <v/>
      </c>
      <c r="L760">
        <f>IF(AND(ABS(I760)&gt;Dashboard!$G$6,ABS(J760)&gt;Dashboard!$H$6),"⚠ Vượt","")</f>
        <v/>
      </c>
      <c r="M760">
        <f>IF(AND(A760=Dashboard!$D$6,OR(Dashboard!$C$6="*",F760=Dashboard!$C$6),L760&lt;&gt;""),ABS(I760)+ROW()/1000000000,0)</f>
        <v/>
      </c>
    </row>
    <row r="761">
      <c r="A761">
        <f>Data_thang!A761</f>
        <v/>
      </c>
      <c r="B761">
        <f>Data_thang!B761</f>
        <v/>
      </c>
      <c r="C761">
        <f>Data_thang!D761</f>
        <v/>
      </c>
      <c r="D761">
        <f>Data_thang!E761</f>
        <v/>
      </c>
      <c r="E761">
        <f>Data_thang!F761</f>
        <v/>
      </c>
      <c r="F761">
        <f>Data_thang!G761</f>
        <v/>
      </c>
      <c r="G761" s="29">
        <f>Data_thang!J761-Data_thang!K761</f>
        <v/>
      </c>
      <c r="H761" s="29">
        <f>Data_thang!N761</f>
        <v/>
      </c>
      <c r="I761" s="29">
        <f>H761-G761</f>
        <v/>
      </c>
      <c r="J761" s="30">
        <f>IF(H761=0,IF(I761=0,0,1),I761/ABS(H761))</f>
        <v/>
      </c>
      <c r="K761" s="29">
        <f>H761-(Data_thang!O761-Data_thang!K761)</f>
        <v/>
      </c>
      <c r="L761">
        <f>IF(AND(ABS(I761)&gt;Dashboard!$G$6,ABS(J761)&gt;Dashboard!$H$6),"⚠ Vượt","")</f>
        <v/>
      </c>
      <c r="M761">
        <f>IF(AND(A761=Dashboard!$D$6,OR(Dashboard!$C$6="*",F761=Dashboard!$C$6),L761&lt;&gt;""),ABS(I761)+ROW()/1000000000,0)</f>
        <v/>
      </c>
    </row>
    <row r="762">
      <c r="A762">
        <f>Data_thang!A762</f>
        <v/>
      </c>
      <c r="B762">
        <f>Data_thang!B762</f>
        <v/>
      </c>
      <c r="C762">
        <f>Data_thang!D762</f>
        <v/>
      </c>
      <c r="D762">
        <f>Data_thang!E762</f>
        <v/>
      </c>
      <c r="E762">
        <f>Data_thang!F762</f>
        <v/>
      </c>
      <c r="F762">
        <f>Data_thang!G762</f>
        <v/>
      </c>
      <c r="G762" s="29">
        <f>Data_thang!J762-Data_thang!K762</f>
        <v/>
      </c>
      <c r="H762" s="29">
        <f>Data_thang!N762</f>
        <v/>
      </c>
      <c r="I762" s="29">
        <f>H762-G762</f>
        <v/>
      </c>
      <c r="J762" s="30">
        <f>IF(H762=0,IF(I762=0,0,1),I762/ABS(H762))</f>
        <v/>
      </c>
      <c r="K762" s="29">
        <f>H762-(Data_thang!O762-Data_thang!K762)</f>
        <v/>
      </c>
      <c r="L762">
        <f>IF(AND(ABS(I762)&gt;Dashboard!$G$6,ABS(J762)&gt;Dashboard!$H$6),"⚠ Vượt","")</f>
        <v/>
      </c>
      <c r="M762">
        <f>IF(AND(A762=Dashboard!$D$6,OR(Dashboard!$C$6="*",F762=Dashboard!$C$6),L762&lt;&gt;""),ABS(I762)+ROW()/1000000000,0)</f>
        <v/>
      </c>
    </row>
    <row r="763">
      <c r="A763">
        <f>Data_thang!A763</f>
        <v/>
      </c>
      <c r="B763">
        <f>Data_thang!B763</f>
        <v/>
      </c>
      <c r="C763">
        <f>Data_thang!D763</f>
        <v/>
      </c>
      <c r="D763">
        <f>Data_thang!E763</f>
        <v/>
      </c>
      <c r="E763">
        <f>Data_thang!F763</f>
        <v/>
      </c>
      <c r="F763">
        <f>Data_thang!G763</f>
        <v/>
      </c>
      <c r="G763" s="29">
        <f>Data_thang!J763-Data_thang!K763</f>
        <v/>
      </c>
      <c r="H763" s="29">
        <f>Data_thang!N763</f>
        <v/>
      </c>
      <c r="I763" s="29">
        <f>H763-G763</f>
        <v/>
      </c>
      <c r="J763" s="30">
        <f>IF(H763=0,IF(I763=0,0,1),I763/ABS(H763))</f>
        <v/>
      </c>
      <c r="K763" s="29">
        <f>H763-(Data_thang!O763-Data_thang!K763)</f>
        <v/>
      </c>
      <c r="L763">
        <f>IF(AND(ABS(I763)&gt;Dashboard!$G$6,ABS(J763)&gt;Dashboard!$H$6),"⚠ Vượt","")</f>
        <v/>
      </c>
      <c r="M763">
        <f>IF(AND(A763=Dashboard!$D$6,OR(Dashboard!$C$6="*",F763=Dashboard!$C$6),L763&lt;&gt;""),ABS(I763)+ROW()/1000000000,0)</f>
        <v/>
      </c>
    </row>
    <row r="764">
      <c r="A764">
        <f>Data_thang!A764</f>
        <v/>
      </c>
      <c r="B764">
        <f>Data_thang!B764</f>
        <v/>
      </c>
      <c r="C764">
        <f>Data_thang!D764</f>
        <v/>
      </c>
      <c r="D764">
        <f>Data_thang!E764</f>
        <v/>
      </c>
      <c r="E764">
        <f>Data_thang!F764</f>
        <v/>
      </c>
      <c r="F764">
        <f>Data_thang!G764</f>
        <v/>
      </c>
      <c r="G764" s="29">
        <f>Data_thang!J764-Data_thang!K764</f>
        <v/>
      </c>
      <c r="H764" s="29">
        <f>Data_thang!N764</f>
        <v/>
      </c>
      <c r="I764" s="29">
        <f>H764-G764</f>
        <v/>
      </c>
      <c r="J764" s="30">
        <f>IF(H764=0,IF(I764=0,0,1),I764/ABS(H764))</f>
        <v/>
      </c>
      <c r="K764" s="29">
        <f>H764-(Data_thang!O764-Data_thang!K764)</f>
        <v/>
      </c>
      <c r="L764">
        <f>IF(AND(ABS(I764)&gt;Dashboard!$G$6,ABS(J764)&gt;Dashboard!$H$6),"⚠ Vượt","")</f>
        <v/>
      </c>
      <c r="M764">
        <f>IF(AND(A764=Dashboard!$D$6,OR(Dashboard!$C$6="*",F764=Dashboard!$C$6),L764&lt;&gt;""),ABS(I764)+ROW()/1000000000,0)</f>
        <v/>
      </c>
    </row>
    <row r="765">
      <c r="A765">
        <f>Data_thang!A765</f>
        <v/>
      </c>
      <c r="B765">
        <f>Data_thang!B765</f>
        <v/>
      </c>
      <c r="C765">
        <f>Data_thang!D765</f>
        <v/>
      </c>
      <c r="D765">
        <f>Data_thang!E765</f>
        <v/>
      </c>
      <c r="E765">
        <f>Data_thang!F765</f>
        <v/>
      </c>
      <c r="F765">
        <f>Data_thang!G765</f>
        <v/>
      </c>
      <c r="G765" s="29">
        <f>Data_thang!J765-Data_thang!K765</f>
        <v/>
      </c>
      <c r="H765" s="29">
        <f>Data_thang!N765</f>
        <v/>
      </c>
      <c r="I765" s="29">
        <f>H765-G765</f>
        <v/>
      </c>
      <c r="J765" s="30">
        <f>IF(H765=0,IF(I765=0,0,1),I765/ABS(H765))</f>
        <v/>
      </c>
      <c r="K765" s="29">
        <f>H765-(Data_thang!O765-Data_thang!K765)</f>
        <v/>
      </c>
      <c r="L765">
        <f>IF(AND(ABS(I765)&gt;Dashboard!$G$6,ABS(J765)&gt;Dashboard!$H$6),"⚠ Vượt","")</f>
        <v/>
      </c>
      <c r="M765">
        <f>IF(AND(A765=Dashboard!$D$6,OR(Dashboard!$C$6="*",F765=Dashboard!$C$6),L765&lt;&gt;""),ABS(I765)+ROW()/1000000000,0)</f>
        <v/>
      </c>
    </row>
    <row r="766">
      <c r="A766">
        <f>Data_thang!A766</f>
        <v/>
      </c>
      <c r="B766">
        <f>Data_thang!B766</f>
        <v/>
      </c>
      <c r="C766">
        <f>Data_thang!D766</f>
        <v/>
      </c>
      <c r="D766">
        <f>Data_thang!E766</f>
        <v/>
      </c>
      <c r="E766">
        <f>Data_thang!F766</f>
        <v/>
      </c>
      <c r="F766">
        <f>Data_thang!G766</f>
        <v/>
      </c>
      <c r="G766" s="29">
        <f>Data_thang!J766-Data_thang!K766</f>
        <v/>
      </c>
      <c r="H766" s="29">
        <f>Data_thang!N766</f>
        <v/>
      </c>
      <c r="I766" s="29">
        <f>H766-G766</f>
        <v/>
      </c>
      <c r="J766" s="30">
        <f>IF(H766=0,IF(I766=0,0,1),I766/ABS(H766))</f>
        <v/>
      </c>
      <c r="K766" s="29">
        <f>H766-(Data_thang!O766-Data_thang!K766)</f>
        <v/>
      </c>
      <c r="L766">
        <f>IF(AND(ABS(I766)&gt;Dashboard!$G$6,ABS(J766)&gt;Dashboard!$H$6),"⚠ Vượt","")</f>
        <v/>
      </c>
      <c r="M766">
        <f>IF(AND(A766=Dashboard!$D$6,OR(Dashboard!$C$6="*",F766=Dashboard!$C$6),L766&lt;&gt;""),ABS(I766)+ROW()/1000000000,0)</f>
        <v/>
      </c>
    </row>
    <row r="767">
      <c r="A767">
        <f>Data_thang!A767</f>
        <v/>
      </c>
      <c r="B767">
        <f>Data_thang!B767</f>
        <v/>
      </c>
      <c r="C767">
        <f>Data_thang!D767</f>
        <v/>
      </c>
      <c r="D767">
        <f>Data_thang!E767</f>
        <v/>
      </c>
      <c r="E767">
        <f>Data_thang!F767</f>
        <v/>
      </c>
      <c r="F767">
        <f>Data_thang!G767</f>
        <v/>
      </c>
      <c r="G767" s="29">
        <f>Data_thang!J767-Data_thang!K767</f>
        <v/>
      </c>
      <c r="H767" s="29">
        <f>Data_thang!N767</f>
        <v/>
      </c>
      <c r="I767" s="29">
        <f>H767-G767</f>
        <v/>
      </c>
      <c r="J767" s="30">
        <f>IF(H767=0,IF(I767=0,0,1),I767/ABS(H767))</f>
        <v/>
      </c>
      <c r="K767" s="29">
        <f>H767-(Data_thang!O767-Data_thang!K767)</f>
        <v/>
      </c>
      <c r="L767">
        <f>IF(AND(ABS(I767)&gt;Dashboard!$G$6,ABS(J767)&gt;Dashboard!$H$6),"⚠ Vượt","")</f>
        <v/>
      </c>
      <c r="M767">
        <f>IF(AND(A767=Dashboard!$D$6,OR(Dashboard!$C$6="*",F767=Dashboard!$C$6),L767&lt;&gt;""),ABS(I767)+ROW()/1000000000,0)</f>
        <v/>
      </c>
    </row>
    <row r="768">
      <c r="A768">
        <f>Data_thang!A768</f>
        <v/>
      </c>
      <c r="B768">
        <f>Data_thang!B768</f>
        <v/>
      </c>
      <c r="C768">
        <f>Data_thang!D768</f>
        <v/>
      </c>
      <c r="D768">
        <f>Data_thang!E768</f>
        <v/>
      </c>
      <c r="E768">
        <f>Data_thang!F768</f>
        <v/>
      </c>
      <c r="F768">
        <f>Data_thang!G768</f>
        <v/>
      </c>
      <c r="G768" s="29">
        <f>Data_thang!J768-Data_thang!K768</f>
        <v/>
      </c>
      <c r="H768" s="29">
        <f>Data_thang!N768</f>
        <v/>
      </c>
      <c r="I768" s="29">
        <f>H768-G768</f>
        <v/>
      </c>
      <c r="J768" s="30">
        <f>IF(H768=0,IF(I768=0,0,1),I768/ABS(H768))</f>
        <v/>
      </c>
      <c r="K768" s="29">
        <f>H768-(Data_thang!O768-Data_thang!K768)</f>
        <v/>
      </c>
      <c r="L768">
        <f>IF(AND(ABS(I768)&gt;Dashboard!$G$6,ABS(J768)&gt;Dashboard!$H$6),"⚠ Vượt","")</f>
        <v/>
      </c>
      <c r="M768">
        <f>IF(AND(A768=Dashboard!$D$6,OR(Dashboard!$C$6="*",F768=Dashboard!$C$6),L768&lt;&gt;""),ABS(I768)+ROW()/1000000000,0)</f>
        <v/>
      </c>
    </row>
    <row r="769">
      <c r="A769">
        <f>Data_thang!A769</f>
        <v/>
      </c>
      <c r="B769">
        <f>Data_thang!B769</f>
        <v/>
      </c>
      <c r="C769">
        <f>Data_thang!D769</f>
        <v/>
      </c>
      <c r="D769">
        <f>Data_thang!E769</f>
        <v/>
      </c>
      <c r="E769">
        <f>Data_thang!F769</f>
        <v/>
      </c>
      <c r="F769">
        <f>Data_thang!G769</f>
        <v/>
      </c>
      <c r="G769" s="29">
        <f>Data_thang!J769-Data_thang!K769</f>
        <v/>
      </c>
      <c r="H769" s="29">
        <f>Data_thang!N769</f>
        <v/>
      </c>
      <c r="I769" s="29">
        <f>H769-G769</f>
        <v/>
      </c>
      <c r="J769" s="30">
        <f>IF(H769=0,IF(I769=0,0,1),I769/ABS(H769))</f>
        <v/>
      </c>
      <c r="K769" s="29">
        <f>H769-(Data_thang!O769-Data_thang!K769)</f>
        <v/>
      </c>
      <c r="L769">
        <f>IF(AND(ABS(I769)&gt;Dashboard!$G$6,ABS(J769)&gt;Dashboard!$H$6),"⚠ Vượt","")</f>
        <v/>
      </c>
      <c r="M769">
        <f>IF(AND(A769=Dashboard!$D$6,OR(Dashboard!$C$6="*",F769=Dashboard!$C$6),L769&lt;&gt;""),ABS(I769)+ROW()/1000000000,0)</f>
        <v/>
      </c>
    </row>
    <row r="770">
      <c r="A770">
        <f>Data_thang!A770</f>
        <v/>
      </c>
      <c r="B770">
        <f>Data_thang!B770</f>
        <v/>
      </c>
      <c r="C770">
        <f>Data_thang!D770</f>
        <v/>
      </c>
      <c r="D770">
        <f>Data_thang!E770</f>
        <v/>
      </c>
      <c r="E770">
        <f>Data_thang!F770</f>
        <v/>
      </c>
      <c r="F770">
        <f>Data_thang!G770</f>
        <v/>
      </c>
      <c r="G770" s="29">
        <f>Data_thang!J770-Data_thang!K770</f>
        <v/>
      </c>
      <c r="H770" s="29">
        <f>Data_thang!N770</f>
        <v/>
      </c>
      <c r="I770" s="29">
        <f>H770-G770</f>
        <v/>
      </c>
      <c r="J770" s="30">
        <f>IF(H770=0,IF(I770=0,0,1),I770/ABS(H770))</f>
        <v/>
      </c>
      <c r="K770" s="29">
        <f>H770-(Data_thang!O770-Data_thang!K770)</f>
        <v/>
      </c>
      <c r="L770">
        <f>IF(AND(ABS(I770)&gt;Dashboard!$G$6,ABS(J770)&gt;Dashboard!$H$6),"⚠ Vượt","")</f>
        <v/>
      </c>
      <c r="M770">
        <f>IF(AND(A770=Dashboard!$D$6,OR(Dashboard!$C$6="*",F770=Dashboard!$C$6),L770&lt;&gt;""),ABS(I770)+ROW()/1000000000,0)</f>
        <v/>
      </c>
    </row>
    <row r="771">
      <c r="A771">
        <f>Data_thang!A771</f>
        <v/>
      </c>
      <c r="B771">
        <f>Data_thang!B771</f>
        <v/>
      </c>
      <c r="C771">
        <f>Data_thang!D771</f>
        <v/>
      </c>
      <c r="D771">
        <f>Data_thang!E771</f>
        <v/>
      </c>
      <c r="E771">
        <f>Data_thang!F771</f>
        <v/>
      </c>
      <c r="F771">
        <f>Data_thang!G771</f>
        <v/>
      </c>
      <c r="G771" s="29">
        <f>Data_thang!J771-Data_thang!K771</f>
        <v/>
      </c>
      <c r="H771" s="29">
        <f>Data_thang!N771</f>
        <v/>
      </c>
      <c r="I771" s="29">
        <f>H771-G771</f>
        <v/>
      </c>
      <c r="J771" s="30">
        <f>IF(H771=0,IF(I771=0,0,1),I771/ABS(H771))</f>
        <v/>
      </c>
      <c r="K771" s="29">
        <f>H771-(Data_thang!O771-Data_thang!K771)</f>
        <v/>
      </c>
      <c r="L771">
        <f>IF(AND(ABS(I771)&gt;Dashboard!$G$6,ABS(J771)&gt;Dashboard!$H$6),"⚠ Vượt","")</f>
        <v/>
      </c>
      <c r="M771">
        <f>IF(AND(A771=Dashboard!$D$6,OR(Dashboard!$C$6="*",F771=Dashboard!$C$6),L771&lt;&gt;""),ABS(I771)+ROW()/1000000000,0)</f>
        <v/>
      </c>
    </row>
    <row r="772">
      <c r="A772">
        <f>Data_thang!A772</f>
        <v/>
      </c>
      <c r="B772">
        <f>Data_thang!B772</f>
        <v/>
      </c>
      <c r="C772">
        <f>Data_thang!D772</f>
        <v/>
      </c>
      <c r="D772">
        <f>Data_thang!E772</f>
        <v/>
      </c>
      <c r="E772">
        <f>Data_thang!F772</f>
        <v/>
      </c>
      <c r="F772">
        <f>Data_thang!G772</f>
        <v/>
      </c>
      <c r="G772" s="29">
        <f>Data_thang!J772-Data_thang!K772</f>
        <v/>
      </c>
      <c r="H772" s="29">
        <f>Data_thang!N772</f>
        <v/>
      </c>
      <c r="I772" s="29">
        <f>H772-G772</f>
        <v/>
      </c>
      <c r="J772" s="30">
        <f>IF(H772=0,IF(I772=0,0,1),I772/ABS(H772))</f>
        <v/>
      </c>
      <c r="K772" s="29">
        <f>H772-(Data_thang!O772-Data_thang!K772)</f>
        <v/>
      </c>
      <c r="L772">
        <f>IF(AND(ABS(I772)&gt;Dashboard!$G$6,ABS(J772)&gt;Dashboard!$H$6),"⚠ Vượt","")</f>
        <v/>
      </c>
      <c r="M772">
        <f>IF(AND(A772=Dashboard!$D$6,OR(Dashboard!$C$6="*",F772=Dashboard!$C$6),L772&lt;&gt;""),ABS(I772)+ROW()/1000000000,0)</f>
        <v/>
      </c>
    </row>
    <row r="773">
      <c r="A773">
        <f>Data_thang!A773</f>
        <v/>
      </c>
      <c r="B773">
        <f>Data_thang!B773</f>
        <v/>
      </c>
      <c r="C773">
        <f>Data_thang!D773</f>
        <v/>
      </c>
      <c r="D773">
        <f>Data_thang!E773</f>
        <v/>
      </c>
      <c r="E773">
        <f>Data_thang!F773</f>
        <v/>
      </c>
      <c r="F773">
        <f>Data_thang!G773</f>
        <v/>
      </c>
      <c r="G773" s="29">
        <f>Data_thang!J773-Data_thang!K773</f>
        <v/>
      </c>
      <c r="H773" s="29">
        <f>Data_thang!N773</f>
        <v/>
      </c>
      <c r="I773" s="29">
        <f>H773-G773</f>
        <v/>
      </c>
      <c r="J773" s="30">
        <f>IF(H773=0,IF(I773=0,0,1),I773/ABS(H773))</f>
        <v/>
      </c>
      <c r="K773" s="29">
        <f>H773-(Data_thang!O773-Data_thang!K773)</f>
        <v/>
      </c>
      <c r="L773">
        <f>IF(AND(ABS(I773)&gt;Dashboard!$G$6,ABS(J773)&gt;Dashboard!$H$6),"⚠ Vượt","")</f>
        <v/>
      </c>
      <c r="M773">
        <f>IF(AND(A773=Dashboard!$D$6,OR(Dashboard!$C$6="*",F773=Dashboard!$C$6),L773&lt;&gt;""),ABS(I773)+ROW()/1000000000,0)</f>
        <v/>
      </c>
    </row>
    <row r="774">
      <c r="A774">
        <f>Data_thang!A774</f>
        <v/>
      </c>
      <c r="B774">
        <f>Data_thang!B774</f>
        <v/>
      </c>
      <c r="C774">
        <f>Data_thang!D774</f>
        <v/>
      </c>
      <c r="D774">
        <f>Data_thang!E774</f>
        <v/>
      </c>
      <c r="E774">
        <f>Data_thang!F774</f>
        <v/>
      </c>
      <c r="F774">
        <f>Data_thang!G774</f>
        <v/>
      </c>
      <c r="G774" s="29">
        <f>Data_thang!J774-Data_thang!K774</f>
        <v/>
      </c>
      <c r="H774" s="29">
        <f>Data_thang!N774</f>
        <v/>
      </c>
      <c r="I774" s="29">
        <f>H774-G774</f>
        <v/>
      </c>
      <c r="J774" s="30">
        <f>IF(H774=0,IF(I774=0,0,1),I774/ABS(H774))</f>
        <v/>
      </c>
      <c r="K774" s="29">
        <f>H774-(Data_thang!O774-Data_thang!K774)</f>
        <v/>
      </c>
      <c r="L774">
        <f>IF(AND(ABS(I774)&gt;Dashboard!$G$6,ABS(J774)&gt;Dashboard!$H$6),"⚠ Vượt","")</f>
        <v/>
      </c>
      <c r="M774">
        <f>IF(AND(A774=Dashboard!$D$6,OR(Dashboard!$C$6="*",F774=Dashboard!$C$6),L774&lt;&gt;""),ABS(I774)+ROW()/1000000000,0)</f>
        <v/>
      </c>
    </row>
    <row r="775">
      <c r="A775">
        <f>Data_thang!A775</f>
        <v/>
      </c>
      <c r="B775">
        <f>Data_thang!B775</f>
        <v/>
      </c>
      <c r="C775">
        <f>Data_thang!D775</f>
        <v/>
      </c>
      <c r="D775">
        <f>Data_thang!E775</f>
        <v/>
      </c>
      <c r="E775">
        <f>Data_thang!F775</f>
        <v/>
      </c>
      <c r="F775">
        <f>Data_thang!G775</f>
        <v/>
      </c>
      <c r="G775" s="29">
        <f>Data_thang!J775-Data_thang!K775</f>
        <v/>
      </c>
      <c r="H775" s="29">
        <f>Data_thang!N775</f>
        <v/>
      </c>
      <c r="I775" s="29">
        <f>H775-G775</f>
        <v/>
      </c>
      <c r="J775" s="30">
        <f>IF(H775=0,IF(I775=0,0,1),I775/ABS(H775))</f>
        <v/>
      </c>
      <c r="K775" s="29">
        <f>H775-(Data_thang!O775-Data_thang!K775)</f>
        <v/>
      </c>
      <c r="L775">
        <f>IF(AND(ABS(I775)&gt;Dashboard!$G$6,ABS(J775)&gt;Dashboard!$H$6),"⚠ Vượt","")</f>
        <v/>
      </c>
      <c r="M775">
        <f>IF(AND(A775=Dashboard!$D$6,OR(Dashboard!$C$6="*",F775=Dashboard!$C$6),L775&lt;&gt;""),ABS(I775)+ROW()/1000000000,0)</f>
        <v/>
      </c>
    </row>
    <row r="776">
      <c r="A776">
        <f>Data_thang!A776</f>
        <v/>
      </c>
      <c r="B776">
        <f>Data_thang!B776</f>
        <v/>
      </c>
      <c r="C776">
        <f>Data_thang!D776</f>
        <v/>
      </c>
      <c r="D776">
        <f>Data_thang!E776</f>
        <v/>
      </c>
      <c r="E776">
        <f>Data_thang!F776</f>
        <v/>
      </c>
      <c r="F776">
        <f>Data_thang!G776</f>
        <v/>
      </c>
      <c r="G776" s="29">
        <f>Data_thang!J776-Data_thang!K776</f>
        <v/>
      </c>
      <c r="H776" s="29">
        <f>Data_thang!N776</f>
        <v/>
      </c>
      <c r="I776" s="29">
        <f>H776-G776</f>
        <v/>
      </c>
      <c r="J776" s="30">
        <f>IF(H776=0,IF(I776=0,0,1),I776/ABS(H776))</f>
        <v/>
      </c>
      <c r="K776" s="29">
        <f>H776-(Data_thang!O776-Data_thang!K776)</f>
        <v/>
      </c>
      <c r="L776">
        <f>IF(AND(ABS(I776)&gt;Dashboard!$G$6,ABS(J776)&gt;Dashboard!$H$6),"⚠ Vượt","")</f>
        <v/>
      </c>
      <c r="M776">
        <f>IF(AND(A776=Dashboard!$D$6,OR(Dashboard!$C$6="*",F776=Dashboard!$C$6),L776&lt;&gt;""),ABS(I776)+ROW()/1000000000,0)</f>
        <v/>
      </c>
    </row>
    <row r="777">
      <c r="A777">
        <f>Data_thang!A777</f>
        <v/>
      </c>
      <c r="B777">
        <f>Data_thang!B777</f>
        <v/>
      </c>
      <c r="C777">
        <f>Data_thang!D777</f>
        <v/>
      </c>
      <c r="D777">
        <f>Data_thang!E777</f>
        <v/>
      </c>
      <c r="E777">
        <f>Data_thang!F777</f>
        <v/>
      </c>
      <c r="F777">
        <f>Data_thang!G777</f>
        <v/>
      </c>
      <c r="G777" s="29">
        <f>Data_thang!J777-Data_thang!K777</f>
        <v/>
      </c>
      <c r="H777" s="29">
        <f>Data_thang!N777</f>
        <v/>
      </c>
      <c r="I777" s="29">
        <f>H777-G777</f>
        <v/>
      </c>
      <c r="J777" s="30">
        <f>IF(H777=0,IF(I777=0,0,1),I777/ABS(H777))</f>
        <v/>
      </c>
      <c r="K777" s="29">
        <f>H777-(Data_thang!O777-Data_thang!K777)</f>
        <v/>
      </c>
      <c r="L777">
        <f>IF(AND(ABS(I777)&gt;Dashboard!$G$6,ABS(J777)&gt;Dashboard!$H$6),"⚠ Vượt","")</f>
        <v/>
      </c>
      <c r="M777">
        <f>IF(AND(A777=Dashboard!$D$6,OR(Dashboard!$C$6="*",F777=Dashboard!$C$6),L777&lt;&gt;""),ABS(I777)+ROW()/1000000000,0)</f>
        <v/>
      </c>
    </row>
    <row r="778">
      <c r="A778">
        <f>Data_thang!A778</f>
        <v/>
      </c>
      <c r="B778">
        <f>Data_thang!B778</f>
        <v/>
      </c>
      <c r="C778">
        <f>Data_thang!D778</f>
        <v/>
      </c>
      <c r="D778">
        <f>Data_thang!E778</f>
        <v/>
      </c>
      <c r="E778">
        <f>Data_thang!F778</f>
        <v/>
      </c>
      <c r="F778">
        <f>Data_thang!G778</f>
        <v/>
      </c>
      <c r="G778" s="29">
        <f>Data_thang!J778-Data_thang!K778</f>
        <v/>
      </c>
      <c r="H778" s="29">
        <f>Data_thang!N778</f>
        <v/>
      </c>
      <c r="I778" s="29">
        <f>H778-G778</f>
        <v/>
      </c>
      <c r="J778" s="30">
        <f>IF(H778=0,IF(I778=0,0,1),I778/ABS(H778))</f>
        <v/>
      </c>
      <c r="K778" s="29">
        <f>H778-(Data_thang!O778-Data_thang!K778)</f>
        <v/>
      </c>
      <c r="L778">
        <f>IF(AND(ABS(I778)&gt;Dashboard!$G$6,ABS(J778)&gt;Dashboard!$H$6),"⚠ Vượt","")</f>
        <v/>
      </c>
      <c r="M778">
        <f>IF(AND(A778=Dashboard!$D$6,OR(Dashboard!$C$6="*",F778=Dashboard!$C$6),L778&lt;&gt;""),ABS(I778)+ROW()/1000000000,0)</f>
        <v/>
      </c>
    </row>
    <row r="779">
      <c r="A779">
        <f>Data_thang!A779</f>
        <v/>
      </c>
      <c r="B779">
        <f>Data_thang!B779</f>
        <v/>
      </c>
      <c r="C779">
        <f>Data_thang!D779</f>
        <v/>
      </c>
      <c r="D779">
        <f>Data_thang!E779</f>
        <v/>
      </c>
      <c r="E779">
        <f>Data_thang!F779</f>
        <v/>
      </c>
      <c r="F779">
        <f>Data_thang!G779</f>
        <v/>
      </c>
      <c r="G779" s="29">
        <f>Data_thang!J779-Data_thang!K779</f>
        <v/>
      </c>
      <c r="H779" s="29">
        <f>Data_thang!N779</f>
        <v/>
      </c>
      <c r="I779" s="29">
        <f>H779-G779</f>
        <v/>
      </c>
      <c r="J779" s="30">
        <f>IF(H779=0,IF(I779=0,0,1),I779/ABS(H779))</f>
        <v/>
      </c>
      <c r="K779" s="29">
        <f>H779-(Data_thang!O779-Data_thang!K779)</f>
        <v/>
      </c>
      <c r="L779">
        <f>IF(AND(ABS(I779)&gt;Dashboard!$G$6,ABS(J779)&gt;Dashboard!$H$6),"⚠ Vượt","")</f>
        <v/>
      </c>
      <c r="M779">
        <f>IF(AND(A779=Dashboard!$D$6,OR(Dashboard!$C$6="*",F779=Dashboard!$C$6),L779&lt;&gt;""),ABS(I779)+ROW()/1000000000,0)</f>
        <v/>
      </c>
    </row>
    <row r="780">
      <c r="A780">
        <f>Data_thang!A780</f>
        <v/>
      </c>
      <c r="B780">
        <f>Data_thang!B780</f>
        <v/>
      </c>
      <c r="C780">
        <f>Data_thang!D780</f>
        <v/>
      </c>
      <c r="D780">
        <f>Data_thang!E780</f>
        <v/>
      </c>
      <c r="E780">
        <f>Data_thang!F780</f>
        <v/>
      </c>
      <c r="F780">
        <f>Data_thang!G780</f>
        <v/>
      </c>
      <c r="G780" s="29">
        <f>Data_thang!J780-Data_thang!K780</f>
        <v/>
      </c>
      <c r="H780" s="29">
        <f>Data_thang!N780</f>
        <v/>
      </c>
      <c r="I780" s="29">
        <f>H780-G780</f>
        <v/>
      </c>
      <c r="J780" s="30">
        <f>IF(H780=0,IF(I780=0,0,1),I780/ABS(H780))</f>
        <v/>
      </c>
      <c r="K780" s="29">
        <f>H780-(Data_thang!O780-Data_thang!K780)</f>
        <v/>
      </c>
      <c r="L780">
        <f>IF(AND(ABS(I780)&gt;Dashboard!$G$6,ABS(J780)&gt;Dashboard!$H$6),"⚠ Vượt","")</f>
        <v/>
      </c>
      <c r="M780">
        <f>IF(AND(A780=Dashboard!$D$6,OR(Dashboard!$C$6="*",F780=Dashboard!$C$6),L780&lt;&gt;""),ABS(I780)+ROW()/1000000000,0)</f>
        <v/>
      </c>
    </row>
    <row r="781">
      <c r="A781">
        <f>Data_thang!A781</f>
        <v/>
      </c>
      <c r="B781">
        <f>Data_thang!B781</f>
        <v/>
      </c>
      <c r="C781">
        <f>Data_thang!D781</f>
        <v/>
      </c>
      <c r="D781">
        <f>Data_thang!E781</f>
        <v/>
      </c>
      <c r="E781">
        <f>Data_thang!F781</f>
        <v/>
      </c>
      <c r="F781">
        <f>Data_thang!G781</f>
        <v/>
      </c>
      <c r="G781" s="29">
        <f>Data_thang!J781-Data_thang!K781</f>
        <v/>
      </c>
      <c r="H781" s="29">
        <f>Data_thang!N781</f>
        <v/>
      </c>
      <c r="I781" s="29">
        <f>H781-G781</f>
        <v/>
      </c>
      <c r="J781" s="30">
        <f>IF(H781=0,IF(I781=0,0,1),I781/ABS(H781))</f>
        <v/>
      </c>
      <c r="K781" s="29">
        <f>H781-(Data_thang!O781-Data_thang!K781)</f>
        <v/>
      </c>
      <c r="L781">
        <f>IF(AND(ABS(I781)&gt;Dashboard!$G$6,ABS(J781)&gt;Dashboard!$H$6),"⚠ Vượt","")</f>
        <v/>
      </c>
      <c r="M781">
        <f>IF(AND(A781=Dashboard!$D$6,OR(Dashboard!$C$6="*",F781=Dashboard!$C$6),L781&lt;&gt;""),ABS(I781)+ROW()/1000000000,0)</f>
        <v/>
      </c>
    </row>
    <row r="782">
      <c r="A782">
        <f>Data_thang!A782</f>
        <v/>
      </c>
      <c r="B782">
        <f>Data_thang!B782</f>
        <v/>
      </c>
      <c r="C782">
        <f>Data_thang!D782</f>
        <v/>
      </c>
      <c r="D782">
        <f>Data_thang!E782</f>
        <v/>
      </c>
      <c r="E782">
        <f>Data_thang!F782</f>
        <v/>
      </c>
      <c r="F782">
        <f>Data_thang!G782</f>
        <v/>
      </c>
      <c r="G782" s="29">
        <f>Data_thang!J782-Data_thang!K782</f>
        <v/>
      </c>
      <c r="H782" s="29">
        <f>Data_thang!N782</f>
        <v/>
      </c>
      <c r="I782" s="29">
        <f>H782-G782</f>
        <v/>
      </c>
      <c r="J782" s="30">
        <f>IF(H782=0,IF(I782=0,0,1),I782/ABS(H782))</f>
        <v/>
      </c>
      <c r="K782" s="29">
        <f>H782-(Data_thang!O782-Data_thang!K782)</f>
        <v/>
      </c>
      <c r="L782">
        <f>IF(AND(ABS(I782)&gt;Dashboard!$G$6,ABS(J782)&gt;Dashboard!$H$6),"⚠ Vượt","")</f>
        <v/>
      </c>
      <c r="M782">
        <f>IF(AND(A782=Dashboard!$D$6,OR(Dashboard!$C$6="*",F782=Dashboard!$C$6),L782&lt;&gt;""),ABS(I782)+ROW()/1000000000,0)</f>
        <v/>
      </c>
    </row>
    <row r="783">
      <c r="A783">
        <f>Data_thang!A783</f>
        <v/>
      </c>
      <c r="B783">
        <f>Data_thang!B783</f>
        <v/>
      </c>
      <c r="C783">
        <f>Data_thang!D783</f>
        <v/>
      </c>
      <c r="D783">
        <f>Data_thang!E783</f>
        <v/>
      </c>
      <c r="E783">
        <f>Data_thang!F783</f>
        <v/>
      </c>
      <c r="F783">
        <f>Data_thang!G783</f>
        <v/>
      </c>
      <c r="G783" s="29">
        <f>Data_thang!J783-Data_thang!K783</f>
        <v/>
      </c>
      <c r="H783" s="29">
        <f>Data_thang!N783</f>
        <v/>
      </c>
      <c r="I783" s="29">
        <f>H783-G783</f>
        <v/>
      </c>
      <c r="J783" s="30">
        <f>IF(H783=0,IF(I783=0,0,1),I783/ABS(H783))</f>
        <v/>
      </c>
      <c r="K783" s="29">
        <f>H783-(Data_thang!O783-Data_thang!K783)</f>
        <v/>
      </c>
      <c r="L783">
        <f>IF(AND(ABS(I783)&gt;Dashboard!$G$6,ABS(J783)&gt;Dashboard!$H$6),"⚠ Vượt","")</f>
        <v/>
      </c>
      <c r="M783">
        <f>IF(AND(A783=Dashboard!$D$6,OR(Dashboard!$C$6="*",F783=Dashboard!$C$6),L783&lt;&gt;""),ABS(I783)+ROW()/1000000000,0)</f>
        <v/>
      </c>
    </row>
    <row r="784">
      <c r="A784">
        <f>Data_thang!A784</f>
        <v/>
      </c>
      <c r="B784">
        <f>Data_thang!B784</f>
        <v/>
      </c>
      <c r="C784">
        <f>Data_thang!D784</f>
        <v/>
      </c>
      <c r="D784">
        <f>Data_thang!E784</f>
        <v/>
      </c>
      <c r="E784">
        <f>Data_thang!F784</f>
        <v/>
      </c>
      <c r="F784">
        <f>Data_thang!G784</f>
        <v/>
      </c>
      <c r="G784" s="29">
        <f>Data_thang!J784-Data_thang!K784</f>
        <v/>
      </c>
      <c r="H784" s="29">
        <f>Data_thang!N784</f>
        <v/>
      </c>
      <c r="I784" s="29">
        <f>H784-G784</f>
        <v/>
      </c>
      <c r="J784" s="30">
        <f>IF(H784=0,IF(I784=0,0,1),I784/ABS(H784))</f>
        <v/>
      </c>
      <c r="K784" s="29">
        <f>H784-(Data_thang!O784-Data_thang!K784)</f>
        <v/>
      </c>
      <c r="L784">
        <f>IF(AND(ABS(I784)&gt;Dashboard!$G$6,ABS(J784)&gt;Dashboard!$H$6),"⚠ Vượt","")</f>
        <v/>
      </c>
      <c r="M784">
        <f>IF(AND(A784=Dashboard!$D$6,OR(Dashboard!$C$6="*",F784=Dashboard!$C$6),L784&lt;&gt;""),ABS(I784)+ROW()/1000000000,0)</f>
        <v/>
      </c>
    </row>
    <row r="785">
      <c r="A785">
        <f>Data_thang!A785</f>
        <v/>
      </c>
      <c r="B785">
        <f>Data_thang!B785</f>
        <v/>
      </c>
      <c r="C785">
        <f>Data_thang!D785</f>
        <v/>
      </c>
      <c r="D785">
        <f>Data_thang!E785</f>
        <v/>
      </c>
      <c r="E785">
        <f>Data_thang!F785</f>
        <v/>
      </c>
      <c r="F785">
        <f>Data_thang!G785</f>
        <v/>
      </c>
      <c r="G785" s="29">
        <f>Data_thang!J785-Data_thang!K785</f>
        <v/>
      </c>
      <c r="H785" s="29">
        <f>Data_thang!N785</f>
        <v/>
      </c>
      <c r="I785" s="29">
        <f>H785-G785</f>
        <v/>
      </c>
      <c r="J785" s="30">
        <f>IF(H785=0,IF(I785=0,0,1),I785/ABS(H785))</f>
        <v/>
      </c>
      <c r="K785" s="29">
        <f>H785-(Data_thang!O785-Data_thang!K785)</f>
        <v/>
      </c>
      <c r="L785">
        <f>IF(AND(ABS(I785)&gt;Dashboard!$G$6,ABS(J785)&gt;Dashboard!$H$6),"⚠ Vượt","")</f>
        <v/>
      </c>
      <c r="M785">
        <f>IF(AND(A785=Dashboard!$D$6,OR(Dashboard!$C$6="*",F785=Dashboard!$C$6),L785&lt;&gt;""),ABS(I785)+ROW()/1000000000,0)</f>
        <v/>
      </c>
    </row>
    <row r="786">
      <c r="A786">
        <f>Data_thang!A786</f>
        <v/>
      </c>
      <c r="B786">
        <f>Data_thang!B786</f>
        <v/>
      </c>
      <c r="C786">
        <f>Data_thang!D786</f>
        <v/>
      </c>
      <c r="D786">
        <f>Data_thang!E786</f>
        <v/>
      </c>
      <c r="E786">
        <f>Data_thang!F786</f>
        <v/>
      </c>
      <c r="F786">
        <f>Data_thang!G786</f>
        <v/>
      </c>
      <c r="G786" s="29">
        <f>Data_thang!J786-Data_thang!K786</f>
        <v/>
      </c>
      <c r="H786" s="29">
        <f>Data_thang!N786</f>
        <v/>
      </c>
      <c r="I786" s="29">
        <f>H786-G786</f>
        <v/>
      </c>
      <c r="J786" s="30">
        <f>IF(H786=0,IF(I786=0,0,1),I786/ABS(H786))</f>
        <v/>
      </c>
      <c r="K786" s="29">
        <f>H786-(Data_thang!O786-Data_thang!K786)</f>
        <v/>
      </c>
      <c r="L786">
        <f>IF(AND(ABS(I786)&gt;Dashboard!$G$6,ABS(J786)&gt;Dashboard!$H$6),"⚠ Vượt","")</f>
        <v/>
      </c>
      <c r="M786">
        <f>IF(AND(A786=Dashboard!$D$6,OR(Dashboard!$C$6="*",F786=Dashboard!$C$6),L786&lt;&gt;""),ABS(I786)+ROW()/1000000000,0)</f>
        <v/>
      </c>
    </row>
    <row r="787">
      <c r="A787">
        <f>Data_thang!A787</f>
        <v/>
      </c>
      <c r="B787">
        <f>Data_thang!B787</f>
        <v/>
      </c>
      <c r="C787">
        <f>Data_thang!D787</f>
        <v/>
      </c>
      <c r="D787">
        <f>Data_thang!E787</f>
        <v/>
      </c>
      <c r="E787">
        <f>Data_thang!F787</f>
        <v/>
      </c>
      <c r="F787">
        <f>Data_thang!G787</f>
        <v/>
      </c>
      <c r="G787" s="29">
        <f>Data_thang!J787-Data_thang!K787</f>
        <v/>
      </c>
      <c r="H787" s="29">
        <f>Data_thang!N787</f>
        <v/>
      </c>
      <c r="I787" s="29">
        <f>H787-G787</f>
        <v/>
      </c>
      <c r="J787" s="30">
        <f>IF(H787=0,IF(I787=0,0,1),I787/ABS(H787))</f>
        <v/>
      </c>
      <c r="K787" s="29">
        <f>H787-(Data_thang!O787-Data_thang!K787)</f>
        <v/>
      </c>
      <c r="L787">
        <f>IF(AND(ABS(I787)&gt;Dashboard!$G$6,ABS(J787)&gt;Dashboard!$H$6),"⚠ Vượt","")</f>
        <v/>
      </c>
      <c r="M787">
        <f>IF(AND(A787=Dashboard!$D$6,OR(Dashboard!$C$6="*",F787=Dashboard!$C$6),L787&lt;&gt;""),ABS(I787)+ROW()/1000000000,0)</f>
        <v/>
      </c>
    </row>
    <row r="788">
      <c r="A788">
        <f>Data_thang!A788</f>
        <v/>
      </c>
      <c r="B788">
        <f>Data_thang!B788</f>
        <v/>
      </c>
      <c r="C788">
        <f>Data_thang!D788</f>
        <v/>
      </c>
      <c r="D788">
        <f>Data_thang!E788</f>
        <v/>
      </c>
      <c r="E788">
        <f>Data_thang!F788</f>
        <v/>
      </c>
      <c r="F788">
        <f>Data_thang!G788</f>
        <v/>
      </c>
      <c r="G788" s="29">
        <f>Data_thang!J788-Data_thang!K788</f>
        <v/>
      </c>
      <c r="H788" s="29">
        <f>Data_thang!N788</f>
        <v/>
      </c>
      <c r="I788" s="29">
        <f>H788-G788</f>
        <v/>
      </c>
      <c r="J788" s="30">
        <f>IF(H788=0,IF(I788=0,0,1),I788/ABS(H788))</f>
        <v/>
      </c>
      <c r="K788" s="29">
        <f>H788-(Data_thang!O788-Data_thang!K788)</f>
        <v/>
      </c>
      <c r="L788">
        <f>IF(AND(ABS(I788)&gt;Dashboard!$G$6,ABS(J788)&gt;Dashboard!$H$6),"⚠ Vượt","")</f>
        <v/>
      </c>
      <c r="M788">
        <f>IF(AND(A788=Dashboard!$D$6,OR(Dashboard!$C$6="*",F788=Dashboard!$C$6),L788&lt;&gt;""),ABS(I788)+ROW()/1000000000,0)</f>
        <v/>
      </c>
    </row>
    <row r="789">
      <c r="A789">
        <f>Data_thang!A789</f>
        <v/>
      </c>
      <c r="B789">
        <f>Data_thang!B789</f>
        <v/>
      </c>
      <c r="C789">
        <f>Data_thang!D789</f>
        <v/>
      </c>
      <c r="D789">
        <f>Data_thang!E789</f>
        <v/>
      </c>
      <c r="E789">
        <f>Data_thang!F789</f>
        <v/>
      </c>
      <c r="F789">
        <f>Data_thang!G789</f>
        <v/>
      </c>
      <c r="G789" s="29">
        <f>Data_thang!J789-Data_thang!K789</f>
        <v/>
      </c>
      <c r="H789" s="29">
        <f>Data_thang!N789</f>
        <v/>
      </c>
      <c r="I789" s="29">
        <f>H789-G789</f>
        <v/>
      </c>
      <c r="J789" s="30">
        <f>IF(H789=0,IF(I789=0,0,1),I789/ABS(H789))</f>
        <v/>
      </c>
      <c r="K789" s="29">
        <f>H789-(Data_thang!O789-Data_thang!K789)</f>
        <v/>
      </c>
      <c r="L789">
        <f>IF(AND(ABS(I789)&gt;Dashboard!$G$6,ABS(J789)&gt;Dashboard!$H$6),"⚠ Vượt","")</f>
        <v/>
      </c>
      <c r="M789">
        <f>IF(AND(A789=Dashboard!$D$6,OR(Dashboard!$C$6="*",F789=Dashboard!$C$6),L789&lt;&gt;""),ABS(I789)+ROW()/1000000000,0)</f>
        <v/>
      </c>
    </row>
    <row r="790">
      <c r="A790">
        <f>Data_thang!A790</f>
        <v/>
      </c>
      <c r="B790">
        <f>Data_thang!B790</f>
        <v/>
      </c>
      <c r="C790">
        <f>Data_thang!D790</f>
        <v/>
      </c>
      <c r="D790">
        <f>Data_thang!E790</f>
        <v/>
      </c>
      <c r="E790">
        <f>Data_thang!F790</f>
        <v/>
      </c>
      <c r="F790">
        <f>Data_thang!G790</f>
        <v/>
      </c>
      <c r="G790" s="29">
        <f>Data_thang!J790-Data_thang!K790</f>
        <v/>
      </c>
      <c r="H790" s="29">
        <f>Data_thang!N790</f>
        <v/>
      </c>
      <c r="I790" s="29">
        <f>H790-G790</f>
        <v/>
      </c>
      <c r="J790" s="30">
        <f>IF(H790=0,IF(I790=0,0,1),I790/ABS(H790))</f>
        <v/>
      </c>
      <c r="K790" s="29">
        <f>H790-(Data_thang!O790-Data_thang!K790)</f>
        <v/>
      </c>
      <c r="L790">
        <f>IF(AND(ABS(I790)&gt;Dashboard!$G$6,ABS(J790)&gt;Dashboard!$H$6),"⚠ Vượt","")</f>
        <v/>
      </c>
      <c r="M790">
        <f>IF(AND(A790=Dashboard!$D$6,OR(Dashboard!$C$6="*",F790=Dashboard!$C$6),L790&lt;&gt;""),ABS(I790)+ROW()/1000000000,0)</f>
        <v/>
      </c>
    </row>
    <row r="791">
      <c r="A791">
        <f>Data_thang!A791</f>
        <v/>
      </c>
      <c r="B791">
        <f>Data_thang!B791</f>
        <v/>
      </c>
      <c r="C791">
        <f>Data_thang!D791</f>
        <v/>
      </c>
      <c r="D791">
        <f>Data_thang!E791</f>
        <v/>
      </c>
      <c r="E791">
        <f>Data_thang!F791</f>
        <v/>
      </c>
      <c r="F791">
        <f>Data_thang!G791</f>
        <v/>
      </c>
      <c r="G791" s="29">
        <f>Data_thang!J791-Data_thang!K791</f>
        <v/>
      </c>
      <c r="H791" s="29">
        <f>Data_thang!N791</f>
        <v/>
      </c>
      <c r="I791" s="29">
        <f>H791-G791</f>
        <v/>
      </c>
      <c r="J791" s="30">
        <f>IF(H791=0,IF(I791=0,0,1),I791/ABS(H791))</f>
        <v/>
      </c>
      <c r="K791" s="29">
        <f>H791-(Data_thang!O791-Data_thang!K791)</f>
        <v/>
      </c>
      <c r="L791">
        <f>IF(AND(ABS(I791)&gt;Dashboard!$G$6,ABS(J791)&gt;Dashboard!$H$6),"⚠ Vượt","")</f>
        <v/>
      </c>
      <c r="M791">
        <f>IF(AND(A791=Dashboard!$D$6,OR(Dashboard!$C$6="*",F791=Dashboard!$C$6),L791&lt;&gt;""),ABS(I791)+ROW()/1000000000,0)</f>
        <v/>
      </c>
    </row>
    <row r="792">
      <c r="A792">
        <f>Data_thang!A792</f>
        <v/>
      </c>
      <c r="B792">
        <f>Data_thang!B792</f>
        <v/>
      </c>
      <c r="C792">
        <f>Data_thang!D792</f>
        <v/>
      </c>
      <c r="D792">
        <f>Data_thang!E792</f>
        <v/>
      </c>
      <c r="E792">
        <f>Data_thang!F792</f>
        <v/>
      </c>
      <c r="F792">
        <f>Data_thang!G792</f>
        <v/>
      </c>
      <c r="G792" s="29">
        <f>Data_thang!J792-Data_thang!K792</f>
        <v/>
      </c>
      <c r="H792" s="29">
        <f>Data_thang!N792</f>
        <v/>
      </c>
      <c r="I792" s="29">
        <f>H792-G792</f>
        <v/>
      </c>
      <c r="J792" s="30">
        <f>IF(H792=0,IF(I792=0,0,1),I792/ABS(H792))</f>
        <v/>
      </c>
      <c r="K792" s="29">
        <f>H792-(Data_thang!O792-Data_thang!K792)</f>
        <v/>
      </c>
      <c r="L792">
        <f>IF(AND(ABS(I792)&gt;Dashboard!$G$6,ABS(J792)&gt;Dashboard!$H$6),"⚠ Vượt","")</f>
        <v/>
      </c>
      <c r="M792">
        <f>IF(AND(A792=Dashboard!$D$6,OR(Dashboard!$C$6="*",F792=Dashboard!$C$6),L792&lt;&gt;""),ABS(I792)+ROW()/1000000000,0)</f>
        <v/>
      </c>
    </row>
    <row r="793">
      <c r="A793">
        <f>Data_thang!A793</f>
        <v/>
      </c>
      <c r="B793">
        <f>Data_thang!B793</f>
        <v/>
      </c>
      <c r="C793">
        <f>Data_thang!D793</f>
        <v/>
      </c>
      <c r="D793">
        <f>Data_thang!E793</f>
        <v/>
      </c>
      <c r="E793">
        <f>Data_thang!F793</f>
        <v/>
      </c>
      <c r="F793">
        <f>Data_thang!G793</f>
        <v/>
      </c>
      <c r="G793" s="29">
        <f>Data_thang!J793-Data_thang!K793</f>
        <v/>
      </c>
      <c r="H793" s="29">
        <f>Data_thang!N793</f>
        <v/>
      </c>
      <c r="I793" s="29">
        <f>H793-G793</f>
        <v/>
      </c>
      <c r="J793" s="30">
        <f>IF(H793=0,IF(I793=0,0,1),I793/ABS(H793))</f>
        <v/>
      </c>
      <c r="K793" s="29">
        <f>H793-(Data_thang!O793-Data_thang!K793)</f>
        <v/>
      </c>
      <c r="L793">
        <f>IF(AND(ABS(I793)&gt;Dashboard!$G$6,ABS(J793)&gt;Dashboard!$H$6),"⚠ Vượt","")</f>
        <v/>
      </c>
      <c r="M793">
        <f>IF(AND(A793=Dashboard!$D$6,OR(Dashboard!$C$6="*",F793=Dashboard!$C$6),L793&lt;&gt;""),ABS(I793)+ROW()/1000000000,0)</f>
        <v/>
      </c>
    </row>
    <row r="794">
      <c r="A794">
        <f>Data_thang!A794</f>
        <v/>
      </c>
      <c r="B794">
        <f>Data_thang!B794</f>
        <v/>
      </c>
      <c r="C794">
        <f>Data_thang!D794</f>
        <v/>
      </c>
      <c r="D794">
        <f>Data_thang!E794</f>
        <v/>
      </c>
      <c r="E794">
        <f>Data_thang!F794</f>
        <v/>
      </c>
      <c r="F794">
        <f>Data_thang!G794</f>
        <v/>
      </c>
      <c r="G794" s="29">
        <f>Data_thang!J794-Data_thang!K794</f>
        <v/>
      </c>
      <c r="H794" s="29">
        <f>Data_thang!N794</f>
        <v/>
      </c>
      <c r="I794" s="29">
        <f>H794-G794</f>
        <v/>
      </c>
      <c r="J794" s="30">
        <f>IF(H794=0,IF(I794=0,0,1),I794/ABS(H794))</f>
        <v/>
      </c>
      <c r="K794" s="29">
        <f>H794-(Data_thang!O794-Data_thang!K794)</f>
        <v/>
      </c>
      <c r="L794">
        <f>IF(AND(ABS(I794)&gt;Dashboard!$G$6,ABS(J794)&gt;Dashboard!$H$6),"⚠ Vượt","")</f>
        <v/>
      </c>
      <c r="M794">
        <f>IF(AND(A794=Dashboard!$D$6,OR(Dashboard!$C$6="*",F794=Dashboard!$C$6),L794&lt;&gt;""),ABS(I794)+ROW()/1000000000,0)</f>
        <v/>
      </c>
    </row>
    <row r="795">
      <c r="A795">
        <f>Data_thang!A795</f>
        <v/>
      </c>
      <c r="B795">
        <f>Data_thang!B795</f>
        <v/>
      </c>
      <c r="C795">
        <f>Data_thang!D795</f>
        <v/>
      </c>
      <c r="D795">
        <f>Data_thang!E795</f>
        <v/>
      </c>
      <c r="E795">
        <f>Data_thang!F795</f>
        <v/>
      </c>
      <c r="F795">
        <f>Data_thang!G795</f>
        <v/>
      </c>
      <c r="G795" s="29">
        <f>Data_thang!J795-Data_thang!K795</f>
        <v/>
      </c>
      <c r="H795" s="29">
        <f>Data_thang!N795</f>
        <v/>
      </c>
      <c r="I795" s="29">
        <f>H795-G795</f>
        <v/>
      </c>
      <c r="J795" s="30">
        <f>IF(H795=0,IF(I795=0,0,1),I795/ABS(H795))</f>
        <v/>
      </c>
      <c r="K795" s="29">
        <f>H795-(Data_thang!O795-Data_thang!K795)</f>
        <v/>
      </c>
      <c r="L795">
        <f>IF(AND(ABS(I795)&gt;Dashboard!$G$6,ABS(J795)&gt;Dashboard!$H$6),"⚠ Vượt","")</f>
        <v/>
      </c>
      <c r="M795">
        <f>IF(AND(A795=Dashboard!$D$6,OR(Dashboard!$C$6="*",F795=Dashboard!$C$6),L795&lt;&gt;""),ABS(I795)+ROW()/1000000000,0)</f>
        <v/>
      </c>
    </row>
    <row r="796">
      <c r="A796">
        <f>Data_thang!A796</f>
        <v/>
      </c>
      <c r="B796">
        <f>Data_thang!B796</f>
        <v/>
      </c>
      <c r="C796">
        <f>Data_thang!D796</f>
        <v/>
      </c>
      <c r="D796">
        <f>Data_thang!E796</f>
        <v/>
      </c>
      <c r="E796">
        <f>Data_thang!F796</f>
        <v/>
      </c>
      <c r="F796">
        <f>Data_thang!G796</f>
        <v/>
      </c>
      <c r="G796" s="29">
        <f>Data_thang!J796-Data_thang!K796</f>
        <v/>
      </c>
      <c r="H796" s="29">
        <f>Data_thang!N796</f>
        <v/>
      </c>
      <c r="I796" s="29">
        <f>H796-G796</f>
        <v/>
      </c>
      <c r="J796" s="30">
        <f>IF(H796=0,IF(I796=0,0,1),I796/ABS(H796))</f>
        <v/>
      </c>
      <c r="K796" s="29">
        <f>H796-(Data_thang!O796-Data_thang!K796)</f>
        <v/>
      </c>
      <c r="L796">
        <f>IF(AND(ABS(I796)&gt;Dashboard!$G$6,ABS(J796)&gt;Dashboard!$H$6),"⚠ Vượt","")</f>
        <v/>
      </c>
      <c r="M796">
        <f>IF(AND(A796=Dashboard!$D$6,OR(Dashboard!$C$6="*",F796=Dashboard!$C$6),L796&lt;&gt;""),ABS(I796)+ROW()/1000000000,0)</f>
        <v/>
      </c>
    </row>
    <row r="797">
      <c r="A797">
        <f>Data_thang!A797</f>
        <v/>
      </c>
      <c r="B797">
        <f>Data_thang!B797</f>
        <v/>
      </c>
      <c r="C797">
        <f>Data_thang!D797</f>
        <v/>
      </c>
      <c r="D797">
        <f>Data_thang!E797</f>
        <v/>
      </c>
      <c r="E797">
        <f>Data_thang!F797</f>
        <v/>
      </c>
      <c r="F797">
        <f>Data_thang!G797</f>
        <v/>
      </c>
      <c r="G797" s="29">
        <f>Data_thang!J797-Data_thang!K797</f>
        <v/>
      </c>
      <c r="H797" s="29">
        <f>Data_thang!N797</f>
        <v/>
      </c>
      <c r="I797" s="29">
        <f>H797-G797</f>
        <v/>
      </c>
      <c r="J797" s="30">
        <f>IF(H797=0,IF(I797=0,0,1),I797/ABS(H797))</f>
        <v/>
      </c>
      <c r="K797" s="29">
        <f>H797-(Data_thang!O797-Data_thang!K797)</f>
        <v/>
      </c>
      <c r="L797">
        <f>IF(AND(ABS(I797)&gt;Dashboard!$G$6,ABS(J797)&gt;Dashboard!$H$6),"⚠ Vượt","")</f>
        <v/>
      </c>
      <c r="M797">
        <f>IF(AND(A797=Dashboard!$D$6,OR(Dashboard!$C$6="*",F797=Dashboard!$C$6),L797&lt;&gt;""),ABS(I797)+ROW()/1000000000,0)</f>
        <v/>
      </c>
    </row>
    <row r="798">
      <c r="A798">
        <f>Data_thang!A798</f>
        <v/>
      </c>
      <c r="B798">
        <f>Data_thang!B798</f>
        <v/>
      </c>
      <c r="C798">
        <f>Data_thang!D798</f>
        <v/>
      </c>
      <c r="D798">
        <f>Data_thang!E798</f>
        <v/>
      </c>
      <c r="E798">
        <f>Data_thang!F798</f>
        <v/>
      </c>
      <c r="F798">
        <f>Data_thang!G798</f>
        <v/>
      </c>
      <c r="G798" s="29">
        <f>Data_thang!J798-Data_thang!K798</f>
        <v/>
      </c>
      <c r="H798" s="29">
        <f>Data_thang!N798</f>
        <v/>
      </c>
      <c r="I798" s="29">
        <f>H798-G798</f>
        <v/>
      </c>
      <c r="J798" s="30">
        <f>IF(H798=0,IF(I798=0,0,1),I798/ABS(H798))</f>
        <v/>
      </c>
      <c r="K798" s="29">
        <f>H798-(Data_thang!O798-Data_thang!K798)</f>
        <v/>
      </c>
      <c r="L798">
        <f>IF(AND(ABS(I798)&gt;Dashboard!$G$6,ABS(J798)&gt;Dashboard!$H$6),"⚠ Vượt","")</f>
        <v/>
      </c>
      <c r="M798">
        <f>IF(AND(A798=Dashboard!$D$6,OR(Dashboard!$C$6="*",F798=Dashboard!$C$6),L798&lt;&gt;""),ABS(I798)+ROW()/1000000000,0)</f>
        <v/>
      </c>
    </row>
    <row r="799">
      <c r="A799">
        <f>Data_thang!A799</f>
        <v/>
      </c>
      <c r="B799">
        <f>Data_thang!B799</f>
        <v/>
      </c>
      <c r="C799">
        <f>Data_thang!D799</f>
        <v/>
      </c>
      <c r="D799">
        <f>Data_thang!E799</f>
        <v/>
      </c>
      <c r="E799">
        <f>Data_thang!F799</f>
        <v/>
      </c>
      <c r="F799">
        <f>Data_thang!G799</f>
        <v/>
      </c>
      <c r="G799" s="29">
        <f>Data_thang!J799-Data_thang!K799</f>
        <v/>
      </c>
      <c r="H799" s="29">
        <f>Data_thang!N799</f>
        <v/>
      </c>
      <c r="I799" s="29">
        <f>H799-G799</f>
        <v/>
      </c>
      <c r="J799" s="30">
        <f>IF(H799=0,IF(I799=0,0,1),I799/ABS(H799))</f>
        <v/>
      </c>
      <c r="K799" s="29">
        <f>H799-(Data_thang!O799-Data_thang!K799)</f>
        <v/>
      </c>
      <c r="L799">
        <f>IF(AND(ABS(I799)&gt;Dashboard!$G$6,ABS(J799)&gt;Dashboard!$H$6),"⚠ Vượt","")</f>
        <v/>
      </c>
      <c r="M799">
        <f>IF(AND(A799=Dashboard!$D$6,OR(Dashboard!$C$6="*",F799=Dashboard!$C$6),L799&lt;&gt;""),ABS(I799)+ROW()/1000000000,0)</f>
        <v/>
      </c>
    </row>
    <row r="800">
      <c r="A800">
        <f>Data_thang!A800</f>
        <v/>
      </c>
      <c r="B800">
        <f>Data_thang!B800</f>
        <v/>
      </c>
      <c r="C800">
        <f>Data_thang!D800</f>
        <v/>
      </c>
      <c r="D800">
        <f>Data_thang!E800</f>
        <v/>
      </c>
      <c r="E800">
        <f>Data_thang!F800</f>
        <v/>
      </c>
      <c r="F800">
        <f>Data_thang!G800</f>
        <v/>
      </c>
      <c r="G800" s="29">
        <f>Data_thang!J800-Data_thang!K800</f>
        <v/>
      </c>
      <c r="H800" s="29">
        <f>Data_thang!N800</f>
        <v/>
      </c>
      <c r="I800" s="29">
        <f>H800-G800</f>
        <v/>
      </c>
      <c r="J800" s="30">
        <f>IF(H800=0,IF(I800=0,0,1),I800/ABS(H800))</f>
        <v/>
      </c>
      <c r="K800" s="29">
        <f>H800-(Data_thang!O800-Data_thang!K800)</f>
        <v/>
      </c>
      <c r="L800">
        <f>IF(AND(ABS(I800)&gt;Dashboard!$G$6,ABS(J800)&gt;Dashboard!$H$6),"⚠ Vượt","")</f>
        <v/>
      </c>
      <c r="M800">
        <f>IF(AND(A800=Dashboard!$D$6,OR(Dashboard!$C$6="*",F800=Dashboard!$C$6),L800&lt;&gt;""),ABS(I800)+ROW()/1000000000,0)</f>
        <v/>
      </c>
    </row>
    <row r="801">
      <c r="A801">
        <f>Data_thang!A801</f>
        <v/>
      </c>
      <c r="B801">
        <f>Data_thang!B801</f>
        <v/>
      </c>
      <c r="C801">
        <f>Data_thang!D801</f>
        <v/>
      </c>
      <c r="D801">
        <f>Data_thang!E801</f>
        <v/>
      </c>
      <c r="E801">
        <f>Data_thang!F801</f>
        <v/>
      </c>
      <c r="F801">
        <f>Data_thang!G801</f>
        <v/>
      </c>
      <c r="G801" s="29">
        <f>Data_thang!J801-Data_thang!K801</f>
        <v/>
      </c>
      <c r="H801" s="29">
        <f>Data_thang!N801</f>
        <v/>
      </c>
      <c r="I801" s="29">
        <f>H801-G801</f>
        <v/>
      </c>
      <c r="J801" s="30">
        <f>IF(H801=0,IF(I801=0,0,1),I801/ABS(H801))</f>
        <v/>
      </c>
      <c r="K801" s="29">
        <f>H801-(Data_thang!O801-Data_thang!K801)</f>
        <v/>
      </c>
      <c r="L801">
        <f>IF(AND(ABS(I801)&gt;Dashboard!$G$6,ABS(J801)&gt;Dashboard!$H$6),"⚠ Vượt","")</f>
        <v/>
      </c>
      <c r="M801">
        <f>IF(AND(A801=Dashboard!$D$6,OR(Dashboard!$C$6="*",F801=Dashboard!$C$6),L801&lt;&gt;""),ABS(I801)+ROW()/1000000000,0)</f>
        <v/>
      </c>
    </row>
    <row r="802">
      <c r="A802">
        <f>Data_thang!A802</f>
        <v/>
      </c>
      <c r="B802">
        <f>Data_thang!B802</f>
        <v/>
      </c>
      <c r="C802">
        <f>Data_thang!D802</f>
        <v/>
      </c>
      <c r="D802">
        <f>Data_thang!E802</f>
        <v/>
      </c>
      <c r="E802">
        <f>Data_thang!F802</f>
        <v/>
      </c>
      <c r="F802">
        <f>Data_thang!G802</f>
        <v/>
      </c>
      <c r="G802" s="29">
        <f>Data_thang!J802-Data_thang!K802</f>
        <v/>
      </c>
      <c r="H802" s="29">
        <f>Data_thang!N802</f>
        <v/>
      </c>
      <c r="I802" s="29">
        <f>H802-G802</f>
        <v/>
      </c>
      <c r="J802" s="30">
        <f>IF(H802=0,IF(I802=0,0,1),I802/ABS(H802))</f>
        <v/>
      </c>
      <c r="K802" s="29">
        <f>H802-(Data_thang!O802-Data_thang!K802)</f>
        <v/>
      </c>
      <c r="L802">
        <f>IF(AND(ABS(I802)&gt;Dashboard!$G$6,ABS(J802)&gt;Dashboard!$H$6),"⚠ Vượt","")</f>
        <v/>
      </c>
      <c r="M802">
        <f>IF(AND(A802=Dashboard!$D$6,OR(Dashboard!$C$6="*",F802=Dashboard!$C$6),L802&lt;&gt;""),ABS(I802)+ROW()/1000000000,0)</f>
        <v/>
      </c>
    </row>
    <row r="803">
      <c r="A803">
        <f>Data_thang!A803</f>
        <v/>
      </c>
      <c r="B803">
        <f>Data_thang!B803</f>
        <v/>
      </c>
      <c r="C803">
        <f>Data_thang!D803</f>
        <v/>
      </c>
      <c r="D803">
        <f>Data_thang!E803</f>
        <v/>
      </c>
      <c r="E803">
        <f>Data_thang!F803</f>
        <v/>
      </c>
      <c r="F803">
        <f>Data_thang!G803</f>
        <v/>
      </c>
      <c r="G803" s="29">
        <f>Data_thang!J803-Data_thang!K803</f>
        <v/>
      </c>
      <c r="H803" s="29">
        <f>Data_thang!N803</f>
        <v/>
      </c>
      <c r="I803" s="29">
        <f>H803-G803</f>
        <v/>
      </c>
      <c r="J803" s="30">
        <f>IF(H803=0,IF(I803=0,0,1),I803/ABS(H803))</f>
        <v/>
      </c>
      <c r="K803" s="29">
        <f>H803-(Data_thang!O803-Data_thang!K803)</f>
        <v/>
      </c>
      <c r="L803">
        <f>IF(AND(ABS(I803)&gt;Dashboard!$G$6,ABS(J803)&gt;Dashboard!$H$6),"⚠ Vượt","")</f>
        <v/>
      </c>
      <c r="M803">
        <f>IF(AND(A803=Dashboard!$D$6,OR(Dashboard!$C$6="*",F803=Dashboard!$C$6),L803&lt;&gt;""),ABS(I803)+ROW()/1000000000,0)</f>
        <v/>
      </c>
    </row>
    <row r="804">
      <c r="A804">
        <f>Data_thang!A804</f>
        <v/>
      </c>
      <c r="B804">
        <f>Data_thang!B804</f>
        <v/>
      </c>
      <c r="C804">
        <f>Data_thang!D804</f>
        <v/>
      </c>
      <c r="D804">
        <f>Data_thang!E804</f>
        <v/>
      </c>
      <c r="E804">
        <f>Data_thang!F804</f>
        <v/>
      </c>
      <c r="F804">
        <f>Data_thang!G804</f>
        <v/>
      </c>
      <c r="G804" s="29">
        <f>Data_thang!J804-Data_thang!K804</f>
        <v/>
      </c>
      <c r="H804" s="29">
        <f>Data_thang!N804</f>
        <v/>
      </c>
      <c r="I804" s="29">
        <f>H804-G804</f>
        <v/>
      </c>
      <c r="J804" s="30">
        <f>IF(H804=0,IF(I804=0,0,1),I804/ABS(H804))</f>
        <v/>
      </c>
      <c r="K804" s="29">
        <f>H804-(Data_thang!O804-Data_thang!K804)</f>
        <v/>
      </c>
      <c r="L804">
        <f>IF(AND(ABS(I804)&gt;Dashboard!$G$6,ABS(J804)&gt;Dashboard!$H$6),"⚠ Vượt","")</f>
        <v/>
      </c>
      <c r="M804">
        <f>IF(AND(A804=Dashboard!$D$6,OR(Dashboard!$C$6="*",F804=Dashboard!$C$6),L804&lt;&gt;""),ABS(I804)+ROW()/1000000000,0)</f>
        <v/>
      </c>
    </row>
    <row r="805">
      <c r="A805">
        <f>Data_thang!A805</f>
        <v/>
      </c>
      <c r="B805">
        <f>Data_thang!B805</f>
        <v/>
      </c>
      <c r="C805">
        <f>Data_thang!D805</f>
        <v/>
      </c>
      <c r="D805">
        <f>Data_thang!E805</f>
        <v/>
      </c>
      <c r="E805">
        <f>Data_thang!F805</f>
        <v/>
      </c>
      <c r="F805">
        <f>Data_thang!G805</f>
        <v/>
      </c>
      <c r="G805" s="29">
        <f>Data_thang!J805-Data_thang!K805</f>
        <v/>
      </c>
      <c r="H805" s="29">
        <f>Data_thang!N805</f>
        <v/>
      </c>
      <c r="I805" s="29">
        <f>H805-G805</f>
        <v/>
      </c>
      <c r="J805" s="30">
        <f>IF(H805=0,IF(I805=0,0,1),I805/ABS(H805))</f>
        <v/>
      </c>
      <c r="K805" s="29">
        <f>H805-(Data_thang!O805-Data_thang!K805)</f>
        <v/>
      </c>
      <c r="L805">
        <f>IF(AND(ABS(I805)&gt;Dashboard!$G$6,ABS(J805)&gt;Dashboard!$H$6),"⚠ Vượt","")</f>
        <v/>
      </c>
      <c r="M805">
        <f>IF(AND(A805=Dashboard!$D$6,OR(Dashboard!$C$6="*",F805=Dashboard!$C$6),L805&lt;&gt;""),ABS(I805)+ROW()/1000000000,0)</f>
        <v/>
      </c>
    </row>
    <row r="806">
      <c r="A806">
        <f>Data_thang!A806</f>
        <v/>
      </c>
      <c r="B806">
        <f>Data_thang!B806</f>
        <v/>
      </c>
      <c r="C806">
        <f>Data_thang!D806</f>
        <v/>
      </c>
      <c r="D806">
        <f>Data_thang!E806</f>
        <v/>
      </c>
      <c r="E806">
        <f>Data_thang!F806</f>
        <v/>
      </c>
      <c r="F806">
        <f>Data_thang!G806</f>
        <v/>
      </c>
      <c r="G806" s="29">
        <f>Data_thang!J806-Data_thang!K806</f>
        <v/>
      </c>
      <c r="H806" s="29">
        <f>Data_thang!N806</f>
        <v/>
      </c>
      <c r="I806" s="29">
        <f>H806-G806</f>
        <v/>
      </c>
      <c r="J806" s="30">
        <f>IF(H806=0,IF(I806=0,0,1),I806/ABS(H806))</f>
        <v/>
      </c>
      <c r="K806" s="29">
        <f>H806-(Data_thang!O806-Data_thang!K806)</f>
        <v/>
      </c>
      <c r="L806">
        <f>IF(AND(ABS(I806)&gt;Dashboard!$G$6,ABS(J806)&gt;Dashboard!$H$6),"⚠ Vượt","")</f>
        <v/>
      </c>
      <c r="M806">
        <f>IF(AND(A806=Dashboard!$D$6,OR(Dashboard!$C$6="*",F806=Dashboard!$C$6),L806&lt;&gt;""),ABS(I806)+ROW()/1000000000,0)</f>
        <v/>
      </c>
    </row>
    <row r="807">
      <c r="A807">
        <f>Data_thang!A807</f>
        <v/>
      </c>
      <c r="B807">
        <f>Data_thang!B807</f>
        <v/>
      </c>
      <c r="C807">
        <f>Data_thang!D807</f>
        <v/>
      </c>
      <c r="D807">
        <f>Data_thang!E807</f>
        <v/>
      </c>
      <c r="E807">
        <f>Data_thang!F807</f>
        <v/>
      </c>
      <c r="F807">
        <f>Data_thang!G807</f>
        <v/>
      </c>
      <c r="G807" s="29">
        <f>Data_thang!J807-Data_thang!K807</f>
        <v/>
      </c>
      <c r="H807" s="29">
        <f>Data_thang!N807</f>
        <v/>
      </c>
      <c r="I807" s="29">
        <f>H807-G807</f>
        <v/>
      </c>
      <c r="J807" s="30">
        <f>IF(H807=0,IF(I807=0,0,1),I807/ABS(H807))</f>
        <v/>
      </c>
      <c r="K807" s="29">
        <f>H807-(Data_thang!O807-Data_thang!K807)</f>
        <v/>
      </c>
      <c r="L807">
        <f>IF(AND(ABS(I807)&gt;Dashboard!$G$6,ABS(J807)&gt;Dashboard!$H$6),"⚠ Vượt","")</f>
        <v/>
      </c>
      <c r="M807">
        <f>IF(AND(A807=Dashboard!$D$6,OR(Dashboard!$C$6="*",F807=Dashboard!$C$6),L807&lt;&gt;""),ABS(I807)+ROW()/1000000000,0)</f>
        <v/>
      </c>
    </row>
    <row r="808">
      <c r="A808">
        <f>Data_thang!A808</f>
        <v/>
      </c>
      <c r="B808">
        <f>Data_thang!B808</f>
        <v/>
      </c>
      <c r="C808">
        <f>Data_thang!D808</f>
        <v/>
      </c>
      <c r="D808">
        <f>Data_thang!E808</f>
        <v/>
      </c>
      <c r="E808">
        <f>Data_thang!F808</f>
        <v/>
      </c>
      <c r="F808">
        <f>Data_thang!G808</f>
        <v/>
      </c>
      <c r="G808" s="29">
        <f>Data_thang!J808-Data_thang!K808</f>
        <v/>
      </c>
      <c r="H808" s="29">
        <f>Data_thang!N808</f>
        <v/>
      </c>
      <c r="I808" s="29">
        <f>H808-G808</f>
        <v/>
      </c>
      <c r="J808" s="30">
        <f>IF(H808=0,IF(I808=0,0,1),I808/ABS(H808))</f>
        <v/>
      </c>
      <c r="K808" s="29">
        <f>H808-(Data_thang!O808-Data_thang!K808)</f>
        <v/>
      </c>
      <c r="L808">
        <f>IF(AND(ABS(I808)&gt;Dashboard!$G$6,ABS(J808)&gt;Dashboard!$H$6),"⚠ Vượt","")</f>
        <v/>
      </c>
      <c r="M808">
        <f>IF(AND(A808=Dashboard!$D$6,OR(Dashboard!$C$6="*",F808=Dashboard!$C$6),L808&lt;&gt;""),ABS(I808)+ROW()/1000000000,0)</f>
        <v/>
      </c>
    </row>
    <row r="809">
      <c r="A809">
        <f>Data_thang!A809</f>
        <v/>
      </c>
      <c r="B809">
        <f>Data_thang!B809</f>
        <v/>
      </c>
      <c r="C809">
        <f>Data_thang!D809</f>
        <v/>
      </c>
      <c r="D809">
        <f>Data_thang!E809</f>
        <v/>
      </c>
      <c r="E809">
        <f>Data_thang!F809</f>
        <v/>
      </c>
      <c r="F809">
        <f>Data_thang!G809</f>
        <v/>
      </c>
      <c r="G809" s="29">
        <f>Data_thang!J809-Data_thang!K809</f>
        <v/>
      </c>
      <c r="H809" s="29">
        <f>Data_thang!N809</f>
        <v/>
      </c>
      <c r="I809" s="29">
        <f>H809-G809</f>
        <v/>
      </c>
      <c r="J809" s="30">
        <f>IF(H809=0,IF(I809=0,0,1),I809/ABS(H809))</f>
        <v/>
      </c>
      <c r="K809" s="29">
        <f>H809-(Data_thang!O809-Data_thang!K809)</f>
        <v/>
      </c>
      <c r="L809">
        <f>IF(AND(ABS(I809)&gt;Dashboard!$G$6,ABS(J809)&gt;Dashboard!$H$6),"⚠ Vượt","")</f>
        <v/>
      </c>
      <c r="M809">
        <f>IF(AND(A809=Dashboard!$D$6,OR(Dashboard!$C$6="*",F809=Dashboard!$C$6),L809&lt;&gt;""),ABS(I809)+ROW()/1000000000,0)</f>
        <v/>
      </c>
    </row>
    <row r="810">
      <c r="A810">
        <f>Data_thang!A810</f>
        <v/>
      </c>
      <c r="B810">
        <f>Data_thang!B810</f>
        <v/>
      </c>
      <c r="C810">
        <f>Data_thang!D810</f>
        <v/>
      </c>
      <c r="D810">
        <f>Data_thang!E810</f>
        <v/>
      </c>
      <c r="E810">
        <f>Data_thang!F810</f>
        <v/>
      </c>
      <c r="F810">
        <f>Data_thang!G810</f>
        <v/>
      </c>
      <c r="G810" s="29">
        <f>Data_thang!J810-Data_thang!K810</f>
        <v/>
      </c>
      <c r="H810" s="29">
        <f>Data_thang!N810</f>
        <v/>
      </c>
      <c r="I810" s="29">
        <f>H810-G810</f>
        <v/>
      </c>
      <c r="J810" s="30">
        <f>IF(H810=0,IF(I810=0,0,1),I810/ABS(H810))</f>
        <v/>
      </c>
      <c r="K810" s="29">
        <f>H810-(Data_thang!O810-Data_thang!K810)</f>
        <v/>
      </c>
      <c r="L810">
        <f>IF(AND(ABS(I810)&gt;Dashboard!$G$6,ABS(J810)&gt;Dashboard!$H$6),"⚠ Vượt","")</f>
        <v/>
      </c>
      <c r="M810">
        <f>IF(AND(A810=Dashboard!$D$6,OR(Dashboard!$C$6="*",F810=Dashboard!$C$6),L810&lt;&gt;""),ABS(I810)+ROW()/1000000000,0)</f>
        <v/>
      </c>
    </row>
    <row r="811">
      <c r="A811">
        <f>Data_thang!A811</f>
        <v/>
      </c>
      <c r="B811">
        <f>Data_thang!B811</f>
        <v/>
      </c>
      <c r="C811">
        <f>Data_thang!D811</f>
        <v/>
      </c>
      <c r="D811">
        <f>Data_thang!E811</f>
        <v/>
      </c>
      <c r="E811">
        <f>Data_thang!F811</f>
        <v/>
      </c>
      <c r="F811">
        <f>Data_thang!G811</f>
        <v/>
      </c>
      <c r="G811" s="29">
        <f>Data_thang!J811-Data_thang!K811</f>
        <v/>
      </c>
      <c r="H811" s="29">
        <f>Data_thang!N811</f>
        <v/>
      </c>
      <c r="I811" s="29">
        <f>H811-G811</f>
        <v/>
      </c>
      <c r="J811" s="30">
        <f>IF(H811=0,IF(I811=0,0,1),I811/ABS(H811))</f>
        <v/>
      </c>
      <c r="K811" s="29">
        <f>H811-(Data_thang!O811-Data_thang!K811)</f>
        <v/>
      </c>
      <c r="L811">
        <f>IF(AND(ABS(I811)&gt;Dashboard!$G$6,ABS(J811)&gt;Dashboard!$H$6),"⚠ Vượt","")</f>
        <v/>
      </c>
      <c r="M811">
        <f>IF(AND(A811=Dashboard!$D$6,OR(Dashboard!$C$6="*",F811=Dashboard!$C$6),L811&lt;&gt;""),ABS(I811)+ROW()/1000000000,0)</f>
        <v/>
      </c>
    </row>
    <row r="812">
      <c r="A812">
        <f>Data_thang!A812</f>
        <v/>
      </c>
      <c r="B812">
        <f>Data_thang!B812</f>
        <v/>
      </c>
      <c r="C812">
        <f>Data_thang!D812</f>
        <v/>
      </c>
      <c r="D812">
        <f>Data_thang!E812</f>
        <v/>
      </c>
      <c r="E812">
        <f>Data_thang!F812</f>
        <v/>
      </c>
      <c r="F812">
        <f>Data_thang!G812</f>
        <v/>
      </c>
      <c r="G812" s="29">
        <f>Data_thang!J812-Data_thang!K812</f>
        <v/>
      </c>
      <c r="H812" s="29">
        <f>Data_thang!N812</f>
        <v/>
      </c>
      <c r="I812" s="29">
        <f>H812-G812</f>
        <v/>
      </c>
      <c r="J812" s="30">
        <f>IF(H812=0,IF(I812=0,0,1),I812/ABS(H812))</f>
        <v/>
      </c>
      <c r="K812" s="29">
        <f>H812-(Data_thang!O812-Data_thang!K812)</f>
        <v/>
      </c>
      <c r="L812">
        <f>IF(AND(ABS(I812)&gt;Dashboard!$G$6,ABS(J812)&gt;Dashboard!$H$6),"⚠ Vượt","")</f>
        <v/>
      </c>
      <c r="M812">
        <f>IF(AND(A812=Dashboard!$D$6,OR(Dashboard!$C$6="*",F812=Dashboard!$C$6),L812&lt;&gt;""),ABS(I812)+ROW()/1000000000,0)</f>
        <v/>
      </c>
    </row>
    <row r="813">
      <c r="A813">
        <f>Data_thang!A813</f>
        <v/>
      </c>
      <c r="B813">
        <f>Data_thang!B813</f>
        <v/>
      </c>
      <c r="C813">
        <f>Data_thang!D813</f>
        <v/>
      </c>
      <c r="D813">
        <f>Data_thang!E813</f>
        <v/>
      </c>
      <c r="E813">
        <f>Data_thang!F813</f>
        <v/>
      </c>
      <c r="F813">
        <f>Data_thang!G813</f>
        <v/>
      </c>
      <c r="G813" s="29">
        <f>Data_thang!J813-Data_thang!K813</f>
        <v/>
      </c>
      <c r="H813" s="29">
        <f>Data_thang!N813</f>
        <v/>
      </c>
      <c r="I813" s="29">
        <f>H813-G813</f>
        <v/>
      </c>
      <c r="J813" s="30">
        <f>IF(H813=0,IF(I813=0,0,1),I813/ABS(H813))</f>
        <v/>
      </c>
      <c r="K813" s="29">
        <f>H813-(Data_thang!O813-Data_thang!K813)</f>
        <v/>
      </c>
      <c r="L813">
        <f>IF(AND(ABS(I813)&gt;Dashboard!$G$6,ABS(J813)&gt;Dashboard!$H$6),"⚠ Vượt","")</f>
        <v/>
      </c>
      <c r="M813">
        <f>IF(AND(A813=Dashboard!$D$6,OR(Dashboard!$C$6="*",F813=Dashboard!$C$6),L813&lt;&gt;""),ABS(I813)+ROW()/1000000000,0)</f>
        <v/>
      </c>
    </row>
    <row r="814">
      <c r="A814">
        <f>Data_thang!A814</f>
        <v/>
      </c>
      <c r="B814">
        <f>Data_thang!B814</f>
        <v/>
      </c>
      <c r="C814">
        <f>Data_thang!D814</f>
        <v/>
      </c>
      <c r="D814">
        <f>Data_thang!E814</f>
        <v/>
      </c>
      <c r="E814">
        <f>Data_thang!F814</f>
        <v/>
      </c>
      <c r="F814">
        <f>Data_thang!G814</f>
        <v/>
      </c>
      <c r="G814" s="29">
        <f>Data_thang!J814-Data_thang!K814</f>
        <v/>
      </c>
      <c r="H814" s="29">
        <f>Data_thang!N814</f>
        <v/>
      </c>
      <c r="I814" s="29">
        <f>H814-G814</f>
        <v/>
      </c>
      <c r="J814" s="30">
        <f>IF(H814=0,IF(I814=0,0,1),I814/ABS(H814))</f>
        <v/>
      </c>
      <c r="K814" s="29">
        <f>H814-(Data_thang!O814-Data_thang!K814)</f>
        <v/>
      </c>
      <c r="L814">
        <f>IF(AND(ABS(I814)&gt;Dashboard!$G$6,ABS(J814)&gt;Dashboard!$H$6),"⚠ Vượt","")</f>
        <v/>
      </c>
      <c r="M814">
        <f>IF(AND(A814=Dashboard!$D$6,OR(Dashboard!$C$6="*",F814=Dashboard!$C$6),L814&lt;&gt;""),ABS(I814)+ROW()/1000000000,0)</f>
        <v/>
      </c>
    </row>
    <row r="815">
      <c r="A815">
        <f>Data_thang!A815</f>
        <v/>
      </c>
      <c r="B815">
        <f>Data_thang!B815</f>
        <v/>
      </c>
      <c r="C815">
        <f>Data_thang!D815</f>
        <v/>
      </c>
      <c r="D815">
        <f>Data_thang!E815</f>
        <v/>
      </c>
      <c r="E815">
        <f>Data_thang!F815</f>
        <v/>
      </c>
      <c r="F815">
        <f>Data_thang!G815</f>
        <v/>
      </c>
      <c r="G815" s="29">
        <f>Data_thang!J815-Data_thang!K815</f>
        <v/>
      </c>
      <c r="H815" s="29">
        <f>Data_thang!N815</f>
        <v/>
      </c>
      <c r="I815" s="29">
        <f>H815-G815</f>
        <v/>
      </c>
      <c r="J815" s="30">
        <f>IF(H815=0,IF(I815=0,0,1),I815/ABS(H815))</f>
        <v/>
      </c>
      <c r="K815" s="29">
        <f>H815-(Data_thang!O815-Data_thang!K815)</f>
        <v/>
      </c>
      <c r="L815">
        <f>IF(AND(ABS(I815)&gt;Dashboard!$G$6,ABS(J815)&gt;Dashboard!$H$6),"⚠ Vượt","")</f>
        <v/>
      </c>
      <c r="M815">
        <f>IF(AND(A815=Dashboard!$D$6,OR(Dashboard!$C$6="*",F815=Dashboard!$C$6),L815&lt;&gt;""),ABS(I815)+ROW()/1000000000,0)</f>
        <v/>
      </c>
    </row>
    <row r="816">
      <c r="A816">
        <f>Data_thang!A816</f>
        <v/>
      </c>
      <c r="B816">
        <f>Data_thang!B816</f>
        <v/>
      </c>
      <c r="C816">
        <f>Data_thang!D816</f>
        <v/>
      </c>
      <c r="D816">
        <f>Data_thang!E816</f>
        <v/>
      </c>
      <c r="E816">
        <f>Data_thang!F816</f>
        <v/>
      </c>
      <c r="F816">
        <f>Data_thang!G816</f>
        <v/>
      </c>
      <c r="G816" s="29">
        <f>Data_thang!J816-Data_thang!K816</f>
        <v/>
      </c>
      <c r="H816" s="29">
        <f>Data_thang!N816</f>
        <v/>
      </c>
      <c r="I816" s="29">
        <f>H816-G816</f>
        <v/>
      </c>
      <c r="J816" s="30">
        <f>IF(H816=0,IF(I816=0,0,1),I816/ABS(H816))</f>
        <v/>
      </c>
      <c r="K816" s="29">
        <f>H816-(Data_thang!O816-Data_thang!K816)</f>
        <v/>
      </c>
      <c r="L816">
        <f>IF(AND(ABS(I816)&gt;Dashboard!$G$6,ABS(J816)&gt;Dashboard!$H$6),"⚠ Vượt","")</f>
        <v/>
      </c>
      <c r="M816">
        <f>IF(AND(A816=Dashboard!$D$6,OR(Dashboard!$C$6="*",F816=Dashboard!$C$6),L816&lt;&gt;""),ABS(I816)+ROW()/1000000000,0)</f>
        <v/>
      </c>
    </row>
    <row r="817">
      <c r="A817">
        <f>Data_thang!A817</f>
        <v/>
      </c>
      <c r="B817">
        <f>Data_thang!B817</f>
        <v/>
      </c>
      <c r="C817">
        <f>Data_thang!D817</f>
        <v/>
      </c>
      <c r="D817">
        <f>Data_thang!E817</f>
        <v/>
      </c>
      <c r="E817">
        <f>Data_thang!F817</f>
        <v/>
      </c>
      <c r="F817">
        <f>Data_thang!G817</f>
        <v/>
      </c>
      <c r="G817" s="29">
        <f>Data_thang!J817-Data_thang!K817</f>
        <v/>
      </c>
      <c r="H817" s="29">
        <f>Data_thang!N817</f>
        <v/>
      </c>
      <c r="I817" s="29">
        <f>H817-G817</f>
        <v/>
      </c>
      <c r="J817" s="30">
        <f>IF(H817=0,IF(I817=0,0,1),I817/ABS(H817))</f>
        <v/>
      </c>
      <c r="K817" s="29">
        <f>H817-(Data_thang!O817-Data_thang!K817)</f>
        <v/>
      </c>
      <c r="L817">
        <f>IF(AND(ABS(I817)&gt;Dashboard!$G$6,ABS(J817)&gt;Dashboard!$H$6),"⚠ Vượt","")</f>
        <v/>
      </c>
      <c r="M817">
        <f>IF(AND(A817=Dashboard!$D$6,OR(Dashboard!$C$6="*",F817=Dashboard!$C$6),L817&lt;&gt;""),ABS(I817)+ROW()/1000000000,0)</f>
        <v/>
      </c>
    </row>
    <row r="818">
      <c r="A818">
        <f>Data_thang!A818</f>
        <v/>
      </c>
      <c r="B818">
        <f>Data_thang!B818</f>
        <v/>
      </c>
      <c r="C818">
        <f>Data_thang!D818</f>
        <v/>
      </c>
      <c r="D818">
        <f>Data_thang!E818</f>
        <v/>
      </c>
      <c r="E818">
        <f>Data_thang!F818</f>
        <v/>
      </c>
      <c r="F818">
        <f>Data_thang!G818</f>
        <v/>
      </c>
      <c r="G818" s="29">
        <f>Data_thang!J818-Data_thang!K818</f>
        <v/>
      </c>
      <c r="H818" s="29">
        <f>Data_thang!N818</f>
        <v/>
      </c>
      <c r="I818" s="29">
        <f>H818-G818</f>
        <v/>
      </c>
      <c r="J818" s="30">
        <f>IF(H818=0,IF(I818=0,0,1),I818/ABS(H818))</f>
        <v/>
      </c>
      <c r="K818" s="29">
        <f>H818-(Data_thang!O818-Data_thang!K818)</f>
        <v/>
      </c>
      <c r="L818">
        <f>IF(AND(ABS(I818)&gt;Dashboard!$G$6,ABS(J818)&gt;Dashboard!$H$6),"⚠ Vượt","")</f>
        <v/>
      </c>
      <c r="M818">
        <f>IF(AND(A818=Dashboard!$D$6,OR(Dashboard!$C$6="*",F818=Dashboard!$C$6),L818&lt;&gt;""),ABS(I818)+ROW()/1000000000,0)</f>
        <v/>
      </c>
    </row>
    <row r="819">
      <c r="A819">
        <f>Data_thang!A819</f>
        <v/>
      </c>
      <c r="B819">
        <f>Data_thang!B819</f>
        <v/>
      </c>
      <c r="C819">
        <f>Data_thang!D819</f>
        <v/>
      </c>
      <c r="D819">
        <f>Data_thang!E819</f>
        <v/>
      </c>
      <c r="E819">
        <f>Data_thang!F819</f>
        <v/>
      </c>
      <c r="F819">
        <f>Data_thang!G819</f>
        <v/>
      </c>
      <c r="G819" s="29">
        <f>Data_thang!J819-Data_thang!K819</f>
        <v/>
      </c>
      <c r="H819" s="29">
        <f>Data_thang!N819</f>
        <v/>
      </c>
      <c r="I819" s="29">
        <f>H819-G819</f>
        <v/>
      </c>
      <c r="J819" s="30">
        <f>IF(H819=0,IF(I819=0,0,1),I819/ABS(H819))</f>
        <v/>
      </c>
      <c r="K819" s="29">
        <f>H819-(Data_thang!O819-Data_thang!K819)</f>
        <v/>
      </c>
      <c r="L819">
        <f>IF(AND(ABS(I819)&gt;Dashboard!$G$6,ABS(J819)&gt;Dashboard!$H$6),"⚠ Vượt","")</f>
        <v/>
      </c>
      <c r="M819">
        <f>IF(AND(A819=Dashboard!$D$6,OR(Dashboard!$C$6="*",F819=Dashboard!$C$6),L819&lt;&gt;""),ABS(I819)+ROW()/1000000000,0)</f>
        <v/>
      </c>
    </row>
    <row r="820">
      <c r="A820">
        <f>Data_thang!A820</f>
        <v/>
      </c>
      <c r="B820">
        <f>Data_thang!B820</f>
        <v/>
      </c>
      <c r="C820">
        <f>Data_thang!D820</f>
        <v/>
      </c>
      <c r="D820">
        <f>Data_thang!E820</f>
        <v/>
      </c>
      <c r="E820">
        <f>Data_thang!F820</f>
        <v/>
      </c>
      <c r="F820">
        <f>Data_thang!G820</f>
        <v/>
      </c>
      <c r="G820" s="29">
        <f>Data_thang!J820-Data_thang!K820</f>
        <v/>
      </c>
      <c r="H820" s="29">
        <f>Data_thang!N820</f>
        <v/>
      </c>
      <c r="I820" s="29">
        <f>H820-G820</f>
        <v/>
      </c>
      <c r="J820" s="30">
        <f>IF(H820=0,IF(I820=0,0,1),I820/ABS(H820))</f>
        <v/>
      </c>
      <c r="K820" s="29">
        <f>H820-(Data_thang!O820-Data_thang!K820)</f>
        <v/>
      </c>
      <c r="L820">
        <f>IF(AND(ABS(I820)&gt;Dashboard!$G$6,ABS(J820)&gt;Dashboard!$H$6),"⚠ Vượt","")</f>
        <v/>
      </c>
      <c r="M820">
        <f>IF(AND(A820=Dashboard!$D$6,OR(Dashboard!$C$6="*",F820=Dashboard!$C$6),L820&lt;&gt;""),ABS(I820)+ROW()/1000000000,0)</f>
        <v/>
      </c>
    </row>
    <row r="821">
      <c r="A821">
        <f>Data_thang!A821</f>
        <v/>
      </c>
      <c r="B821">
        <f>Data_thang!B821</f>
        <v/>
      </c>
      <c r="C821">
        <f>Data_thang!D821</f>
        <v/>
      </c>
      <c r="D821">
        <f>Data_thang!E821</f>
        <v/>
      </c>
      <c r="E821">
        <f>Data_thang!F821</f>
        <v/>
      </c>
      <c r="F821">
        <f>Data_thang!G821</f>
        <v/>
      </c>
      <c r="G821" s="29">
        <f>Data_thang!J821-Data_thang!K821</f>
        <v/>
      </c>
      <c r="H821" s="29">
        <f>Data_thang!N821</f>
        <v/>
      </c>
      <c r="I821" s="29">
        <f>H821-G821</f>
        <v/>
      </c>
      <c r="J821" s="30">
        <f>IF(H821=0,IF(I821=0,0,1),I821/ABS(H821))</f>
        <v/>
      </c>
      <c r="K821" s="29">
        <f>H821-(Data_thang!O821-Data_thang!K821)</f>
        <v/>
      </c>
      <c r="L821">
        <f>IF(AND(ABS(I821)&gt;Dashboard!$G$6,ABS(J821)&gt;Dashboard!$H$6),"⚠ Vượt","")</f>
        <v/>
      </c>
      <c r="M821">
        <f>IF(AND(A821=Dashboard!$D$6,OR(Dashboard!$C$6="*",F821=Dashboard!$C$6),L821&lt;&gt;""),ABS(I821)+ROW()/1000000000,0)</f>
        <v/>
      </c>
    </row>
    <row r="822">
      <c r="A822">
        <f>Data_thang!A822</f>
        <v/>
      </c>
      <c r="B822">
        <f>Data_thang!B822</f>
        <v/>
      </c>
      <c r="C822">
        <f>Data_thang!D822</f>
        <v/>
      </c>
      <c r="D822">
        <f>Data_thang!E822</f>
        <v/>
      </c>
      <c r="E822">
        <f>Data_thang!F822</f>
        <v/>
      </c>
      <c r="F822">
        <f>Data_thang!G822</f>
        <v/>
      </c>
      <c r="G822" s="29">
        <f>Data_thang!J822-Data_thang!K822</f>
        <v/>
      </c>
      <c r="H822" s="29">
        <f>Data_thang!N822</f>
        <v/>
      </c>
      <c r="I822" s="29">
        <f>H822-G822</f>
        <v/>
      </c>
      <c r="J822" s="30">
        <f>IF(H822=0,IF(I822=0,0,1),I822/ABS(H822))</f>
        <v/>
      </c>
      <c r="K822" s="29">
        <f>H822-(Data_thang!O822-Data_thang!K822)</f>
        <v/>
      </c>
      <c r="L822">
        <f>IF(AND(ABS(I822)&gt;Dashboard!$G$6,ABS(J822)&gt;Dashboard!$H$6),"⚠ Vượt","")</f>
        <v/>
      </c>
      <c r="M822">
        <f>IF(AND(A822=Dashboard!$D$6,OR(Dashboard!$C$6="*",F822=Dashboard!$C$6),L822&lt;&gt;""),ABS(I822)+ROW()/1000000000,0)</f>
        <v/>
      </c>
    </row>
    <row r="823">
      <c r="A823">
        <f>Data_thang!A823</f>
        <v/>
      </c>
      <c r="B823">
        <f>Data_thang!B823</f>
        <v/>
      </c>
      <c r="C823">
        <f>Data_thang!D823</f>
        <v/>
      </c>
      <c r="D823">
        <f>Data_thang!E823</f>
        <v/>
      </c>
      <c r="E823">
        <f>Data_thang!F823</f>
        <v/>
      </c>
      <c r="F823">
        <f>Data_thang!G823</f>
        <v/>
      </c>
      <c r="G823" s="29">
        <f>Data_thang!J823-Data_thang!K823</f>
        <v/>
      </c>
      <c r="H823" s="29">
        <f>Data_thang!N823</f>
        <v/>
      </c>
      <c r="I823" s="29">
        <f>H823-G823</f>
        <v/>
      </c>
      <c r="J823" s="30">
        <f>IF(H823=0,IF(I823=0,0,1),I823/ABS(H823))</f>
        <v/>
      </c>
      <c r="K823" s="29">
        <f>H823-(Data_thang!O823-Data_thang!K823)</f>
        <v/>
      </c>
      <c r="L823">
        <f>IF(AND(ABS(I823)&gt;Dashboard!$G$6,ABS(J823)&gt;Dashboard!$H$6),"⚠ Vượt","")</f>
        <v/>
      </c>
      <c r="M823">
        <f>IF(AND(A823=Dashboard!$D$6,OR(Dashboard!$C$6="*",F823=Dashboard!$C$6),L823&lt;&gt;""),ABS(I823)+ROW()/1000000000,0)</f>
        <v/>
      </c>
    </row>
    <row r="824">
      <c r="A824">
        <f>Data_thang!A824</f>
        <v/>
      </c>
      <c r="B824">
        <f>Data_thang!B824</f>
        <v/>
      </c>
      <c r="C824">
        <f>Data_thang!D824</f>
        <v/>
      </c>
      <c r="D824">
        <f>Data_thang!E824</f>
        <v/>
      </c>
      <c r="E824">
        <f>Data_thang!F824</f>
        <v/>
      </c>
      <c r="F824">
        <f>Data_thang!G824</f>
        <v/>
      </c>
      <c r="G824" s="29">
        <f>Data_thang!J824-Data_thang!K824</f>
        <v/>
      </c>
      <c r="H824" s="29">
        <f>Data_thang!N824</f>
        <v/>
      </c>
      <c r="I824" s="29">
        <f>H824-G824</f>
        <v/>
      </c>
      <c r="J824" s="30">
        <f>IF(H824=0,IF(I824=0,0,1),I824/ABS(H824))</f>
        <v/>
      </c>
      <c r="K824" s="29">
        <f>H824-(Data_thang!O824-Data_thang!K824)</f>
        <v/>
      </c>
      <c r="L824">
        <f>IF(AND(ABS(I824)&gt;Dashboard!$G$6,ABS(J824)&gt;Dashboard!$H$6),"⚠ Vượt","")</f>
        <v/>
      </c>
      <c r="M824">
        <f>IF(AND(A824=Dashboard!$D$6,OR(Dashboard!$C$6="*",F824=Dashboard!$C$6),L824&lt;&gt;""),ABS(I824)+ROW()/1000000000,0)</f>
        <v/>
      </c>
    </row>
    <row r="825">
      <c r="A825">
        <f>Data_thang!A825</f>
        <v/>
      </c>
      <c r="B825">
        <f>Data_thang!B825</f>
        <v/>
      </c>
      <c r="C825">
        <f>Data_thang!D825</f>
        <v/>
      </c>
      <c r="D825">
        <f>Data_thang!E825</f>
        <v/>
      </c>
      <c r="E825">
        <f>Data_thang!F825</f>
        <v/>
      </c>
      <c r="F825">
        <f>Data_thang!G825</f>
        <v/>
      </c>
      <c r="G825" s="29">
        <f>Data_thang!J825-Data_thang!K825</f>
        <v/>
      </c>
      <c r="H825" s="29">
        <f>Data_thang!N825</f>
        <v/>
      </c>
      <c r="I825" s="29">
        <f>H825-G825</f>
        <v/>
      </c>
      <c r="J825" s="30">
        <f>IF(H825=0,IF(I825=0,0,1),I825/ABS(H825))</f>
        <v/>
      </c>
      <c r="K825" s="29">
        <f>H825-(Data_thang!O825-Data_thang!K825)</f>
        <v/>
      </c>
      <c r="L825">
        <f>IF(AND(ABS(I825)&gt;Dashboard!$G$6,ABS(J825)&gt;Dashboard!$H$6),"⚠ Vượt","")</f>
        <v/>
      </c>
      <c r="M825">
        <f>IF(AND(A825=Dashboard!$D$6,OR(Dashboard!$C$6="*",F825=Dashboard!$C$6),L825&lt;&gt;""),ABS(I825)+ROW()/1000000000,0)</f>
        <v/>
      </c>
    </row>
    <row r="826">
      <c r="A826">
        <f>Data_thang!A826</f>
        <v/>
      </c>
      <c r="B826">
        <f>Data_thang!B826</f>
        <v/>
      </c>
      <c r="C826">
        <f>Data_thang!D826</f>
        <v/>
      </c>
      <c r="D826">
        <f>Data_thang!E826</f>
        <v/>
      </c>
      <c r="E826">
        <f>Data_thang!F826</f>
        <v/>
      </c>
      <c r="F826">
        <f>Data_thang!G826</f>
        <v/>
      </c>
      <c r="G826" s="29">
        <f>Data_thang!J826-Data_thang!K826</f>
        <v/>
      </c>
      <c r="H826" s="29">
        <f>Data_thang!N826</f>
        <v/>
      </c>
      <c r="I826" s="29">
        <f>H826-G826</f>
        <v/>
      </c>
      <c r="J826" s="30">
        <f>IF(H826=0,IF(I826=0,0,1),I826/ABS(H826))</f>
        <v/>
      </c>
      <c r="K826" s="29">
        <f>H826-(Data_thang!O826-Data_thang!K826)</f>
        <v/>
      </c>
      <c r="L826">
        <f>IF(AND(ABS(I826)&gt;Dashboard!$G$6,ABS(J826)&gt;Dashboard!$H$6),"⚠ Vượt","")</f>
        <v/>
      </c>
      <c r="M826">
        <f>IF(AND(A826=Dashboard!$D$6,OR(Dashboard!$C$6="*",F826=Dashboard!$C$6),L826&lt;&gt;""),ABS(I826)+ROW()/1000000000,0)</f>
        <v/>
      </c>
    </row>
    <row r="827">
      <c r="A827">
        <f>Data_thang!A827</f>
        <v/>
      </c>
      <c r="B827">
        <f>Data_thang!B827</f>
        <v/>
      </c>
      <c r="C827">
        <f>Data_thang!D827</f>
        <v/>
      </c>
      <c r="D827">
        <f>Data_thang!E827</f>
        <v/>
      </c>
      <c r="E827">
        <f>Data_thang!F827</f>
        <v/>
      </c>
      <c r="F827">
        <f>Data_thang!G827</f>
        <v/>
      </c>
      <c r="G827" s="29">
        <f>Data_thang!J827-Data_thang!K827</f>
        <v/>
      </c>
      <c r="H827" s="29">
        <f>Data_thang!N827</f>
        <v/>
      </c>
      <c r="I827" s="29">
        <f>H827-G827</f>
        <v/>
      </c>
      <c r="J827" s="30">
        <f>IF(H827=0,IF(I827=0,0,1),I827/ABS(H827))</f>
        <v/>
      </c>
      <c r="K827" s="29">
        <f>H827-(Data_thang!O827-Data_thang!K827)</f>
        <v/>
      </c>
      <c r="L827">
        <f>IF(AND(ABS(I827)&gt;Dashboard!$G$6,ABS(J827)&gt;Dashboard!$H$6),"⚠ Vượt","")</f>
        <v/>
      </c>
      <c r="M827">
        <f>IF(AND(A827=Dashboard!$D$6,OR(Dashboard!$C$6="*",F827=Dashboard!$C$6),L827&lt;&gt;""),ABS(I827)+ROW()/1000000000,0)</f>
        <v/>
      </c>
    </row>
    <row r="828">
      <c r="A828">
        <f>Data_thang!A828</f>
        <v/>
      </c>
      <c r="B828">
        <f>Data_thang!B828</f>
        <v/>
      </c>
      <c r="C828">
        <f>Data_thang!D828</f>
        <v/>
      </c>
      <c r="D828">
        <f>Data_thang!E828</f>
        <v/>
      </c>
      <c r="E828">
        <f>Data_thang!F828</f>
        <v/>
      </c>
      <c r="F828">
        <f>Data_thang!G828</f>
        <v/>
      </c>
      <c r="G828" s="29">
        <f>Data_thang!J828-Data_thang!K828</f>
        <v/>
      </c>
      <c r="H828" s="29">
        <f>Data_thang!N828</f>
        <v/>
      </c>
      <c r="I828" s="29">
        <f>H828-G828</f>
        <v/>
      </c>
      <c r="J828" s="30">
        <f>IF(H828=0,IF(I828=0,0,1),I828/ABS(H828))</f>
        <v/>
      </c>
      <c r="K828" s="29">
        <f>H828-(Data_thang!O828-Data_thang!K828)</f>
        <v/>
      </c>
      <c r="L828">
        <f>IF(AND(ABS(I828)&gt;Dashboard!$G$6,ABS(J828)&gt;Dashboard!$H$6),"⚠ Vượt","")</f>
        <v/>
      </c>
      <c r="M828">
        <f>IF(AND(A828=Dashboard!$D$6,OR(Dashboard!$C$6="*",F828=Dashboard!$C$6),L828&lt;&gt;""),ABS(I828)+ROW()/1000000000,0)</f>
        <v/>
      </c>
    </row>
    <row r="829">
      <c r="A829">
        <f>Data_thang!A829</f>
        <v/>
      </c>
      <c r="B829">
        <f>Data_thang!B829</f>
        <v/>
      </c>
      <c r="C829">
        <f>Data_thang!D829</f>
        <v/>
      </c>
      <c r="D829">
        <f>Data_thang!E829</f>
        <v/>
      </c>
      <c r="E829">
        <f>Data_thang!F829</f>
        <v/>
      </c>
      <c r="F829">
        <f>Data_thang!G829</f>
        <v/>
      </c>
      <c r="G829" s="29">
        <f>Data_thang!J829-Data_thang!K829</f>
        <v/>
      </c>
      <c r="H829" s="29">
        <f>Data_thang!N829</f>
        <v/>
      </c>
      <c r="I829" s="29">
        <f>H829-G829</f>
        <v/>
      </c>
      <c r="J829" s="30">
        <f>IF(H829=0,IF(I829=0,0,1),I829/ABS(H829))</f>
        <v/>
      </c>
      <c r="K829" s="29">
        <f>H829-(Data_thang!O829-Data_thang!K829)</f>
        <v/>
      </c>
      <c r="L829">
        <f>IF(AND(ABS(I829)&gt;Dashboard!$G$6,ABS(J829)&gt;Dashboard!$H$6),"⚠ Vượt","")</f>
        <v/>
      </c>
      <c r="M829">
        <f>IF(AND(A829=Dashboard!$D$6,OR(Dashboard!$C$6="*",F829=Dashboard!$C$6),L829&lt;&gt;""),ABS(I829)+ROW()/1000000000,0)</f>
        <v/>
      </c>
    </row>
    <row r="830">
      <c r="A830">
        <f>Data_thang!A830</f>
        <v/>
      </c>
      <c r="B830">
        <f>Data_thang!B830</f>
        <v/>
      </c>
      <c r="C830">
        <f>Data_thang!D830</f>
        <v/>
      </c>
      <c r="D830">
        <f>Data_thang!E830</f>
        <v/>
      </c>
      <c r="E830">
        <f>Data_thang!F830</f>
        <v/>
      </c>
      <c r="F830">
        <f>Data_thang!G830</f>
        <v/>
      </c>
      <c r="G830" s="29">
        <f>Data_thang!J830-Data_thang!K830</f>
        <v/>
      </c>
      <c r="H830" s="29">
        <f>Data_thang!N830</f>
        <v/>
      </c>
      <c r="I830" s="29">
        <f>H830-G830</f>
        <v/>
      </c>
      <c r="J830" s="30">
        <f>IF(H830=0,IF(I830=0,0,1),I830/ABS(H830))</f>
        <v/>
      </c>
      <c r="K830" s="29">
        <f>H830-(Data_thang!O830-Data_thang!K830)</f>
        <v/>
      </c>
      <c r="L830">
        <f>IF(AND(ABS(I830)&gt;Dashboard!$G$6,ABS(J830)&gt;Dashboard!$H$6),"⚠ Vượt","")</f>
        <v/>
      </c>
      <c r="M830">
        <f>IF(AND(A830=Dashboard!$D$6,OR(Dashboard!$C$6="*",F830=Dashboard!$C$6),L830&lt;&gt;""),ABS(I830)+ROW()/1000000000,0)</f>
        <v/>
      </c>
    </row>
    <row r="831">
      <c r="A831">
        <f>Data_thang!A831</f>
        <v/>
      </c>
      <c r="B831">
        <f>Data_thang!B831</f>
        <v/>
      </c>
      <c r="C831">
        <f>Data_thang!D831</f>
        <v/>
      </c>
      <c r="D831">
        <f>Data_thang!E831</f>
        <v/>
      </c>
      <c r="E831">
        <f>Data_thang!F831</f>
        <v/>
      </c>
      <c r="F831">
        <f>Data_thang!G831</f>
        <v/>
      </c>
      <c r="G831" s="29">
        <f>Data_thang!J831-Data_thang!K831</f>
        <v/>
      </c>
      <c r="H831" s="29">
        <f>Data_thang!N831</f>
        <v/>
      </c>
      <c r="I831" s="29">
        <f>H831-G831</f>
        <v/>
      </c>
      <c r="J831" s="30">
        <f>IF(H831=0,IF(I831=0,0,1),I831/ABS(H831))</f>
        <v/>
      </c>
      <c r="K831" s="29">
        <f>H831-(Data_thang!O831-Data_thang!K831)</f>
        <v/>
      </c>
      <c r="L831">
        <f>IF(AND(ABS(I831)&gt;Dashboard!$G$6,ABS(J831)&gt;Dashboard!$H$6),"⚠ Vượt","")</f>
        <v/>
      </c>
      <c r="M831">
        <f>IF(AND(A831=Dashboard!$D$6,OR(Dashboard!$C$6="*",F831=Dashboard!$C$6),L831&lt;&gt;""),ABS(I831)+ROW()/1000000000,0)</f>
        <v/>
      </c>
    </row>
    <row r="832">
      <c r="A832">
        <f>Data_thang!A832</f>
        <v/>
      </c>
      <c r="B832">
        <f>Data_thang!B832</f>
        <v/>
      </c>
      <c r="C832">
        <f>Data_thang!D832</f>
        <v/>
      </c>
      <c r="D832">
        <f>Data_thang!E832</f>
        <v/>
      </c>
      <c r="E832">
        <f>Data_thang!F832</f>
        <v/>
      </c>
      <c r="F832">
        <f>Data_thang!G832</f>
        <v/>
      </c>
      <c r="G832" s="29">
        <f>Data_thang!J832-Data_thang!K832</f>
        <v/>
      </c>
      <c r="H832" s="29">
        <f>Data_thang!N832</f>
        <v/>
      </c>
      <c r="I832" s="29">
        <f>H832-G832</f>
        <v/>
      </c>
      <c r="J832" s="30">
        <f>IF(H832=0,IF(I832=0,0,1),I832/ABS(H832))</f>
        <v/>
      </c>
      <c r="K832" s="29">
        <f>H832-(Data_thang!O832-Data_thang!K832)</f>
        <v/>
      </c>
      <c r="L832">
        <f>IF(AND(ABS(I832)&gt;Dashboard!$G$6,ABS(J832)&gt;Dashboard!$H$6),"⚠ Vượt","")</f>
        <v/>
      </c>
      <c r="M832">
        <f>IF(AND(A832=Dashboard!$D$6,OR(Dashboard!$C$6="*",F832=Dashboard!$C$6),L832&lt;&gt;""),ABS(I832)+ROW()/1000000000,0)</f>
        <v/>
      </c>
    </row>
    <row r="833">
      <c r="A833">
        <f>Data_thang!A833</f>
        <v/>
      </c>
      <c r="B833">
        <f>Data_thang!B833</f>
        <v/>
      </c>
      <c r="C833">
        <f>Data_thang!D833</f>
        <v/>
      </c>
      <c r="D833">
        <f>Data_thang!E833</f>
        <v/>
      </c>
      <c r="E833">
        <f>Data_thang!F833</f>
        <v/>
      </c>
      <c r="F833">
        <f>Data_thang!G833</f>
        <v/>
      </c>
      <c r="G833" s="29">
        <f>Data_thang!J833-Data_thang!K833</f>
        <v/>
      </c>
      <c r="H833" s="29">
        <f>Data_thang!N833</f>
        <v/>
      </c>
      <c r="I833" s="29">
        <f>H833-G833</f>
        <v/>
      </c>
      <c r="J833" s="30">
        <f>IF(H833=0,IF(I833=0,0,1),I833/ABS(H833))</f>
        <v/>
      </c>
      <c r="K833" s="29">
        <f>H833-(Data_thang!O833-Data_thang!K833)</f>
        <v/>
      </c>
      <c r="L833">
        <f>IF(AND(ABS(I833)&gt;Dashboard!$G$6,ABS(J833)&gt;Dashboard!$H$6),"⚠ Vượt","")</f>
        <v/>
      </c>
      <c r="M833">
        <f>IF(AND(A833=Dashboard!$D$6,OR(Dashboard!$C$6="*",F833=Dashboard!$C$6),L833&lt;&gt;""),ABS(I833)+ROW()/1000000000,0)</f>
        <v/>
      </c>
    </row>
    <row r="834">
      <c r="A834">
        <f>Data_thang!A834</f>
        <v/>
      </c>
      <c r="B834">
        <f>Data_thang!B834</f>
        <v/>
      </c>
      <c r="C834">
        <f>Data_thang!D834</f>
        <v/>
      </c>
      <c r="D834">
        <f>Data_thang!E834</f>
        <v/>
      </c>
      <c r="E834">
        <f>Data_thang!F834</f>
        <v/>
      </c>
      <c r="F834">
        <f>Data_thang!G834</f>
        <v/>
      </c>
      <c r="G834" s="29">
        <f>Data_thang!J834-Data_thang!K834</f>
        <v/>
      </c>
      <c r="H834" s="29">
        <f>Data_thang!N834</f>
        <v/>
      </c>
      <c r="I834" s="29">
        <f>H834-G834</f>
        <v/>
      </c>
      <c r="J834" s="30">
        <f>IF(H834=0,IF(I834=0,0,1),I834/ABS(H834))</f>
        <v/>
      </c>
      <c r="K834" s="29">
        <f>H834-(Data_thang!O834-Data_thang!K834)</f>
        <v/>
      </c>
      <c r="L834">
        <f>IF(AND(ABS(I834)&gt;Dashboard!$G$6,ABS(J834)&gt;Dashboard!$H$6),"⚠ Vượt","")</f>
        <v/>
      </c>
      <c r="M834">
        <f>IF(AND(A834=Dashboard!$D$6,OR(Dashboard!$C$6="*",F834=Dashboard!$C$6),L834&lt;&gt;""),ABS(I834)+ROW()/1000000000,0)</f>
        <v/>
      </c>
    </row>
    <row r="835">
      <c r="A835">
        <f>Data_thang!A835</f>
        <v/>
      </c>
      <c r="B835">
        <f>Data_thang!B835</f>
        <v/>
      </c>
      <c r="C835">
        <f>Data_thang!D835</f>
        <v/>
      </c>
      <c r="D835">
        <f>Data_thang!E835</f>
        <v/>
      </c>
      <c r="E835">
        <f>Data_thang!F835</f>
        <v/>
      </c>
      <c r="F835">
        <f>Data_thang!G835</f>
        <v/>
      </c>
      <c r="G835" s="29">
        <f>Data_thang!J835-Data_thang!K835</f>
        <v/>
      </c>
      <c r="H835" s="29">
        <f>Data_thang!N835</f>
        <v/>
      </c>
      <c r="I835" s="29">
        <f>H835-G835</f>
        <v/>
      </c>
      <c r="J835" s="30">
        <f>IF(H835=0,IF(I835=0,0,1),I835/ABS(H835))</f>
        <v/>
      </c>
      <c r="K835" s="29">
        <f>H835-(Data_thang!O835-Data_thang!K835)</f>
        <v/>
      </c>
      <c r="L835">
        <f>IF(AND(ABS(I835)&gt;Dashboard!$G$6,ABS(J835)&gt;Dashboard!$H$6),"⚠ Vượt","")</f>
        <v/>
      </c>
      <c r="M835">
        <f>IF(AND(A835=Dashboard!$D$6,OR(Dashboard!$C$6="*",F835=Dashboard!$C$6),L835&lt;&gt;""),ABS(I835)+ROW()/1000000000,0)</f>
        <v/>
      </c>
    </row>
    <row r="836">
      <c r="A836">
        <f>Data_thang!A836</f>
        <v/>
      </c>
      <c r="B836">
        <f>Data_thang!B836</f>
        <v/>
      </c>
      <c r="C836">
        <f>Data_thang!D836</f>
        <v/>
      </c>
      <c r="D836">
        <f>Data_thang!E836</f>
        <v/>
      </c>
      <c r="E836">
        <f>Data_thang!F836</f>
        <v/>
      </c>
      <c r="F836">
        <f>Data_thang!G836</f>
        <v/>
      </c>
      <c r="G836" s="29">
        <f>Data_thang!J836-Data_thang!K836</f>
        <v/>
      </c>
      <c r="H836" s="29">
        <f>Data_thang!N836</f>
        <v/>
      </c>
      <c r="I836" s="29">
        <f>H836-G836</f>
        <v/>
      </c>
      <c r="J836" s="30">
        <f>IF(H836=0,IF(I836=0,0,1),I836/ABS(H836))</f>
        <v/>
      </c>
      <c r="K836" s="29">
        <f>H836-(Data_thang!O836-Data_thang!K836)</f>
        <v/>
      </c>
      <c r="L836">
        <f>IF(AND(ABS(I836)&gt;Dashboard!$G$6,ABS(J836)&gt;Dashboard!$H$6),"⚠ Vượt","")</f>
        <v/>
      </c>
      <c r="M836">
        <f>IF(AND(A836=Dashboard!$D$6,OR(Dashboard!$C$6="*",F836=Dashboard!$C$6),L836&lt;&gt;""),ABS(I836)+ROW()/1000000000,0)</f>
        <v/>
      </c>
    </row>
    <row r="837">
      <c r="A837">
        <f>Data_thang!A837</f>
        <v/>
      </c>
      <c r="B837">
        <f>Data_thang!B837</f>
        <v/>
      </c>
      <c r="C837">
        <f>Data_thang!D837</f>
        <v/>
      </c>
      <c r="D837">
        <f>Data_thang!E837</f>
        <v/>
      </c>
      <c r="E837">
        <f>Data_thang!F837</f>
        <v/>
      </c>
      <c r="F837">
        <f>Data_thang!G837</f>
        <v/>
      </c>
      <c r="G837" s="29">
        <f>Data_thang!J837-Data_thang!K837</f>
        <v/>
      </c>
      <c r="H837" s="29">
        <f>Data_thang!N837</f>
        <v/>
      </c>
      <c r="I837" s="29">
        <f>H837-G837</f>
        <v/>
      </c>
      <c r="J837" s="30">
        <f>IF(H837=0,IF(I837=0,0,1),I837/ABS(H837))</f>
        <v/>
      </c>
      <c r="K837" s="29">
        <f>H837-(Data_thang!O837-Data_thang!K837)</f>
        <v/>
      </c>
      <c r="L837">
        <f>IF(AND(ABS(I837)&gt;Dashboard!$G$6,ABS(J837)&gt;Dashboard!$H$6),"⚠ Vượt","")</f>
        <v/>
      </c>
      <c r="M837">
        <f>IF(AND(A837=Dashboard!$D$6,OR(Dashboard!$C$6="*",F837=Dashboard!$C$6),L837&lt;&gt;""),ABS(I837)+ROW()/1000000000,0)</f>
        <v/>
      </c>
    </row>
    <row r="838">
      <c r="A838">
        <f>Data_thang!A838</f>
        <v/>
      </c>
      <c r="B838">
        <f>Data_thang!B838</f>
        <v/>
      </c>
      <c r="C838">
        <f>Data_thang!D838</f>
        <v/>
      </c>
      <c r="D838">
        <f>Data_thang!E838</f>
        <v/>
      </c>
      <c r="E838">
        <f>Data_thang!F838</f>
        <v/>
      </c>
      <c r="F838">
        <f>Data_thang!G838</f>
        <v/>
      </c>
      <c r="G838" s="29">
        <f>Data_thang!J838-Data_thang!K838</f>
        <v/>
      </c>
      <c r="H838" s="29">
        <f>Data_thang!N838</f>
        <v/>
      </c>
      <c r="I838" s="29">
        <f>H838-G838</f>
        <v/>
      </c>
      <c r="J838" s="30">
        <f>IF(H838=0,IF(I838=0,0,1),I838/ABS(H838))</f>
        <v/>
      </c>
      <c r="K838" s="29">
        <f>H838-(Data_thang!O838-Data_thang!K838)</f>
        <v/>
      </c>
      <c r="L838">
        <f>IF(AND(ABS(I838)&gt;Dashboard!$G$6,ABS(J838)&gt;Dashboard!$H$6),"⚠ Vượt","")</f>
        <v/>
      </c>
      <c r="M838">
        <f>IF(AND(A838=Dashboard!$D$6,OR(Dashboard!$C$6="*",F838=Dashboard!$C$6),L838&lt;&gt;""),ABS(I838)+ROW()/1000000000,0)</f>
        <v/>
      </c>
    </row>
    <row r="839">
      <c r="A839">
        <f>Data_thang!A839</f>
        <v/>
      </c>
      <c r="B839">
        <f>Data_thang!B839</f>
        <v/>
      </c>
      <c r="C839">
        <f>Data_thang!D839</f>
        <v/>
      </c>
      <c r="D839">
        <f>Data_thang!E839</f>
        <v/>
      </c>
      <c r="E839">
        <f>Data_thang!F839</f>
        <v/>
      </c>
      <c r="F839">
        <f>Data_thang!G839</f>
        <v/>
      </c>
      <c r="G839" s="29">
        <f>Data_thang!J839-Data_thang!K839</f>
        <v/>
      </c>
      <c r="H839" s="29">
        <f>Data_thang!N839</f>
        <v/>
      </c>
      <c r="I839" s="29">
        <f>H839-G839</f>
        <v/>
      </c>
      <c r="J839" s="30">
        <f>IF(H839=0,IF(I839=0,0,1),I839/ABS(H839))</f>
        <v/>
      </c>
      <c r="K839" s="29">
        <f>H839-(Data_thang!O839-Data_thang!K839)</f>
        <v/>
      </c>
      <c r="L839">
        <f>IF(AND(ABS(I839)&gt;Dashboard!$G$6,ABS(J839)&gt;Dashboard!$H$6),"⚠ Vượt","")</f>
        <v/>
      </c>
      <c r="M839">
        <f>IF(AND(A839=Dashboard!$D$6,OR(Dashboard!$C$6="*",F839=Dashboard!$C$6),L839&lt;&gt;""),ABS(I839)+ROW()/1000000000,0)</f>
        <v/>
      </c>
    </row>
    <row r="840">
      <c r="A840">
        <f>Data_thang!A840</f>
        <v/>
      </c>
      <c r="B840">
        <f>Data_thang!B840</f>
        <v/>
      </c>
      <c r="C840">
        <f>Data_thang!D840</f>
        <v/>
      </c>
      <c r="D840">
        <f>Data_thang!E840</f>
        <v/>
      </c>
      <c r="E840">
        <f>Data_thang!F840</f>
        <v/>
      </c>
      <c r="F840">
        <f>Data_thang!G840</f>
        <v/>
      </c>
      <c r="G840" s="29">
        <f>Data_thang!J840-Data_thang!K840</f>
        <v/>
      </c>
      <c r="H840" s="29">
        <f>Data_thang!N840</f>
        <v/>
      </c>
      <c r="I840" s="29">
        <f>H840-G840</f>
        <v/>
      </c>
      <c r="J840" s="30">
        <f>IF(H840=0,IF(I840=0,0,1),I840/ABS(H840))</f>
        <v/>
      </c>
      <c r="K840" s="29">
        <f>H840-(Data_thang!O840-Data_thang!K840)</f>
        <v/>
      </c>
      <c r="L840">
        <f>IF(AND(ABS(I840)&gt;Dashboard!$G$6,ABS(J840)&gt;Dashboard!$H$6),"⚠ Vượt","")</f>
        <v/>
      </c>
      <c r="M840">
        <f>IF(AND(A840=Dashboard!$D$6,OR(Dashboard!$C$6="*",F840=Dashboard!$C$6),L840&lt;&gt;""),ABS(I840)+ROW()/1000000000,0)</f>
        <v/>
      </c>
    </row>
    <row r="841">
      <c r="A841">
        <f>Data_thang!A841</f>
        <v/>
      </c>
      <c r="B841">
        <f>Data_thang!B841</f>
        <v/>
      </c>
      <c r="C841">
        <f>Data_thang!D841</f>
        <v/>
      </c>
      <c r="D841">
        <f>Data_thang!E841</f>
        <v/>
      </c>
      <c r="E841">
        <f>Data_thang!F841</f>
        <v/>
      </c>
      <c r="F841">
        <f>Data_thang!G841</f>
        <v/>
      </c>
      <c r="G841" s="29">
        <f>Data_thang!J841-Data_thang!K841</f>
        <v/>
      </c>
      <c r="H841" s="29">
        <f>Data_thang!N841</f>
        <v/>
      </c>
      <c r="I841" s="29">
        <f>H841-G841</f>
        <v/>
      </c>
      <c r="J841" s="30">
        <f>IF(H841=0,IF(I841=0,0,1),I841/ABS(H841))</f>
        <v/>
      </c>
      <c r="K841" s="29">
        <f>H841-(Data_thang!O841-Data_thang!K841)</f>
        <v/>
      </c>
      <c r="L841">
        <f>IF(AND(ABS(I841)&gt;Dashboard!$G$6,ABS(J841)&gt;Dashboard!$H$6),"⚠ Vượt","")</f>
        <v/>
      </c>
      <c r="M841">
        <f>IF(AND(A841=Dashboard!$D$6,OR(Dashboard!$C$6="*",F841=Dashboard!$C$6),L841&lt;&gt;""),ABS(I841)+ROW()/1000000000,0)</f>
        <v/>
      </c>
    </row>
    <row r="842">
      <c r="A842">
        <f>Data_thang!A842</f>
        <v/>
      </c>
      <c r="B842">
        <f>Data_thang!B842</f>
        <v/>
      </c>
      <c r="C842">
        <f>Data_thang!D842</f>
        <v/>
      </c>
      <c r="D842">
        <f>Data_thang!E842</f>
        <v/>
      </c>
      <c r="E842">
        <f>Data_thang!F842</f>
        <v/>
      </c>
      <c r="F842">
        <f>Data_thang!G842</f>
        <v/>
      </c>
      <c r="G842" s="29">
        <f>Data_thang!J842-Data_thang!K842</f>
        <v/>
      </c>
      <c r="H842" s="29">
        <f>Data_thang!N842</f>
        <v/>
      </c>
      <c r="I842" s="29">
        <f>H842-G842</f>
        <v/>
      </c>
      <c r="J842" s="30">
        <f>IF(H842=0,IF(I842=0,0,1),I842/ABS(H842))</f>
        <v/>
      </c>
      <c r="K842" s="29">
        <f>H842-(Data_thang!O842-Data_thang!K842)</f>
        <v/>
      </c>
      <c r="L842">
        <f>IF(AND(ABS(I842)&gt;Dashboard!$G$6,ABS(J842)&gt;Dashboard!$H$6),"⚠ Vượt","")</f>
        <v/>
      </c>
      <c r="M842">
        <f>IF(AND(A842=Dashboard!$D$6,OR(Dashboard!$C$6="*",F842=Dashboard!$C$6),L842&lt;&gt;""),ABS(I842)+ROW()/1000000000,0)</f>
        <v/>
      </c>
    </row>
    <row r="843">
      <c r="A843">
        <f>Data_thang!A843</f>
        <v/>
      </c>
      <c r="B843">
        <f>Data_thang!B843</f>
        <v/>
      </c>
      <c r="C843">
        <f>Data_thang!D843</f>
        <v/>
      </c>
      <c r="D843">
        <f>Data_thang!E843</f>
        <v/>
      </c>
      <c r="E843">
        <f>Data_thang!F843</f>
        <v/>
      </c>
      <c r="F843">
        <f>Data_thang!G843</f>
        <v/>
      </c>
      <c r="G843" s="29">
        <f>Data_thang!J843-Data_thang!K843</f>
        <v/>
      </c>
      <c r="H843" s="29">
        <f>Data_thang!N843</f>
        <v/>
      </c>
      <c r="I843" s="29">
        <f>H843-G843</f>
        <v/>
      </c>
      <c r="J843" s="30">
        <f>IF(H843=0,IF(I843=0,0,1),I843/ABS(H843))</f>
        <v/>
      </c>
      <c r="K843" s="29">
        <f>H843-(Data_thang!O843-Data_thang!K843)</f>
        <v/>
      </c>
      <c r="L843">
        <f>IF(AND(ABS(I843)&gt;Dashboard!$G$6,ABS(J843)&gt;Dashboard!$H$6),"⚠ Vượt","")</f>
        <v/>
      </c>
      <c r="M843">
        <f>IF(AND(A843=Dashboard!$D$6,OR(Dashboard!$C$6="*",F843=Dashboard!$C$6),L843&lt;&gt;""),ABS(I843)+ROW()/1000000000,0)</f>
        <v/>
      </c>
    </row>
    <row r="844">
      <c r="A844">
        <f>Data_thang!A844</f>
        <v/>
      </c>
      <c r="B844">
        <f>Data_thang!B844</f>
        <v/>
      </c>
      <c r="C844">
        <f>Data_thang!D844</f>
        <v/>
      </c>
      <c r="D844">
        <f>Data_thang!E844</f>
        <v/>
      </c>
      <c r="E844">
        <f>Data_thang!F844</f>
        <v/>
      </c>
      <c r="F844">
        <f>Data_thang!G844</f>
        <v/>
      </c>
      <c r="G844" s="29">
        <f>Data_thang!J844-Data_thang!K844</f>
        <v/>
      </c>
      <c r="H844" s="29">
        <f>Data_thang!N844</f>
        <v/>
      </c>
      <c r="I844" s="29">
        <f>H844-G844</f>
        <v/>
      </c>
      <c r="J844" s="30">
        <f>IF(H844=0,IF(I844=0,0,1),I844/ABS(H844))</f>
        <v/>
      </c>
      <c r="K844" s="29">
        <f>H844-(Data_thang!O844-Data_thang!K844)</f>
        <v/>
      </c>
      <c r="L844">
        <f>IF(AND(ABS(I844)&gt;Dashboard!$G$6,ABS(J844)&gt;Dashboard!$H$6),"⚠ Vượt","")</f>
        <v/>
      </c>
      <c r="M844">
        <f>IF(AND(A844=Dashboard!$D$6,OR(Dashboard!$C$6="*",F844=Dashboard!$C$6),L844&lt;&gt;""),ABS(I844)+ROW()/1000000000,0)</f>
        <v/>
      </c>
    </row>
    <row r="845">
      <c r="A845">
        <f>Data_thang!A845</f>
        <v/>
      </c>
      <c r="B845">
        <f>Data_thang!B845</f>
        <v/>
      </c>
      <c r="C845">
        <f>Data_thang!D845</f>
        <v/>
      </c>
      <c r="D845">
        <f>Data_thang!E845</f>
        <v/>
      </c>
      <c r="E845">
        <f>Data_thang!F845</f>
        <v/>
      </c>
      <c r="F845">
        <f>Data_thang!G845</f>
        <v/>
      </c>
      <c r="G845" s="29">
        <f>Data_thang!J845-Data_thang!K845</f>
        <v/>
      </c>
      <c r="H845" s="29">
        <f>Data_thang!N845</f>
        <v/>
      </c>
      <c r="I845" s="29">
        <f>H845-G845</f>
        <v/>
      </c>
      <c r="J845" s="30">
        <f>IF(H845=0,IF(I845=0,0,1),I845/ABS(H845))</f>
        <v/>
      </c>
      <c r="K845" s="29">
        <f>H845-(Data_thang!O845-Data_thang!K845)</f>
        <v/>
      </c>
      <c r="L845">
        <f>IF(AND(ABS(I845)&gt;Dashboard!$G$6,ABS(J845)&gt;Dashboard!$H$6),"⚠ Vượt","")</f>
        <v/>
      </c>
      <c r="M845">
        <f>IF(AND(A845=Dashboard!$D$6,OR(Dashboard!$C$6="*",F845=Dashboard!$C$6),L845&lt;&gt;""),ABS(I845)+ROW()/1000000000,0)</f>
        <v/>
      </c>
    </row>
    <row r="846">
      <c r="A846">
        <f>Data_thang!A846</f>
        <v/>
      </c>
      <c r="B846">
        <f>Data_thang!B846</f>
        <v/>
      </c>
      <c r="C846">
        <f>Data_thang!D846</f>
        <v/>
      </c>
      <c r="D846">
        <f>Data_thang!E846</f>
        <v/>
      </c>
      <c r="E846">
        <f>Data_thang!F846</f>
        <v/>
      </c>
      <c r="F846">
        <f>Data_thang!G846</f>
        <v/>
      </c>
      <c r="G846" s="29">
        <f>Data_thang!J846-Data_thang!K846</f>
        <v/>
      </c>
      <c r="H846" s="29">
        <f>Data_thang!N846</f>
        <v/>
      </c>
      <c r="I846" s="29">
        <f>H846-G846</f>
        <v/>
      </c>
      <c r="J846" s="30">
        <f>IF(H846=0,IF(I846=0,0,1),I846/ABS(H846))</f>
        <v/>
      </c>
      <c r="K846" s="29">
        <f>H846-(Data_thang!O846-Data_thang!K846)</f>
        <v/>
      </c>
      <c r="L846">
        <f>IF(AND(ABS(I846)&gt;Dashboard!$G$6,ABS(J846)&gt;Dashboard!$H$6),"⚠ Vượt","")</f>
        <v/>
      </c>
      <c r="M846">
        <f>IF(AND(A846=Dashboard!$D$6,OR(Dashboard!$C$6="*",F846=Dashboard!$C$6),L846&lt;&gt;""),ABS(I846)+ROW()/1000000000,0)</f>
        <v/>
      </c>
    </row>
    <row r="847">
      <c r="A847">
        <f>Data_thang!A847</f>
        <v/>
      </c>
      <c r="B847">
        <f>Data_thang!B847</f>
        <v/>
      </c>
      <c r="C847">
        <f>Data_thang!D847</f>
        <v/>
      </c>
      <c r="D847">
        <f>Data_thang!E847</f>
        <v/>
      </c>
      <c r="E847">
        <f>Data_thang!F847</f>
        <v/>
      </c>
      <c r="F847">
        <f>Data_thang!G847</f>
        <v/>
      </c>
      <c r="G847" s="29">
        <f>Data_thang!J847-Data_thang!K847</f>
        <v/>
      </c>
      <c r="H847" s="29">
        <f>Data_thang!N847</f>
        <v/>
      </c>
      <c r="I847" s="29">
        <f>H847-G847</f>
        <v/>
      </c>
      <c r="J847" s="30">
        <f>IF(H847=0,IF(I847=0,0,1),I847/ABS(H847))</f>
        <v/>
      </c>
      <c r="K847" s="29">
        <f>H847-(Data_thang!O847-Data_thang!K847)</f>
        <v/>
      </c>
      <c r="L847">
        <f>IF(AND(ABS(I847)&gt;Dashboard!$G$6,ABS(J847)&gt;Dashboard!$H$6),"⚠ Vượt","")</f>
        <v/>
      </c>
      <c r="M847">
        <f>IF(AND(A847=Dashboard!$D$6,OR(Dashboard!$C$6="*",F847=Dashboard!$C$6),L847&lt;&gt;""),ABS(I847)+ROW()/1000000000,0)</f>
        <v/>
      </c>
    </row>
    <row r="848">
      <c r="A848">
        <f>Data_thang!A848</f>
        <v/>
      </c>
      <c r="B848">
        <f>Data_thang!B848</f>
        <v/>
      </c>
      <c r="C848">
        <f>Data_thang!D848</f>
        <v/>
      </c>
      <c r="D848">
        <f>Data_thang!E848</f>
        <v/>
      </c>
      <c r="E848">
        <f>Data_thang!F848</f>
        <v/>
      </c>
      <c r="F848">
        <f>Data_thang!G848</f>
        <v/>
      </c>
      <c r="G848" s="29">
        <f>Data_thang!J848-Data_thang!K848</f>
        <v/>
      </c>
      <c r="H848" s="29">
        <f>Data_thang!N848</f>
        <v/>
      </c>
      <c r="I848" s="29">
        <f>H848-G848</f>
        <v/>
      </c>
      <c r="J848" s="30">
        <f>IF(H848=0,IF(I848=0,0,1),I848/ABS(H848))</f>
        <v/>
      </c>
      <c r="K848" s="29">
        <f>H848-(Data_thang!O848-Data_thang!K848)</f>
        <v/>
      </c>
      <c r="L848">
        <f>IF(AND(ABS(I848)&gt;Dashboard!$G$6,ABS(J848)&gt;Dashboard!$H$6),"⚠ Vượt","")</f>
        <v/>
      </c>
      <c r="M848">
        <f>IF(AND(A848=Dashboard!$D$6,OR(Dashboard!$C$6="*",F848=Dashboard!$C$6),L848&lt;&gt;""),ABS(I848)+ROW()/1000000000,0)</f>
        <v/>
      </c>
    </row>
    <row r="849">
      <c r="A849">
        <f>Data_thang!A849</f>
        <v/>
      </c>
      <c r="B849">
        <f>Data_thang!B849</f>
        <v/>
      </c>
      <c r="C849">
        <f>Data_thang!D849</f>
        <v/>
      </c>
      <c r="D849">
        <f>Data_thang!E849</f>
        <v/>
      </c>
      <c r="E849">
        <f>Data_thang!F849</f>
        <v/>
      </c>
      <c r="F849">
        <f>Data_thang!G849</f>
        <v/>
      </c>
      <c r="G849" s="29">
        <f>Data_thang!J849-Data_thang!K849</f>
        <v/>
      </c>
      <c r="H849" s="29">
        <f>Data_thang!N849</f>
        <v/>
      </c>
      <c r="I849" s="29">
        <f>H849-G849</f>
        <v/>
      </c>
      <c r="J849" s="30">
        <f>IF(H849=0,IF(I849=0,0,1),I849/ABS(H849))</f>
        <v/>
      </c>
      <c r="K849" s="29">
        <f>H849-(Data_thang!O849-Data_thang!K849)</f>
        <v/>
      </c>
      <c r="L849">
        <f>IF(AND(ABS(I849)&gt;Dashboard!$G$6,ABS(J849)&gt;Dashboard!$H$6),"⚠ Vượt","")</f>
        <v/>
      </c>
      <c r="M849">
        <f>IF(AND(A849=Dashboard!$D$6,OR(Dashboard!$C$6="*",F849=Dashboard!$C$6),L849&lt;&gt;""),ABS(I849)+ROW()/1000000000,0)</f>
        <v/>
      </c>
    </row>
    <row r="850">
      <c r="A850">
        <f>Data_thang!A850</f>
        <v/>
      </c>
      <c r="B850">
        <f>Data_thang!B850</f>
        <v/>
      </c>
      <c r="C850">
        <f>Data_thang!D850</f>
        <v/>
      </c>
      <c r="D850">
        <f>Data_thang!E850</f>
        <v/>
      </c>
      <c r="E850">
        <f>Data_thang!F850</f>
        <v/>
      </c>
      <c r="F850">
        <f>Data_thang!G850</f>
        <v/>
      </c>
      <c r="G850" s="29">
        <f>Data_thang!J850-Data_thang!K850</f>
        <v/>
      </c>
      <c r="H850" s="29">
        <f>Data_thang!N850</f>
        <v/>
      </c>
      <c r="I850" s="29">
        <f>H850-G850</f>
        <v/>
      </c>
      <c r="J850" s="30">
        <f>IF(H850=0,IF(I850=0,0,1),I850/ABS(H850))</f>
        <v/>
      </c>
      <c r="K850" s="29">
        <f>H850-(Data_thang!O850-Data_thang!K850)</f>
        <v/>
      </c>
      <c r="L850">
        <f>IF(AND(ABS(I850)&gt;Dashboard!$G$6,ABS(J850)&gt;Dashboard!$H$6),"⚠ Vượt","")</f>
        <v/>
      </c>
      <c r="M850">
        <f>IF(AND(A850=Dashboard!$D$6,OR(Dashboard!$C$6="*",F850=Dashboard!$C$6),L850&lt;&gt;""),ABS(I850)+ROW()/1000000000,0)</f>
        <v/>
      </c>
    </row>
    <row r="851">
      <c r="A851">
        <f>Data_thang!A851</f>
        <v/>
      </c>
      <c r="B851">
        <f>Data_thang!B851</f>
        <v/>
      </c>
      <c r="C851">
        <f>Data_thang!D851</f>
        <v/>
      </c>
      <c r="D851">
        <f>Data_thang!E851</f>
        <v/>
      </c>
      <c r="E851">
        <f>Data_thang!F851</f>
        <v/>
      </c>
      <c r="F851">
        <f>Data_thang!G851</f>
        <v/>
      </c>
      <c r="G851" s="29">
        <f>Data_thang!J851-Data_thang!K851</f>
        <v/>
      </c>
      <c r="H851" s="29">
        <f>Data_thang!N851</f>
        <v/>
      </c>
      <c r="I851" s="29">
        <f>H851-G851</f>
        <v/>
      </c>
      <c r="J851" s="30">
        <f>IF(H851=0,IF(I851=0,0,1),I851/ABS(H851))</f>
        <v/>
      </c>
      <c r="K851" s="29">
        <f>H851-(Data_thang!O851-Data_thang!K851)</f>
        <v/>
      </c>
      <c r="L851">
        <f>IF(AND(ABS(I851)&gt;Dashboard!$G$6,ABS(J851)&gt;Dashboard!$H$6),"⚠ Vượt","")</f>
        <v/>
      </c>
      <c r="M851">
        <f>IF(AND(A851=Dashboard!$D$6,OR(Dashboard!$C$6="*",F851=Dashboard!$C$6),L851&lt;&gt;""),ABS(I851)+ROW()/1000000000,0)</f>
        <v/>
      </c>
    </row>
    <row r="852">
      <c r="A852">
        <f>Data_thang!A852</f>
        <v/>
      </c>
      <c r="B852">
        <f>Data_thang!B852</f>
        <v/>
      </c>
      <c r="C852">
        <f>Data_thang!D852</f>
        <v/>
      </c>
      <c r="D852">
        <f>Data_thang!E852</f>
        <v/>
      </c>
      <c r="E852">
        <f>Data_thang!F852</f>
        <v/>
      </c>
      <c r="F852">
        <f>Data_thang!G852</f>
        <v/>
      </c>
      <c r="G852" s="29">
        <f>Data_thang!J852-Data_thang!K852</f>
        <v/>
      </c>
      <c r="H852" s="29">
        <f>Data_thang!N852</f>
        <v/>
      </c>
      <c r="I852" s="29">
        <f>H852-G852</f>
        <v/>
      </c>
      <c r="J852" s="30">
        <f>IF(H852=0,IF(I852=0,0,1),I852/ABS(H852))</f>
        <v/>
      </c>
      <c r="K852" s="29">
        <f>H852-(Data_thang!O852-Data_thang!K852)</f>
        <v/>
      </c>
      <c r="L852">
        <f>IF(AND(ABS(I852)&gt;Dashboard!$G$6,ABS(J852)&gt;Dashboard!$H$6),"⚠ Vượt","")</f>
        <v/>
      </c>
      <c r="M852">
        <f>IF(AND(A852=Dashboard!$D$6,OR(Dashboard!$C$6="*",F852=Dashboard!$C$6),L852&lt;&gt;""),ABS(I852)+ROW()/1000000000,0)</f>
        <v/>
      </c>
    </row>
    <row r="853">
      <c r="A853">
        <f>Data_thang!A853</f>
        <v/>
      </c>
      <c r="B853">
        <f>Data_thang!B853</f>
        <v/>
      </c>
      <c r="C853">
        <f>Data_thang!D853</f>
        <v/>
      </c>
      <c r="D853">
        <f>Data_thang!E853</f>
        <v/>
      </c>
      <c r="E853">
        <f>Data_thang!F853</f>
        <v/>
      </c>
      <c r="F853">
        <f>Data_thang!G853</f>
        <v/>
      </c>
      <c r="G853" s="29">
        <f>Data_thang!J853-Data_thang!K853</f>
        <v/>
      </c>
      <c r="H853" s="29">
        <f>Data_thang!N853</f>
        <v/>
      </c>
      <c r="I853" s="29">
        <f>H853-G853</f>
        <v/>
      </c>
      <c r="J853" s="30">
        <f>IF(H853=0,IF(I853=0,0,1),I853/ABS(H853))</f>
        <v/>
      </c>
      <c r="K853" s="29">
        <f>H853-(Data_thang!O853-Data_thang!K853)</f>
        <v/>
      </c>
      <c r="L853">
        <f>IF(AND(ABS(I853)&gt;Dashboard!$G$6,ABS(J853)&gt;Dashboard!$H$6),"⚠ Vượt","")</f>
        <v/>
      </c>
      <c r="M853">
        <f>IF(AND(A853=Dashboard!$D$6,OR(Dashboard!$C$6="*",F853=Dashboard!$C$6),L853&lt;&gt;""),ABS(I853)+ROW()/1000000000,0)</f>
        <v/>
      </c>
    </row>
    <row r="854">
      <c r="A854">
        <f>Data_thang!A854</f>
        <v/>
      </c>
      <c r="B854">
        <f>Data_thang!B854</f>
        <v/>
      </c>
      <c r="C854">
        <f>Data_thang!D854</f>
        <v/>
      </c>
      <c r="D854">
        <f>Data_thang!E854</f>
        <v/>
      </c>
      <c r="E854">
        <f>Data_thang!F854</f>
        <v/>
      </c>
      <c r="F854">
        <f>Data_thang!G854</f>
        <v/>
      </c>
      <c r="G854" s="29">
        <f>Data_thang!J854-Data_thang!K854</f>
        <v/>
      </c>
      <c r="H854" s="29">
        <f>Data_thang!N854</f>
        <v/>
      </c>
      <c r="I854" s="29">
        <f>H854-G854</f>
        <v/>
      </c>
      <c r="J854" s="30">
        <f>IF(H854=0,IF(I854=0,0,1),I854/ABS(H854))</f>
        <v/>
      </c>
      <c r="K854" s="29">
        <f>H854-(Data_thang!O854-Data_thang!K854)</f>
        <v/>
      </c>
      <c r="L854">
        <f>IF(AND(ABS(I854)&gt;Dashboard!$G$6,ABS(J854)&gt;Dashboard!$H$6),"⚠ Vượt","")</f>
        <v/>
      </c>
      <c r="M854">
        <f>IF(AND(A854=Dashboard!$D$6,OR(Dashboard!$C$6="*",F854=Dashboard!$C$6),L854&lt;&gt;""),ABS(I854)+ROW()/1000000000,0)</f>
        <v/>
      </c>
    </row>
    <row r="855">
      <c r="A855">
        <f>Data_thang!A855</f>
        <v/>
      </c>
      <c r="B855">
        <f>Data_thang!B855</f>
        <v/>
      </c>
      <c r="C855">
        <f>Data_thang!D855</f>
        <v/>
      </c>
      <c r="D855">
        <f>Data_thang!E855</f>
        <v/>
      </c>
      <c r="E855">
        <f>Data_thang!F855</f>
        <v/>
      </c>
      <c r="F855">
        <f>Data_thang!G855</f>
        <v/>
      </c>
      <c r="G855" s="29">
        <f>Data_thang!J855-Data_thang!K855</f>
        <v/>
      </c>
      <c r="H855" s="29">
        <f>Data_thang!N855</f>
        <v/>
      </c>
      <c r="I855" s="29">
        <f>H855-G855</f>
        <v/>
      </c>
      <c r="J855" s="30">
        <f>IF(H855=0,IF(I855=0,0,1),I855/ABS(H855))</f>
        <v/>
      </c>
      <c r="K855" s="29">
        <f>H855-(Data_thang!O855-Data_thang!K855)</f>
        <v/>
      </c>
      <c r="L855">
        <f>IF(AND(ABS(I855)&gt;Dashboard!$G$6,ABS(J855)&gt;Dashboard!$H$6),"⚠ Vượt","")</f>
        <v/>
      </c>
      <c r="M855">
        <f>IF(AND(A855=Dashboard!$D$6,OR(Dashboard!$C$6="*",F855=Dashboard!$C$6),L855&lt;&gt;""),ABS(I855)+ROW()/1000000000,0)</f>
        <v/>
      </c>
    </row>
    <row r="856">
      <c r="A856">
        <f>Data_thang!A856</f>
        <v/>
      </c>
      <c r="B856">
        <f>Data_thang!B856</f>
        <v/>
      </c>
      <c r="C856">
        <f>Data_thang!D856</f>
        <v/>
      </c>
      <c r="D856">
        <f>Data_thang!E856</f>
        <v/>
      </c>
      <c r="E856">
        <f>Data_thang!F856</f>
        <v/>
      </c>
      <c r="F856">
        <f>Data_thang!G856</f>
        <v/>
      </c>
      <c r="G856" s="29">
        <f>Data_thang!J856-Data_thang!K856</f>
        <v/>
      </c>
      <c r="H856" s="29">
        <f>Data_thang!N856</f>
        <v/>
      </c>
      <c r="I856" s="29">
        <f>H856-G856</f>
        <v/>
      </c>
      <c r="J856" s="30">
        <f>IF(H856=0,IF(I856=0,0,1),I856/ABS(H856))</f>
        <v/>
      </c>
      <c r="K856" s="29">
        <f>H856-(Data_thang!O856-Data_thang!K856)</f>
        <v/>
      </c>
      <c r="L856">
        <f>IF(AND(ABS(I856)&gt;Dashboard!$G$6,ABS(J856)&gt;Dashboard!$H$6),"⚠ Vượt","")</f>
        <v/>
      </c>
      <c r="M856">
        <f>IF(AND(A856=Dashboard!$D$6,OR(Dashboard!$C$6="*",F856=Dashboard!$C$6),L856&lt;&gt;""),ABS(I856)+ROW()/1000000000,0)</f>
        <v/>
      </c>
    </row>
    <row r="857">
      <c r="A857">
        <f>Data_thang!A857</f>
        <v/>
      </c>
      <c r="B857">
        <f>Data_thang!B857</f>
        <v/>
      </c>
      <c r="C857">
        <f>Data_thang!D857</f>
        <v/>
      </c>
      <c r="D857">
        <f>Data_thang!E857</f>
        <v/>
      </c>
      <c r="E857">
        <f>Data_thang!F857</f>
        <v/>
      </c>
      <c r="F857">
        <f>Data_thang!G857</f>
        <v/>
      </c>
      <c r="G857" s="29">
        <f>Data_thang!J857-Data_thang!K857</f>
        <v/>
      </c>
      <c r="H857" s="29">
        <f>Data_thang!N857</f>
        <v/>
      </c>
      <c r="I857" s="29">
        <f>H857-G857</f>
        <v/>
      </c>
      <c r="J857" s="30">
        <f>IF(H857=0,IF(I857=0,0,1),I857/ABS(H857))</f>
        <v/>
      </c>
      <c r="K857" s="29">
        <f>H857-(Data_thang!O857-Data_thang!K857)</f>
        <v/>
      </c>
      <c r="L857">
        <f>IF(AND(ABS(I857)&gt;Dashboard!$G$6,ABS(J857)&gt;Dashboard!$H$6),"⚠ Vượt","")</f>
        <v/>
      </c>
      <c r="M857">
        <f>IF(AND(A857=Dashboard!$D$6,OR(Dashboard!$C$6="*",F857=Dashboard!$C$6),L857&lt;&gt;""),ABS(I857)+ROW()/1000000000,0)</f>
        <v/>
      </c>
    </row>
    <row r="858">
      <c r="A858">
        <f>Data_thang!A858</f>
        <v/>
      </c>
      <c r="B858">
        <f>Data_thang!B858</f>
        <v/>
      </c>
      <c r="C858">
        <f>Data_thang!D858</f>
        <v/>
      </c>
      <c r="D858">
        <f>Data_thang!E858</f>
        <v/>
      </c>
      <c r="E858">
        <f>Data_thang!F858</f>
        <v/>
      </c>
      <c r="F858">
        <f>Data_thang!G858</f>
        <v/>
      </c>
      <c r="G858" s="29">
        <f>Data_thang!J858-Data_thang!K858</f>
        <v/>
      </c>
      <c r="H858" s="29">
        <f>Data_thang!N858</f>
        <v/>
      </c>
      <c r="I858" s="29">
        <f>H858-G858</f>
        <v/>
      </c>
      <c r="J858" s="30">
        <f>IF(H858=0,IF(I858=0,0,1),I858/ABS(H858))</f>
        <v/>
      </c>
      <c r="K858" s="29">
        <f>H858-(Data_thang!O858-Data_thang!K858)</f>
        <v/>
      </c>
      <c r="L858">
        <f>IF(AND(ABS(I858)&gt;Dashboard!$G$6,ABS(J858)&gt;Dashboard!$H$6),"⚠ Vượt","")</f>
        <v/>
      </c>
      <c r="M858">
        <f>IF(AND(A858=Dashboard!$D$6,OR(Dashboard!$C$6="*",F858=Dashboard!$C$6),L858&lt;&gt;""),ABS(I858)+ROW()/1000000000,0)</f>
        <v/>
      </c>
    </row>
    <row r="859">
      <c r="A859">
        <f>Data_thang!A859</f>
        <v/>
      </c>
      <c r="B859">
        <f>Data_thang!B859</f>
        <v/>
      </c>
      <c r="C859">
        <f>Data_thang!D859</f>
        <v/>
      </c>
      <c r="D859">
        <f>Data_thang!E859</f>
        <v/>
      </c>
      <c r="E859">
        <f>Data_thang!F859</f>
        <v/>
      </c>
      <c r="F859">
        <f>Data_thang!G859</f>
        <v/>
      </c>
      <c r="G859" s="29">
        <f>Data_thang!J859-Data_thang!K859</f>
        <v/>
      </c>
      <c r="H859" s="29">
        <f>Data_thang!N859</f>
        <v/>
      </c>
      <c r="I859" s="29">
        <f>H859-G859</f>
        <v/>
      </c>
      <c r="J859" s="30">
        <f>IF(H859=0,IF(I859=0,0,1),I859/ABS(H859))</f>
        <v/>
      </c>
      <c r="K859" s="29">
        <f>H859-(Data_thang!O859-Data_thang!K859)</f>
        <v/>
      </c>
      <c r="L859">
        <f>IF(AND(ABS(I859)&gt;Dashboard!$G$6,ABS(J859)&gt;Dashboard!$H$6),"⚠ Vượt","")</f>
        <v/>
      </c>
      <c r="M859">
        <f>IF(AND(A859=Dashboard!$D$6,OR(Dashboard!$C$6="*",F859=Dashboard!$C$6),L859&lt;&gt;""),ABS(I859)+ROW()/1000000000,0)</f>
        <v/>
      </c>
    </row>
    <row r="860">
      <c r="A860">
        <f>Data_thang!A860</f>
        <v/>
      </c>
      <c r="B860">
        <f>Data_thang!B860</f>
        <v/>
      </c>
      <c r="C860">
        <f>Data_thang!D860</f>
        <v/>
      </c>
      <c r="D860">
        <f>Data_thang!E860</f>
        <v/>
      </c>
      <c r="E860">
        <f>Data_thang!F860</f>
        <v/>
      </c>
      <c r="F860">
        <f>Data_thang!G860</f>
        <v/>
      </c>
      <c r="G860" s="29">
        <f>Data_thang!J860-Data_thang!K860</f>
        <v/>
      </c>
      <c r="H860" s="29">
        <f>Data_thang!N860</f>
        <v/>
      </c>
      <c r="I860" s="29">
        <f>H860-G860</f>
        <v/>
      </c>
      <c r="J860" s="30">
        <f>IF(H860=0,IF(I860=0,0,1),I860/ABS(H860))</f>
        <v/>
      </c>
      <c r="K860" s="29">
        <f>H860-(Data_thang!O860-Data_thang!K860)</f>
        <v/>
      </c>
      <c r="L860">
        <f>IF(AND(ABS(I860)&gt;Dashboard!$G$6,ABS(J860)&gt;Dashboard!$H$6),"⚠ Vượt","")</f>
        <v/>
      </c>
      <c r="M860">
        <f>IF(AND(A860=Dashboard!$D$6,OR(Dashboard!$C$6="*",F860=Dashboard!$C$6),L860&lt;&gt;""),ABS(I860)+ROW()/1000000000,0)</f>
        <v/>
      </c>
    </row>
    <row r="861">
      <c r="A861">
        <f>Data_thang!A861</f>
        <v/>
      </c>
      <c r="B861">
        <f>Data_thang!B861</f>
        <v/>
      </c>
      <c r="C861">
        <f>Data_thang!D861</f>
        <v/>
      </c>
      <c r="D861">
        <f>Data_thang!E861</f>
        <v/>
      </c>
      <c r="E861">
        <f>Data_thang!F861</f>
        <v/>
      </c>
      <c r="F861">
        <f>Data_thang!G861</f>
        <v/>
      </c>
      <c r="G861" s="29">
        <f>Data_thang!J861-Data_thang!K861</f>
        <v/>
      </c>
      <c r="H861" s="29">
        <f>Data_thang!N861</f>
        <v/>
      </c>
      <c r="I861" s="29">
        <f>H861-G861</f>
        <v/>
      </c>
      <c r="J861" s="30">
        <f>IF(H861=0,IF(I861=0,0,1),I861/ABS(H861))</f>
        <v/>
      </c>
      <c r="K861" s="29">
        <f>H861-(Data_thang!O861-Data_thang!K861)</f>
        <v/>
      </c>
      <c r="L861">
        <f>IF(AND(ABS(I861)&gt;Dashboard!$G$6,ABS(J861)&gt;Dashboard!$H$6),"⚠ Vượt","")</f>
        <v/>
      </c>
      <c r="M861">
        <f>IF(AND(A861=Dashboard!$D$6,OR(Dashboard!$C$6="*",F861=Dashboard!$C$6),L861&lt;&gt;""),ABS(I861)+ROW()/1000000000,0)</f>
        <v/>
      </c>
    </row>
    <row r="862">
      <c r="A862">
        <f>Data_thang!A862</f>
        <v/>
      </c>
      <c r="B862">
        <f>Data_thang!B862</f>
        <v/>
      </c>
      <c r="C862">
        <f>Data_thang!D862</f>
        <v/>
      </c>
      <c r="D862">
        <f>Data_thang!E862</f>
        <v/>
      </c>
      <c r="E862">
        <f>Data_thang!F862</f>
        <v/>
      </c>
      <c r="F862">
        <f>Data_thang!G862</f>
        <v/>
      </c>
      <c r="G862" s="29">
        <f>Data_thang!J862-Data_thang!K862</f>
        <v/>
      </c>
      <c r="H862" s="29">
        <f>Data_thang!N862</f>
        <v/>
      </c>
      <c r="I862" s="29">
        <f>H862-G862</f>
        <v/>
      </c>
      <c r="J862" s="30">
        <f>IF(H862=0,IF(I862=0,0,1),I862/ABS(H862))</f>
        <v/>
      </c>
      <c r="K862" s="29">
        <f>H862-(Data_thang!O862-Data_thang!K862)</f>
        <v/>
      </c>
      <c r="L862">
        <f>IF(AND(ABS(I862)&gt;Dashboard!$G$6,ABS(J862)&gt;Dashboard!$H$6),"⚠ Vượt","")</f>
        <v/>
      </c>
      <c r="M862">
        <f>IF(AND(A862=Dashboard!$D$6,OR(Dashboard!$C$6="*",F862=Dashboard!$C$6),L862&lt;&gt;""),ABS(I862)+ROW()/1000000000,0)</f>
        <v/>
      </c>
    </row>
    <row r="863">
      <c r="A863">
        <f>Data_thang!A863</f>
        <v/>
      </c>
      <c r="B863">
        <f>Data_thang!B863</f>
        <v/>
      </c>
      <c r="C863">
        <f>Data_thang!D863</f>
        <v/>
      </c>
      <c r="D863">
        <f>Data_thang!E863</f>
        <v/>
      </c>
      <c r="E863">
        <f>Data_thang!F863</f>
        <v/>
      </c>
      <c r="F863">
        <f>Data_thang!G863</f>
        <v/>
      </c>
      <c r="G863" s="29">
        <f>Data_thang!J863-Data_thang!K863</f>
        <v/>
      </c>
      <c r="H863" s="29">
        <f>Data_thang!N863</f>
        <v/>
      </c>
      <c r="I863" s="29">
        <f>H863-G863</f>
        <v/>
      </c>
      <c r="J863" s="30">
        <f>IF(H863=0,IF(I863=0,0,1),I863/ABS(H863))</f>
        <v/>
      </c>
      <c r="K863" s="29">
        <f>H863-(Data_thang!O863-Data_thang!K863)</f>
        <v/>
      </c>
      <c r="L863">
        <f>IF(AND(ABS(I863)&gt;Dashboard!$G$6,ABS(J863)&gt;Dashboard!$H$6),"⚠ Vượt","")</f>
        <v/>
      </c>
      <c r="M863">
        <f>IF(AND(A863=Dashboard!$D$6,OR(Dashboard!$C$6="*",F863=Dashboard!$C$6),L863&lt;&gt;""),ABS(I863)+ROW()/1000000000,0)</f>
        <v/>
      </c>
    </row>
    <row r="864">
      <c r="A864">
        <f>Data_thang!A864</f>
        <v/>
      </c>
      <c r="B864">
        <f>Data_thang!B864</f>
        <v/>
      </c>
      <c r="C864">
        <f>Data_thang!D864</f>
        <v/>
      </c>
      <c r="D864">
        <f>Data_thang!E864</f>
        <v/>
      </c>
      <c r="E864">
        <f>Data_thang!F864</f>
        <v/>
      </c>
      <c r="F864">
        <f>Data_thang!G864</f>
        <v/>
      </c>
      <c r="G864" s="29">
        <f>Data_thang!J864-Data_thang!K864</f>
        <v/>
      </c>
      <c r="H864" s="29">
        <f>Data_thang!N864</f>
        <v/>
      </c>
      <c r="I864" s="29">
        <f>H864-G864</f>
        <v/>
      </c>
      <c r="J864" s="30">
        <f>IF(H864=0,IF(I864=0,0,1),I864/ABS(H864))</f>
        <v/>
      </c>
      <c r="K864" s="29">
        <f>H864-(Data_thang!O864-Data_thang!K864)</f>
        <v/>
      </c>
      <c r="L864">
        <f>IF(AND(ABS(I864)&gt;Dashboard!$G$6,ABS(J864)&gt;Dashboard!$H$6),"⚠ Vượt","")</f>
        <v/>
      </c>
      <c r="M864">
        <f>IF(AND(A864=Dashboard!$D$6,OR(Dashboard!$C$6="*",F864=Dashboard!$C$6),L864&lt;&gt;""),ABS(I864)+ROW()/1000000000,0)</f>
        <v/>
      </c>
    </row>
    <row r="865">
      <c r="A865">
        <f>Data_thang!A865</f>
        <v/>
      </c>
      <c r="B865">
        <f>Data_thang!B865</f>
        <v/>
      </c>
      <c r="C865">
        <f>Data_thang!D865</f>
        <v/>
      </c>
      <c r="D865">
        <f>Data_thang!E865</f>
        <v/>
      </c>
      <c r="E865">
        <f>Data_thang!F865</f>
        <v/>
      </c>
      <c r="F865">
        <f>Data_thang!G865</f>
        <v/>
      </c>
      <c r="G865" s="29">
        <f>Data_thang!J865-Data_thang!K865</f>
        <v/>
      </c>
      <c r="H865" s="29">
        <f>Data_thang!N865</f>
        <v/>
      </c>
      <c r="I865" s="29">
        <f>H865-G865</f>
        <v/>
      </c>
      <c r="J865" s="30">
        <f>IF(H865=0,IF(I865=0,0,1),I865/ABS(H865))</f>
        <v/>
      </c>
      <c r="K865" s="29">
        <f>H865-(Data_thang!O865-Data_thang!K865)</f>
        <v/>
      </c>
      <c r="L865">
        <f>IF(AND(ABS(I865)&gt;Dashboard!$G$6,ABS(J865)&gt;Dashboard!$H$6),"⚠ Vượt","")</f>
        <v/>
      </c>
      <c r="M865">
        <f>IF(AND(A865=Dashboard!$D$6,OR(Dashboard!$C$6="*",F865=Dashboard!$C$6),L865&lt;&gt;""),ABS(I865)+ROW()/1000000000,0)</f>
        <v/>
      </c>
    </row>
    <row r="866">
      <c r="A866">
        <f>Data_thang!A866</f>
        <v/>
      </c>
      <c r="B866">
        <f>Data_thang!B866</f>
        <v/>
      </c>
      <c r="C866">
        <f>Data_thang!D866</f>
        <v/>
      </c>
      <c r="D866">
        <f>Data_thang!E866</f>
        <v/>
      </c>
      <c r="E866">
        <f>Data_thang!F866</f>
        <v/>
      </c>
      <c r="F866">
        <f>Data_thang!G866</f>
        <v/>
      </c>
      <c r="G866" s="29">
        <f>Data_thang!J866-Data_thang!K866</f>
        <v/>
      </c>
      <c r="H866" s="29">
        <f>Data_thang!N866</f>
        <v/>
      </c>
      <c r="I866" s="29">
        <f>H866-G866</f>
        <v/>
      </c>
      <c r="J866" s="30">
        <f>IF(H866=0,IF(I866=0,0,1),I866/ABS(H866))</f>
        <v/>
      </c>
      <c r="K866" s="29">
        <f>H866-(Data_thang!O866-Data_thang!K866)</f>
        <v/>
      </c>
      <c r="L866">
        <f>IF(AND(ABS(I866)&gt;Dashboard!$G$6,ABS(J866)&gt;Dashboard!$H$6),"⚠ Vượt","")</f>
        <v/>
      </c>
      <c r="M866">
        <f>IF(AND(A866=Dashboard!$D$6,OR(Dashboard!$C$6="*",F866=Dashboard!$C$6),L866&lt;&gt;""),ABS(I866)+ROW()/1000000000,0)</f>
        <v/>
      </c>
    </row>
    <row r="867">
      <c r="A867">
        <f>Data_thang!A867</f>
        <v/>
      </c>
      <c r="B867">
        <f>Data_thang!B867</f>
        <v/>
      </c>
      <c r="C867">
        <f>Data_thang!D867</f>
        <v/>
      </c>
      <c r="D867">
        <f>Data_thang!E867</f>
        <v/>
      </c>
      <c r="E867">
        <f>Data_thang!F867</f>
        <v/>
      </c>
      <c r="F867">
        <f>Data_thang!G867</f>
        <v/>
      </c>
      <c r="G867" s="29">
        <f>Data_thang!J867-Data_thang!K867</f>
        <v/>
      </c>
      <c r="H867" s="29">
        <f>Data_thang!N867</f>
        <v/>
      </c>
      <c r="I867" s="29">
        <f>H867-G867</f>
        <v/>
      </c>
      <c r="J867" s="30">
        <f>IF(H867=0,IF(I867=0,0,1),I867/ABS(H867))</f>
        <v/>
      </c>
      <c r="K867" s="29">
        <f>H867-(Data_thang!O867-Data_thang!K867)</f>
        <v/>
      </c>
      <c r="L867">
        <f>IF(AND(ABS(I867)&gt;Dashboard!$G$6,ABS(J867)&gt;Dashboard!$H$6),"⚠ Vượt","")</f>
        <v/>
      </c>
      <c r="M867">
        <f>IF(AND(A867=Dashboard!$D$6,OR(Dashboard!$C$6="*",F867=Dashboard!$C$6),L867&lt;&gt;""),ABS(I867)+ROW()/1000000000,0)</f>
        <v/>
      </c>
    </row>
    <row r="868">
      <c r="A868">
        <f>Data_thang!A868</f>
        <v/>
      </c>
      <c r="B868">
        <f>Data_thang!B868</f>
        <v/>
      </c>
      <c r="C868">
        <f>Data_thang!D868</f>
        <v/>
      </c>
      <c r="D868">
        <f>Data_thang!E868</f>
        <v/>
      </c>
      <c r="E868">
        <f>Data_thang!F868</f>
        <v/>
      </c>
      <c r="F868">
        <f>Data_thang!G868</f>
        <v/>
      </c>
      <c r="G868" s="29">
        <f>Data_thang!J868-Data_thang!K868</f>
        <v/>
      </c>
      <c r="H868" s="29">
        <f>Data_thang!N868</f>
        <v/>
      </c>
      <c r="I868" s="29">
        <f>H868-G868</f>
        <v/>
      </c>
      <c r="J868" s="30">
        <f>IF(H868=0,IF(I868=0,0,1),I868/ABS(H868))</f>
        <v/>
      </c>
      <c r="K868" s="29">
        <f>H868-(Data_thang!O868-Data_thang!K868)</f>
        <v/>
      </c>
      <c r="L868">
        <f>IF(AND(ABS(I868)&gt;Dashboard!$G$6,ABS(J868)&gt;Dashboard!$H$6),"⚠ Vượt","")</f>
        <v/>
      </c>
      <c r="M868">
        <f>IF(AND(A868=Dashboard!$D$6,OR(Dashboard!$C$6="*",F868=Dashboard!$C$6),L868&lt;&gt;""),ABS(I868)+ROW()/1000000000,0)</f>
        <v/>
      </c>
    </row>
    <row r="869">
      <c r="A869">
        <f>Data_thang!A869</f>
        <v/>
      </c>
      <c r="B869">
        <f>Data_thang!B869</f>
        <v/>
      </c>
      <c r="C869">
        <f>Data_thang!D869</f>
        <v/>
      </c>
      <c r="D869">
        <f>Data_thang!E869</f>
        <v/>
      </c>
      <c r="E869">
        <f>Data_thang!F869</f>
        <v/>
      </c>
      <c r="F869">
        <f>Data_thang!G869</f>
        <v/>
      </c>
      <c r="G869" s="29">
        <f>Data_thang!J869-Data_thang!K869</f>
        <v/>
      </c>
      <c r="H869" s="29">
        <f>Data_thang!N869</f>
        <v/>
      </c>
      <c r="I869" s="29">
        <f>H869-G869</f>
        <v/>
      </c>
      <c r="J869" s="30">
        <f>IF(H869=0,IF(I869=0,0,1),I869/ABS(H869))</f>
        <v/>
      </c>
      <c r="K869" s="29">
        <f>H869-(Data_thang!O869-Data_thang!K869)</f>
        <v/>
      </c>
      <c r="L869">
        <f>IF(AND(ABS(I869)&gt;Dashboard!$G$6,ABS(J869)&gt;Dashboard!$H$6),"⚠ Vượt","")</f>
        <v/>
      </c>
      <c r="M869">
        <f>IF(AND(A869=Dashboard!$D$6,OR(Dashboard!$C$6="*",F869=Dashboard!$C$6),L869&lt;&gt;""),ABS(I869)+ROW()/1000000000,0)</f>
        <v/>
      </c>
    </row>
    <row r="870">
      <c r="A870">
        <f>Data_thang!A870</f>
        <v/>
      </c>
      <c r="B870">
        <f>Data_thang!B870</f>
        <v/>
      </c>
      <c r="C870">
        <f>Data_thang!D870</f>
        <v/>
      </c>
      <c r="D870">
        <f>Data_thang!E870</f>
        <v/>
      </c>
      <c r="E870">
        <f>Data_thang!F870</f>
        <v/>
      </c>
      <c r="F870">
        <f>Data_thang!G870</f>
        <v/>
      </c>
      <c r="G870" s="29">
        <f>Data_thang!J870-Data_thang!K870</f>
        <v/>
      </c>
      <c r="H870" s="29">
        <f>Data_thang!N870</f>
        <v/>
      </c>
      <c r="I870" s="29">
        <f>H870-G870</f>
        <v/>
      </c>
      <c r="J870" s="30">
        <f>IF(H870=0,IF(I870=0,0,1),I870/ABS(H870))</f>
        <v/>
      </c>
      <c r="K870" s="29">
        <f>H870-(Data_thang!O870-Data_thang!K870)</f>
        <v/>
      </c>
      <c r="L870">
        <f>IF(AND(ABS(I870)&gt;Dashboard!$G$6,ABS(J870)&gt;Dashboard!$H$6),"⚠ Vượt","")</f>
        <v/>
      </c>
      <c r="M870">
        <f>IF(AND(A870=Dashboard!$D$6,OR(Dashboard!$C$6="*",F870=Dashboard!$C$6),L870&lt;&gt;""),ABS(I870)+ROW()/1000000000,0)</f>
        <v/>
      </c>
    </row>
    <row r="871">
      <c r="A871">
        <f>Data_thang!A871</f>
        <v/>
      </c>
      <c r="B871">
        <f>Data_thang!B871</f>
        <v/>
      </c>
      <c r="C871">
        <f>Data_thang!D871</f>
        <v/>
      </c>
      <c r="D871">
        <f>Data_thang!E871</f>
        <v/>
      </c>
      <c r="E871">
        <f>Data_thang!F871</f>
        <v/>
      </c>
      <c r="F871">
        <f>Data_thang!G871</f>
        <v/>
      </c>
      <c r="G871" s="29">
        <f>Data_thang!J871-Data_thang!K871</f>
        <v/>
      </c>
      <c r="H871" s="29">
        <f>Data_thang!N871</f>
        <v/>
      </c>
      <c r="I871" s="29">
        <f>H871-G871</f>
        <v/>
      </c>
      <c r="J871" s="30">
        <f>IF(H871=0,IF(I871=0,0,1),I871/ABS(H871))</f>
        <v/>
      </c>
      <c r="K871" s="29">
        <f>H871-(Data_thang!O871-Data_thang!K871)</f>
        <v/>
      </c>
      <c r="L871">
        <f>IF(AND(ABS(I871)&gt;Dashboard!$G$6,ABS(J871)&gt;Dashboard!$H$6),"⚠ Vượt","")</f>
        <v/>
      </c>
      <c r="M871">
        <f>IF(AND(A871=Dashboard!$D$6,OR(Dashboard!$C$6="*",F871=Dashboard!$C$6),L871&lt;&gt;""),ABS(I871)+ROW()/1000000000,0)</f>
        <v/>
      </c>
    </row>
    <row r="872">
      <c r="A872">
        <f>Data_thang!A872</f>
        <v/>
      </c>
      <c r="B872">
        <f>Data_thang!B872</f>
        <v/>
      </c>
      <c r="C872">
        <f>Data_thang!D872</f>
        <v/>
      </c>
      <c r="D872">
        <f>Data_thang!E872</f>
        <v/>
      </c>
      <c r="E872">
        <f>Data_thang!F872</f>
        <v/>
      </c>
      <c r="F872">
        <f>Data_thang!G872</f>
        <v/>
      </c>
      <c r="G872" s="29">
        <f>Data_thang!J872-Data_thang!K872</f>
        <v/>
      </c>
      <c r="H872" s="29">
        <f>Data_thang!N872</f>
        <v/>
      </c>
      <c r="I872" s="29">
        <f>H872-G872</f>
        <v/>
      </c>
      <c r="J872" s="30">
        <f>IF(H872=0,IF(I872=0,0,1),I872/ABS(H872))</f>
        <v/>
      </c>
      <c r="K872" s="29">
        <f>H872-(Data_thang!O872-Data_thang!K872)</f>
        <v/>
      </c>
      <c r="L872">
        <f>IF(AND(ABS(I872)&gt;Dashboard!$G$6,ABS(J872)&gt;Dashboard!$H$6),"⚠ Vượt","")</f>
        <v/>
      </c>
      <c r="M872">
        <f>IF(AND(A872=Dashboard!$D$6,OR(Dashboard!$C$6="*",F872=Dashboard!$C$6),L872&lt;&gt;""),ABS(I872)+ROW()/1000000000,0)</f>
        <v/>
      </c>
    </row>
    <row r="873">
      <c r="A873">
        <f>Data_thang!A873</f>
        <v/>
      </c>
      <c r="B873">
        <f>Data_thang!B873</f>
        <v/>
      </c>
      <c r="C873">
        <f>Data_thang!D873</f>
        <v/>
      </c>
      <c r="D873">
        <f>Data_thang!E873</f>
        <v/>
      </c>
      <c r="E873">
        <f>Data_thang!F873</f>
        <v/>
      </c>
      <c r="F873">
        <f>Data_thang!G873</f>
        <v/>
      </c>
      <c r="G873" s="29">
        <f>Data_thang!J873-Data_thang!K873</f>
        <v/>
      </c>
      <c r="H873" s="29">
        <f>Data_thang!N873</f>
        <v/>
      </c>
      <c r="I873" s="29">
        <f>H873-G873</f>
        <v/>
      </c>
      <c r="J873" s="30">
        <f>IF(H873=0,IF(I873=0,0,1),I873/ABS(H873))</f>
        <v/>
      </c>
      <c r="K873" s="29">
        <f>H873-(Data_thang!O873-Data_thang!K873)</f>
        <v/>
      </c>
      <c r="L873">
        <f>IF(AND(ABS(I873)&gt;Dashboard!$G$6,ABS(J873)&gt;Dashboard!$H$6),"⚠ Vượt","")</f>
        <v/>
      </c>
      <c r="M873">
        <f>IF(AND(A873=Dashboard!$D$6,OR(Dashboard!$C$6="*",F873=Dashboard!$C$6),L873&lt;&gt;""),ABS(I873)+ROW()/1000000000,0)</f>
        <v/>
      </c>
    </row>
    <row r="874">
      <c r="A874">
        <f>Data_thang!A874</f>
        <v/>
      </c>
      <c r="B874">
        <f>Data_thang!B874</f>
        <v/>
      </c>
      <c r="C874">
        <f>Data_thang!D874</f>
        <v/>
      </c>
      <c r="D874">
        <f>Data_thang!E874</f>
        <v/>
      </c>
      <c r="E874">
        <f>Data_thang!F874</f>
        <v/>
      </c>
      <c r="F874">
        <f>Data_thang!G874</f>
        <v/>
      </c>
      <c r="G874" s="29">
        <f>Data_thang!J874-Data_thang!K874</f>
        <v/>
      </c>
      <c r="H874" s="29">
        <f>Data_thang!N874</f>
        <v/>
      </c>
      <c r="I874" s="29">
        <f>H874-G874</f>
        <v/>
      </c>
      <c r="J874" s="30">
        <f>IF(H874=0,IF(I874=0,0,1),I874/ABS(H874))</f>
        <v/>
      </c>
      <c r="K874" s="29">
        <f>H874-(Data_thang!O874-Data_thang!K874)</f>
        <v/>
      </c>
      <c r="L874">
        <f>IF(AND(ABS(I874)&gt;Dashboard!$G$6,ABS(J874)&gt;Dashboard!$H$6),"⚠ Vượt","")</f>
        <v/>
      </c>
      <c r="M874">
        <f>IF(AND(A874=Dashboard!$D$6,OR(Dashboard!$C$6="*",F874=Dashboard!$C$6),L874&lt;&gt;""),ABS(I874)+ROW()/1000000000,0)</f>
        <v/>
      </c>
    </row>
    <row r="875">
      <c r="A875">
        <f>Data_thang!A875</f>
        <v/>
      </c>
      <c r="B875">
        <f>Data_thang!B875</f>
        <v/>
      </c>
      <c r="C875">
        <f>Data_thang!D875</f>
        <v/>
      </c>
      <c r="D875">
        <f>Data_thang!E875</f>
        <v/>
      </c>
      <c r="E875">
        <f>Data_thang!F875</f>
        <v/>
      </c>
      <c r="F875">
        <f>Data_thang!G875</f>
        <v/>
      </c>
      <c r="G875" s="29">
        <f>Data_thang!J875-Data_thang!K875</f>
        <v/>
      </c>
      <c r="H875" s="29">
        <f>Data_thang!N875</f>
        <v/>
      </c>
      <c r="I875" s="29">
        <f>H875-G875</f>
        <v/>
      </c>
      <c r="J875" s="30">
        <f>IF(H875=0,IF(I875=0,0,1),I875/ABS(H875))</f>
        <v/>
      </c>
      <c r="K875" s="29">
        <f>H875-(Data_thang!O875-Data_thang!K875)</f>
        <v/>
      </c>
      <c r="L875">
        <f>IF(AND(ABS(I875)&gt;Dashboard!$G$6,ABS(J875)&gt;Dashboard!$H$6),"⚠ Vượt","")</f>
        <v/>
      </c>
      <c r="M875">
        <f>IF(AND(A875=Dashboard!$D$6,OR(Dashboard!$C$6="*",F875=Dashboard!$C$6),L875&lt;&gt;""),ABS(I875)+ROW()/1000000000,0)</f>
        <v/>
      </c>
    </row>
    <row r="876">
      <c r="A876">
        <f>Data_thang!A876</f>
        <v/>
      </c>
      <c r="B876">
        <f>Data_thang!B876</f>
        <v/>
      </c>
      <c r="C876">
        <f>Data_thang!D876</f>
        <v/>
      </c>
      <c r="D876">
        <f>Data_thang!E876</f>
        <v/>
      </c>
      <c r="E876">
        <f>Data_thang!F876</f>
        <v/>
      </c>
      <c r="F876">
        <f>Data_thang!G876</f>
        <v/>
      </c>
      <c r="G876" s="29">
        <f>Data_thang!J876-Data_thang!K876</f>
        <v/>
      </c>
      <c r="H876" s="29">
        <f>Data_thang!N876</f>
        <v/>
      </c>
      <c r="I876" s="29">
        <f>H876-G876</f>
        <v/>
      </c>
      <c r="J876" s="30">
        <f>IF(H876=0,IF(I876=0,0,1),I876/ABS(H876))</f>
        <v/>
      </c>
      <c r="K876" s="29">
        <f>H876-(Data_thang!O876-Data_thang!K876)</f>
        <v/>
      </c>
      <c r="L876">
        <f>IF(AND(ABS(I876)&gt;Dashboard!$G$6,ABS(J876)&gt;Dashboard!$H$6),"⚠ Vượt","")</f>
        <v/>
      </c>
      <c r="M876">
        <f>IF(AND(A876=Dashboard!$D$6,OR(Dashboard!$C$6="*",F876=Dashboard!$C$6),L876&lt;&gt;""),ABS(I876)+ROW()/1000000000,0)</f>
        <v/>
      </c>
    </row>
    <row r="877">
      <c r="A877">
        <f>Data_thang!A877</f>
        <v/>
      </c>
      <c r="B877">
        <f>Data_thang!B877</f>
        <v/>
      </c>
      <c r="C877">
        <f>Data_thang!D877</f>
        <v/>
      </c>
      <c r="D877">
        <f>Data_thang!E877</f>
        <v/>
      </c>
      <c r="E877">
        <f>Data_thang!F877</f>
        <v/>
      </c>
      <c r="F877">
        <f>Data_thang!G877</f>
        <v/>
      </c>
      <c r="G877" s="29">
        <f>Data_thang!J877-Data_thang!K877</f>
        <v/>
      </c>
      <c r="H877" s="29">
        <f>Data_thang!N877</f>
        <v/>
      </c>
      <c r="I877" s="29">
        <f>H877-G877</f>
        <v/>
      </c>
      <c r="J877" s="30">
        <f>IF(H877=0,IF(I877=0,0,1),I877/ABS(H877))</f>
        <v/>
      </c>
      <c r="K877" s="29">
        <f>H877-(Data_thang!O877-Data_thang!K877)</f>
        <v/>
      </c>
      <c r="L877">
        <f>IF(AND(ABS(I877)&gt;Dashboard!$G$6,ABS(J877)&gt;Dashboard!$H$6),"⚠ Vượt","")</f>
        <v/>
      </c>
      <c r="M877">
        <f>IF(AND(A877=Dashboard!$D$6,OR(Dashboard!$C$6="*",F877=Dashboard!$C$6),L877&lt;&gt;""),ABS(I877)+ROW()/1000000000,0)</f>
        <v/>
      </c>
    </row>
    <row r="878">
      <c r="A878">
        <f>Data_thang!A878</f>
        <v/>
      </c>
      <c r="B878">
        <f>Data_thang!B878</f>
        <v/>
      </c>
      <c r="C878">
        <f>Data_thang!D878</f>
        <v/>
      </c>
      <c r="D878">
        <f>Data_thang!E878</f>
        <v/>
      </c>
      <c r="E878">
        <f>Data_thang!F878</f>
        <v/>
      </c>
      <c r="F878">
        <f>Data_thang!G878</f>
        <v/>
      </c>
      <c r="G878" s="29">
        <f>Data_thang!J878-Data_thang!K878</f>
        <v/>
      </c>
      <c r="H878" s="29">
        <f>Data_thang!N878</f>
        <v/>
      </c>
      <c r="I878" s="29">
        <f>H878-G878</f>
        <v/>
      </c>
      <c r="J878" s="30">
        <f>IF(H878=0,IF(I878=0,0,1),I878/ABS(H878))</f>
        <v/>
      </c>
      <c r="K878" s="29">
        <f>H878-(Data_thang!O878-Data_thang!K878)</f>
        <v/>
      </c>
      <c r="L878">
        <f>IF(AND(ABS(I878)&gt;Dashboard!$G$6,ABS(J878)&gt;Dashboard!$H$6),"⚠ Vượt","")</f>
        <v/>
      </c>
      <c r="M878">
        <f>IF(AND(A878=Dashboard!$D$6,OR(Dashboard!$C$6="*",F878=Dashboard!$C$6),L878&lt;&gt;""),ABS(I878)+ROW()/1000000000,0)</f>
        <v/>
      </c>
    </row>
    <row r="879">
      <c r="A879">
        <f>Data_thang!A879</f>
        <v/>
      </c>
      <c r="B879">
        <f>Data_thang!B879</f>
        <v/>
      </c>
      <c r="C879">
        <f>Data_thang!D879</f>
        <v/>
      </c>
      <c r="D879">
        <f>Data_thang!E879</f>
        <v/>
      </c>
      <c r="E879">
        <f>Data_thang!F879</f>
        <v/>
      </c>
      <c r="F879">
        <f>Data_thang!G879</f>
        <v/>
      </c>
      <c r="G879" s="29">
        <f>Data_thang!J879-Data_thang!K879</f>
        <v/>
      </c>
      <c r="H879" s="29">
        <f>Data_thang!N879</f>
        <v/>
      </c>
      <c r="I879" s="29">
        <f>H879-G879</f>
        <v/>
      </c>
      <c r="J879" s="30">
        <f>IF(H879=0,IF(I879=0,0,1),I879/ABS(H879))</f>
        <v/>
      </c>
      <c r="K879" s="29">
        <f>H879-(Data_thang!O879-Data_thang!K879)</f>
        <v/>
      </c>
      <c r="L879">
        <f>IF(AND(ABS(I879)&gt;Dashboard!$G$6,ABS(J879)&gt;Dashboard!$H$6),"⚠ Vượt","")</f>
        <v/>
      </c>
      <c r="M879">
        <f>IF(AND(A879=Dashboard!$D$6,OR(Dashboard!$C$6="*",F879=Dashboard!$C$6),L879&lt;&gt;""),ABS(I879)+ROW()/1000000000,0)</f>
        <v/>
      </c>
    </row>
    <row r="880">
      <c r="A880">
        <f>Data_thang!A880</f>
        <v/>
      </c>
      <c r="B880">
        <f>Data_thang!B880</f>
        <v/>
      </c>
      <c r="C880">
        <f>Data_thang!D880</f>
        <v/>
      </c>
      <c r="D880">
        <f>Data_thang!E880</f>
        <v/>
      </c>
      <c r="E880">
        <f>Data_thang!F880</f>
        <v/>
      </c>
      <c r="F880">
        <f>Data_thang!G880</f>
        <v/>
      </c>
      <c r="G880" s="29">
        <f>Data_thang!J880-Data_thang!K880</f>
        <v/>
      </c>
      <c r="H880" s="29">
        <f>Data_thang!N880</f>
        <v/>
      </c>
      <c r="I880" s="29">
        <f>H880-G880</f>
        <v/>
      </c>
      <c r="J880" s="30">
        <f>IF(H880=0,IF(I880=0,0,1),I880/ABS(H880))</f>
        <v/>
      </c>
      <c r="K880" s="29">
        <f>H880-(Data_thang!O880-Data_thang!K880)</f>
        <v/>
      </c>
      <c r="L880">
        <f>IF(AND(ABS(I880)&gt;Dashboard!$G$6,ABS(J880)&gt;Dashboard!$H$6),"⚠ Vượt","")</f>
        <v/>
      </c>
      <c r="M880">
        <f>IF(AND(A880=Dashboard!$D$6,OR(Dashboard!$C$6="*",F880=Dashboard!$C$6),L880&lt;&gt;""),ABS(I880)+ROW()/1000000000,0)</f>
        <v/>
      </c>
    </row>
    <row r="881">
      <c r="A881">
        <f>Data_thang!A881</f>
        <v/>
      </c>
      <c r="B881">
        <f>Data_thang!B881</f>
        <v/>
      </c>
      <c r="C881">
        <f>Data_thang!D881</f>
        <v/>
      </c>
      <c r="D881">
        <f>Data_thang!E881</f>
        <v/>
      </c>
      <c r="E881">
        <f>Data_thang!F881</f>
        <v/>
      </c>
      <c r="F881">
        <f>Data_thang!G881</f>
        <v/>
      </c>
      <c r="G881" s="29">
        <f>Data_thang!J881-Data_thang!K881</f>
        <v/>
      </c>
      <c r="H881" s="29">
        <f>Data_thang!N881</f>
        <v/>
      </c>
      <c r="I881" s="29">
        <f>H881-G881</f>
        <v/>
      </c>
      <c r="J881" s="30">
        <f>IF(H881=0,IF(I881=0,0,1),I881/ABS(H881))</f>
        <v/>
      </c>
      <c r="K881" s="29">
        <f>H881-(Data_thang!O881-Data_thang!K881)</f>
        <v/>
      </c>
      <c r="L881">
        <f>IF(AND(ABS(I881)&gt;Dashboard!$G$6,ABS(J881)&gt;Dashboard!$H$6),"⚠ Vượt","")</f>
        <v/>
      </c>
      <c r="M881">
        <f>IF(AND(A881=Dashboard!$D$6,OR(Dashboard!$C$6="*",F881=Dashboard!$C$6),L881&lt;&gt;""),ABS(I881)+ROW()/1000000000,0)</f>
        <v/>
      </c>
    </row>
    <row r="882">
      <c r="A882">
        <f>Data_thang!A882</f>
        <v/>
      </c>
      <c r="B882">
        <f>Data_thang!B882</f>
        <v/>
      </c>
      <c r="C882">
        <f>Data_thang!D882</f>
        <v/>
      </c>
      <c r="D882">
        <f>Data_thang!E882</f>
        <v/>
      </c>
      <c r="E882">
        <f>Data_thang!F882</f>
        <v/>
      </c>
      <c r="F882">
        <f>Data_thang!G882</f>
        <v/>
      </c>
      <c r="G882" s="29">
        <f>Data_thang!J882-Data_thang!K882</f>
        <v/>
      </c>
      <c r="H882" s="29">
        <f>Data_thang!N882</f>
        <v/>
      </c>
      <c r="I882" s="29">
        <f>H882-G882</f>
        <v/>
      </c>
      <c r="J882" s="30">
        <f>IF(H882=0,IF(I882=0,0,1),I882/ABS(H882))</f>
        <v/>
      </c>
      <c r="K882" s="29">
        <f>H882-(Data_thang!O882-Data_thang!K882)</f>
        <v/>
      </c>
      <c r="L882">
        <f>IF(AND(ABS(I882)&gt;Dashboard!$G$6,ABS(J882)&gt;Dashboard!$H$6),"⚠ Vượt","")</f>
        <v/>
      </c>
      <c r="M882">
        <f>IF(AND(A882=Dashboard!$D$6,OR(Dashboard!$C$6="*",F882=Dashboard!$C$6),L882&lt;&gt;""),ABS(I882)+ROW()/1000000000,0)</f>
        <v/>
      </c>
    </row>
    <row r="883">
      <c r="A883">
        <f>Data_thang!A883</f>
        <v/>
      </c>
      <c r="B883">
        <f>Data_thang!B883</f>
        <v/>
      </c>
      <c r="C883">
        <f>Data_thang!D883</f>
        <v/>
      </c>
      <c r="D883">
        <f>Data_thang!E883</f>
        <v/>
      </c>
      <c r="E883">
        <f>Data_thang!F883</f>
        <v/>
      </c>
      <c r="F883">
        <f>Data_thang!G883</f>
        <v/>
      </c>
      <c r="G883" s="29">
        <f>Data_thang!J883-Data_thang!K883</f>
        <v/>
      </c>
      <c r="H883" s="29">
        <f>Data_thang!N883</f>
        <v/>
      </c>
      <c r="I883" s="29">
        <f>H883-G883</f>
        <v/>
      </c>
      <c r="J883" s="30">
        <f>IF(H883=0,IF(I883=0,0,1),I883/ABS(H883))</f>
        <v/>
      </c>
      <c r="K883" s="29">
        <f>H883-(Data_thang!O883-Data_thang!K883)</f>
        <v/>
      </c>
      <c r="L883">
        <f>IF(AND(ABS(I883)&gt;Dashboard!$G$6,ABS(J883)&gt;Dashboard!$H$6),"⚠ Vượt","")</f>
        <v/>
      </c>
      <c r="M883">
        <f>IF(AND(A883=Dashboard!$D$6,OR(Dashboard!$C$6="*",F883=Dashboard!$C$6),L883&lt;&gt;""),ABS(I883)+ROW()/1000000000,0)</f>
        <v/>
      </c>
    </row>
    <row r="884">
      <c r="A884">
        <f>Data_thang!A884</f>
        <v/>
      </c>
      <c r="B884">
        <f>Data_thang!B884</f>
        <v/>
      </c>
      <c r="C884">
        <f>Data_thang!D884</f>
        <v/>
      </c>
      <c r="D884">
        <f>Data_thang!E884</f>
        <v/>
      </c>
      <c r="E884">
        <f>Data_thang!F884</f>
        <v/>
      </c>
      <c r="F884">
        <f>Data_thang!G884</f>
        <v/>
      </c>
      <c r="G884" s="29">
        <f>Data_thang!J884-Data_thang!K884</f>
        <v/>
      </c>
      <c r="H884" s="29">
        <f>Data_thang!N884</f>
        <v/>
      </c>
      <c r="I884" s="29">
        <f>H884-G884</f>
        <v/>
      </c>
      <c r="J884" s="30">
        <f>IF(H884=0,IF(I884=0,0,1),I884/ABS(H884))</f>
        <v/>
      </c>
      <c r="K884" s="29">
        <f>H884-(Data_thang!O884-Data_thang!K884)</f>
        <v/>
      </c>
      <c r="L884">
        <f>IF(AND(ABS(I884)&gt;Dashboard!$G$6,ABS(J884)&gt;Dashboard!$H$6),"⚠ Vượt","")</f>
        <v/>
      </c>
      <c r="M884">
        <f>IF(AND(A884=Dashboard!$D$6,OR(Dashboard!$C$6="*",F884=Dashboard!$C$6),L884&lt;&gt;""),ABS(I884)+ROW()/1000000000,0)</f>
        <v/>
      </c>
    </row>
    <row r="885">
      <c r="A885">
        <f>Data_thang!A885</f>
        <v/>
      </c>
      <c r="B885">
        <f>Data_thang!B885</f>
        <v/>
      </c>
      <c r="C885">
        <f>Data_thang!D885</f>
        <v/>
      </c>
      <c r="D885">
        <f>Data_thang!E885</f>
        <v/>
      </c>
      <c r="E885">
        <f>Data_thang!F885</f>
        <v/>
      </c>
      <c r="F885">
        <f>Data_thang!G885</f>
        <v/>
      </c>
      <c r="G885" s="29">
        <f>Data_thang!J885-Data_thang!K885</f>
        <v/>
      </c>
      <c r="H885" s="29">
        <f>Data_thang!N885</f>
        <v/>
      </c>
      <c r="I885" s="29">
        <f>H885-G885</f>
        <v/>
      </c>
      <c r="J885" s="30">
        <f>IF(H885=0,IF(I885=0,0,1),I885/ABS(H885))</f>
        <v/>
      </c>
      <c r="K885" s="29">
        <f>H885-(Data_thang!O885-Data_thang!K885)</f>
        <v/>
      </c>
      <c r="L885">
        <f>IF(AND(ABS(I885)&gt;Dashboard!$G$6,ABS(J885)&gt;Dashboard!$H$6),"⚠ Vượt","")</f>
        <v/>
      </c>
      <c r="M885">
        <f>IF(AND(A885=Dashboard!$D$6,OR(Dashboard!$C$6="*",F885=Dashboard!$C$6),L885&lt;&gt;""),ABS(I885)+ROW()/1000000000,0)</f>
        <v/>
      </c>
    </row>
    <row r="886">
      <c r="A886">
        <f>Data_thang!A886</f>
        <v/>
      </c>
      <c r="B886">
        <f>Data_thang!B886</f>
        <v/>
      </c>
      <c r="C886">
        <f>Data_thang!D886</f>
        <v/>
      </c>
      <c r="D886">
        <f>Data_thang!E886</f>
        <v/>
      </c>
      <c r="E886">
        <f>Data_thang!F886</f>
        <v/>
      </c>
      <c r="F886">
        <f>Data_thang!G886</f>
        <v/>
      </c>
      <c r="G886" s="29">
        <f>Data_thang!J886-Data_thang!K886</f>
        <v/>
      </c>
      <c r="H886" s="29">
        <f>Data_thang!N886</f>
        <v/>
      </c>
      <c r="I886" s="29">
        <f>H886-G886</f>
        <v/>
      </c>
      <c r="J886" s="30">
        <f>IF(H886=0,IF(I886=0,0,1),I886/ABS(H886))</f>
        <v/>
      </c>
      <c r="K886" s="29">
        <f>H886-(Data_thang!O886-Data_thang!K886)</f>
        <v/>
      </c>
      <c r="L886">
        <f>IF(AND(ABS(I886)&gt;Dashboard!$G$6,ABS(J886)&gt;Dashboard!$H$6),"⚠ Vượt","")</f>
        <v/>
      </c>
      <c r="M886">
        <f>IF(AND(A886=Dashboard!$D$6,OR(Dashboard!$C$6="*",F886=Dashboard!$C$6),L886&lt;&gt;""),ABS(I886)+ROW()/1000000000,0)</f>
        <v/>
      </c>
    </row>
    <row r="887">
      <c r="A887">
        <f>Data_thang!A887</f>
        <v/>
      </c>
      <c r="B887">
        <f>Data_thang!B887</f>
        <v/>
      </c>
      <c r="C887">
        <f>Data_thang!D887</f>
        <v/>
      </c>
      <c r="D887">
        <f>Data_thang!E887</f>
        <v/>
      </c>
      <c r="E887">
        <f>Data_thang!F887</f>
        <v/>
      </c>
      <c r="F887">
        <f>Data_thang!G887</f>
        <v/>
      </c>
      <c r="G887" s="29">
        <f>Data_thang!J887-Data_thang!K887</f>
        <v/>
      </c>
      <c r="H887" s="29">
        <f>Data_thang!N887</f>
        <v/>
      </c>
      <c r="I887" s="29">
        <f>H887-G887</f>
        <v/>
      </c>
      <c r="J887" s="30">
        <f>IF(H887=0,IF(I887=0,0,1),I887/ABS(H887))</f>
        <v/>
      </c>
      <c r="K887" s="29">
        <f>H887-(Data_thang!O887-Data_thang!K887)</f>
        <v/>
      </c>
      <c r="L887">
        <f>IF(AND(ABS(I887)&gt;Dashboard!$G$6,ABS(J887)&gt;Dashboard!$H$6),"⚠ Vượt","")</f>
        <v/>
      </c>
      <c r="M887">
        <f>IF(AND(A887=Dashboard!$D$6,OR(Dashboard!$C$6="*",F887=Dashboard!$C$6),L887&lt;&gt;""),ABS(I887)+ROW()/1000000000,0)</f>
        <v/>
      </c>
    </row>
    <row r="888">
      <c r="A888">
        <f>Data_thang!A888</f>
        <v/>
      </c>
      <c r="B888">
        <f>Data_thang!B888</f>
        <v/>
      </c>
      <c r="C888">
        <f>Data_thang!D888</f>
        <v/>
      </c>
      <c r="D888">
        <f>Data_thang!E888</f>
        <v/>
      </c>
      <c r="E888">
        <f>Data_thang!F888</f>
        <v/>
      </c>
      <c r="F888">
        <f>Data_thang!G888</f>
        <v/>
      </c>
      <c r="G888" s="29">
        <f>Data_thang!J888-Data_thang!K888</f>
        <v/>
      </c>
      <c r="H888" s="29">
        <f>Data_thang!N888</f>
        <v/>
      </c>
      <c r="I888" s="29">
        <f>H888-G888</f>
        <v/>
      </c>
      <c r="J888" s="30">
        <f>IF(H888=0,IF(I888=0,0,1),I888/ABS(H888))</f>
        <v/>
      </c>
      <c r="K888" s="29">
        <f>H888-(Data_thang!O888-Data_thang!K888)</f>
        <v/>
      </c>
      <c r="L888">
        <f>IF(AND(ABS(I888)&gt;Dashboard!$G$6,ABS(J888)&gt;Dashboard!$H$6),"⚠ Vượt","")</f>
        <v/>
      </c>
      <c r="M888">
        <f>IF(AND(A888=Dashboard!$D$6,OR(Dashboard!$C$6="*",F888=Dashboard!$C$6),L888&lt;&gt;""),ABS(I888)+ROW()/1000000000,0)</f>
        <v/>
      </c>
    </row>
    <row r="889">
      <c r="A889">
        <f>Data_thang!A889</f>
        <v/>
      </c>
      <c r="B889">
        <f>Data_thang!B889</f>
        <v/>
      </c>
      <c r="C889">
        <f>Data_thang!D889</f>
        <v/>
      </c>
      <c r="D889">
        <f>Data_thang!E889</f>
        <v/>
      </c>
      <c r="E889">
        <f>Data_thang!F889</f>
        <v/>
      </c>
      <c r="F889">
        <f>Data_thang!G889</f>
        <v/>
      </c>
      <c r="G889" s="29">
        <f>Data_thang!J889-Data_thang!K889</f>
        <v/>
      </c>
      <c r="H889" s="29">
        <f>Data_thang!N889</f>
        <v/>
      </c>
      <c r="I889" s="29">
        <f>H889-G889</f>
        <v/>
      </c>
      <c r="J889" s="30">
        <f>IF(H889=0,IF(I889=0,0,1),I889/ABS(H889))</f>
        <v/>
      </c>
      <c r="K889" s="29">
        <f>H889-(Data_thang!O889-Data_thang!K889)</f>
        <v/>
      </c>
      <c r="L889">
        <f>IF(AND(ABS(I889)&gt;Dashboard!$G$6,ABS(J889)&gt;Dashboard!$H$6),"⚠ Vượt","")</f>
        <v/>
      </c>
      <c r="M889">
        <f>IF(AND(A889=Dashboard!$D$6,OR(Dashboard!$C$6="*",F889=Dashboard!$C$6),L889&lt;&gt;""),ABS(I889)+ROW()/1000000000,0)</f>
        <v/>
      </c>
    </row>
    <row r="890">
      <c r="A890">
        <f>Data_thang!A890</f>
        <v/>
      </c>
      <c r="B890">
        <f>Data_thang!B890</f>
        <v/>
      </c>
      <c r="C890">
        <f>Data_thang!D890</f>
        <v/>
      </c>
      <c r="D890">
        <f>Data_thang!E890</f>
        <v/>
      </c>
      <c r="E890">
        <f>Data_thang!F890</f>
        <v/>
      </c>
      <c r="F890">
        <f>Data_thang!G890</f>
        <v/>
      </c>
      <c r="G890" s="29">
        <f>Data_thang!J890-Data_thang!K890</f>
        <v/>
      </c>
      <c r="H890" s="29">
        <f>Data_thang!N890</f>
        <v/>
      </c>
      <c r="I890" s="29">
        <f>H890-G890</f>
        <v/>
      </c>
      <c r="J890" s="30">
        <f>IF(H890=0,IF(I890=0,0,1),I890/ABS(H890))</f>
        <v/>
      </c>
      <c r="K890" s="29">
        <f>H890-(Data_thang!O890-Data_thang!K890)</f>
        <v/>
      </c>
      <c r="L890">
        <f>IF(AND(ABS(I890)&gt;Dashboard!$G$6,ABS(J890)&gt;Dashboard!$H$6),"⚠ Vượt","")</f>
        <v/>
      </c>
      <c r="M890">
        <f>IF(AND(A890=Dashboard!$D$6,OR(Dashboard!$C$6="*",F890=Dashboard!$C$6),L890&lt;&gt;""),ABS(I890)+ROW()/1000000000,0)</f>
        <v/>
      </c>
    </row>
    <row r="891">
      <c r="A891">
        <f>Data_thang!A891</f>
        <v/>
      </c>
      <c r="B891">
        <f>Data_thang!B891</f>
        <v/>
      </c>
      <c r="C891">
        <f>Data_thang!D891</f>
        <v/>
      </c>
      <c r="D891">
        <f>Data_thang!E891</f>
        <v/>
      </c>
      <c r="E891">
        <f>Data_thang!F891</f>
        <v/>
      </c>
      <c r="F891">
        <f>Data_thang!G891</f>
        <v/>
      </c>
      <c r="G891" s="29">
        <f>Data_thang!J891-Data_thang!K891</f>
        <v/>
      </c>
      <c r="H891" s="29">
        <f>Data_thang!N891</f>
        <v/>
      </c>
      <c r="I891" s="29">
        <f>H891-G891</f>
        <v/>
      </c>
      <c r="J891" s="30">
        <f>IF(H891=0,IF(I891=0,0,1),I891/ABS(H891))</f>
        <v/>
      </c>
      <c r="K891" s="29">
        <f>H891-(Data_thang!O891-Data_thang!K891)</f>
        <v/>
      </c>
      <c r="L891">
        <f>IF(AND(ABS(I891)&gt;Dashboard!$G$6,ABS(J891)&gt;Dashboard!$H$6),"⚠ Vượt","")</f>
        <v/>
      </c>
      <c r="M891">
        <f>IF(AND(A891=Dashboard!$D$6,OR(Dashboard!$C$6="*",F891=Dashboard!$C$6),L891&lt;&gt;""),ABS(I891)+ROW()/1000000000,0)</f>
        <v/>
      </c>
    </row>
    <row r="892">
      <c r="A892">
        <f>Data_thang!A892</f>
        <v/>
      </c>
      <c r="B892">
        <f>Data_thang!B892</f>
        <v/>
      </c>
      <c r="C892">
        <f>Data_thang!D892</f>
        <v/>
      </c>
      <c r="D892">
        <f>Data_thang!E892</f>
        <v/>
      </c>
      <c r="E892">
        <f>Data_thang!F892</f>
        <v/>
      </c>
      <c r="F892">
        <f>Data_thang!G892</f>
        <v/>
      </c>
      <c r="G892" s="29">
        <f>Data_thang!J892-Data_thang!K892</f>
        <v/>
      </c>
      <c r="H892" s="29">
        <f>Data_thang!N892</f>
        <v/>
      </c>
      <c r="I892" s="29">
        <f>H892-G892</f>
        <v/>
      </c>
      <c r="J892" s="30">
        <f>IF(H892=0,IF(I892=0,0,1),I892/ABS(H892))</f>
        <v/>
      </c>
      <c r="K892" s="29">
        <f>H892-(Data_thang!O892-Data_thang!K892)</f>
        <v/>
      </c>
      <c r="L892">
        <f>IF(AND(ABS(I892)&gt;Dashboard!$G$6,ABS(J892)&gt;Dashboard!$H$6),"⚠ Vượt","")</f>
        <v/>
      </c>
      <c r="M892">
        <f>IF(AND(A892=Dashboard!$D$6,OR(Dashboard!$C$6="*",F892=Dashboard!$C$6),L892&lt;&gt;""),ABS(I892)+ROW()/1000000000,0)</f>
        <v/>
      </c>
    </row>
    <row r="893">
      <c r="A893">
        <f>Data_thang!A893</f>
        <v/>
      </c>
      <c r="B893">
        <f>Data_thang!B893</f>
        <v/>
      </c>
      <c r="C893">
        <f>Data_thang!D893</f>
        <v/>
      </c>
      <c r="D893">
        <f>Data_thang!E893</f>
        <v/>
      </c>
      <c r="E893">
        <f>Data_thang!F893</f>
        <v/>
      </c>
      <c r="F893">
        <f>Data_thang!G893</f>
        <v/>
      </c>
      <c r="G893" s="29">
        <f>Data_thang!J893-Data_thang!K893</f>
        <v/>
      </c>
      <c r="H893" s="29">
        <f>Data_thang!N893</f>
        <v/>
      </c>
      <c r="I893" s="29">
        <f>H893-G893</f>
        <v/>
      </c>
      <c r="J893" s="30">
        <f>IF(H893=0,IF(I893=0,0,1),I893/ABS(H893))</f>
        <v/>
      </c>
      <c r="K893" s="29">
        <f>H893-(Data_thang!O893-Data_thang!K893)</f>
        <v/>
      </c>
      <c r="L893">
        <f>IF(AND(ABS(I893)&gt;Dashboard!$G$6,ABS(J893)&gt;Dashboard!$H$6),"⚠ Vượt","")</f>
        <v/>
      </c>
      <c r="M893">
        <f>IF(AND(A893=Dashboard!$D$6,OR(Dashboard!$C$6="*",F893=Dashboard!$C$6),L893&lt;&gt;""),ABS(I893)+ROW()/1000000000,0)</f>
        <v/>
      </c>
    </row>
    <row r="894">
      <c r="A894">
        <f>Data_thang!A894</f>
        <v/>
      </c>
      <c r="B894">
        <f>Data_thang!B894</f>
        <v/>
      </c>
      <c r="C894">
        <f>Data_thang!D894</f>
        <v/>
      </c>
      <c r="D894">
        <f>Data_thang!E894</f>
        <v/>
      </c>
      <c r="E894">
        <f>Data_thang!F894</f>
        <v/>
      </c>
      <c r="F894">
        <f>Data_thang!G894</f>
        <v/>
      </c>
      <c r="G894" s="29">
        <f>Data_thang!J894-Data_thang!K894</f>
        <v/>
      </c>
      <c r="H894" s="29">
        <f>Data_thang!N894</f>
        <v/>
      </c>
      <c r="I894" s="29">
        <f>H894-G894</f>
        <v/>
      </c>
      <c r="J894" s="30">
        <f>IF(H894=0,IF(I894=0,0,1),I894/ABS(H894))</f>
        <v/>
      </c>
      <c r="K894" s="29">
        <f>H894-(Data_thang!O894-Data_thang!K894)</f>
        <v/>
      </c>
      <c r="L894">
        <f>IF(AND(ABS(I894)&gt;Dashboard!$G$6,ABS(J894)&gt;Dashboard!$H$6),"⚠ Vượt","")</f>
        <v/>
      </c>
      <c r="M894">
        <f>IF(AND(A894=Dashboard!$D$6,OR(Dashboard!$C$6="*",F894=Dashboard!$C$6),L894&lt;&gt;""),ABS(I894)+ROW()/1000000000,0)</f>
        <v/>
      </c>
    </row>
    <row r="895">
      <c r="A895">
        <f>Data_thang!A895</f>
        <v/>
      </c>
      <c r="B895">
        <f>Data_thang!B895</f>
        <v/>
      </c>
      <c r="C895">
        <f>Data_thang!D895</f>
        <v/>
      </c>
      <c r="D895">
        <f>Data_thang!E895</f>
        <v/>
      </c>
      <c r="E895">
        <f>Data_thang!F895</f>
        <v/>
      </c>
      <c r="F895">
        <f>Data_thang!G895</f>
        <v/>
      </c>
      <c r="G895" s="29">
        <f>Data_thang!J895-Data_thang!K895</f>
        <v/>
      </c>
      <c r="H895" s="29">
        <f>Data_thang!N895</f>
        <v/>
      </c>
      <c r="I895" s="29">
        <f>H895-G895</f>
        <v/>
      </c>
      <c r="J895" s="30">
        <f>IF(H895=0,IF(I895=0,0,1),I895/ABS(H895))</f>
        <v/>
      </c>
      <c r="K895" s="29">
        <f>H895-(Data_thang!O895-Data_thang!K895)</f>
        <v/>
      </c>
      <c r="L895">
        <f>IF(AND(ABS(I895)&gt;Dashboard!$G$6,ABS(J895)&gt;Dashboard!$H$6),"⚠ Vượt","")</f>
        <v/>
      </c>
      <c r="M895">
        <f>IF(AND(A895=Dashboard!$D$6,OR(Dashboard!$C$6="*",F895=Dashboard!$C$6),L895&lt;&gt;""),ABS(I895)+ROW()/1000000000,0)</f>
        <v/>
      </c>
    </row>
    <row r="896">
      <c r="A896">
        <f>Data_thang!A896</f>
        <v/>
      </c>
      <c r="B896">
        <f>Data_thang!B896</f>
        <v/>
      </c>
      <c r="C896">
        <f>Data_thang!D896</f>
        <v/>
      </c>
      <c r="D896">
        <f>Data_thang!E896</f>
        <v/>
      </c>
      <c r="E896">
        <f>Data_thang!F896</f>
        <v/>
      </c>
      <c r="F896">
        <f>Data_thang!G896</f>
        <v/>
      </c>
      <c r="G896" s="29">
        <f>Data_thang!J896-Data_thang!K896</f>
        <v/>
      </c>
      <c r="H896" s="29">
        <f>Data_thang!N896</f>
        <v/>
      </c>
      <c r="I896" s="29">
        <f>H896-G896</f>
        <v/>
      </c>
      <c r="J896" s="30">
        <f>IF(H896=0,IF(I896=0,0,1),I896/ABS(H896))</f>
        <v/>
      </c>
      <c r="K896" s="29">
        <f>H896-(Data_thang!O896-Data_thang!K896)</f>
        <v/>
      </c>
      <c r="L896">
        <f>IF(AND(ABS(I896)&gt;Dashboard!$G$6,ABS(J896)&gt;Dashboard!$H$6),"⚠ Vượt","")</f>
        <v/>
      </c>
      <c r="M896">
        <f>IF(AND(A896=Dashboard!$D$6,OR(Dashboard!$C$6="*",F896=Dashboard!$C$6),L896&lt;&gt;""),ABS(I896)+ROW()/1000000000,0)</f>
        <v/>
      </c>
    </row>
    <row r="897">
      <c r="A897">
        <f>Data_thang!A897</f>
        <v/>
      </c>
      <c r="B897">
        <f>Data_thang!B897</f>
        <v/>
      </c>
      <c r="C897">
        <f>Data_thang!D897</f>
        <v/>
      </c>
      <c r="D897">
        <f>Data_thang!E897</f>
        <v/>
      </c>
      <c r="E897">
        <f>Data_thang!F897</f>
        <v/>
      </c>
      <c r="F897">
        <f>Data_thang!G897</f>
        <v/>
      </c>
      <c r="G897" s="29">
        <f>Data_thang!J897-Data_thang!K897</f>
        <v/>
      </c>
      <c r="H897" s="29">
        <f>Data_thang!N897</f>
        <v/>
      </c>
      <c r="I897" s="29">
        <f>H897-G897</f>
        <v/>
      </c>
      <c r="J897" s="30">
        <f>IF(H897=0,IF(I897=0,0,1),I897/ABS(H897))</f>
        <v/>
      </c>
      <c r="K897" s="29">
        <f>H897-(Data_thang!O897-Data_thang!K897)</f>
        <v/>
      </c>
      <c r="L897">
        <f>IF(AND(ABS(I897)&gt;Dashboard!$G$6,ABS(J897)&gt;Dashboard!$H$6),"⚠ Vượt","")</f>
        <v/>
      </c>
      <c r="M897">
        <f>IF(AND(A897=Dashboard!$D$6,OR(Dashboard!$C$6="*",F897=Dashboard!$C$6),L897&lt;&gt;""),ABS(I897)+ROW()/1000000000,0)</f>
        <v/>
      </c>
    </row>
    <row r="898">
      <c r="A898">
        <f>Data_thang!A898</f>
        <v/>
      </c>
      <c r="B898">
        <f>Data_thang!B898</f>
        <v/>
      </c>
      <c r="C898">
        <f>Data_thang!D898</f>
        <v/>
      </c>
      <c r="D898">
        <f>Data_thang!E898</f>
        <v/>
      </c>
      <c r="E898">
        <f>Data_thang!F898</f>
        <v/>
      </c>
      <c r="F898">
        <f>Data_thang!G898</f>
        <v/>
      </c>
      <c r="G898" s="29">
        <f>Data_thang!J898-Data_thang!K898</f>
        <v/>
      </c>
      <c r="H898" s="29">
        <f>Data_thang!N898</f>
        <v/>
      </c>
      <c r="I898" s="29">
        <f>H898-G898</f>
        <v/>
      </c>
      <c r="J898" s="30">
        <f>IF(H898=0,IF(I898=0,0,1),I898/ABS(H898))</f>
        <v/>
      </c>
      <c r="K898" s="29">
        <f>H898-(Data_thang!O898-Data_thang!K898)</f>
        <v/>
      </c>
      <c r="L898">
        <f>IF(AND(ABS(I898)&gt;Dashboard!$G$6,ABS(J898)&gt;Dashboard!$H$6),"⚠ Vượt","")</f>
        <v/>
      </c>
      <c r="M898">
        <f>IF(AND(A898=Dashboard!$D$6,OR(Dashboard!$C$6="*",F898=Dashboard!$C$6),L898&lt;&gt;""),ABS(I898)+ROW()/1000000000,0)</f>
        <v/>
      </c>
    </row>
    <row r="899">
      <c r="A899">
        <f>Data_thang!A899</f>
        <v/>
      </c>
      <c r="B899">
        <f>Data_thang!B899</f>
        <v/>
      </c>
      <c r="C899">
        <f>Data_thang!D899</f>
        <v/>
      </c>
      <c r="D899">
        <f>Data_thang!E899</f>
        <v/>
      </c>
      <c r="E899">
        <f>Data_thang!F899</f>
        <v/>
      </c>
      <c r="F899">
        <f>Data_thang!G899</f>
        <v/>
      </c>
      <c r="G899" s="29">
        <f>Data_thang!J899-Data_thang!K899</f>
        <v/>
      </c>
      <c r="H899" s="29">
        <f>Data_thang!N899</f>
        <v/>
      </c>
      <c r="I899" s="29">
        <f>H899-G899</f>
        <v/>
      </c>
      <c r="J899" s="30">
        <f>IF(H899=0,IF(I899=0,0,1),I899/ABS(H899))</f>
        <v/>
      </c>
      <c r="K899" s="29">
        <f>H899-(Data_thang!O899-Data_thang!K899)</f>
        <v/>
      </c>
      <c r="L899">
        <f>IF(AND(ABS(I899)&gt;Dashboard!$G$6,ABS(J899)&gt;Dashboard!$H$6),"⚠ Vượt","")</f>
        <v/>
      </c>
      <c r="M899">
        <f>IF(AND(A899=Dashboard!$D$6,OR(Dashboard!$C$6="*",F899=Dashboard!$C$6),L899&lt;&gt;""),ABS(I899)+ROW()/1000000000,0)</f>
        <v/>
      </c>
    </row>
    <row r="900">
      <c r="A900">
        <f>Data_thang!A900</f>
        <v/>
      </c>
      <c r="B900">
        <f>Data_thang!B900</f>
        <v/>
      </c>
      <c r="C900">
        <f>Data_thang!D900</f>
        <v/>
      </c>
      <c r="D900">
        <f>Data_thang!E900</f>
        <v/>
      </c>
      <c r="E900">
        <f>Data_thang!F900</f>
        <v/>
      </c>
      <c r="F900">
        <f>Data_thang!G900</f>
        <v/>
      </c>
      <c r="G900" s="29">
        <f>Data_thang!J900-Data_thang!K900</f>
        <v/>
      </c>
      <c r="H900" s="29">
        <f>Data_thang!N900</f>
        <v/>
      </c>
      <c r="I900" s="29">
        <f>H900-G900</f>
        <v/>
      </c>
      <c r="J900" s="30">
        <f>IF(H900=0,IF(I900=0,0,1),I900/ABS(H900))</f>
        <v/>
      </c>
      <c r="K900" s="29">
        <f>H900-(Data_thang!O900-Data_thang!K900)</f>
        <v/>
      </c>
      <c r="L900">
        <f>IF(AND(ABS(I900)&gt;Dashboard!$G$6,ABS(J900)&gt;Dashboard!$H$6),"⚠ Vượt","")</f>
        <v/>
      </c>
      <c r="M900">
        <f>IF(AND(A900=Dashboard!$D$6,OR(Dashboard!$C$6="*",F900=Dashboard!$C$6),L900&lt;&gt;""),ABS(I900)+ROW()/1000000000,0)</f>
        <v/>
      </c>
    </row>
    <row r="901">
      <c r="A901">
        <f>Data_thang!A901</f>
        <v/>
      </c>
      <c r="B901">
        <f>Data_thang!B901</f>
        <v/>
      </c>
      <c r="C901">
        <f>Data_thang!D901</f>
        <v/>
      </c>
      <c r="D901">
        <f>Data_thang!E901</f>
        <v/>
      </c>
      <c r="E901">
        <f>Data_thang!F901</f>
        <v/>
      </c>
      <c r="F901">
        <f>Data_thang!G901</f>
        <v/>
      </c>
      <c r="G901" s="29">
        <f>Data_thang!J901-Data_thang!K901</f>
        <v/>
      </c>
      <c r="H901" s="29">
        <f>Data_thang!N901</f>
        <v/>
      </c>
      <c r="I901" s="29">
        <f>H901-G901</f>
        <v/>
      </c>
      <c r="J901" s="30">
        <f>IF(H901=0,IF(I901=0,0,1),I901/ABS(H901))</f>
        <v/>
      </c>
      <c r="K901" s="29">
        <f>H901-(Data_thang!O901-Data_thang!K901)</f>
        <v/>
      </c>
      <c r="L901">
        <f>IF(AND(ABS(I901)&gt;Dashboard!$G$6,ABS(J901)&gt;Dashboard!$H$6),"⚠ Vượt","")</f>
        <v/>
      </c>
      <c r="M901">
        <f>IF(AND(A901=Dashboard!$D$6,OR(Dashboard!$C$6="*",F901=Dashboard!$C$6),L901&lt;&gt;""),ABS(I901)+ROW()/1000000000,0)</f>
        <v/>
      </c>
    </row>
    <row r="902">
      <c r="A902">
        <f>Data_thang!A902</f>
        <v/>
      </c>
      <c r="B902">
        <f>Data_thang!B902</f>
        <v/>
      </c>
      <c r="C902">
        <f>Data_thang!D902</f>
        <v/>
      </c>
      <c r="D902">
        <f>Data_thang!E902</f>
        <v/>
      </c>
      <c r="E902">
        <f>Data_thang!F902</f>
        <v/>
      </c>
      <c r="F902">
        <f>Data_thang!G902</f>
        <v/>
      </c>
      <c r="G902" s="29">
        <f>Data_thang!J902-Data_thang!K902</f>
        <v/>
      </c>
      <c r="H902" s="29">
        <f>Data_thang!N902</f>
        <v/>
      </c>
      <c r="I902" s="29">
        <f>H902-G902</f>
        <v/>
      </c>
      <c r="J902" s="30">
        <f>IF(H902=0,IF(I902=0,0,1),I902/ABS(H902))</f>
        <v/>
      </c>
      <c r="K902" s="29">
        <f>H902-(Data_thang!O902-Data_thang!K902)</f>
        <v/>
      </c>
      <c r="L902">
        <f>IF(AND(ABS(I902)&gt;Dashboard!$G$6,ABS(J902)&gt;Dashboard!$H$6),"⚠ Vượt","")</f>
        <v/>
      </c>
      <c r="M902">
        <f>IF(AND(A902=Dashboard!$D$6,OR(Dashboard!$C$6="*",F902=Dashboard!$C$6),L902&lt;&gt;""),ABS(I902)+ROW()/1000000000,0)</f>
        <v/>
      </c>
    </row>
    <row r="903">
      <c r="A903">
        <f>Data_thang!A903</f>
        <v/>
      </c>
      <c r="B903">
        <f>Data_thang!B903</f>
        <v/>
      </c>
      <c r="C903">
        <f>Data_thang!D903</f>
        <v/>
      </c>
      <c r="D903">
        <f>Data_thang!E903</f>
        <v/>
      </c>
      <c r="E903">
        <f>Data_thang!F903</f>
        <v/>
      </c>
      <c r="F903">
        <f>Data_thang!G903</f>
        <v/>
      </c>
      <c r="G903" s="29">
        <f>Data_thang!J903-Data_thang!K903</f>
        <v/>
      </c>
      <c r="H903" s="29">
        <f>Data_thang!N903</f>
        <v/>
      </c>
      <c r="I903" s="29">
        <f>H903-G903</f>
        <v/>
      </c>
      <c r="J903" s="30">
        <f>IF(H903=0,IF(I903=0,0,1),I903/ABS(H903))</f>
        <v/>
      </c>
      <c r="K903" s="29">
        <f>H903-(Data_thang!O903-Data_thang!K903)</f>
        <v/>
      </c>
      <c r="L903">
        <f>IF(AND(ABS(I903)&gt;Dashboard!$G$6,ABS(J903)&gt;Dashboard!$H$6),"⚠ Vượt","")</f>
        <v/>
      </c>
      <c r="M903">
        <f>IF(AND(A903=Dashboard!$D$6,OR(Dashboard!$C$6="*",F903=Dashboard!$C$6),L903&lt;&gt;""),ABS(I903)+ROW()/1000000000,0)</f>
        <v/>
      </c>
    </row>
    <row r="904">
      <c r="A904">
        <f>Data_thang!A904</f>
        <v/>
      </c>
      <c r="B904">
        <f>Data_thang!B904</f>
        <v/>
      </c>
      <c r="C904">
        <f>Data_thang!D904</f>
        <v/>
      </c>
      <c r="D904">
        <f>Data_thang!E904</f>
        <v/>
      </c>
      <c r="E904">
        <f>Data_thang!F904</f>
        <v/>
      </c>
      <c r="F904">
        <f>Data_thang!G904</f>
        <v/>
      </c>
      <c r="G904" s="29">
        <f>Data_thang!J904-Data_thang!K904</f>
        <v/>
      </c>
      <c r="H904" s="29">
        <f>Data_thang!N904</f>
        <v/>
      </c>
      <c r="I904" s="29">
        <f>H904-G904</f>
        <v/>
      </c>
      <c r="J904" s="30">
        <f>IF(H904=0,IF(I904=0,0,1),I904/ABS(H904))</f>
        <v/>
      </c>
      <c r="K904" s="29">
        <f>H904-(Data_thang!O904-Data_thang!K904)</f>
        <v/>
      </c>
      <c r="L904">
        <f>IF(AND(ABS(I904)&gt;Dashboard!$G$6,ABS(J904)&gt;Dashboard!$H$6),"⚠ Vượt","")</f>
        <v/>
      </c>
      <c r="M904">
        <f>IF(AND(A904=Dashboard!$D$6,OR(Dashboard!$C$6="*",F904=Dashboard!$C$6),L904&lt;&gt;""),ABS(I904)+ROW()/1000000000,0)</f>
        <v/>
      </c>
    </row>
    <row r="905">
      <c r="A905">
        <f>Data_thang!A905</f>
        <v/>
      </c>
      <c r="B905">
        <f>Data_thang!B905</f>
        <v/>
      </c>
      <c r="C905">
        <f>Data_thang!D905</f>
        <v/>
      </c>
      <c r="D905">
        <f>Data_thang!E905</f>
        <v/>
      </c>
      <c r="E905">
        <f>Data_thang!F905</f>
        <v/>
      </c>
      <c r="F905">
        <f>Data_thang!G905</f>
        <v/>
      </c>
      <c r="G905" s="29">
        <f>Data_thang!J905-Data_thang!K905</f>
        <v/>
      </c>
      <c r="H905" s="29">
        <f>Data_thang!N905</f>
        <v/>
      </c>
      <c r="I905" s="29">
        <f>H905-G905</f>
        <v/>
      </c>
      <c r="J905" s="30">
        <f>IF(H905=0,IF(I905=0,0,1),I905/ABS(H905))</f>
        <v/>
      </c>
      <c r="K905" s="29">
        <f>H905-(Data_thang!O905-Data_thang!K905)</f>
        <v/>
      </c>
      <c r="L905">
        <f>IF(AND(ABS(I905)&gt;Dashboard!$G$6,ABS(J905)&gt;Dashboard!$H$6),"⚠ Vượt","")</f>
        <v/>
      </c>
      <c r="M905">
        <f>IF(AND(A905=Dashboard!$D$6,OR(Dashboard!$C$6="*",F905=Dashboard!$C$6),L905&lt;&gt;""),ABS(I905)+ROW()/1000000000,0)</f>
        <v/>
      </c>
    </row>
    <row r="906">
      <c r="A906">
        <f>Data_thang!A906</f>
        <v/>
      </c>
      <c r="B906">
        <f>Data_thang!B906</f>
        <v/>
      </c>
      <c r="C906">
        <f>Data_thang!D906</f>
        <v/>
      </c>
      <c r="D906">
        <f>Data_thang!E906</f>
        <v/>
      </c>
      <c r="E906">
        <f>Data_thang!F906</f>
        <v/>
      </c>
      <c r="F906">
        <f>Data_thang!G906</f>
        <v/>
      </c>
      <c r="G906" s="29">
        <f>Data_thang!J906-Data_thang!K906</f>
        <v/>
      </c>
      <c r="H906" s="29">
        <f>Data_thang!N906</f>
        <v/>
      </c>
      <c r="I906" s="29">
        <f>H906-G906</f>
        <v/>
      </c>
      <c r="J906" s="30">
        <f>IF(H906=0,IF(I906=0,0,1),I906/ABS(H906))</f>
        <v/>
      </c>
      <c r="K906" s="29">
        <f>H906-(Data_thang!O906-Data_thang!K906)</f>
        <v/>
      </c>
      <c r="L906">
        <f>IF(AND(ABS(I906)&gt;Dashboard!$G$6,ABS(J906)&gt;Dashboard!$H$6),"⚠ Vượt","")</f>
        <v/>
      </c>
      <c r="M906">
        <f>IF(AND(A906=Dashboard!$D$6,OR(Dashboard!$C$6="*",F906=Dashboard!$C$6),L906&lt;&gt;""),ABS(I906)+ROW()/1000000000,0)</f>
        <v/>
      </c>
    </row>
    <row r="907">
      <c r="A907">
        <f>Data_thang!A907</f>
        <v/>
      </c>
      <c r="B907">
        <f>Data_thang!B907</f>
        <v/>
      </c>
      <c r="C907">
        <f>Data_thang!D907</f>
        <v/>
      </c>
      <c r="D907">
        <f>Data_thang!E907</f>
        <v/>
      </c>
      <c r="E907">
        <f>Data_thang!F907</f>
        <v/>
      </c>
      <c r="F907">
        <f>Data_thang!G907</f>
        <v/>
      </c>
      <c r="G907" s="29">
        <f>Data_thang!J907-Data_thang!K907</f>
        <v/>
      </c>
      <c r="H907" s="29">
        <f>Data_thang!N907</f>
        <v/>
      </c>
      <c r="I907" s="29">
        <f>H907-G907</f>
        <v/>
      </c>
      <c r="J907" s="30">
        <f>IF(H907=0,IF(I907=0,0,1),I907/ABS(H907))</f>
        <v/>
      </c>
      <c r="K907" s="29">
        <f>H907-(Data_thang!O907-Data_thang!K907)</f>
        <v/>
      </c>
      <c r="L907">
        <f>IF(AND(ABS(I907)&gt;Dashboard!$G$6,ABS(J907)&gt;Dashboard!$H$6),"⚠ Vượt","")</f>
        <v/>
      </c>
      <c r="M907">
        <f>IF(AND(A907=Dashboard!$D$6,OR(Dashboard!$C$6="*",F907=Dashboard!$C$6),L907&lt;&gt;""),ABS(I907)+ROW()/1000000000,0)</f>
        <v/>
      </c>
    </row>
    <row r="908">
      <c r="A908">
        <f>Data_thang!A908</f>
        <v/>
      </c>
      <c r="B908">
        <f>Data_thang!B908</f>
        <v/>
      </c>
      <c r="C908">
        <f>Data_thang!D908</f>
        <v/>
      </c>
      <c r="D908">
        <f>Data_thang!E908</f>
        <v/>
      </c>
      <c r="E908">
        <f>Data_thang!F908</f>
        <v/>
      </c>
      <c r="F908">
        <f>Data_thang!G908</f>
        <v/>
      </c>
      <c r="G908" s="29">
        <f>Data_thang!J908-Data_thang!K908</f>
        <v/>
      </c>
      <c r="H908" s="29">
        <f>Data_thang!N908</f>
        <v/>
      </c>
      <c r="I908" s="29">
        <f>H908-G908</f>
        <v/>
      </c>
      <c r="J908" s="30">
        <f>IF(H908=0,IF(I908=0,0,1),I908/ABS(H908))</f>
        <v/>
      </c>
      <c r="K908" s="29">
        <f>H908-(Data_thang!O908-Data_thang!K908)</f>
        <v/>
      </c>
      <c r="L908">
        <f>IF(AND(ABS(I908)&gt;Dashboard!$G$6,ABS(J908)&gt;Dashboard!$H$6),"⚠ Vượt","")</f>
        <v/>
      </c>
      <c r="M908">
        <f>IF(AND(A908=Dashboard!$D$6,OR(Dashboard!$C$6="*",F908=Dashboard!$C$6),L908&lt;&gt;""),ABS(I908)+ROW()/1000000000,0)</f>
        <v/>
      </c>
    </row>
    <row r="909">
      <c r="A909">
        <f>Data_thang!A909</f>
        <v/>
      </c>
      <c r="B909">
        <f>Data_thang!B909</f>
        <v/>
      </c>
      <c r="C909">
        <f>Data_thang!D909</f>
        <v/>
      </c>
      <c r="D909">
        <f>Data_thang!E909</f>
        <v/>
      </c>
      <c r="E909">
        <f>Data_thang!F909</f>
        <v/>
      </c>
      <c r="F909">
        <f>Data_thang!G909</f>
        <v/>
      </c>
      <c r="G909" s="29">
        <f>Data_thang!J909-Data_thang!K909</f>
        <v/>
      </c>
      <c r="H909" s="29">
        <f>Data_thang!N909</f>
        <v/>
      </c>
      <c r="I909" s="29">
        <f>H909-G909</f>
        <v/>
      </c>
      <c r="J909" s="30">
        <f>IF(H909=0,IF(I909=0,0,1),I909/ABS(H909))</f>
        <v/>
      </c>
      <c r="K909" s="29">
        <f>H909-(Data_thang!O909-Data_thang!K909)</f>
        <v/>
      </c>
      <c r="L909">
        <f>IF(AND(ABS(I909)&gt;Dashboard!$G$6,ABS(J909)&gt;Dashboard!$H$6),"⚠ Vượt","")</f>
        <v/>
      </c>
      <c r="M909">
        <f>IF(AND(A909=Dashboard!$D$6,OR(Dashboard!$C$6="*",F909=Dashboard!$C$6),L909&lt;&gt;""),ABS(I909)+ROW()/1000000000,0)</f>
        <v/>
      </c>
    </row>
    <row r="910">
      <c r="A910">
        <f>Data_thang!A910</f>
        <v/>
      </c>
      <c r="B910">
        <f>Data_thang!B910</f>
        <v/>
      </c>
      <c r="C910">
        <f>Data_thang!D910</f>
        <v/>
      </c>
      <c r="D910">
        <f>Data_thang!E910</f>
        <v/>
      </c>
      <c r="E910">
        <f>Data_thang!F910</f>
        <v/>
      </c>
      <c r="F910">
        <f>Data_thang!G910</f>
        <v/>
      </c>
      <c r="G910" s="29">
        <f>Data_thang!J910-Data_thang!K910</f>
        <v/>
      </c>
      <c r="H910" s="29">
        <f>Data_thang!N910</f>
        <v/>
      </c>
      <c r="I910" s="29">
        <f>H910-G910</f>
        <v/>
      </c>
      <c r="J910" s="30">
        <f>IF(H910=0,IF(I910=0,0,1),I910/ABS(H910))</f>
        <v/>
      </c>
      <c r="K910" s="29">
        <f>H910-(Data_thang!O910-Data_thang!K910)</f>
        <v/>
      </c>
      <c r="L910">
        <f>IF(AND(ABS(I910)&gt;Dashboard!$G$6,ABS(J910)&gt;Dashboard!$H$6),"⚠ Vượt","")</f>
        <v/>
      </c>
      <c r="M910">
        <f>IF(AND(A910=Dashboard!$D$6,OR(Dashboard!$C$6="*",F910=Dashboard!$C$6),L910&lt;&gt;""),ABS(I910)+ROW()/1000000000,0)</f>
        <v/>
      </c>
    </row>
    <row r="911">
      <c r="A911">
        <f>Data_thang!A911</f>
        <v/>
      </c>
      <c r="B911">
        <f>Data_thang!B911</f>
        <v/>
      </c>
      <c r="C911">
        <f>Data_thang!D911</f>
        <v/>
      </c>
      <c r="D911">
        <f>Data_thang!E911</f>
        <v/>
      </c>
      <c r="E911">
        <f>Data_thang!F911</f>
        <v/>
      </c>
      <c r="F911">
        <f>Data_thang!G911</f>
        <v/>
      </c>
      <c r="G911" s="29">
        <f>Data_thang!J911-Data_thang!K911</f>
        <v/>
      </c>
      <c r="H911" s="29">
        <f>Data_thang!N911</f>
        <v/>
      </c>
      <c r="I911" s="29">
        <f>H911-G911</f>
        <v/>
      </c>
      <c r="J911" s="30">
        <f>IF(H911=0,IF(I911=0,0,1),I911/ABS(H911))</f>
        <v/>
      </c>
      <c r="K911" s="29">
        <f>H911-(Data_thang!O911-Data_thang!K911)</f>
        <v/>
      </c>
      <c r="L911">
        <f>IF(AND(ABS(I911)&gt;Dashboard!$G$6,ABS(J911)&gt;Dashboard!$H$6),"⚠ Vượt","")</f>
        <v/>
      </c>
      <c r="M911">
        <f>IF(AND(A911=Dashboard!$D$6,OR(Dashboard!$C$6="*",F911=Dashboard!$C$6),L911&lt;&gt;""),ABS(I911)+ROW()/1000000000,0)</f>
        <v/>
      </c>
    </row>
    <row r="912">
      <c r="A912">
        <f>Data_thang!A912</f>
        <v/>
      </c>
      <c r="B912">
        <f>Data_thang!B912</f>
        <v/>
      </c>
      <c r="C912">
        <f>Data_thang!D912</f>
        <v/>
      </c>
      <c r="D912">
        <f>Data_thang!E912</f>
        <v/>
      </c>
      <c r="E912">
        <f>Data_thang!F912</f>
        <v/>
      </c>
      <c r="F912">
        <f>Data_thang!G912</f>
        <v/>
      </c>
      <c r="G912" s="29">
        <f>Data_thang!J912-Data_thang!K912</f>
        <v/>
      </c>
      <c r="H912" s="29">
        <f>Data_thang!N912</f>
        <v/>
      </c>
      <c r="I912" s="29">
        <f>H912-G912</f>
        <v/>
      </c>
      <c r="J912" s="30">
        <f>IF(H912=0,IF(I912=0,0,1),I912/ABS(H912))</f>
        <v/>
      </c>
      <c r="K912" s="29">
        <f>H912-(Data_thang!O912-Data_thang!K912)</f>
        <v/>
      </c>
      <c r="L912">
        <f>IF(AND(ABS(I912)&gt;Dashboard!$G$6,ABS(J912)&gt;Dashboard!$H$6),"⚠ Vượt","")</f>
        <v/>
      </c>
      <c r="M912">
        <f>IF(AND(A912=Dashboard!$D$6,OR(Dashboard!$C$6="*",F912=Dashboard!$C$6),L912&lt;&gt;""),ABS(I912)+ROW()/1000000000,0)</f>
        <v/>
      </c>
    </row>
    <row r="913">
      <c r="A913">
        <f>Data_thang!A913</f>
        <v/>
      </c>
      <c r="B913">
        <f>Data_thang!B913</f>
        <v/>
      </c>
      <c r="C913">
        <f>Data_thang!D913</f>
        <v/>
      </c>
      <c r="D913">
        <f>Data_thang!E913</f>
        <v/>
      </c>
      <c r="E913">
        <f>Data_thang!F913</f>
        <v/>
      </c>
      <c r="F913">
        <f>Data_thang!G913</f>
        <v/>
      </c>
      <c r="G913" s="29">
        <f>Data_thang!J913-Data_thang!K913</f>
        <v/>
      </c>
      <c r="H913" s="29">
        <f>Data_thang!N913</f>
        <v/>
      </c>
      <c r="I913" s="29">
        <f>H913-G913</f>
        <v/>
      </c>
      <c r="J913" s="30">
        <f>IF(H913=0,IF(I913=0,0,1),I913/ABS(H913))</f>
        <v/>
      </c>
      <c r="K913" s="29">
        <f>H913-(Data_thang!O913-Data_thang!K913)</f>
        <v/>
      </c>
      <c r="L913">
        <f>IF(AND(ABS(I913)&gt;Dashboard!$G$6,ABS(J913)&gt;Dashboard!$H$6),"⚠ Vượt","")</f>
        <v/>
      </c>
      <c r="M913">
        <f>IF(AND(A913=Dashboard!$D$6,OR(Dashboard!$C$6="*",F913=Dashboard!$C$6),L913&lt;&gt;""),ABS(I913)+ROW()/1000000000,0)</f>
        <v/>
      </c>
    </row>
    <row r="914">
      <c r="A914">
        <f>Data_thang!A914</f>
        <v/>
      </c>
      <c r="B914">
        <f>Data_thang!B914</f>
        <v/>
      </c>
      <c r="C914">
        <f>Data_thang!D914</f>
        <v/>
      </c>
      <c r="D914">
        <f>Data_thang!E914</f>
        <v/>
      </c>
      <c r="E914">
        <f>Data_thang!F914</f>
        <v/>
      </c>
      <c r="F914">
        <f>Data_thang!G914</f>
        <v/>
      </c>
      <c r="G914" s="29">
        <f>Data_thang!J914-Data_thang!K914</f>
        <v/>
      </c>
      <c r="H914" s="29">
        <f>Data_thang!N914</f>
        <v/>
      </c>
      <c r="I914" s="29">
        <f>H914-G914</f>
        <v/>
      </c>
      <c r="J914" s="30">
        <f>IF(H914=0,IF(I914=0,0,1),I914/ABS(H914))</f>
        <v/>
      </c>
      <c r="K914" s="29">
        <f>H914-(Data_thang!O914-Data_thang!K914)</f>
        <v/>
      </c>
      <c r="L914">
        <f>IF(AND(ABS(I914)&gt;Dashboard!$G$6,ABS(J914)&gt;Dashboard!$H$6),"⚠ Vượt","")</f>
        <v/>
      </c>
      <c r="M914">
        <f>IF(AND(A914=Dashboard!$D$6,OR(Dashboard!$C$6="*",F914=Dashboard!$C$6),L914&lt;&gt;""),ABS(I914)+ROW()/1000000000,0)</f>
        <v/>
      </c>
    </row>
    <row r="915">
      <c r="A915">
        <f>Data_thang!A915</f>
        <v/>
      </c>
      <c r="B915">
        <f>Data_thang!B915</f>
        <v/>
      </c>
      <c r="C915">
        <f>Data_thang!D915</f>
        <v/>
      </c>
      <c r="D915">
        <f>Data_thang!E915</f>
        <v/>
      </c>
      <c r="E915">
        <f>Data_thang!F915</f>
        <v/>
      </c>
      <c r="F915">
        <f>Data_thang!G915</f>
        <v/>
      </c>
      <c r="G915" s="29">
        <f>Data_thang!J915-Data_thang!K915</f>
        <v/>
      </c>
      <c r="H915" s="29">
        <f>Data_thang!N915</f>
        <v/>
      </c>
      <c r="I915" s="29">
        <f>H915-G915</f>
        <v/>
      </c>
      <c r="J915" s="30">
        <f>IF(H915=0,IF(I915=0,0,1),I915/ABS(H915))</f>
        <v/>
      </c>
      <c r="K915" s="29">
        <f>H915-(Data_thang!O915-Data_thang!K915)</f>
        <v/>
      </c>
      <c r="L915">
        <f>IF(AND(ABS(I915)&gt;Dashboard!$G$6,ABS(J915)&gt;Dashboard!$H$6),"⚠ Vượt","")</f>
        <v/>
      </c>
      <c r="M915">
        <f>IF(AND(A915=Dashboard!$D$6,OR(Dashboard!$C$6="*",F915=Dashboard!$C$6),L915&lt;&gt;""),ABS(I915)+ROW()/1000000000,0)</f>
        <v/>
      </c>
    </row>
    <row r="916">
      <c r="A916">
        <f>Data_thang!A916</f>
        <v/>
      </c>
      <c r="B916">
        <f>Data_thang!B916</f>
        <v/>
      </c>
      <c r="C916">
        <f>Data_thang!D916</f>
        <v/>
      </c>
      <c r="D916">
        <f>Data_thang!E916</f>
        <v/>
      </c>
      <c r="E916">
        <f>Data_thang!F916</f>
        <v/>
      </c>
      <c r="F916">
        <f>Data_thang!G916</f>
        <v/>
      </c>
      <c r="G916" s="29">
        <f>Data_thang!J916-Data_thang!K916</f>
        <v/>
      </c>
      <c r="H916" s="29">
        <f>Data_thang!N916</f>
        <v/>
      </c>
      <c r="I916" s="29">
        <f>H916-G916</f>
        <v/>
      </c>
      <c r="J916" s="30">
        <f>IF(H916=0,IF(I916=0,0,1),I916/ABS(H916))</f>
        <v/>
      </c>
      <c r="K916" s="29">
        <f>H916-(Data_thang!O916-Data_thang!K916)</f>
        <v/>
      </c>
      <c r="L916">
        <f>IF(AND(ABS(I916)&gt;Dashboard!$G$6,ABS(J916)&gt;Dashboard!$H$6),"⚠ Vượt","")</f>
        <v/>
      </c>
      <c r="M916">
        <f>IF(AND(A916=Dashboard!$D$6,OR(Dashboard!$C$6="*",F916=Dashboard!$C$6),L916&lt;&gt;""),ABS(I916)+ROW()/1000000000,0)</f>
        <v/>
      </c>
    </row>
    <row r="917">
      <c r="A917">
        <f>Data_thang!A917</f>
        <v/>
      </c>
      <c r="B917">
        <f>Data_thang!B917</f>
        <v/>
      </c>
      <c r="C917">
        <f>Data_thang!D917</f>
        <v/>
      </c>
      <c r="D917">
        <f>Data_thang!E917</f>
        <v/>
      </c>
      <c r="E917">
        <f>Data_thang!F917</f>
        <v/>
      </c>
      <c r="F917">
        <f>Data_thang!G917</f>
        <v/>
      </c>
      <c r="G917" s="29">
        <f>Data_thang!J917-Data_thang!K917</f>
        <v/>
      </c>
      <c r="H917" s="29">
        <f>Data_thang!N917</f>
        <v/>
      </c>
      <c r="I917" s="29">
        <f>H917-G917</f>
        <v/>
      </c>
      <c r="J917" s="30">
        <f>IF(H917=0,IF(I917=0,0,1),I917/ABS(H917))</f>
        <v/>
      </c>
      <c r="K917" s="29">
        <f>H917-(Data_thang!O917-Data_thang!K917)</f>
        <v/>
      </c>
      <c r="L917">
        <f>IF(AND(ABS(I917)&gt;Dashboard!$G$6,ABS(J917)&gt;Dashboard!$H$6),"⚠ Vượt","")</f>
        <v/>
      </c>
      <c r="M917">
        <f>IF(AND(A917=Dashboard!$D$6,OR(Dashboard!$C$6="*",F917=Dashboard!$C$6),L917&lt;&gt;""),ABS(I917)+ROW()/1000000000,0)</f>
        <v/>
      </c>
    </row>
    <row r="918">
      <c r="A918">
        <f>Data_thang!A918</f>
        <v/>
      </c>
      <c r="B918">
        <f>Data_thang!B918</f>
        <v/>
      </c>
      <c r="C918">
        <f>Data_thang!D918</f>
        <v/>
      </c>
      <c r="D918">
        <f>Data_thang!E918</f>
        <v/>
      </c>
      <c r="E918">
        <f>Data_thang!F918</f>
        <v/>
      </c>
      <c r="F918">
        <f>Data_thang!G918</f>
        <v/>
      </c>
      <c r="G918" s="29">
        <f>Data_thang!J918-Data_thang!K918</f>
        <v/>
      </c>
      <c r="H918" s="29">
        <f>Data_thang!N918</f>
        <v/>
      </c>
      <c r="I918" s="29">
        <f>H918-G918</f>
        <v/>
      </c>
      <c r="J918" s="30">
        <f>IF(H918=0,IF(I918=0,0,1),I918/ABS(H918))</f>
        <v/>
      </c>
      <c r="K918" s="29">
        <f>H918-(Data_thang!O918-Data_thang!K918)</f>
        <v/>
      </c>
      <c r="L918">
        <f>IF(AND(ABS(I918)&gt;Dashboard!$G$6,ABS(J918)&gt;Dashboard!$H$6),"⚠ Vượt","")</f>
        <v/>
      </c>
      <c r="M918">
        <f>IF(AND(A918=Dashboard!$D$6,OR(Dashboard!$C$6="*",F918=Dashboard!$C$6),L918&lt;&gt;""),ABS(I918)+ROW()/1000000000,0)</f>
        <v/>
      </c>
    </row>
    <row r="919">
      <c r="A919">
        <f>Data_thang!A919</f>
        <v/>
      </c>
      <c r="B919">
        <f>Data_thang!B919</f>
        <v/>
      </c>
      <c r="C919">
        <f>Data_thang!D919</f>
        <v/>
      </c>
      <c r="D919">
        <f>Data_thang!E919</f>
        <v/>
      </c>
      <c r="E919">
        <f>Data_thang!F919</f>
        <v/>
      </c>
      <c r="F919">
        <f>Data_thang!G919</f>
        <v/>
      </c>
      <c r="G919" s="29">
        <f>Data_thang!J919-Data_thang!K919</f>
        <v/>
      </c>
      <c r="H919" s="29">
        <f>Data_thang!N919</f>
        <v/>
      </c>
      <c r="I919" s="29">
        <f>H919-G919</f>
        <v/>
      </c>
      <c r="J919" s="30">
        <f>IF(H919=0,IF(I919=0,0,1),I919/ABS(H919))</f>
        <v/>
      </c>
      <c r="K919" s="29">
        <f>H919-(Data_thang!O919-Data_thang!K919)</f>
        <v/>
      </c>
      <c r="L919">
        <f>IF(AND(ABS(I919)&gt;Dashboard!$G$6,ABS(J919)&gt;Dashboard!$H$6),"⚠ Vượt","")</f>
        <v/>
      </c>
      <c r="M919">
        <f>IF(AND(A919=Dashboard!$D$6,OR(Dashboard!$C$6="*",F919=Dashboard!$C$6),L919&lt;&gt;""),ABS(I919)+ROW()/1000000000,0)</f>
        <v/>
      </c>
    </row>
    <row r="920">
      <c r="A920">
        <f>Data_thang!A920</f>
        <v/>
      </c>
      <c r="B920">
        <f>Data_thang!B920</f>
        <v/>
      </c>
      <c r="C920">
        <f>Data_thang!D920</f>
        <v/>
      </c>
      <c r="D920">
        <f>Data_thang!E920</f>
        <v/>
      </c>
      <c r="E920">
        <f>Data_thang!F920</f>
        <v/>
      </c>
      <c r="F920">
        <f>Data_thang!G920</f>
        <v/>
      </c>
      <c r="G920" s="29">
        <f>Data_thang!J920-Data_thang!K920</f>
        <v/>
      </c>
      <c r="H920" s="29">
        <f>Data_thang!N920</f>
        <v/>
      </c>
      <c r="I920" s="29">
        <f>H920-G920</f>
        <v/>
      </c>
      <c r="J920" s="30">
        <f>IF(H920=0,IF(I920=0,0,1),I920/ABS(H920))</f>
        <v/>
      </c>
      <c r="K920" s="29">
        <f>H920-(Data_thang!O920-Data_thang!K920)</f>
        <v/>
      </c>
      <c r="L920">
        <f>IF(AND(ABS(I920)&gt;Dashboard!$G$6,ABS(J920)&gt;Dashboard!$H$6),"⚠ Vượt","")</f>
        <v/>
      </c>
      <c r="M920">
        <f>IF(AND(A920=Dashboard!$D$6,OR(Dashboard!$C$6="*",F920=Dashboard!$C$6),L920&lt;&gt;""),ABS(I920)+ROW()/1000000000,0)</f>
        <v/>
      </c>
    </row>
    <row r="921">
      <c r="A921">
        <f>Data_thang!A921</f>
        <v/>
      </c>
      <c r="B921">
        <f>Data_thang!B921</f>
        <v/>
      </c>
      <c r="C921">
        <f>Data_thang!D921</f>
        <v/>
      </c>
      <c r="D921">
        <f>Data_thang!E921</f>
        <v/>
      </c>
      <c r="E921">
        <f>Data_thang!F921</f>
        <v/>
      </c>
      <c r="F921">
        <f>Data_thang!G921</f>
        <v/>
      </c>
      <c r="G921" s="29">
        <f>Data_thang!J921-Data_thang!K921</f>
        <v/>
      </c>
      <c r="H921" s="29">
        <f>Data_thang!N921</f>
        <v/>
      </c>
      <c r="I921" s="29">
        <f>H921-G921</f>
        <v/>
      </c>
      <c r="J921" s="30">
        <f>IF(H921=0,IF(I921=0,0,1),I921/ABS(H921))</f>
        <v/>
      </c>
      <c r="K921" s="29">
        <f>H921-(Data_thang!O921-Data_thang!K921)</f>
        <v/>
      </c>
      <c r="L921">
        <f>IF(AND(ABS(I921)&gt;Dashboard!$G$6,ABS(J921)&gt;Dashboard!$H$6),"⚠ Vượt","")</f>
        <v/>
      </c>
      <c r="M921">
        <f>IF(AND(A921=Dashboard!$D$6,OR(Dashboard!$C$6="*",F921=Dashboard!$C$6),L921&lt;&gt;""),ABS(I921)+ROW()/1000000000,0)</f>
        <v/>
      </c>
    </row>
    <row r="922">
      <c r="A922">
        <f>Data_thang!A922</f>
        <v/>
      </c>
      <c r="B922">
        <f>Data_thang!B922</f>
        <v/>
      </c>
      <c r="C922">
        <f>Data_thang!D922</f>
        <v/>
      </c>
      <c r="D922">
        <f>Data_thang!E922</f>
        <v/>
      </c>
      <c r="E922">
        <f>Data_thang!F922</f>
        <v/>
      </c>
      <c r="F922">
        <f>Data_thang!G922</f>
        <v/>
      </c>
      <c r="G922" s="29">
        <f>Data_thang!J922-Data_thang!K922</f>
        <v/>
      </c>
      <c r="H922" s="29">
        <f>Data_thang!N922</f>
        <v/>
      </c>
      <c r="I922" s="29">
        <f>H922-G922</f>
        <v/>
      </c>
      <c r="J922" s="30">
        <f>IF(H922=0,IF(I922=0,0,1),I922/ABS(H922))</f>
        <v/>
      </c>
      <c r="K922" s="29">
        <f>H922-(Data_thang!O922-Data_thang!K922)</f>
        <v/>
      </c>
      <c r="L922">
        <f>IF(AND(ABS(I922)&gt;Dashboard!$G$6,ABS(J922)&gt;Dashboard!$H$6),"⚠ Vượt","")</f>
        <v/>
      </c>
      <c r="M922">
        <f>IF(AND(A922=Dashboard!$D$6,OR(Dashboard!$C$6="*",F922=Dashboard!$C$6),L922&lt;&gt;""),ABS(I922)+ROW()/1000000000,0)</f>
        <v/>
      </c>
    </row>
    <row r="923">
      <c r="A923">
        <f>Data_thang!A923</f>
        <v/>
      </c>
      <c r="B923">
        <f>Data_thang!B923</f>
        <v/>
      </c>
      <c r="C923">
        <f>Data_thang!D923</f>
        <v/>
      </c>
      <c r="D923">
        <f>Data_thang!E923</f>
        <v/>
      </c>
      <c r="E923">
        <f>Data_thang!F923</f>
        <v/>
      </c>
      <c r="F923">
        <f>Data_thang!G923</f>
        <v/>
      </c>
      <c r="G923" s="29">
        <f>Data_thang!J923-Data_thang!K923</f>
        <v/>
      </c>
      <c r="H923" s="29">
        <f>Data_thang!N923</f>
        <v/>
      </c>
      <c r="I923" s="29">
        <f>H923-G923</f>
        <v/>
      </c>
      <c r="J923" s="30">
        <f>IF(H923=0,IF(I923=0,0,1),I923/ABS(H923))</f>
        <v/>
      </c>
      <c r="K923" s="29">
        <f>H923-(Data_thang!O923-Data_thang!K923)</f>
        <v/>
      </c>
      <c r="L923">
        <f>IF(AND(ABS(I923)&gt;Dashboard!$G$6,ABS(J923)&gt;Dashboard!$H$6),"⚠ Vượt","")</f>
        <v/>
      </c>
      <c r="M923">
        <f>IF(AND(A923=Dashboard!$D$6,OR(Dashboard!$C$6="*",F923=Dashboard!$C$6),L923&lt;&gt;""),ABS(I923)+ROW()/1000000000,0)</f>
        <v/>
      </c>
    </row>
    <row r="924">
      <c r="A924">
        <f>Data_thang!A924</f>
        <v/>
      </c>
      <c r="B924">
        <f>Data_thang!B924</f>
        <v/>
      </c>
      <c r="C924">
        <f>Data_thang!D924</f>
        <v/>
      </c>
      <c r="D924">
        <f>Data_thang!E924</f>
        <v/>
      </c>
      <c r="E924">
        <f>Data_thang!F924</f>
        <v/>
      </c>
      <c r="F924">
        <f>Data_thang!G924</f>
        <v/>
      </c>
      <c r="G924" s="29">
        <f>Data_thang!J924-Data_thang!K924</f>
        <v/>
      </c>
      <c r="H924" s="29">
        <f>Data_thang!N924</f>
        <v/>
      </c>
      <c r="I924" s="29">
        <f>H924-G924</f>
        <v/>
      </c>
      <c r="J924" s="30">
        <f>IF(H924=0,IF(I924=0,0,1),I924/ABS(H924))</f>
        <v/>
      </c>
      <c r="K924" s="29">
        <f>H924-(Data_thang!O924-Data_thang!K924)</f>
        <v/>
      </c>
      <c r="L924">
        <f>IF(AND(ABS(I924)&gt;Dashboard!$G$6,ABS(J924)&gt;Dashboard!$H$6),"⚠ Vượt","")</f>
        <v/>
      </c>
      <c r="M924">
        <f>IF(AND(A924=Dashboard!$D$6,OR(Dashboard!$C$6="*",F924=Dashboard!$C$6),L924&lt;&gt;""),ABS(I924)+ROW()/1000000000,0)</f>
        <v/>
      </c>
    </row>
    <row r="925">
      <c r="A925">
        <f>Data_thang!A925</f>
        <v/>
      </c>
      <c r="B925">
        <f>Data_thang!B925</f>
        <v/>
      </c>
      <c r="C925">
        <f>Data_thang!D925</f>
        <v/>
      </c>
      <c r="D925">
        <f>Data_thang!E925</f>
        <v/>
      </c>
      <c r="E925">
        <f>Data_thang!F925</f>
        <v/>
      </c>
      <c r="F925">
        <f>Data_thang!G925</f>
        <v/>
      </c>
      <c r="G925" s="29">
        <f>Data_thang!J925-Data_thang!K925</f>
        <v/>
      </c>
      <c r="H925" s="29">
        <f>Data_thang!N925</f>
        <v/>
      </c>
      <c r="I925" s="29">
        <f>H925-G925</f>
        <v/>
      </c>
      <c r="J925" s="30">
        <f>IF(H925=0,IF(I925=0,0,1),I925/ABS(H925))</f>
        <v/>
      </c>
      <c r="K925" s="29">
        <f>H925-(Data_thang!O925-Data_thang!K925)</f>
        <v/>
      </c>
      <c r="L925">
        <f>IF(AND(ABS(I925)&gt;Dashboard!$G$6,ABS(J925)&gt;Dashboard!$H$6),"⚠ Vượt","")</f>
        <v/>
      </c>
      <c r="M925">
        <f>IF(AND(A925=Dashboard!$D$6,OR(Dashboard!$C$6="*",F925=Dashboard!$C$6),L925&lt;&gt;""),ABS(I925)+ROW()/1000000000,0)</f>
        <v/>
      </c>
    </row>
    <row r="926">
      <c r="A926">
        <f>Data_thang!A926</f>
        <v/>
      </c>
      <c r="B926">
        <f>Data_thang!B926</f>
        <v/>
      </c>
      <c r="C926">
        <f>Data_thang!D926</f>
        <v/>
      </c>
      <c r="D926">
        <f>Data_thang!E926</f>
        <v/>
      </c>
      <c r="E926">
        <f>Data_thang!F926</f>
        <v/>
      </c>
      <c r="F926">
        <f>Data_thang!G926</f>
        <v/>
      </c>
      <c r="G926" s="29">
        <f>Data_thang!J926-Data_thang!K926</f>
        <v/>
      </c>
      <c r="H926" s="29">
        <f>Data_thang!N926</f>
        <v/>
      </c>
      <c r="I926" s="29">
        <f>H926-G926</f>
        <v/>
      </c>
      <c r="J926" s="30">
        <f>IF(H926=0,IF(I926=0,0,1),I926/ABS(H926))</f>
        <v/>
      </c>
      <c r="K926" s="29">
        <f>H926-(Data_thang!O926-Data_thang!K926)</f>
        <v/>
      </c>
      <c r="L926">
        <f>IF(AND(ABS(I926)&gt;Dashboard!$G$6,ABS(J926)&gt;Dashboard!$H$6),"⚠ Vượt","")</f>
        <v/>
      </c>
      <c r="M926">
        <f>IF(AND(A926=Dashboard!$D$6,OR(Dashboard!$C$6="*",F926=Dashboard!$C$6),L926&lt;&gt;""),ABS(I926)+ROW()/1000000000,0)</f>
        <v/>
      </c>
    </row>
    <row r="927">
      <c r="A927">
        <f>Data_thang!A927</f>
        <v/>
      </c>
      <c r="B927">
        <f>Data_thang!B927</f>
        <v/>
      </c>
      <c r="C927">
        <f>Data_thang!D927</f>
        <v/>
      </c>
      <c r="D927">
        <f>Data_thang!E927</f>
        <v/>
      </c>
      <c r="E927">
        <f>Data_thang!F927</f>
        <v/>
      </c>
      <c r="F927">
        <f>Data_thang!G927</f>
        <v/>
      </c>
      <c r="G927" s="29">
        <f>Data_thang!J927-Data_thang!K927</f>
        <v/>
      </c>
      <c r="H927" s="29">
        <f>Data_thang!N927</f>
        <v/>
      </c>
      <c r="I927" s="29">
        <f>H927-G927</f>
        <v/>
      </c>
      <c r="J927" s="30">
        <f>IF(H927=0,IF(I927=0,0,1),I927/ABS(H927))</f>
        <v/>
      </c>
      <c r="K927" s="29">
        <f>H927-(Data_thang!O927-Data_thang!K927)</f>
        <v/>
      </c>
      <c r="L927">
        <f>IF(AND(ABS(I927)&gt;Dashboard!$G$6,ABS(J927)&gt;Dashboard!$H$6),"⚠ Vượt","")</f>
        <v/>
      </c>
      <c r="M927">
        <f>IF(AND(A927=Dashboard!$D$6,OR(Dashboard!$C$6="*",F927=Dashboard!$C$6),L927&lt;&gt;""),ABS(I927)+ROW()/1000000000,0)</f>
        <v/>
      </c>
    </row>
    <row r="928">
      <c r="A928">
        <f>Data_thang!A928</f>
        <v/>
      </c>
      <c r="B928">
        <f>Data_thang!B928</f>
        <v/>
      </c>
      <c r="C928">
        <f>Data_thang!D928</f>
        <v/>
      </c>
      <c r="D928">
        <f>Data_thang!E928</f>
        <v/>
      </c>
      <c r="E928">
        <f>Data_thang!F928</f>
        <v/>
      </c>
      <c r="F928">
        <f>Data_thang!G928</f>
        <v/>
      </c>
      <c r="G928" s="29">
        <f>Data_thang!J928-Data_thang!K928</f>
        <v/>
      </c>
      <c r="H928" s="29">
        <f>Data_thang!N928</f>
        <v/>
      </c>
      <c r="I928" s="29">
        <f>H928-G928</f>
        <v/>
      </c>
      <c r="J928" s="30">
        <f>IF(H928=0,IF(I928=0,0,1),I928/ABS(H928))</f>
        <v/>
      </c>
      <c r="K928" s="29">
        <f>H928-(Data_thang!O928-Data_thang!K928)</f>
        <v/>
      </c>
      <c r="L928">
        <f>IF(AND(ABS(I928)&gt;Dashboard!$G$6,ABS(J928)&gt;Dashboard!$H$6),"⚠ Vượt","")</f>
        <v/>
      </c>
      <c r="M928">
        <f>IF(AND(A928=Dashboard!$D$6,OR(Dashboard!$C$6="*",F928=Dashboard!$C$6),L928&lt;&gt;""),ABS(I928)+ROW()/1000000000,0)</f>
        <v/>
      </c>
    </row>
    <row r="929">
      <c r="A929">
        <f>Data_thang!A929</f>
        <v/>
      </c>
      <c r="B929">
        <f>Data_thang!B929</f>
        <v/>
      </c>
      <c r="C929">
        <f>Data_thang!D929</f>
        <v/>
      </c>
      <c r="D929">
        <f>Data_thang!E929</f>
        <v/>
      </c>
      <c r="E929">
        <f>Data_thang!F929</f>
        <v/>
      </c>
      <c r="F929">
        <f>Data_thang!G929</f>
        <v/>
      </c>
      <c r="G929" s="29">
        <f>Data_thang!J929-Data_thang!K929</f>
        <v/>
      </c>
      <c r="H929" s="29">
        <f>Data_thang!N929</f>
        <v/>
      </c>
      <c r="I929" s="29">
        <f>H929-G929</f>
        <v/>
      </c>
      <c r="J929" s="30">
        <f>IF(H929=0,IF(I929=0,0,1),I929/ABS(H929))</f>
        <v/>
      </c>
      <c r="K929" s="29">
        <f>H929-(Data_thang!O929-Data_thang!K929)</f>
        <v/>
      </c>
      <c r="L929">
        <f>IF(AND(ABS(I929)&gt;Dashboard!$G$6,ABS(J929)&gt;Dashboard!$H$6),"⚠ Vượt","")</f>
        <v/>
      </c>
      <c r="M929">
        <f>IF(AND(A929=Dashboard!$D$6,OR(Dashboard!$C$6="*",F929=Dashboard!$C$6),L929&lt;&gt;""),ABS(I929)+ROW()/1000000000,0)</f>
        <v/>
      </c>
    </row>
    <row r="930">
      <c r="A930">
        <f>Data_thang!A930</f>
        <v/>
      </c>
      <c r="B930">
        <f>Data_thang!B930</f>
        <v/>
      </c>
      <c r="C930">
        <f>Data_thang!D930</f>
        <v/>
      </c>
      <c r="D930">
        <f>Data_thang!E930</f>
        <v/>
      </c>
      <c r="E930">
        <f>Data_thang!F930</f>
        <v/>
      </c>
      <c r="F930">
        <f>Data_thang!G930</f>
        <v/>
      </c>
      <c r="G930" s="29">
        <f>Data_thang!J930-Data_thang!K930</f>
        <v/>
      </c>
      <c r="H930" s="29">
        <f>Data_thang!N930</f>
        <v/>
      </c>
      <c r="I930" s="29">
        <f>H930-G930</f>
        <v/>
      </c>
      <c r="J930" s="30">
        <f>IF(H930=0,IF(I930=0,0,1),I930/ABS(H930))</f>
        <v/>
      </c>
      <c r="K930" s="29">
        <f>H930-(Data_thang!O930-Data_thang!K930)</f>
        <v/>
      </c>
      <c r="L930">
        <f>IF(AND(ABS(I930)&gt;Dashboard!$G$6,ABS(J930)&gt;Dashboard!$H$6),"⚠ Vượt","")</f>
        <v/>
      </c>
      <c r="M930">
        <f>IF(AND(A930=Dashboard!$D$6,OR(Dashboard!$C$6="*",F930=Dashboard!$C$6),L930&lt;&gt;""),ABS(I930)+ROW()/1000000000,0)</f>
        <v/>
      </c>
    </row>
    <row r="931">
      <c r="A931">
        <f>Data_thang!A931</f>
        <v/>
      </c>
      <c r="B931">
        <f>Data_thang!B931</f>
        <v/>
      </c>
      <c r="C931">
        <f>Data_thang!D931</f>
        <v/>
      </c>
      <c r="D931">
        <f>Data_thang!E931</f>
        <v/>
      </c>
      <c r="E931">
        <f>Data_thang!F931</f>
        <v/>
      </c>
      <c r="F931">
        <f>Data_thang!G931</f>
        <v/>
      </c>
      <c r="G931" s="29">
        <f>Data_thang!J931-Data_thang!K931</f>
        <v/>
      </c>
      <c r="H931" s="29">
        <f>Data_thang!N931</f>
        <v/>
      </c>
      <c r="I931" s="29">
        <f>H931-G931</f>
        <v/>
      </c>
      <c r="J931" s="30">
        <f>IF(H931=0,IF(I931=0,0,1),I931/ABS(H931))</f>
        <v/>
      </c>
      <c r="K931" s="29">
        <f>H931-(Data_thang!O931-Data_thang!K931)</f>
        <v/>
      </c>
      <c r="L931">
        <f>IF(AND(ABS(I931)&gt;Dashboard!$G$6,ABS(J931)&gt;Dashboard!$H$6),"⚠ Vượt","")</f>
        <v/>
      </c>
      <c r="M931">
        <f>IF(AND(A931=Dashboard!$D$6,OR(Dashboard!$C$6="*",F931=Dashboard!$C$6),L931&lt;&gt;""),ABS(I931)+ROW()/1000000000,0)</f>
        <v/>
      </c>
    </row>
    <row r="932">
      <c r="A932">
        <f>Data_thang!A932</f>
        <v/>
      </c>
      <c r="B932">
        <f>Data_thang!B932</f>
        <v/>
      </c>
      <c r="C932">
        <f>Data_thang!D932</f>
        <v/>
      </c>
      <c r="D932">
        <f>Data_thang!E932</f>
        <v/>
      </c>
      <c r="E932">
        <f>Data_thang!F932</f>
        <v/>
      </c>
      <c r="F932">
        <f>Data_thang!G932</f>
        <v/>
      </c>
      <c r="G932" s="29">
        <f>Data_thang!J932-Data_thang!K932</f>
        <v/>
      </c>
      <c r="H932" s="29">
        <f>Data_thang!N932</f>
        <v/>
      </c>
      <c r="I932" s="29">
        <f>H932-G932</f>
        <v/>
      </c>
      <c r="J932" s="30">
        <f>IF(H932=0,IF(I932=0,0,1),I932/ABS(H932))</f>
        <v/>
      </c>
      <c r="K932" s="29">
        <f>H932-(Data_thang!O932-Data_thang!K932)</f>
        <v/>
      </c>
      <c r="L932">
        <f>IF(AND(ABS(I932)&gt;Dashboard!$G$6,ABS(J932)&gt;Dashboard!$H$6),"⚠ Vượt","")</f>
        <v/>
      </c>
      <c r="M932">
        <f>IF(AND(A932=Dashboard!$D$6,OR(Dashboard!$C$6="*",F932=Dashboard!$C$6),L932&lt;&gt;""),ABS(I932)+ROW()/1000000000,0)</f>
        <v/>
      </c>
    </row>
    <row r="933">
      <c r="A933">
        <f>Data_thang!A933</f>
        <v/>
      </c>
      <c r="B933">
        <f>Data_thang!B933</f>
        <v/>
      </c>
      <c r="C933">
        <f>Data_thang!D933</f>
        <v/>
      </c>
      <c r="D933">
        <f>Data_thang!E933</f>
        <v/>
      </c>
      <c r="E933">
        <f>Data_thang!F933</f>
        <v/>
      </c>
      <c r="F933">
        <f>Data_thang!G933</f>
        <v/>
      </c>
      <c r="G933" s="29">
        <f>Data_thang!J933-Data_thang!K933</f>
        <v/>
      </c>
      <c r="H933" s="29">
        <f>Data_thang!N933</f>
        <v/>
      </c>
      <c r="I933" s="29">
        <f>H933-G933</f>
        <v/>
      </c>
      <c r="J933" s="30">
        <f>IF(H933=0,IF(I933=0,0,1),I933/ABS(H933))</f>
        <v/>
      </c>
      <c r="K933" s="29">
        <f>H933-(Data_thang!O933-Data_thang!K933)</f>
        <v/>
      </c>
      <c r="L933">
        <f>IF(AND(ABS(I933)&gt;Dashboard!$G$6,ABS(J933)&gt;Dashboard!$H$6),"⚠ Vượt","")</f>
        <v/>
      </c>
      <c r="M933">
        <f>IF(AND(A933=Dashboard!$D$6,OR(Dashboard!$C$6="*",F933=Dashboard!$C$6),L933&lt;&gt;""),ABS(I933)+ROW()/1000000000,0)</f>
        <v/>
      </c>
    </row>
    <row r="934">
      <c r="A934">
        <f>Data_thang!A934</f>
        <v/>
      </c>
      <c r="B934">
        <f>Data_thang!B934</f>
        <v/>
      </c>
      <c r="C934">
        <f>Data_thang!D934</f>
        <v/>
      </c>
      <c r="D934">
        <f>Data_thang!E934</f>
        <v/>
      </c>
      <c r="E934">
        <f>Data_thang!F934</f>
        <v/>
      </c>
      <c r="F934">
        <f>Data_thang!G934</f>
        <v/>
      </c>
      <c r="G934" s="29">
        <f>Data_thang!J934-Data_thang!K934</f>
        <v/>
      </c>
      <c r="H934" s="29">
        <f>Data_thang!N934</f>
        <v/>
      </c>
      <c r="I934" s="29">
        <f>H934-G934</f>
        <v/>
      </c>
      <c r="J934" s="30">
        <f>IF(H934=0,IF(I934=0,0,1),I934/ABS(H934))</f>
        <v/>
      </c>
      <c r="K934" s="29">
        <f>H934-(Data_thang!O934-Data_thang!K934)</f>
        <v/>
      </c>
      <c r="L934">
        <f>IF(AND(ABS(I934)&gt;Dashboard!$G$6,ABS(J934)&gt;Dashboard!$H$6),"⚠ Vượt","")</f>
        <v/>
      </c>
      <c r="M934">
        <f>IF(AND(A934=Dashboard!$D$6,OR(Dashboard!$C$6="*",F934=Dashboard!$C$6),L934&lt;&gt;""),ABS(I934)+ROW()/1000000000,0)</f>
        <v/>
      </c>
    </row>
    <row r="935">
      <c r="A935">
        <f>Data_thang!A935</f>
        <v/>
      </c>
      <c r="B935">
        <f>Data_thang!B935</f>
        <v/>
      </c>
      <c r="C935">
        <f>Data_thang!D935</f>
        <v/>
      </c>
      <c r="D935">
        <f>Data_thang!E935</f>
        <v/>
      </c>
      <c r="E935">
        <f>Data_thang!F935</f>
        <v/>
      </c>
      <c r="F935">
        <f>Data_thang!G935</f>
        <v/>
      </c>
      <c r="G935" s="29">
        <f>Data_thang!J935-Data_thang!K935</f>
        <v/>
      </c>
      <c r="H935" s="29">
        <f>Data_thang!N935</f>
        <v/>
      </c>
      <c r="I935" s="29">
        <f>H935-G935</f>
        <v/>
      </c>
      <c r="J935" s="30">
        <f>IF(H935=0,IF(I935=0,0,1),I935/ABS(H935))</f>
        <v/>
      </c>
      <c r="K935" s="29">
        <f>H935-(Data_thang!O935-Data_thang!K935)</f>
        <v/>
      </c>
      <c r="L935">
        <f>IF(AND(ABS(I935)&gt;Dashboard!$G$6,ABS(J935)&gt;Dashboard!$H$6),"⚠ Vượt","")</f>
        <v/>
      </c>
      <c r="M935">
        <f>IF(AND(A935=Dashboard!$D$6,OR(Dashboard!$C$6="*",F935=Dashboard!$C$6),L935&lt;&gt;""),ABS(I935)+ROW()/1000000000,0)</f>
        <v/>
      </c>
    </row>
    <row r="936">
      <c r="A936">
        <f>Data_thang!A936</f>
        <v/>
      </c>
      <c r="B936">
        <f>Data_thang!B936</f>
        <v/>
      </c>
      <c r="C936">
        <f>Data_thang!D936</f>
        <v/>
      </c>
      <c r="D936">
        <f>Data_thang!E936</f>
        <v/>
      </c>
      <c r="E936">
        <f>Data_thang!F936</f>
        <v/>
      </c>
      <c r="F936">
        <f>Data_thang!G936</f>
        <v/>
      </c>
      <c r="G936" s="29">
        <f>Data_thang!J936-Data_thang!K936</f>
        <v/>
      </c>
      <c r="H936" s="29">
        <f>Data_thang!N936</f>
        <v/>
      </c>
      <c r="I936" s="29">
        <f>H936-G936</f>
        <v/>
      </c>
      <c r="J936" s="30">
        <f>IF(H936=0,IF(I936=0,0,1),I936/ABS(H936))</f>
        <v/>
      </c>
      <c r="K936" s="29">
        <f>H936-(Data_thang!O936-Data_thang!K936)</f>
        <v/>
      </c>
      <c r="L936">
        <f>IF(AND(ABS(I936)&gt;Dashboard!$G$6,ABS(J936)&gt;Dashboard!$H$6),"⚠ Vượt","")</f>
        <v/>
      </c>
      <c r="M936">
        <f>IF(AND(A936=Dashboard!$D$6,OR(Dashboard!$C$6="*",F936=Dashboard!$C$6),L936&lt;&gt;""),ABS(I936)+ROW()/1000000000,0)</f>
        <v/>
      </c>
    </row>
    <row r="937">
      <c r="A937">
        <f>Data_thang!A937</f>
        <v/>
      </c>
      <c r="B937">
        <f>Data_thang!B937</f>
        <v/>
      </c>
      <c r="C937">
        <f>Data_thang!D937</f>
        <v/>
      </c>
      <c r="D937">
        <f>Data_thang!E937</f>
        <v/>
      </c>
      <c r="E937">
        <f>Data_thang!F937</f>
        <v/>
      </c>
      <c r="F937">
        <f>Data_thang!G937</f>
        <v/>
      </c>
      <c r="G937" s="29">
        <f>Data_thang!J937-Data_thang!K937</f>
        <v/>
      </c>
      <c r="H937" s="29">
        <f>Data_thang!N937</f>
        <v/>
      </c>
      <c r="I937" s="29">
        <f>H937-G937</f>
        <v/>
      </c>
      <c r="J937" s="30">
        <f>IF(H937=0,IF(I937=0,0,1),I937/ABS(H937))</f>
        <v/>
      </c>
      <c r="K937" s="29">
        <f>H937-(Data_thang!O937-Data_thang!K937)</f>
        <v/>
      </c>
      <c r="L937">
        <f>IF(AND(ABS(I937)&gt;Dashboard!$G$6,ABS(J937)&gt;Dashboard!$H$6),"⚠ Vượt","")</f>
        <v/>
      </c>
      <c r="M937">
        <f>IF(AND(A937=Dashboard!$D$6,OR(Dashboard!$C$6="*",F937=Dashboard!$C$6),L937&lt;&gt;""),ABS(I937)+ROW()/1000000000,0)</f>
        <v/>
      </c>
    </row>
    <row r="938">
      <c r="A938">
        <f>Data_thang!A938</f>
        <v/>
      </c>
      <c r="B938">
        <f>Data_thang!B938</f>
        <v/>
      </c>
      <c r="C938">
        <f>Data_thang!D938</f>
        <v/>
      </c>
      <c r="D938">
        <f>Data_thang!E938</f>
        <v/>
      </c>
      <c r="E938">
        <f>Data_thang!F938</f>
        <v/>
      </c>
      <c r="F938">
        <f>Data_thang!G938</f>
        <v/>
      </c>
      <c r="G938" s="29">
        <f>Data_thang!J938-Data_thang!K938</f>
        <v/>
      </c>
      <c r="H938" s="29">
        <f>Data_thang!N938</f>
        <v/>
      </c>
      <c r="I938" s="29">
        <f>H938-G938</f>
        <v/>
      </c>
      <c r="J938" s="30">
        <f>IF(H938=0,IF(I938=0,0,1),I938/ABS(H938))</f>
        <v/>
      </c>
      <c r="K938" s="29">
        <f>H938-(Data_thang!O938-Data_thang!K938)</f>
        <v/>
      </c>
      <c r="L938">
        <f>IF(AND(ABS(I938)&gt;Dashboard!$G$6,ABS(J938)&gt;Dashboard!$H$6),"⚠ Vượt","")</f>
        <v/>
      </c>
      <c r="M938">
        <f>IF(AND(A938=Dashboard!$D$6,OR(Dashboard!$C$6="*",F938=Dashboard!$C$6),L938&lt;&gt;""),ABS(I938)+ROW()/1000000000,0)</f>
        <v/>
      </c>
    </row>
    <row r="939">
      <c r="A939">
        <f>Data_thang!A939</f>
        <v/>
      </c>
      <c r="B939">
        <f>Data_thang!B939</f>
        <v/>
      </c>
      <c r="C939">
        <f>Data_thang!D939</f>
        <v/>
      </c>
      <c r="D939">
        <f>Data_thang!E939</f>
        <v/>
      </c>
      <c r="E939">
        <f>Data_thang!F939</f>
        <v/>
      </c>
      <c r="F939">
        <f>Data_thang!G939</f>
        <v/>
      </c>
      <c r="G939" s="29">
        <f>Data_thang!J939-Data_thang!K939</f>
        <v/>
      </c>
      <c r="H939" s="29">
        <f>Data_thang!N939</f>
        <v/>
      </c>
      <c r="I939" s="29">
        <f>H939-G939</f>
        <v/>
      </c>
      <c r="J939" s="30">
        <f>IF(H939=0,IF(I939=0,0,1),I939/ABS(H939))</f>
        <v/>
      </c>
      <c r="K939" s="29">
        <f>H939-(Data_thang!O939-Data_thang!K939)</f>
        <v/>
      </c>
      <c r="L939">
        <f>IF(AND(ABS(I939)&gt;Dashboard!$G$6,ABS(J939)&gt;Dashboard!$H$6),"⚠ Vượt","")</f>
        <v/>
      </c>
      <c r="M939">
        <f>IF(AND(A939=Dashboard!$D$6,OR(Dashboard!$C$6="*",F939=Dashboard!$C$6),L939&lt;&gt;""),ABS(I939)+ROW()/1000000000,0)</f>
        <v/>
      </c>
    </row>
    <row r="940">
      <c r="A940">
        <f>Data_thang!A940</f>
        <v/>
      </c>
      <c r="B940">
        <f>Data_thang!B940</f>
        <v/>
      </c>
      <c r="C940">
        <f>Data_thang!D940</f>
        <v/>
      </c>
      <c r="D940">
        <f>Data_thang!E940</f>
        <v/>
      </c>
      <c r="E940">
        <f>Data_thang!F940</f>
        <v/>
      </c>
      <c r="F940">
        <f>Data_thang!G940</f>
        <v/>
      </c>
      <c r="G940" s="29">
        <f>Data_thang!J940-Data_thang!K940</f>
        <v/>
      </c>
      <c r="H940" s="29">
        <f>Data_thang!N940</f>
        <v/>
      </c>
      <c r="I940" s="29">
        <f>H940-G940</f>
        <v/>
      </c>
      <c r="J940" s="30">
        <f>IF(H940=0,IF(I940=0,0,1),I940/ABS(H940))</f>
        <v/>
      </c>
      <c r="K940" s="29">
        <f>H940-(Data_thang!O940-Data_thang!K940)</f>
        <v/>
      </c>
      <c r="L940">
        <f>IF(AND(ABS(I940)&gt;Dashboard!$G$6,ABS(J940)&gt;Dashboard!$H$6),"⚠ Vượt","")</f>
        <v/>
      </c>
      <c r="M940">
        <f>IF(AND(A940=Dashboard!$D$6,OR(Dashboard!$C$6="*",F940=Dashboard!$C$6),L940&lt;&gt;""),ABS(I940)+ROW()/1000000000,0)</f>
        <v/>
      </c>
    </row>
    <row r="941">
      <c r="A941">
        <f>Data_thang!A941</f>
        <v/>
      </c>
      <c r="B941">
        <f>Data_thang!B941</f>
        <v/>
      </c>
      <c r="C941">
        <f>Data_thang!D941</f>
        <v/>
      </c>
      <c r="D941">
        <f>Data_thang!E941</f>
        <v/>
      </c>
      <c r="E941">
        <f>Data_thang!F941</f>
        <v/>
      </c>
      <c r="F941">
        <f>Data_thang!G941</f>
        <v/>
      </c>
      <c r="G941" s="29">
        <f>Data_thang!J941-Data_thang!K941</f>
        <v/>
      </c>
      <c r="H941" s="29">
        <f>Data_thang!N941</f>
        <v/>
      </c>
      <c r="I941" s="29">
        <f>H941-G941</f>
        <v/>
      </c>
      <c r="J941" s="30">
        <f>IF(H941=0,IF(I941=0,0,1),I941/ABS(H941))</f>
        <v/>
      </c>
      <c r="K941" s="29">
        <f>H941-(Data_thang!O941-Data_thang!K941)</f>
        <v/>
      </c>
      <c r="L941">
        <f>IF(AND(ABS(I941)&gt;Dashboard!$G$6,ABS(J941)&gt;Dashboard!$H$6),"⚠ Vượt","")</f>
        <v/>
      </c>
      <c r="M941">
        <f>IF(AND(A941=Dashboard!$D$6,OR(Dashboard!$C$6="*",F941=Dashboard!$C$6),L941&lt;&gt;""),ABS(I941)+ROW()/1000000000,0)</f>
        <v/>
      </c>
    </row>
    <row r="942">
      <c r="A942">
        <f>Data_thang!A942</f>
        <v/>
      </c>
      <c r="B942">
        <f>Data_thang!B942</f>
        <v/>
      </c>
      <c r="C942">
        <f>Data_thang!D942</f>
        <v/>
      </c>
      <c r="D942">
        <f>Data_thang!E942</f>
        <v/>
      </c>
      <c r="E942">
        <f>Data_thang!F942</f>
        <v/>
      </c>
      <c r="F942">
        <f>Data_thang!G942</f>
        <v/>
      </c>
      <c r="G942" s="29">
        <f>Data_thang!J942-Data_thang!K942</f>
        <v/>
      </c>
      <c r="H942" s="29">
        <f>Data_thang!N942</f>
        <v/>
      </c>
      <c r="I942" s="29">
        <f>H942-G942</f>
        <v/>
      </c>
      <c r="J942" s="30">
        <f>IF(H942=0,IF(I942=0,0,1),I942/ABS(H942))</f>
        <v/>
      </c>
      <c r="K942" s="29">
        <f>H942-(Data_thang!O942-Data_thang!K942)</f>
        <v/>
      </c>
      <c r="L942">
        <f>IF(AND(ABS(I942)&gt;Dashboard!$G$6,ABS(J942)&gt;Dashboard!$H$6),"⚠ Vượt","")</f>
        <v/>
      </c>
      <c r="M942">
        <f>IF(AND(A942=Dashboard!$D$6,OR(Dashboard!$C$6="*",F942=Dashboard!$C$6),L942&lt;&gt;""),ABS(I942)+ROW()/1000000000,0)</f>
        <v/>
      </c>
    </row>
    <row r="943">
      <c r="A943">
        <f>Data_thang!A943</f>
        <v/>
      </c>
      <c r="B943">
        <f>Data_thang!B943</f>
        <v/>
      </c>
      <c r="C943">
        <f>Data_thang!D943</f>
        <v/>
      </c>
      <c r="D943">
        <f>Data_thang!E943</f>
        <v/>
      </c>
      <c r="E943">
        <f>Data_thang!F943</f>
        <v/>
      </c>
      <c r="F943">
        <f>Data_thang!G943</f>
        <v/>
      </c>
      <c r="G943" s="29">
        <f>Data_thang!J943-Data_thang!K943</f>
        <v/>
      </c>
      <c r="H943" s="29">
        <f>Data_thang!N943</f>
        <v/>
      </c>
      <c r="I943" s="29">
        <f>H943-G943</f>
        <v/>
      </c>
      <c r="J943" s="30">
        <f>IF(H943=0,IF(I943=0,0,1),I943/ABS(H943))</f>
        <v/>
      </c>
      <c r="K943" s="29">
        <f>H943-(Data_thang!O943-Data_thang!K943)</f>
        <v/>
      </c>
      <c r="L943">
        <f>IF(AND(ABS(I943)&gt;Dashboard!$G$6,ABS(J943)&gt;Dashboard!$H$6),"⚠ Vượt","")</f>
        <v/>
      </c>
      <c r="M943">
        <f>IF(AND(A943=Dashboard!$D$6,OR(Dashboard!$C$6="*",F943=Dashboard!$C$6),L943&lt;&gt;""),ABS(I943)+ROW()/1000000000,0)</f>
        <v/>
      </c>
    </row>
    <row r="944">
      <c r="A944">
        <f>Data_thang!A944</f>
        <v/>
      </c>
      <c r="B944">
        <f>Data_thang!B944</f>
        <v/>
      </c>
      <c r="C944">
        <f>Data_thang!D944</f>
        <v/>
      </c>
      <c r="D944">
        <f>Data_thang!E944</f>
        <v/>
      </c>
      <c r="E944">
        <f>Data_thang!F944</f>
        <v/>
      </c>
      <c r="F944">
        <f>Data_thang!G944</f>
        <v/>
      </c>
      <c r="G944" s="29">
        <f>Data_thang!J944-Data_thang!K944</f>
        <v/>
      </c>
      <c r="H944" s="29">
        <f>Data_thang!N944</f>
        <v/>
      </c>
      <c r="I944" s="29">
        <f>H944-G944</f>
        <v/>
      </c>
      <c r="J944" s="30">
        <f>IF(H944=0,IF(I944=0,0,1),I944/ABS(H944))</f>
        <v/>
      </c>
      <c r="K944" s="29">
        <f>H944-(Data_thang!O944-Data_thang!K944)</f>
        <v/>
      </c>
      <c r="L944">
        <f>IF(AND(ABS(I944)&gt;Dashboard!$G$6,ABS(J944)&gt;Dashboard!$H$6),"⚠ Vượt","")</f>
        <v/>
      </c>
      <c r="M944">
        <f>IF(AND(A944=Dashboard!$D$6,OR(Dashboard!$C$6="*",F944=Dashboard!$C$6),L944&lt;&gt;""),ABS(I944)+ROW()/1000000000,0)</f>
        <v/>
      </c>
    </row>
    <row r="945">
      <c r="A945">
        <f>Data_thang!A945</f>
        <v/>
      </c>
      <c r="B945">
        <f>Data_thang!B945</f>
        <v/>
      </c>
      <c r="C945">
        <f>Data_thang!D945</f>
        <v/>
      </c>
      <c r="D945">
        <f>Data_thang!E945</f>
        <v/>
      </c>
      <c r="E945">
        <f>Data_thang!F945</f>
        <v/>
      </c>
      <c r="F945">
        <f>Data_thang!G945</f>
        <v/>
      </c>
      <c r="G945" s="29">
        <f>Data_thang!J945-Data_thang!K945</f>
        <v/>
      </c>
      <c r="H945" s="29">
        <f>Data_thang!N945</f>
        <v/>
      </c>
      <c r="I945" s="29">
        <f>H945-G945</f>
        <v/>
      </c>
      <c r="J945" s="30">
        <f>IF(H945=0,IF(I945=0,0,1),I945/ABS(H945))</f>
        <v/>
      </c>
      <c r="K945" s="29">
        <f>H945-(Data_thang!O945-Data_thang!K945)</f>
        <v/>
      </c>
      <c r="L945">
        <f>IF(AND(ABS(I945)&gt;Dashboard!$G$6,ABS(J945)&gt;Dashboard!$H$6),"⚠ Vượt","")</f>
        <v/>
      </c>
      <c r="M945">
        <f>IF(AND(A945=Dashboard!$D$6,OR(Dashboard!$C$6="*",F945=Dashboard!$C$6),L945&lt;&gt;""),ABS(I945)+ROW()/1000000000,0)</f>
        <v/>
      </c>
    </row>
    <row r="946">
      <c r="A946">
        <f>Data_thang!A946</f>
        <v/>
      </c>
      <c r="B946">
        <f>Data_thang!B946</f>
        <v/>
      </c>
      <c r="C946">
        <f>Data_thang!D946</f>
        <v/>
      </c>
      <c r="D946">
        <f>Data_thang!E946</f>
        <v/>
      </c>
      <c r="E946">
        <f>Data_thang!F946</f>
        <v/>
      </c>
      <c r="F946">
        <f>Data_thang!G946</f>
        <v/>
      </c>
      <c r="G946" s="29">
        <f>Data_thang!J946-Data_thang!K946</f>
        <v/>
      </c>
      <c r="H946" s="29">
        <f>Data_thang!N946</f>
        <v/>
      </c>
      <c r="I946" s="29">
        <f>H946-G946</f>
        <v/>
      </c>
      <c r="J946" s="30">
        <f>IF(H946=0,IF(I946=0,0,1),I946/ABS(H946))</f>
        <v/>
      </c>
      <c r="K946" s="29">
        <f>H946-(Data_thang!O946-Data_thang!K946)</f>
        <v/>
      </c>
      <c r="L946">
        <f>IF(AND(ABS(I946)&gt;Dashboard!$G$6,ABS(J946)&gt;Dashboard!$H$6),"⚠ Vượt","")</f>
        <v/>
      </c>
      <c r="M946">
        <f>IF(AND(A946=Dashboard!$D$6,OR(Dashboard!$C$6="*",F946=Dashboard!$C$6),L946&lt;&gt;""),ABS(I946)+ROW()/1000000000,0)</f>
        <v/>
      </c>
    </row>
    <row r="947">
      <c r="A947">
        <f>Data_thang!A947</f>
        <v/>
      </c>
      <c r="B947">
        <f>Data_thang!B947</f>
        <v/>
      </c>
      <c r="C947">
        <f>Data_thang!D947</f>
        <v/>
      </c>
      <c r="D947">
        <f>Data_thang!E947</f>
        <v/>
      </c>
      <c r="E947">
        <f>Data_thang!F947</f>
        <v/>
      </c>
      <c r="F947">
        <f>Data_thang!G947</f>
        <v/>
      </c>
      <c r="G947" s="29">
        <f>Data_thang!J947-Data_thang!K947</f>
        <v/>
      </c>
      <c r="H947" s="29">
        <f>Data_thang!N947</f>
        <v/>
      </c>
      <c r="I947" s="29">
        <f>H947-G947</f>
        <v/>
      </c>
      <c r="J947" s="30">
        <f>IF(H947=0,IF(I947=0,0,1),I947/ABS(H947))</f>
        <v/>
      </c>
      <c r="K947" s="29">
        <f>H947-(Data_thang!O947-Data_thang!K947)</f>
        <v/>
      </c>
      <c r="L947">
        <f>IF(AND(ABS(I947)&gt;Dashboard!$G$6,ABS(J947)&gt;Dashboard!$H$6),"⚠ Vượt","")</f>
        <v/>
      </c>
      <c r="M947">
        <f>IF(AND(A947=Dashboard!$D$6,OR(Dashboard!$C$6="*",F947=Dashboard!$C$6),L947&lt;&gt;""),ABS(I947)+ROW()/1000000000,0)</f>
        <v/>
      </c>
    </row>
    <row r="948">
      <c r="A948">
        <f>Data_thang!A948</f>
        <v/>
      </c>
      <c r="B948">
        <f>Data_thang!B948</f>
        <v/>
      </c>
      <c r="C948">
        <f>Data_thang!D948</f>
        <v/>
      </c>
      <c r="D948">
        <f>Data_thang!E948</f>
        <v/>
      </c>
      <c r="E948">
        <f>Data_thang!F948</f>
        <v/>
      </c>
      <c r="F948">
        <f>Data_thang!G948</f>
        <v/>
      </c>
      <c r="G948" s="29">
        <f>Data_thang!J948-Data_thang!K948</f>
        <v/>
      </c>
      <c r="H948" s="29">
        <f>Data_thang!N948</f>
        <v/>
      </c>
      <c r="I948" s="29">
        <f>H948-G948</f>
        <v/>
      </c>
      <c r="J948" s="30">
        <f>IF(H948=0,IF(I948=0,0,1),I948/ABS(H948))</f>
        <v/>
      </c>
      <c r="K948" s="29">
        <f>H948-(Data_thang!O948-Data_thang!K948)</f>
        <v/>
      </c>
      <c r="L948">
        <f>IF(AND(ABS(I948)&gt;Dashboard!$G$6,ABS(J948)&gt;Dashboard!$H$6),"⚠ Vượt","")</f>
        <v/>
      </c>
      <c r="M948">
        <f>IF(AND(A948=Dashboard!$D$6,OR(Dashboard!$C$6="*",F948=Dashboard!$C$6),L948&lt;&gt;""),ABS(I948)+ROW()/1000000000,0)</f>
        <v/>
      </c>
    </row>
    <row r="949">
      <c r="A949">
        <f>Data_thang!A949</f>
        <v/>
      </c>
      <c r="B949">
        <f>Data_thang!B949</f>
        <v/>
      </c>
      <c r="C949">
        <f>Data_thang!D949</f>
        <v/>
      </c>
      <c r="D949">
        <f>Data_thang!E949</f>
        <v/>
      </c>
      <c r="E949">
        <f>Data_thang!F949</f>
        <v/>
      </c>
      <c r="F949">
        <f>Data_thang!G949</f>
        <v/>
      </c>
      <c r="G949" s="29">
        <f>Data_thang!J949-Data_thang!K949</f>
        <v/>
      </c>
      <c r="H949" s="29">
        <f>Data_thang!N949</f>
        <v/>
      </c>
      <c r="I949" s="29">
        <f>H949-G949</f>
        <v/>
      </c>
      <c r="J949" s="30">
        <f>IF(H949=0,IF(I949=0,0,1),I949/ABS(H949))</f>
        <v/>
      </c>
      <c r="K949" s="29">
        <f>H949-(Data_thang!O949-Data_thang!K949)</f>
        <v/>
      </c>
      <c r="L949">
        <f>IF(AND(ABS(I949)&gt;Dashboard!$G$6,ABS(J949)&gt;Dashboard!$H$6),"⚠ Vượt","")</f>
        <v/>
      </c>
      <c r="M949">
        <f>IF(AND(A949=Dashboard!$D$6,OR(Dashboard!$C$6="*",F949=Dashboard!$C$6),L949&lt;&gt;""),ABS(I949)+ROW()/1000000000,0)</f>
        <v/>
      </c>
    </row>
    <row r="950">
      <c r="A950">
        <f>Data_thang!A950</f>
        <v/>
      </c>
      <c r="B950">
        <f>Data_thang!B950</f>
        <v/>
      </c>
      <c r="C950">
        <f>Data_thang!D950</f>
        <v/>
      </c>
      <c r="D950">
        <f>Data_thang!E950</f>
        <v/>
      </c>
      <c r="E950">
        <f>Data_thang!F950</f>
        <v/>
      </c>
      <c r="F950">
        <f>Data_thang!G950</f>
        <v/>
      </c>
      <c r="G950" s="29">
        <f>Data_thang!J950-Data_thang!K950</f>
        <v/>
      </c>
      <c r="H950" s="29">
        <f>Data_thang!N950</f>
        <v/>
      </c>
      <c r="I950" s="29">
        <f>H950-G950</f>
        <v/>
      </c>
      <c r="J950" s="30">
        <f>IF(H950=0,IF(I950=0,0,1),I950/ABS(H950))</f>
        <v/>
      </c>
      <c r="K950" s="29">
        <f>H950-(Data_thang!O950-Data_thang!K950)</f>
        <v/>
      </c>
      <c r="L950">
        <f>IF(AND(ABS(I950)&gt;Dashboard!$G$6,ABS(J950)&gt;Dashboard!$H$6),"⚠ Vượt","")</f>
        <v/>
      </c>
      <c r="M950">
        <f>IF(AND(A950=Dashboard!$D$6,OR(Dashboard!$C$6="*",F950=Dashboard!$C$6),L950&lt;&gt;""),ABS(I950)+ROW()/1000000000,0)</f>
        <v/>
      </c>
    </row>
    <row r="951">
      <c r="A951">
        <f>Data_thang!A951</f>
        <v/>
      </c>
      <c r="B951">
        <f>Data_thang!B951</f>
        <v/>
      </c>
      <c r="C951">
        <f>Data_thang!D951</f>
        <v/>
      </c>
      <c r="D951">
        <f>Data_thang!E951</f>
        <v/>
      </c>
      <c r="E951">
        <f>Data_thang!F951</f>
        <v/>
      </c>
      <c r="F951">
        <f>Data_thang!G951</f>
        <v/>
      </c>
      <c r="G951" s="29">
        <f>Data_thang!J951-Data_thang!K951</f>
        <v/>
      </c>
      <c r="H951" s="29">
        <f>Data_thang!N951</f>
        <v/>
      </c>
      <c r="I951" s="29">
        <f>H951-G951</f>
        <v/>
      </c>
      <c r="J951" s="30">
        <f>IF(H951=0,IF(I951=0,0,1),I951/ABS(H951))</f>
        <v/>
      </c>
      <c r="K951" s="29">
        <f>H951-(Data_thang!O951-Data_thang!K951)</f>
        <v/>
      </c>
      <c r="L951">
        <f>IF(AND(ABS(I951)&gt;Dashboard!$G$6,ABS(J951)&gt;Dashboard!$H$6),"⚠ Vượt","")</f>
        <v/>
      </c>
      <c r="M951">
        <f>IF(AND(A951=Dashboard!$D$6,OR(Dashboard!$C$6="*",F951=Dashboard!$C$6),L951&lt;&gt;""),ABS(I951)+ROW()/1000000000,0)</f>
        <v/>
      </c>
    </row>
    <row r="952">
      <c r="A952">
        <f>Data_thang!A952</f>
        <v/>
      </c>
      <c r="B952">
        <f>Data_thang!B952</f>
        <v/>
      </c>
      <c r="C952">
        <f>Data_thang!D952</f>
        <v/>
      </c>
      <c r="D952">
        <f>Data_thang!E952</f>
        <v/>
      </c>
      <c r="E952">
        <f>Data_thang!F952</f>
        <v/>
      </c>
      <c r="F952">
        <f>Data_thang!G952</f>
        <v/>
      </c>
      <c r="G952" s="29">
        <f>Data_thang!J952-Data_thang!K952</f>
        <v/>
      </c>
      <c r="H952" s="29">
        <f>Data_thang!N952</f>
        <v/>
      </c>
      <c r="I952" s="29">
        <f>H952-G952</f>
        <v/>
      </c>
      <c r="J952" s="30">
        <f>IF(H952=0,IF(I952=0,0,1),I952/ABS(H952))</f>
        <v/>
      </c>
      <c r="K952" s="29">
        <f>H952-(Data_thang!O952-Data_thang!K952)</f>
        <v/>
      </c>
      <c r="L952">
        <f>IF(AND(ABS(I952)&gt;Dashboard!$G$6,ABS(J952)&gt;Dashboard!$H$6),"⚠ Vượt","")</f>
        <v/>
      </c>
      <c r="M952">
        <f>IF(AND(A952=Dashboard!$D$6,OR(Dashboard!$C$6="*",F952=Dashboard!$C$6),L952&lt;&gt;""),ABS(I952)+ROW()/1000000000,0)</f>
        <v/>
      </c>
    </row>
    <row r="953">
      <c r="A953">
        <f>Data_thang!A953</f>
        <v/>
      </c>
      <c r="B953">
        <f>Data_thang!B953</f>
        <v/>
      </c>
      <c r="C953">
        <f>Data_thang!D953</f>
        <v/>
      </c>
      <c r="D953">
        <f>Data_thang!E953</f>
        <v/>
      </c>
      <c r="E953">
        <f>Data_thang!F953</f>
        <v/>
      </c>
      <c r="F953">
        <f>Data_thang!G953</f>
        <v/>
      </c>
      <c r="G953" s="29">
        <f>Data_thang!J953-Data_thang!K953</f>
        <v/>
      </c>
      <c r="H953" s="29">
        <f>Data_thang!N953</f>
        <v/>
      </c>
      <c r="I953" s="29">
        <f>H953-G953</f>
        <v/>
      </c>
      <c r="J953" s="30">
        <f>IF(H953=0,IF(I953=0,0,1),I953/ABS(H953))</f>
        <v/>
      </c>
      <c r="K953" s="29">
        <f>H953-(Data_thang!O953-Data_thang!K953)</f>
        <v/>
      </c>
      <c r="L953">
        <f>IF(AND(ABS(I953)&gt;Dashboard!$G$6,ABS(J953)&gt;Dashboard!$H$6),"⚠ Vượt","")</f>
        <v/>
      </c>
      <c r="M953">
        <f>IF(AND(A953=Dashboard!$D$6,OR(Dashboard!$C$6="*",F953=Dashboard!$C$6),L953&lt;&gt;""),ABS(I953)+ROW()/1000000000,0)</f>
        <v/>
      </c>
    </row>
    <row r="954">
      <c r="A954">
        <f>Data_thang!A954</f>
        <v/>
      </c>
      <c r="B954">
        <f>Data_thang!B954</f>
        <v/>
      </c>
      <c r="C954">
        <f>Data_thang!D954</f>
        <v/>
      </c>
      <c r="D954">
        <f>Data_thang!E954</f>
        <v/>
      </c>
      <c r="E954">
        <f>Data_thang!F954</f>
        <v/>
      </c>
      <c r="F954">
        <f>Data_thang!G954</f>
        <v/>
      </c>
      <c r="G954" s="29">
        <f>Data_thang!J954-Data_thang!K954</f>
        <v/>
      </c>
      <c r="H954" s="29">
        <f>Data_thang!N954</f>
        <v/>
      </c>
      <c r="I954" s="29">
        <f>H954-G954</f>
        <v/>
      </c>
      <c r="J954" s="30">
        <f>IF(H954=0,IF(I954=0,0,1),I954/ABS(H954))</f>
        <v/>
      </c>
      <c r="K954" s="29">
        <f>H954-(Data_thang!O954-Data_thang!K954)</f>
        <v/>
      </c>
      <c r="L954">
        <f>IF(AND(ABS(I954)&gt;Dashboard!$G$6,ABS(J954)&gt;Dashboard!$H$6),"⚠ Vượt","")</f>
        <v/>
      </c>
      <c r="M954">
        <f>IF(AND(A954=Dashboard!$D$6,OR(Dashboard!$C$6="*",F954=Dashboard!$C$6),L954&lt;&gt;""),ABS(I954)+ROW()/1000000000,0)</f>
        <v/>
      </c>
    </row>
    <row r="955">
      <c r="A955">
        <f>Data_thang!A955</f>
        <v/>
      </c>
      <c r="B955">
        <f>Data_thang!B955</f>
        <v/>
      </c>
      <c r="C955">
        <f>Data_thang!D955</f>
        <v/>
      </c>
      <c r="D955">
        <f>Data_thang!E955</f>
        <v/>
      </c>
      <c r="E955">
        <f>Data_thang!F955</f>
        <v/>
      </c>
      <c r="F955">
        <f>Data_thang!G955</f>
        <v/>
      </c>
      <c r="G955" s="29">
        <f>Data_thang!J955-Data_thang!K955</f>
        <v/>
      </c>
      <c r="H955" s="29">
        <f>Data_thang!N955</f>
        <v/>
      </c>
      <c r="I955" s="29">
        <f>H955-G955</f>
        <v/>
      </c>
      <c r="J955" s="30">
        <f>IF(H955=0,IF(I955=0,0,1),I955/ABS(H955))</f>
        <v/>
      </c>
      <c r="K955" s="29">
        <f>H955-(Data_thang!O955-Data_thang!K955)</f>
        <v/>
      </c>
      <c r="L955">
        <f>IF(AND(ABS(I955)&gt;Dashboard!$G$6,ABS(J955)&gt;Dashboard!$H$6),"⚠ Vượt","")</f>
        <v/>
      </c>
      <c r="M955">
        <f>IF(AND(A955=Dashboard!$D$6,OR(Dashboard!$C$6="*",F955=Dashboard!$C$6),L955&lt;&gt;""),ABS(I955)+ROW()/1000000000,0)</f>
        <v/>
      </c>
    </row>
    <row r="956">
      <c r="A956">
        <f>Data_thang!A956</f>
        <v/>
      </c>
      <c r="B956">
        <f>Data_thang!B956</f>
        <v/>
      </c>
      <c r="C956">
        <f>Data_thang!D956</f>
        <v/>
      </c>
      <c r="D956">
        <f>Data_thang!E956</f>
        <v/>
      </c>
      <c r="E956">
        <f>Data_thang!F956</f>
        <v/>
      </c>
      <c r="F956">
        <f>Data_thang!G956</f>
        <v/>
      </c>
      <c r="G956" s="29">
        <f>Data_thang!J956-Data_thang!K956</f>
        <v/>
      </c>
      <c r="H956" s="29">
        <f>Data_thang!N956</f>
        <v/>
      </c>
      <c r="I956" s="29">
        <f>H956-G956</f>
        <v/>
      </c>
      <c r="J956" s="30">
        <f>IF(H956=0,IF(I956=0,0,1),I956/ABS(H956))</f>
        <v/>
      </c>
      <c r="K956" s="29">
        <f>H956-(Data_thang!O956-Data_thang!K956)</f>
        <v/>
      </c>
      <c r="L956">
        <f>IF(AND(ABS(I956)&gt;Dashboard!$G$6,ABS(J956)&gt;Dashboard!$H$6),"⚠ Vượt","")</f>
        <v/>
      </c>
      <c r="M956">
        <f>IF(AND(A956=Dashboard!$D$6,OR(Dashboard!$C$6="*",F956=Dashboard!$C$6),L956&lt;&gt;""),ABS(I956)+ROW()/1000000000,0)</f>
        <v/>
      </c>
    </row>
    <row r="957">
      <c r="A957">
        <f>Data_thang!A957</f>
        <v/>
      </c>
      <c r="B957">
        <f>Data_thang!B957</f>
        <v/>
      </c>
      <c r="C957">
        <f>Data_thang!D957</f>
        <v/>
      </c>
      <c r="D957">
        <f>Data_thang!E957</f>
        <v/>
      </c>
      <c r="E957">
        <f>Data_thang!F957</f>
        <v/>
      </c>
      <c r="F957">
        <f>Data_thang!G957</f>
        <v/>
      </c>
      <c r="G957" s="29">
        <f>Data_thang!J957-Data_thang!K957</f>
        <v/>
      </c>
      <c r="H957" s="29">
        <f>Data_thang!N957</f>
        <v/>
      </c>
      <c r="I957" s="29">
        <f>H957-G957</f>
        <v/>
      </c>
      <c r="J957" s="30">
        <f>IF(H957=0,IF(I957=0,0,1),I957/ABS(H957))</f>
        <v/>
      </c>
      <c r="K957" s="29">
        <f>H957-(Data_thang!O957-Data_thang!K957)</f>
        <v/>
      </c>
      <c r="L957">
        <f>IF(AND(ABS(I957)&gt;Dashboard!$G$6,ABS(J957)&gt;Dashboard!$H$6),"⚠ Vượt","")</f>
        <v/>
      </c>
      <c r="M957">
        <f>IF(AND(A957=Dashboard!$D$6,OR(Dashboard!$C$6="*",F957=Dashboard!$C$6),L957&lt;&gt;""),ABS(I957)+ROW()/1000000000,0)</f>
        <v/>
      </c>
    </row>
    <row r="958">
      <c r="A958">
        <f>Data_thang!A958</f>
        <v/>
      </c>
      <c r="B958">
        <f>Data_thang!B958</f>
        <v/>
      </c>
      <c r="C958">
        <f>Data_thang!D958</f>
        <v/>
      </c>
      <c r="D958">
        <f>Data_thang!E958</f>
        <v/>
      </c>
      <c r="E958">
        <f>Data_thang!F958</f>
        <v/>
      </c>
      <c r="F958">
        <f>Data_thang!G958</f>
        <v/>
      </c>
      <c r="G958" s="29">
        <f>Data_thang!J958-Data_thang!K958</f>
        <v/>
      </c>
      <c r="H958" s="29">
        <f>Data_thang!N958</f>
        <v/>
      </c>
      <c r="I958" s="29">
        <f>H958-G958</f>
        <v/>
      </c>
      <c r="J958" s="30">
        <f>IF(H958=0,IF(I958=0,0,1),I958/ABS(H958))</f>
        <v/>
      </c>
      <c r="K958" s="29">
        <f>H958-(Data_thang!O958-Data_thang!K958)</f>
        <v/>
      </c>
      <c r="L958">
        <f>IF(AND(ABS(I958)&gt;Dashboard!$G$6,ABS(J958)&gt;Dashboard!$H$6),"⚠ Vượt","")</f>
        <v/>
      </c>
      <c r="M958">
        <f>IF(AND(A958=Dashboard!$D$6,OR(Dashboard!$C$6="*",F958=Dashboard!$C$6),L958&lt;&gt;""),ABS(I958)+ROW()/1000000000,0)</f>
        <v/>
      </c>
    </row>
    <row r="959">
      <c r="A959">
        <f>Data_thang!A959</f>
        <v/>
      </c>
      <c r="B959">
        <f>Data_thang!B959</f>
        <v/>
      </c>
      <c r="C959">
        <f>Data_thang!D959</f>
        <v/>
      </c>
      <c r="D959">
        <f>Data_thang!E959</f>
        <v/>
      </c>
      <c r="E959">
        <f>Data_thang!F959</f>
        <v/>
      </c>
      <c r="F959">
        <f>Data_thang!G959</f>
        <v/>
      </c>
      <c r="G959" s="29">
        <f>Data_thang!J959-Data_thang!K959</f>
        <v/>
      </c>
      <c r="H959" s="29">
        <f>Data_thang!N959</f>
        <v/>
      </c>
      <c r="I959" s="29">
        <f>H959-G959</f>
        <v/>
      </c>
      <c r="J959" s="30">
        <f>IF(H959=0,IF(I959=0,0,1),I959/ABS(H959))</f>
        <v/>
      </c>
      <c r="K959" s="29">
        <f>H959-(Data_thang!O959-Data_thang!K959)</f>
        <v/>
      </c>
      <c r="L959">
        <f>IF(AND(ABS(I959)&gt;Dashboard!$G$6,ABS(J959)&gt;Dashboard!$H$6),"⚠ Vượt","")</f>
        <v/>
      </c>
      <c r="M959">
        <f>IF(AND(A959=Dashboard!$D$6,OR(Dashboard!$C$6="*",F959=Dashboard!$C$6),L959&lt;&gt;""),ABS(I959)+ROW()/1000000000,0)</f>
        <v/>
      </c>
    </row>
    <row r="960">
      <c r="A960">
        <f>Data_thang!A960</f>
        <v/>
      </c>
      <c r="B960">
        <f>Data_thang!B960</f>
        <v/>
      </c>
      <c r="C960">
        <f>Data_thang!D960</f>
        <v/>
      </c>
      <c r="D960">
        <f>Data_thang!E960</f>
        <v/>
      </c>
      <c r="E960">
        <f>Data_thang!F960</f>
        <v/>
      </c>
      <c r="F960">
        <f>Data_thang!G960</f>
        <v/>
      </c>
      <c r="G960" s="29">
        <f>Data_thang!J960-Data_thang!K960</f>
        <v/>
      </c>
      <c r="H960" s="29">
        <f>Data_thang!N960</f>
        <v/>
      </c>
      <c r="I960" s="29">
        <f>H960-G960</f>
        <v/>
      </c>
      <c r="J960" s="30">
        <f>IF(H960=0,IF(I960=0,0,1),I960/ABS(H960))</f>
        <v/>
      </c>
      <c r="K960" s="29">
        <f>H960-(Data_thang!O960-Data_thang!K960)</f>
        <v/>
      </c>
      <c r="L960">
        <f>IF(AND(ABS(I960)&gt;Dashboard!$G$6,ABS(J960)&gt;Dashboard!$H$6),"⚠ Vượt","")</f>
        <v/>
      </c>
      <c r="M960">
        <f>IF(AND(A960=Dashboard!$D$6,OR(Dashboard!$C$6="*",F960=Dashboard!$C$6),L960&lt;&gt;""),ABS(I960)+ROW()/1000000000,0)</f>
        <v/>
      </c>
    </row>
    <row r="961">
      <c r="A961">
        <f>Data_thang!A961</f>
        <v/>
      </c>
      <c r="B961">
        <f>Data_thang!B961</f>
        <v/>
      </c>
      <c r="C961">
        <f>Data_thang!D961</f>
        <v/>
      </c>
      <c r="D961">
        <f>Data_thang!E961</f>
        <v/>
      </c>
      <c r="E961">
        <f>Data_thang!F961</f>
        <v/>
      </c>
      <c r="F961">
        <f>Data_thang!G961</f>
        <v/>
      </c>
      <c r="G961" s="29">
        <f>Data_thang!J961-Data_thang!K961</f>
        <v/>
      </c>
      <c r="H961" s="29">
        <f>Data_thang!N961</f>
        <v/>
      </c>
      <c r="I961" s="29">
        <f>H961-G961</f>
        <v/>
      </c>
      <c r="J961" s="30">
        <f>IF(H961=0,IF(I961=0,0,1),I961/ABS(H961))</f>
        <v/>
      </c>
      <c r="K961" s="29">
        <f>H961-(Data_thang!O961-Data_thang!K961)</f>
        <v/>
      </c>
      <c r="L961">
        <f>IF(AND(ABS(I961)&gt;Dashboard!$G$6,ABS(J961)&gt;Dashboard!$H$6),"⚠ Vượt","")</f>
        <v/>
      </c>
      <c r="M961">
        <f>IF(AND(A961=Dashboard!$D$6,OR(Dashboard!$C$6="*",F961=Dashboard!$C$6),L961&lt;&gt;""),ABS(I961)+ROW()/1000000000,0)</f>
        <v/>
      </c>
    </row>
    <row r="962">
      <c r="A962">
        <f>Data_thang!A962</f>
        <v/>
      </c>
      <c r="B962">
        <f>Data_thang!B962</f>
        <v/>
      </c>
      <c r="C962">
        <f>Data_thang!D962</f>
        <v/>
      </c>
      <c r="D962">
        <f>Data_thang!E962</f>
        <v/>
      </c>
      <c r="E962">
        <f>Data_thang!F962</f>
        <v/>
      </c>
      <c r="F962">
        <f>Data_thang!G962</f>
        <v/>
      </c>
      <c r="G962" s="29">
        <f>Data_thang!J962-Data_thang!K962</f>
        <v/>
      </c>
      <c r="H962" s="29">
        <f>Data_thang!N962</f>
        <v/>
      </c>
      <c r="I962" s="29">
        <f>H962-G962</f>
        <v/>
      </c>
      <c r="J962" s="30">
        <f>IF(H962=0,IF(I962=0,0,1),I962/ABS(H962))</f>
        <v/>
      </c>
      <c r="K962" s="29">
        <f>H962-(Data_thang!O962-Data_thang!K962)</f>
        <v/>
      </c>
      <c r="L962">
        <f>IF(AND(ABS(I962)&gt;Dashboard!$G$6,ABS(J962)&gt;Dashboard!$H$6),"⚠ Vượt","")</f>
        <v/>
      </c>
      <c r="M962">
        <f>IF(AND(A962=Dashboard!$D$6,OR(Dashboard!$C$6="*",F962=Dashboard!$C$6),L962&lt;&gt;""),ABS(I962)+ROW()/1000000000,0)</f>
        <v/>
      </c>
    </row>
    <row r="963">
      <c r="A963">
        <f>Data_thang!A963</f>
        <v/>
      </c>
      <c r="B963">
        <f>Data_thang!B963</f>
        <v/>
      </c>
      <c r="C963">
        <f>Data_thang!D963</f>
        <v/>
      </c>
      <c r="D963">
        <f>Data_thang!E963</f>
        <v/>
      </c>
      <c r="E963">
        <f>Data_thang!F963</f>
        <v/>
      </c>
      <c r="F963">
        <f>Data_thang!G963</f>
        <v/>
      </c>
      <c r="G963" s="29">
        <f>Data_thang!J963-Data_thang!K963</f>
        <v/>
      </c>
      <c r="H963" s="29">
        <f>Data_thang!N963</f>
        <v/>
      </c>
      <c r="I963" s="29">
        <f>H963-G963</f>
        <v/>
      </c>
      <c r="J963" s="30">
        <f>IF(H963=0,IF(I963=0,0,1),I963/ABS(H963))</f>
        <v/>
      </c>
      <c r="K963" s="29">
        <f>H963-(Data_thang!O963-Data_thang!K963)</f>
        <v/>
      </c>
      <c r="L963">
        <f>IF(AND(ABS(I963)&gt;Dashboard!$G$6,ABS(J963)&gt;Dashboard!$H$6),"⚠ Vượt","")</f>
        <v/>
      </c>
      <c r="M963">
        <f>IF(AND(A963=Dashboard!$D$6,OR(Dashboard!$C$6="*",F963=Dashboard!$C$6),L963&lt;&gt;""),ABS(I963)+ROW()/1000000000,0)</f>
        <v/>
      </c>
    </row>
    <row r="964">
      <c r="A964">
        <f>Data_thang!A964</f>
        <v/>
      </c>
      <c r="B964">
        <f>Data_thang!B964</f>
        <v/>
      </c>
      <c r="C964">
        <f>Data_thang!D964</f>
        <v/>
      </c>
      <c r="D964">
        <f>Data_thang!E964</f>
        <v/>
      </c>
      <c r="E964">
        <f>Data_thang!F964</f>
        <v/>
      </c>
      <c r="F964">
        <f>Data_thang!G964</f>
        <v/>
      </c>
      <c r="G964" s="29">
        <f>Data_thang!J964-Data_thang!K964</f>
        <v/>
      </c>
      <c r="H964" s="29">
        <f>Data_thang!N964</f>
        <v/>
      </c>
      <c r="I964" s="29">
        <f>H964-G964</f>
        <v/>
      </c>
      <c r="J964" s="30">
        <f>IF(H964=0,IF(I964=0,0,1),I964/ABS(H964))</f>
        <v/>
      </c>
      <c r="K964" s="29">
        <f>H964-(Data_thang!O964-Data_thang!K964)</f>
        <v/>
      </c>
      <c r="L964">
        <f>IF(AND(ABS(I964)&gt;Dashboard!$G$6,ABS(J964)&gt;Dashboard!$H$6),"⚠ Vượt","")</f>
        <v/>
      </c>
      <c r="M964">
        <f>IF(AND(A964=Dashboard!$D$6,OR(Dashboard!$C$6="*",F964=Dashboard!$C$6),L964&lt;&gt;""),ABS(I964)+ROW()/1000000000,0)</f>
        <v/>
      </c>
    </row>
    <row r="965">
      <c r="A965">
        <f>Data_thang!A965</f>
        <v/>
      </c>
      <c r="B965">
        <f>Data_thang!B965</f>
        <v/>
      </c>
      <c r="C965">
        <f>Data_thang!D965</f>
        <v/>
      </c>
      <c r="D965">
        <f>Data_thang!E965</f>
        <v/>
      </c>
      <c r="E965">
        <f>Data_thang!F965</f>
        <v/>
      </c>
      <c r="F965">
        <f>Data_thang!G965</f>
        <v/>
      </c>
      <c r="G965" s="29">
        <f>Data_thang!J965-Data_thang!K965</f>
        <v/>
      </c>
      <c r="H965" s="29">
        <f>Data_thang!N965</f>
        <v/>
      </c>
      <c r="I965" s="29">
        <f>H965-G965</f>
        <v/>
      </c>
      <c r="J965" s="30">
        <f>IF(H965=0,IF(I965=0,0,1),I965/ABS(H965))</f>
        <v/>
      </c>
      <c r="K965" s="29">
        <f>H965-(Data_thang!O965-Data_thang!K965)</f>
        <v/>
      </c>
      <c r="L965">
        <f>IF(AND(ABS(I965)&gt;Dashboard!$G$6,ABS(J965)&gt;Dashboard!$H$6),"⚠ Vượt","")</f>
        <v/>
      </c>
      <c r="M965">
        <f>IF(AND(A965=Dashboard!$D$6,OR(Dashboard!$C$6="*",F965=Dashboard!$C$6),L965&lt;&gt;""),ABS(I965)+ROW()/1000000000,0)</f>
        <v/>
      </c>
    </row>
    <row r="966">
      <c r="A966">
        <f>Data_thang!A966</f>
        <v/>
      </c>
      <c r="B966">
        <f>Data_thang!B966</f>
        <v/>
      </c>
      <c r="C966">
        <f>Data_thang!D966</f>
        <v/>
      </c>
      <c r="D966">
        <f>Data_thang!E966</f>
        <v/>
      </c>
      <c r="E966">
        <f>Data_thang!F966</f>
        <v/>
      </c>
      <c r="F966">
        <f>Data_thang!G966</f>
        <v/>
      </c>
      <c r="G966" s="29">
        <f>Data_thang!J966-Data_thang!K966</f>
        <v/>
      </c>
      <c r="H966" s="29">
        <f>Data_thang!N966</f>
        <v/>
      </c>
      <c r="I966" s="29">
        <f>H966-G966</f>
        <v/>
      </c>
      <c r="J966" s="30">
        <f>IF(H966=0,IF(I966=0,0,1),I966/ABS(H966))</f>
        <v/>
      </c>
      <c r="K966" s="29">
        <f>H966-(Data_thang!O966-Data_thang!K966)</f>
        <v/>
      </c>
      <c r="L966">
        <f>IF(AND(ABS(I966)&gt;Dashboard!$G$6,ABS(J966)&gt;Dashboard!$H$6),"⚠ Vượt","")</f>
        <v/>
      </c>
      <c r="M966">
        <f>IF(AND(A966=Dashboard!$D$6,OR(Dashboard!$C$6="*",F966=Dashboard!$C$6),L966&lt;&gt;""),ABS(I966)+ROW()/1000000000,0)</f>
        <v/>
      </c>
    </row>
    <row r="967">
      <c r="A967">
        <f>Data_thang!A967</f>
        <v/>
      </c>
      <c r="B967">
        <f>Data_thang!B967</f>
        <v/>
      </c>
      <c r="C967">
        <f>Data_thang!D967</f>
        <v/>
      </c>
      <c r="D967">
        <f>Data_thang!E967</f>
        <v/>
      </c>
      <c r="E967">
        <f>Data_thang!F967</f>
        <v/>
      </c>
      <c r="F967">
        <f>Data_thang!G967</f>
        <v/>
      </c>
      <c r="G967" s="29">
        <f>Data_thang!J967-Data_thang!K967</f>
        <v/>
      </c>
      <c r="H967" s="29">
        <f>Data_thang!N967</f>
        <v/>
      </c>
      <c r="I967" s="29">
        <f>H967-G967</f>
        <v/>
      </c>
      <c r="J967" s="30">
        <f>IF(H967=0,IF(I967=0,0,1),I967/ABS(H967))</f>
        <v/>
      </c>
      <c r="K967" s="29">
        <f>H967-(Data_thang!O967-Data_thang!K967)</f>
        <v/>
      </c>
      <c r="L967">
        <f>IF(AND(ABS(I967)&gt;Dashboard!$G$6,ABS(J967)&gt;Dashboard!$H$6),"⚠ Vượt","")</f>
        <v/>
      </c>
      <c r="M967">
        <f>IF(AND(A967=Dashboard!$D$6,OR(Dashboard!$C$6="*",F967=Dashboard!$C$6),L967&lt;&gt;""),ABS(I967)+ROW()/1000000000,0)</f>
        <v/>
      </c>
    </row>
    <row r="968">
      <c r="A968">
        <f>Data_thang!A968</f>
        <v/>
      </c>
      <c r="B968">
        <f>Data_thang!B968</f>
        <v/>
      </c>
      <c r="C968">
        <f>Data_thang!D968</f>
        <v/>
      </c>
      <c r="D968">
        <f>Data_thang!E968</f>
        <v/>
      </c>
      <c r="E968">
        <f>Data_thang!F968</f>
        <v/>
      </c>
      <c r="F968">
        <f>Data_thang!G968</f>
        <v/>
      </c>
      <c r="G968" s="29">
        <f>Data_thang!J968-Data_thang!K968</f>
        <v/>
      </c>
      <c r="H968" s="29">
        <f>Data_thang!N968</f>
        <v/>
      </c>
      <c r="I968" s="29">
        <f>H968-G968</f>
        <v/>
      </c>
      <c r="J968" s="30">
        <f>IF(H968=0,IF(I968=0,0,1),I968/ABS(H968))</f>
        <v/>
      </c>
      <c r="K968" s="29">
        <f>H968-(Data_thang!O968-Data_thang!K968)</f>
        <v/>
      </c>
      <c r="L968">
        <f>IF(AND(ABS(I968)&gt;Dashboard!$G$6,ABS(J968)&gt;Dashboard!$H$6),"⚠ Vượt","")</f>
        <v/>
      </c>
      <c r="M968">
        <f>IF(AND(A968=Dashboard!$D$6,OR(Dashboard!$C$6="*",F968=Dashboard!$C$6),L968&lt;&gt;""),ABS(I968)+ROW()/1000000000,0)</f>
        <v/>
      </c>
    </row>
    <row r="969">
      <c r="A969">
        <f>Data_thang!A969</f>
        <v/>
      </c>
      <c r="B969">
        <f>Data_thang!B969</f>
        <v/>
      </c>
      <c r="C969">
        <f>Data_thang!D969</f>
        <v/>
      </c>
      <c r="D969">
        <f>Data_thang!E969</f>
        <v/>
      </c>
      <c r="E969">
        <f>Data_thang!F969</f>
        <v/>
      </c>
      <c r="F969">
        <f>Data_thang!G969</f>
        <v/>
      </c>
      <c r="G969" s="29">
        <f>Data_thang!J969-Data_thang!K969</f>
        <v/>
      </c>
      <c r="H969" s="29">
        <f>Data_thang!N969</f>
        <v/>
      </c>
      <c r="I969" s="29">
        <f>H969-G969</f>
        <v/>
      </c>
      <c r="J969" s="30">
        <f>IF(H969=0,IF(I969=0,0,1),I969/ABS(H969))</f>
        <v/>
      </c>
      <c r="K969" s="29">
        <f>H969-(Data_thang!O969-Data_thang!K969)</f>
        <v/>
      </c>
      <c r="L969">
        <f>IF(AND(ABS(I969)&gt;Dashboard!$G$6,ABS(J969)&gt;Dashboard!$H$6),"⚠ Vượt","")</f>
        <v/>
      </c>
      <c r="M969">
        <f>IF(AND(A969=Dashboard!$D$6,OR(Dashboard!$C$6="*",F969=Dashboard!$C$6),L969&lt;&gt;""),ABS(I969)+ROW()/1000000000,0)</f>
        <v/>
      </c>
    </row>
    <row r="970">
      <c r="A970">
        <f>Data_thang!A970</f>
        <v/>
      </c>
      <c r="B970">
        <f>Data_thang!B970</f>
        <v/>
      </c>
      <c r="C970">
        <f>Data_thang!D970</f>
        <v/>
      </c>
      <c r="D970">
        <f>Data_thang!E970</f>
        <v/>
      </c>
      <c r="E970">
        <f>Data_thang!F970</f>
        <v/>
      </c>
      <c r="F970">
        <f>Data_thang!G970</f>
        <v/>
      </c>
      <c r="G970" s="29">
        <f>Data_thang!J970-Data_thang!K970</f>
        <v/>
      </c>
      <c r="H970" s="29">
        <f>Data_thang!N970</f>
        <v/>
      </c>
      <c r="I970" s="29">
        <f>H970-G970</f>
        <v/>
      </c>
      <c r="J970" s="30">
        <f>IF(H970=0,IF(I970=0,0,1),I970/ABS(H970))</f>
        <v/>
      </c>
      <c r="K970" s="29">
        <f>H970-(Data_thang!O970-Data_thang!K970)</f>
        <v/>
      </c>
      <c r="L970">
        <f>IF(AND(ABS(I970)&gt;Dashboard!$G$6,ABS(J970)&gt;Dashboard!$H$6),"⚠ Vượt","")</f>
        <v/>
      </c>
      <c r="M970">
        <f>IF(AND(A970=Dashboard!$D$6,OR(Dashboard!$C$6="*",F970=Dashboard!$C$6),L970&lt;&gt;""),ABS(I970)+ROW()/1000000000,0)</f>
        <v/>
      </c>
    </row>
    <row r="971">
      <c r="A971">
        <f>Data_thang!A971</f>
        <v/>
      </c>
      <c r="B971">
        <f>Data_thang!B971</f>
        <v/>
      </c>
      <c r="C971">
        <f>Data_thang!D971</f>
        <v/>
      </c>
      <c r="D971">
        <f>Data_thang!E971</f>
        <v/>
      </c>
      <c r="E971">
        <f>Data_thang!F971</f>
        <v/>
      </c>
      <c r="F971">
        <f>Data_thang!G971</f>
        <v/>
      </c>
      <c r="G971" s="29">
        <f>Data_thang!J971-Data_thang!K971</f>
        <v/>
      </c>
      <c r="H971" s="29">
        <f>Data_thang!N971</f>
        <v/>
      </c>
      <c r="I971" s="29">
        <f>H971-G971</f>
        <v/>
      </c>
      <c r="J971" s="30">
        <f>IF(H971=0,IF(I971=0,0,1),I971/ABS(H971))</f>
        <v/>
      </c>
      <c r="K971" s="29">
        <f>H971-(Data_thang!O971-Data_thang!K971)</f>
        <v/>
      </c>
      <c r="L971">
        <f>IF(AND(ABS(I971)&gt;Dashboard!$G$6,ABS(J971)&gt;Dashboard!$H$6),"⚠ Vượt","")</f>
        <v/>
      </c>
      <c r="M971">
        <f>IF(AND(A971=Dashboard!$D$6,OR(Dashboard!$C$6="*",F971=Dashboard!$C$6),L971&lt;&gt;""),ABS(I971)+ROW()/1000000000,0)</f>
        <v/>
      </c>
    </row>
    <row r="972">
      <c r="A972">
        <f>Data_thang!A972</f>
        <v/>
      </c>
      <c r="B972">
        <f>Data_thang!B972</f>
        <v/>
      </c>
      <c r="C972">
        <f>Data_thang!D972</f>
        <v/>
      </c>
      <c r="D972">
        <f>Data_thang!E972</f>
        <v/>
      </c>
      <c r="E972">
        <f>Data_thang!F972</f>
        <v/>
      </c>
      <c r="F972">
        <f>Data_thang!G972</f>
        <v/>
      </c>
      <c r="G972" s="29">
        <f>Data_thang!J972-Data_thang!K972</f>
        <v/>
      </c>
      <c r="H972" s="29">
        <f>Data_thang!N972</f>
        <v/>
      </c>
      <c r="I972" s="29">
        <f>H972-G972</f>
        <v/>
      </c>
      <c r="J972" s="30">
        <f>IF(H972=0,IF(I972=0,0,1),I972/ABS(H972))</f>
        <v/>
      </c>
      <c r="K972" s="29">
        <f>H972-(Data_thang!O972-Data_thang!K972)</f>
        <v/>
      </c>
      <c r="L972">
        <f>IF(AND(ABS(I972)&gt;Dashboard!$G$6,ABS(J972)&gt;Dashboard!$H$6),"⚠ Vượt","")</f>
        <v/>
      </c>
      <c r="M972">
        <f>IF(AND(A972=Dashboard!$D$6,OR(Dashboard!$C$6="*",F972=Dashboard!$C$6),L972&lt;&gt;""),ABS(I972)+ROW()/1000000000,0)</f>
        <v/>
      </c>
    </row>
    <row r="973">
      <c r="A973">
        <f>Data_thang!A973</f>
        <v/>
      </c>
      <c r="B973">
        <f>Data_thang!B973</f>
        <v/>
      </c>
      <c r="C973">
        <f>Data_thang!D973</f>
        <v/>
      </c>
      <c r="D973">
        <f>Data_thang!E973</f>
        <v/>
      </c>
      <c r="E973">
        <f>Data_thang!F973</f>
        <v/>
      </c>
      <c r="F973">
        <f>Data_thang!G973</f>
        <v/>
      </c>
      <c r="G973" s="29">
        <f>Data_thang!J973-Data_thang!K973</f>
        <v/>
      </c>
      <c r="H973" s="29">
        <f>Data_thang!N973</f>
        <v/>
      </c>
      <c r="I973" s="29">
        <f>H973-G973</f>
        <v/>
      </c>
      <c r="J973" s="30">
        <f>IF(H973=0,IF(I973=0,0,1),I973/ABS(H973))</f>
        <v/>
      </c>
      <c r="K973" s="29">
        <f>H973-(Data_thang!O973-Data_thang!K973)</f>
        <v/>
      </c>
      <c r="L973">
        <f>IF(AND(ABS(I973)&gt;Dashboard!$G$6,ABS(J973)&gt;Dashboard!$H$6),"⚠ Vượt","")</f>
        <v/>
      </c>
      <c r="M973">
        <f>IF(AND(A973=Dashboard!$D$6,OR(Dashboard!$C$6="*",F973=Dashboard!$C$6),L973&lt;&gt;""),ABS(I973)+ROW()/1000000000,0)</f>
        <v/>
      </c>
    </row>
    <row r="974">
      <c r="A974">
        <f>Data_thang!A974</f>
        <v/>
      </c>
      <c r="B974">
        <f>Data_thang!B974</f>
        <v/>
      </c>
      <c r="C974">
        <f>Data_thang!D974</f>
        <v/>
      </c>
      <c r="D974">
        <f>Data_thang!E974</f>
        <v/>
      </c>
      <c r="E974">
        <f>Data_thang!F974</f>
        <v/>
      </c>
      <c r="F974">
        <f>Data_thang!G974</f>
        <v/>
      </c>
      <c r="G974" s="29">
        <f>Data_thang!J974-Data_thang!K974</f>
        <v/>
      </c>
      <c r="H974" s="29">
        <f>Data_thang!N974</f>
        <v/>
      </c>
      <c r="I974" s="29">
        <f>H974-G974</f>
        <v/>
      </c>
      <c r="J974" s="30">
        <f>IF(H974=0,IF(I974=0,0,1),I974/ABS(H974))</f>
        <v/>
      </c>
      <c r="K974" s="29">
        <f>H974-(Data_thang!O974-Data_thang!K974)</f>
        <v/>
      </c>
      <c r="L974">
        <f>IF(AND(ABS(I974)&gt;Dashboard!$G$6,ABS(J974)&gt;Dashboard!$H$6),"⚠ Vượt","")</f>
        <v/>
      </c>
      <c r="M974">
        <f>IF(AND(A974=Dashboard!$D$6,OR(Dashboard!$C$6="*",F974=Dashboard!$C$6),L974&lt;&gt;""),ABS(I974)+ROW()/1000000000,0)</f>
        <v/>
      </c>
    </row>
    <row r="975">
      <c r="A975">
        <f>Data_thang!A975</f>
        <v/>
      </c>
      <c r="B975">
        <f>Data_thang!B975</f>
        <v/>
      </c>
      <c r="C975">
        <f>Data_thang!D975</f>
        <v/>
      </c>
      <c r="D975">
        <f>Data_thang!E975</f>
        <v/>
      </c>
      <c r="E975">
        <f>Data_thang!F975</f>
        <v/>
      </c>
      <c r="F975">
        <f>Data_thang!G975</f>
        <v/>
      </c>
      <c r="G975" s="29">
        <f>Data_thang!J975-Data_thang!K975</f>
        <v/>
      </c>
      <c r="H975" s="29">
        <f>Data_thang!N975</f>
        <v/>
      </c>
      <c r="I975" s="29">
        <f>H975-G975</f>
        <v/>
      </c>
      <c r="J975" s="30">
        <f>IF(H975=0,IF(I975=0,0,1),I975/ABS(H975))</f>
        <v/>
      </c>
      <c r="K975" s="29">
        <f>H975-(Data_thang!O975-Data_thang!K975)</f>
        <v/>
      </c>
      <c r="L975">
        <f>IF(AND(ABS(I975)&gt;Dashboard!$G$6,ABS(J975)&gt;Dashboard!$H$6),"⚠ Vượt","")</f>
        <v/>
      </c>
      <c r="M975">
        <f>IF(AND(A975=Dashboard!$D$6,OR(Dashboard!$C$6="*",F975=Dashboard!$C$6),L975&lt;&gt;""),ABS(I975)+ROW()/1000000000,0)</f>
        <v/>
      </c>
    </row>
    <row r="976">
      <c r="A976">
        <f>Data_thang!A976</f>
        <v/>
      </c>
      <c r="B976">
        <f>Data_thang!B976</f>
        <v/>
      </c>
      <c r="C976">
        <f>Data_thang!D976</f>
        <v/>
      </c>
      <c r="D976">
        <f>Data_thang!E976</f>
        <v/>
      </c>
      <c r="E976">
        <f>Data_thang!F976</f>
        <v/>
      </c>
      <c r="F976">
        <f>Data_thang!G976</f>
        <v/>
      </c>
      <c r="G976" s="29">
        <f>Data_thang!J976-Data_thang!K976</f>
        <v/>
      </c>
      <c r="H976" s="29">
        <f>Data_thang!N976</f>
        <v/>
      </c>
      <c r="I976" s="29">
        <f>H976-G976</f>
        <v/>
      </c>
      <c r="J976" s="30">
        <f>IF(H976=0,IF(I976=0,0,1),I976/ABS(H976))</f>
        <v/>
      </c>
      <c r="K976" s="29">
        <f>H976-(Data_thang!O976-Data_thang!K976)</f>
        <v/>
      </c>
      <c r="L976">
        <f>IF(AND(ABS(I976)&gt;Dashboard!$G$6,ABS(J976)&gt;Dashboard!$H$6),"⚠ Vượt","")</f>
        <v/>
      </c>
      <c r="M976">
        <f>IF(AND(A976=Dashboard!$D$6,OR(Dashboard!$C$6="*",F976=Dashboard!$C$6),L976&lt;&gt;""),ABS(I976)+ROW()/1000000000,0)</f>
        <v/>
      </c>
    </row>
    <row r="977">
      <c r="A977">
        <f>Data_thang!A977</f>
        <v/>
      </c>
      <c r="B977">
        <f>Data_thang!B977</f>
        <v/>
      </c>
      <c r="C977">
        <f>Data_thang!D977</f>
        <v/>
      </c>
      <c r="D977">
        <f>Data_thang!E977</f>
        <v/>
      </c>
      <c r="E977">
        <f>Data_thang!F977</f>
        <v/>
      </c>
      <c r="F977">
        <f>Data_thang!G977</f>
        <v/>
      </c>
      <c r="G977" s="29">
        <f>Data_thang!J977-Data_thang!K977</f>
        <v/>
      </c>
      <c r="H977" s="29">
        <f>Data_thang!N977</f>
        <v/>
      </c>
      <c r="I977" s="29">
        <f>H977-G977</f>
        <v/>
      </c>
      <c r="J977" s="30">
        <f>IF(H977=0,IF(I977=0,0,1),I977/ABS(H977))</f>
        <v/>
      </c>
      <c r="K977" s="29">
        <f>H977-(Data_thang!O977-Data_thang!K977)</f>
        <v/>
      </c>
      <c r="L977">
        <f>IF(AND(ABS(I977)&gt;Dashboard!$G$6,ABS(J977)&gt;Dashboard!$H$6),"⚠ Vượt","")</f>
        <v/>
      </c>
      <c r="M977">
        <f>IF(AND(A977=Dashboard!$D$6,OR(Dashboard!$C$6="*",F977=Dashboard!$C$6),L977&lt;&gt;""),ABS(I977)+ROW()/1000000000,0)</f>
        <v/>
      </c>
    </row>
    <row r="978">
      <c r="A978">
        <f>Data_thang!A978</f>
        <v/>
      </c>
      <c r="B978">
        <f>Data_thang!B978</f>
        <v/>
      </c>
      <c r="C978">
        <f>Data_thang!D978</f>
        <v/>
      </c>
      <c r="D978">
        <f>Data_thang!E978</f>
        <v/>
      </c>
      <c r="E978">
        <f>Data_thang!F978</f>
        <v/>
      </c>
      <c r="F978">
        <f>Data_thang!G978</f>
        <v/>
      </c>
      <c r="G978" s="29">
        <f>Data_thang!J978-Data_thang!K978</f>
        <v/>
      </c>
      <c r="H978" s="29">
        <f>Data_thang!N978</f>
        <v/>
      </c>
      <c r="I978" s="29">
        <f>H978-G978</f>
        <v/>
      </c>
      <c r="J978" s="30">
        <f>IF(H978=0,IF(I978=0,0,1),I978/ABS(H978))</f>
        <v/>
      </c>
      <c r="K978" s="29">
        <f>H978-(Data_thang!O978-Data_thang!K978)</f>
        <v/>
      </c>
      <c r="L978">
        <f>IF(AND(ABS(I978)&gt;Dashboard!$G$6,ABS(J978)&gt;Dashboard!$H$6),"⚠ Vượt","")</f>
        <v/>
      </c>
      <c r="M978">
        <f>IF(AND(A978=Dashboard!$D$6,OR(Dashboard!$C$6="*",F978=Dashboard!$C$6),L978&lt;&gt;""),ABS(I978)+ROW()/1000000000,0)</f>
        <v/>
      </c>
    </row>
    <row r="979">
      <c r="A979">
        <f>Data_thang!A979</f>
        <v/>
      </c>
      <c r="B979">
        <f>Data_thang!B979</f>
        <v/>
      </c>
      <c r="C979">
        <f>Data_thang!D979</f>
        <v/>
      </c>
      <c r="D979">
        <f>Data_thang!E979</f>
        <v/>
      </c>
      <c r="E979">
        <f>Data_thang!F979</f>
        <v/>
      </c>
      <c r="F979">
        <f>Data_thang!G979</f>
        <v/>
      </c>
      <c r="G979" s="29">
        <f>Data_thang!J979-Data_thang!K979</f>
        <v/>
      </c>
      <c r="H979" s="29">
        <f>Data_thang!N979</f>
        <v/>
      </c>
      <c r="I979" s="29">
        <f>H979-G979</f>
        <v/>
      </c>
      <c r="J979" s="30">
        <f>IF(H979=0,IF(I979=0,0,1),I979/ABS(H979))</f>
        <v/>
      </c>
      <c r="K979" s="29">
        <f>H979-(Data_thang!O979-Data_thang!K979)</f>
        <v/>
      </c>
      <c r="L979">
        <f>IF(AND(ABS(I979)&gt;Dashboard!$G$6,ABS(J979)&gt;Dashboard!$H$6),"⚠ Vượt","")</f>
        <v/>
      </c>
      <c r="M979">
        <f>IF(AND(A979=Dashboard!$D$6,OR(Dashboard!$C$6="*",F979=Dashboard!$C$6),L979&lt;&gt;""),ABS(I979)+ROW()/1000000000,0)</f>
        <v/>
      </c>
    </row>
    <row r="980">
      <c r="A980">
        <f>Data_thang!A980</f>
        <v/>
      </c>
      <c r="B980">
        <f>Data_thang!B980</f>
        <v/>
      </c>
      <c r="C980">
        <f>Data_thang!D980</f>
        <v/>
      </c>
      <c r="D980">
        <f>Data_thang!E980</f>
        <v/>
      </c>
      <c r="E980">
        <f>Data_thang!F980</f>
        <v/>
      </c>
      <c r="F980">
        <f>Data_thang!G980</f>
        <v/>
      </c>
      <c r="G980" s="29">
        <f>Data_thang!J980-Data_thang!K980</f>
        <v/>
      </c>
      <c r="H980" s="29">
        <f>Data_thang!N980</f>
        <v/>
      </c>
      <c r="I980" s="29">
        <f>H980-G980</f>
        <v/>
      </c>
      <c r="J980" s="30">
        <f>IF(H980=0,IF(I980=0,0,1),I980/ABS(H980))</f>
        <v/>
      </c>
      <c r="K980" s="29">
        <f>H980-(Data_thang!O980-Data_thang!K980)</f>
        <v/>
      </c>
      <c r="L980">
        <f>IF(AND(ABS(I980)&gt;Dashboard!$G$6,ABS(J980)&gt;Dashboard!$H$6),"⚠ Vượt","")</f>
        <v/>
      </c>
      <c r="M980">
        <f>IF(AND(A980=Dashboard!$D$6,OR(Dashboard!$C$6="*",F980=Dashboard!$C$6),L980&lt;&gt;""),ABS(I980)+ROW()/1000000000,0)</f>
        <v/>
      </c>
    </row>
    <row r="981">
      <c r="A981">
        <f>Data_thang!A981</f>
        <v/>
      </c>
      <c r="B981">
        <f>Data_thang!B981</f>
        <v/>
      </c>
      <c r="C981">
        <f>Data_thang!D981</f>
        <v/>
      </c>
      <c r="D981">
        <f>Data_thang!E981</f>
        <v/>
      </c>
      <c r="E981">
        <f>Data_thang!F981</f>
        <v/>
      </c>
      <c r="F981">
        <f>Data_thang!G981</f>
        <v/>
      </c>
      <c r="G981" s="29">
        <f>Data_thang!J981-Data_thang!K981</f>
        <v/>
      </c>
      <c r="H981" s="29">
        <f>Data_thang!N981</f>
        <v/>
      </c>
      <c r="I981" s="29">
        <f>H981-G981</f>
        <v/>
      </c>
      <c r="J981" s="30">
        <f>IF(H981=0,IF(I981=0,0,1),I981/ABS(H981))</f>
        <v/>
      </c>
      <c r="K981" s="29">
        <f>H981-(Data_thang!O981-Data_thang!K981)</f>
        <v/>
      </c>
      <c r="L981">
        <f>IF(AND(ABS(I981)&gt;Dashboard!$G$6,ABS(J981)&gt;Dashboard!$H$6),"⚠ Vượt","")</f>
        <v/>
      </c>
      <c r="M981">
        <f>IF(AND(A981=Dashboard!$D$6,OR(Dashboard!$C$6="*",F981=Dashboard!$C$6),L981&lt;&gt;""),ABS(I981)+ROW()/1000000000,0)</f>
        <v/>
      </c>
    </row>
    <row r="982">
      <c r="A982">
        <f>Data_thang!A982</f>
        <v/>
      </c>
      <c r="B982">
        <f>Data_thang!B982</f>
        <v/>
      </c>
      <c r="C982">
        <f>Data_thang!D982</f>
        <v/>
      </c>
      <c r="D982">
        <f>Data_thang!E982</f>
        <v/>
      </c>
      <c r="E982">
        <f>Data_thang!F982</f>
        <v/>
      </c>
      <c r="F982">
        <f>Data_thang!G982</f>
        <v/>
      </c>
      <c r="G982" s="29">
        <f>Data_thang!J982-Data_thang!K982</f>
        <v/>
      </c>
      <c r="H982" s="29">
        <f>Data_thang!N982</f>
        <v/>
      </c>
      <c r="I982" s="29">
        <f>H982-G982</f>
        <v/>
      </c>
      <c r="J982" s="30">
        <f>IF(H982=0,IF(I982=0,0,1),I982/ABS(H982))</f>
        <v/>
      </c>
      <c r="K982" s="29">
        <f>H982-(Data_thang!O982-Data_thang!K982)</f>
        <v/>
      </c>
      <c r="L982">
        <f>IF(AND(ABS(I982)&gt;Dashboard!$G$6,ABS(J982)&gt;Dashboard!$H$6),"⚠ Vượt","")</f>
        <v/>
      </c>
      <c r="M982">
        <f>IF(AND(A982=Dashboard!$D$6,OR(Dashboard!$C$6="*",F982=Dashboard!$C$6),L982&lt;&gt;""),ABS(I982)+ROW()/1000000000,0)</f>
        <v/>
      </c>
    </row>
    <row r="983">
      <c r="A983">
        <f>Data_thang!A983</f>
        <v/>
      </c>
      <c r="B983">
        <f>Data_thang!B983</f>
        <v/>
      </c>
      <c r="C983">
        <f>Data_thang!D983</f>
        <v/>
      </c>
      <c r="D983">
        <f>Data_thang!E983</f>
        <v/>
      </c>
      <c r="E983">
        <f>Data_thang!F983</f>
        <v/>
      </c>
      <c r="F983">
        <f>Data_thang!G983</f>
        <v/>
      </c>
      <c r="G983" s="29">
        <f>Data_thang!J983-Data_thang!K983</f>
        <v/>
      </c>
      <c r="H983" s="29">
        <f>Data_thang!N983</f>
        <v/>
      </c>
      <c r="I983" s="29">
        <f>H983-G983</f>
        <v/>
      </c>
      <c r="J983" s="30">
        <f>IF(H983=0,IF(I983=0,0,1),I983/ABS(H983))</f>
        <v/>
      </c>
      <c r="K983" s="29">
        <f>H983-(Data_thang!O983-Data_thang!K983)</f>
        <v/>
      </c>
      <c r="L983">
        <f>IF(AND(ABS(I983)&gt;Dashboard!$G$6,ABS(J983)&gt;Dashboard!$H$6),"⚠ Vượt","")</f>
        <v/>
      </c>
      <c r="M983">
        <f>IF(AND(A983=Dashboard!$D$6,OR(Dashboard!$C$6="*",F983=Dashboard!$C$6),L983&lt;&gt;""),ABS(I983)+ROW()/1000000000,0)</f>
        <v/>
      </c>
    </row>
    <row r="984">
      <c r="A984">
        <f>Data_thang!A984</f>
        <v/>
      </c>
      <c r="B984">
        <f>Data_thang!B984</f>
        <v/>
      </c>
      <c r="C984">
        <f>Data_thang!D984</f>
        <v/>
      </c>
      <c r="D984">
        <f>Data_thang!E984</f>
        <v/>
      </c>
      <c r="E984">
        <f>Data_thang!F984</f>
        <v/>
      </c>
      <c r="F984">
        <f>Data_thang!G984</f>
        <v/>
      </c>
      <c r="G984" s="29">
        <f>Data_thang!J984-Data_thang!K984</f>
        <v/>
      </c>
      <c r="H984" s="29">
        <f>Data_thang!N984</f>
        <v/>
      </c>
      <c r="I984" s="29">
        <f>H984-G984</f>
        <v/>
      </c>
      <c r="J984" s="30">
        <f>IF(H984=0,IF(I984=0,0,1),I984/ABS(H984))</f>
        <v/>
      </c>
      <c r="K984" s="29">
        <f>H984-(Data_thang!O984-Data_thang!K984)</f>
        <v/>
      </c>
      <c r="L984">
        <f>IF(AND(ABS(I984)&gt;Dashboard!$G$6,ABS(J984)&gt;Dashboard!$H$6),"⚠ Vượt","")</f>
        <v/>
      </c>
      <c r="M984">
        <f>IF(AND(A984=Dashboard!$D$6,OR(Dashboard!$C$6="*",F984=Dashboard!$C$6),L984&lt;&gt;""),ABS(I984)+ROW()/1000000000,0)</f>
        <v/>
      </c>
    </row>
    <row r="985">
      <c r="A985">
        <f>Data_thang!A985</f>
        <v/>
      </c>
      <c r="B985">
        <f>Data_thang!B985</f>
        <v/>
      </c>
      <c r="C985">
        <f>Data_thang!D985</f>
        <v/>
      </c>
      <c r="D985">
        <f>Data_thang!E985</f>
        <v/>
      </c>
      <c r="E985">
        <f>Data_thang!F985</f>
        <v/>
      </c>
      <c r="F985">
        <f>Data_thang!G985</f>
        <v/>
      </c>
      <c r="G985" s="29">
        <f>Data_thang!J985-Data_thang!K985</f>
        <v/>
      </c>
      <c r="H985" s="29">
        <f>Data_thang!N985</f>
        <v/>
      </c>
      <c r="I985" s="29">
        <f>H985-G985</f>
        <v/>
      </c>
      <c r="J985" s="30">
        <f>IF(H985=0,IF(I985=0,0,1),I985/ABS(H985))</f>
        <v/>
      </c>
      <c r="K985" s="29">
        <f>H985-(Data_thang!O985-Data_thang!K985)</f>
        <v/>
      </c>
      <c r="L985">
        <f>IF(AND(ABS(I985)&gt;Dashboard!$G$6,ABS(J985)&gt;Dashboard!$H$6),"⚠ Vượt","")</f>
        <v/>
      </c>
      <c r="M985">
        <f>IF(AND(A985=Dashboard!$D$6,OR(Dashboard!$C$6="*",F985=Dashboard!$C$6),L985&lt;&gt;""),ABS(I985)+ROW()/1000000000,0)</f>
        <v/>
      </c>
    </row>
    <row r="986">
      <c r="A986">
        <f>Data_thang!A986</f>
        <v/>
      </c>
      <c r="B986">
        <f>Data_thang!B986</f>
        <v/>
      </c>
      <c r="C986">
        <f>Data_thang!D986</f>
        <v/>
      </c>
      <c r="D986">
        <f>Data_thang!E986</f>
        <v/>
      </c>
      <c r="E986">
        <f>Data_thang!F986</f>
        <v/>
      </c>
      <c r="F986">
        <f>Data_thang!G986</f>
        <v/>
      </c>
      <c r="G986" s="29">
        <f>Data_thang!J986-Data_thang!K986</f>
        <v/>
      </c>
      <c r="H986" s="29">
        <f>Data_thang!N986</f>
        <v/>
      </c>
      <c r="I986" s="29">
        <f>H986-G986</f>
        <v/>
      </c>
      <c r="J986" s="30">
        <f>IF(H986=0,IF(I986=0,0,1),I986/ABS(H986))</f>
        <v/>
      </c>
      <c r="K986" s="29">
        <f>H986-(Data_thang!O986-Data_thang!K986)</f>
        <v/>
      </c>
      <c r="L986">
        <f>IF(AND(ABS(I986)&gt;Dashboard!$G$6,ABS(J986)&gt;Dashboard!$H$6),"⚠ Vượt","")</f>
        <v/>
      </c>
      <c r="M986">
        <f>IF(AND(A986=Dashboard!$D$6,OR(Dashboard!$C$6="*",F986=Dashboard!$C$6),L986&lt;&gt;""),ABS(I986)+ROW()/1000000000,0)</f>
        <v/>
      </c>
    </row>
    <row r="987">
      <c r="A987">
        <f>Data_thang!A987</f>
        <v/>
      </c>
      <c r="B987">
        <f>Data_thang!B987</f>
        <v/>
      </c>
      <c r="C987">
        <f>Data_thang!D987</f>
        <v/>
      </c>
      <c r="D987">
        <f>Data_thang!E987</f>
        <v/>
      </c>
      <c r="E987">
        <f>Data_thang!F987</f>
        <v/>
      </c>
      <c r="F987">
        <f>Data_thang!G987</f>
        <v/>
      </c>
      <c r="G987" s="29">
        <f>Data_thang!J987-Data_thang!K987</f>
        <v/>
      </c>
      <c r="H987" s="29">
        <f>Data_thang!N987</f>
        <v/>
      </c>
      <c r="I987" s="29">
        <f>H987-G987</f>
        <v/>
      </c>
      <c r="J987" s="30">
        <f>IF(H987=0,IF(I987=0,0,1),I987/ABS(H987))</f>
        <v/>
      </c>
      <c r="K987" s="29">
        <f>H987-(Data_thang!O987-Data_thang!K987)</f>
        <v/>
      </c>
      <c r="L987">
        <f>IF(AND(ABS(I987)&gt;Dashboard!$G$6,ABS(J987)&gt;Dashboard!$H$6),"⚠ Vượt","")</f>
        <v/>
      </c>
      <c r="M987">
        <f>IF(AND(A987=Dashboard!$D$6,OR(Dashboard!$C$6="*",F987=Dashboard!$C$6),L987&lt;&gt;""),ABS(I987)+ROW()/1000000000,0)</f>
        <v/>
      </c>
    </row>
    <row r="988">
      <c r="A988">
        <f>Data_thang!A988</f>
        <v/>
      </c>
      <c r="B988">
        <f>Data_thang!B988</f>
        <v/>
      </c>
      <c r="C988">
        <f>Data_thang!D988</f>
        <v/>
      </c>
      <c r="D988">
        <f>Data_thang!E988</f>
        <v/>
      </c>
      <c r="E988">
        <f>Data_thang!F988</f>
        <v/>
      </c>
      <c r="F988">
        <f>Data_thang!G988</f>
        <v/>
      </c>
      <c r="G988" s="29">
        <f>Data_thang!J988-Data_thang!K988</f>
        <v/>
      </c>
      <c r="H988" s="29">
        <f>Data_thang!N988</f>
        <v/>
      </c>
      <c r="I988" s="29">
        <f>H988-G988</f>
        <v/>
      </c>
      <c r="J988" s="30">
        <f>IF(H988=0,IF(I988=0,0,1),I988/ABS(H988))</f>
        <v/>
      </c>
      <c r="K988" s="29">
        <f>H988-(Data_thang!O988-Data_thang!K988)</f>
        <v/>
      </c>
      <c r="L988">
        <f>IF(AND(ABS(I988)&gt;Dashboard!$G$6,ABS(J988)&gt;Dashboard!$H$6),"⚠ Vượt","")</f>
        <v/>
      </c>
      <c r="M988">
        <f>IF(AND(A988=Dashboard!$D$6,OR(Dashboard!$C$6="*",F988=Dashboard!$C$6),L988&lt;&gt;""),ABS(I988)+ROW()/1000000000,0)</f>
        <v/>
      </c>
    </row>
    <row r="989">
      <c r="A989">
        <f>Data_thang!A989</f>
        <v/>
      </c>
      <c r="B989">
        <f>Data_thang!B989</f>
        <v/>
      </c>
      <c r="C989">
        <f>Data_thang!D989</f>
        <v/>
      </c>
      <c r="D989">
        <f>Data_thang!E989</f>
        <v/>
      </c>
      <c r="E989">
        <f>Data_thang!F989</f>
        <v/>
      </c>
      <c r="F989">
        <f>Data_thang!G989</f>
        <v/>
      </c>
      <c r="G989" s="29">
        <f>Data_thang!J989-Data_thang!K989</f>
        <v/>
      </c>
      <c r="H989" s="29">
        <f>Data_thang!N989</f>
        <v/>
      </c>
      <c r="I989" s="29">
        <f>H989-G989</f>
        <v/>
      </c>
      <c r="J989" s="30">
        <f>IF(H989=0,IF(I989=0,0,1),I989/ABS(H989))</f>
        <v/>
      </c>
      <c r="K989" s="29">
        <f>H989-(Data_thang!O989-Data_thang!K989)</f>
        <v/>
      </c>
      <c r="L989">
        <f>IF(AND(ABS(I989)&gt;Dashboard!$G$6,ABS(J989)&gt;Dashboard!$H$6),"⚠ Vượt","")</f>
        <v/>
      </c>
      <c r="M989">
        <f>IF(AND(A989=Dashboard!$D$6,OR(Dashboard!$C$6="*",F989=Dashboard!$C$6),L989&lt;&gt;""),ABS(I989)+ROW()/1000000000,0)</f>
        <v/>
      </c>
    </row>
    <row r="990">
      <c r="A990">
        <f>Data_thang!A990</f>
        <v/>
      </c>
      <c r="B990">
        <f>Data_thang!B990</f>
        <v/>
      </c>
      <c r="C990">
        <f>Data_thang!D990</f>
        <v/>
      </c>
      <c r="D990">
        <f>Data_thang!E990</f>
        <v/>
      </c>
      <c r="E990">
        <f>Data_thang!F990</f>
        <v/>
      </c>
      <c r="F990">
        <f>Data_thang!G990</f>
        <v/>
      </c>
      <c r="G990" s="29">
        <f>Data_thang!J990-Data_thang!K990</f>
        <v/>
      </c>
      <c r="H990" s="29">
        <f>Data_thang!N990</f>
        <v/>
      </c>
      <c r="I990" s="29">
        <f>H990-G990</f>
        <v/>
      </c>
      <c r="J990" s="30">
        <f>IF(H990=0,IF(I990=0,0,1),I990/ABS(H990))</f>
        <v/>
      </c>
      <c r="K990" s="29">
        <f>H990-(Data_thang!O990-Data_thang!K990)</f>
        <v/>
      </c>
      <c r="L990">
        <f>IF(AND(ABS(I990)&gt;Dashboard!$G$6,ABS(J990)&gt;Dashboard!$H$6),"⚠ Vượt","")</f>
        <v/>
      </c>
      <c r="M990">
        <f>IF(AND(A990=Dashboard!$D$6,OR(Dashboard!$C$6="*",F990=Dashboard!$C$6),L990&lt;&gt;""),ABS(I990)+ROW()/1000000000,0)</f>
        <v/>
      </c>
    </row>
    <row r="991">
      <c r="A991">
        <f>Data_thang!A991</f>
        <v/>
      </c>
      <c r="B991">
        <f>Data_thang!B991</f>
        <v/>
      </c>
      <c r="C991">
        <f>Data_thang!D991</f>
        <v/>
      </c>
      <c r="D991">
        <f>Data_thang!E991</f>
        <v/>
      </c>
      <c r="E991">
        <f>Data_thang!F991</f>
        <v/>
      </c>
      <c r="F991">
        <f>Data_thang!G991</f>
        <v/>
      </c>
      <c r="G991" s="29">
        <f>Data_thang!J991-Data_thang!K991</f>
        <v/>
      </c>
      <c r="H991" s="29">
        <f>Data_thang!N991</f>
        <v/>
      </c>
      <c r="I991" s="29">
        <f>H991-G991</f>
        <v/>
      </c>
      <c r="J991" s="30">
        <f>IF(H991=0,IF(I991=0,0,1),I991/ABS(H991))</f>
        <v/>
      </c>
      <c r="K991" s="29">
        <f>H991-(Data_thang!O991-Data_thang!K991)</f>
        <v/>
      </c>
      <c r="L991">
        <f>IF(AND(ABS(I991)&gt;Dashboard!$G$6,ABS(J991)&gt;Dashboard!$H$6),"⚠ Vượt","")</f>
        <v/>
      </c>
      <c r="M991">
        <f>IF(AND(A991=Dashboard!$D$6,OR(Dashboard!$C$6="*",F991=Dashboard!$C$6),L991&lt;&gt;""),ABS(I991)+ROW()/1000000000,0)</f>
        <v/>
      </c>
    </row>
    <row r="992">
      <c r="A992">
        <f>Data_thang!A992</f>
        <v/>
      </c>
      <c r="B992">
        <f>Data_thang!B992</f>
        <v/>
      </c>
      <c r="C992">
        <f>Data_thang!D992</f>
        <v/>
      </c>
      <c r="D992">
        <f>Data_thang!E992</f>
        <v/>
      </c>
      <c r="E992">
        <f>Data_thang!F992</f>
        <v/>
      </c>
      <c r="F992">
        <f>Data_thang!G992</f>
        <v/>
      </c>
      <c r="G992" s="29">
        <f>Data_thang!J992-Data_thang!K992</f>
        <v/>
      </c>
      <c r="H992" s="29">
        <f>Data_thang!N992</f>
        <v/>
      </c>
      <c r="I992" s="29">
        <f>H992-G992</f>
        <v/>
      </c>
      <c r="J992" s="30">
        <f>IF(H992=0,IF(I992=0,0,1),I992/ABS(H992))</f>
        <v/>
      </c>
      <c r="K992" s="29">
        <f>H992-(Data_thang!O992-Data_thang!K992)</f>
        <v/>
      </c>
      <c r="L992">
        <f>IF(AND(ABS(I992)&gt;Dashboard!$G$6,ABS(J992)&gt;Dashboard!$H$6),"⚠ Vượt","")</f>
        <v/>
      </c>
      <c r="M992">
        <f>IF(AND(A992=Dashboard!$D$6,OR(Dashboard!$C$6="*",F992=Dashboard!$C$6),L992&lt;&gt;""),ABS(I992)+ROW()/1000000000,0)</f>
        <v/>
      </c>
    </row>
    <row r="993">
      <c r="A993">
        <f>Data_thang!A993</f>
        <v/>
      </c>
      <c r="B993">
        <f>Data_thang!B993</f>
        <v/>
      </c>
      <c r="C993">
        <f>Data_thang!D993</f>
        <v/>
      </c>
      <c r="D993">
        <f>Data_thang!E993</f>
        <v/>
      </c>
      <c r="E993">
        <f>Data_thang!F993</f>
        <v/>
      </c>
      <c r="F993">
        <f>Data_thang!G993</f>
        <v/>
      </c>
      <c r="G993" s="29">
        <f>Data_thang!J993-Data_thang!K993</f>
        <v/>
      </c>
      <c r="H993" s="29">
        <f>Data_thang!N993</f>
        <v/>
      </c>
      <c r="I993" s="29">
        <f>H993-G993</f>
        <v/>
      </c>
      <c r="J993" s="30">
        <f>IF(H993=0,IF(I993=0,0,1),I993/ABS(H993))</f>
        <v/>
      </c>
      <c r="K993" s="29">
        <f>H993-(Data_thang!O993-Data_thang!K993)</f>
        <v/>
      </c>
      <c r="L993">
        <f>IF(AND(ABS(I993)&gt;Dashboard!$G$6,ABS(J993)&gt;Dashboard!$H$6),"⚠ Vượt","")</f>
        <v/>
      </c>
      <c r="M993">
        <f>IF(AND(A993=Dashboard!$D$6,OR(Dashboard!$C$6="*",F993=Dashboard!$C$6),L993&lt;&gt;""),ABS(I993)+ROW()/1000000000,0)</f>
        <v/>
      </c>
    </row>
    <row r="994">
      <c r="A994">
        <f>Data_thang!A994</f>
        <v/>
      </c>
      <c r="B994">
        <f>Data_thang!B994</f>
        <v/>
      </c>
      <c r="C994">
        <f>Data_thang!D994</f>
        <v/>
      </c>
      <c r="D994">
        <f>Data_thang!E994</f>
        <v/>
      </c>
      <c r="E994">
        <f>Data_thang!F994</f>
        <v/>
      </c>
      <c r="F994">
        <f>Data_thang!G994</f>
        <v/>
      </c>
      <c r="G994" s="29">
        <f>Data_thang!J994-Data_thang!K994</f>
        <v/>
      </c>
      <c r="H994" s="29">
        <f>Data_thang!N994</f>
        <v/>
      </c>
      <c r="I994" s="29">
        <f>H994-G994</f>
        <v/>
      </c>
      <c r="J994" s="30">
        <f>IF(H994=0,IF(I994=0,0,1),I994/ABS(H994))</f>
        <v/>
      </c>
      <c r="K994" s="29">
        <f>H994-(Data_thang!O994-Data_thang!K994)</f>
        <v/>
      </c>
      <c r="L994">
        <f>IF(AND(ABS(I994)&gt;Dashboard!$G$6,ABS(J994)&gt;Dashboard!$H$6),"⚠ Vượt","")</f>
        <v/>
      </c>
      <c r="M994">
        <f>IF(AND(A994=Dashboard!$D$6,OR(Dashboard!$C$6="*",F994=Dashboard!$C$6),L994&lt;&gt;""),ABS(I994)+ROW()/1000000000,0)</f>
        <v/>
      </c>
    </row>
    <row r="995">
      <c r="A995">
        <f>Data_thang!A995</f>
        <v/>
      </c>
      <c r="B995">
        <f>Data_thang!B995</f>
        <v/>
      </c>
      <c r="C995">
        <f>Data_thang!D995</f>
        <v/>
      </c>
      <c r="D995">
        <f>Data_thang!E995</f>
        <v/>
      </c>
      <c r="E995">
        <f>Data_thang!F995</f>
        <v/>
      </c>
      <c r="F995">
        <f>Data_thang!G995</f>
        <v/>
      </c>
      <c r="G995" s="29">
        <f>Data_thang!J995-Data_thang!K995</f>
        <v/>
      </c>
      <c r="H995" s="29">
        <f>Data_thang!N995</f>
        <v/>
      </c>
      <c r="I995" s="29">
        <f>H995-G995</f>
        <v/>
      </c>
      <c r="J995" s="30">
        <f>IF(H995=0,IF(I995=0,0,1),I995/ABS(H995))</f>
        <v/>
      </c>
      <c r="K995" s="29">
        <f>H995-(Data_thang!O995-Data_thang!K995)</f>
        <v/>
      </c>
      <c r="L995">
        <f>IF(AND(ABS(I995)&gt;Dashboard!$G$6,ABS(J995)&gt;Dashboard!$H$6),"⚠ Vượt","")</f>
        <v/>
      </c>
      <c r="M995">
        <f>IF(AND(A995=Dashboard!$D$6,OR(Dashboard!$C$6="*",F995=Dashboard!$C$6),L995&lt;&gt;""),ABS(I995)+ROW()/1000000000,0)</f>
        <v/>
      </c>
    </row>
    <row r="996">
      <c r="A996">
        <f>Data_thang!A996</f>
        <v/>
      </c>
      <c r="B996">
        <f>Data_thang!B996</f>
        <v/>
      </c>
      <c r="C996">
        <f>Data_thang!D996</f>
        <v/>
      </c>
      <c r="D996">
        <f>Data_thang!E996</f>
        <v/>
      </c>
      <c r="E996">
        <f>Data_thang!F996</f>
        <v/>
      </c>
      <c r="F996">
        <f>Data_thang!G996</f>
        <v/>
      </c>
      <c r="G996" s="29">
        <f>Data_thang!J996-Data_thang!K996</f>
        <v/>
      </c>
      <c r="H996" s="29">
        <f>Data_thang!N996</f>
        <v/>
      </c>
      <c r="I996" s="29">
        <f>H996-G996</f>
        <v/>
      </c>
      <c r="J996" s="30">
        <f>IF(H996=0,IF(I996=0,0,1),I996/ABS(H996))</f>
        <v/>
      </c>
      <c r="K996" s="29">
        <f>H996-(Data_thang!O996-Data_thang!K996)</f>
        <v/>
      </c>
      <c r="L996">
        <f>IF(AND(ABS(I996)&gt;Dashboard!$G$6,ABS(J996)&gt;Dashboard!$H$6),"⚠ Vượt","")</f>
        <v/>
      </c>
      <c r="M996">
        <f>IF(AND(A996=Dashboard!$D$6,OR(Dashboard!$C$6="*",F996=Dashboard!$C$6),L996&lt;&gt;""),ABS(I996)+ROW()/1000000000,0)</f>
        <v/>
      </c>
    </row>
    <row r="997">
      <c r="A997">
        <f>Data_thang!A997</f>
        <v/>
      </c>
      <c r="B997">
        <f>Data_thang!B997</f>
        <v/>
      </c>
      <c r="C997">
        <f>Data_thang!D997</f>
        <v/>
      </c>
      <c r="D997">
        <f>Data_thang!E997</f>
        <v/>
      </c>
      <c r="E997">
        <f>Data_thang!F997</f>
        <v/>
      </c>
      <c r="F997">
        <f>Data_thang!G997</f>
        <v/>
      </c>
      <c r="G997" s="29">
        <f>Data_thang!J997-Data_thang!K997</f>
        <v/>
      </c>
      <c r="H997" s="29">
        <f>Data_thang!N997</f>
        <v/>
      </c>
      <c r="I997" s="29">
        <f>H997-G997</f>
        <v/>
      </c>
      <c r="J997" s="30">
        <f>IF(H997=0,IF(I997=0,0,1),I997/ABS(H997))</f>
        <v/>
      </c>
      <c r="K997" s="29">
        <f>H997-(Data_thang!O997-Data_thang!K997)</f>
        <v/>
      </c>
      <c r="L997">
        <f>IF(AND(ABS(I997)&gt;Dashboard!$G$6,ABS(J997)&gt;Dashboard!$H$6),"⚠ Vượt","")</f>
        <v/>
      </c>
      <c r="M997">
        <f>IF(AND(A997=Dashboard!$D$6,OR(Dashboard!$C$6="*",F997=Dashboard!$C$6),L997&lt;&gt;""),ABS(I997)+ROW()/1000000000,0)</f>
        <v/>
      </c>
    </row>
    <row r="998">
      <c r="A998">
        <f>Data_thang!A998</f>
        <v/>
      </c>
      <c r="B998">
        <f>Data_thang!B998</f>
        <v/>
      </c>
      <c r="C998">
        <f>Data_thang!D998</f>
        <v/>
      </c>
      <c r="D998">
        <f>Data_thang!E998</f>
        <v/>
      </c>
      <c r="E998">
        <f>Data_thang!F998</f>
        <v/>
      </c>
      <c r="F998">
        <f>Data_thang!G998</f>
        <v/>
      </c>
      <c r="G998" s="29">
        <f>Data_thang!J998-Data_thang!K998</f>
        <v/>
      </c>
      <c r="H998" s="29">
        <f>Data_thang!N998</f>
        <v/>
      </c>
      <c r="I998" s="29">
        <f>H998-G998</f>
        <v/>
      </c>
      <c r="J998" s="30">
        <f>IF(H998=0,IF(I998=0,0,1),I998/ABS(H998))</f>
        <v/>
      </c>
      <c r="K998" s="29">
        <f>H998-(Data_thang!O998-Data_thang!K998)</f>
        <v/>
      </c>
      <c r="L998">
        <f>IF(AND(ABS(I998)&gt;Dashboard!$G$6,ABS(J998)&gt;Dashboard!$H$6),"⚠ Vượt","")</f>
        <v/>
      </c>
      <c r="M998">
        <f>IF(AND(A998=Dashboard!$D$6,OR(Dashboard!$C$6="*",F998=Dashboard!$C$6),L998&lt;&gt;""),ABS(I998)+ROW()/1000000000,0)</f>
        <v/>
      </c>
    </row>
    <row r="999">
      <c r="A999">
        <f>Data_thang!A999</f>
        <v/>
      </c>
      <c r="B999">
        <f>Data_thang!B999</f>
        <v/>
      </c>
      <c r="C999">
        <f>Data_thang!D999</f>
        <v/>
      </c>
      <c r="D999">
        <f>Data_thang!E999</f>
        <v/>
      </c>
      <c r="E999">
        <f>Data_thang!F999</f>
        <v/>
      </c>
      <c r="F999">
        <f>Data_thang!G999</f>
        <v/>
      </c>
      <c r="G999" s="29">
        <f>Data_thang!J999-Data_thang!K999</f>
        <v/>
      </c>
      <c r="H999" s="29">
        <f>Data_thang!N999</f>
        <v/>
      </c>
      <c r="I999" s="29">
        <f>H999-G999</f>
        <v/>
      </c>
      <c r="J999" s="30">
        <f>IF(H999=0,IF(I999=0,0,1),I999/ABS(H999))</f>
        <v/>
      </c>
      <c r="K999" s="29">
        <f>H999-(Data_thang!O999-Data_thang!K999)</f>
        <v/>
      </c>
      <c r="L999">
        <f>IF(AND(ABS(I999)&gt;Dashboard!$G$6,ABS(J999)&gt;Dashboard!$H$6),"⚠ Vượt","")</f>
        <v/>
      </c>
      <c r="M999">
        <f>IF(AND(A999=Dashboard!$D$6,OR(Dashboard!$C$6="*",F999=Dashboard!$C$6),L999&lt;&gt;""),ABS(I999)+ROW()/1000000000,0)</f>
        <v/>
      </c>
    </row>
    <row r="1000">
      <c r="A1000">
        <f>Data_thang!A1000</f>
        <v/>
      </c>
      <c r="B1000">
        <f>Data_thang!B1000</f>
        <v/>
      </c>
      <c r="C1000">
        <f>Data_thang!D1000</f>
        <v/>
      </c>
      <c r="D1000">
        <f>Data_thang!E1000</f>
        <v/>
      </c>
      <c r="E1000">
        <f>Data_thang!F1000</f>
        <v/>
      </c>
      <c r="F1000">
        <f>Data_thang!G1000</f>
        <v/>
      </c>
      <c r="G1000" s="29">
        <f>Data_thang!J1000-Data_thang!K1000</f>
        <v/>
      </c>
      <c r="H1000" s="29">
        <f>Data_thang!N1000</f>
        <v/>
      </c>
      <c r="I1000" s="29">
        <f>H1000-G1000</f>
        <v/>
      </c>
      <c r="J1000" s="30">
        <f>IF(H1000=0,IF(I1000=0,0,1),I1000/ABS(H1000))</f>
        <v/>
      </c>
      <c r="K1000" s="29">
        <f>H1000-(Data_thang!O1000-Data_thang!K1000)</f>
        <v/>
      </c>
      <c r="L1000">
        <f>IF(AND(ABS(I1000)&gt;Dashboard!$G$6,ABS(J1000)&gt;Dashboard!$H$6),"⚠ Vượt","")</f>
        <v/>
      </c>
      <c r="M1000">
        <f>IF(AND(A1000=Dashboard!$D$6,OR(Dashboard!$C$6="*",F1000=Dashboard!$C$6),L1000&lt;&gt;""),ABS(I1000)+ROW()/1000000000,0)</f>
        <v/>
      </c>
    </row>
    <row r="1001">
      <c r="A1001">
        <f>Data_thang!A1001</f>
        <v/>
      </c>
      <c r="B1001">
        <f>Data_thang!B1001</f>
        <v/>
      </c>
      <c r="C1001">
        <f>Data_thang!D1001</f>
        <v/>
      </c>
      <c r="D1001">
        <f>Data_thang!E1001</f>
        <v/>
      </c>
      <c r="E1001">
        <f>Data_thang!F1001</f>
        <v/>
      </c>
      <c r="F1001">
        <f>Data_thang!G1001</f>
        <v/>
      </c>
      <c r="G1001" s="29">
        <f>Data_thang!J1001-Data_thang!K1001</f>
        <v/>
      </c>
      <c r="H1001" s="29">
        <f>Data_thang!N1001</f>
        <v/>
      </c>
      <c r="I1001" s="29">
        <f>H1001-G1001</f>
        <v/>
      </c>
      <c r="J1001" s="30">
        <f>IF(H1001=0,IF(I1001=0,0,1),I1001/ABS(H1001))</f>
        <v/>
      </c>
      <c r="K1001" s="29">
        <f>H1001-(Data_thang!O1001-Data_thang!K1001)</f>
        <v/>
      </c>
      <c r="L1001">
        <f>IF(AND(ABS(I1001)&gt;Dashboard!$G$6,ABS(J1001)&gt;Dashboard!$H$6),"⚠ Vượt","")</f>
        <v/>
      </c>
      <c r="M1001">
        <f>IF(AND(A1001=Dashboard!$D$6,OR(Dashboard!$C$6="*",F1001=Dashboard!$C$6),L1001&lt;&gt;""),ABS(I1001)+ROW()/1000000000,0)</f>
        <v/>
      </c>
    </row>
    <row r="1002">
      <c r="A1002">
        <f>Data_thang!A1002</f>
        <v/>
      </c>
      <c r="B1002">
        <f>Data_thang!B1002</f>
        <v/>
      </c>
      <c r="C1002">
        <f>Data_thang!D1002</f>
        <v/>
      </c>
      <c r="D1002">
        <f>Data_thang!E1002</f>
        <v/>
      </c>
      <c r="E1002">
        <f>Data_thang!F1002</f>
        <v/>
      </c>
      <c r="F1002">
        <f>Data_thang!G1002</f>
        <v/>
      </c>
      <c r="G1002" s="29">
        <f>Data_thang!J1002-Data_thang!K1002</f>
        <v/>
      </c>
      <c r="H1002" s="29">
        <f>Data_thang!N1002</f>
        <v/>
      </c>
      <c r="I1002" s="29">
        <f>H1002-G1002</f>
        <v/>
      </c>
      <c r="J1002" s="30">
        <f>IF(H1002=0,IF(I1002=0,0,1),I1002/ABS(H1002))</f>
        <v/>
      </c>
      <c r="K1002" s="29">
        <f>H1002-(Data_thang!O1002-Data_thang!K1002)</f>
        <v/>
      </c>
      <c r="L1002">
        <f>IF(AND(ABS(I1002)&gt;Dashboard!$G$6,ABS(J1002)&gt;Dashboard!$H$6),"⚠ Vượt","")</f>
        <v/>
      </c>
      <c r="M1002">
        <f>IF(AND(A1002=Dashboard!$D$6,OR(Dashboard!$C$6="*",F1002=Dashboard!$C$6),L1002&lt;&gt;""),ABS(I1002)+ROW()/1000000000,0)</f>
        <v/>
      </c>
    </row>
    <row r="1003">
      <c r="A1003">
        <f>Data_thang!A1003</f>
        <v/>
      </c>
      <c r="B1003">
        <f>Data_thang!B1003</f>
        <v/>
      </c>
      <c r="C1003">
        <f>Data_thang!D1003</f>
        <v/>
      </c>
      <c r="D1003">
        <f>Data_thang!E1003</f>
        <v/>
      </c>
      <c r="E1003">
        <f>Data_thang!F1003</f>
        <v/>
      </c>
      <c r="F1003">
        <f>Data_thang!G1003</f>
        <v/>
      </c>
      <c r="G1003" s="29">
        <f>Data_thang!J1003-Data_thang!K1003</f>
        <v/>
      </c>
      <c r="H1003" s="29">
        <f>Data_thang!N1003</f>
        <v/>
      </c>
      <c r="I1003" s="29">
        <f>H1003-G1003</f>
        <v/>
      </c>
      <c r="J1003" s="30">
        <f>IF(H1003=0,IF(I1003=0,0,1),I1003/ABS(H1003))</f>
        <v/>
      </c>
      <c r="K1003" s="29">
        <f>H1003-(Data_thang!O1003-Data_thang!K1003)</f>
        <v/>
      </c>
      <c r="L1003">
        <f>IF(AND(ABS(I1003)&gt;Dashboard!$G$6,ABS(J1003)&gt;Dashboard!$H$6),"⚠ Vượt","")</f>
        <v/>
      </c>
      <c r="M1003">
        <f>IF(AND(A1003=Dashboard!$D$6,OR(Dashboard!$C$6="*",F1003=Dashboard!$C$6),L1003&lt;&gt;""),ABS(I1003)+ROW()/1000000000,0)</f>
        <v/>
      </c>
    </row>
    <row r="1004">
      <c r="A1004">
        <f>Data_thang!A1004</f>
        <v/>
      </c>
      <c r="B1004">
        <f>Data_thang!B1004</f>
        <v/>
      </c>
      <c r="C1004">
        <f>Data_thang!D1004</f>
        <v/>
      </c>
      <c r="D1004">
        <f>Data_thang!E1004</f>
        <v/>
      </c>
      <c r="E1004">
        <f>Data_thang!F1004</f>
        <v/>
      </c>
      <c r="F1004">
        <f>Data_thang!G1004</f>
        <v/>
      </c>
      <c r="G1004" s="29">
        <f>Data_thang!J1004-Data_thang!K1004</f>
        <v/>
      </c>
      <c r="H1004" s="29">
        <f>Data_thang!N1004</f>
        <v/>
      </c>
      <c r="I1004" s="29">
        <f>H1004-G1004</f>
        <v/>
      </c>
      <c r="J1004" s="30">
        <f>IF(H1004=0,IF(I1004=0,0,1),I1004/ABS(H1004))</f>
        <v/>
      </c>
      <c r="K1004" s="29">
        <f>H1004-(Data_thang!O1004-Data_thang!K1004)</f>
        <v/>
      </c>
      <c r="L1004">
        <f>IF(AND(ABS(I1004)&gt;Dashboard!$G$6,ABS(J1004)&gt;Dashboard!$H$6),"⚠ Vượt","")</f>
        <v/>
      </c>
      <c r="M1004">
        <f>IF(AND(A1004=Dashboard!$D$6,OR(Dashboard!$C$6="*",F1004=Dashboard!$C$6),L1004&lt;&gt;""),ABS(I1004)+ROW()/1000000000,0)</f>
        <v/>
      </c>
    </row>
    <row r="1005">
      <c r="A1005">
        <f>Data_thang!A1005</f>
        <v/>
      </c>
      <c r="B1005">
        <f>Data_thang!B1005</f>
        <v/>
      </c>
      <c r="C1005">
        <f>Data_thang!D1005</f>
        <v/>
      </c>
      <c r="D1005">
        <f>Data_thang!E1005</f>
        <v/>
      </c>
      <c r="E1005">
        <f>Data_thang!F1005</f>
        <v/>
      </c>
      <c r="F1005">
        <f>Data_thang!G1005</f>
        <v/>
      </c>
      <c r="G1005" s="29">
        <f>Data_thang!J1005-Data_thang!K1005</f>
        <v/>
      </c>
      <c r="H1005" s="29">
        <f>Data_thang!N1005</f>
        <v/>
      </c>
      <c r="I1005" s="29">
        <f>H1005-G1005</f>
        <v/>
      </c>
      <c r="J1005" s="30">
        <f>IF(H1005=0,IF(I1005=0,0,1),I1005/ABS(H1005))</f>
        <v/>
      </c>
      <c r="K1005" s="29">
        <f>H1005-(Data_thang!O1005-Data_thang!K1005)</f>
        <v/>
      </c>
      <c r="L1005">
        <f>IF(AND(ABS(I1005)&gt;Dashboard!$G$6,ABS(J1005)&gt;Dashboard!$H$6),"⚠ Vượt","")</f>
        <v/>
      </c>
      <c r="M1005">
        <f>IF(AND(A1005=Dashboard!$D$6,OR(Dashboard!$C$6="*",F1005=Dashboard!$C$6),L1005&lt;&gt;""),ABS(I1005)+ROW()/1000000000,0)</f>
        <v/>
      </c>
    </row>
    <row r="1006">
      <c r="A1006">
        <f>Data_thang!A1006</f>
        <v/>
      </c>
      <c r="B1006">
        <f>Data_thang!B1006</f>
        <v/>
      </c>
      <c r="C1006">
        <f>Data_thang!D1006</f>
        <v/>
      </c>
      <c r="D1006">
        <f>Data_thang!E1006</f>
        <v/>
      </c>
      <c r="E1006">
        <f>Data_thang!F1006</f>
        <v/>
      </c>
      <c r="F1006">
        <f>Data_thang!G1006</f>
        <v/>
      </c>
      <c r="G1006" s="29">
        <f>Data_thang!J1006-Data_thang!K1006</f>
        <v/>
      </c>
      <c r="H1006" s="29">
        <f>Data_thang!N1006</f>
        <v/>
      </c>
      <c r="I1006" s="29">
        <f>H1006-G1006</f>
        <v/>
      </c>
      <c r="J1006" s="30">
        <f>IF(H1006=0,IF(I1006=0,0,1),I1006/ABS(H1006))</f>
        <v/>
      </c>
      <c r="K1006" s="29">
        <f>H1006-(Data_thang!O1006-Data_thang!K1006)</f>
        <v/>
      </c>
      <c r="L1006">
        <f>IF(AND(ABS(I1006)&gt;Dashboard!$G$6,ABS(J1006)&gt;Dashboard!$H$6),"⚠ Vượt","")</f>
        <v/>
      </c>
      <c r="M1006">
        <f>IF(AND(A1006=Dashboard!$D$6,OR(Dashboard!$C$6="*",F1006=Dashboard!$C$6),L1006&lt;&gt;""),ABS(I1006)+ROW()/1000000000,0)</f>
        <v/>
      </c>
    </row>
    <row r="1007">
      <c r="A1007">
        <f>Data_thang!A1007</f>
        <v/>
      </c>
      <c r="B1007">
        <f>Data_thang!B1007</f>
        <v/>
      </c>
      <c r="C1007">
        <f>Data_thang!D1007</f>
        <v/>
      </c>
      <c r="D1007">
        <f>Data_thang!E1007</f>
        <v/>
      </c>
      <c r="E1007">
        <f>Data_thang!F1007</f>
        <v/>
      </c>
      <c r="F1007">
        <f>Data_thang!G1007</f>
        <v/>
      </c>
      <c r="G1007" s="29">
        <f>Data_thang!J1007-Data_thang!K1007</f>
        <v/>
      </c>
      <c r="H1007" s="29">
        <f>Data_thang!N1007</f>
        <v/>
      </c>
      <c r="I1007" s="29">
        <f>H1007-G1007</f>
        <v/>
      </c>
      <c r="J1007" s="30">
        <f>IF(H1007=0,IF(I1007=0,0,1),I1007/ABS(H1007))</f>
        <v/>
      </c>
      <c r="K1007" s="29">
        <f>H1007-(Data_thang!O1007-Data_thang!K1007)</f>
        <v/>
      </c>
      <c r="L1007">
        <f>IF(AND(ABS(I1007)&gt;Dashboard!$G$6,ABS(J1007)&gt;Dashboard!$H$6),"⚠ Vượt","")</f>
        <v/>
      </c>
      <c r="M1007">
        <f>IF(AND(A1007=Dashboard!$D$6,OR(Dashboard!$C$6="*",F1007=Dashboard!$C$6),L1007&lt;&gt;""),ABS(I1007)+ROW()/1000000000,0)</f>
        <v/>
      </c>
    </row>
    <row r="1008">
      <c r="A1008">
        <f>Data_thang!A1008</f>
        <v/>
      </c>
      <c r="B1008">
        <f>Data_thang!B1008</f>
        <v/>
      </c>
      <c r="C1008">
        <f>Data_thang!D1008</f>
        <v/>
      </c>
      <c r="D1008">
        <f>Data_thang!E1008</f>
        <v/>
      </c>
      <c r="E1008">
        <f>Data_thang!F1008</f>
        <v/>
      </c>
      <c r="F1008">
        <f>Data_thang!G1008</f>
        <v/>
      </c>
      <c r="G1008" s="29">
        <f>Data_thang!J1008-Data_thang!K1008</f>
        <v/>
      </c>
      <c r="H1008" s="29">
        <f>Data_thang!N1008</f>
        <v/>
      </c>
      <c r="I1008" s="29">
        <f>H1008-G1008</f>
        <v/>
      </c>
      <c r="J1008" s="30">
        <f>IF(H1008=0,IF(I1008=0,0,1),I1008/ABS(H1008))</f>
        <v/>
      </c>
      <c r="K1008" s="29">
        <f>H1008-(Data_thang!O1008-Data_thang!K1008)</f>
        <v/>
      </c>
      <c r="L1008">
        <f>IF(AND(ABS(I1008)&gt;Dashboard!$G$6,ABS(J1008)&gt;Dashboard!$H$6),"⚠ Vượt","")</f>
        <v/>
      </c>
      <c r="M1008">
        <f>IF(AND(A1008=Dashboard!$D$6,OR(Dashboard!$C$6="*",F1008=Dashboard!$C$6),L1008&lt;&gt;""),ABS(I1008)+ROW()/1000000000,0)</f>
        <v/>
      </c>
    </row>
    <row r="1009">
      <c r="A1009">
        <f>Data_thang!A1009</f>
        <v/>
      </c>
      <c r="B1009">
        <f>Data_thang!B1009</f>
        <v/>
      </c>
      <c r="C1009">
        <f>Data_thang!D1009</f>
        <v/>
      </c>
      <c r="D1009">
        <f>Data_thang!E1009</f>
        <v/>
      </c>
      <c r="E1009">
        <f>Data_thang!F1009</f>
        <v/>
      </c>
      <c r="F1009">
        <f>Data_thang!G1009</f>
        <v/>
      </c>
      <c r="G1009" s="29">
        <f>Data_thang!J1009-Data_thang!K1009</f>
        <v/>
      </c>
      <c r="H1009" s="29">
        <f>Data_thang!N1009</f>
        <v/>
      </c>
      <c r="I1009" s="29">
        <f>H1009-G1009</f>
        <v/>
      </c>
      <c r="J1009" s="30">
        <f>IF(H1009=0,IF(I1009=0,0,1),I1009/ABS(H1009))</f>
        <v/>
      </c>
      <c r="K1009" s="29">
        <f>H1009-(Data_thang!O1009-Data_thang!K1009)</f>
        <v/>
      </c>
      <c r="L1009">
        <f>IF(AND(ABS(I1009)&gt;Dashboard!$G$6,ABS(J1009)&gt;Dashboard!$H$6),"⚠ Vượt","")</f>
        <v/>
      </c>
      <c r="M1009">
        <f>IF(AND(A1009=Dashboard!$D$6,OR(Dashboard!$C$6="*",F1009=Dashboard!$C$6),L1009&lt;&gt;""),ABS(I1009)+ROW()/1000000000,0)</f>
        <v/>
      </c>
    </row>
    <row r="1010">
      <c r="A1010">
        <f>Data_thang!A1010</f>
        <v/>
      </c>
      <c r="B1010">
        <f>Data_thang!B1010</f>
        <v/>
      </c>
      <c r="C1010">
        <f>Data_thang!D1010</f>
        <v/>
      </c>
      <c r="D1010">
        <f>Data_thang!E1010</f>
        <v/>
      </c>
      <c r="E1010">
        <f>Data_thang!F1010</f>
        <v/>
      </c>
      <c r="F1010">
        <f>Data_thang!G1010</f>
        <v/>
      </c>
      <c r="G1010" s="29">
        <f>Data_thang!J1010-Data_thang!K1010</f>
        <v/>
      </c>
      <c r="H1010" s="29">
        <f>Data_thang!N1010</f>
        <v/>
      </c>
      <c r="I1010" s="29">
        <f>H1010-G1010</f>
        <v/>
      </c>
      <c r="J1010" s="30">
        <f>IF(H1010=0,IF(I1010=0,0,1),I1010/ABS(H1010))</f>
        <v/>
      </c>
      <c r="K1010" s="29">
        <f>H1010-(Data_thang!O1010-Data_thang!K1010)</f>
        <v/>
      </c>
      <c r="L1010">
        <f>IF(AND(ABS(I1010)&gt;Dashboard!$G$6,ABS(J1010)&gt;Dashboard!$H$6),"⚠ Vượt","")</f>
        <v/>
      </c>
      <c r="M1010">
        <f>IF(AND(A1010=Dashboard!$D$6,OR(Dashboard!$C$6="*",F1010=Dashboard!$C$6),L1010&lt;&gt;""),ABS(I1010)+ROW()/1000000000,0)</f>
        <v/>
      </c>
    </row>
    <row r="1011">
      <c r="A1011">
        <f>Data_thang!A1011</f>
        <v/>
      </c>
      <c r="B1011">
        <f>Data_thang!B1011</f>
        <v/>
      </c>
      <c r="C1011">
        <f>Data_thang!D1011</f>
        <v/>
      </c>
      <c r="D1011">
        <f>Data_thang!E1011</f>
        <v/>
      </c>
      <c r="E1011">
        <f>Data_thang!F1011</f>
        <v/>
      </c>
      <c r="F1011">
        <f>Data_thang!G1011</f>
        <v/>
      </c>
      <c r="G1011" s="29">
        <f>Data_thang!J1011-Data_thang!K1011</f>
        <v/>
      </c>
      <c r="H1011" s="29">
        <f>Data_thang!N1011</f>
        <v/>
      </c>
      <c r="I1011" s="29">
        <f>H1011-G1011</f>
        <v/>
      </c>
      <c r="J1011" s="30">
        <f>IF(H1011=0,IF(I1011=0,0,1),I1011/ABS(H1011))</f>
        <v/>
      </c>
      <c r="K1011" s="29">
        <f>H1011-(Data_thang!O1011-Data_thang!K1011)</f>
        <v/>
      </c>
      <c r="L1011">
        <f>IF(AND(ABS(I1011)&gt;Dashboard!$G$6,ABS(J1011)&gt;Dashboard!$H$6),"⚠ Vượt","")</f>
        <v/>
      </c>
      <c r="M1011">
        <f>IF(AND(A1011=Dashboard!$D$6,OR(Dashboard!$C$6="*",F1011=Dashboard!$C$6),L1011&lt;&gt;""),ABS(I1011)+ROW()/1000000000,0)</f>
        <v/>
      </c>
    </row>
    <row r="1012">
      <c r="A1012">
        <f>Data_thang!A1012</f>
        <v/>
      </c>
      <c r="B1012">
        <f>Data_thang!B1012</f>
        <v/>
      </c>
      <c r="C1012">
        <f>Data_thang!D1012</f>
        <v/>
      </c>
      <c r="D1012">
        <f>Data_thang!E1012</f>
        <v/>
      </c>
      <c r="E1012">
        <f>Data_thang!F1012</f>
        <v/>
      </c>
      <c r="F1012">
        <f>Data_thang!G1012</f>
        <v/>
      </c>
      <c r="G1012" s="29">
        <f>Data_thang!J1012-Data_thang!K1012</f>
        <v/>
      </c>
      <c r="H1012" s="29">
        <f>Data_thang!N1012</f>
        <v/>
      </c>
      <c r="I1012" s="29">
        <f>H1012-G1012</f>
        <v/>
      </c>
      <c r="J1012" s="30">
        <f>IF(H1012=0,IF(I1012=0,0,1),I1012/ABS(H1012))</f>
        <v/>
      </c>
      <c r="K1012" s="29">
        <f>H1012-(Data_thang!O1012-Data_thang!K1012)</f>
        <v/>
      </c>
      <c r="L1012">
        <f>IF(AND(ABS(I1012)&gt;Dashboard!$G$6,ABS(J1012)&gt;Dashboard!$H$6),"⚠ Vượt","")</f>
        <v/>
      </c>
      <c r="M1012">
        <f>IF(AND(A1012=Dashboard!$D$6,OR(Dashboard!$C$6="*",F1012=Dashboard!$C$6),L1012&lt;&gt;""),ABS(I1012)+ROW()/1000000000,0)</f>
        <v/>
      </c>
    </row>
    <row r="1013">
      <c r="A1013">
        <f>Data_thang!A1013</f>
        <v/>
      </c>
      <c r="B1013">
        <f>Data_thang!B1013</f>
        <v/>
      </c>
      <c r="C1013">
        <f>Data_thang!D1013</f>
        <v/>
      </c>
      <c r="D1013">
        <f>Data_thang!E1013</f>
        <v/>
      </c>
      <c r="E1013">
        <f>Data_thang!F1013</f>
        <v/>
      </c>
      <c r="F1013">
        <f>Data_thang!G1013</f>
        <v/>
      </c>
      <c r="G1013" s="29">
        <f>Data_thang!J1013-Data_thang!K1013</f>
        <v/>
      </c>
      <c r="H1013" s="29">
        <f>Data_thang!N1013</f>
        <v/>
      </c>
      <c r="I1013" s="29">
        <f>H1013-G1013</f>
        <v/>
      </c>
      <c r="J1013" s="30">
        <f>IF(H1013=0,IF(I1013=0,0,1),I1013/ABS(H1013))</f>
        <v/>
      </c>
      <c r="K1013" s="29">
        <f>H1013-(Data_thang!O1013-Data_thang!K1013)</f>
        <v/>
      </c>
      <c r="L1013">
        <f>IF(AND(ABS(I1013)&gt;Dashboard!$G$6,ABS(J1013)&gt;Dashboard!$H$6),"⚠ Vượt","")</f>
        <v/>
      </c>
      <c r="M1013">
        <f>IF(AND(A1013=Dashboard!$D$6,OR(Dashboard!$C$6="*",F1013=Dashboard!$C$6),L1013&lt;&gt;""),ABS(I1013)+ROW()/1000000000,0)</f>
        <v/>
      </c>
    </row>
    <row r="1014">
      <c r="A1014">
        <f>Data_thang!A1014</f>
        <v/>
      </c>
      <c r="B1014">
        <f>Data_thang!B1014</f>
        <v/>
      </c>
      <c r="C1014">
        <f>Data_thang!D1014</f>
        <v/>
      </c>
      <c r="D1014">
        <f>Data_thang!E1014</f>
        <v/>
      </c>
      <c r="E1014">
        <f>Data_thang!F1014</f>
        <v/>
      </c>
      <c r="F1014">
        <f>Data_thang!G1014</f>
        <v/>
      </c>
      <c r="G1014" s="29">
        <f>Data_thang!J1014-Data_thang!K1014</f>
        <v/>
      </c>
      <c r="H1014" s="29">
        <f>Data_thang!N1014</f>
        <v/>
      </c>
      <c r="I1014" s="29">
        <f>H1014-G1014</f>
        <v/>
      </c>
      <c r="J1014" s="30">
        <f>IF(H1014=0,IF(I1014=0,0,1),I1014/ABS(H1014))</f>
        <v/>
      </c>
      <c r="K1014" s="29">
        <f>H1014-(Data_thang!O1014-Data_thang!K1014)</f>
        <v/>
      </c>
      <c r="L1014">
        <f>IF(AND(ABS(I1014)&gt;Dashboard!$G$6,ABS(J1014)&gt;Dashboard!$H$6),"⚠ Vượt","")</f>
        <v/>
      </c>
      <c r="M1014">
        <f>IF(AND(A1014=Dashboard!$D$6,OR(Dashboard!$C$6="*",F1014=Dashboard!$C$6),L1014&lt;&gt;""),ABS(I1014)+ROW()/1000000000,0)</f>
        <v/>
      </c>
    </row>
    <row r="1015">
      <c r="A1015">
        <f>Data_thang!A1015</f>
        <v/>
      </c>
      <c r="B1015">
        <f>Data_thang!B1015</f>
        <v/>
      </c>
      <c r="C1015">
        <f>Data_thang!D1015</f>
        <v/>
      </c>
      <c r="D1015">
        <f>Data_thang!E1015</f>
        <v/>
      </c>
      <c r="E1015">
        <f>Data_thang!F1015</f>
        <v/>
      </c>
      <c r="F1015">
        <f>Data_thang!G1015</f>
        <v/>
      </c>
      <c r="G1015" s="29">
        <f>Data_thang!J1015-Data_thang!K1015</f>
        <v/>
      </c>
      <c r="H1015" s="29">
        <f>Data_thang!N1015</f>
        <v/>
      </c>
      <c r="I1015" s="29">
        <f>H1015-G1015</f>
        <v/>
      </c>
      <c r="J1015" s="30">
        <f>IF(H1015=0,IF(I1015=0,0,1),I1015/ABS(H1015))</f>
        <v/>
      </c>
      <c r="K1015" s="29">
        <f>H1015-(Data_thang!O1015-Data_thang!K1015)</f>
        <v/>
      </c>
      <c r="L1015">
        <f>IF(AND(ABS(I1015)&gt;Dashboard!$G$6,ABS(J1015)&gt;Dashboard!$H$6),"⚠ Vượt","")</f>
        <v/>
      </c>
      <c r="M1015">
        <f>IF(AND(A1015=Dashboard!$D$6,OR(Dashboard!$C$6="*",F1015=Dashboard!$C$6),L1015&lt;&gt;""),ABS(I1015)+ROW()/1000000000,0)</f>
        <v/>
      </c>
    </row>
    <row r="1016">
      <c r="A1016">
        <f>Data_thang!A1016</f>
        <v/>
      </c>
      <c r="B1016">
        <f>Data_thang!B1016</f>
        <v/>
      </c>
      <c r="C1016">
        <f>Data_thang!D1016</f>
        <v/>
      </c>
      <c r="D1016">
        <f>Data_thang!E1016</f>
        <v/>
      </c>
      <c r="E1016">
        <f>Data_thang!F1016</f>
        <v/>
      </c>
      <c r="F1016">
        <f>Data_thang!G1016</f>
        <v/>
      </c>
      <c r="G1016" s="29">
        <f>Data_thang!J1016-Data_thang!K1016</f>
        <v/>
      </c>
      <c r="H1016" s="29">
        <f>Data_thang!N1016</f>
        <v/>
      </c>
      <c r="I1016" s="29">
        <f>H1016-G1016</f>
        <v/>
      </c>
      <c r="J1016" s="30">
        <f>IF(H1016=0,IF(I1016=0,0,1),I1016/ABS(H1016))</f>
        <v/>
      </c>
      <c r="K1016" s="29">
        <f>H1016-(Data_thang!O1016-Data_thang!K1016)</f>
        <v/>
      </c>
      <c r="L1016">
        <f>IF(AND(ABS(I1016)&gt;Dashboard!$G$6,ABS(J1016)&gt;Dashboard!$H$6),"⚠ Vượt","")</f>
        <v/>
      </c>
      <c r="M1016">
        <f>IF(AND(A1016=Dashboard!$D$6,OR(Dashboard!$C$6="*",F1016=Dashboard!$C$6),L1016&lt;&gt;""),ABS(I1016)+ROW()/1000000000,0)</f>
        <v/>
      </c>
    </row>
    <row r="1017">
      <c r="A1017">
        <f>Data_thang!A1017</f>
        <v/>
      </c>
      <c r="B1017">
        <f>Data_thang!B1017</f>
        <v/>
      </c>
      <c r="C1017">
        <f>Data_thang!D1017</f>
        <v/>
      </c>
      <c r="D1017">
        <f>Data_thang!E1017</f>
        <v/>
      </c>
      <c r="E1017">
        <f>Data_thang!F1017</f>
        <v/>
      </c>
      <c r="F1017">
        <f>Data_thang!G1017</f>
        <v/>
      </c>
      <c r="G1017" s="29">
        <f>Data_thang!J1017-Data_thang!K1017</f>
        <v/>
      </c>
      <c r="H1017" s="29">
        <f>Data_thang!N1017</f>
        <v/>
      </c>
      <c r="I1017" s="29">
        <f>H1017-G1017</f>
        <v/>
      </c>
      <c r="J1017" s="30">
        <f>IF(H1017=0,IF(I1017=0,0,1),I1017/ABS(H1017))</f>
        <v/>
      </c>
      <c r="K1017" s="29">
        <f>H1017-(Data_thang!O1017-Data_thang!K1017)</f>
        <v/>
      </c>
      <c r="L1017">
        <f>IF(AND(ABS(I1017)&gt;Dashboard!$G$6,ABS(J1017)&gt;Dashboard!$H$6),"⚠ Vượt","")</f>
        <v/>
      </c>
      <c r="M1017">
        <f>IF(AND(A1017=Dashboard!$D$6,OR(Dashboard!$C$6="*",F1017=Dashboard!$C$6),L1017&lt;&gt;""),ABS(I1017)+ROW()/1000000000,0)</f>
        <v/>
      </c>
    </row>
    <row r="1018">
      <c r="A1018">
        <f>Data_thang!A1018</f>
        <v/>
      </c>
      <c r="B1018">
        <f>Data_thang!B1018</f>
        <v/>
      </c>
      <c r="C1018">
        <f>Data_thang!D1018</f>
        <v/>
      </c>
      <c r="D1018">
        <f>Data_thang!E1018</f>
        <v/>
      </c>
      <c r="E1018">
        <f>Data_thang!F1018</f>
        <v/>
      </c>
      <c r="F1018">
        <f>Data_thang!G1018</f>
        <v/>
      </c>
      <c r="G1018" s="29">
        <f>Data_thang!J1018-Data_thang!K1018</f>
        <v/>
      </c>
      <c r="H1018" s="29">
        <f>Data_thang!N1018</f>
        <v/>
      </c>
      <c r="I1018" s="29">
        <f>H1018-G1018</f>
        <v/>
      </c>
      <c r="J1018" s="30">
        <f>IF(H1018=0,IF(I1018=0,0,1),I1018/ABS(H1018))</f>
        <v/>
      </c>
      <c r="K1018" s="29">
        <f>H1018-(Data_thang!O1018-Data_thang!K1018)</f>
        <v/>
      </c>
      <c r="L1018">
        <f>IF(AND(ABS(I1018)&gt;Dashboard!$G$6,ABS(J1018)&gt;Dashboard!$H$6),"⚠ Vượt","")</f>
        <v/>
      </c>
      <c r="M1018">
        <f>IF(AND(A1018=Dashboard!$D$6,OR(Dashboard!$C$6="*",F1018=Dashboard!$C$6),L1018&lt;&gt;""),ABS(I1018)+ROW()/1000000000,0)</f>
        <v/>
      </c>
    </row>
    <row r="1019">
      <c r="A1019">
        <f>Data_thang!A1019</f>
        <v/>
      </c>
      <c r="B1019">
        <f>Data_thang!B1019</f>
        <v/>
      </c>
      <c r="C1019">
        <f>Data_thang!D1019</f>
        <v/>
      </c>
      <c r="D1019">
        <f>Data_thang!E1019</f>
        <v/>
      </c>
      <c r="E1019">
        <f>Data_thang!F1019</f>
        <v/>
      </c>
      <c r="F1019">
        <f>Data_thang!G1019</f>
        <v/>
      </c>
      <c r="G1019" s="29">
        <f>Data_thang!J1019-Data_thang!K1019</f>
        <v/>
      </c>
      <c r="H1019" s="29">
        <f>Data_thang!N1019</f>
        <v/>
      </c>
      <c r="I1019" s="29">
        <f>H1019-G1019</f>
        <v/>
      </c>
      <c r="J1019" s="30">
        <f>IF(H1019=0,IF(I1019=0,0,1),I1019/ABS(H1019))</f>
        <v/>
      </c>
      <c r="K1019" s="29">
        <f>H1019-(Data_thang!O1019-Data_thang!K1019)</f>
        <v/>
      </c>
      <c r="L1019">
        <f>IF(AND(ABS(I1019)&gt;Dashboard!$G$6,ABS(J1019)&gt;Dashboard!$H$6),"⚠ Vượt","")</f>
        <v/>
      </c>
      <c r="M1019">
        <f>IF(AND(A1019=Dashboard!$D$6,OR(Dashboard!$C$6="*",F1019=Dashboard!$C$6),L1019&lt;&gt;""),ABS(I1019)+ROW()/1000000000,0)</f>
        <v/>
      </c>
    </row>
    <row r="1020">
      <c r="A1020">
        <f>Data_thang!A1020</f>
        <v/>
      </c>
      <c r="B1020">
        <f>Data_thang!B1020</f>
        <v/>
      </c>
      <c r="C1020">
        <f>Data_thang!D1020</f>
        <v/>
      </c>
      <c r="D1020">
        <f>Data_thang!E1020</f>
        <v/>
      </c>
      <c r="E1020">
        <f>Data_thang!F1020</f>
        <v/>
      </c>
      <c r="F1020">
        <f>Data_thang!G1020</f>
        <v/>
      </c>
      <c r="G1020" s="29">
        <f>Data_thang!J1020-Data_thang!K1020</f>
        <v/>
      </c>
      <c r="H1020" s="29">
        <f>Data_thang!N1020</f>
        <v/>
      </c>
      <c r="I1020" s="29">
        <f>H1020-G1020</f>
        <v/>
      </c>
      <c r="J1020" s="30">
        <f>IF(H1020=0,IF(I1020=0,0,1),I1020/ABS(H1020))</f>
        <v/>
      </c>
      <c r="K1020" s="29">
        <f>H1020-(Data_thang!O1020-Data_thang!K1020)</f>
        <v/>
      </c>
      <c r="L1020">
        <f>IF(AND(ABS(I1020)&gt;Dashboard!$G$6,ABS(J1020)&gt;Dashboard!$H$6),"⚠ Vượt","")</f>
        <v/>
      </c>
      <c r="M1020">
        <f>IF(AND(A1020=Dashboard!$D$6,OR(Dashboard!$C$6="*",F1020=Dashboard!$C$6),L1020&lt;&gt;""),ABS(I1020)+ROW()/1000000000,0)</f>
        <v/>
      </c>
    </row>
    <row r="1021">
      <c r="A1021">
        <f>Data_thang!A1021</f>
        <v/>
      </c>
      <c r="B1021">
        <f>Data_thang!B1021</f>
        <v/>
      </c>
      <c r="C1021">
        <f>Data_thang!D1021</f>
        <v/>
      </c>
      <c r="D1021">
        <f>Data_thang!E1021</f>
        <v/>
      </c>
      <c r="E1021">
        <f>Data_thang!F1021</f>
        <v/>
      </c>
      <c r="F1021">
        <f>Data_thang!G1021</f>
        <v/>
      </c>
      <c r="G1021" s="29">
        <f>Data_thang!J1021-Data_thang!K1021</f>
        <v/>
      </c>
      <c r="H1021" s="29">
        <f>Data_thang!N1021</f>
        <v/>
      </c>
      <c r="I1021" s="29">
        <f>H1021-G1021</f>
        <v/>
      </c>
      <c r="J1021" s="30">
        <f>IF(H1021=0,IF(I1021=0,0,1),I1021/ABS(H1021))</f>
        <v/>
      </c>
      <c r="K1021" s="29">
        <f>H1021-(Data_thang!O1021-Data_thang!K1021)</f>
        <v/>
      </c>
      <c r="L1021">
        <f>IF(AND(ABS(I1021)&gt;Dashboard!$G$6,ABS(J1021)&gt;Dashboard!$H$6),"⚠ Vượt","")</f>
        <v/>
      </c>
      <c r="M1021">
        <f>IF(AND(A1021=Dashboard!$D$6,OR(Dashboard!$C$6="*",F1021=Dashboard!$C$6),L1021&lt;&gt;""),ABS(I1021)+ROW()/1000000000,0)</f>
        <v/>
      </c>
    </row>
    <row r="1022">
      <c r="A1022">
        <f>Data_thang!A1022</f>
        <v/>
      </c>
      <c r="B1022">
        <f>Data_thang!B1022</f>
        <v/>
      </c>
      <c r="C1022">
        <f>Data_thang!D1022</f>
        <v/>
      </c>
      <c r="D1022">
        <f>Data_thang!E1022</f>
        <v/>
      </c>
      <c r="E1022">
        <f>Data_thang!F1022</f>
        <v/>
      </c>
      <c r="F1022">
        <f>Data_thang!G1022</f>
        <v/>
      </c>
      <c r="G1022" s="29">
        <f>Data_thang!J1022-Data_thang!K1022</f>
        <v/>
      </c>
      <c r="H1022" s="29">
        <f>Data_thang!N1022</f>
        <v/>
      </c>
      <c r="I1022" s="29">
        <f>H1022-G1022</f>
        <v/>
      </c>
      <c r="J1022" s="30">
        <f>IF(H1022=0,IF(I1022=0,0,1),I1022/ABS(H1022))</f>
        <v/>
      </c>
      <c r="K1022" s="29">
        <f>H1022-(Data_thang!O1022-Data_thang!K1022)</f>
        <v/>
      </c>
      <c r="L1022">
        <f>IF(AND(ABS(I1022)&gt;Dashboard!$G$6,ABS(J1022)&gt;Dashboard!$H$6),"⚠ Vượt","")</f>
        <v/>
      </c>
      <c r="M1022">
        <f>IF(AND(A1022=Dashboard!$D$6,OR(Dashboard!$C$6="*",F1022=Dashboard!$C$6),L1022&lt;&gt;""),ABS(I1022)+ROW()/1000000000,0)</f>
        <v/>
      </c>
    </row>
    <row r="1023">
      <c r="A1023">
        <f>Data_thang!A1023</f>
        <v/>
      </c>
      <c r="B1023">
        <f>Data_thang!B1023</f>
        <v/>
      </c>
      <c r="C1023">
        <f>Data_thang!D1023</f>
        <v/>
      </c>
      <c r="D1023">
        <f>Data_thang!E1023</f>
        <v/>
      </c>
      <c r="E1023">
        <f>Data_thang!F1023</f>
        <v/>
      </c>
      <c r="F1023">
        <f>Data_thang!G1023</f>
        <v/>
      </c>
      <c r="G1023" s="29">
        <f>Data_thang!J1023-Data_thang!K1023</f>
        <v/>
      </c>
      <c r="H1023" s="29">
        <f>Data_thang!N1023</f>
        <v/>
      </c>
      <c r="I1023" s="29">
        <f>H1023-G1023</f>
        <v/>
      </c>
      <c r="J1023" s="30">
        <f>IF(H1023=0,IF(I1023=0,0,1),I1023/ABS(H1023))</f>
        <v/>
      </c>
      <c r="K1023" s="29">
        <f>H1023-(Data_thang!O1023-Data_thang!K1023)</f>
        <v/>
      </c>
      <c r="L1023">
        <f>IF(AND(ABS(I1023)&gt;Dashboard!$G$6,ABS(J1023)&gt;Dashboard!$H$6),"⚠ Vượt","")</f>
        <v/>
      </c>
      <c r="M1023">
        <f>IF(AND(A1023=Dashboard!$D$6,OR(Dashboard!$C$6="*",F1023=Dashboard!$C$6),L1023&lt;&gt;""),ABS(I1023)+ROW()/1000000000,0)</f>
        <v/>
      </c>
    </row>
    <row r="1024">
      <c r="A1024">
        <f>Data_thang!A1024</f>
        <v/>
      </c>
      <c r="B1024">
        <f>Data_thang!B1024</f>
        <v/>
      </c>
      <c r="C1024">
        <f>Data_thang!D1024</f>
        <v/>
      </c>
      <c r="D1024">
        <f>Data_thang!E1024</f>
        <v/>
      </c>
      <c r="E1024">
        <f>Data_thang!F1024</f>
        <v/>
      </c>
      <c r="F1024">
        <f>Data_thang!G1024</f>
        <v/>
      </c>
      <c r="G1024" s="29">
        <f>Data_thang!J1024-Data_thang!K1024</f>
        <v/>
      </c>
      <c r="H1024" s="29">
        <f>Data_thang!N1024</f>
        <v/>
      </c>
      <c r="I1024" s="29">
        <f>H1024-G1024</f>
        <v/>
      </c>
      <c r="J1024" s="30">
        <f>IF(H1024=0,IF(I1024=0,0,1),I1024/ABS(H1024))</f>
        <v/>
      </c>
      <c r="K1024" s="29">
        <f>H1024-(Data_thang!O1024-Data_thang!K1024)</f>
        <v/>
      </c>
      <c r="L1024">
        <f>IF(AND(ABS(I1024)&gt;Dashboard!$G$6,ABS(J1024)&gt;Dashboard!$H$6),"⚠ Vượt","")</f>
        <v/>
      </c>
      <c r="M1024">
        <f>IF(AND(A1024=Dashboard!$D$6,OR(Dashboard!$C$6="*",F1024=Dashboard!$C$6),L1024&lt;&gt;""),ABS(I1024)+ROW()/1000000000,0)</f>
        <v/>
      </c>
    </row>
    <row r="1025">
      <c r="A1025">
        <f>Data_thang!A1025</f>
        <v/>
      </c>
      <c r="B1025">
        <f>Data_thang!B1025</f>
        <v/>
      </c>
      <c r="C1025">
        <f>Data_thang!D1025</f>
        <v/>
      </c>
      <c r="D1025">
        <f>Data_thang!E1025</f>
        <v/>
      </c>
      <c r="E1025">
        <f>Data_thang!F1025</f>
        <v/>
      </c>
      <c r="F1025">
        <f>Data_thang!G1025</f>
        <v/>
      </c>
      <c r="G1025" s="29">
        <f>Data_thang!J1025-Data_thang!K1025</f>
        <v/>
      </c>
      <c r="H1025" s="29">
        <f>Data_thang!N1025</f>
        <v/>
      </c>
      <c r="I1025" s="29">
        <f>H1025-G1025</f>
        <v/>
      </c>
      <c r="J1025" s="30">
        <f>IF(H1025=0,IF(I1025=0,0,1),I1025/ABS(H1025))</f>
        <v/>
      </c>
      <c r="K1025" s="29">
        <f>H1025-(Data_thang!O1025-Data_thang!K1025)</f>
        <v/>
      </c>
      <c r="L1025">
        <f>IF(AND(ABS(I1025)&gt;Dashboard!$G$6,ABS(J1025)&gt;Dashboard!$H$6),"⚠ Vượt","")</f>
        <v/>
      </c>
      <c r="M1025">
        <f>IF(AND(A1025=Dashboard!$D$6,OR(Dashboard!$C$6="*",F1025=Dashboard!$C$6),L1025&lt;&gt;""),ABS(I1025)+ROW()/1000000000,0)</f>
        <v/>
      </c>
    </row>
    <row r="1026">
      <c r="A1026">
        <f>Data_thang!A1026</f>
        <v/>
      </c>
      <c r="B1026">
        <f>Data_thang!B1026</f>
        <v/>
      </c>
      <c r="C1026">
        <f>Data_thang!D1026</f>
        <v/>
      </c>
      <c r="D1026">
        <f>Data_thang!E1026</f>
        <v/>
      </c>
      <c r="E1026">
        <f>Data_thang!F1026</f>
        <v/>
      </c>
      <c r="F1026">
        <f>Data_thang!G1026</f>
        <v/>
      </c>
      <c r="G1026" s="29">
        <f>Data_thang!J1026-Data_thang!K1026</f>
        <v/>
      </c>
      <c r="H1026" s="29">
        <f>Data_thang!N1026</f>
        <v/>
      </c>
      <c r="I1026" s="29">
        <f>H1026-G1026</f>
        <v/>
      </c>
      <c r="J1026" s="30">
        <f>IF(H1026=0,IF(I1026=0,0,1),I1026/ABS(H1026))</f>
        <v/>
      </c>
      <c r="K1026" s="29">
        <f>H1026-(Data_thang!O1026-Data_thang!K1026)</f>
        <v/>
      </c>
      <c r="L1026">
        <f>IF(AND(ABS(I1026)&gt;Dashboard!$G$6,ABS(J1026)&gt;Dashboard!$H$6),"⚠ Vượt","")</f>
        <v/>
      </c>
      <c r="M1026">
        <f>IF(AND(A1026=Dashboard!$D$6,OR(Dashboard!$C$6="*",F1026=Dashboard!$C$6),L1026&lt;&gt;""),ABS(I1026)+ROW()/1000000000,0)</f>
        <v/>
      </c>
    </row>
    <row r="1027">
      <c r="A1027">
        <f>Data_thang!A1027</f>
        <v/>
      </c>
      <c r="B1027">
        <f>Data_thang!B1027</f>
        <v/>
      </c>
      <c r="C1027">
        <f>Data_thang!D1027</f>
        <v/>
      </c>
      <c r="D1027">
        <f>Data_thang!E1027</f>
        <v/>
      </c>
      <c r="E1027">
        <f>Data_thang!F1027</f>
        <v/>
      </c>
      <c r="F1027">
        <f>Data_thang!G1027</f>
        <v/>
      </c>
      <c r="G1027" s="29">
        <f>Data_thang!J1027-Data_thang!K1027</f>
        <v/>
      </c>
      <c r="H1027" s="29">
        <f>Data_thang!N1027</f>
        <v/>
      </c>
      <c r="I1027" s="29">
        <f>H1027-G1027</f>
        <v/>
      </c>
      <c r="J1027" s="30">
        <f>IF(H1027=0,IF(I1027=0,0,1),I1027/ABS(H1027))</f>
        <v/>
      </c>
      <c r="K1027" s="29">
        <f>H1027-(Data_thang!O1027-Data_thang!K1027)</f>
        <v/>
      </c>
      <c r="L1027">
        <f>IF(AND(ABS(I1027)&gt;Dashboard!$G$6,ABS(J1027)&gt;Dashboard!$H$6),"⚠ Vượt","")</f>
        <v/>
      </c>
      <c r="M1027">
        <f>IF(AND(A1027=Dashboard!$D$6,OR(Dashboard!$C$6="*",F1027=Dashboard!$C$6),L1027&lt;&gt;""),ABS(I1027)+ROW()/1000000000,0)</f>
        <v/>
      </c>
    </row>
    <row r="1028">
      <c r="A1028">
        <f>Data_thang!A1028</f>
        <v/>
      </c>
      <c r="B1028">
        <f>Data_thang!B1028</f>
        <v/>
      </c>
      <c r="C1028">
        <f>Data_thang!D1028</f>
        <v/>
      </c>
      <c r="D1028">
        <f>Data_thang!E1028</f>
        <v/>
      </c>
      <c r="E1028">
        <f>Data_thang!F1028</f>
        <v/>
      </c>
      <c r="F1028">
        <f>Data_thang!G1028</f>
        <v/>
      </c>
      <c r="G1028" s="29">
        <f>Data_thang!J1028-Data_thang!K1028</f>
        <v/>
      </c>
      <c r="H1028" s="29">
        <f>Data_thang!N1028</f>
        <v/>
      </c>
      <c r="I1028" s="29">
        <f>H1028-G1028</f>
        <v/>
      </c>
      <c r="J1028" s="30">
        <f>IF(H1028=0,IF(I1028=0,0,1),I1028/ABS(H1028))</f>
        <v/>
      </c>
      <c r="K1028" s="29">
        <f>H1028-(Data_thang!O1028-Data_thang!K1028)</f>
        <v/>
      </c>
      <c r="L1028">
        <f>IF(AND(ABS(I1028)&gt;Dashboard!$G$6,ABS(J1028)&gt;Dashboard!$H$6),"⚠ Vượt","")</f>
        <v/>
      </c>
      <c r="M1028">
        <f>IF(AND(A1028=Dashboard!$D$6,OR(Dashboard!$C$6="*",F1028=Dashboard!$C$6),L1028&lt;&gt;""),ABS(I1028)+ROW()/1000000000,0)</f>
        <v/>
      </c>
    </row>
    <row r="1029">
      <c r="A1029">
        <f>Data_thang!A1029</f>
        <v/>
      </c>
      <c r="B1029">
        <f>Data_thang!B1029</f>
        <v/>
      </c>
      <c r="C1029">
        <f>Data_thang!D1029</f>
        <v/>
      </c>
      <c r="D1029">
        <f>Data_thang!E1029</f>
        <v/>
      </c>
      <c r="E1029">
        <f>Data_thang!F1029</f>
        <v/>
      </c>
      <c r="F1029">
        <f>Data_thang!G1029</f>
        <v/>
      </c>
      <c r="G1029" s="29">
        <f>Data_thang!J1029-Data_thang!K1029</f>
        <v/>
      </c>
      <c r="H1029" s="29">
        <f>Data_thang!N1029</f>
        <v/>
      </c>
      <c r="I1029" s="29">
        <f>H1029-G1029</f>
        <v/>
      </c>
      <c r="J1029" s="30">
        <f>IF(H1029=0,IF(I1029=0,0,1),I1029/ABS(H1029))</f>
        <v/>
      </c>
      <c r="K1029" s="29">
        <f>H1029-(Data_thang!O1029-Data_thang!K1029)</f>
        <v/>
      </c>
      <c r="L1029">
        <f>IF(AND(ABS(I1029)&gt;Dashboard!$G$6,ABS(J1029)&gt;Dashboard!$H$6),"⚠ Vượt","")</f>
        <v/>
      </c>
      <c r="M1029">
        <f>IF(AND(A1029=Dashboard!$D$6,OR(Dashboard!$C$6="*",F1029=Dashboard!$C$6),L1029&lt;&gt;""),ABS(I1029)+ROW()/1000000000,0)</f>
        <v/>
      </c>
    </row>
    <row r="1030">
      <c r="A1030">
        <f>Data_thang!A1030</f>
        <v/>
      </c>
      <c r="B1030">
        <f>Data_thang!B1030</f>
        <v/>
      </c>
      <c r="C1030">
        <f>Data_thang!D1030</f>
        <v/>
      </c>
      <c r="D1030">
        <f>Data_thang!E1030</f>
        <v/>
      </c>
      <c r="E1030">
        <f>Data_thang!F1030</f>
        <v/>
      </c>
      <c r="F1030">
        <f>Data_thang!G1030</f>
        <v/>
      </c>
      <c r="G1030" s="29">
        <f>Data_thang!J1030-Data_thang!K1030</f>
        <v/>
      </c>
      <c r="H1030" s="29">
        <f>Data_thang!N1030</f>
        <v/>
      </c>
      <c r="I1030" s="29">
        <f>H1030-G1030</f>
        <v/>
      </c>
      <c r="J1030" s="30">
        <f>IF(H1030=0,IF(I1030=0,0,1),I1030/ABS(H1030))</f>
        <v/>
      </c>
      <c r="K1030" s="29">
        <f>H1030-(Data_thang!O1030-Data_thang!K1030)</f>
        <v/>
      </c>
      <c r="L1030">
        <f>IF(AND(ABS(I1030)&gt;Dashboard!$G$6,ABS(J1030)&gt;Dashboard!$H$6),"⚠ Vượt","")</f>
        <v/>
      </c>
      <c r="M1030">
        <f>IF(AND(A1030=Dashboard!$D$6,OR(Dashboard!$C$6="*",F1030=Dashboard!$C$6),L1030&lt;&gt;""),ABS(I1030)+ROW()/1000000000,0)</f>
        <v/>
      </c>
    </row>
    <row r="1031">
      <c r="A1031">
        <f>Data_thang!A1031</f>
        <v/>
      </c>
      <c r="B1031">
        <f>Data_thang!B1031</f>
        <v/>
      </c>
      <c r="C1031">
        <f>Data_thang!D1031</f>
        <v/>
      </c>
      <c r="D1031">
        <f>Data_thang!E1031</f>
        <v/>
      </c>
      <c r="E1031">
        <f>Data_thang!F1031</f>
        <v/>
      </c>
      <c r="F1031">
        <f>Data_thang!G1031</f>
        <v/>
      </c>
      <c r="G1031" s="29">
        <f>Data_thang!J1031-Data_thang!K1031</f>
        <v/>
      </c>
      <c r="H1031" s="29">
        <f>Data_thang!N1031</f>
        <v/>
      </c>
      <c r="I1031" s="29">
        <f>H1031-G1031</f>
        <v/>
      </c>
      <c r="J1031" s="30">
        <f>IF(H1031=0,IF(I1031=0,0,1),I1031/ABS(H1031))</f>
        <v/>
      </c>
      <c r="K1031" s="29">
        <f>H1031-(Data_thang!O1031-Data_thang!K1031)</f>
        <v/>
      </c>
      <c r="L1031">
        <f>IF(AND(ABS(I1031)&gt;Dashboard!$G$6,ABS(J1031)&gt;Dashboard!$H$6),"⚠ Vượt","")</f>
        <v/>
      </c>
      <c r="M1031">
        <f>IF(AND(A1031=Dashboard!$D$6,OR(Dashboard!$C$6="*",F1031=Dashboard!$C$6),L1031&lt;&gt;""),ABS(I1031)+ROW()/1000000000,0)</f>
        <v/>
      </c>
    </row>
    <row r="1032">
      <c r="A1032">
        <f>Data_thang!A1032</f>
        <v/>
      </c>
      <c r="B1032">
        <f>Data_thang!B1032</f>
        <v/>
      </c>
      <c r="C1032">
        <f>Data_thang!D1032</f>
        <v/>
      </c>
      <c r="D1032">
        <f>Data_thang!E1032</f>
        <v/>
      </c>
      <c r="E1032">
        <f>Data_thang!F1032</f>
        <v/>
      </c>
      <c r="F1032">
        <f>Data_thang!G1032</f>
        <v/>
      </c>
      <c r="G1032" s="29">
        <f>Data_thang!J1032-Data_thang!K1032</f>
        <v/>
      </c>
      <c r="H1032" s="29">
        <f>Data_thang!N1032</f>
        <v/>
      </c>
      <c r="I1032" s="29">
        <f>H1032-G1032</f>
        <v/>
      </c>
      <c r="J1032" s="30">
        <f>IF(H1032=0,IF(I1032=0,0,1),I1032/ABS(H1032))</f>
        <v/>
      </c>
      <c r="K1032" s="29">
        <f>H1032-(Data_thang!O1032-Data_thang!K1032)</f>
        <v/>
      </c>
      <c r="L1032">
        <f>IF(AND(ABS(I1032)&gt;Dashboard!$G$6,ABS(J1032)&gt;Dashboard!$H$6),"⚠ Vượt","")</f>
        <v/>
      </c>
      <c r="M1032">
        <f>IF(AND(A1032=Dashboard!$D$6,OR(Dashboard!$C$6="*",F1032=Dashboard!$C$6),L1032&lt;&gt;""),ABS(I1032)+ROW()/1000000000,0)</f>
        <v/>
      </c>
    </row>
    <row r="1033">
      <c r="A1033">
        <f>Data_thang!A1033</f>
        <v/>
      </c>
      <c r="B1033">
        <f>Data_thang!B1033</f>
        <v/>
      </c>
      <c r="C1033">
        <f>Data_thang!D1033</f>
        <v/>
      </c>
      <c r="D1033">
        <f>Data_thang!E1033</f>
        <v/>
      </c>
      <c r="E1033">
        <f>Data_thang!F1033</f>
        <v/>
      </c>
      <c r="F1033">
        <f>Data_thang!G1033</f>
        <v/>
      </c>
      <c r="G1033" s="29">
        <f>Data_thang!J1033-Data_thang!K1033</f>
        <v/>
      </c>
      <c r="H1033" s="29">
        <f>Data_thang!N1033</f>
        <v/>
      </c>
      <c r="I1033" s="29">
        <f>H1033-G1033</f>
        <v/>
      </c>
      <c r="J1033" s="30">
        <f>IF(H1033=0,IF(I1033=0,0,1),I1033/ABS(H1033))</f>
        <v/>
      </c>
      <c r="K1033" s="29">
        <f>H1033-(Data_thang!O1033-Data_thang!K1033)</f>
        <v/>
      </c>
      <c r="L1033">
        <f>IF(AND(ABS(I1033)&gt;Dashboard!$G$6,ABS(J1033)&gt;Dashboard!$H$6),"⚠ Vượt","")</f>
        <v/>
      </c>
      <c r="M1033">
        <f>IF(AND(A1033=Dashboard!$D$6,OR(Dashboard!$C$6="*",F1033=Dashboard!$C$6),L1033&lt;&gt;""),ABS(I1033)+ROW()/1000000000,0)</f>
        <v/>
      </c>
    </row>
    <row r="1034">
      <c r="A1034">
        <f>Data_thang!A1034</f>
        <v/>
      </c>
      <c r="B1034">
        <f>Data_thang!B1034</f>
        <v/>
      </c>
      <c r="C1034">
        <f>Data_thang!D1034</f>
        <v/>
      </c>
      <c r="D1034">
        <f>Data_thang!E1034</f>
        <v/>
      </c>
      <c r="E1034">
        <f>Data_thang!F1034</f>
        <v/>
      </c>
      <c r="F1034">
        <f>Data_thang!G1034</f>
        <v/>
      </c>
      <c r="G1034" s="29">
        <f>Data_thang!J1034-Data_thang!K1034</f>
        <v/>
      </c>
      <c r="H1034" s="29">
        <f>Data_thang!N1034</f>
        <v/>
      </c>
      <c r="I1034" s="29">
        <f>H1034-G1034</f>
        <v/>
      </c>
      <c r="J1034" s="30">
        <f>IF(H1034=0,IF(I1034=0,0,1),I1034/ABS(H1034))</f>
        <v/>
      </c>
      <c r="K1034" s="29">
        <f>H1034-(Data_thang!O1034-Data_thang!K1034)</f>
        <v/>
      </c>
      <c r="L1034">
        <f>IF(AND(ABS(I1034)&gt;Dashboard!$G$6,ABS(J1034)&gt;Dashboard!$H$6),"⚠ Vượt","")</f>
        <v/>
      </c>
      <c r="M1034">
        <f>IF(AND(A1034=Dashboard!$D$6,OR(Dashboard!$C$6="*",F1034=Dashboard!$C$6),L1034&lt;&gt;""),ABS(I1034)+ROW()/1000000000,0)</f>
        <v/>
      </c>
    </row>
    <row r="1035">
      <c r="A1035">
        <f>Data_thang!A1035</f>
        <v/>
      </c>
      <c r="B1035">
        <f>Data_thang!B1035</f>
        <v/>
      </c>
      <c r="C1035">
        <f>Data_thang!D1035</f>
        <v/>
      </c>
      <c r="D1035">
        <f>Data_thang!E1035</f>
        <v/>
      </c>
      <c r="E1035">
        <f>Data_thang!F1035</f>
        <v/>
      </c>
      <c r="F1035">
        <f>Data_thang!G1035</f>
        <v/>
      </c>
      <c r="G1035" s="29">
        <f>Data_thang!J1035-Data_thang!K1035</f>
        <v/>
      </c>
      <c r="H1035" s="29">
        <f>Data_thang!N1035</f>
        <v/>
      </c>
      <c r="I1035" s="29">
        <f>H1035-G1035</f>
        <v/>
      </c>
      <c r="J1035" s="30">
        <f>IF(H1035=0,IF(I1035=0,0,1),I1035/ABS(H1035))</f>
        <v/>
      </c>
      <c r="K1035" s="29">
        <f>H1035-(Data_thang!O1035-Data_thang!K1035)</f>
        <v/>
      </c>
      <c r="L1035">
        <f>IF(AND(ABS(I1035)&gt;Dashboard!$G$6,ABS(J1035)&gt;Dashboard!$H$6),"⚠ Vượt","")</f>
        <v/>
      </c>
      <c r="M1035">
        <f>IF(AND(A1035=Dashboard!$D$6,OR(Dashboard!$C$6="*",F1035=Dashboard!$C$6),L1035&lt;&gt;""),ABS(I1035)+ROW()/1000000000,0)</f>
        <v/>
      </c>
    </row>
    <row r="1036">
      <c r="A1036">
        <f>Data_thang!A1036</f>
        <v/>
      </c>
      <c r="B1036">
        <f>Data_thang!B1036</f>
        <v/>
      </c>
      <c r="C1036">
        <f>Data_thang!D1036</f>
        <v/>
      </c>
      <c r="D1036">
        <f>Data_thang!E1036</f>
        <v/>
      </c>
      <c r="E1036">
        <f>Data_thang!F1036</f>
        <v/>
      </c>
      <c r="F1036">
        <f>Data_thang!G1036</f>
        <v/>
      </c>
      <c r="G1036" s="29">
        <f>Data_thang!J1036-Data_thang!K1036</f>
        <v/>
      </c>
      <c r="H1036" s="29">
        <f>Data_thang!N1036</f>
        <v/>
      </c>
      <c r="I1036" s="29">
        <f>H1036-G1036</f>
        <v/>
      </c>
      <c r="J1036" s="30">
        <f>IF(H1036=0,IF(I1036=0,0,1),I1036/ABS(H1036))</f>
        <v/>
      </c>
      <c r="K1036" s="29">
        <f>H1036-(Data_thang!O1036-Data_thang!K1036)</f>
        <v/>
      </c>
      <c r="L1036">
        <f>IF(AND(ABS(I1036)&gt;Dashboard!$G$6,ABS(J1036)&gt;Dashboard!$H$6),"⚠ Vượt","")</f>
        <v/>
      </c>
      <c r="M1036">
        <f>IF(AND(A1036=Dashboard!$D$6,OR(Dashboard!$C$6="*",F1036=Dashboard!$C$6),L1036&lt;&gt;""),ABS(I1036)+ROW()/1000000000,0)</f>
        <v/>
      </c>
    </row>
    <row r="1037">
      <c r="A1037">
        <f>Data_thang!A1037</f>
        <v/>
      </c>
      <c r="B1037">
        <f>Data_thang!B1037</f>
        <v/>
      </c>
      <c r="C1037">
        <f>Data_thang!D1037</f>
        <v/>
      </c>
      <c r="D1037">
        <f>Data_thang!E1037</f>
        <v/>
      </c>
      <c r="E1037">
        <f>Data_thang!F1037</f>
        <v/>
      </c>
      <c r="F1037">
        <f>Data_thang!G1037</f>
        <v/>
      </c>
      <c r="G1037" s="29">
        <f>Data_thang!J1037-Data_thang!K1037</f>
        <v/>
      </c>
      <c r="H1037" s="29">
        <f>Data_thang!N1037</f>
        <v/>
      </c>
      <c r="I1037" s="29">
        <f>H1037-G1037</f>
        <v/>
      </c>
      <c r="J1037" s="30">
        <f>IF(H1037=0,IF(I1037=0,0,1),I1037/ABS(H1037))</f>
        <v/>
      </c>
      <c r="K1037" s="29">
        <f>H1037-(Data_thang!O1037-Data_thang!K1037)</f>
        <v/>
      </c>
      <c r="L1037">
        <f>IF(AND(ABS(I1037)&gt;Dashboard!$G$6,ABS(J1037)&gt;Dashboard!$H$6),"⚠ Vượt","")</f>
        <v/>
      </c>
      <c r="M1037">
        <f>IF(AND(A1037=Dashboard!$D$6,OR(Dashboard!$C$6="*",F1037=Dashboard!$C$6),L1037&lt;&gt;""),ABS(I1037)+ROW()/1000000000,0)</f>
        <v/>
      </c>
    </row>
    <row r="1038">
      <c r="A1038">
        <f>Data_thang!A1038</f>
        <v/>
      </c>
      <c r="B1038">
        <f>Data_thang!B1038</f>
        <v/>
      </c>
      <c r="C1038">
        <f>Data_thang!D1038</f>
        <v/>
      </c>
      <c r="D1038">
        <f>Data_thang!E1038</f>
        <v/>
      </c>
      <c r="E1038">
        <f>Data_thang!F1038</f>
        <v/>
      </c>
      <c r="F1038">
        <f>Data_thang!G1038</f>
        <v/>
      </c>
      <c r="G1038" s="29">
        <f>Data_thang!J1038-Data_thang!K1038</f>
        <v/>
      </c>
      <c r="H1038" s="29">
        <f>Data_thang!N1038</f>
        <v/>
      </c>
      <c r="I1038" s="29">
        <f>H1038-G1038</f>
        <v/>
      </c>
      <c r="J1038" s="30">
        <f>IF(H1038=0,IF(I1038=0,0,1),I1038/ABS(H1038))</f>
        <v/>
      </c>
      <c r="K1038" s="29">
        <f>H1038-(Data_thang!O1038-Data_thang!K1038)</f>
        <v/>
      </c>
      <c r="L1038">
        <f>IF(AND(ABS(I1038)&gt;Dashboard!$G$6,ABS(J1038)&gt;Dashboard!$H$6),"⚠ Vượt","")</f>
        <v/>
      </c>
      <c r="M1038">
        <f>IF(AND(A1038=Dashboard!$D$6,OR(Dashboard!$C$6="*",F1038=Dashboard!$C$6),L1038&lt;&gt;""),ABS(I1038)+ROW()/1000000000,0)</f>
        <v/>
      </c>
    </row>
    <row r="1039">
      <c r="A1039">
        <f>Data_thang!A1039</f>
        <v/>
      </c>
      <c r="B1039">
        <f>Data_thang!B1039</f>
        <v/>
      </c>
      <c r="C1039">
        <f>Data_thang!D1039</f>
        <v/>
      </c>
      <c r="D1039">
        <f>Data_thang!E1039</f>
        <v/>
      </c>
      <c r="E1039">
        <f>Data_thang!F1039</f>
        <v/>
      </c>
      <c r="F1039">
        <f>Data_thang!G1039</f>
        <v/>
      </c>
      <c r="G1039" s="29">
        <f>Data_thang!J1039-Data_thang!K1039</f>
        <v/>
      </c>
      <c r="H1039" s="29">
        <f>Data_thang!N1039</f>
        <v/>
      </c>
      <c r="I1039" s="29">
        <f>H1039-G1039</f>
        <v/>
      </c>
      <c r="J1039" s="30">
        <f>IF(H1039=0,IF(I1039=0,0,1),I1039/ABS(H1039))</f>
        <v/>
      </c>
      <c r="K1039" s="29">
        <f>H1039-(Data_thang!O1039-Data_thang!K1039)</f>
        <v/>
      </c>
      <c r="L1039">
        <f>IF(AND(ABS(I1039)&gt;Dashboard!$G$6,ABS(J1039)&gt;Dashboard!$H$6),"⚠ Vượt","")</f>
        <v/>
      </c>
      <c r="M1039">
        <f>IF(AND(A1039=Dashboard!$D$6,OR(Dashboard!$C$6="*",F1039=Dashboard!$C$6),L1039&lt;&gt;""),ABS(I1039)+ROW()/1000000000,0)</f>
        <v/>
      </c>
    </row>
    <row r="1040">
      <c r="A1040">
        <f>Data_thang!A1040</f>
        <v/>
      </c>
      <c r="B1040">
        <f>Data_thang!B1040</f>
        <v/>
      </c>
      <c r="C1040">
        <f>Data_thang!D1040</f>
        <v/>
      </c>
      <c r="D1040">
        <f>Data_thang!E1040</f>
        <v/>
      </c>
      <c r="E1040">
        <f>Data_thang!F1040</f>
        <v/>
      </c>
      <c r="F1040">
        <f>Data_thang!G1040</f>
        <v/>
      </c>
      <c r="G1040" s="29">
        <f>Data_thang!J1040-Data_thang!K1040</f>
        <v/>
      </c>
      <c r="H1040" s="29">
        <f>Data_thang!N1040</f>
        <v/>
      </c>
      <c r="I1040" s="29">
        <f>H1040-G1040</f>
        <v/>
      </c>
      <c r="J1040" s="30">
        <f>IF(H1040=0,IF(I1040=0,0,1),I1040/ABS(H1040))</f>
        <v/>
      </c>
      <c r="K1040" s="29">
        <f>H1040-(Data_thang!O1040-Data_thang!K1040)</f>
        <v/>
      </c>
      <c r="L1040">
        <f>IF(AND(ABS(I1040)&gt;Dashboard!$G$6,ABS(J1040)&gt;Dashboard!$H$6),"⚠ Vượt","")</f>
        <v/>
      </c>
      <c r="M1040">
        <f>IF(AND(A1040=Dashboard!$D$6,OR(Dashboard!$C$6="*",F1040=Dashboard!$C$6),L1040&lt;&gt;""),ABS(I1040)+ROW()/1000000000,0)</f>
        <v/>
      </c>
    </row>
    <row r="1041">
      <c r="A1041">
        <f>Data_thang!A1041</f>
        <v/>
      </c>
      <c r="B1041">
        <f>Data_thang!B1041</f>
        <v/>
      </c>
      <c r="C1041">
        <f>Data_thang!D1041</f>
        <v/>
      </c>
      <c r="D1041">
        <f>Data_thang!E1041</f>
        <v/>
      </c>
      <c r="E1041">
        <f>Data_thang!F1041</f>
        <v/>
      </c>
      <c r="F1041">
        <f>Data_thang!G1041</f>
        <v/>
      </c>
      <c r="G1041" s="29">
        <f>Data_thang!J1041-Data_thang!K1041</f>
        <v/>
      </c>
      <c r="H1041" s="29">
        <f>Data_thang!N1041</f>
        <v/>
      </c>
      <c r="I1041" s="29">
        <f>H1041-G1041</f>
        <v/>
      </c>
      <c r="J1041" s="30">
        <f>IF(H1041=0,IF(I1041=0,0,1),I1041/ABS(H1041))</f>
        <v/>
      </c>
      <c r="K1041" s="29">
        <f>H1041-(Data_thang!O1041-Data_thang!K1041)</f>
        <v/>
      </c>
      <c r="L1041">
        <f>IF(AND(ABS(I1041)&gt;Dashboard!$G$6,ABS(J1041)&gt;Dashboard!$H$6),"⚠ Vượt","")</f>
        <v/>
      </c>
      <c r="M1041">
        <f>IF(AND(A1041=Dashboard!$D$6,OR(Dashboard!$C$6="*",F1041=Dashboard!$C$6),L1041&lt;&gt;""),ABS(I1041)+ROW()/1000000000,0)</f>
        <v/>
      </c>
    </row>
    <row r="1042">
      <c r="A1042">
        <f>Data_thang!A1042</f>
        <v/>
      </c>
      <c r="B1042">
        <f>Data_thang!B1042</f>
        <v/>
      </c>
      <c r="C1042">
        <f>Data_thang!D1042</f>
        <v/>
      </c>
      <c r="D1042">
        <f>Data_thang!E1042</f>
        <v/>
      </c>
      <c r="E1042">
        <f>Data_thang!F1042</f>
        <v/>
      </c>
      <c r="F1042">
        <f>Data_thang!G1042</f>
        <v/>
      </c>
      <c r="G1042" s="29">
        <f>Data_thang!J1042-Data_thang!K1042</f>
        <v/>
      </c>
      <c r="H1042" s="29">
        <f>Data_thang!N1042</f>
        <v/>
      </c>
      <c r="I1042" s="29">
        <f>H1042-G1042</f>
        <v/>
      </c>
      <c r="J1042" s="30">
        <f>IF(H1042=0,IF(I1042=0,0,1),I1042/ABS(H1042))</f>
        <v/>
      </c>
      <c r="K1042" s="29">
        <f>H1042-(Data_thang!O1042-Data_thang!K1042)</f>
        <v/>
      </c>
      <c r="L1042">
        <f>IF(AND(ABS(I1042)&gt;Dashboard!$G$6,ABS(J1042)&gt;Dashboard!$H$6),"⚠ Vượt","")</f>
        <v/>
      </c>
      <c r="M1042">
        <f>IF(AND(A1042=Dashboard!$D$6,OR(Dashboard!$C$6="*",F1042=Dashboard!$C$6),L1042&lt;&gt;""),ABS(I1042)+ROW()/1000000000,0)</f>
        <v/>
      </c>
    </row>
    <row r="1043">
      <c r="A1043">
        <f>Data_thang!A1043</f>
        <v/>
      </c>
      <c r="B1043">
        <f>Data_thang!B1043</f>
        <v/>
      </c>
      <c r="C1043">
        <f>Data_thang!D1043</f>
        <v/>
      </c>
      <c r="D1043">
        <f>Data_thang!E1043</f>
        <v/>
      </c>
      <c r="E1043">
        <f>Data_thang!F1043</f>
        <v/>
      </c>
      <c r="F1043">
        <f>Data_thang!G1043</f>
        <v/>
      </c>
      <c r="G1043" s="29">
        <f>Data_thang!J1043-Data_thang!K1043</f>
        <v/>
      </c>
      <c r="H1043" s="29">
        <f>Data_thang!N1043</f>
        <v/>
      </c>
      <c r="I1043" s="29">
        <f>H1043-G1043</f>
        <v/>
      </c>
      <c r="J1043" s="30">
        <f>IF(H1043=0,IF(I1043=0,0,1),I1043/ABS(H1043))</f>
        <v/>
      </c>
      <c r="K1043" s="29">
        <f>H1043-(Data_thang!O1043-Data_thang!K1043)</f>
        <v/>
      </c>
      <c r="L1043">
        <f>IF(AND(ABS(I1043)&gt;Dashboard!$G$6,ABS(J1043)&gt;Dashboard!$H$6),"⚠ Vượt","")</f>
        <v/>
      </c>
      <c r="M1043">
        <f>IF(AND(A1043=Dashboard!$D$6,OR(Dashboard!$C$6="*",F1043=Dashboard!$C$6),L1043&lt;&gt;""),ABS(I1043)+ROW()/1000000000,0)</f>
        <v/>
      </c>
    </row>
    <row r="1044">
      <c r="A1044">
        <f>Data_thang!A1044</f>
        <v/>
      </c>
      <c r="B1044">
        <f>Data_thang!B1044</f>
        <v/>
      </c>
      <c r="C1044">
        <f>Data_thang!D1044</f>
        <v/>
      </c>
      <c r="D1044">
        <f>Data_thang!E1044</f>
        <v/>
      </c>
      <c r="E1044">
        <f>Data_thang!F1044</f>
        <v/>
      </c>
      <c r="F1044">
        <f>Data_thang!G1044</f>
        <v/>
      </c>
      <c r="G1044" s="29">
        <f>Data_thang!J1044-Data_thang!K1044</f>
        <v/>
      </c>
      <c r="H1044" s="29">
        <f>Data_thang!N1044</f>
        <v/>
      </c>
      <c r="I1044" s="29">
        <f>H1044-G1044</f>
        <v/>
      </c>
      <c r="J1044" s="30">
        <f>IF(H1044=0,IF(I1044=0,0,1),I1044/ABS(H1044))</f>
        <v/>
      </c>
      <c r="K1044" s="29">
        <f>H1044-(Data_thang!O1044-Data_thang!K1044)</f>
        <v/>
      </c>
      <c r="L1044">
        <f>IF(AND(ABS(I1044)&gt;Dashboard!$G$6,ABS(J1044)&gt;Dashboard!$H$6),"⚠ Vượt","")</f>
        <v/>
      </c>
      <c r="M1044">
        <f>IF(AND(A1044=Dashboard!$D$6,OR(Dashboard!$C$6="*",F1044=Dashboard!$C$6),L1044&lt;&gt;""),ABS(I1044)+ROW()/1000000000,0)</f>
        <v/>
      </c>
    </row>
    <row r="1045">
      <c r="A1045">
        <f>Data_thang!A1045</f>
        <v/>
      </c>
      <c r="B1045">
        <f>Data_thang!B1045</f>
        <v/>
      </c>
      <c r="C1045">
        <f>Data_thang!D1045</f>
        <v/>
      </c>
      <c r="D1045">
        <f>Data_thang!E1045</f>
        <v/>
      </c>
      <c r="E1045">
        <f>Data_thang!F1045</f>
        <v/>
      </c>
      <c r="F1045">
        <f>Data_thang!G1045</f>
        <v/>
      </c>
      <c r="G1045" s="29">
        <f>Data_thang!J1045-Data_thang!K1045</f>
        <v/>
      </c>
      <c r="H1045" s="29">
        <f>Data_thang!N1045</f>
        <v/>
      </c>
      <c r="I1045" s="29">
        <f>H1045-G1045</f>
        <v/>
      </c>
      <c r="J1045" s="30">
        <f>IF(H1045=0,IF(I1045=0,0,1),I1045/ABS(H1045))</f>
        <v/>
      </c>
      <c r="K1045" s="29">
        <f>H1045-(Data_thang!O1045-Data_thang!K1045)</f>
        <v/>
      </c>
      <c r="L1045">
        <f>IF(AND(ABS(I1045)&gt;Dashboard!$G$6,ABS(J1045)&gt;Dashboard!$H$6),"⚠ Vượt","")</f>
        <v/>
      </c>
      <c r="M1045">
        <f>IF(AND(A1045=Dashboard!$D$6,OR(Dashboard!$C$6="*",F1045=Dashboard!$C$6),L1045&lt;&gt;""),ABS(I1045)+ROW()/1000000000,0)</f>
        <v/>
      </c>
    </row>
    <row r="1046">
      <c r="A1046">
        <f>Data_thang!A1046</f>
        <v/>
      </c>
      <c r="B1046">
        <f>Data_thang!B1046</f>
        <v/>
      </c>
      <c r="C1046">
        <f>Data_thang!D1046</f>
        <v/>
      </c>
      <c r="D1046">
        <f>Data_thang!E1046</f>
        <v/>
      </c>
      <c r="E1046">
        <f>Data_thang!F1046</f>
        <v/>
      </c>
      <c r="F1046">
        <f>Data_thang!G1046</f>
        <v/>
      </c>
      <c r="G1046" s="29">
        <f>Data_thang!J1046-Data_thang!K1046</f>
        <v/>
      </c>
      <c r="H1046" s="29">
        <f>Data_thang!N1046</f>
        <v/>
      </c>
      <c r="I1046" s="29">
        <f>H1046-G1046</f>
        <v/>
      </c>
      <c r="J1046" s="30">
        <f>IF(H1046=0,IF(I1046=0,0,1),I1046/ABS(H1046))</f>
        <v/>
      </c>
      <c r="K1046" s="29">
        <f>H1046-(Data_thang!O1046-Data_thang!K1046)</f>
        <v/>
      </c>
      <c r="L1046">
        <f>IF(AND(ABS(I1046)&gt;Dashboard!$G$6,ABS(J1046)&gt;Dashboard!$H$6),"⚠ Vượt","")</f>
        <v/>
      </c>
      <c r="M1046">
        <f>IF(AND(A1046=Dashboard!$D$6,OR(Dashboard!$C$6="*",F1046=Dashboard!$C$6),L1046&lt;&gt;""),ABS(I1046)+ROW()/1000000000,0)</f>
        <v/>
      </c>
    </row>
    <row r="1047">
      <c r="A1047">
        <f>Data_thang!A1047</f>
        <v/>
      </c>
      <c r="B1047">
        <f>Data_thang!B1047</f>
        <v/>
      </c>
      <c r="C1047">
        <f>Data_thang!D1047</f>
        <v/>
      </c>
      <c r="D1047">
        <f>Data_thang!E1047</f>
        <v/>
      </c>
      <c r="E1047">
        <f>Data_thang!F1047</f>
        <v/>
      </c>
      <c r="F1047">
        <f>Data_thang!G1047</f>
        <v/>
      </c>
      <c r="G1047" s="29">
        <f>Data_thang!J1047-Data_thang!K1047</f>
        <v/>
      </c>
      <c r="H1047" s="29">
        <f>Data_thang!N1047</f>
        <v/>
      </c>
      <c r="I1047" s="29">
        <f>H1047-G1047</f>
        <v/>
      </c>
      <c r="J1047" s="30">
        <f>IF(H1047=0,IF(I1047=0,0,1),I1047/ABS(H1047))</f>
        <v/>
      </c>
      <c r="K1047" s="29">
        <f>H1047-(Data_thang!O1047-Data_thang!K1047)</f>
        <v/>
      </c>
      <c r="L1047">
        <f>IF(AND(ABS(I1047)&gt;Dashboard!$G$6,ABS(J1047)&gt;Dashboard!$H$6),"⚠ Vượt","")</f>
        <v/>
      </c>
      <c r="M1047">
        <f>IF(AND(A1047=Dashboard!$D$6,OR(Dashboard!$C$6="*",F1047=Dashboard!$C$6),L1047&lt;&gt;""),ABS(I1047)+ROW()/1000000000,0)</f>
        <v/>
      </c>
    </row>
    <row r="1048">
      <c r="A1048">
        <f>Data_thang!A1048</f>
        <v/>
      </c>
      <c r="B1048">
        <f>Data_thang!B1048</f>
        <v/>
      </c>
      <c r="C1048">
        <f>Data_thang!D1048</f>
        <v/>
      </c>
      <c r="D1048">
        <f>Data_thang!E1048</f>
        <v/>
      </c>
      <c r="E1048">
        <f>Data_thang!F1048</f>
        <v/>
      </c>
      <c r="F1048">
        <f>Data_thang!G1048</f>
        <v/>
      </c>
      <c r="G1048" s="29">
        <f>Data_thang!J1048-Data_thang!K1048</f>
        <v/>
      </c>
      <c r="H1048" s="29">
        <f>Data_thang!N1048</f>
        <v/>
      </c>
      <c r="I1048" s="29">
        <f>H1048-G1048</f>
        <v/>
      </c>
      <c r="J1048" s="30">
        <f>IF(H1048=0,IF(I1048=0,0,1),I1048/ABS(H1048))</f>
        <v/>
      </c>
      <c r="K1048" s="29">
        <f>H1048-(Data_thang!O1048-Data_thang!K1048)</f>
        <v/>
      </c>
      <c r="L1048">
        <f>IF(AND(ABS(I1048)&gt;Dashboard!$G$6,ABS(J1048)&gt;Dashboard!$H$6),"⚠ Vượt","")</f>
        <v/>
      </c>
      <c r="M1048">
        <f>IF(AND(A1048=Dashboard!$D$6,OR(Dashboard!$C$6="*",F1048=Dashboard!$C$6),L1048&lt;&gt;""),ABS(I1048)+ROW()/1000000000,0)</f>
        <v/>
      </c>
    </row>
    <row r="1049">
      <c r="A1049">
        <f>Data_thang!A1049</f>
        <v/>
      </c>
      <c r="B1049">
        <f>Data_thang!B1049</f>
        <v/>
      </c>
      <c r="C1049">
        <f>Data_thang!D1049</f>
        <v/>
      </c>
      <c r="D1049">
        <f>Data_thang!E1049</f>
        <v/>
      </c>
      <c r="E1049">
        <f>Data_thang!F1049</f>
        <v/>
      </c>
      <c r="F1049">
        <f>Data_thang!G1049</f>
        <v/>
      </c>
      <c r="G1049" s="29">
        <f>Data_thang!J1049-Data_thang!K1049</f>
        <v/>
      </c>
      <c r="H1049" s="29">
        <f>Data_thang!N1049</f>
        <v/>
      </c>
      <c r="I1049" s="29">
        <f>H1049-G1049</f>
        <v/>
      </c>
      <c r="J1049" s="30">
        <f>IF(H1049=0,IF(I1049=0,0,1),I1049/ABS(H1049))</f>
        <v/>
      </c>
      <c r="K1049" s="29">
        <f>H1049-(Data_thang!O1049-Data_thang!K1049)</f>
        <v/>
      </c>
      <c r="L1049">
        <f>IF(AND(ABS(I1049)&gt;Dashboard!$G$6,ABS(J1049)&gt;Dashboard!$H$6),"⚠ Vượt","")</f>
        <v/>
      </c>
      <c r="M1049">
        <f>IF(AND(A1049=Dashboard!$D$6,OR(Dashboard!$C$6="*",F1049=Dashboard!$C$6),L1049&lt;&gt;""),ABS(I1049)+ROW()/1000000000,0)</f>
        <v/>
      </c>
    </row>
    <row r="1050">
      <c r="A1050">
        <f>Data_thang!A1050</f>
        <v/>
      </c>
      <c r="B1050">
        <f>Data_thang!B1050</f>
        <v/>
      </c>
      <c r="C1050">
        <f>Data_thang!D1050</f>
        <v/>
      </c>
      <c r="D1050">
        <f>Data_thang!E1050</f>
        <v/>
      </c>
      <c r="E1050">
        <f>Data_thang!F1050</f>
        <v/>
      </c>
      <c r="F1050">
        <f>Data_thang!G1050</f>
        <v/>
      </c>
      <c r="G1050" s="29">
        <f>Data_thang!J1050-Data_thang!K1050</f>
        <v/>
      </c>
      <c r="H1050" s="29">
        <f>Data_thang!N1050</f>
        <v/>
      </c>
      <c r="I1050" s="29">
        <f>H1050-G1050</f>
        <v/>
      </c>
      <c r="J1050" s="30">
        <f>IF(H1050=0,IF(I1050=0,0,1),I1050/ABS(H1050))</f>
        <v/>
      </c>
      <c r="K1050" s="29">
        <f>H1050-(Data_thang!O1050-Data_thang!K1050)</f>
        <v/>
      </c>
      <c r="L1050">
        <f>IF(AND(ABS(I1050)&gt;Dashboard!$G$6,ABS(J1050)&gt;Dashboard!$H$6),"⚠ Vượt","")</f>
        <v/>
      </c>
      <c r="M1050">
        <f>IF(AND(A1050=Dashboard!$D$6,OR(Dashboard!$C$6="*",F1050=Dashboard!$C$6),L1050&lt;&gt;""),ABS(I1050)+ROW()/1000000000,0)</f>
        <v/>
      </c>
    </row>
    <row r="1051">
      <c r="A1051">
        <f>Data_thang!A1051</f>
        <v/>
      </c>
      <c r="B1051">
        <f>Data_thang!B1051</f>
        <v/>
      </c>
      <c r="C1051">
        <f>Data_thang!D1051</f>
        <v/>
      </c>
      <c r="D1051">
        <f>Data_thang!E1051</f>
        <v/>
      </c>
      <c r="E1051">
        <f>Data_thang!F1051</f>
        <v/>
      </c>
      <c r="F1051">
        <f>Data_thang!G1051</f>
        <v/>
      </c>
      <c r="G1051" s="29">
        <f>Data_thang!J1051-Data_thang!K1051</f>
        <v/>
      </c>
      <c r="H1051" s="29">
        <f>Data_thang!N1051</f>
        <v/>
      </c>
      <c r="I1051" s="29">
        <f>H1051-G1051</f>
        <v/>
      </c>
      <c r="J1051" s="30">
        <f>IF(H1051=0,IF(I1051=0,0,1),I1051/ABS(H1051))</f>
        <v/>
      </c>
      <c r="K1051" s="29">
        <f>H1051-(Data_thang!O1051-Data_thang!K1051)</f>
        <v/>
      </c>
      <c r="L1051">
        <f>IF(AND(ABS(I1051)&gt;Dashboard!$G$6,ABS(J1051)&gt;Dashboard!$H$6),"⚠ Vượt","")</f>
        <v/>
      </c>
      <c r="M1051">
        <f>IF(AND(A1051=Dashboard!$D$6,OR(Dashboard!$C$6="*",F1051=Dashboard!$C$6),L1051&lt;&gt;""),ABS(I1051)+ROW()/1000000000,0)</f>
        <v/>
      </c>
    </row>
    <row r="1052">
      <c r="A1052">
        <f>Data_thang!A1052</f>
        <v/>
      </c>
      <c r="B1052">
        <f>Data_thang!B1052</f>
        <v/>
      </c>
      <c r="C1052">
        <f>Data_thang!D1052</f>
        <v/>
      </c>
      <c r="D1052">
        <f>Data_thang!E1052</f>
        <v/>
      </c>
      <c r="E1052">
        <f>Data_thang!F1052</f>
        <v/>
      </c>
      <c r="F1052">
        <f>Data_thang!G1052</f>
        <v/>
      </c>
      <c r="G1052" s="29">
        <f>Data_thang!J1052-Data_thang!K1052</f>
        <v/>
      </c>
      <c r="H1052" s="29">
        <f>Data_thang!N1052</f>
        <v/>
      </c>
      <c r="I1052" s="29">
        <f>H1052-G1052</f>
        <v/>
      </c>
      <c r="J1052" s="30">
        <f>IF(H1052=0,IF(I1052=0,0,1),I1052/ABS(H1052))</f>
        <v/>
      </c>
      <c r="K1052" s="29">
        <f>H1052-(Data_thang!O1052-Data_thang!K1052)</f>
        <v/>
      </c>
      <c r="L1052">
        <f>IF(AND(ABS(I1052)&gt;Dashboard!$G$6,ABS(J1052)&gt;Dashboard!$H$6),"⚠ Vượt","")</f>
        <v/>
      </c>
      <c r="M1052">
        <f>IF(AND(A1052=Dashboard!$D$6,OR(Dashboard!$C$6="*",F1052=Dashboard!$C$6),L1052&lt;&gt;""),ABS(I1052)+ROW()/1000000000,0)</f>
        <v/>
      </c>
    </row>
    <row r="1053">
      <c r="A1053">
        <f>Data_thang!A1053</f>
        <v/>
      </c>
      <c r="B1053">
        <f>Data_thang!B1053</f>
        <v/>
      </c>
      <c r="C1053">
        <f>Data_thang!D1053</f>
        <v/>
      </c>
      <c r="D1053">
        <f>Data_thang!E1053</f>
        <v/>
      </c>
      <c r="E1053">
        <f>Data_thang!F1053</f>
        <v/>
      </c>
      <c r="F1053">
        <f>Data_thang!G1053</f>
        <v/>
      </c>
      <c r="G1053" s="29">
        <f>Data_thang!J1053-Data_thang!K1053</f>
        <v/>
      </c>
      <c r="H1053" s="29">
        <f>Data_thang!N1053</f>
        <v/>
      </c>
      <c r="I1053" s="29">
        <f>H1053-G1053</f>
        <v/>
      </c>
      <c r="J1053" s="30">
        <f>IF(H1053=0,IF(I1053=0,0,1),I1053/ABS(H1053))</f>
        <v/>
      </c>
      <c r="K1053" s="29">
        <f>H1053-(Data_thang!O1053-Data_thang!K1053)</f>
        <v/>
      </c>
      <c r="L1053">
        <f>IF(AND(ABS(I1053)&gt;Dashboard!$G$6,ABS(J1053)&gt;Dashboard!$H$6),"⚠ Vượt","")</f>
        <v/>
      </c>
      <c r="M1053">
        <f>IF(AND(A1053=Dashboard!$D$6,OR(Dashboard!$C$6="*",F1053=Dashboard!$C$6),L1053&lt;&gt;""),ABS(I1053)+ROW()/1000000000,0)</f>
        <v/>
      </c>
    </row>
    <row r="1054">
      <c r="A1054">
        <f>Data_thang!A1054</f>
        <v/>
      </c>
      <c r="B1054">
        <f>Data_thang!B1054</f>
        <v/>
      </c>
      <c r="C1054">
        <f>Data_thang!D1054</f>
        <v/>
      </c>
      <c r="D1054">
        <f>Data_thang!E1054</f>
        <v/>
      </c>
      <c r="E1054">
        <f>Data_thang!F1054</f>
        <v/>
      </c>
      <c r="F1054">
        <f>Data_thang!G1054</f>
        <v/>
      </c>
      <c r="G1054" s="29">
        <f>Data_thang!J1054-Data_thang!K1054</f>
        <v/>
      </c>
      <c r="H1054" s="29">
        <f>Data_thang!N1054</f>
        <v/>
      </c>
      <c r="I1054" s="29">
        <f>H1054-G1054</f>
        <v/>
      </c>
      <c r="J1054" s="30">
        <f>IF(H1054=0,IF(I1054=0,0,1),I1054/ABS(H1054))</f>
        <v/>
      </c>
      <c r="K1054" s="29">
        <f>H1054-(Data_thang!O1054-Data_thang!K1054)</f>
        <v/>
      </c>
      <c r="L1054">
        <f>IF(AND(ABS(I1054)&gt;Dashboard!$G$6,ABS(J1054)&gt;Dashboard!$H$6),"⚠ Vượt","")</f>
        <v/>
      </c>
      <c r="M1054">
        <f>IF(AND(A1054=Dashboard!$D$6,OR(Dashboard!$C$6="*",F1054=Dashboard!$C$6),L1054&lt;&gt;""),ABS(I1054)+ROW()/1000000000,0)</f>
        <v/>
      </c>
    </row>
    <row r="1055">
      <c r="A1055">
        <f>Data_thang!A1055</f>
        <v/>
      </c>
      <c r="B1055">
        <f>Data_thang!B1055</f>
        <v/>
      </c>
      <c r="C1055">
        <f>Data_thang!D1055</f>
        <v/>
      </c>
      <c r="D1055">
        <f>Data_thang!E1055</f>
        <v/>
      </c>
      <c r="E1055">
        <f>Data_thang!F1055</f>
        <v/>
      </c>
      <c r="F1055">
        <f>Data_thang!G1055</f>
        <v/>
      </c>
      <c r="G1055" s="29">
        <f>Data_thang!J1055-Data_thang!K1055</f>
        <v/>
      </c>
      <c r="H1055" s="29">
        <f>Data_thang!N1055</f>
        <v/>
      </c>
      <c r="I1055" s="29">
        <f>H1055-G1055</f>
        <v/>
      </c>
      <c r="J1055" s="30">
        <f>IF(H1055=0,IF(I1055=0,0,1),I1055/ABS(H1055))</f>
        <v/>
      </c>
      <c r="K1055" s="29">
        <f>H1055-(Data_thang!O1055-Data_thang!K1055)</f>
        <v/>
      </c>
      <c r="L1055">
        <f>IF(AND(ABS(I1055)&gt;Dashboard!$G$6,ABS(J1055)&gt;Dashboard!$H$6),"⚠ Vượt","")</f>
        <v/>
      </c>
      <c r="M1055">
        <f>IF(AND(A1055=Dashboard!$D$6,OR(Dashboard!$C$6="*",F1055=Dashboard!$C$6),L1055&lt;&gt;""),ABS(I1055)+ROW()/1000000000,0)</f>
        <v/>
      </c>
    </row>
    <row r="1056">
      <c r="A1056">
        <f>Data_thang!A1056</f>
        <v/>
      </c>
      <c r="B1056">
        <f>Data_thang!B1056</f>
        <v/>
      </c>
      <c r="C1056">
        <f>Data_thang!D1056</f>
        <v/>
      </c>
      <c r="D1056">
        <f>Data_thang!E1056</f>
        <v/>
      </c>
      <c r="E1056">
        <f>Data_thang!F1056</f>
        <v/>
      </c>
      <c r="F1056">
        <f>Data_thang!G1056</f>
        <v/>
      </c>
      <c r="G1056" s="29">
        <f>Data_thang!J1056-Data_thang!K1056</f>
        <v/>
      </c>
      <c r="H1056" s="29">
        <f>Data_thang!N1056</f>
        <v/>
      </c>
      <c r="I1056" s="29">
        <f>H1056-G1056</f>
        <v/>
      </c>
      <c r="J1056" s="30">
        <f>IF(H1056=0,IF(I1056=0,0,1),I1056/ABS(H1056))</f>
        <v/>
      </c>
      <c r="K1056" s="29">
        <f>H1056-(Data_thang!O1056-Data_thang!K1056)</f>
        <v/>
      </c>
      <c r="L1056">
        <f>IF(AND(ABS(I1056)&gt;Dashboard!$G$6,ABS(J1056)&gt;Dashboard!$H$6),"⚠ Vượt","")</f>
        <v/>
      </c>
      <c r="M1056">
        <f>IF(AND(A1056=Dashboard!$D$6,OR(Dashboard!$C$6="*",F1056=Dashboard!$C$6),L1056&lt;&gt;""),ABS(I1056)+ROW()/1000000000,0)</f>
        <v/>
      </c>
    </row>
    <row r="1057">
      <c r="A1057">
        <f>Data_thang!A1057</f>
        <v/>
      </c>
      <c r="B1057">
        <f>Data_thang!B1057</f>
        <v/>
      </c>
      <c r="C1057">
        <f>Data_thang!D1057</f>
        <v/>
      </c>
      <c r="D1057">
        <f>Data_thang!E1057</f>
        <v/>
      </c>
      <c r="E1057">
        <f>Data_thang!F1057</f>
        <v/>
      </c>
      <c r="F1057">
        <f>Data_thang!G1057</f>
        <v/>
      </c>
      <c r="G1057" s="29">
        <f>Data_thang!J1057-Data_thang!K1057</f>
        <v/>
      </c>
      <c r="H1057" s="29">
        <f>Data_thang!N1057</f>
        <v/>
      </c>
      <c r="I1057" s="29">
        <f>H1057-G1057</f>
        <v/>
      </c>
      <c r="J1057" s="30">
        <f>IF(H1057=0,IF(I1057=0,0,1),I1057/ABS(H1057))</f>
        <v/>
      </c>
      <c r="K1057" s="29">
        <f>H1057-(Data_thang!O1057-Data_thang!K1057)</f>
        <v/>
      </c>
      <c r="L1057">
        <f>IF(AND(ABS(I1057)&gt;Dashboard!$G$6,ABS(J1057)&gt;Dashboard!$H$6),"⚠ Vượt","")</f>
        <v/>
      </c>
      <c r="M1057">
        <f>IF(AND(A1057=Dashboard!$D$6,OR(Dashboard!$C$6="*",F1057=Dashboard!$C$6),L1057&lt;&gt;""),ABS(I1057)+ROW()/1000000000,0)</f>
        <v/>
      </c>
    </row>
    <row r="1058">
      <c r="A1058">
        <f>Data_thang!A1058</f>
        <v/>
      </c>
      <c r="B1058">
        <f>Data_thang!B1058</f>
        <v/>
      </c>
      <c r="C1058">
        <f>Data_thang!D1058</f>
        <v/>
      </c>
      <c r="D1058">
        <f>Data_thang!E1058</f>
        <v/>
      </c>
      <c r="E1058">
        <f>Data_thang!F1058</f>
        <v/>
      </c>
      <c r="F1058">
        <f>Data_thang!G1058</f>
        <v/>
      </c>
      <c r="G1058" s="29">
        <f>Data_thang!J1058-Data_thang!K1058</f>
        <v/>
      </c>
      <c r="H1058" s="29">
        <f>Data_thang!N1058</f>
        <v/>
      </c>
      <c r="I1058" s="29">
        <f>H1058-G1058</f>
        <v/>
      </c>
      <c r="J1058" s="30">
        <f>IF(H1058=0,IF(I1058=0,0,1),I1058/ABS(H1058))</f>
        <v/>
      </c>
      <c r="K1058" s="29">
        <f>H1058-(Data_thang!O1058-Data_thang!K1058)</f>
        <v/>
      </c>
      <c r="L1058">
        <f>IF(AND(ABS(I1058)&gt;Dashboard!$G$6,ABS(J1058)&gt;Dashboard!$H$6),"⚠ Vượt","")</f>
        <v/>
      </c>
      <c r="M1058">
        <f>IF(AND(A1058=Dashboard!$D$6,OR(Dashboard!$C$6="*",F1058=Dashboard!$C$6),L1058&lt;&gt;""),ABS(I1058)+ROW()/1000000000,0)</f>
        <v/>
      </c>
    </row>
    <row r="1059">
      <c r="A1059">
        <f>Data_thang!A1059</f>
        <v/>
      </c>
      <c r="B1059">
        <f>Data_thang!B1059</f>
        <v/>
      </c>
      <c r="C1059">
        <f>Data_thang!D1059</f>
        <v/>
      </c>
      <c r="D1059">
        <f>Data_thang!E1059</f>
        <v/>
      </c>
      <c r="E1059">
        <f>Data_thang!F1059</f>
        <v/>
      </c>
      <c r="F1059">
        <f>Data_thang!G1059</f>
        <v/>
      </c>
      <c r="G1059" s="29">
        <f>Data_thang!J1059-Data_thang!K1059</f>
        <v/>
      </c>
      <c r="H1059" s="29">
        <f>Data_thang!N1059</f>
        <v/>
      </c>
      <c r="I1059" s="29">
        <f>H1059-G1059</f>
        <v/>
      </c>
      <c r="J1059" s="30">
        <f>IF(H1059=0,IF(I1059=0,0,1),I1059/ABS(H1059))</f>
        <v/>
      </c>
      <c r="K1059" s="29">
        <f>H1059-(Data_thang!O1059-Data_thang!K1059)</f>
        <v/>
      </c>
      <c r="L1059">
        <f>IF(AND(ABS(I1059)&gt;Dashboard!$G$6,ABS(J1059)&gt;Dashboard!$H$6),"⚠ Vượt","")</f>
        <v/>
      </c>
      <c r="M1059">
        <f>IF(AND(A1059=Dashboard!$D$6,OR(Dashboard!$C$6="*",F1059=Dashboard!$C$6),L1059&lt;&gt;""),ABS(I1059)+ROW()/1000000000,0)</f>
        <v/>
      </c>
    </row>
    <row r="1060">
      <c r="A1060">
        <f>Data_thang!A1060</f>
        <v/>
      </c>
      <c r="B1060">
        <f>Data_thang!B1060</f>
        <v/>
      </c>
      <c r="C1060">
        <f>Data_thang!D1060</f>
        <v/>
      </c>
      <c r="D1060">
        <f>Data_thang!E1060</f>
        <v/>
      </c>
      <c r="E1060">
        <f>Data_thang!F1060</f>
        <v/>
      </c>
      <c r="F1060">
        <f>Data_thang!G1060</f>
        <v/>
      </c>
      <c r="G1060" s="29">
        <f>Data_thang!J1060-Data_thang!K1060</f>
        <v/>
      </c>
      <c r="H1060" s="29">
        <f>Data_thang!N1060</f>
        <v/>
      </c>
      <c r="I1060" s="29">
        <f>H1060-G1060</f>
        <v/>
      </c>
      <c r="J1060" s="30">
        <f>IF(H1060=0,IF(I1060=0,0,1),I1060/ABS(H1060))</f>
        <v/>
      </c>
      <c r="K1060" s="29">
        <f>H1060-(Data_thang!O1060-Data_thang!K1060)</f>
        <v/>
      </c>
      <c r="L1060">
        <f>IF(AND(ABS(I1060)&gt;Dashboard!$G$6,ABS(J1060)&gt;Dashboard!$H$6),"⚠ Vượt","")</f>
        <v/>
      </c>
      <c r="M1060">
        <f>IF(AND(A1060=Dashboard!$D$6,OR(Dashboard!$C$6="*",F1060=Dashboard!$C$6),L1060&lt;&gt;""),ABS(I1060)+ROW()/1000000000,0)</f>
        <v/>
      </c>
    </row>
    <row r="1061">
      <c r="A1061">
        <f>Data_thang!A1061</f>
        <v/>
      </c>
      <c r="B1061">
        <f>Data_thang!B1061</f>
        <v/>
      </c>
      <c r="C1061">
        <f>Data_thang!D1061</f>
        <v/>
      </c>
      <c r="D1061">
        <f>Data_thang!E1061</f>
        <v/>
      </c>
      <c r="E1061">
        <f>Data_thang!F1061</f>
        <v/>
      </c>
      <c r="F1061">
        <f>Data_thang!G1061</f>
        <v/>
      </c>
      <c r="G1061" s="29">
        <f>Data_thang!J1061-Data_thang!K1061</f>
        <v/>
      </c>
      <c r="H1061" s="29">
        <f>Data_thang!N1061</f>
        <v/>
      </c>
      <c r="I1061" s="29">
        <f>H1061-G1061</f>
        <v/>
      </c>
      <c r="J1061" s="30">
        <f>IF(H1061=0,IF(I1061=0,0,1),I1061/ABS(H1061))</f>
        <v/>
      </c>
      <c r="K1061" s="29">
        <f>H1061-(Data_thang!O1061-Data_thang!K1061)</f>
        <v/>
      </c>
      <c r="L1061">
        <f>IF(AND(ABS(I1061)&gt;Dashboard!$G$6,ABS(J1061)&gt;Dashboard!$H$6),"⚠ Vượt","")</f>
        <v/>
      </c>
      <c r="M1061">
        <f>IF(AND(A1061=Dashboard!$D$6,OR(Dashboard!$C$6="*",F1061=Dashboard!$C$6),L1061&lt;&gt;""),ABS(I1061)+ROW()/1000000000,0)</f>
        <v/>
      </c>
    </row>
    <row r="1062">
      <c r="A1062">
        <f>Data_thang!A1062</f>
        <v/>
      </c>
      <c r="B1062">
        <f>Data_thang!B1062</f>
        <v/>
      </c>
      <c r="C1062">
        <f>Data_thang!D1062</f>
        <v/>
      </c>
      <c r="D1062">
        <f>Data_thang!E1062</f>
        <v/>
      </c>
      <c r="E1062">
        <f>Data_thang!F1062</f>
        <v/>
      </c>
      <c r="F1062">
        <f>Data_thang!G1062</f>
        <v/>
      </c>
      <c r="G1062" s="29">
        <f>Data_thang!J1062-Data_thang!K1062</f>
        <v/>
      </c>
      <c r="H1062" s="29">
        <f>Data_thang!N1062</f>
        <v/>
      </c>
      <c r="I1062" s="29">
        <f>H1062-G1062</f>
        <v/>
      </c>
      <c r="J1062" s="30">
        <f>IF(H1062=0,IF(I1062=0,0,1),I1062/ABS(H1062))</f>
        <v/>
      </c>
      <c r="K1062" s="29">
        <f>H1062-(Data_thang!O1062-Data_thang!K1062)</f>
        <v/>
      </c>
      <c r="L1062">
        <f>IF(AND(ABS(I1062)&gt;Dashboard!$G$6,ABS(J1062)&gt;Dashboard!$H$6),"⚠ Vượt","")</f>
        <v/>
      </c>
      <c r="M1062">
        <f>IF(AND(A1062=Dashboard!$D$6,OR(Dashboard!$C$6="*",F1062=Dashboard!$C$6),L1062&lt;&gt;""),ABS(I1062)+ROW()/1000000000,0)</f>
        <v/>
      </c>
    </row>
    <row r="1063">
      <c r="A1063">
        <f>Data_thang!A1063</f>
        <v/>
      </c>
      <c r="B1063">
        <f>Data_thang!B1063</f>
        <v/>
      </c>
      <c r="C1063">
        <f>Data_thang!D1063</f>
        <v/>
      </c>
      <c r="D1063">
        <f>Data_thang!E1063</f>
        <v/>
      </c>
      <c r="E1063">
        <f>Data_thang!F1063</f>
        <v/>
      </c>
      <c r="F1063">
        <f>Data_thang!G1063</f>
        <v/>
      </c>
      <c r="G1063" s="29">
        <f>Data_thang!J1063-Data_thang!K1063</f>
        <v/>
      </c>
      <c r="H1063" s="29">
        <f>Data_thang!N1063</f>
        <v/>
      </c>
      <c r="I1063" s="29">
        <f>H1063-G1063</f>
        <v/>
      </c>
      <c r="J1063" s="30">
        <f>IF(H1063=0,IF(I1063=0,0,1),I1063/ABS(H1063))</f>
        <v/>
      </c>
      <c r="K1063" s="29">
        <f>H1063-(Data_thang!O1063-Data_thang!K1063)</f>
        <v/>
      </c>
      <c r="L1063">
        <f>IF(AND(ABS(I1063)&gt;Dashboard!$G$6,ABS(J1063)&gt;Dashboard!$H$6),"⚠ Vượt","")</f>
        <v/>
      </c>
      <c r="M1063">
        <f>IF(AND(A1063=Dashboard!$D$6,OR(Dashboard!$C$6="*",F1063=Dashboard!$C$6),L1063&lt;&gt;""),ABS(I1063)+ROW()/1000000000,0)</f>
        <v/>
      </c>
    </row>
    <row r="1064">
      <c r="A1064">
        <f>Data_thang!A1064</f>
        <v/>
      </c>
      <c r="B1064">
        <f>Data_thang!B1064</f>
        <v/>
      </c>
      <c r="C1064">
        <f>Data_thang!D1064</f>
        <v/>
      </c>
      <c r="D1064">
        <f>Data_thang!E1064</f>
        <v/>
      </c>
      <c r="E1064">
        <f>Data_thang!F1064</f>
        <v/>
      </c>
      <c r="F1064">
        <f>Data_thang!G1064</f>
        <v/>
      </c>
      <c r="G1064" s="29">
        <f>Data_thang!J1064-Data_thang!K1064</f>
        <v/>
      </c>
      <c r="H1064" s="29">
        <f>Data_thang!N1064</f>
        <v/>
      </c>
      <c r="I1064" s="29">
        <f>H1064-G1064</f>
        <v/>
      </c>
      <c r="J1064" s="30">
        <f>IF(H1064=0,IF(I1064=0,0,1),I1064/ABS(H1064))</f>
        <v/>
      </c>
      <c r="K1064" s="29">
        <f>H1064-(Data_thang!O1064-Data_thang!K1064)</f>
        <v/>
      </c>
      <c r="L1064">
        <f>IF(AND(ABS(I1064)&gt;Dashboard!$G$6,ABS(J1064)&gt;Dashboard!$H$6),"⚠ Vượt","")</f>
        <v/>
      </c>
      <c r="M1064">
        <f>IF(AND(A1064=Dashboard!$D$6,OR(Dashboard!$C$6="*",F1064=Dashboard!$C$6),L1064&lt;&gt;""),ABS(I1064)+ROW()/1000000000,0)</f>
        <v/>
      </c>
    </row>
    <row r="1065">
      <c r="A1065">
        <f>Data_thang!A1065</f>
        <v/>
      </c>
      <c r="B1065">
        <f>Data_thang!B1065</f>
        <v/>
      </c>
      <c r="C1065">
        <f>Data_thang!D1065</f>
        <v/>
      </c>
      <c r="D1065">
        <f>Data_thang!E1065</f>
        <v/>
      </c>
      <c r="E1065">
        <f>Data_thang!F1065</f>
        <v/>
      </c>
      <c r="F1065">
        <f>Data_thang!G1065</f>
        <v/>
      </c>
      <c r="G1065" s="29">
        <f>Data_thang!J1065-Data_thang!K1065</f>
        <v/>
      </c>
      <c r="H1065" s="29">
        <f>Data_thang!N1065</f>
        <v/>
      </c>
      <c r="I1065" s="29">
        <f>H1065-G1065</f>
        <v/>
      </c>
      <c r="J1065" s="30">
        <f>IF(H1065=0,IF(I1065=0,0,1),I1065/ABS(H1065))</f>
        <v/>
      </c>
      <c r="K1065" s="29">
        <f>H1065-(Data_thang!O1065-Data_thang!K1065)</f>
        <v/>
      </c>
      <c r="L1065">
        <f>IF(AND(ABS(I1065)&gt;Dashboard!$G$6,ABS(J1065)&gt;Dashboard!$H$6),"⚠ Vượt","")</f>
        <v/>
      </c>
      <c r="M1065">
        <f>IF(AND(A1065=Dashboard!$D$6,OR(Dashboard!$C$6="*",F1065=Dashboard!$C$6),L1065&lt;&gt;""),ABS(I1065)+ROW()/1000000000,0)</f>
        <v/>
      </c>
    </row>
    <row r="1066">
      <c r="A1066">
        <f>Data_thang!A1066</f>
        <v/>
      </c>
      <c r="B1066">
        <f>Data_thang!B1066</f>
        <v/>
      </c>
      <c r="C1066">
        <f>Data_thang!D1066</f>
        <v/>
      </c>
      <c r="D1066">
        <f>Data_thang!E1066</f>
        <v/>
      </c>
      <c r="E1066">
        <f>Data_thang!F1066</f>
        <v/>
      </c>
      <c r="F1066">
        <f>Data_thang!G1066</f>
        <v/>
      </c>
      <c r="G1066" s="29">
        <f>Data_thang!J1066-Data_thang!K1066</f>
        <v/>
      </c>
      <c r="H1066" s="29">
        <f>Data_thang!N1066</f>
        <v/>
      </c>
      <c r="I1066" s="29">
        <f>H1066-G1066</f>
        <v/>
      </c>
      <c r="J1066" s="30">
        <f>IF(H1066=0,IF(I1066=0,0,1),I1066/ABS(H1066))</f>
        <v/>
      </c>
      <c r="K1066" s="29">
        <f>H1066-(Data_thang!O1066-Data_thang!K1066)</f>
        <v/>
      </c>
      <c r="L1066">
        <f>IF(AND(ABS(I1066)&gt;Dashboard!$G$6,ABS(J1066)&gt;Dashboard!$H$6),"⚠ Vượt","")</f>
        <v/>
      </c>
      <c r="M1066">
        <f>IF(AND(A1066=Dashboard!$D$6,OR(Dashboard!$C$6="*",F1066=Dashboard!$C$6),L1066&lt;&gt;""),ABS(I1066)+ROW()/1000000000,0)</f>
        <v/>
      </c>
    </row>
    <row r="1067">
      <c r="A1067">
        <f>Data_thang!A1067</f>
        <v/>
      </c>
      <c r="B1067">
        <f>Data_thang!B1067</f>
        <v/>
      </c>
      <c r="C1067">
        <f>Data_thang!D1067</f>
        <v/>
      </c>
      <c r="D1067">
        <f>Data_thang!E1067</f>
        <v/>
      </c>
      <c r="E1067">
        <f>Data_thang!F1067</f>
        <v/>
      </c>
      <c r="F1067">
        <f>Data_thang!G1067</f>
        <v/>
      </c>
      <c r="G1067" s="29">
        <f>Data_thang!J1067-Data_thang!K1067</f>
        <v/>
      </c>
      <c r="H1067" s="29">
        <f>Data_thang!N1067</f>
        <v/>
      </c>
      <c r="I1067" s="29">
        <f>H1067-G1067</f>
        <v/>
      </c>
      <c r="J1067" s="30">
        <f>IF(H1067=0,IF(I1067=0,0,1),I1067/ABS(H1067))</f>
        <v/>
      </c>
      <c r="K1067" s="29">
        <f>H1067-(Data_thang!O1067-Data_thang!K1067)</f>
        <v/>
      </c>
      <c r="L1067">
        <f>IF(AND(ABS(I1067)&gt;Dashboard!$G$6,ABS(J1067)&gt;Dashboard!$H$6),"⚠ Vượt","")</f>
        <v/>
      </c>
      <c r="M1067">
        <f>IF(AND(A1067=Dashboard!$D$6,OR(Dashboard!$C$6="*",F1067=Dashboard!$C$6),L1067&lt;&gt;""),ABS(I1067)+ROW()/1000000000,0)</f>
        <v/>
      </c>
    </row>
    <row r="1068">
      <c r="A1068">
        <f>Data_thang!A1068</f>
        <v/>
      </c>
      <c r="B1068">
        <f>Data_thang!B1068</f>
        <v/>
      </c>
      <c r="C1068">
        <f>Data_thang!D1068</f>
        <v/>
      </c>
      <c r="D1068">
        <f>Data_thang!E1068</f>
        <v/>
      </c>
      <c r="E1068">
        <f>Data_thang!F1068</f>
        <v/>
      </c>
      <c r="F1068">
        <f>Data_thang!G1068</f>
        <v/>
      </c>
      <c r="G1068" s="29">
        <f>Data_thang!J1068-Data_thang!K1068</f>
        <v/>
      </c>
      <c r="H1068" s="29">
        <f>Data_thang!N1068</f>
        <v/>
      </c>
      <c r="I1068" s="29">
        <f>H1068-G1068</f>
        <v/>
      </c>
      <c r="J1068" s="30">
        <f>IF(H1068=0,IF(I1068=0,0,1),I1068/ABS(H1068))</f>
        <v/>
      </c>
      <c r="K1068" s="29">
        <f>H1068-(Data_thang!O1068-Data_thang!K1068)</f>
        <v/>
      </c>
      <c r="L1068">
        <f>IF(AND(ABS(I1068)&gt;Dashboard!$G$6,ABS(J1068)&gt;Dashboard!$H$6),"⚠ Vượt","")</f>
        <v/>
      </c>
      <c r="M1068">
        <f>IF(AND(A1068=Dashboard!$D$6,OR(Dashboard!$C$6="*",F1068=Dashboard!$C$6),L1068&lt;&gt;""),ABS(I1068)+ROW()/1000000000,0)</f>
        <v/>
      </c>
    </row>
    <row r="1069">
      <c r="A1069">
        <f>Data_thang!A1069</f>
        <v/>
      </c>
      <c r="B1069">
        <f>Data_thang!B1069</f>
        <v/>
      </c>
      <c r="C1069">
        <f>Data_thang!D1069</f>
        <v/>
      </c>
      <c r="D1069">
        <f>Data_thang!E1069</f>
        <v/>
      </c>
      <c r="E1069">
        <f>Data_thang!F1069</f>
        <v/>
      </c>
      <c r="F1069">
        <f>Data_thang!G1069</f>
        <v/>
      </c>
      <c r="G1069" s="29">
        <f>Data_thang!J1069-Data_thang!K1069</f>
        <v/>
      </c>
      <c r="H1069" s="29">
        <f>Data_thang!N1069</f>
        <v/>
      </c>
      <c r="I1069" s="29">
        <f>H1069-G1069</f>
        <v/>
      </c>
      <c r="J1069" s="30">
        <f>IF(H1069=0,IF(I1069=0,0,1),I1069/ABS(H1069))</f>
        <v/>
      </c>
      <c r="K1069" s="29">
        <f>H1069-(Data_thang!O1069-Data_thang!K1069)</f>
        <v/>
      </c>
      <c r="L1069">
        <f>IF(AND(ABS(I1069)&gt;Dashboard!$G$6,ABS(J1069)&gt;Dashboard!$H$6),"⚠ Vượt","")</f>
        <v/>
      </c>
      <c r="M1069">
        <f>IF(AND(A1069=Dashboard!$D$6,OR(Dashboard!$C$6="*",F1069=Dashboard!$C$6),L1069&lt;&gt;""),ABS(I1069)+ROW()/1000000000,0)</f>
        <v/>
      </c>
    </row>
    <row r="1070">
      <c r="A1070">
        <f>Data_thang!A1070</f>
        <v/>
      </c>
      <c r="B1070">
        <f>Data_thang!B1070</f>
        <v/>
      </c>
      <c r="C1070">
        <f>Data_thang!D1070</f>
        <v/>
      </c>
      <c r="D1070">
        <f>Data_thang!E1070</f>
        <v/>
      </c>
      <c r="E1070">
        <f>Data_thang!F1070</f>
        <v/>
      </c>
      <c r="F1070">
        <f>Data_thang!G1070</f>
        <v/>
      </c>
      <c r="G1070" s="29">
        <f>Data_thang!J1070-Data_thang!K1070</f>
        <v/>
      </c>
      <c r="H1070" s="29">
        <f>Data_thang!N1070</f>
        <v/>
      </c>
      <c r="I1070" s="29">
        <f>H1070-G1070</f>
        <v/>
      </c>
      <c r="J1070" s="30">
        <f>IF(H1070=0,IF(I1070=0,0,1),I1070/ABS(H1070))</f>
        <v/>
      </c>
      <c r="K1070" s="29">
        <f>H1070-(Data_thang!O1070-Data_thang!K1070)</f>
        <v/>
      </c>
      <c r="L1070">
        <f>IF(AND(ABS(I1070)&gt;Dashboard!$G$6,ABS(J1070)&gt;Dashboard!$H$6),"⚠ Vượt","")</f>
        <v/>
      </c>
      <c r="M1070">
        <f>IF(AND(A1070=Dashboard!$D$6,OR(Dashboard!$C$6="*",F1070=Dashboard!$C$6),L1070&lt;&gt;""),ABS(I1070)+ROW()/1000000000,0)</f>
        <v/>
      </c>
    </row>
    <row r="1071">
      <c r="A1071">
        <f>Data_thang!A1071</f>
        <v/>
      </c>
      <c r="B1071">
        <f>Data_thang!B1071</f>
        <v/>
      </c>
      <c r="C1071">
        <f>Data_thang!D1071</f>
        <v/>
      </c>
      <c r="D1071">
        <f>Data_thang!E1071</f>
        <v/>
      </c>
      <c r="E1071">
        <f>Data_thang!F1071</f>
        <v/>
      </c>
      <c r="F1071">
        <f>Data_thang!G1071</f>
        <v/>
      </c>
      <c r="G1071" s="29">
        <f>Data_thang!J1071-Data_thang!K1071</f>
        <v/>
      </c>
      <c r="H1071" s="29">
        <f>Data_thang!N1071</f>
        <v/>
      </c>
      <c r="I1071" s="29">
        <f>H1071-G1071</f>
        <v/>
      </c>
      <c r="J1071" s="30">
        <f>IF(H1071=0,IF(I1071=0,0,1),I1071/ABS(H1071))</f>
        <v/>
      </c>
      <c r="K1071" s="29">
        <f>H1071-(Data_thang!O1071-Data_thang!K1071)</f>
        <v/>
      </c>
      <c r="L1071">
        <f>IF(AND(ABS(I1071)&gt;Dashboard!$G$6,ABS(J1071)&gt;Dashboard!$H$6),"⚠ Vượt","")</f>
        <v/>
      </c>
      <c r="M1071">
        <f>IF(AND(A1071=Dashboard!$D$6,OR(Dashboard!$C$6="*",F1071=Dashboard!$C$6),L1071&lt;&gt;""),ABS(I1071)+ROW()/1000000000,0)</f>
        <v/>
      </c>
    </row>
    <row r="1072">
      <c r="A1072">
        <f>Data_thang!A1072</f>
        <v/>
      </c>
      <c r="B1072">
        <f>Data_thang!B1072</f>
        <v/>
      </c>
      <c r="C1072">
        <f>Data_thang!D1072</f>
        <v/>
      </c>
      <c r="D1072">
        <f>Data_thang!E1072</f>
        <v/>
      </c>
      <c r="E1072">
        <f>Data_thang!F1072</f>
        <v/>
      </c>
      <c r="F1072">
        <f>Data_thang!G1072</f>
        <v/>
      </c>
      <c r="G1072" s="29">
        <f>Data_thang!J1072-Data_thang!K1072</f>
        <v/>
      </c>
      <c r="H1072" s="29">
        <f>Data_thang!N1072</f>
        <v/>
      </c>
      <c r="I1072" s="29">
        <f>H1072-G1072</f>
        <v/>
      </c>
      <c r="J1072" s="30">
        <f>IF(H1072=0,IF(I1072=0,0,1),I1072/ABS(H1072))</f>
        <v/>
      </c>
      <c r="K1072" s="29">
        <f>H1072-(Data_thang!O1072-Data_thang!K1072)</f>
        <v/>
      </c>
      <c r="L1072">
        <f>IF(AND(ABS(I1072)&gt;Dashboard!$G$6,ABS(J1072)&gt;Dashboard!$H$6),"⚠ Vượt","")</f>
        <v/>
      </c>
      <c r="M1072">
        <f>IF(AND(A1072=Dashboard!$D$6,OR(Dashboard!$C$6="*",F1072=Dashboard!$C$6),L1072&lt;&gt;""),ABS(I1072)+ROW()/1000000000,0)</f>
        <v/>
      </c>
    </row>
    <row r="1073">
      <c r="A1073">
        <f>Data_thang!A1073</f>
        <v/>
      </c>
      <c r="B1073">
        <f>Data_thang!B1073</f>
        <v/>
      </c>
      <c r="C1073">
        <f>Data_thang!D1073</f>
        <v/>
      </c>
      <c r="D1073">
        <f>Data_thang!E1073</f>
        <v/>
      </c>
      <c r="E1073">
        <f>Data_thang!F1073</f>
        <v/>
      </c>
      <c r="F1073">
        <f>Data_thang!G1073</f>
        <v/>
      </c>
      <c r="G1073" s="29">
        <f>Data_thang!J1073-Data_thang!K1073</f>
        <v/>
      </c>
      <c r="H1073" s="29">
        <f>Data_thang!N1073</f>
        <v/>
      </c>
      <c r="I1073" s="29">
        <f>H1073-G1073</f>
        <v/>
      </c>
      <c r="J1073" s="30">
        <f>IF(H1073=0,IF(I1073=0,0,1),I1073/ABS(H1073))</f>
        <v/>
      </c>
      <c r="K1073" s="29">
        <f>H1073-(Data_thang!O1073-Data_thang!K1073)</f>
        <v/>
      </c>
      <c r="L1073">
        <f>IF(AND(ABS(I1073)&gt;Dashboard!$G$6,ABS(J1073)&gt;Dashboard!$H$6),"⚠ Vượt","")</f>
        <v/>
      </c>
      <c r="M1073">
        <f>IF(AND(A1073=Dashboard!$D$6,OR(Dashboard!$C$6="*",F1073=Dashboard!$C$6),L1073&lt;&gt;""),ABS(I1073)+ROW()/1000000000,0)</f>
        <v/>
      </c>
    </row>
    <row r="1074">
      <c r="A1074">
        <f>Data_thang!A1074</f>
        <v/>
      </c>
      <c r="B1074">
        <f>Data_thang!B1074</f>
        <v/>
      </c>
      <c r="C1074">
        <f>Data_thang!D1074</f>
        <v/>
      </c>
      <c r="D1074">
        <f>Data_thang!E1074</f>
        <v/>
      </c>
      <c r="E1074">
        <f>Data_thang!F1074</f>
        <v/>
      </c>
      <c r="F1074">
        <f>Data_thang!G1074</f>
        <v/>
      </c>
      <c r="G1074" s="29">
        <f>Data_thang!J1074-Data_thang!K1074</f>
        <v/>
      </c>
      <c r="H1074" s="29">
        <f>Data_thang!N1074</f>
        <v/>
      </c>
      <c r="I1074" s="29">
        <f>H1074-G1074</f>
        <v/>
      </c>
      <c r="J1074" s="30">
        <f>IF(H1074=0,IF(I1074=0,0,1),I1074/ABS(H1074))</f>
        <v/>
      </c>
      <c r="K1074" s="29">
        <f>H1074-(Data_thang!O1074-Data_thang!K1074)</f>
        <v/>
      </c>
      <c r="L1074">
        <f>IF(AND(ABS(I1074)&gt;Dashboard!$G$6,ABS(J1074)&gt;Dashboard!$H$6),"⚠ Vượt","")</f>
        <v/>
      </c>
      <c r="M1074">
        <f>IF(AND(A1074=Dashboard!$D$6,OR(Dashboard!$C$6="*",F1074=Dashboard!$C$6),L1074&lt;&gt;""),ABS(I1074)+ROW()/1000000000,0)</f>
        <v/>
      </c>
    </row>
    <row r="1075">
      <c r="A1075">
        <f>Data_thang!A1075</f>
        <v/>
      </c>
      <c r="B1075">
        <f>Data_thang!B1075</f>
        <v/>
      </c>
      <c r="C1075">
        <f>Data_thang!D1075</f>
        <v/>
      </c>
      <c r="D1075">
        <f>Data_thang!E1075</f>
        <v/>
      </c>
      <c r="E1075">
        <f>Data_thang!F1075</f>
        <v/>
      </c>
      <c r="F1075">
        <f>Data_thang!G1075</f>
        <v/>
      </c>
      <c r="G1075" s="29">
        <f>Data_thang!J1075-Data_thang!K1075</f>
        <v/>
      </c>
      <c r="H1075" s="29">
        <f>Data_thang!N1075</f>
        <v/>
      </c>
      <c r="I1075" s="29">
        <f>H1075-G1075</f>
        <v/>
      </c>
      <c r="J1075" s="30">
        <f>IF(H1075=0,IF(I1075=0,0,1),I1075/ABS(H1075))</f>
        <v/>
      </c>
      <c r="K1075" s="29">
        <f>H1075-(Data_thang!O1075-Data_thang!K1075)</f>
        <v/>
      </c>
      <c r="L1075">
        <f>IF(AND(ABS(I1075)&gt;Dashboard!$G$6,ABS(J1075)&gt;Dashboard!$H$6),"⚠ Vượt","")</f>
        <v/>
      </c>
      <c r="M1075">
        <f>IF(AND(A1075=Dashboard!$D$6,OR(Dashboard!$C$6="*",F1075=Dashboard!$C$6),L1075&lt;&gt;""),ABS(I1075)+ROW()/1000000000,0)</f>
        <v/>
      </c>
    </row>
    <row r="1076">
      <c r="A1076">
        <f>Data_thang!A1076</f>
        <v/>
      </c>
      <c r="B1076">
        <f>Data_thang!B1076</f>
        <v/>
      </c>
      <c r="C1076">
        <f>Data_thang!D1076</f>
        <v/>
      </c>
      <c r="D1076">
        <f>Data_thang!E1076</f>
        <v/>
      </c>
      <c r="E1076">
        <f>Data_thang!F1076</f>
        <v/>
      </c>
      <c r="F1076">
        <f>Data_thang!G1076</f>
        <v/>
      </c>
      <c r="G1076" s="29">
        <f>Data_thang!J1076-Data_thang!K1076</f>
        <v/>
      </c>
      <c r="H1076" s="29">
        <f>Data_thang!N1076</f>
        <v/>
      </c>
      <c r="I1076" s="29">
        <f>H1076-G1076</f>
        <v/>
      </c>
      <c r="J1076" s="30">
        <f>IF(H1076=0,IF(I1076=0,0,1),I1076/ABS(H1076))</f>
        <v/>
      </c>
      <c r="K1076" s="29">
        <f>H1076-(Data_thang!O1076-Data_thang!K1076)</f>
        <v/>
      </c>
      <c r="L1076">
        <f>IF(AND(ABS(I1076)&gt;Dashboard!$G$6,ABS(J1076)&gt;Dashboard!$H$6),"⚠ Vượt","")</f>
        <v/>
      </c>
      <c r="M1076">
        <f>IF(AND(A1076=Dashboard!$D$6,OR(Dashboard!$C$6="*",F1076=Dashboard!$C$6),L1076&lt;&gt;""),ABS(I1076)+ROW()/1000000000,0)</f>
        <v/>
      </c>
    </row>
    <row r="1077">
      <c r="A1077">
        <f>Data_thang!A1077</f>
        <v/>
      </c>
      <c r="B1077">
        <f>Data_thang!B1077</f>
        <v/>
      </c>
      <c r="C1077">
        <f>Data_thang!D1077</f>
        <v/>
      </c>
      <c r="D1077">
        <f>Data_thang!E1077</f>
        <v/>
      </c>
      <c r="E1077">
        <f>Data_thang!F1077</f>
        <v/>
      </c>
      <c r="F1077">
        <f>Data_thang!G1077</f>
        <v/>
      </c>
      <c r="G1077" s="29">
        <f>Data_thang!J1077-Data_thang!K1077</f>
        <v/>
      </c>
      <c r="H1077" s="29">
        <f>Data_thang!N1077</f>
        <v/>
      </c>
      <c r="I1077" s="29">
        <f>H1077-G1077</f>
        <v/>
      </c>
      <c r="J1077" s="30">
        <f>IF(H1077=0,IF(I1077=0,0,1),I1077/ABS(H1077))</f>
        <v/>
      </c>
      <c r="K1077" s="29">
        <f>H1077-(Data_thang!O1077-Data_thang!K1077)</f>
        <v/>
      </c>
      <c r="L1077">
        <f>IF(AND(ABS(I1077)&gt;Dashboard!$G$6,ABS(J1077)&gt;Dashboard!$H$6),"⚠ Vượt","")</f>
        <v/>
      </c>
      <c r="M1077">
        <f>IF(AND(A1077=Dashboard!$D$6,OR(Dashboard!$C$6="*",F1077=Dashboard!$C$6),L1077&lt;&gt;""),ABS(I1077)+ROW()/1000000000,0)</f>
        <v/>
      </c>
    </row>
    <row r="1078">
      <c r="A1078">
        <f>Data_thang!A1078</f>
        <v/>
      </c>
      <c r="B1078">
        <f>Data_thang!B1078</f>
        <v/>
      </c>
      <c r="C1078">
        <f>Data_thang!D1078</f>
        <v/>
      </c>
      <c r="D1078">
        <f>Data_thang!E1078</f>
        <v/>
      </c>
      <c r="E1078">
        <f>Data_thang!F1078</f>
        <v/>
      </c>
      <c r="F1078">
        <f>Data_thang!G1078</f>
        <v/>
      </c>
      <c r="G1078" s="29">
        <f>Data_thang!J1078-Data_thang!K1078</f>
        <v/>
      </c>
      <c r="H1078" s="29">
        <f>Data_thang!N1078</f>
        <v/>
      </c>
      <c r="I1078" s="29">
        <f>H1078-G1078</f>
        <v/>
      </c>
      <c r="J1078" s="30">
        <f>IF(H1078=0,IF(I1078=0,0,1),I1078/ABS(H1078))</f>
        <v/>
      </c>
      <c r="K1078" s="29">
        <f>H1078-(Data_thang!O1078-Data_thang!K1078)</f>
        <v/>
      </c>
      <c r="L1078">
        <f>IF(AND(ABS(I1078)&gt;Dashboard!$G$6,ABS(J1078)&gt;Dashboard!$H$6),"⚠ Vượt","")</f>
        <v/>
      </c>
      <c r="M1078">
        <f>IF(AND(A1078=Dashboard!$D$6,OR(Dashboard!$C$6="*",F1078=Dashboard!$C$6),L1078&lt;&gt;""),ABS(I1078)+ROW()/1000000000,0)</f>
        <v/>
      </c>
    </row>
    <row r="1079">
      <c r="A1079">
        <f>Data_thang!A1079</f>
        <v/>
      </c>
      <c r="B1079">
        <f>Data_thang!B1079</f>
        <v/>
      </c>
      <c r="C1079">
        <f>Data_thang!D1079</f>
        <v/>
      </c>
      <c r="D1079">
        <f>Data_thang!E1079</f>
        <v/>
      </c>
      <c r="E1079">
        <f>Data_thang!F1079</f>
        <v/>
      </c>
      <c r="F1079">
        <f>Data_thang!G1079</f>
        <v/>
      </c>
      <c r="G1079" s="29">
        <f>Data_thang!J1079-Data_thang!K1079</f>
        <v/>
      </c>
      <c r="H1079" s="29">
        <f>Data_thang!N1079</f>
        <v/>
      </c>
      <c r="I1079" s="29">
        <f>H1079-G1079</f>
        <v/>
      </c>
      <c r="J1079" s="30">
        <f>IF(H1079=0,IF(I1079=0,0,1),I1079/ABS(H1079))</f>
        <v/>
      </c>
      <c r="K1079" s="29">
        <f>H1079-(Data_thang!O1079-Data_thang!K1079)</f>
        <v/>
      </c>
      <c r="L1079">
        <f>IF(AND(ABS(I1079)&gt;Dashboard!$G$6,ABS(J1079)&gt;Dashboard!$H$6),"⚠ Vượt","")</f>
        <v/>
      </c>
      <c r="M1079">
        <f>IF(AND(A1079=Dashboard!$D$6,OR(Dashboard!$C$6="*",F1079=Dashboard!$C$6),L1079&lt;&gt;""),ABS(I1079)+ROW()/1000000000,0)</f>
        <v/>
      </c>
    </row>
    <row r="1080">
      <c r="A1080">
        <f>Data_thang!A1080</f>
        <v/>
      </c>
      <c r="B1080">
        <f>Data_thang!B1080</f>
        <v/>
      </c>
      <c r="C1080">
        <f>Data_thang!D1080</f>
        <v/>
      </c>
      <c r="D1080">
        <f>Data_thang!E1080</f>
        <v/>
      </c>
      <c r="E1080">
        <f>Data_thang!F1080</f>
        <v/>
      </c>
      <c r="F1080">
        <f>Data_thang!G1080</f>
        <v/>
      </c>
      <c r="G1080" s="29">
        <f>Data_thang!J1080-Data_thang!K1080</f>
        <v/>
      </c>
      <c r="H1080" s="29">
        <f>Data_thang!N1080</f>
        <v/>
      </c>
      <c r="I1080" s="29">
        <f>H1080-G1080</f>
        <v/>
      </c>
      <c r="J1080" s="30">
        <f>IF(H1080=0,IF(I1080=0,0,1),I1080/ABS(H1080))</f>
        <v/>
      </c>
      <c r="K1080" s="29">
        <f>H1080-(Data_thang!O1080-Data_thang!K1080)</f>
        <v/>
      </c>
      <c r="L1080">
        <f>IF(AND(ABS(I1080)&gt;Dashboard!$G$6,ABS(J1080)&gt;Dashboard!$H$6),"⚠ Vượt","")</f>
        <v/>
      </c>
      <c r="M1080">
        <f>IF(AND(A1080=Dashboard!$D$6,OR(Dashboard!$C$6="*",F1080=Dashboard!$C$6),L1080&lt;&gt;""),ABS(I1080)+ROW()/1000000000,0)</f>
        <v/>
      </c>
    </row>
    <row r="1081">
      <c r="A1081">
        <f>Data_thang!A1081</f>
        <v/>
      </c>
      <c r="B1081">
        <f>Data_thang!B1081</f>
        <v/>
      </c>
      <c r="C1081">
        <f>Data_thang!D1081</f>
        <v/>
      </c>
      <c r="D1081">
        <f>Data_thang!E1081</f>
        <v/>
      </c>
      <c r="E1081">
        <f>Data_thang!F1081</f>
        <v/>
      </c>
      <c r="F1081">
        <f>Data_thang!G1081</f>
        <v/>
      </c>
      <c r="G1081" s="29">
        <f>Data_thang!J1081-Data_thang!K1081</f>
        <v/>
      </c>
      <c r="H1081" s="29">
        <f>Data_thang!N1081</f>
        <v/>
      </c>
      <c r="I1081" s="29">
        <f>H1081-G1081</f>
        <v/>
      </c>
      <c r="J1081" s="30">
        <f>IF(H1081=0,IF(I1081=0,0,1),I1081/ABS(H1081))</f>
        <v/>
      </c>
      <c r="K1081" s="29">
        <f>H1081-(Data_thang!O1081-Data_thang!K1081)</f>
        <v/>
      </c>
      <c r="L1081">
        <f>IF(AND(ABS(I1081)&gt;Dashboard!$G$6,ABS(J1081)&gt;Dashboard!$H$6),"⚠ Vượt","")</f>
        <v/>
      </c>
      <c r="M1081">
        <f>IF(AND(A1081=Dashboard!$D$6,OR(Dashboard!$C$6="*",F1081=Dashboard!$C$6),L1081&lt;&gt;""),ABS(I1081)+ROW()/1000000000,0)</f>
        <v/>
      </c>
    </row>
    <row r="1082">
      <c r="A1082">
        <f>Data_thang!A1082</f>
        <v/>
      </c>
      <c r="B1082">
        <f>Data_thang!B1082</f>
        <v/>
      </c>
      <c r="C1082">
        <f>Data_thang!D1082</f>
        <v/>
      </c>
      <c r="D1082">
        <f>Data_thang!E1082</f>
        <v/>
      </c>
      <c r="E1082">
        <f>Data_thang!F1082</f>
        <v/>
      </c>
      <c r="F1082">
        <f>Data_thang!G1082</f>
        <v/>
      </c>
      <c r="G1082" s="29">
        <f>Data_thang!J1082-Data_thang!K1082</f>
        <v/>
      </c>
      <c r="H1082" s="29">
        <f>Data_thang!N1082</f>
        <v/>
      </c>
      <c r="I1082" s="29">
        <f>H1082-G1082</f>
        <v/>
      </c>
      <c r="J1082" s="30">
        <f>IF(H1082=0,IF(I1082=0,0,1),I1082/ABS(H1082))</f>
        <v/>
      </c>
      <c r="K1082" s="29">
        <f>H1082-(Data_thang!O1082-Data_thang!K1082)</f>
        <v/>
      </c>
      <c r="L1082">
        <f>IF(AND(ABS(I1082)&gt;Dashboard!$G$6,ABS(J1082)&gt;Dashboard!$H$6),"⚠ Vượt","")</f>
        <v/>
      </c>
      <c r="M1082">
        <f>IF(AND(A1082=Dashboard!$D$6,OR(Dashboard!$C$6="*",F1082=Dashboard!$C$6),L1082&lt;&gt;""),ABS(I1082)+ROW()/1000000000,0)</f>
        <v/>
      </c>
    </row>
    <row r="1083">
      <c r="A1083">
        <f>Data_thang!A1083</f>
        <v/>
      </c>
      <c r="B1083">
        <f>Data_thang!B1083</f>
        <v/>
      </c>
      <c r="C1083">
        <f>Data_thang!D1083</f>
        <v/>
      </c>
      <c r="D1083">
        <f>Data_thang!E1083</f>
        <v/>
      </c>
      <c r="E1083">
        <f>Data_thang!F1083</f>
        <v/>
      </c>
      <c r="F1083">
        <f>Data_thang!G1083</f>
        <v/>
      </c>
      <c r="G1083" s="29">
        <f>Data_thang!J1083-Data_thang!K1083</f>
        <v/>
      </c>
      <c r="H1083" s="29">
        <f>Data_thang!N1083</f>
        <v/>
      </c>
      <c r="I1083" s="29">
        <f>H1083-G1083</f>
        <v/>
      </c>
      <c r="J1083" s="30">
        <f>IF(H1083=0,IF(I1083=0,0,1),I1083/ABS(H1083))</f>
        <v/>
      </c>
      <c r="K1083" s="29">
        <f>H1083-(Data_thang!O1083-Data_thang!K1083)</f>
        <v/>
      </c>
      <c r="L1083">
        <f>IF(AND(ABS(I1083)&gt;Dashboard!$G$6,ABS(J1083)&gt;Dashboard!$H$6),"⚠ Vượt","")</f>
        <v/>
      </c>
      <c r="M1083">
        <f>IF(AND(A1083=Dashboard!$D$6,OR(Dashboard!$C$6="*",F1083=Dashboard!$C$6),L1083&lt;&gt;""),ABS(I1083)+ROW()/1000000000,0)</f>
        <v/>
      </c>
    </row>
    <row r="1084">
      <c r="A1084">
        <f>Data_thang!A1084</f>
        <v/>
      </c>
      <c r="B1084">
        <f>Data_thang!B1084</f>
        <v/>
      </c>
      <c r="C1084">
        <f>Data_thang!D1084</f>
        <v/>
      </c>
      <c r="D1084">
        <f>Data_thang!E1084</f>
        <v/>
      </c>
      <c r="E1084">
        <f>Data_thang!F1084</f>
        <v/>
      </c>
      <c r="F1084">
        <f>Data_thang!G1084</f>
        <v/>
      </c>
      <c r="G1084" s="29">
        <f>Data_thang!J1084-Data_thang!K1084</f>
        <v/>
      </c>
      <c r="H1084" s="29">
        <f>Data_thang!N1084</f>
        <v/>
      </c>
      <c r="I1084" s="29">
        <f>H1084-G1084</f>
        <v/>
      </c>
      <c r="J1084" s="30">
        <f>IF(H1084=0,IF(I1084=0,0,1),I1084/ABS(H1084))</f>
        <v/>
      </c>
      <c r="K1084" s="29">
        <f>H1084-(Data_thang!O1084-Data_thang!K1084)</f>
        <v/>
      </c>
      <c r="L1084">
        <f>IF(AND(ABS(I1084)&gt;Dashboard!$G$6,ABS(J1084)&gt;Dashboard!$H$6),"⚠ Vượt","")</f>
        <v/>
      </c>
      <c r="M1084">
        <f>IF(AND(A1084=Dashboard!$D$6,OR(Dashboard!$C$6="*",F1084=Dashboard!$C$6),L1084&lt;&gt;""),ABS(I1084)+ROW()/1000000000,0)</f>
        <v/>
      </c>
    </row>
    <row r="1085">
      <c r="A1085">
        <f>Data_thang!A1085</f>
        <v/>
      </c>
      <c r="B1085">
        <f>Data_thang!B1085</f>
        <v/>
      </c>
      <c r="C1085">
        <f>Data_thang!D1085</f>
        <v/>
      </c>
      <c r="D1085">
        <f>Data_thang!E1085</f>
        <v/>
      </c>
      <c r="E1085">
        <f>Data_thang!F1085</f>
        <v/>
      </c>
      <c r="F1085">
        <f>Data_thang!G1085</f>
        <v/>
      </c>
      <c r="G1085" s="29">
        <f>Data_thang!J1085-Data_thang!K1085</f>
        <v/>
      </c>
      <c r="H1085" s="29">
        <f>Data_thang!N1085</f>
        <v/>
      </c>
      <c r="I1085" s="29">
        <f>H1085-G1085</f>
        <v/>
      </c>
      <c r="J1085" s="30">
        <f>IF(H1085=0,IF(I1085=0,0,1),I1085/ABS(H1085))</f>
        <v/>
      </c>
      <c r="K1085" s="29">
        <f>H1085-(Data_thang!O1085-Data_thang!K1085)</f>
        <v/>
      </c>
      <c r="L1085">
        <f>IF(AND(ABS(I1085)&gt;Dashboard!$G$6,ABS(J1085)&gt;Dashboard!$H$6),"⚠ Vượt","")</f>
        <v/>
      </c>
      <c r="M1085">
        <f>IF(AND(A1085=Dashboard!$D$6,OR(Dashboard!$C$6="*",F1085=Dashboard!$C$6),L1085&lt;&gt;""),ABS(I1085)+ROW()/1000000000,0)</f>
        <v/>
      </c>
    </row>
    <row r="1086">
      <c r="A1086">
        <f>Data_thang!A1086</f>
        <v/>
      </c>
      <c r="B1086">
        <f>Data_thang!B1086</f>
        <v/>
      </c>
      <c r="C1086">
        <f>Data_thang!D1086</f>
        <v/>
      </c>
      <c r="D1086">
        <f>Data_thang!E1086</f>
        <v/>
      </c>
      <c r="E1086">
        <f>Data_thang!F1086</f>
        <v/>
      </c>
      <c r="F1086">
        <f>Data_thang!G1086</f>
        <v/>
      </c>
      <c r="G1086" s="29">
        <f>Data_thang!J1086-Data_thang!K1086</f>
        <v/>
      </c>
      <c r="H1086" s="29">
        <f>Data_thang!N1086</f>
        <v/>
      </c>
      <c r="I1086" s="29">
        <f>H1086-G1086</f>
        <v/>
      </c>
      <c r="J1086" s="30">
        <f>IF(H1086=0,IF(I1086=0,0,1),I1086/ABS(H1086))</f>
        <v/>
      </c>
      <c r="K1086" s="29">
        <f>H1086-(Data_thang!O1086-Data_thang!K1086)</f>
        <v/>
      </c>
      <c r="L1086">
        <f>IF(AND(ABS(I1086)&gt;Dashboard!$G$6,ABS(J1086)&gt;Dashboard!$H$6),"⚠ Vượt","")</f>
        <v/>
      </c>
      <c r="M1086">
        <f>IF(AND(A1086=Dashboard!$D$6,OR(Dashboard!$C$6="*",F1086=Dashboard!$C$6),L1086&lt;&gt;""),ABS(I1086)+ROW()/1000000000,0)</f>
        <v/>
      </c>
    </row>
    <row r="1087">
      <c r="A1087">
        <f>Data_thang!A1087</f>
        <v/>
      </c>
      <c r="B1087">
        <f>Data_thang!B1087</f>
        <v/>
      </c>
      <c r="C1087">
        <f>Data_thang!D1087</f>
        <v/>
      </c>
      <c r="D1087">
        <f>Data_thang!E1087</f>
        <v/>
      </c>
      <c r="E1087">
        <f>Data_thang!F1087</f>
        <v/>
      </c>
      <c r="F1087">
        <f>Data_thang!G1087</f>
        <v/>
      </c>
      <c r="G1087" s="29">
        <f>Data_thang!J1087-Data_thang!K1087</f>
        <v/>
      </c>
      <c r="H1087" s="29">
        <f>Data_thang!N1087</f>
        <v/>
      </c>
      <c r="I1087" s="29">
        <f>H1087-G1087</f>
        <v/>
      </c>
      <c r="J1087" s="30">
        <f>IF(H1087=0,IF(I1087=0,0,1),I1087/ABS(H1087))</f>
        <v/>
      </c>
      <c r="K1087" s="29">
        <f>H1087-(Data_thang!O1087-Data_thang!K1087)</f>
        <v/>
      </c>
      <c r="L1087">
        <f>IF(AND(ABS(I1087)&gt;Dashboard!$G$6,ABS(J1087)&gt;Dashboard!$H$6),"⚠ Vượt","")</f>
        <v/>
      </c>
      <c r="M1087">
        <f>IF(AND(A1087=Dashboard!$D$6,OR(Dashboard!$C$6="*",F1087=Dashboard!$C$6),L1087&lt;&gt;""),ABS(I1087)+ROW()/1000000000,0)</f>
        <v/>
      </c>
    </row>
    <row r="1088">
      <c r="A1088">
        <f>Data_thang!A1088</f>
        <v/>
      </c>
      <c r="B1088">
        <f>Data_thang!B1088</f>
        <v/>
      </c>
      <c r="C1088">
        <f>Data_thang!D1088</f>
        <v/>
      </c>
      <c r="D1088">
        <f>Data_thang!E1088</f>
        <v/>
      </c>
      <c r="E1088">
        <f>Data_thang!F1088</f>
        <v/>
      </c>
      <c r="F1088">
        <f>Data_thang!G1088</f>
        <v/>
      </c>
      <c r="G1088" s="29">
        <f>Data_thang!J1088-Data_thang!K1088</f>
        <v/>
      </c>
      <c r="H1088" s="29">
        <f>Data_thang!N1088</f>
        <v/>
      </c>
      <c r="I1088" s="29">
        <f>H1088-G1088</f>
        <v/>
      </c>
      <c r="J1088" s="30">
        <f>IF(H1088=0,IF(I1088=0,0,1),I1088/ABS(H1088))</f>
        <v/>
      </c>
      <c r="K1088" s="29">
        <f>H1088-(Data_thang!O1088-Data_thang!K1088)</f>
        <v/>
      </c>
      <c r="L1088">
        <f>IF(AND(ABS(I1088)&gt;Dashboard!$G$6,ABS(J1088)&gt;Dashboard!$H$6),"⚠ Vượt","")</f>
        <v/>
      </c>
      <c r="M1088">
        <f>IF(AND(A1088=Dashboard!$D$6,OR(Dashboard!$C$6="*",F1088=Dashboard!$C$6),L1088&lt;&gt;""),ABS(I1088)+ROW()/1000000000,0)</f>
        <v/>
      </c>
    </row>
    <row r="1089">
      <c r="A1089">
        <f>Data_thang!A1089</f>
        <v/>
      </c>
      <c r="B1089">
        <f>Data_thang!B1089</f>
        <v/>
      </c>
      <c r="C1089">
        <f>Data_thang!D1089</f>
        <v/>
      </c>
      <c r="D1089">
        <f>Data_thang!E1089</f>
        <v/>
      </c>
      <c r="E1089">
        <f>Data_thang!F1089</f>
        <v/>
      </c>
      <c r="F1089">
        <f>Data_thang!G1089</f>
        <v/>
      </c>
      <c r="G1089" s="29">
        <f>Data_thang!J1089-Data_thang!K1089</f>
        <v/>
      </c>
      <c r="H1089" s="29">
        <f>Data_thang!N1089</f>
        <v/>
      </c>
      <c r="I1089" s="29">
        <f>H1089-G1089</f>
        <v/>
      </c>
      <c r="J1089" s="30">
        <f>IF(H1089=0,IF(I1089=0,0,1),I1089/ABS(H1089))</f>
        <v/>
      </c>
      <c r="K1089" s="29">
        <f>H1089-(Data_thang!O1089-Data_thang!K1089)</f>
        <v/>
      </c>
      <c r="L1089">
        <f>IF(AND(ABS(I1089)&gt;Dashboard!$G$6,ABS(J1089)&gt;Dashboard!$H$6),"⚠ Vượt","")</f>
        <v/>
      </c>
      <c r="M1089">
        <f>IF(AND(A1089=Dashboard!$D$6,OR(Dashboard!$C$6="*",F1089=Dashboard!$C$6),L1089&lt;&gt;""),ABS(I1089)+ROW()/1000000000,0)</f>
        <v/>
      </c>
    </row>
    <row r="1090">
      <c r="A1090">
        <f>Data_thang!A1090</f>
        <v/>
      </c>
      <c r="B1090">
        <f>Data_thang!B1090</f>
        <v/>
      </c>
      <c r="C1090">
        <f>Data_thang!D1090</f>
        <v/>
      </c>
      <c r="D1090">
        <f>Data_thang!E1090</f>
        <v/>
      </c>
      <c r="E1090">
        <f>Data_thang!F1090</f>
        <v/>
      </c>
      <c r="F1090">
        <f>Data_thang!G1090</f>
        <v/>
      </c>
      <c r="G1090" s="29">
        <f>Data_thang!J1090-Data_thang!K1090</f>
        <v/>
      </c>
      <c r="H1090" s="29">
        <f>Data_thang!N1090</f>
        <v/>
      </c>
      <c r="I1090" s="29">
        <f>H1090-G1090</f>
        <v/>
      </c>
      <c r="J1090" s="30">
        <f>IF(H1090=0,IF(I1090=0,0,1),I1090/ABS(H1090))</f>
        <v/>
      </c>
      <c r="K1090" s="29">
        <f>H1090-(Data_thang!O1090-Data_thang!K1090)</f>
        <v/>
      </c>
      <c r="L1090">
        <f>IF(AND(ABS(I1090)&gt;Dashboard!$G$6,ABS(J1090)&gt;Dashboard!$H$6),"⚠ Vượt","")</f>
        <v/>
      </c>
      <c r="M1090">
        <f>IF(AND(A1090=Dashboard!$D$6,OR(Dashboard!$C$6="*",F1090=Dashboard!$C$6),L1090&lt;&gt;""),ABS(I1090)+ROW()/1000000000,0)</f>
        <v/>
      </c>
    </row>
    <row r="1091">
      <c r="A1091">
        <f>Data_thang!A1091</f>
        <v/>
      </c>
      <c r="B1091">
        <f>Data_thang!B1091</f>
        <v/>
      </c>
      <c r="C1091">
        <f>Data_thang!D1091</f>
        <v/>
      </c>
      <c r="D1091">
        <f>Data_thang!E1091</f>
        <v/>
      </c>
      <c r="E1091">
        <f>Data_thang!F1091</f>
        <v/>
      </c>
      <c r="F1091">
        <f>Data_thang!G1091</f>
        <v/>
      </c>
      <c r="G1091" s="29">
        <f>Data_thang!J1091-Data_thang!K1091</f>
        <v/>
      </c>
      <c r="H1091" s="29">
        <f>Data_thang!N1091</f>
        <v/>
      </c>
      <c r="I1091" s="29">
        <f>H1091-G1091</f>
        <v/>
      </c>
      <c r="J1091" s="30">
        <f>IF(H1091=0,IF(I1091=0,0,1),I1091/ABS(H1091))</f>
        <v/>
      </c>
      <c r="K1091" s="29">
        <f>H1091-(Data_thang!O1091-Data_thang!K1091)</f>
        <v/>
      </c>
      <c r="L1091">
        <f>IF(AND(ABS(I1091)&gt;Dashboard!$G$6,ABS(J1091)&gt;Dashboard!$H$6),"⚠ Vượt","")</f>
        <v/>
      </c>
      <c r="M1091">
        <f>IF(AND(A1091=Dashboard!$D$6,OR(Dashboard!$C$6="*",F1091=Dashboard!$C$6),L1091&lt;&gt;""),ABS(I1091)+ROW()/1000000000,0)</f>
        <v/>
      </c>
    </row>
    <row r="1092">
      <c r="A1092">
        <f>Data_thang!A1092</f>
        <v/>
      </c>
      <c r="B1092">
        <f>Data_thang!B1092</f>
        <v/>
      </c>
      <c r="C1092">
        <f>Data_thang!D1092</f>
        <v/>
      </c>
      <c r="D1092">
        <f>Data_thang!E1092</f>
        <v/>
      </c>
      <c r="E1092">
        <f>Data_thang!F1092</f>
        <v/>
      </c>
      <c r="F1092">
        <f>Data_thang!G1092</f>
        <v/>
      </c>
      <c r="G1092" s="29">
        <f>Data_thang!J1092-Data_thang!K1092</f>
        <v/>
      </c>
      <c r="H1092" s="29">
        <f>Data_thang!N1092</f>
        <v/>
      </c>
      <c r="I1092" s="29">
        <f>H1092-G1092</f>
        <v/>
      </c>
      <c r="J1092" s="30">
        <f>IF(H1092=0,IF(I1092=0,0,1),I1092/ABS(H1092))</f>
        <v/>
      </c>
      <c r="K1092" s="29">
        <f>H1092-(Data_thang!O1092-Data_thang!K1092)</f>
        <v/>
      </c>
      <c r="L1092">
        <f>IF(AND(ABS(I1092)&gt;Dashboard!$G$6,ABS(J1092)&gt;Dashboard!$H$6),"⚠ Vượt","")</f>
        <v/>
      </c>
      <c r="M1092">
        <f>IF(AND(A1092=Dashboard!$D$6,OR(Dashboard!$C$6="*",F1092=Dashboard!$C$6),L1092&lt;&gt;""),ABS(I1092)+ROW()/1000000000,0)</f>
        <v/>
      </c>
    </row>
    <row r="1093">
      <c r="A1093">
        <f>Data_thang!A1093</f>
        <v/>
      </c>
      <c r="B1093">
        <f>Data_thang!B1093</f>
        <v/>
      </c>
      <c r="C1093">
        <f>Data_thang!D1093</f>
        <v/>
      </c>
      <c r="D1093">
        <f>Data_thang!E1093</f>
        <v/>
      </c>
      <c r="E1093">
        <f>Data_thang!F1093</f>
        <v/>
      </c>
      <c r="F1093">
        <f>Data_thang!G1093</f>
        <v/>
      </c>
      <c r="G1093" s="29">
        <f>Data_thang!J1093-Data_thang!K1093</f>
        <v/>
      </c>
      <c r="H1093" s="29">
        <f>Data_thang!N1093</f>
        <v/>
      </c>
      <c r="I1093" s="29">
        <f>H1093-G1093</f>
        <v/>
      </c>
      <c r="J1093" s="30">
        <f>IF(H1093=0,IF(I1093=0,0,1),I1093/ABS(H1093))</f>
        <v/>
      </c>
      <c r="K1093" s="29">
        <f>H1093-(Data_thang!O1093-Data_thang!K1093)</f>
        <v/>
      </c>
      <c r="L1093">
        <f>IF(AND(ABS(I1093)&gt;Dashboard!$G$6,ABS(J1093)&gt;Dashboard!$H$6),"⚠ Vượt","")</f>
        <v/>
      </c>
      <c r="M1093">
        <f>IF(AND(A1093=Dashboard!$D$6,OR(Dashboard!$C$6="*",F1093=Dashboard!$C$6),L1093&lt;&gt;""),ABS(I1093)+ROW()/1000000000,0)</f>
        <v/>
      </c>
    </row>
    <row r="1094">
      <c r="A1094">
        <f>Data_thang!A1094</f>
        <v/>
      </c>
      <c r="B1094">
        <f>Data_thang!B1094</f>
        <v/>
      </c>
      <c r="C1094">
        <f>Data_thang!D1094</f>
        <v/>
      </c>
      <c r="D1094">
        <f>Data_thang!E1094</f>
        <v/>
      </c>
      <c r="E1094">
        <f>Data_thang!F1094</f>
        <v/>
      </c>
      <c r="F1094">
        <f>Data_thang!G1094</f>
        <v/>
      </c>
      <c r="G1094" s="29">
        <f>Data_thang!J1094-Data_thang!K1094</f>
        <v/>
      </c>
      <c r="H1094" s="29">
        <f>Data_thang!N1094</f>
        <v/>
      </c>
      <c r="I1094" s="29">
        <f>H1094-G1094</f>
        <v/>
      </c>
      <c r="J1094" s="30">
        <f>IF(H1094=0,IF(I1094=0,0,1),I1094/ABS(H1094))</f>
        <v/>
      </c>
      <c r="K1094" s="29">
        <f>H1094-(Data_thang!O1094-Data_thang!K1094)</f>
        <v/>
      </c>
      <c r="L1094">
        <f>IF(AND(ABS(I1094)&gt;Dashboard!$G$6,ABS(J1094)&gt;Dashboard!$H$6),"⚠ Vượt","")</f>
        <v/>
      </c>
      <c r="M1094">
        <f>IF(AND(A1094=Dashboard!$D$6,OR(Dashboard!$C$6="*",F1094=Dashboard!$C$6),L1094&lt;&gt;""),ABS(I1094)+ROW()/1000000000,0)</f>
        <v/>
      </c>
    </row>
    <row r="1095">
      <c r="A1095">
        <f>Data_thang!A1095</f>
        <v/>
      </c>
      <c r="B1095">
        <f>Data_thang!B1095</f>
        <v/>
      </c>
      <c r="C1095">
        <f>Data_thang!D1095</f>
        <v/>
      </c>
      <c r="D1095">
        <f>Data_thang!E1095</f>
        <v/>
      </c>
      <c r="E1095">
        <f>Data_thang!F1095</f>
        <v/>
      </c>
      <c r="F1095">
        <f>Data_thang!G1095</f>
        <v/>
      </c>
      <c r="G1095" s="29">
        <f>Data_thang!J1095-Data_thang!K1095</f>
        <v/>
      </c>
      <c r="H1095" s="29">
        <f>Data_thang!N1095</f>
        <v/>
      </c>
      <c r="I1095" s="29">
        <f>H1095-G1095</f>
        <v/>
      </c>
      <c r="J1095" s="30">
        <f>IF(H1095=0,IF(I1095=0,0,1),I1095/ABS(H1095))</f>
        <v/>
      </c>
      <c r="K1095" s="29">
        <f>H1095-(Data_thang!O1095-Data_thang!K1095)</f>
        <v/>
      </c>
      <c r="L1095">
        <f>IF(AND(ABS(I1095)&gt;Dashboard!$G$6,ABS(J1095)&gt;Dashboard!$H$6),"⚠ Vượt","")</f>
        <v/>
      </c>
      <c r="M1095">
        <f>IF(AND(A1095=Dashboard!$D$6,OR(Dashboard!$C$6="*",F1095=Dashboard!$C$6),L1095&lt;&gt;""),ABS(I1095)+ROW()/1000000000,0)</f>
        <v/>
      </c>
    </row>
    <row r="1096">
      <c r="A1096">
        <f>Data_thang!A1096</f>
        <v/>
      </c>
      <c r="B1096">
        <f>Data_thang!B1096</f>
        <v/>
      </c>
      <c r="C1096">
        <f>Data_thang!D1096</f>
        <v/>
      </c>
      <c r="D1096">
        <f>Data_thang!E1096</f>
        <v/>
      </c>
      <c r="E1096">
        <f>Data_thang!F1096</f>
        <v/>
      </c>
      <c r="F1096">
        <f>Data_thang!G1096</f>
        <v/>
      </c>
      <c r="G1096" s="29">
        <f>Data_thang!J1096-Data_thang!K1096</f>
        <v/>
      </c>
      <c r="H1096" s="29">
        <f>Data_thang!N1096</f>
        <v/>
      </c>
      <c r="I1096" s="29">
        <f>H1096-G1096</f>
        <v/>
      </c>
      <c r="J1096" s="30">
        <f>IF(H1096=0,IF(I1096=0,0,1),I1096/ABS(H1096))</f>
        <v/>
      </c>
      <c r="K1096" s="29">
        <f>H1096-(Data_thang!O1096-Data_thang!K1096)</f>
        <v/>
      </c>
      <c r="L1096">
        <f>IF(AND(ABS(I1096)&gt;Dashboard!$G$6,ABS(J1096)&gt;Dashboard!$H$6),"⚠ Vượt","")</f>
        <v/>
      </c>
      <c r="M1096">
        <f>IF(AND(A1096=Dashboard!$D$6,OR(Dashboard!$C$6="*",F1096=Dashboard!$C$6),L1096&lt;&gt;""),ABS(I1096)+ROW()/1000000000,0)</f>
        <v/>
      </c>
    </row>
    <row r="1097">
      <c r="A1097">
        <f>Data_thang!A1097</f>
        <v/>
      </c>
      <c r="B1097">
        <f>Data_thang!B1097</f>
        <v/>
      </c>
      <c r="C1097">
        <f>Data_thang!D1097</f>
        <v/>
      </c>
      <c r="D1097">
        <f>Data_thang!E1097</f>
        <v/>
      </c>
      <c r="E1097">
        <f>Data_thang!F1097</f>
        <v/>
      </c>
      <c r="F1097">
        <f>Data_thang!G1097</f>
        <v/>
      </c>
      <c r="G1097" s="29">
        <f>Data_thang!J1097-Data_thang!K1097</f>
        <v/>
      </c>
      <c r="H1097" s="29">
        <f>Data_thang!N1097</f>
        <v/>
      </c>
      <c r="I1097" s="29">
        <f>H1097-G1097</f>
        <v/>
      </c>
      <c r="J1097" s="30">
        <f>IF(H1097=0,IF(I1097=0,0,1),I1097/ABS(H1097))</f>
        <v/>
      </c>
      <c r="K1097" s="29">
        <f>H1097-(Data_thang!O1097-Data_thang!K1097)</f>
        <v/>
      </c>
      <c r="L1097">
        <f>IF(AND(ABS(I1097)&gt;Dashboard!$G$6,ABS(J1097)&gt;Dashboard!$H$6),"⚠ Vượt","")</f>
        <v/>
      </c>
      <c r="M1097">
        <f>IF(AND(A1097=Dashboard!$D$6,OR(Dashboard!$C$6="*",F1097=Dashboard!$C$6),L1097&lt;&gt;""),ABS(I1097)+ROW()/1000000000,0)</f>
        <v/>
      </c>
    </row>
    <row r="1098">
      <c r="A1098">
        <f>Data_thang!A1098</f>
        <v/>
      </c>
      <c r="B1098">
        <f>Data_thang!B1098</f>
        <v/>
      </c>
      <c r="C1098">
        <f>Data_thang!D1098</f>
        <v/>
      </c>
      <c r="D1098">
        <f>Data_thang!E1098</f>
        <v/>
      </c>
      <c r="E1098">
        <f>Data_thang!F1098</f>
        <v/>
      </c>
      <c r="F1098">
        <f>Data_thang!G1098</f>
        <v/>
      </c>
      <c r="G1098" s="29">
        <f>Data_thang!J1098-Data_thang!K1098</f>
        <v/>
      </c>
      <c r="H1098" s="29">
        <f>Data_thang!N1098</f>
        <v/>
      </c>
      <c r="I1098" s="29">
        <f>H1098-G1098</f>
        <v/>
      </c>
      <c r="J1098" s="30">
        <f>IF(H1098=0,IF(I1098=0,0,1),I1098/ABS(H1098))</f>
        <v/>
      </c>
      <c r="K1098" s="29">
        <f>H1098-(Data_thang!O1098-Data_thang!K1098)</f>
        <v/>
      </c>
      <c r="L1098">
        <f>IF(AND(ABS(I1098)&gt;Dashboard!$G$6,ABS(J1098)&gt;Dashboard!$H$6),"⚠ Vượt","")</f>
        <v/>
      </c>
      <c r="M1098">
        <f>IF(AND(A1098=Dashboard!$D$6,OR(Dashboard!$C$6="*",F1098=Dashboard!$C$6),L1098&lt;&gt;""),ABS(I1098)+ROW()/1000000000,0)</f>
        <v/>
      </c>
    </row>
    <row r="1099">
      <c r="A1099">
        <f>Data_thang!A1099</f>
        <v/>
      </c>
      <c r="B1099">
        <f>Data_thang!B1099</f>
        <v/>
      </c>
      <c r="C1099">
        <f>Data_thang!D1099</f>
        <v/>
      </c>
      <c r="D1099">
        <f>Data_thang!E1099</f>
        <v/>
      </c>
      <c r="E1099">
        <f>Data_thang!F1099</f>
        <v/>
      </c>
      <c r="F1099">
        <f>Data_thang!G1099</f>
        <v/>
      </c>
      <c r="G1099" s="29">
        <f>Data_thang!J1099-Data_thang!K1099</f>
        <v/>
      </c>
      <c r="H1099" s="29">
        <f>Data_thang!N1099</f>
        <v/>
      </c>
      <c r="I1099" s="29">
        <f>H1099-G1099</f>
        <v/>
      </c>
      <c r="J1099" s="30">
        <f>IF(H1099=0,IF(I1099=0,0,1),I1099/ABS(H1099))</f>
        <v/>
      </c>
      <c r="K1099" s="29">
        <f>H1099-(Data_thang!O1099-Data_thang!K1099)</f>
        <v/>
      </c>
      <c r="L1099">
        <f>IF(AND(ABS(I1099)&gt;Dashboard!$G$6,ABS(J1099)&gt;Dashboard!$H$6),"⚠ Vượt","")</f>
        <v/>
      </c>
      <c r="M1099">
        <f>IF(AND(A1099=Dashboard!$D$6,OR(Dashboard!$C$6="*",F1099=Dashboard!$C$6),L1099&lt;&gt;""),ABS(I1099)+ROW()/1000000000,0)</f>
        <v/>
      </c>
    </row>
    <row r="1100">
      <c r="A1100">
        <f>Data_thang!A1100</f>
        <v/>
      </c>
      <c r="B1100">
        <f>Data_thang!B1100</f>
        <v/>
      </c>
      <c r="C1100">
        <f>Data_thang!D1100</f>
        <v/>
      </c>
      <c r="D1100">
        <f>Data_thang!E1100</f>
        <v/>
      </c>
      <c r="E1100">
        <f>Data_thang!F1100</f>
        <v/>
      </c>
      <c r="F1100">
        <f>Data_thang!G1100</f>
        <v/>
      </c>
      <c r="G1100" s="29">
        <f>Data_thang!J1100-Data_thang!K1100</f>
        <v/>
      </c>
      <c r="H1100" s="29">
        <f>Data_thang!N1100</f>
        <v/>
      </c>
      <c r="I1100" s="29">
        <f>H1100-G1100</f>
        <v/>
      </c>
      <c r="J1100" s="30">
        <f>IF(H1100=0,IF(I1100=0,0,1),I1100/ABS(H1100))</f>
        <v/>
      </c>
      <c r="K1100" s="29">
        <f>H1100-(Data_thang!O1100-Data_thang!K1100)</f>
        <v/>
      </c>
      <c r="L1100">
        <f>IF(AND(ABS(I1100)&gt;Dashboard!$G$6,ABS(J1100)&gt;Dashboard!$H$6),"⚠ Vượt","")</f>
        <v/>
      </c>
      <c r="M1100">
        <f>IF(AND(A1100=Dashboard!$D$6,OR(Dashboard!$C$6="*",F1100=Dashboard!$C$6),L1100&lt;&gt;""),ABS(I1100)+ROW()/1000000000,0)</f>
        <v/>
      </c>
    </row>
    <row r="1101">
      <c r="A1101">
        <f>Data_thang!A1101</f>
        <v/>
      </c>
      <c r="B1101">
        <f>Data_thang!B1101</f>
        <v/>
      </c>
      <c r="C1101">
        <f>Data_thang!D1101</f>
        <v/>
      </c>
      <c r="D1101">
        <f>Data_thang!E1101</f>
        <v/>
      </c>
      <c r="E1101">
        <f>Data_thang!F1101</f>
        <v/>
      </c>
      <c r="F1101">
        <f>Data_thang!G1101</f>
        <v/>
      </c>
      <c r="G1101" s="29">
        <f>Data_thang!J1101-Data_thang!K1101</f>
        <v/>
      </c>
      <c r="H1101" s="29">
        <f>Data_thang!N1101</f>
        <v/>
      </c>
      <c r="I1101" s="29">
        <f>H1101-G1101</f>
        <v/>
      </c>
      <c r="J1101" s="30">
        <f>IF(H1101=0,IF(I1101=0,0,1),I1101/ABS(H1101))</f>
        <v/>
      </c>
      <c r="K1101" s="29">
        <f>H1101-(Data_thang!O1101-Data_thang!K1101)</f>
        <v/>
      </c>
      <c r="L1101">
        <f>IF(AND(ABS(I1101)&gt;Dashboard!$G$6,ABS(J1101)&gt;Dashboard!$H$6),"⚠ Vượt","")</f>
        <v/>
      </c>
      <c r="M1101">
        <f>IF(AND(A1101=Dashboard!$D$6,OR(Dashboard!$C$6="*",F1101=Dashboard!$C$6),L1101&lt;&gt;""),ABS(I1101)+ROW()/1000000000,0)</f>
        <v/>
      </c>
    </row>
    <row r="1102">
      <c r="A1102">
        <f>Data_thang!A1102</f>
        <v/>
      </c>
      <c r="B1102">
        <f>Data_thang!B1102</f>
        <v/>
      </c>
      <c r="C1102">
        <f>Data_thang!D1102</f>
        <v/>
      </c>
      <c r="D1102">
        <f>Data_thang!E1102</f>
        <v/>
      </c>
      <c r="E1102">
        <f>Data_thang!F1102</f>
        <v/>
      </c>
      <c r="F1102">
        <f>Data_thang!G1102</f>
        <v/>
      </c>
      <c r="G1102" s="29">
        <f>Data_thang!J1102-Data_thang!K1102</f>
        <v/>
      </c>
      <c r="H1102" s="29">
        <f>Data_thang!N1102</f>
        <v/>
      </c>
      <c r="I1102" s="29">
        <f>H1102-G1102</f>
        <v/>
      </c>
      <c r="J1102" s="30">
        <f>IF(H1102=0,IF(I1102=0,0,1),I1102/ABS(H1102))</f>
        <v/>
      </c>
      <c r="K1102" s="29">
        <f>H1102-(Data_thang!O1102-Data_thang!K1102)</f>
        <v/>
      </c>
      <c r="L1102">
        <f>IF(AND(ABS(I1102)&gt;Dashboard!$G$6,ABS(J1102)&gt;Dashboard!$H$6),"⚠ Vượt","")</f>
        <v/>
      </c>
      <c r="M1102">
        <f>IF(AND(A1102=Dashboard!$D$6,OR(Dashboard!$C$6="*",F1102=Dashboard!$C$6),L1102&lt;&gt;""),ABS(I1102)+ROW()/1000000000,0)</f>
        <v/>
      </c>
    </row>
    <row r="1103">
      <c r="A1103">
        <f>Data_thang!A1103</f>
        <v/>
      </c>
      <c r="B1103">
        <f>Data_thang!B1103</f>
        <v/>
      </c>
      <c r="C1103">
        <f>Data_thang!D1103</f>
        <v/>
      </c>
      <c r="D1103">
        <f>Data_thang!E1103</f>
        <v/>
      </c>
      <c r="E1103">
        <f>Data_thang!F1103</f>
        <v/>
      </c>
      <c r="F1103">
        <f>Data_thang!G1103</f>
        <v/>
      </c>
      <c r="G1103" s="29">
        <f>Data_thang!J1103-Data_thang!K1103</f>
        <v/>
      </c>
      <c r="H1103" s="29">
        <f>Data_thang!N1103</f>
        <v/>
      </c>
      <c r="I1103" s="29">
        <f>H1103-G1103</f>
        <v/>
      </c>
      <c r="J1103" s="30">
        <f>IF(H1103=0,IF(I1103=0,0,1),I1103/ABS(H1103))</f>
        <v/>
      </c>
      <c r="K1103" s="29">
        <f>H1103-(Data_thang!O1103-Data_thang!K1103)</f>
        <v/>
      </c>
      <c r="L1103">
        <f>IF(AND(ABS(I1103)&gt;Dashboard!$G$6,ABS(J1103)&gt;Dashboard!$H$6),"⚠ Vượt","")</f>
        <v/>
      </c>
      <c r="M1103">
        <f>IF(AND(A1103=Dashboard!$D$6,OR(Dashboard!$C$6="*",F1103=Dashboard!$C$6),L1103&lt;&gt;""),ABS(I1103)+ROW()/1000000000,0)</f>
        <v/>
      </c>
    </row>
    <row r="1104">
      <c r="A1104">
        <f>Data_thang!A1104</f>
        <v/>
      </c>
      <c r="B1104">
        <f>Data_thang!B1104</f>
        <v/>
      </c>
      <c r="C1104">
        <f>Data_thang!D1104</f>
        <v/>
      </c>
      <c r="D1104">
        <f>Data_thang!E1104</f>
        <v/>
      </c>
      <c r="E1104">
        <f>Data_thang!F1104</f>
        <v/>
      </c>
      <c r="F1104">
        <f>Data_thang!G1104</f>
        <v/>
      </c>
      <c r="G1104" s="29">
        <f>Data_thang!J1104-Data_thang!K1104</f>
        <v/>
      </c>
      <c r="H1104" s="29">
        <f>Data_thang!N1104</f>
        <v/>
      </c>
      <c r="I1104" s="29">
        <f>H1104-G1104</f>
        <v/>
      </c>
      <c r="J1104" s="30">
        <f>IF(H1104=0,IF(I1104=0,0,1),I1104/ABS(H1104))</f>
        <v/>
      </c>
      <c r="K1104" s="29">
        <f>H1104-(Data_thang!O1104-Data_thang!K1104)</f>
        <v/>
      </c>
      <c r="L1104">
        <f>IF(AND(ABS(I1104)&gt;Dashboard!$G$6,ABS(J1104)&gt;Dashboard!$H$6),"⚠ Vượt","")</f>
        <v/>
      </c>
      <c r="M1104">
        <f>IF(AND(A1104=Dashboard!$D$6,OR(Dashboard!$C$6="*",F1104=Dashboard!$C$6),L1104&lt;&gt;""),ABS(I1104)+ROW()/1000000000,0)</f>
        <v/>
      </c>
    </row>
    <row r="1105">
      <c r="A1105">
        <f>Data_thang!A1105</f>
        <v/>
      </c>
      <c r="B1105">
        <f>Data_thang!B1105</f>
        <v/>
      </c>
      <c r="C1105">
        <f>Data_thang!D1105</f>
        <v/>
      </c>
      <c r="D1105">
        <f>Data_thang!E1105</f>
        <v/>
      </c>
      <c r="E1105">
        <f>Data_thang!F1105</f>
        <v/>
      </c>
      <c r="F1105">
        <f>Data_thang!G1105</f>
        <v/>
      </c>
      <c r="G1105" s="29">
        <f>Data_thang!J1105-Data_thang!K1105</f>
        <v/>
      </c>
      <c r="H1105" s="29">
        <f>Data_thang!N1105</f>
        <v/>
      </c>
      <c r="I1105" s="29">
        <f>H1105-G1105</f>
        <v/>
      </c>
      <c r="J1105" s="30">
        <f>IF(H1105=0,IF(I1105=0,0,1),I1105/ABS(H1105))</f>
        <v/>
      </c>
      <c r="K1105" s="29">
        <f>H1105-(Data_thang!O1105-Data_thang!K1105)</f>
        <v/>
      </c>
      <c r="L1105">
        <f>IF(AND(ABS(I1105)&gt;Dashboard!$G$6,ABS(J1105)&gt;Dashboard!$H$6),"⚠ Vượt","")</f>
        <v/>
      </c>
      <c r="M1105">
        <f>IF(AND(A1105=Dashboard!$D$6,OR(Dashboard!$C$6="*",F1105=Dashboard!$C$6),L1105&lt;&gt;""),ABS(I1105)+ROW()/1000000000,0)</f>
        <v/>
      </c>
    </row>
    <row r="1106">
      <c r="A1106">
        <f>Data_thang!A1106</f>
        <v/>
      </c>
      <c r="B1106">
        <f>Data_thang!B1106</f>
        <v/>
      </c>
      <c r="C1106">
        <f>Data_thang!D1106</f>
        <v/>
      </c>
      <c r="D1106">
        <f>Data_thang!E1106</f>
        <v/>
      </c>
      <c r="E1106">
        <f>Data_thang!F1106</f>
        <v/>
      </c>
      <c r="F1106">
        <f>Data_thang!G1106</f>
        <v/>
      </c>
      <c r="G1106" s="29">
        <f>Data_thang!J1106-Data_thang!K1106</f>
        <v/>
      </c>
      <c r="H1106" s="29">
        <f>Data_thang!N1106</f>
        <v/>
      </c>
      <c r="I1106" s="29">
        <f>H1106-G1106</f>
        <v/>
      </c>
      <c r="J1106" s="30">
        <f>IF(H1106=0,IF(I1106=0,0,1),I1106/ABS(H1106))</f>
        <v/>
      </c>
      <c r="K1106" s="29">
        <f>H1106-(Data_thang!O1106-Data_thang!K1106)</f>
        <v/>
      </c>
      <c r="L1106">
        <f>IF(AND(ABS(I1106)&gt;Dashboard!$G$6,ABS(J1106)&gt;Dashboard!$H$6),"⚠ Vượt","")</f>
        <v/>
      </c>
      <c r="M1106">
        <f>IF(AND(A1106=Dashboard!$D$6,OR(Dashboard!$C$6="*",F1106=Dashboard!$C$6),L1106&lt;&gt;""),ABS(I1106)+ROW()/1000000000,0)</f>
        <v/>
      </c>
    </row>
    <row r="1107">
      <c r="A1107">
        <f>Data_thang!A1107</f>
        <v/>
      </c>
      <c r="B1107">
        <f>Data_thang!B1107</f>
        <v/>
      </c>
      <c r="C1107">
        <f>Data_thang!D1107</f>
        <v/>
      </c>
      <c r="D1107">
        <f>Data_thang!E1107</f>
        <v/>
      </c>
      <c r="E1107">
        <f>Data_thang!F1107</f>
        <v/>
      </c>
      <c r="F1107">
        <f>Data_thang!G1107</f>
        <v/>
      </c>
      <c r="G1107" s="29">
        <f>Data_thang!J1107-Data_thang!K1107</f>
        <v/>
      </c>
      <c r="H1107" s="29">
        <f>Data_thang!N1107</f>
        <v/>
      </c>
      <c r="I1107" s="29">
        <f>H1107-G1107</f>
        <v/>
      </c>
      <c r="J1107" s="30">
        <f>IF(H1107=0,IF(I1107=0,0,1),I1107/ABS(H1107))</f>
        <v/>
      </c>
      <c r="K1107" s="29">
        <f>H1107-(Data_thang!O1107-Data_thang!K1107)</f>
        <v/>
      </c>
      <c r="L1107">
        <f>IF(AND(ABS(I1107)&gt;Dashboard!$G$6,ABS(J1107)&gt;Dashboard!$H$6),"⚠ Vượt","")</f>
        <v/>
      </c>
      <c r="M1107">
        <f>IF(AND(A1107=Dashboard!$D$6,OR(Dashboard!$C$6="*",F1107=Dashboard!$C$6),L1107&lt;&gt;""),ABS(I1107)+ROW()/1000000000,0)</f>
        <v/>
      </c>
    </row>
    <row r="1108">
      <c r="A1108">
        <f>Data_thang!A1108</f>
        <v/>
      </c>
      <c r="B1108">
        <f>Data_thang!B1108</f>
        <v/>
      </c>
      <c r="C1108">
        <f>Data_thang!D1108</f>
        <v/>
      </c>
      <c r="D1108">
        <f>Data_thang!E1108</f>
        <v/>
      </c>
      <c r="E1108">
        <f>Data_thang!F1108</f>
        <v/>
      </c>
      <c r="F1108">
        <f>Data_thang!G1108</f>
        <v/>
      </c>
      <c r="G1108" s="29">
        <f>Data_thang!J1108-Data_thang!K1108</f>
        <v/>
      </c>
      <c r="H1108" s="29">
        <f>Data_thang!N1108</f>
        <v/>
      </c>
      <c r="I1108" s="29">
        <f>H1108-G1108</f>
        <v/>
      </c>
      <c r="J1108" s="30">
        <f>IF(H1108=0,IF(I1108=0,0,1),I1108/ABS(H1108))</f>
        <v/>
      </c>
      <c r="K1108" s="29">
        <f>H1108-(Data_thang!O1108-Data_thang!K1108)</f>
        <v/>
      </c>
      <c r="L1108">
        <f>IF(AND(ABS(I1108)&gt;Dashboard!$G$6,ABS(J1108)&gt;Dashboard!$H$6),"⚠ Vượt","")</f>
        <v/>
      </c>
      <c r="M1108">
        <f>IF(AND(A1108=Dashboard!$D$6,OR(Dashboard!$C$6="*",F1108=Dashboard!$C$6),L1108&lt;&gt;""),ABS(I1108)+ROW()/1000000000,0)</f>
        <v/>
      </c>
    </row>
    <row r="1109">
      <c r="A1109">
        <f>Data_thang!A1109</f>
        <v/>
      </c>
      <c r="B1109">
        <f>Data_thang!B1109</f>
        <v/>
      </c>
      <c r="C1109">
        <f>Data_thang!D1109</f>
        <v/>
      </c>
      <c r="D1109">
        <f>Data_thang!E1109</f>
        <v/>
      </c>
      <c r="E1109">
        <f>Data_thang!F1109</f>
        <v/>
      </c>
      <c r="F1109">
        <f>Data_thang!G1109</f>
        <v/>
      </c>
      <c r="G1109" s="29">
        <f>Data_thang!J1109-Data_thang!K1109</f>
        <v/>
      </c>
      <c r="H1109" s="29">
        <f>Data_thang!N1109</f>
        <v/>
      </c>
      <c r="I1109" s="29">
        <f>H1109-G1109</f>
        <v/>
      </c>
      <c r="J1109" s="30">
        <f>IF(H1109=0,IF(I1109=0,0,1),I1109/ABS(H1109))</f>
        <v/>
      </c>
      <c r="K1109" s="29">
        <f>H1109-(Data_thang!O1109-Data_thang!K1109)</f>
        <v/>
      </c>
      <c r="L1109">
        <f>IF(AND(ABS(I1109)&gt;Dashboard!$G$6,ABS(J1109)&gt;Dashboard!$H$6),"⚠ Vượt","")</f>
        <v/>
      </c>
      <c r="M1109">
        <f>IF(AND(A1109=Dashboard!$D$6,OR(Dashboard!$C$6="*",F1109=Dashboard!$C$6),L1109&lt;&gt;""),ABS(I1109)+ROW()/1000000000,0)</f>
        <v/>
      </c>
    </row>
    <row r="1110">
      <c r="A1110">
        <f>Data_thang!A1110</f>
        <v/>
      </c>
      <c r="B1110">
        <f>Data_thang!B1110</f>
        <v/>
      </c>
      <c r="C1110">
        <f>Data_thang!D1110</f>
        <v/>
      </c>
      <c r="D1110">
        <f>Data_thang!E1110</f>
        <v/>
      </c>
      <c r="E1110">
        <f>Data_thang!F1110</f>
        <v/>
      </c>
      <c r="F1110">
        <f>Data_thang!G1110</f>
        <v/>
      </c>
      <c r="G1110" s="29">
        <f>Data_thang!J1110-Data_thang!K1110</f>
        <v/>
      </c>
      <c r="H1110" s="29">
        <f>Data_thang!N1110</f>
        <v/>
      </c>
      <c r="I1110" s="29">
        <f>H1110-G1110</f>
        <v/>
      </c>
      <c r="J1110" s="30">
        <f>IF(H1110=0,IF(I1110=0,0,1),I1110/ABS(H1110))</f>
        <v/>
      </c>
      <c r="K1110" s="29">
        <f>H1110-(Data_thang!O1110-Data_thang!K1110)</f>
        <v/>
      </c>
      <c r="L1110">
        <f>IF(AND(ABS(I1110)&gt;Dashboard!$G$6,ABS(J1110)&gt;Dashboard!$H$6),"⚠ Vượt","")</f>
        <v/>
      </c>
      <c r="M1110">
        <f>IF(AND(A1110=Dashboard!$D$6,OR(Dashboard!$C$6="*",F1110=Dashboard!$C$6),L1110&lt;&gt;""),ABS(I1110)+ROW()/1000000000,0)</f>
        <v/>
      </c>
    </row>
    <row r="1111">
      <c r="A1111">
        <f>Data_thang!A1111</f>
        <v/>
      </c>
      <c r="B1111">
        <f>Data_thang!B1111</f>
        <v/>
      </c>
      <c r="C1111">
        <f>Data_thang!D1111</f>
        <v/>
      </c>
      <c r="D1111">
        <f>Data_thang!E1111</f>
        <v/>
      </c>
      <c r="E1111">
        <f>Data_thang!F1111</f>
        <v/>
      </c>
      <c r="F1111">
        <f>Data_thang!G1111</f>
        <v/>
      </c>
      <c r="G1111" s="29">
        <f>Data_thang!J1111-Data_thang!K1111</f>
        <v/>
      </c>
      <c r="H1111" s="29">
        <f>Data_thang!N1111</f>
        <v/>
      </c>
      <c r="I1111" s="29">
        <f>H1111-G1111</f>
        <v/>
      </c>
      <c r="J1111" s="30">
        <f>IF(H1111=0,IF(I1111=0,0,1),I1111/ABS(H1111))</f>
        <v/>
      </c>
      <c r="K1111" s="29">
        <f>H1111-(Data_thang!O1111-Data_thang!K1111)</f>
        <v/>
      </c>
      <c r="L1111">
        <f>IF(AND(ABS(I1111)&gt;Dashboard!$G$6,ABS(J1111)&gt;Dashboard!$H$6),"⚠ Vượt","")</f>
        <v/>
      </c>
      <c r="M1111">
        <f>IF(AND(A1111=Dashboard!$D$6,OR(Dashboard!$C$6="*",F1111=Dashboard!$C$6),L1111&lt;&gt;""),ABS(I1111)+ROW()/1000000000,0)</f>
        <v/>
      </c>
    </row>
    <row r="1112">
      <c r="A1112">
        <f>Data_thang!A1112</f>
        <v/>
      </c>
      <c r="B1112">
        <f>Data_thang!B1112</f>
        <v/>
      </c>
      <c r="C1112">
        <f>Data_thang!D1112</f>
        <v/>
      </c>
      <c r="D1112">
        <f>Data_thang!E1112</f>
        <v/>
      </c>
      <c r="E1112">
        <f>Data_thang!F1112</f>
        <v/>
      </c>
      <c r="F1112">
        <f>Data_thang!G1112</f>
        <v/>
      </c>
      <c r="G1112" s="29">
        <f>Data_thang!J1112-Data_thang!K1112</f>
        <v/>
      </c>
      <c r="H1112" s="29">
        <f>Data_thang!N1112</f>
        <v/>
      </c>
      <c r="I1112" s="29">
        <f>H1112-G1112</f>
        <v/>
      </c>
      <c r="J1112" s="30">
        <f>IF(H1112=0,IF(I1112=0,0,1),I1112/ABS(H1112))</f>
        <v/>
      </c>
      <c r="K1112" s="29">
        <f>H1112-(Data_thang!O1112-Data_thang!K1112)</f>
        <v/>
      </c>
      <c r="L1112">
        <f>IF(AND(ABS(I1112)&gt;Dashboard!$G$6,ABS(J1112)&gt;Dashboard!$H$6),"⚠ Vượt","")</f>
        <v/>
      </c>
      <c r="M1112">
        <f>IF(AND(A1112=Dashboard!$D$6,OR(Dashboard!$C$6="*",F1112=Dashboard!$C$6),L1112&lt;&gt;""),ABS(I1112)+ROW()/1000000000,0)</f>
        <v/>
      </c>
    </row>
    <row r="1113">
      <c r="A1113">
        <f>Data_thang!A1113</f>
        <v/>
      </c>
      <c r="B1113">
        <f>Data_thang!B1113</f>
        <v/>
      </c>
      <c r="C1113">
        <f>Data_thang!D1113</f>
        <v/>
      </c>
      <c r="D1113">
        <f>Data_thang!E1113</f>
        <v/>
      </c>
      <c r="E1113">
        <f>Data_thang!F1113</f>
        <v/>
      </c>
      <c r="F1113">
        <f>Data_thang!G1113</f>
        <v/>
      </c>
      <c r="G1113" s="29">
        <f>Data_thang!J1113-Data_thang!K1113</f>
        <v/>
      </c>
      <c r="H1113" s="29">
        <f>Data_thang!N1113</f>
        <v/>
      </c>
      <c r="I1113" s="29">
        <f>H1113-G1113</f>
        <v/>
      </c>
      <c r="J1113" s="30">
        <f>IF(H1113=0,IF(I1113=0,0,1),I1113/ABS(H1113))</f>
        <v/>
      </c>
      <c r="K1113" s="29">
        <f>H1113-(Data_thang!O1113-Data_thang!K1113)</f>
        <v/>
      </c>
      <c r="L1113">
        <f>IF(AND(ABS(I1113)&gt;Dashboard!$G$6,ABS(J1113)&gt;Dashboard!$H$6),"⚠ Vượt","")</f>
        <v/>
      </c>
      <c r="M1113">
        <f>IF(AND(A1113=Dashboard!$D$6,OR(Dashboard!$C$6="*",F1113=Dashboard!$C$6),L1113&lt;&gt;""),ABS(I1113)+ROW()/1000000000,0)</f>
        <v/>
      </c>
    </row>
    <row r="1114">
      <c r="A1114">
        <f>Data_thang!A1114</f>
        <v/>
      </c>
      <c r="B1114">
        <f>Data_thang!B1114</f>
        <v/>
      </c>
      <c r="C1114">
        <f>Data_thang!D1114</f>
        <v/>
      </c>
      <c r="D1114">
        <f>Data_thang!E1114</f>
        <v/>
      </c>
      <c r="E1114">
        <f>Data_thang!F1114</f>
        <v/>
      </c>
      <c r="F1114">
        <f>Data_thang!G1114</f>
        <v/>
      </c>
      <c r="G1114" s="29">
        <f>Data_thang!J1114-Data_thang!K1114</f>
        <v/>
      </c>
      <c r="H1114" s="29">
        <f>Data_thang!N1114</f>
        <v/>
      </c>
      <c r="I1114" s="29">
        <f>H1114-G1114</f>
        <v/>
      </c>
      <c r="J1114" s="30">
        <f>IF(H1114=0,IF(I1114=0,0,1),I1114/ABS(H1114))</f>
        <v/>
      </c>
      <c r="K1114" s="29">
        <f>H1114-(Data_thang!O1114-Data_thang!K1114)</f>
        <v/>
      </c>
      <c r="L1114">
        <f>IF(AND(ABS(I1114)&gt;Dashboard!$G$6,ABS(J1114)&gt;Dashboard!$H$6),"⚠ Vượt","")</f>
        <v/>
      </c>
      <c r="M1114">
        <f>IF(AND(A1114=Dashboard!$D$6,OR(Dashboard!$C$6="*",F1114=Dashboard!$C$6),L1114&lt;&gt;""),ABS(I1114)+ROW()/1000000000,0)</f>
        <v/>
      </c>
    </row>
    <row r="1115">
      <c r="A1115">
        <f>Data_thang!A1115</f>
        <v/>
      </c>
      <c r="B1115">
        <f>Data_thang!B1115</f>
        <v/>
      </c>
      <c r="C1115">
        <f>Data_thang!D1115</f>
        <v/>
      </c>
      <c r="D1115">
        <f>Data_thang!E1115</f>
        <v/>
      </c>
      <c r="E1115">
        <f>Data_thang!F1115</f>
        <v/>
      </c>
      <c r="F1115">
        <f>Data_thang!G1115</f>
        <v/>
      </c>
      <c r="G1115" s="29">
        <f>Data_thang!J1115-Data_thang!K1115</f>
        <v/>
      </c>
      <c r="H1115" s="29">
        <f>Data_thang!N1115</f>
        <v/>
      </c>
      <c r="I1115" s="29">
        <f>H1115-G1115</f>
        <v/>
      </c>
      <c r="J1115" s="30">
        <f>IF(H1115=0,IF(I1115=0,0,1),I1115/ABS(H1115))</f>
        <v/>
      </c>
      <c r="K1115" s="29">
        <f>H1115-(Data_thang!O1115-Data_thang!K1115)</f>
        <v/>
      </c>
      <c r="L1115">
        <f>IF(AND(ABS(I1115)&gt;Dashboard!$G$6,ABS(J1115)&gt;Dashboard!$H$6),"⚠ Vượt","")</f>
        <v/>
      </c>
      <c r="M1115">
        <f>IF(AND(A1115=Dashboard!$D$6,OR(Dashboard!$C$6="*",F1115=Dashboard!$C$6),L1115&lt;&gt;""),ABS(I1115)+ROW()/1000000000,0)</f>
        <v/>
      </c>
    </row>
    <row r="1116">
      <c r="A1116">
        <f>Data_thang!A1116</f>
        <v/>
      </c>
      <c r="B1116">
        <f>Data_thang!B1116</f>
        <v/>
      </c>
      <c r="C1116">
        <f>Data_thang!D1116</f>
        <v/>
      </c>
      <c r="D1116">
        <f>Data_thang!E1116</f>
        <v/>
      </c>
      <c r="E1116">
        <f>Data_thang!F1116</f>
        <v/>
      </c>
      <c r="F1116">
        <f>Data_thang!G1116</f>
        <v/>
      </c>
      <c r="G1116" s="29">
        <f>Data_thang!J1116-Data_thang!K1116</f>
        <v/>
      </c>
      <c r="H1116" s="29">
        <f>Data_thang!N1116</f>
        <v/>
      </c>
      <c r="I1116" s="29">
        <f>H1116-G1116</f>
        <v/>
      </c>
      <c r="J1116" s="30">
        <f>IF(H1116=0,IF(I1116=0,0,1),I1116/ABS(H1116))</f>
        <v/>
      </c>
      <c r="K1116" s="29">
        <f>H1116-(Data_thang!O1116-Data_thang!K1116)</f>
        <v/>
      </c>
      <c r="L1116">
        <f>IF(AND(ABS(I1116)&gt;Dashboard!$G$6,ABS(J1116)&gt;Dashboard!$H$6),"⚠ Vượt","")</f>
        <v/>
      </c>
      <c r="M1116">
        <f>IF(AND(A1116=Dashboard!$D$6,OR(Dashboard!$C$6="*",F1116=Dashboard!$C$6),L1116&lt;&gt;""),ABS(I1116)+ROW()/1000000000,0)</f>
        <v/>
      </c>
    </row>
    <row r="1117">
      <c r="A1117">
        <f>Data_thang!A1117</f>
        <v/>
      </c>
      <c r="B1117">
        <f>Data_thang!B1117</f>
        <v/>
      </c>
      <c r="C1117">
        <f>Data_thang!D1117</f>
        <v/>
      </c>
      <c r="D1117">
        <f>Data_thang!E1117</f>
        <v/>
      </c>
      <c r="E1117">
        <f>Data_thang!F1117</f>
        <v/>
      </c>
      <c r="F1117">
        <f>Data_thang!G1117</f>
        <v/>
      </c>
      <c r="G1117" s="29">
        <f>Data_thang!J1117-Data_thang!K1117</f>
        <v/>
      </c>
      <c r="H1117" s="29">
        <f>Data_thang!N1117</f>
        <v/>
      </c>
      <c r="I1117" s="29">
        <f>H1117-G1117</f>
        <v/>
      </c>
      <c r="J1117" s="30">
        <f>IF(H1117=0,IF(I1117=0,0,1),I1117/ABS(H1117))</f>
        <v/>
      </c>
      <c r="K1117" s="29">
        <f>H1117-(Data_thang!O1117-Data_thang!K1117)</f>
        <v/>
      </c>
      <c r="L1117">
        <f>IF(AND(ABS(I1117)&gt;Dashboard!$G$6,ABS(J1117)&gt;Dashboard!$H$6),"⚠ Vượt","")</f>
        <v/>
      </c>
      <c r="M1117">
        <f>IF(AND(A1117=Dashboard!$D$6,OR(Dashboard!$C$6="*",F1117=Dashboard!$C$6),L1117&lt;&gt;""),ABS(I1117)+ROW()/1000000000,0)</f>
        <v/>
      </c>
    </row>
    <row r="1118">
      <c r="A1118">
        <f>Data_thang!A1118</f>
        <v/>
      </c>
      <c r="B1118">
        <f>Data_thang!B1118</f>
        <v/>
      </c>
      <c r="C1118">
        <f>Data_thang!D1118</f>
        <v/>
      </c>
      <c r="D1118">
        <f>Data_thang!E1118</f>
        <v/>
      </c>
      <c r="E1118">
        <f>Data_thang!F1118</f>
        <v/>
      </c>
      <c r="F1118">
        <f>Data_thang!G1118</f>
        <v/>
      </c>
      <c r="G1118" s="29">
        <f>Data_thang!J1118-Data_thang!K1118</f>
        <v/>
      </c>
      <c r="H1118" s="29">
        <f>Data_thang!N1118</f>
        <v/>
      </c>
      <c r="I1118" s="29">
        <f>H1118-G1118</f>
        <v/>
      </c>
      <c r="J1118" s="30">
        <f>IF(H1118=0,IF(I1118=0,0,1),I1118/ABS(H1118))</f>
        <v/>
      </c>
      <c r="K1118" s="29">
        <f>H1118-(Data_thang!O1118-Data_thang!K1118)</f>
        <v/>
      </c>
      <c r="L1118">
        <f>IF(AND(ABS(I1118)&gt;Dashboard!$G$6,ABS(J1118)&gt;Dashboard!$H$6),"⚠ Vượt","")</f>
        <v/>
      </c>
      <c r="M1118">
        <f>IF(AND(A1118=Dashboard!$D$6,OR(Dashboard!$C$6="*",F1118=Dashboard!$C$6),L1118&lt;&gt;""),ABS(I1118)+ROW()/1000000000,0)</f>
        <v/>
      </c>
    </row>
    <row r="1119">
      <c r="A1119">
        <f>Data_thang!A1119</f>
        <v/>
      </c>
      <c r="B1119">
        <f>Data_thang!B1119</f>
        <v/>
      </c>
      <c r="C1119">
        <f>Data_thang!D1119</f>
        <v/>
      </c>
      <c r="D1119">
        <f>Data_thang!E1119</f>
        <v/>
      </c>
      <c r="E1119">
        <f>Data_thang!F1119</f>
        <v/>
      </c>
      <c r="F1119">
        <f>Data_thang!G1119</f>
        <v/>
      </c>
      <c r="G1119" s="29">
        <f>Data_thang!J1119-Data_thang!K1119</f>
        <v/>
      </c>
      <c r="H1119" s="29">
        <f>Data_thang!N1119</f>
        <v/>
      </c>
      <c r="I1119" s="29">
        <f>H1119-G1119</f>
        <v/>
      </c>
      <c r="J1119" s="30">
        <f>IF(H1119=0,IF(I1119=0,0,1),I1119/ABS(H1119))</f>
        <v/>
      </c>
      <c r="K1119" s="29">
        <f>H1119-(Data_thang!O1119-Data_thang!K1119)</f>
        <v/>
      </c>
      <c r="L1119">
        <f>IF(AND(ABS(I1119)&gt;Dashboard!$G$6,ABS(J1119)&gt;Dashboard!$H$6),"⚠ Vượt","")</f>
        <v/>
      </c>
      <c r="M1119">
        <f>IF(AND(A1119=Dashboard!$D$6,OR(Dashboard!$C$6="*",F1119=Dashboard!$C$6),L1119&lt;&gt;""),ABS(I1119)+ROW()/1000000000,0)</f>
        <v/>
      </c>
    </row>
    <row r="1120">
      <c r="A1120">
        <f>Data_thang!A1120</f>
        <v/>
      </c>
      <c r="B1120">
        <f>Data_thang!B1120</f>
        <v/>
      </c>
      <c r="C1120">
        <f>Data_thang!D1120</f>
        <v/>
      </c>
      <c r="D1120">
        <f>Data_thang!E1120</f>
        <v/>
      </c>
      <c r="E1120">
        <f>Data_thang!F1120</f>
        <v/>
      </c>
      <c r="F1120">
        <f>Data_thang!G1120</f>
        <v/>
      </c>
      <c r="G1120" s="29">
        <f>Data_thang!J1120-Data_thang!K1120</f>
        <v/>
      </c>
      <c r="H1120" s="29">
        <f>Data_thang!N1120</f>
        <v/>
      </c>
      <c r="I1120" s="29">
        <f>H1120-G1120</f>
        <v/>
      </c>
      <c r="J1120" s="30">
        <f>IF(H1120=0,IF(I1120=0,0,1),I1120/ABS(H1120))</f>
        <v/>
      </c>
      <c r="K1120" s="29">
        <f>H1120-(Data_thang!O1120-Data_thang!K1120)</f>
        <v/>
      </c>
      <c r="L1120">
        <f>IF(AND(ABS(I1120)&gt;Dashboard!$G$6,ABS(J1120)&gt;Dashboard!$H$6),"⚠ Vượt","")</f>
        <v/>
      </c>
      <c r="M1120">
        <f>IF(AND(A1120=Dashboard!$D$6,OR(Dashboard!$C$6="*",F1120=Dashboard!$C$6),L1120&lt;&gt;""),ABS(I1120)+ROW()/1000000000,0)</f>
        <v/>
      </c>
    </row>
    <row r="1121">
      <c r="A1121">
        <f>Data_thang!A1121</f>
        <v/>
      </c>
      <c r="B1121">
        <f>Data_thang!B1121</f>
        <v/>
      </c>
      <c r="C1121">
        <f>Data_thang!D1121</f>
        <v/>
      </c>
      <c r="D1121">
        <f>Data_thang!E1121</f>
        <v/>
      </c>
      <c r="E1121">
        <f>Data_thang!F1121</f>
        <v/>
      </c>
      <c r="F1121">
        <f>Data_thang!G1121</f>
        <v/>
      </c>
      <c r="G1121" s="29">
        <f>Data_thang!J1121-Data_thang!K1121</f>
        <v/>
      </c>
      <c r="H1121" s="29">
        <f>Data_thang!N1121</f>
        <v/>
      </c>
      <c r="I1121" s="29">
        <f>H1121-G1121</f>
        <v/>
      </c>
      <c r="J1121" s="30">
        <f>IF(H1121=0,IF(I1121=0,0,1),I1121/ABS(H1121))</f>
        <v/>
      </c>
      <c r="K1121" s="29">
        <f>H1121-(Data_thang!O1121-Data_thang!K1121)</f>
        <v/>
      </c>
      <c r="L1121">
        <f>IF(AND(ABS(I1121)&gt;Dashboard!$G$6,ABS(J1121)&gt;Dashboard!$H$6),"⚠ Vượt","")</f>
        <v/>
      </c>
      <c r="M1121">
        <f>IF(AND(A1121=Dashboard!$D$6,OR(Dashboard!$C$6="*",F1121=Dashboard!$C$6),L1121&lt;&gt;""),ABS(I1121)+ROW()/1000000000,0)</f>
        <v/>
      </c>
    </row>
    <row r="1122">
      <c r="A1122">
        <f>Data_thang!A1122</f>
        <v/>
      </c>
      <c r="B1122">
        <f>Data_thang!B1122</f>
        <v/>
      </c>
      <c r="C1122">
        <f>Data_thang!D1122</f>
        <v/>
      </c>
      <c r="D1122">
        <f>Data_thang!E1122</f>
        <v/>
      </c>
      <c r="E1122">
        <f>Data_thang!F1122</f>
        <v/>
      </c>
      <c r="F1122">
        <f>Data_thang!G1122</f>
        <v/>
      </c>
      <c r="G1122" s="29">
        <f>Data_thang!J1122-Data_thang!K1122</f>
        <v/>
      </c>
      <c r="H1122" s="29">
        <f>Data_thang!N1122</f>
        <v/>
      </c>
      <c r="I1122" s="29">
        <f>H1122-G1122</f>
        <v/>
      </c>
      <c r="J1122" s="30">
        <f>IF(H1122=0,IF(I1122=0,0,1),I1122/ABS(H1122))</f>
        <v/>
      </c>
      <c r="K1122" s="29">
        <f>H1122-(Data_thang!O1122-Data_thang!K1122)</f>
        <v/>
      </c>
      <c r="L1122">
        <f>IF(AND(ABS(I1122)&gt;Dashboard!$G$6,ABS(J1122)&gt;Dashboard!$H$6),"⚠ Vượt","")</f>
        <v/>
      </c>
      <c r="M1122">
        <f>IF(AND(A1122=Dashboard!$D$6,OR(Dashboard!$C$6="*",F1122=Dashboard!$C$6),L1122&lt;&gt;""),ABS(I1122)+ROW()/1000000000,0)</f>
        <v/>
      </c>
    </row>
    <row r="1123">
      <c r="A1123">
        <f>Data_thang!A1123</f>
        <v/>
      </c>
      <c r="B1123">
        <f>Data_thang!B1123</f>
        <v/>
      </c>
      <c r="C1123">
        <f>Data_thang!D1123</f>
        <v/>
      </c>
      <c r="D1123">
        <f>Data_thang!E1123</f>
        <v/>
      </c>
      <c r="E1123">
        <f>Data_thang!F1123</f>
        <v/>
      </c>
      <c r="F1123">
        <f>Data_thang!G1123</f>
        <v/>
      </c>
      <c r="G1123" s="29">
        <f>Data_thang!J1123-Data_thang!K1123</f>
        <v/>
      </c>
      <c r="H1123" s="29">
        <f>Data_thang!N1123</f>
        <v/>
      </c>
      <c r="I1123" s="29">
        <f>H1123-G1123</f>
        <v/>
      </c>
      <c r="J1123" s="30">
        <f>IF(H1123=0,IF(I1123=0,0,1),I1123/ABS(H1123))</f>
        <v/>
      </c>
      <c r="K1123" s="29">
        <f>H1123-(Data_thang!O1123-Data_thang!K1123)</f>
        <v/>
      </c>
      <c r="L1123">
        <f>IF(AND(ABS(I1123)&gt;Dashboard!$G$6,ABS(J1123)&gt;Dashboard!$H$6),"⚠ Vượt","")</f>
        <v/>
      </c>
      <c r="M1123">
        <f>IF(AND(A1123=Dashboard!$D$6,OR(Dashboard!$C$6="*",F1123=Dashboard!$C$6),L1123&lt;&gt;""),ABS(I1123)+ROW()/1000000000,0)</f>
        <v/>
      </c>
    </row>
    <row r="1124">
      <c r="A1124">
        <f>Data_thang!A1124</f>
        <v/>
      </c>
      <c r="B1124">
        <f>Data_thang!B1124</f>
        <v/>
      </c>
      <c r="C1124">
        <f>Data_thang!D1124</f>
        <v/>
      </c>
      <c r="D1124">
        <f>Data_thang!E1124</f>
        <v/>
      </c>
      <c r="E1124">
        <f>Data_thang!F1124</f>
        <v/>
      </c>
      <c r="F1124">
        <f>Data_thang!G1124</f>
        <v/>
      </c>
      <c r="G1124" s="29">
        <f>Data_thang!J1124-Data_thang!K1124</f>
        <v/>
      </c>
      <c r="H1124" s="29">
        <f>Data_thang!N1124</f>
        <v/>
      </c>
      <c r="I1124" s="29">
        <f>H1124-G1124</f>
        <v/>
      </c>
      <c r="J1124" s="30">
        <f>IF(H1124=0,IF(I1124=0,0,1),I1124/ABS(H1124))</f>
        <v/>
      </c>
      <c r="K1124" s="29">
        <f>H1124-(Data_thang!O1124-Data_thang!K1124)</f>
        <v/>
      </c>
      <c r="L1124">
        <f>IF(AND(ABS(I1124)&gt;Dashboard!$G$6,ABS(J1124)&gt;Dashboard!$H$6),"⚠ Vượt","")</f>
        <v/>
      </c>
      <c r="M1124">
        <f>IF(AND(A1124=Dashboard!$D$6,OR(Dashboard!$C$6="*",F1124=Dashboard!$C$6),L1124&lt;&gt;""),ABS(I1124)+ROW()/1000000000,0)</f>
        <v/>
      </c>
    </row>
    <row r="1125">
      <c r="A1125">
        <f>Data_thang!A1125</f>
        <v/>
      </c>
      <c r="B1125">
        <f>Data_thang!B1125</f>
        <v/>
      </c>
      <c r="C1125">
        <f>Data_thang!D1125</f>
        <v/>
      </c>
      <c r="D1125">
        <f>Data_thang!E1125</f>
        <v/>
      </c>
      <c r="E1125">
        <f>Data_thang!F1125</f>
        <v/>
      </c>
      <c r="F1125">
        <f>Data_thang!G1125</f>
        <v/>
      </c>
      <c r="G1125" s="29">
        <f>Data_thang!J1125-Data_thang!K1125</f>
        <v/>
      </c>
      <c r="H1125" s="29">
        <f>Data_thang!N1125</f>
        <v/>
      </c>
      <c r="I1125" s="29">
        <f>H1125-G1125</f>
        <v/>
      </c>
      <c r="J1125" s="30">
        <f>IF(H1125=0,IF(I1125=0,0,1),I1125/ABS(H1125))</f>
        <v/>
      </c>
      <c r="K1125" s="29">
        <f>H1125-(Data_thang!O1125-Data_thang!K1125)</f>
        <v/>
      </c>
      <c r="L1125">
        <f>IF(AND(ABS(I1125)&gt;Dashboard!$G$6,ABS(J1125)&gt;Dashboard!$H$6),"⚠ Vượt","")</f>
        <v/>
      </c>
      <c r="M1125">
        <f>IF(AND(A1125=Dashboard!$D$6,OR(Dashboard!$C$6="*",F1125=Dashboard!$C$6),L1125&lt;&gt;""),ABS(I1125)+ROW()/1000000000,0)</f>
        <v/>
      </c>
    </row>
    <row r="1126">
      <c r="A1126">
        <f>Data_thang!A1126</f>
        <v/>
      </c>
      <c r="B1126">
        <f>Data_thang!B1126</f>
        <v/>
      </c>
      <c r="C1126">
        <f>Data_thang!D1126</f>
        <v/>
      </c>
      <c r="D1126">
        <f>Data_thang!E1126</f>
        <v/>
      </c>
      <c r="E1126">
        <f>Data_thang!F1126</f>
        <v/>
      </c>
      <c r="F1126">
        <f>Data_thang!G1126</f>
        <v/>
      </c>
      <c r="G1126" s="29">
        <f>Data_thang!J1126-Data_thang!K1126</f>
        <v/>
      </c>
      <c r="H1126" s="29">
        <f>Data_thang!N1126</f>
        <v/>
      </c>
      <c r="I1126" s="29">
        <f>H1126-G1126</f>
        <v/>
      </c>
      <c r="J1126" s="30">
        <f>IF(H1126=0,IF(I1126=0,0,1),I1126/ABS(H1126))</f>
        <v/>
      </c>
      <c r="K1126" s="29">
        <f>H1126-(Data_thang!O1126-Data_thang!K1126)</f>
        <v/>
      </c>
      <c r="L1126">
        <f>IF(AND(ABS(I1126)&gt;Dashboard!$G$6,ABS(J1126)&gt;Dashboard!$H$6),"⚠ Vượt","")</f>
        <v/>
      </c>
      <c r="M1126">
        <f>IF(AND(A1126=Dashboard!$D$6,OR(Dashboard!$C$6="*",F1126=Dashboard!$C$6),L1126&lt;&gt;""),ABS(I1126)+ROW()/1000000000,0)</f>
        <v/>
      </c>
    </row>
    <row r="1127">
      <c r="A1127">
        <f>Data_thang!A1127</f>
        <v/>
      </c>
      <c r="B1127">
        <f>Data_thang!B1127</f>
        <v/>
      </c>
      <c r="C1127">
        <f>Data_thang!D1127</f>
        <v/>
      </c>
      <c r="D1127">
        <f>Data_thang!E1127</f>
        <v/>
      </c>
      <c r="E1127">
        <f>Data_thang!F1127</f>
        <v/>
      </c>
      <c r="F1127">
        <f>Data_thang!G1127</f>
        <v/>
      </c>
      <c r="G1127" s="29">
        <f>Data_thang!J1127-Data_thang!K1127</f>
        <v/>
      </c>
      <c r="H1127" s="29">
        <f>Data_thang!N1127</f>
        <v/>
      </c>
      <c r="I1127" s="29">
        <f>H1127-G1127</f>
        <v/>
      </c>
      <c r="J1127" s="30">
        <f>IF(H1127=0,IF(I1127=0,0,1),I1127/ABS(H1127))</f>
        <v/>
      </c>
      <c r="K1127" s="29">
        <f>H1127-(Data_thang!O1127-Data_thang!K1127)</f>
        <v/>
      </c>
      <c r="L1127">
        <f>IF(AND(ABS(I1127)&gt;Dashboard!$G$6,ABS(J1127)&gt;Dashboard!$H$6),"⚠ Vượt","")</f>
        <v/>
      </c>
      <c r="M1127">
        <f>IF(AND(A1127=Dashboard!$D$6,OR(Dashboard!$C$6="*",F1127=Dashboard!$C$6),L1127&lt;&gt;""),ABS(I1127)+ROW()/1000000000,0)</f>
        <v/>
      </c>
    </row>
    <row r="1128">
      <c r="A1128">
        <f>Data_thang!A1128</f>
        <v/>
      </c>
      <c r="B1128">
        <f>Data_thang!B1128</f>
        <v/>
      </c>
      <c r="C1128">
        <f>Data_thang!D1128</f>
        <v/>
      </c>
      <c r="D1128">
        <f>Data_thang!E1128</f>
        <v/>
      </c>
      <c r="E1128">
        <f>Data_thang!F1128</f>
        <v/>
      </c>
      <c r="F1128">
        <f>Data_thang!G1128</f>
        <v/>
      </c>
      <c r="G1128" s="29">
        <f>Data_thang!J1128-Data_thang!K1128</f>
        <v/>
      </c>
      <c r="H1128" s="29">
        <f>Data_thang!N1128</f>
        <v/>
      </c>
      <c r="I1128" s="29">
        <f>H1128-G1128</f>
        <v/>
      </c>
      <c r="J1128" s="30">
        <f>IF(H1128=0,IF(I1128=0,0,1),I1128/ABS(H1128))</f>
        <v/>
      </c>
      <c r="K1128" s="29">
        <f>H1128-(Data_thang!O1128-Data_thang!K1128)</f>
        <v/>
      </c>
      <c r="L1128">
        <f>IF(AND(ABS(I1128)&gt;Dashboard!$G$6,ABS(J1128)&gt;Dashboard!$H$6),"⚠ Vượt","")</f>
        <v/>
      </c>
      <c r="M1128">
        <f>IF(AND(A1128=Dashboard!$D$6,OR(Dashboard!$C$6="*",F1128=Dashboard!$C$6),L1128&lt;&gt;""),ABS(I1128)+ROW()/1000000000,0)</f>
        <v/>
      </c>
    </row>
    <row r="1129">
      <c r="A1129">
        <f>Data_thang!A1129</f>
        <v/>
      </c>
      <c r="B1129">
        <f>Data_thang!B1129</f>
        <v/>
      </c>
      <c r="C1129">
        <f>Data_thang!D1129</f>
        <v/>
      </c>
      <c r="D1129">
        <f>Data_thang!E1129</f>
        <v/>
      </c>
      <c r="E1129">
        <f>Data_thang!F1129</f>
        <v/>
      </c>
      <c r="F1129">
        <f>Data_thang!G1129</f>
        <v/>
      </c>
      <c r="G1129" s="29">
        <f>Data_thang!J1129-Data_thang!K1129</f>
        <v/>
      </c>
      <c r="H1129" s="29">
        <f>Data_thang!N1129</f>
        <v/>
      </c>
      <c r="I1129" s="29">
        <f>H1129-G1129</f>
        <v/>
      </c>
      <c r="J1129" s="30">
        <f>IF(H1129=0,IF(I1129=0,0,1),I1129/ABS(H1129))</f>
        <v/>
      </c>
      <c r="K1129" s="29">
        <f>H1129-(Data_thang!O1129-Data_thang!K1129)</f>
        <v/>
      </c>
      <c r="L1129">
        <f>IF(AND(ABS(I1129)&gt;Dashboard!$G$6,ABS(J1129)&gt;Dashboard!$H$6),"⚠ Vượt","")</f>
        <v/>
      </c>
      <c r="M1129">
        <f>IF(AND(A1129=Dashboard!$D$6,OR(Dashboard!$C$6="*",F1129=Dashboard!$C$6),L1129&lt;&gt;""),ABS(I1129)+ROW()/1000000000,0)</f>
        <v/>
      </c>
    </row>
    <row r="1130">
      <c r="A1130">
        <f>Data_thang!A1130</f>
        <v/>
      </c>
      <c r="B1130">
        <f>Data_thang!B1130</f>
        <v/>
      </c>
      <c r="C1130">
        <f>Data_thang!D1130</f>
        <v/>
      </c>
      <c r="D1130">
        <f>Data_thang!E1130</f>
        <v/>
      </c>
      <c r="E1130">
        <f>Data_thang!F1130</f>
        <v/>
      </c>
      <c r="F1130">
        <f>Data_thang!G1130</f>
        <v/>
      </c>
      <c r="G1130" s="29">
        <f>Data_thang!J1130-Data_thang!K1130</f>
        <v/>
      </c>
      <c r="H1130" s="29">
        <f>Data_thang!N1130</f>
        <v/>
      </c>
      <c r="I1130" s="29">
        <f>H1130-G1130</f>
        <v/>
      </c>
      <c r="J1130" s="30">
        <f>IF(H1130=0,IF(I1130=0,0,1),I1130/ABS(H1130))</f>
        <v/>
      </c>
      <c r="K1130" s="29">
        <f>H1130-(Data_thang!O1130-Data_thang!K1130)</f>
        <v/>
      </c>
      <c r="L1130">
        <f>IF(AND(ABS(I1130)&gt;Dashboard!$G$6,ABS(J1130)&gt;Dashboard!$H$6),"⚠ Vượt","")</f>
        <v/>
      </c>
      <c r="M1130">
        <f>IF(AND(A1130=Dashboard!$D$6,OR(Dashboard!$C$6="*",F1130=Dashboard!$C$6),L1130&lt;&gt;""),ABS(I1130)+ROW()/1000000000,0)</f>
        <v/>
      </c>
    </row>
    <row r="1131">
      <c r="A1131">
        <f>Data_thang!A1131</f>
        <v/>
      </c>
      <c r="B1131">
        <f>Data_thang!B1131</f>
        <v/>
      </c>
      <c r="C1131">
        <f>Data_thang!D1131</f>
        <v/>
      </c>
      <c r="D1131">
        <f>Data_thang!E1131</f>
        <v/>
      </c>
      <c r="E1131">
        <f>Data_thang!F1131</f>
        <v/>
      </c>
      <c r="F1131">
        <f>Data_thang!G1131</f>
        <v/>
      </c>
      <c r="G1131" s="29">
        <f>Data_thang!J1131-Data_thang!K1131</f>
        <v/>
      </c>
      <c r="H1131" s="29">
        <f>Data_thang!N1131</f>
        <v/>
      </c>
      <c r="I1131" s="29">
        <f>H1131-G1131</f>
        <v/>
      </c>
      <c r="J1131" s="30">
        <f>IF(H1131=0,IF(I1131=0,0,1),I1131/ABS(H1131))</f>
        <v/>
      </c>
      <c r="K1131" s="29">
        <f>H1131-(Data_thang!O1131-Data_thang!K1131)</f>
        <v/>
      </c>
      <c r="L1131">
        <f>IF(AND(ABS(I1131)&gt;Dashboard!$G$6,ABS(J1131)&gt;Dashboard!$H$6),"⚠ Vượt","")</f>
        <v/>
      </c>
      <c r="M1131">
        <f>IF(AND(A1131=Dashboard!$D$6,OR(Dashboard!$C$6="*",F1131=Dashboard!$C$6),L1131&lt;&gt;""),ABS(I1131)+ROW()/1000000000,0)</f>
        <v/>
      </c>
    </row>
    <row r="1132">
      <c r="A1132">
        <f>Data_thang!A1132</f>
        <v/>
      </c>
      <c r="B1132">
        <f>Data_thang!B1132</f>
        <v/>
      </c>
      <c r="C1132">
        <f>Data_thang!D1132</f>
        <v/>
      </c>
      <c r="D1132">
        <f>Data_thang!E1132</f>
        <v/>
      </c>
      <c r="E1132">
        <f>Data_thang!F1132</f>
        <v/>
      </c>
      <c r="F1132">
        <f>Data_thang!G1132</f>
        <v/>
      </c>
      <c r="G1132" s="29">
        <f>Data_thang!J1132-Data_thang!K1132</f>
        <v/>
      </c>
      <c r="H1132" s="29">
        <f>Data_thang!N1132</f>
        <v/>
      </c>
      <c r="I1132" s="29">
        <f>H1132-G1132</f>
        <v/>
      </c>
      <c r="J1132" s="30">
        <f>IF(H1132=0,IF(I1132=0,0,1),I1132/ABS(H1132))</f>
        <v/>
      </c>
      <c r="K1132" s="29">
        <f>H1132-(Data_thang!O1132-Data_thang!K1132)</f>
        <v/>
      </c>
      <c r="L1132">
        <f>IF(AND(ABS(I1132)&gt;Dashboard!$G$6,ABS(J1132)&gt;Dashboard!$H$6),"⚠ Vượt","")</f>
        <v/>
      </c>
      <c r="M1132">
        <f>IF(AND(A1132=Dashboard!$D$6,OR(Dashboard!$C$6="*",F1132=Dashboard!$C$6),L1132&lt;&gt;""),ABS(I1132)+ROW()/1000000000,0)</f>
        <v/>
      </c>
    </row>
    <row r="1133">
      <c r="A1133">
        <f>Data_thang!A1133</f>
        <v/>
      </c>
      <c r="B1133">
        <f>Data_thang!B1133</f>
        <v/>
      </c>
      <c r="C1133">
        <f>Data_thang!D1133</f>
        <v/>
      </c>
      <c r="D1133">
        <f>Data_thang!E1133</f>
        <v/>
      </c>
      <c r="E1133">
        <f>Data_thang!F1133</f>
        <v/>
      </c>
      <c r="F1133">
        <f>Data_thang!G1133</f>
        <v/>
      </c>
      <c r="G1133" s="29">
        <f>Data_thang!J1133-Data_thang!K1133</f>
        <v/>
      </c>
      <c r="H1133" s="29">
        <f>Data_thang!N1133</f>
        <v/>
      </c>
      <c r="I1133" s="29">
        <f>H1133-G1133</f>
        <v/>
      </c>
      <c r="J1133" s="30">
        <f>IF(H1133=0,IF(I1133=0,0,1),I1133/ABS(H1133))</f>
        <v/>
      </c>
      <c r="K1133" s="29">
        <f>H1133-(Data_thang!O1133-Data_thang!K1133)</f>
        <v/>
      </c>
      <c r="L1133">
        <f>IF(AND(ABS(I1133)&gt;Dashboard!$G$6,ABS(J1133)&gt;Dashboard!$H$6),"⚠ Vượt","")</f>
        <v/>
      </c>
      <c r="M1133">
        <f>IF(AND(A1133=Dashboard!$D$6,OR(Dashboard!$C$6="*",F1133=Dashboard!$C$6),L1133&lt;&gt;""),ABS(I1133)+ROW()/1000000000,0)</f>
        <v/>
      </c>
    </row>
    <row r="1134">
      <c r="A1134">
        <f>Data_thang!A1134</f>
        <v/>
      </c>
      <c r="B1134">
        <f>Data_thang!B1134</f>
        <v/>
      </c>
      <c r="C1134">
        <f>Data_thang!D1134</f>
        <v/>
      </c>
      <c r="D1134">
        <f>Data_thang!E1134</f>
        <v/>
      </c>
      <c r="E1134">
        <f>Data_thang!F1134</f>
        <v/>
      </c>
      <c r="F1134">
        <f>Data_thang!G1134</f>
        <v/>
      </c>
      <c r="G1134" s="29">
        <f>Data_thang!J1134-Data_thang!K1134</f>
        <v/>
      </c>
      <c r="H1134" s="29">
        <f>Data_thang!N1134</f>
        <v/>
      </c>
      <c r="I1134" s="29">
        <f>H1134-G1134</f>
        <v/>
      </c>
      <c r="J1134" s="30">
        <f>IF(H1134=0,IF(I1134=0,0,1),I1134/ABS(H1134))</f>
        <v/>
      </c>
      <c r="K1134" s="29">
        <f>H1134-(Data_thang!O1134-Data_thang!K1134)</f>
        <v/>
      </c>
      <c r="L1134">
        <f>IF(AND(ABS(I1134)&gt;Dashboard!$G$6,ABS(J1134)&gt;Dashboard!$H$6),"⚠ Vượt","")</f>
        <v/>
      </c>
      <c r="M1134">
        <f>IF(AND(A1134=Dashboard!$D$6,OR(Dashboard!$C$6="*",F1134=Dashboard!$C$6),L1134&lt;&gt;""),ABS(I1134)+ROW()/1000000000,0)</f>
        <v/>
      </c>
    </row>
    <row r="1135">
      <c r="A1135">
        <f>Data_thang!A1135</f>
        <v/>
      </c>
      <c r="B1135">
        <f>Data_thang!B1135</f>
        <v/>
      </c>
      <c r="C1135">
        <f>Data_thang!D1135</f>
        <v/>
      </c>
      <c r="D1135">
        <f>Data_thang!E1135</f>
        <v/>
      </c>
      <c r="E1135">
        <f>Data_thang!F1135</f>
        <v/>
      </c>
      <c r="F1135">
        <f>Data_thang!G1135</f>
        <v/>
      </c>
      <c r="G1135" s="29">
        <f>Data_thang!J1135-Data_thang!K1135</f>
        <v/>
      </c>
      <c r="H1135" s="29">
        <f>Data_thang!N1135</f>
        <v/>
      </c>
      <c r="I1135" s="29">
        <f>H1135-G1135</f>
        <v/>
      </c>
      <c r="J1135" s="30">
        <f>IF(H1135=0,IF(I1135=0,0,1),I1135/ABS(H1135))</f>
        <v/>
      </c>
      <c r="K1135" s="29">
        <f>H1135-(Data_thang!O1135-Data_thang!K1135)</f>
        <v/>
      </c>
      <c r="L1135">
        <f>IF(AND(ABS(I1135)&gt;Dashboard!$G$6,ABS(J1135)&gt;Dashboard!$H$6),"⚠ Vượt","")</f>
        <v/>
      </c>
      <c r="M1135">
        <f>IF(AND(A1135=Dashboard!$D$6,OR(Dashboard!$C$6="*",F1135=Dashboard!$C$6),L1135&lt;&gt;""),ABS(I1135)+ROW()/1000000000,0)</f>
        <v/>
      </c>
    </row>
    <row r="1136">
      <c r="A1136">
        <f>Data_thang!A1136</f>
        <v/>
      </c>
      <c r="B1136">
        <f>Data_thang!B1136</f>
        <v/>
      </c>
      <c r="C1136">
        <f>Data_thang!D1136</f>
        <v/>
      </c>
      <c r="D1136">
        <f>Data_thang!E1136</f>
        <v/>
      </c>
      <c r="E1136">
        <f>Data_thang!F1136</f>
        <v/>
      </c>
      <c r="F1136">
        <f>Data_thang!G1136</f>
        <v/>
      </c>
      <c r="G1136" s="29">
        <f>Data_thang!J1136-Data_thang!K1136</f>
        <v/>
      </c>
      <c r="H1136" s="29">
        <f>Data_thang!N1136</f>
        <v/>
      </c>
      <c r="I1136" s="29">
        <f>H1136-G1136</f>
        <v/>
      </c>
      <c r="J1136" s="30">
        <f>IF(H1136=0,IF(I1136=0,0,1),I1136/ABS(H1136))</f>
        <v/>
      </c>
      <c r="K1136" s="29">
        <f>H1136-(Data_thang!O1136-Data_thang!K1136)</f>
        <v/>
      </c>
      <c r="L1136">
        <f>IF(AND(ABS(I1136)&gt;Dashboard!$G$6,ABS(J1136)&gt;Dashboard!$H$6),"⚠ Vượt","")</f>
        <v/>
      </c>
      <c r="M1136">
        <f>IF(AND(A1136=Dashboard!$D$6,OR(Dashboard!$C$6="*",F1136=Dashboard!$C$6),L1136&lt;&gt;""),ABS(I1136)+ROW()/1000000000,0)</f>
        <v/>
      </c>
    </row>
    <row r="1137">
      <c r="A1137">
        <f>Data_thang!A1137</f>
        <v/>
      </c>
      <c r="B1137">
        <f>Data_thang!B1137</f>
        <v/>
      </c>
      <c r="C1137">
        <f>Data_thang!D1137</f>
        <v/>
      </c>
      <c r="D1137">
        <f>Data_thang!E1137</f>
        <v/>
      </c>
      <c r="E1137">
        <f>Data_thang!F1137</f>
        <v/>
      </c>
      <c r="F1137">
        <f>Data_thang!G1137</f>
        <v/>
      </c>
      <c r="G1137" s="29">
        <f>Data_thang!J1137-Data_thang!K1137</f>
        <v/>
      </c>
      <c r="H1137" s="29">
        <f>Data_thang!N1137</f>
        <v/>
      </c>
      <c r="I1137" s="29">
        <f>H1137-G1137</f>
        <v/>
      </c>
      <c r="J1137" s="30">
        <f>IF(H1137=0,IF(I1137=0,0,1),I1137/ABS(H1137))</f>
        <v/>
      </c>
      <c r="K1137" s="29">
        <f>H1137-(Data_thang!O1137-Data_thang!K1137)</f>
        <v/>
      </c>
      <c r="L1137">
        <f>IF(AND(ABS(I1137)&gt;Dashboard!$G$6,ABS(J1137)&gt;Dashboard!$H$6),"⚠ Vượt","")</f>
        <v/>
      </c>
      <c r="M1137">
        <f>IF(AND(A1137=Dashboard!$D$6,OR(Dashboard!$C$6="*",F1137=Dashboard!$C$6),L1137&lt;&gt;""),ABS(I1137)+ROW()/1000000000,0)</f>
        <v/>
      </c>
    </row>
    <row r="1138">
      <c r="A1138">
        <f>Data_thang!A1138</f>
        <v/>
      </c>
      <c r="B1138">
        <f>Data_thang!B1138</f>
        <v/>
      </c>
      <c r="C1138">
        <f>Data_thang!D1138</f>
        <v/>
      </c>
      <c r="D1138">
        <f>Data_thang!E1138</f>
        <v/>
      </c>
      <c r="E1138">
        <f>Data_thang!F1138</f>
        <v/>
      </c>
      <c r="F1138">
        <f>Data_thang!G1138</f>
        <v/>
      </c>
      <c r="G1138" s="29">
        <f>Data_thang!J1138-Data_thang!K1138</f>
        <v/>
      </c>
      <c r="H1138" s="29">
        <f>Data_thang!N1138</f>
        <v/>
      </c>
      <c r="I1138" s="29">
        <f>H1138-G1138</f>
        <v/>
      </c>
      <c r="J1138" s="30">
        <f>IF(H1138=0,IF(I1138=0,0,1),I1138/ABS(H1138))</f>
        <v/>
      </c>
      <c r="K1138" s="29">
        <f>H1138-(Data_thang!O1138-Data_thang!K1138)</f>
        <v/>
      </c>
      <c r="L1138">
        <f>IF(AND(ABS(I1138)&gt;Dashboard!$G$6,ABS(J1138)&gt;Dashboard!$H$6),"⚠ Vượt","")</f>
        <v/>
      </c>
      <c r="M1138">
        <f>IF(AND(A1138=Dashboard!$D$6,OR(Dashboard!$C$6="*",F1138=Dashboard!$C$6),L1138&lt;&gt;""),ABS(I1138)+ROW()/1000000000,0)</f>
        <v/>
      </c>
    </row>
    <row r="1139">
      <c r="A1139">
        <f>Data_thang!A1139</f>
        <v/>
      </c>
      <c r="B1139">
        <f>Data_thang!B1139</f>
        <v/>
      </c>
      <c r="C1139">
        <f>Data_thang!D1139</f>
        <v/>
      </c>
      <c r="D1139">
        <f>Data_thang!E1139</f>
        <v/>
      </c>
      <c r="E1139">
        <f>Data_thang!F1139</f>
        <v/>
      </c>
      <c r="F1139">
        <f>Data_thang!G1139</f>
        <v/>
      </c>
      <c r="G1139" s="29">
        <f>Data_thang!J1139-Data_thang!K1139</f>
        <v/>
      </c>
      <c r="H1139" s="29">
        <f>Data_thang!N1139</f>
        <v/>
      </c>
      <c r="I1139" s="29">
        <f>H1139-G1139</f>
        <v/>
      </c>
      <c r="J1139" s="30">
        <f>IF(H1139=0,IF(I1139=0,0,1),I1139/ABS(H1139))</f>
        <v/>
      </c>
      <c r="K1139" s="29">
        <f>H1139-(Data_thang!O1139-Data_thang!K1139)</f>
        <v/>
      </c>
      <c r="L1139">
        <f>IF(AND(ABS(I1139)&gt;Dashboard!$G$6,ABS(J1139)&gt;Dashboard!$H$6),"⚠ Vượt","")</f>
        <v/>
      </c>
      <c r="M1139">
        <f>IF(AND(A1139=Dashboard!$D$6,OR(Dashboard!$C$6="*",F1139=Dashboard!$C$6),L1139&lt;&gt;""),ABS(I1139)+ROW()/1000000000,0)</f>
        <v/>
      </c>
    </row>
    <row r="1140">
      <c r="A1140">
        <f>Data_thang!A1140</f>
        <v/>
      </c>
      <c r="B1140">
        <f>Data_thang!B1140</f>
        <v/>
      </c>
      <c r="C1140">
        <f>Data_thang!D1140</f>
        <v/>
      </c>
      <c r="D1140">
        <f>Data_thang!E1140</f>
        <v/>
      </c>
      <c r="E1140">
        <f>Data_thang!F1140</f>
        <v/>
      </c>
      <c r="F1140">
        <f>Data_thang!G1140</f>
        <v/>
      </c>
      <c r="G1140" s="29">
        <f>Data_thang!J1140-Data_thang!K1140</f>
        <v/>
      </c>
      <c r="H1140" s="29">
        <f>Data_thang!N1140</f>
        <v/>
      </c>
      <c r="I1140" s="29">
        <f>H1140-G1140</f>
        <v/>
      </c>
      <c r="J1140" s="30">
        <f>IF(H1140=0,IF(I1140=0,0,1),I1140/ABS(H1140))</f>
        <v/>
      </c>
      <c r="K1140" s="29">
        <f>H1140-(Data_thang!O1140-Data_thang!K1140)</f>
        <v/>
      </c>
      <c r="L1140">
        <f>IF(AND(ABS(I1140)&gt;Dashboard!$G$6,ABS(J1140)&gt;Dashboard!$H$6),"⚠ Vượt","")</f>
        <v/>
      </c>
      <c r="M1140">
        <f>IF(AND(A1140=Dashboard!$D$6,OR(Dashboard!$C$6="*",F1140=Dashboard!$C$6),L1140&lt;&gt;""),ABS(I1140)+ROW()/1000000000,0)</f>
        <v/>
      </c>
    </row>
    <row r="1141">
      <c r="A1141">
        <f>Data_thang!A1141</f>
        <v/>
      </c>
      <c r="B1141">
        <f>Data_thang!B1141</f>
        <v/>
      </c>
      <c r="C1141">
        <f>Data_thang!D1141</f>
        <v/>
      </c>
      <c r="D1141">
        <f>Data_thang!E1141</f>
        <v/>
      </c>
      <c r="E1141">
        <f>Data_thang!F1141</f>
        <v/>
      </c>
      <c r="F1141">
        <f>Data_thang!G1141</f>
        <v/>
      </c>
      <c r="G1141" s="29">
        <f>Data_thang!J1141-Data_thang!K1141</f>
        <v/>
      </c>
      <c r="H1141" s="29">
        <f>Data_thang!N1141</f>
        <v/>
      </c>
      <c r="I1141" s="29">
        <f>H1141-G1141</f>
        <v/>
      </c>
      <c r="J1141" s="30">
        <f>IF(H1141=0,IF(I1141=0,0,1),I1141/ABS(H1141))</f>
        <v/>
      </c>
      <c r="K1141" s="29">
        <f>H1141-(Data_thang!O1141-Data_thang!K1141)</f>
        <v/>
      </c>
      <c r="L1141">
        <f>IF(AND(ABS(I1141)&gt;Dashboard!$G$6,ABS(J1141)&gt;Dashboard!$H$6),"⚠ Vượt","")</f>
        <v/>
      </c>
      <c r="M1141">
        <f>IF(AND(A1141=Dashboard!$D$6,OR(Dashboard!$C$6="*",F1141=Dashboard!$C$6),L1141&lt;&gt;""),ABS(I1141)+ROW()/1000000000,0)</f>
        <v/>
      </c>
    </row>
    <row r="1142">
      <c r="A1142">
        <f>Data_thang!A1142</f>
        <v/>
      </c>
      <c r="B1142">
        <f>Data_thang!B1142</f>
        <v/>
      </c>
      <c r="C1142">
        <f>Data_thang!D1142</f>
        <v/>
      </c>
      <c r="D1142">
        <f>Data_thang!E1142</f>
        <v/>
      </c>
      <c r="E1142">
        <f>Data_thang!F1142</f>
        <v/>
      </c>
      <c r="F1142">
        <f>Data_thang!G1142</f>
        <v/>
      </c>
      <c r="G1142" s="29">
        <f>Data_thang!J1142-Data_thang!K1142</f>
        <v/>
      </c>
      <c r="H1142" s="29">
        <f>Data_thang!N1142</f>
        <v/>
      </c>
      <c r="I1142" s="29">
        <f>H1142-G1142</f>
        <v/>
      </c>
      <c r="J1142" s="30">
        <f>IF(H1142=0,IF(I1142=0,0,1),I1142/ABS(H1142))</f>
        <v/>
      </c>
      <c r="K1142" s="29">
        <f>H1142-(Data_thang!O1142-Data_thang!K1142)</f>
        <v/>
      </c>
      <c r="L1142">
        <f>IF(AND(ABS(I1142)&gt;Dashboard!$G$6,ABS(J1142)&gt;Dashboard!$H$6),"⚠ Vượt","")</f>
        <v/>
      </c>
      <c r="M1142">
        <f>IF(AND(A1142=Dashboard!$D$6,OR(Dashboard!$C$6="*",F1142=Dashboard!$C$6),L1142&lt;&gt;""),ABS(I1142)+ROW()/1000000000,0)</f>
        <v/>
      </c>
    </row>
    <row r="1143">
      <c r="A1143">
        <f>Data_thang!A1143</f>
        <v/>
      </c>
      <c r="B1143">
        <f>Data_thang!B1143</f>
        <v/>
      </c>
      <c r="C1143">
        <f>Data_thang!D1143</f>
        <v/>
      </c>
      <c r="D1143">
        <f>Data_thang!E1143</f>
        <v/>
      </c>
      <c r="E1143">
        <f>Data_thang!F1143</f>
        <v/>
      </c>
      <c r="F1143">
        <f>Data_thang!G1143</f>
        <v/>
      </c>
      <c r="G1143" s="29">
        <f>Data_thang!J1143-Data_thang!K1143</f>
        <v/>
      </c>
      <c r="H1143" s="29">
        <f>Data_thang!N1143</f>
        <v/>
      </c>
      <c r="I1143" s="29">
        <f>H1143-G1143</f>
        <v/>
      </c>
      <c r="J1143" s="30">
        <f>IF(H1143=0,IF(I1143=0,0,1),I1143/ABS(H1143))</f>
        <v/>
      </c>
      <c r="K1143" s="29">
        <f>H1143-(Data_thang!O1143-Data_thang!K1143)</f>
        <v/>
      </c>
      <c r="L1143">
        <f>IF(AND(ABS(I1143)&gt;Dashboard!$G$6,ABS(J1143)&gt;Dashboard!$H$6),"⚠ Vượt","")</f>
        <v/>
      </c>
      <c r="M1143">
        <f>IF(AND(A1143=Dashboard!$D$6,OR(Dashboard!$C$6="*",F1143=Dashboard!$C$6),L1143&lt;&gt;""),ABS(I1143)+ROW()/1000000000,0)</f>
        <v/>
      </c>
    </row>
    <row r="1144">
      <c r="A1144">
        <f>Data_thang!A1144</f>
        <v/>
      </c>
      <c r="B1144">
        <f>Data_thang!B1144</f>
        <v/>
      </c>
      <c r="C1144">
        <f>Data_thang!D1144</f>
        <v/>
      </c>
      <c r="D1144">
        <f>Data_thang!E1144</f>
        <v/>
      </c>
      <c r="E1144">
        <f>Data_thang!F1144</f>
        <v/>
      </c>
      <c r="F1144">
        <f>Data_thang!G1144</f>
        <v/>
      </c>
      <c r="G1144" s="29">
        <f>Data_thang!J1144-Data_thang!K1144</f>
        <v/>
      </c>
      <c r="H1144" s="29">
        <f>Data_thang!N1144</f>
        <v/>
      </c>
      <c r="I1144" s="29">
        <f>H1144-G1144</f>
        <v/>
      </c>
      <c r="J1144" s="30">
        <f>IF(H1144=0,IF(I1144=0,0,1),I1144/ABS(H1144))</f>
        <v/>
      </c>
      <c r="K1144" s="29">
        <f>H1144-(Data_thang!O1144-Data_thang!K1144)</f>
        <v/>
      </c>
      <c r="L1144">
        <f>IF(AND(ABS(I1144)&gt;Dashboard!$G$6,ABS(J1144)&gt;Dashboard!$H$6),"⚠ Vượt","")</f>
        <v/>
      </c>
      <c r="M1144">
        <f>IF(AND(A1144=Dashboard!$D$6,OR(Dashboard!$C$6="*",F1144=Dashboard!$C$6),L1144&lt;&gt;""),ABS(I1144)+ROW()/1000000000,0)</f>
        <v/>
      </c>
    </row>
    <row r="1145">
      <c r="A1145">
        <f>Data_thang!A1145</f>
        <v/>
      </c>
      <c r="B1145">
        <f>Data_thang!B1145</f>
        <v/>
      </c>
      <c r="C1145">
        <f>Data_thang!D1145</f>
        <v/>
      </c>
      <c r="D1145">
        <f>Data_thang!E1145</f>
        <v/>
      </c>
      <c r="E1145">
        <f>Data_thang!F1145</f>
        <v/>
      </c>
      <c r="F1145">
        <f>Data_thang!G1145</f>
        <v/>
      </c>
      <c r="G1145" s="29">
        <f>Data_thang!J1145-Data_thang!K1145</f>
        <v/>
      </c>
      <c r="H1145" s="29">
        <f>Data_thang!N1145</f>
        <v/>
      </c>
      <c r="I1145" s="29">
        <f>H1145-G1145</f>
        <v/>
      </c>
      <c r="J1145" s="30">
        <f>IF(H1145=0,IF(I1145=0,0,1),I1145/ABS(H1145))</f>
        <v/>
      </c>
      <c r="K1145" s="29">
        <f>H1145-(Data_thang!O1145-Data_thang!K1145)</f>
        <v/>
      </c>
      <c r="L1145">
        <f>IF(AND(ABS(I1145)&gt;Dashboard!$G$6,ABS(J1145)&gt;Dashboard!$H$6),"⚠ Vượt","")</f>
        <v/>
      </c>
      <c r="M1145">
        <f>IF(AND(A1145=Dashboard!$D$6,OR(Dashboard!$C$6="*",F1145=Dashboard!$C$6),L1145&lt;&gt;""),ABS(I1145)+ROW()/1000000000,0)</f>
        <v/>
      </c>
    </row>
    <row r="1146">
      <c r="A1146">
        <f>Data_thang!A1146</f>
        <v/>
      </c>
      <c r="B1146">
        <f>Data_thang!B1146</f>
        <v/>
      </c>
      <c r="C1146">
        <f>Data_thang!D1146</f>
        <v/>
      </c>
      <c r="D1146">
        <f>Data_thang!E1146</f>
        <v/>
      </c>
      <c r="E1146">
        <f>Data_thang!F1146</f>
        <v/>
      </c>
      <c r="F1146">
        <f>Data_thang!G1146</f>
        <v/>
      </c>
      <c r="G1146" s="29">
        <f>Data_thang!J1146-Data_thang!K1146</f>
        <v/>
      </c>
      <c r="H1146" s="29">
        <f>Data_thang!N1146</f>
        <v/>
      </c>
      <c r="I1146" s="29">
        <f>H1146-G1146</f>
        <v/>
      </c>
      <c r="J1146" s="30">
        <f>IF(H1146=0,IF(I1146=0,0,1),I1146/ABS(H1146))</f>
        <v/>
      </c>
      <c r="K1146" s="29">
        <f>H1146-(Data_thang!O1146-Data_thang!K1146)</f>
        <v/>
      </c>
      <c r="L1146">
        <f>IF(AND(ABS(I1146)&gt;Dashboard!$G$6,ABS(J1146)&gt;Dashboard!$H$6),"⚠ Vượt","")</f>
        <v/>
      </c>
      <c r="M1146">
        <f>IF(AND(A1146=Dashboard!$D$6,OR(Dashboard!$C$6="*",F1146=Dashboard!$C$6),L1146&lt;&gt;""),ABS(I1146)+ROW()/1000000000,0)</f>
        <v/>
      </c>
    </row>
    <row r="1147">
      <c r="A1147">
        <f>Data_thang!A1147</f>
        <v/>
      </c>
      <c r="B1147">
        <f>Data_thang!B1147</f>
        <v/>
      </c>
      <c r="C1147">
        <f>Data_thang!D1147</f>
        <v/>
      </c>
      <c r="D1147">
        <f>Data_thang!E1147</f>
        <v/>
      </c>
      <c r="E1147">
        <f>Data_thang!F1147</f>
        <v/>
      </c>
      <c r="F1147">
        <f>Data_thang!G1147</f>
        <v/>
      </c>
      <c r="G1147" s="29">
        <f>Data_thang!J1147-Data_thang!K1147</f>
        <v/>
      </c>
      <c r="H1147" s="29">
        <f>Data_thang!N1147</f>
        <v/>
      </c>
      <c r="I1147" s="29">
        <f>H1147-G1147</f>
        <v/>
      </c>
      <c r="J1147" s="30">
        <f>IF(H1147=0,IF(I1147=0,0,1),I1147/ABS(H1147))</f>
        <v/>
      </c>
      <c r="K1147" s="29">
        <f>H1147-(Data_thang!O1147-Data_thang!K1147)</f>
        <v/>
      </c>
      <c r="L1147">
        <f>IF(AND(ABS(I1147)&gt;Dashboard!$G$6,ABS(J1147)&gt;Dashboard!$H$6),"⚠ Vượt","")</f>
        <v/>
      </c>
      <c r="M1147">
        <f>IF(AND(A1147=Dashboard!$D$6,OR(Dashboard!$C$6="*",F1147=Dashboard!$C$6),L1147&lt;&gt;""),ABS(I1147)+ROW()/1000000000,0)</f>
        <v/>
      </c>
    </row>
    <row r="1148">
      <c r="A1148">
        <f>Data_thang!A1148</f>
        <v/>
      </c>
      <c r="B1148">
        <f>Data_thang!B1148</f>
        <v/>
      </c>
      <c r="C1148">
        <f>Data_thang!D1148</f>
        <v/>
      </c>
      <c r="D1148">
        <f>Data_thang!E1148</f>
        <v/>
      </c>
      <c r="E1148">
        <f>Data_thang!F1148</f>
        <v/>
      </c>
      <c r="F1148">
        <f>Data_thang!G1148</f>
        <v/>
      </c>
      <c r="G1148" s="29">
        <f>Data_thang!J1148-Data_thang!K1148</f>
        <v/>
      </c>
      <c r="H1148" s="29">
        <f>Data_thang!N1148</f>
        <v/>
      </c>
      <c r="I1148" s="29">
        <f>H1148-G1148</f>
        <v/>
      </c>
      <c r="J1148" s="30">
        <f>IF(H1148=0,IF(I1148=0,0,1),I1148/ABS(H1148))</f>
        <v/>
      </c>
      <c r="K1148" s="29">
        <f>H1148-(Data_thang!O1148-Data_thang!K1148)</f>
        <v/>
      </c>
      <c r="L1148">
        <f>IF(AND(ABS(I1148)&gt;Dashboard!$G$6,ABS(J1148)&gt;Dashboard!$H$6),"⚠ Vượt","")</f>
        <v/>
      </c>
      <c r="M1148">
        <f>IF(AND(A1148=Dashboard!$D$6,OR(Dashboard!$C$6="*",F1148=Dashboard!$C$6),L1148&lt;&gt;""),ABS(I1148)+ROW()/1000000000,0)</f>
        <v/>
      </c>
    </row>
    <row r="1149">
      <c r="A1149">
        <f>Data_thang!A1149</f>
        <v/>
      </c>
      <c r="B1149">
        <f>Data_thang!B1149</f>
        <v/>
      </c>
      <c r="C1149">
        <f>Data_thang!D1149</f>
        <v/>
      </c>
      <c r="D1149">
        <f>Data_thang!E1149</f>
        <v/>
      </c>
      <c r="E1149">
        <f>Data_thang!F1149</f>
        <v/>
      </c>
      <c r="F1149">
        <f>Data_thang!G1149</f>
        <v/>
      </c>
      <c r="G1149" s="29">
        <f>Data_thang!J1149-Data_thang!K1149</f>
        <v/>
      </c>
      <c r="H1149" s="29">
        <f>Data_thang!N1149</f>
        <v/>
      </c>
      <c r="I1149" s="29">
        <f>H1149-G1149</f>
        <v/>
      </c>
      <c r="J1149" s="30">
        <f>IF(H1149=0,IF(I1149=0,0,1),I1149/ABS(H1149))</f>
        <v/>
      </c>
      <c r="K1149" s="29">
        <f>H1149-(Data_thang!O1149-Data_thang!K1149)</f>
        <v/>
      </c>
      <c r="L1149">
        <f>IF(AND(ABS(I1149)&gt;Dashboard!$G$6,ABS(J1149)&gt;Dashboard!$H$6),"⚠ Vượt","")</f>
        <v/>
      </c>
      <c r="M1149">
        <f>IF(AND(A1149=Dashboard!$D$6,OR(Dashboard!$C$6="*",F1149=Dashboard!$C$6),L1149&lt;&gt;""),ABS(I1149)+ROW()/1000000000,0)</f>
        <v/>
      </c>
    </row>
    <row r="1150">
      <c r="A1150">
        <f>Data_thang!A1150</f>
        <v/>
      </c>
      <c r="B1150">
        <f>Data_thang!B1150</f>
        <v/>
      </c>
      <c r="C1150">
        <f>Data_thang!D1150</f>
        <v/>
      </c>
      <c r="D1150">
        <f>Data_thang!E1150</f>
        <v/>
      </c>
      <c r="E1150">
        <f>Data_thang!F1150</f>
        <v/>
      </c>
      <c r="F1150">
        <f>Data_thang!G1150</f>
        <v/>
      </c>
      <c r="G1150" s="29">
        <f>Data_thang!J1150-Data_thang!K1150</f>
        <v/>
      </c>
      <c r="H1150" s="29">
        <f>Data_thang!N1150</f>
        <v/>
      </c>
      <c r="I1150" s="29">
        <f>H1150-G1150</f>
        <v/>
      </c>
      <c r="J1150" s="30">
        <f>IF(H1150=0,IF(I1150=0,0,1),I1150/ABS(H1150))</f>
        <v/>
      </c>
      <c r="K1150" s="29">
        <f>H1150-(Data_thang!O1150-Data_thang!K1150)</f>
        <v/>
      </c>
      <c r="L1150">
        <f>IF(AND(ABS(I1150)&gt;Dashboard!$G$6,ABS(J1150)&gt;Dashboard!$H$6),"⚠ Vượt","")</f>
        <v/>
      </c>
      <c r="M1150">
        <f>IF(AND(A1150=Dashboard!$D$6,OR(Dashboard!$C$6="*",F1150=Dashboard!$C$6),L1150&lt;&gt;""),ABS(I1150)+ROW()/1000000000,0)</f>
        <v/>
      </c>
    </row>
    <row r="1151">
      <c r="A1151">
        <f>Data_thang!A1151</f>
        <v/>
      </c>
      <c r="B1151">
        <f>Data_thang!B1151</f>
        <v/>
      </c>
      <c r="C1151">
        <f>Data_thang!D1151</f>
        <v/>
      </c>
      <c r="D1151">
        <f>Data_thang!E1151</f>
        <v/>
      </c>
      <c r="E1151">
        <f>Data_thang!F1151</f>
        <v/>
      </c>
      <c r="F1151">
        <f>Data_thang!G1151</f>
        <v/>
      </c>
      <c r="G1151" s="29">
        <f>Data_thang!J1151-Data_thang!K1151</f>
        <v/>
      </c>
      <c r="H1151" s="29">
        <f>Data_thang!N1151</f>
        <v/>
      </c>
      <c r="I1151" s="29">
        <f>H1151-G1151</f>
        <v/>
      </c>
      <c r="J1151" s="30">
        <f>IF(H1151=0,IF(I1151=0,0,1),I1151/ABS(H1151))</f>
        <v/>
      </c>
      <c r="K1151" s="29">
        <f>H1151-(Data_thang!O1151-Data_thang!K1151)</f>
        <v/>
      </c>
      <c r="L1151">
        <f>IF(AND(ABS(I1151)&gt;Dashboard!$G$6,ABS(J1151)&gt;Dashboard!$H$6),"⚠ Vượt","")</f>
        <v/>
      </c>
      <c r="M1151">
        <f>IF(AND(A1151=Dashboard!$D$6,OR(Dashboard!$C$6="*",F1151=Dashboard!$C$6),L1151&lt;&gt;""),ABS(I1151)+ROW()/1000000000,0)</f>
        <v/>
      </c>
    </row>
    <row r="1152">
      <c r="A1152">
        <f>Data_thang!A1152</f>
        <v/>
      </c>
      <c r="B1152">
        <f>Data_thang!B1152</f>
        <v/>
      </c>
      <c r="C1152">
        <f>Data_thang!D1152</f>
        <v/>
      </c>
      <c r="D1152">
        <f>Data_thang!E1152</f>
        <v/>
      </c>
      <c r="E1152">
        <f>Data_thang!F1152</f>
        <v/>
      </c>
      <c r="F1152">
        <f>Data_thang!G1152</f>
        <v/>
      </c>
      <c r="G1152" s="29">
        <f>Data_thang!J1152-Data_thang!K1152</f>
        <v/>
      </c>
      <c r="H1152" s="29">
        <f>Data_thang!N1152</f>
        <v/>
      </c>
      <c r="I1152" s="29">
        <f>H1152-G1152</f>
        <v/>
      </c>
      <c r="J1152" s="30">
        <f>IF(H1152=0,IF(I1152=0,0,1),I1152/ABS(H1152))</f>
        <v/>
      </c>
      <c r="K1152" s="29">
        <f>H1152-(Data_thang!O1152-Data_thang!K1152)</f>
        <v/>
      </c>
      <c r="L1152">
        <f>IF(AND(ABS(I1152)&gt;Dashboard!$G$6,ABS(J1152)&gt;Dashboard!$H$6),"⚠ Vượt","")</f>
        <v/>
      </c>
      <c r="M1152">
        <f>IF(AND(A1152=Dashboard!$D$6,OR(Dashboard!$C$6="*",F1152=Dashboard!$C$6),L1152&lt;&gt;""),ABS(I1152)+ROW()/1000000000,0)</f>
        <v/>
      </c>
    </row>
    <row r="1153">
      <c r="A1153">
        <f>Data_thang!A1153</f>
        <v/>
      </c>
      <c r="B1153">
        <f>Data_thang!B1153</f>
        <v/>
      </c>
      <c r="C1153">
        <f>Data_thang!D1153</f>
        <v/>
      </c>
      <c r="D1153">
        <f>Data_thang!E1153</f>
        <v/>
      </c>
      <c r="E1153">
        <f>Data_thang!F1153</f>
        <v/>
      </c>
      <c r="F1153">
        <f>Data_thang!G1153</f>
        <v/>
      </c>
      <c r="G1153" s="29">
        <f>Data_thang!J1153-Data_thang!K1153</f>
        <v/>
      </c>
      <c r="H1153" s="29">
        <f>Data_thang!N1153</f>
        <v/>
      </c>
      <c r="I1153" s="29">
        <f>H1153-G1153</f>
        <v/>
      </c>
      <c r="J1153" s="30">
        <f>IF(H1153=0,IF(I1153=0,0,1),I1153/ABS(H1153))</f>
        <v/>
      </c>
      <c r="K1153" s="29">
        <f>H1153-(Data_thang!O1153-Data_thang!K1153)</f>
        <v/>
      </c>
      <c r="L1153">
        <f>IF(AND(ABS(I1153)&gt;Dashboard!$G$6,ABS(J1153)&gt;Dashboard!$H$6),"⚠ Vượt","")</f>
        <v/>
      </c>
      <c r="M1153">
        <f>IF(AND(A1153=Dashboard!$D$6,OR(Dashboard!$C$6="*",F1153=Dashboard!$C$6),L1153&lt;&gt;""),ABS(I1153)+ROW()/1000000000,0)</f>
        <v/>
      </c>
    </row>
    <row r="1154">
      <c r="A1154">
        <f>Data_thang!A1154</f>
        <v/>
      </c>
      <c r="B1154">
        <f>Data_thang!B1154</f>
        <v/>
      </c>
      <c r="C1154">
        <f>Data_thang!D1154</f>
        <v/>
      </c>
      <c r="D1154">
        <f>Data_thang!E1154</f>
        <v/>
      </c>
      <c r="E1154">
        <f>Data_thang!F1154</f>
        <v/>
      </c>
      <c r="F1154">
        <f>Data_thang!G1154</f>
        <v/>
      </c>
      <c r="G1154" s="29">
        <f>Data_thang!J1154-Data_thang!K1154</f>
        <v/>
      </c>
      <c r="H1154" s="29">
        <f>Data_thang!N1154</f>
        <v/>
      </c>
      <c r="I1154" s="29">
        <f>H1154-G1154</f>
        <v/>
      </c>
      <c r="J1154" s="30">
        <f>IF(H1154=0,IF(I1154=0,0,1),I1154/ABS(H1154))</f>
        <v/>
      </c>
      <c r="K1154" s="29">
        <f>H1154-(Data_thang!O1154-Data_thang!K1154)</f>
        <v/>
      </c>
      <c r="L1154">
        <f>IF(AND(ABS(I1154)&gt;Dashboard!$G$6,ABS(J1154)&gt;Dashboard!$H$6),"⚠ Vượt","")</f>
        <v/>
      </c>
      <c r="M1154">
        <f>IF(AND(A1154=Dashboard!$D$6,OR(Dashboard!$C$6="*",F1154=Dashboard!$C$6),L1154&lt;&gt;""),ABS(I1154)+ROW()/1000000000,0)</f>
        <v/>
      </c>
    </row>
    <row r="1155">
      <c r="A1155">
        <f>Data_thang!A1155</f>
        <v/>
      </c>
      <c r="B1155">
        <f>Data_thang!B1155</f>
        <v/>
      </c>
      <c r="C1155">
        <f>Data_thang!D1155</f>
        <v/>
      </c>
      <c r="D1155">
        <f>Data_thang!E1155</f>
        <v/>
      </c>
      <c r="E1155">
        <f>Data_thang!F1155</f>
        <v/>
      </c>
      <c r="F1155">
        <f>Data_thang!G1155</f>
        <v/>
      </c>
      <c r="G1155" s="29">
        <f>Data_thang!J1155-Data_thang!K1155</f>
        <v/>
      </c>
      <c r="H1155" s="29">
        <f>Data_thang!N1155</f>
        <v/>
      </c>
      <c r="I1155" s="29">
        <f>H1155-G1155</f>
        <v/>
      </c>
      <c r="J1155" s="30">
        <f>IF(H1155=0,IF(I1155=0,0,1),I1155/ABS(H1155))</f>
        <v/>
      </c>
      <c r="K1155" s="29">
        <f>H1155-(Data_thang!O1155-Data_thang!K1155)</f>
        <v/>
      </c>
      <c r="L1155">
        <f>IF(AND(ABS(I1155)&gt;Dashboard!$G$6,ABS(J1155)&gt;Dashboard!$H$6),"⚠ Vượt","")</f>
        <v/>
      </c>
      <c r="M1155">
        <f>IF(AND(A1155=Dashboard!$D$6,OR(Dashboard!$C$6="*",F1155=Dashboard!$C$6),L1155&lt;&gt;""),ABS(I1155)+ROW()/1000000000,0)</f>
        <v/>
      </c>
    </row>
    <row r="1156">
      <c r="A1156">
        <f>Data_thang!A1156</f>
        <v/>
      </c>
      <c r="B1156">
        <f>Data_thang!B1156</f>
        <v/>
      </c>
      <c r="C1156">
        <f>Data_thang!D1156</f>
        <v/>
      </c>
      <c r="D1156">
        <f>Data_thang!E1156</f>
        <v/>
      </c>
      <c r="E1156">
        <f>Data_thang!F1156</f>
        <v/>
      </c>
      <c r="F1156">
        <f>Data_thang!G1156</f>
        <v/>
      </c>
      <c r="G1156" s="29">
        <f>Data_thang!J1156-Data_thang!K1156</f>
        <v/>
      </c>
      <c r="H1156" s="29">
        <f>Data_thang!N1156</f>
        <v/>
      </c>
      <c r="I1156" s="29">
        <f>H1156-G1156</f>
        <v/>
      </c>
      <c r="J1156" s="30">
        <f>IF(H1156=0,IF(I1156=0,0,1),I1156/ABS(H1156))</f>
        <v/>
      </c>
      <c r="K1156" s="29">
        <f>H1156-(Data_thang!O1156-Data_thang!K1156)</f>
        <v/>
      </c>
      <c r="L1156">
        <f>IF(AND(ABS(I1156)&gt;Dashboard!$G$6,ABS(J1156)&gt;Dashboard!$H$6),"⚠ Vượt","")</f>
        <v/>
      </c>
      <c r="M1156">
        <f>IF(AND(A1156=Dashboard!$D$6,OR(Dashboard!$C$6="*",F1156=Dashboard!$C$6),L1156&lt;&gt;""),ABS(I1156)+ROW()/1000000000,0)</f>
        <v/>
      </c>
    </row>
    <row r="1157">
      <c r="A1157">
        <f>Data_thang!A1157</f>
        <v/>
      </c>
      <c r="B1157">
        <f>Data_thang!B1157</f>
        <v/>
      </c>
      <c r="C1157">
        <f>Data_thang!D1157</f>
        <v/>
      </c>
      <c r="D1157">
        <f>Data_thang!E1157</f>
        <v/>
      </c>
      <c r="E1157">
        <f>Data_thang!F1157</f>
        <v/>
      </c>
      <c r="F1157">
        <f>Data_thang!G1157</f>
        <v/>
      </c>
      <c r="G1157" s="29">
        <f>Data_thang!J1157-Data_thang!K1157</f>
        <v/>
      </c>
      <c r="H1157" s="29">
        <f>Data_thang!N1157</f>
        <v/>
      </c>
      <c r="I1157" s="29">
        <f>H1157-G1157</f>
        <v/>
      </c>
      <c r="J1157" s="30">
        <f>IF(H1157=0,IF(I1157=0,0,1),I1157/ABS(H1157))</f>
        <v/>
      </c>
      <c r="K1157" s="29">
        <f>H1157-(Data_thang!O1157-Data_thang!K1157)</f>
        <v/>
      </c>
      <c r="L1157">
        <f>IF(AND(ABS(I1157)&gt;Dashboard!$G$6,ABS(J1157)&gt;Dashboard!$H$6),"⚠ Vượt","")</f>
        <v/>
      </c>
      <c r="M1157">
        <f>IF(AND(A1157=Dashboard!$D$6,OR(Dashboard!$C$6="*",F1157=Dashboard!$C$6),L1157&lt;&gt;""),ABS(I1157)+ROW()/1000000000,0)</f>
        <v/>
      </c>
    </row>
    <row r="1158">
      <c r="A1158">
        <f>Data_thang!A1158</f>
        <v/>
      </c>
      <c r="B1158">
        <f>Data_thang!B1158</f>
        <v/>
      </c>
      <c r="C1158">
        <f>Data_thang!D1158</f>
        <v/>
      </c>
      <c r="D1158">
        <f>Data_thang!E1158</f>
        <v/>
      </c>
      <c r="E1158">
        <f>Data_thang!F1158</f>
        <v/>
      </c>
      <c r="F1158">
        <f>Data_thang!G1158</f>
        <v/>
      </c>
      <c r="G1158" s="29">
        <f>Data_thang!J1158-Data_thang!K1158</f>
        <v/>
      </c>
      <c r="H1158" s="29">
        <f>Data_thang!N1158</f>
        <v/>
      </c>
      <c r="I1158" s="29">
        <f>H1158-G1158</f>
        <v/>
      </c>
      <c r="J1158" s="30">
        <f>IF(H1158=0,IF(I1158=0,0,1),I1158/ABS(H1158))</f>
        <v/>
      </c>
      <c r="K1158" s="29">
        <f>H1158-(Data_thang!O1158-Data_thang!K1158)</f>
        <v/>
      </c>
      <c r="L1158">
        <f>IF(AND(ABS(I1158)&gt;Dashboard!$G$6,ABS(J1158)&gt;Dashboard!$H$6),"⚠ Vượt","")</f>
        <v/>
      </c>
      <c r="M1158">
        <f>IF(AND(A1158=Dashboard!$D$6,OR(Dashboard!$C$6="*",F1158=Dashboard!$C$6),L1158&lt;&gt;""),ABS(I1158)+ROW()/1000000000,0)</f>
        <v/>
      </c>
    </row>
    <row r="1159">
      <c r="A1159">
        <f>Data_thang!A1159</f>
        <v/>
      </c>
      <c r="B1159">
        <f>Data_thang!B1159</f>
        <v/>
      </c>
      <c r="C1159">
        <f>Data_thang!D1159</f>
        <v/>
      </c>
      <c r="D1159">
        <f>Data_thang!E1159</f>
        <v/>
      </c>
      <c r="E1159">
        <f>Data_thang!F1159</f>
        <v/>
      </c>
      <c r="F1159">
        <f>Data_thang!G1159</f>
        <v/>
      </c>
      <c r="G1159" s="29">
        <f>Data_thang!J1159-Data_thang!K1159</f>
        <v/>
      </c>
      <c r="H1159" s="29">
        <f>Data_thang!N1159</f>
        <v/>
      </c>
      <c r="I1159" s="29">
        <f>H1159-G1159</f>
        <v/>
      </c>
      <c r="J1159" s="30">
        <f>IF(H1159=0,IF(I1159=0,0,1),I1159/ABS(H1159))</f>
        <v/>
      </c>
      <c r="K1159" s="29">
        <f>H1159-(Data_thang!O1159-Data_thang!K1159)</f>
        <v/>
      </c>
      <c r="L1159">
        <f>IF(AND(ABS(I1159)&gt;Dashboard!$G$6,ABS(J1159)&gt;Dashboard!$H$6),"⚠ Vượt","")</f>
        <v/>
      </c>
      <c r="M1159">
        <f>IF(AND(A1159=Dashboard!$D$6,OR(Dashboard!$C$6="*",F1159=Dashboard!$C$6),L1159&lt;&gt;""),ABS(I1159)+ROW()/1000000000,0)</f>
        <v/>
      </c>
    </row>
    <row r="1160">
      <c r="A1160">
        <f>Data_thang!A1160</f>
        <v/>
      </c>
      <c r="B1160">
        <f>Data_thang!B1160</f>
        <v/>
      </c>
      <c r="C1160">
        <f>Data_thang!D1160</f>
        <v/>
      </c>
      <c r="D1160">
        <f>Data_thang!E1160</f>
        <v/>
      </c>
      <c r="E1160">
        <f>Data_thang!F1160</f>
        <v/>
      </c>
      <c r="F1160">
        <f>Data_thang!G1160</f>
        <v/>
      </c>
      <c r="G1160" s="29">
        <f>Data_thang!J1160-Data_thang!K1160</f>
        <v/>
      </c>
      <c r="H1160" s="29">
        <f>Data_thang!N1160</f>
        <v/>
      </c>
      <c r="I1160" s="29">
        <f>H1160-G1160</f>
        <v/>
      </c>
      <c r="J1160" s="30">
        <f>IF(H1160=0,IF(I1160=0,0,1),I1160/ABS(H1160))</f>
        <v/>
      </c>
      <c r="K1160" s="29">
        <f>H1160-(Data_thang!O1160-Data_thang!K1160)</f>
        <v/>
      </c>
      <c r="L1160">
        <f>IF(AND(ABS(I1160)&gt;Dashboard!$G$6,ABS(J1160)&gt;Dashboard!$H$6),"⚠ Vượt","")</f>
        <v/>
      </c>
      <c r="M1160">
        <f>IF(AND(A1160=Dashboard!$D$6,OR(Dashboard!$C$6="*",F1160=Dashboard!$C$6),L1160&lt;&gt;""),ABS(I1160)+ROW()/1000000000,0)</f>
        <v/>
      </c>
    </row>
    <row r="1161">
      <c r="A1161">
        <f>Data_thang!A1161</f>
        <v/>
      </c>
      <c r="B1161">
        <f>Data_thang!B1161</f>
        <v/>
      </c>
      <c r="C1161">
        <f>Data_thang!D1161</f>
        <v/>
      </c>
      <c r="D1161">
        <f>Data_thang!E1161</f>
        <v/>
      </c>
      <c r="E1161">
        <f>Data_thang!F1161</f>
        <v/>
      </c>
      <c r="F1161">
        <f>Data_thang!G1161</f>
        <v/>
      </c>
      <c r="G1161" s="29">
        <f>Data_thang!J1161-Data_thang!K1161</f>
        <v/>
      </c>
      <c r="H1161" s="29">
        <f>Data_thang!N1161</f>
        <v/>
      </c>
      <c r="I1161" s="29">
        <f>H1161-G1161</f>
        <v/>
      </c>
      <c r="J1161" s="30">
        <f>IF(H1161=0,IF(I1161=0,0,1),I1161/ABS(H1161))</f>
        <v/>
      </c>
      <c r="K1161" s="29">
        <f>H1161-(Data_thang!O1161-Data_thang!K1161)</f>
        <v/>
      </c>
      <c r="L1161">
        <f>IF(AND(ABS(I1161)&gt;Dashboard!$G$6,ABS(J1161)&gt;Dashboard!$H$6),"⚠ Vượt","")</f>
        <v/>
      </c>
      <c r="M1161">
        <f>IF(AND(A1161=Dashboard!$D$6,OR(Dashboard!$C$6="*",F1161=Dashboard!$C$6),L1161&lt;&gt;""),ABS(I1161)+ROW()/1000000000,0)</f>
        <v/>
      </c>
    </row>
    <row r="1162">
      <c r="A1162">
        <f>Data_thang!A1162</f>
        <v/>
      </c>
      <c r="B1162">
        <f>Data_thang!B1162</f>
        <v/>
      </c>
      <c r="C1162">
        <f>Data_thang!D1162</f>
        <v/>
      </c>
      <c r="D1162">
        <f>Data_thang!E1162</f>
        <v/>
      </c>
      <c r="E1162">
        <f>Data_thang!F1162</f>
        <v/>
      </c>
      <c r="F1162">
        <f>Data_thang!G1162</f>
        <v/>
      </c>
      <c r="G1162" s="29">
        <f>Data_thang!J1162-Data_thang!K1162</f>
        <v/>
      </c>
      <c r="H1162" s="29">
        <f>Data_thang!N1162</f>
        <v/>
      </c>
      <c r="I1162" s="29">
        <f>H1162-G1162</f>
        <v/>
      </c>
      <c r="J1162" s="30">
        <f>IF(H1162=0,IF(I1162=0,0,1),I1162/ABS(H1162))</f>
        <v/>
      </c>
      <c r="K1162" s="29">
        <f>H1162-(Data_thang!O1162-Data_thang!K1162)</f>
        <v/>
      </c>
      <c r="L1162">
        <f>IF(AND(ABS(I1162)&gt;Dashboard!$G$6,ABS(J1162)&gt;Dashboard!$H$6),"⚠ Vượt","")</f>
        <v/>
      </c>
      <c r="M1162">
        <f>IF(AND(A1162=Dashboard!$D$6,OR(Dashboard!$C$6="*",F1162=Dashboard!$C$6),L1162&lt;&gt;""),ABS(I1162)+ROW()/1000000000,0)</f>
        <v/>
      </c>
    </row>
    <row r="1163">
      <c r="A1163">
        <f>Data_thang!A1163</f>
        <v/>
      </c>
      <c r="B1163">
        <f>Data_thang!B1163</f>
        <v/>
      </c>
      <c r="C1163">
        <f>Data_thang!D1163</f>
        <v/>
      </c>
      <c r="D1163">
        <f>Data_thang!E1163</f>
        <v/>
      </c>
      <c r="E1163">
        <f>Data_thang!F1163</f>
        <v/>
      </c>
      <c r="F1163">
        <f>Data_thang!G1163</f>
        <v/>
      </c>
      <c r="G1163" s="29">
        <f>Data_thang!J1163-Data_thang!K1163</f>
        <v/>
      </c>
      <c r="H1163" s="29">
        <f>Data_thang!N1163</f>
        <v/>
      </c>
      <c r="I1163" s="29">
        <f>H1163-G1163</f>
        <v/>
      </c>
      <c r="J1163" s="30">
        <f>IF(H1163=0,IF(I1163=0,0,1),I1163/ABS(H1163))</f>
        <v/>
      </c>
      <c r="K1163" s="29">
        <f>H1163-(Data_thang!O1163-Data_thang!K1163)</f>
        <v/>
      </c>
      <c r="L1163">
        <f>IF(AND(ABS(I1163)&gt;Dashboard!$G$6,ABS(J1163)&gt;Dashboard!$H$6),"⚠ Vượt","")</f>
        <v/>
      </c>
      <c r="M1163">
        <f>IF(AND(A1163=Dashboard!$D$6,OR(Dashboard!$C$6="*",F1163=Dashboard!$C$6),L1163&lt;&gt;""),ABS(I1163)+ROW()/1000000000,0)</f>
        <v/>
      </c>
    </row>
    <row r="1164">
      <c r="A1164">
        <f>Data_thang!A1164</f>
        <v/>
      </c>
      <c r="B1164">
        <f>Data_thang!B1164</f>
        <v/>
      </c>
      <c r="C1164">
        <f>Data_thang!D1164</f>
        <v/>
      </c>
      <c r="D1164">
        <f>Data_thang!E1164</f>
        <v/>
      </c>
      <c r="E1164">
        <f>Data_thang!F1164</f>
        <v/>
      </c>
      <c r="F1164">
        <f>Data_thang!G1164</f>
        <v/>
      </c>
      <c r="G1164" s="29">
        <f>Data_thang!J1164-Data_thang!K1164</f>
        <v/>
      </c>
      <c r="H1164" s="29">
        <f>Data_thang!N1164</f>
        <v/>
      </c>
      <c r="I1164" s="29">
        <f>H1164-G1164</f>
        <v/>
      </c>
      <c r="J1164" s="30">
        <f>IF(H1164=0,IF(I1164=0,0,1),I1164/ABS(H1164))</f>
        <v/>
      </c>
      <c r="K1164" s="29">
        <f>H1164-(Data_thang!O1164-Data_thang!K1164)</f>
        <v/>
      </c>
      <c r="L1164">
        <f>IF(AND(ABS(I1164)&gt;Dashboard!$G$6,ABS(J1164)&gt;Dashboard!$H$6),"⚠ Vượt","")</f>
        <v/>
      </c>
      <c r="M1164">
        <f>IF(AND(A1164=Dashboard!$D$6,OR(Dashboard!$C$6="*",F1164=Dashboard!$C$6),L1164&lt;&gt;""),ABS(I1164)+ROW()/1000000000,0)</f>
        <v/>
      </c>
    </row>
    <row r="1165">
      <c r="A1165">
        <f>Data_thang!A1165</f>
        <v/>
      </c>
      <c r="B1165">
        <f>Data_thang!B1165</f>
        <v/>
      </c>
      <c r="C1165">
        <f>Data_thang!D1165</f>
        <v/>
      </c>
      <c r="D1165">
        <f>Data_thang!E1165</f>
        <v/>
      </c>
      <c r="E1165">
        <f>Data_thang!F1165</f>
        <v/>
      </c>
      <c r="F1165">
        <f>Data_thang!G1165</f>
        <v/>
      </c>
      <c r="G1165" s="29">
        <f>Data_thang!J1165-Data_thang!K1165</f>
        <v/>
      </c>
      <c r="H1165" s="29">
        <f>Data_thang!N1165</f>
        <v/>
      </c>
      <c r="I1165" s="29">
        <f>H1165-G1165</f>
        <v/>
      </c>
      <c r="J1165" s="30">
        <f>IF(H1165=0,IF(I1165=0,0,1),I1165/ABS(H1165))</f>
        <v/>
      </c>
      <c r="K1165" s="29">
        <f>H1165-(Data_thang!O1165-Data_thang!K1165)</f>
        <v/>
      </c>
      <c r="L1165">
        <f>IF(AND(ABS(I1165)&gt;Dashboard!$G$6,ABS(J1165)&gt;Dashboard!$H$6),"⚠ Vượt","")</f>
        <v/>
      </c>
      <c r="M1165">
        <f>IF(AND(A1165=Dashboard!$D$6,OR(Dashboard!$C$6="*",F1165=Dashboard!$C$6),L1165&lt;&gt;""),ABS(I1165)+ROW()/1000000000,0)</f>
        <v/>
      </c>
    </row>
    <row r="1166">
      <c r="A1166">
        <f>Data_thang!A1166</f>
        <v/>
      </c>
      <c r="B1166">
        <f>Data_thang!B1166</f>
        <v/>
      </c>
      <c r="C1166">
        <f>Data_thang!D1166</f>
        <v/>
      </c>
      <c r="D1166">
        <f>Data_thang!E1166</f>
        <v/>
      </c>
      <c r="E1166">
        <f>Data_thang!F1166</f>
        <v/>
      </c>
      <c r="F1166">
        <f>Data_thang!G1166</f>
        <v/>
      </c>
      <c r="G1166" s="29">
        <f>Data_thang!J1166-Data_thang!K1166</f>
        <v/>
      </c>
      <c r="H1166" s="29">
        <f>Data_thang!N1166</f>
        <v/>
      </c>
      <c r="I1166" s="29">
        <f>H1166-G1166</f>
        <v/>
      </c>
      <c r="J1166" s="30">
        <f>IF(H1166=0,IF(I1166=0,0,1),I1166/ABS(H1166))</f>
        <v/>
      </c>
      <c r="K1166" s="29">
        <f>H1166-(Data_thang!O1166-Data_thang!K1166)</f>
        <v/>
      </c>
      <c r="L1166">
        <f>IF(AND(ABS(I1166)&gt;Dashboard!$G$6,ABS(J1166)&gt;Dashboard!$H$6),"⚠ Vượt","")</f>
        <v/>
      </c>
      <c r="M1166">
        <f>IF(AND(A1166=Dashboard!$D$6,OR(Dashboard!$C$6="*",F1166=Dashboard!$C$6),L1166&lt;&gt;""),ABS(I1166)+ROW()/1000000000,0)</f>
        <v/>
      </c>
    </row>
    <row r="1167">
      <c r="A1167">
        <f>Data_thang!A1167</f>
        <v/>
      </c>
      <c r="B1167">
        <f>Data_thang!B1167</f>
        <v/>
      </c>
      <c r="C1167">
        <f>Data_thang!D1167</f>
        <v/>
      </c>
      <c r="D1167">
        <f>Data_thang!E1167</f>
        <v/>
      </c>
      <c r="E1167">
        <f>Data_thang!F1167</f>
        <v/>
      </c>
      <c r="F1167">
        <f>Data_thang!G1167</f>
        <v/>
      </c>
      <c r="G1167" s="29">
        <f>Data_thang!J1167-Data_thang!K1167</f>
        <v/>
      </c>
      <c r="H1167" s="29">
        <f>Data_thang!N1167</f>
        <v/>
      </c>
      <c r="I1167" s="29">
        <f>H1167-G1167</f>
        <v/>
      </c>
      <c r="J1167" s="30">
        <f>IF(H1167=0,IF(I1167=0,0,1),I1167/ABS(H1167))</f>
        <v/>
      </c>
      <c r="K1167" s="29">
        <f>H1167-(Data_thang!O1167-Data_thang!K1167)</f>
        <v/>
      </c>
      <c r="L1167">
        <f>IF(AND(ABS(I1167)&gt;Dashboard!$G$6,ABS(J1167)&gt;Dashboard!$H$6),"⚠ Vượt","")</f>
        <v/>
      </c>
      <c r="M1167">
        <f>IF(AND(A1167=Dashboard!$D$6,OR(Dashboard!$C$6="*",F1167=Dashboard!$C$6),L1167&lt;&gt;""),ABS(I1167)+ROW()/1000000000,0)</f>
        <v/>
      </c>
    </row>
    <row r="1168">
      <c r="A1168">
        <f>Data_thang!A1168</f>
        <v/>
      </c>
      <c r="B1168">
        <f>Data_thang!B1168</f>
        <v/>
      </c>
      <c r="C1168">
        <f>Data_thang!D1168</f>
        <v/>
      </c>
      <c r="D1168">
        <f>Data_thang!E1168</f>
        <v/>
      </c>
      <c r="E1168">
        <f>Data_thang!F1168</f>
        <v/>
      </c>
      <c r="F1168">
        <f>Data_thang!G1168</f>
        <v/>
      </c>
      <c r="G1168" s="29">
        <f>Data_thang!J1168-Data_thang!K1168</f>
        <v/>
      </c>
      <c r="H1168" s="29">
        <f>Data_thang!N1168</f>
        <v/>
      </c>
      <c r="I1168" s="29">
        <f>H1168-G1168</f>
        <v/>
      </c>
      <c r="J1168" s="30">
        <f>IF(H1168=0,IF(I1168=0,0,1),I1168/ABS(H1168))</f>
        <v/>
      </c>
      <c r="K1168" s="29">
        <f>H1168-(Data_thang!O1168-Data_thang!K1168)</f>
        <v/>
      </c>
      <c r="L1168">
        <f>IF(AND(ABS(I1168)&gt;Dashboard!$G$6,ABS(J1168)&gt;Dashboard!$H$6),"⚠ Vượt","")</f>
        <v/>
      </c>
      <c r="M1168">
        <f>IF(AND(A1168=Dashboard!$D$6,OR(Dashboard!$C$6="*",F1168=Dashboard!$C$6),L1168&lt;&gt;""),ABS(I1168)+ROW()/1000000000,0)</f>
        <v/>
      </c>
    </row>
    <row r="1169">
      <c r="A1169">
        <f>Data_thang!A1169</f>
        <v/>
      </c>
      <c r="B1169">
        <f>Data_thang!B1169</f>
        <v/>
      </c>
      <c r="C1169">
        <f>Data_thang!D1169</f>
        <v/>
      </c>
      <c r="D1169">
        <f>Data_thang!E1169</f>
        <v/>
      </c>
      <c r="E1169">
        <f>Data_thang!F1169</f>
        <v/>
      </c>
      <c r="F1169">
        <f>Data_thang!G1169</f>
        <v/>
      </c>
      <c r="G1169" s="29">
        <f>Data_thang!J1169-Data_thang!K1169</f>
        <v/>
      </c>
      <c r="H1169" s="29">
        <f>Data_thang!N1169</f>
        <v/>
      </c>
      <c r="I1169" s="29">
        <f>H1169-G1169</f>
        <v/>
      </c>
      <c r="J1169" s="30">
        <f>IF(H1169=0,IF(I1169=0,0,1),I1169/ABS(H1169))</f>
        <v/>
      </c>
      <c r="K1169" s="29">
        <f>H1169-(Data_thang!O1169-Data_thang!K1169)</f>
        <v/>
      </c>
      <c r="L1169">
        <f>IF(AND(ABS(I1169)&gt;Dashboard!$G$6,ABS(J1169)&gt;Dashboard!$H$6),"⚠ Vượt","")</f>
        <v/>
      </c>
      <c r="M1169">
        <f>IF(AND(A1169=Dashboard!$D$6,OR(Dashboard!$C$6="*",F1169=Dashboard!$C$6),L1169&lt;&gt;""),ABS(I1169)+ROW()/1000000000,0)</f>
        <v/>
      </c>
    </row>
    <row r="1170">
      <c r="A1170">
        <f>Data_thang!A1170</f>
        <v/>
      </c>
      <c r="B1170">
        <f>Data_thang!B1170</f>
        <v/>
      </c>
      <c r="C1170">
        <f>Data_thang!D1170</f>
        <v/>
      </c>
      <c r="D1170">
        <f>Data_thang!E1170</f>
        <v/>
      </c>
      <c r="E1170">
        <f>Data_thang!F1170</f>
        <v/>
      </c>
      <c r="F1170">
        <f>Data_thang!G1170</f>
        <v/>
      </c>
      <c r="G1170" s="29">
        <f>Data_thang!J1170-Data_thang!K1170</f>
        <v/>
      </c>
      <c r="H1170" s="29">
        <f>Data_thang!N1170</f>
        <v/>
      </c>
      <c r="I1170" s="29">
        <f>H1170-G1170</f>
        <v/>
      </c>
      <c r="J1170" s="30">
        <f>IF(H1170=0,IF(I1170=0,0,1),I1170/ABS(H1170))</f>
        <v/>
      </c>
      <c r="K1170" s="29">
        <f>H1170-(Data_thang!O1170-Data_thang!K1170)</f>
        <v/>
      </c>
      <c r="L1170">
        <f>IF(AND(ABS(I1170)&gt;Dashboard!$G$6,ABS(J1170)&gt;Dashboard!$H$6),"⚠ Vượt","")</f>
        <v/>
      </c>
      <c r="M1170">
        <f>IF(AND(A1170=Dashboard!$D$6,OR(Dashboard!$C$6="*",F1170=Dashboard!$C$6),L1170&lt;&gt;""),ABS(I1170)+ROW()/1000000000,0)</f>
        <v/>
      </c>
    </row>
    <row r="1171">
      <c r="A1171">
        <f>Data_thang!A1171</f>
        <v/>
      </c>
      <c r="B1171">
        <f>Data_thang!B1171</f>
        <v/>
      </c>
      <c r="C1171">
        <f>Data_thang!D1171</f>
        <v/>
      </c>
      <c r="D1171">
        <f>Data_thang!E1171</f>
        <v/>
      </c>
      <c r="E1171">
        <f>Data_thang!F1171</f>
        <v/>
      </c>
      <c r="F1171">
        <f>Data_thang!G1171</f>
        <v/>
      </c>
      <c r="G1171" s="29">
        <f>Data_thang!J1171-Data_thang!K1171</f>
        <v/>
      </c>
      <c r="H1171" s="29">
        <f>Data_thang!N1171</f>
        <v/>
      </c>
      <c r="I1171" s="29">
        <f>H1171-G1171</f>
        <v/>
      </c>
      <c r="J1171" s="30">
        <f>IF(H1171=0,IF(I1171=0,0,1),I1171/ABS(H1171))</f>
        <v/>
      </c>
      <c r="K1171" s="29">
        <f>H1171-(Data_thang!O1171-Data_thang!K1171)</f>
        <v/>
      </c>
      <c r="L1171">
        <f>IF(AND(ABS(I1171)&gt;Dashboard!$G$6,ABS(J1171)&gt;Dashboard!$H$6),"⚠ Vượt","")</f>
        <v/>
      </c>
      <c r="M1171">
        <f>IF(AND(A1171=Dashboard!$D$6,OR(Dashboard!$C$6="*",F1171=Dashboard!$C$6),L1171&lt;&gt;""),ABS(I1171)+ROW()/1000000000,0)</f>
        <v/>
      </c>
    </row>
    <row r="1172">
      <c r="A1172">
        <f>Data_thang!A1172</f>
        <v/>
      </c>
      <c r="B1172">
        <f>Data_thang!B1172</f>
        <v/>
      </c>
      <c r="C1172">
        <f>Data_thang!D1172</f>
        <v/>
      </c>
      <c r="D1172">
        <f>Data_thang!E1172</f>
        <v/>
      </c>
      <c r="E1172">
        <f>Data_thang!F1172</f>
        <v/>
      </c>
      <c r="F1172">
        <f>Data_thang!G1172</f>
        <v/>
      </c>
      <c r="G1172" s="29">
        <f>Data_thang!J1172-Data_thang!K1172</f>
        <v/>
      </c>
      <c r="H1172" s="29">
        <f>Data_thang!N1172</f>
        <v/>
      </c>
      <c r="I1172" s="29">
        <f>H1172-G1172</f>
        <v/>
      </c>
      <c r="J1172" s="30">
        <f>IF(H1172=0,IF(I1172=0,0,1),I1172/ABS(H1172))</f>
        <v/>
      </c>
      <c r="K1172" s="29">
        <f>H1172-(Data_thang!O1172-Data_thang!K1172)</f>
        <v/>
      </c>
      <c r="L1172">
        <f>IF(AND(ABS(I1172)&gt;Dashboard!$G$6,ABS(J1172)&gt;Dashboard!$H$6),"⚠ Vượt","")</f>
        <v/>
      </c>
      <c r="M1172">
        <f>IF(AND(A1172=Dashboard!$D$6,OR(Dashboard!$C$6="*",F1172=Dashboard!$C$6),L1172&lt;&gt;""),ABS(I1172)+ROW()/1000000000,0)</f>
        <v/>
      </c>
    </row>
    <row r="1173">
      <c r="A1173">
        <f>Data_thang!A1173</f>
        <v/>
      </c>
      <c r="B1173">
        <f>Data_thang!B1173</f>
        <v/>
      </c>
      <c r="C1173">
        <f>Data_thang!D1173</f>
        <v/>
      </c>
      <c r="D1173">
        <f>Data_thang!E1173</f>
        <v/>
      </c>
      <c r="E1173">
        <f>Data_thang!F1173</f>
        <v/>
      </c>
      <c r="F1173">
        <f>Data_thang!G1173</f>
        <v/>
      </c>
      <c r="G1173" s="29">
        <f>Data_thang!J1173-Data_thang!K1173</f>
        <v/>
      </c>
      <c r="H1173" s="29">
        <f>Data_thang!N1173</f>
        <v/>
      </c>
      <c r="I1173" s="29">
        <f>H1173-G1173</f>
        <v/>
      </c>
      <c r="J1173" s="30">
        <f>IF(H1173=0,IF(I1173=0,0,1),I1173/ABS(H1173))</f>
        <v/>
      </c>
      <c r="K1173" s="29">
        <f>H1173-(Data_thang!O1173-Data_thang!K1173)</f>
        <v/>
      </c>
      <c r="L1173">
        <f>IF(AND(ABS(I1173)&gt;Dashboard!$G$6,ABS(J1173)&gt;Dashboard!$H$6),"⚠ Vượt","")</f>
        <v/>
      </c>
      <c r="M1173">
        <f>IF(AND(A1173=Dashboard!$D$6,OR(Dashboard!$C$6="*",F1173=Dashboard!$C$6),L1173&lt;&gt;""),ABS(I1173)+ROW()/1000000000,0)</f>
        <v/>
      </c>
    </row>
    <row r="1174">
      <c r="A1174">
        <f>Data_thang!A1174</f>
        <v/>
      </c>
      <c r="B1174">
        <f>Data_thang!B1174</f>
        <v/>
      </c>
      <c r="C1174">
        <f>Data_thang!D1174</f>
        <v/>
      </c>
      <c r="D1174">
        <f>Data_thang!E1174</f>
        <v/>
      </c>
      <c r="E1174">
        <f>Data_thang!F1174</f>
        <v/>
      </c>
      <c r="F1174">
        <f>Data_thang!G1174</f>
        <v/>
      </c>
      <c r="G1174" s="29">
        <f>Data_thang!J1174-Data_thang!K1174</f>
        <v/>
      </c>
      <c r="H1174" s="29">
        <f>Data_thang!N1174</f>
        <v/>
      </c>
      <c r="I1174" s="29">
        <f>H1174-G1174</f>
        <v/>
      </c>
      <c r="J1174" s="30">
        <f>IF(H1174=0,IF(I1174=0,0,1),I1174/ABS(H1174))</f>
        <v/>
      </c>
      <c r="K1174" s="29">
        <f>H1174-(Data_thang!O1174-Data_thang!K1174)</f>
        <v/>
      </c>
      <c r="L1174">
        <f>IF(AND(ABS(I1174)&gt;Dashboard!$G$6,ABS(J1174)&gt;Dashboard!$H$6),"⚠ Vượt","")</f>
        <v/>
      </c>
      <c r="M1174">
        <f>IF(AND(A1174=Dashboard!$D$6,OR(Dashboard!$C$6="*",F1174=Dashboard!$C$6),L1174&lt;&gt;""),ABS(I1174)+ROW()/1000000000,0)</f>
        <v/>
      </c>
    </row>
    <row r="1175">
      <c r="A1175">
        <f>Data_thang!A1175</f>
        <v/>
      </c>
      <c r="B1175">
        <f>Data_thang!B1175</f>
        <v/>
      </c>
      <c r="C1175">
        <f>Data_thang!D1175</f>
        <v/>
      </c>
      <c r="D1175">
        <f>Data_thang!E1175</f>
        <v/>
      </c>
      <c r="E1175">
        <f>Data_thang!F1175</f>
        <v/>
      </c>
      <c r="F1175">
        <f>Data_thang!G1175</f>
        <v/>
      </c>
      <c r="G1175" s="29">
        <f>Data_thang!J1175-Data_thang!K1175</f>
        <v/>
      </c>
      <c r="H1175" s="29">
        <f>Data_thang!N1175</f>
        <v/>
      </c>
      <c r="I1175" s="29">
        <f>H1175-G1175</f>
        <v/>
      </c>
      <c r="J1175" s="30">
        <f>IF(H1175=0,IF(I1175=0,0,1),I1175/ABS(H1175))</f>
        <v/>
      </c>
      <c r="K1175" s="29">
        <f>H1175-(Data_thang!O1175-Data_thang!K1175)</f>
        <v/>
      </c>
      <c r="L1175">
        <f>IF(AND(ABS(I1175)&gt;Dashboard!$G$6,ABS(J1175)&gt;Dashboard!$H$6),"⚠ Vượt","")</f>
        <v/>
      </c>
      <c r="M1175">
        <f>IF(AND(A1175=Dashboard!$D$6,OR(Dashboard!$C$6="*",F1175=Dashboard!$C$6),L1175&lt;&gt;""),ABS(I1175)+ROW()/1000000000,0)</f>
        <v/>
      </c>
    </row>
    <row r="1176">
      <c r="A1176">
        <f>Data_thang!A1176</f>
        <v/>
      </c>
      <c r="B1176">
        <f>Data_thang!B1176</f>
        <v/>
      </c>
      <c r="C1176">
        <f>Data_thang!D1176</f>
        <v/>
      </c>
      <c r="D1176">
        <f>Data_thang!E1176</f>
        <v/>
      </c>
      <c r="E1176">
        <f>Data_thang!F1176</f>
        <v/>
      </c>
      <c r="F1176">
        <f>Data_thang!G1176</f>
        <v/>
      </c>
      <c r="G1176" s="29">
        <f>Data_thang!J1176-Data_thang!K1176</f>
        <v/>
      </c>
      <c r="H1176" s="29">
        <f>Data_thang!N1176</f>
        <v/>
      </c>
      <c r="I1176" s="29">
        <f>H1176-G1176</f>
        <v/>
      </c>
      <c r="J1176" s="30">
        <f>IF(H1176=0,IF(I1176=0,0,1),I1176/ABS(H1176))</f>
        <v/>
      </c>
      <c r="K1176" s="29">
        <f>H1176-(Data_thang!O1176-Data_thang!K1176)</f>
        <v/>
      </c>
      <c r="L1176">
        <f>IF(AND(ABS(I1176)&gt;Dashboard!$G$6,ABS(J1176)&gt;Dashboard!$H$6),"⚠ Vượt","")</f>
        <v/>
      </c>
      <c r="M1176">
        <f>IF(AND(A1176=Dashboard!$D$6,OR(Dashboard!$C$6="*",F1176=Dashboard!$C$6),L1176&lt;&gt;""),ABS(I1176)+ROW()/1000000000,0)</f>
        <v/>
      </c>
    </row>
    <row r="1177">
      <c r="A1177">
        <f>Data_thang!A1177</f>
        <v/>
      </c>
      <c r="B1177">
        <f>Data_thang!B1177</f>
        <v/>
      </c>
      <c r="C1177">
        <f>Data_thang!D1177</f>
        <v/>
      </c>
      <c r="D1177">
        <f>Data_thang!E1177</f>
        <v/>
      </c>
      <c r="E1177">
        <f>Data_thang!F1177</f>
        <v/>
      </c>
      <c r="F1177">
        <f>Data_thang!G1177</f>
        <v/>
      </c>
      <c r="G1177" s="29">
        <f>Data_thang!J1177-Data_thang!K1177</f>
        <v/>
      </c>
      <c r="H1177" s="29">
        <f>Data_thang!N1177</f>
        <v/>
      </c>
      <c r="I1177" s="29">
        <f>H1177-G1177</f>
        <v/>
      </c>
      <c r="J1177" s="30">
        <f>IF(H1177=0,IF(I1177=0,0,1),I1177/ABS(H1177))</f>
        <v/>
      </c>
      <c r="K1177" s="29">
        <f>H1177-(Data_thang!O1177-Data_thang!K1177)</f>
        <v/>
      </c>
      <c r="L1177">
        <f>IF(AND(ABS(I1177)&gt;Dashboard!$G$6,ABS(J1177)&gt;Dashboard!$H$6),"⚠ Vượt","")</f>
        <v/>
      </c>
      <c r="M1177">
        <f>IF(AND(A1177=Dashboard!$D$6,OR(Dashboard!$C$6="*",F1177=Dashboard!$C$6),L1177&lt;&gt;""),ABS(I1177)+ROW()/1000000000,0)</f>
        <v/>
      </c>
    </row>
    <row r="1178">
      <c r="A1178">
        <f>Data_thang!A1178</f>
        <v/>
      </c>
      <c r="B1178">
        <f>Data_thang!B1178</f>
        <v/>
      </c>
      <c r="C1178">
        <f>Data_thang!D1178</f>
        <v/>
      </c>
      <c r="D1178">
        <f>Data_thang!E1178</f>
        <v/>
      </c>
      <c r="E1178">
        <f>Data_thang!F1178</f>
        <v/>
      </c>
      <c r="F1178">
        <f>Data_thang!G1178</f>
        <v/>
      </c>
      <c r="G1178" s="29">
        <f>Data_thang!J1178-Data_thang!K1178</f>
        <v/>
      </c>
      <c r="H1178" s="29">
        <f>Data_thang!N1178</f>
        <v/>
      </c>
      <c r="I1178" s="29">
        <f>H1178-G1178</f>
        <v/>
      </c>
      <c r="J1178" s="30">
        <f>IF(H1178=0,IF(I1178=0,0,1),I1178/ABS(H1178))</f>
        <v/>
      </c>
      <c r="K1178" s="29">
        <f>H1178-(Data_thang!O1178-Data_thang!K1178)</f>
        <v/>
      </c>
      <c r="L1178">
        <f>IF(AND(ABS(I1178)&gt;Dashboard!$G$6,ABS(J1178)&gt;Dashboard!$H$6),"⚠ Vượt","")</f>
        <v/>
      </c>
      <c r="M1178">
        <f>IF(AND(A1178=Dashboard!$D$6,OR(Dashboard!$C$6="*",F1178=Dashboard!$C$6),L1178&lt;&gt;""),ABS(I1178)+ROW()/1000000000,0)</f>
        <v/>
      </c>
    </row>
    <row r="1179">
      <c r="A1179">
        <f>Data_thang!A1179</f>
        <v/>
      </c>
      <c r="B1179">
        <f>Data_thang!B1179</f>
        <v/>
      </c>
      <c r="C1179">
        <f>Data_thang!D1179</f>
        <v/>
      </c>
      <c r="D1179">
        <f>Data_thang!E1179</f>
        <v/>
      </c>
      <c r="E1179">
        <f>Data_thang!F1179</f>
        <v/>
      </c>
      <c r="F1179">
        <f>Data_thang!G1179</f>
        <v/>
      </c>
      <c r="G1179" s="29">
        <f>Data_thang!J1179-Data_thang!K1179</f>
        <v/>
      </c>
      <c r="H1179" s="29">
        <f>Data_thang!N1179</f>
        <v/>
      </c>
      <c r="I1179" s="29">
        <f>H1179-G1179</f>
        <v/>
      </c>
      <c r="J1179" s="30">
        <f>IF(H1179=0,IF(I1179=0,0,1),I1179/ABS(H1179))</f>
        <v/>
      </c>
      <c r="K1179" s="29">
        <f>H1179-(Data_thang!O1179-Data_thang!K1179)</f>
        <v/>
      </c>
      <c r="L1179">
        <f>IF(AND(ABS(I1179)&gt;Dashboard!$G$6,ABS(J1179)&gt;Dashboard!$H$6),"⚠ Vượt","")</f>
        <v/>
      </c>
      <c r="M1179">
        <f>IF(AND(A1179=Dashboard!$D$6,OR(Dashboard!$C$6="*",F1179=Dashboard!$C$6),L1179&lt;&gt;""),ABS(I1179)+ROW()/1000000000,0)</f>
        <v/>
      </c>
    </row>
    <row r="1180">
      <c r="A1180">
        <f>Data_thang!A1180</f>
        <v/>
      </c>
      <c r="B1180">
        <f>Data_thang!B1180</f>
        <v/>
      </c>
      <c r="C1180">
        <f>Data_thang!D1180</f>
        <v/>
      </c>
      <c r="D1180">
        <f>Data_thang!E1180</f>
        <v/>
      </c>
      <c r="E1180">
        <f>Data_thang!F1180</f>
        <v/>
      </c>
      <c r="F1180">
        <f>Data_thang!G1180</f>
        <v/>
      </c>
      <c r="G1180" s="29">
        <f>Data_thang!J1180-Data_thang!K1180</f>
        <v/>
      </c>
      <c r="H1180" s="29">
        <f>Data_thang!N1180</f>
        <v/>
      </c>
      <c r="I1180" s="29">
        <f>H1180-G1180</f>
        <v/>
      </c>
      <c r="J1180" s="30">
        <f>IF(H1180=0,IF(I1180=0,0,1),I1180/ABS(H1180))</f>
        <v/>
      </c>
      <c r="K1180" s="29">
        <f>H1180-(Data_thang!O1180-Data_thang!K1180)</f>
        <v/>
      </c>
      <c r="L1180">
        <f>IF(AND(ABS(I1180)&gt;Dashboard!$G$6,ABS(J1180)&gt;Dashboard!$H$6),"⚠ Vượt","")</f>
        <v/>
      </c>
      <c r="M1180">
        <f>IF(AND(A1180=Dashboard!$D$6,OR(Dashboard!$C$6="*",F1180=Dashboard!$C$6),L1180&lt;&gt;""),ABS(I1180)+ROW()/1000000000,0)</f>
        <v/>
      </c>
    </row>
    <row r="1181">
      <c r="A1181">
        <f>Data_thang!A1181</f>
        <v/>
      </c>
      <c r="B1181">
        <f>Data_thang!B1181</f>
        <v/>
      </c>
      <c r="C1181">
        <f>Data_thang!D1181</f>
        <v/>
      </c>
      <c r="D1181">
        <f>Data_thang!E1181</f>
        <v/>
      </c>
      <c r="E1181">
        <f>Data_thang!F1181</f>
        <v/>
      </c>
      <c r="F1181">
        <f>Data_thang!G1181</f>
        <v/>
      </c>
      <c r="G1181" s="29">
        <f>Data_thang!J1181-Data_thang!K1181</f>
        <v/>
      </c>
      <c r="H1181" s="29">
        <f>Data_thang!N1181</f>
        <v/>
      </c>
      <c r="I1181" s="29">
        <f>H1181-G1181</f>
        <v/>
      </c>
      <c r="J1181" s="30">
        <f>IF(H1181=0,IF(I1181=0,0,1),I1181/ABS(H1181))</f>
        <v/>
      </c>
      <c r="K1181" s="29">
        <f>H1181-(Data_thang!O1181-Data_thang!K1181)</f>
        <v/>
      </c>
      <c r="L1181">
        <f>IF(AND(ABS(I1181)&gt;Dashboard!$G$6,ABS(J1181)&gt;Dashboard!$H$6),"⚠ Vượt","")</f>
        <v/>
      </c>
      <c r="M1181">
        <f>IF(AND(A1181=Dashboard!$D$6,OR(Dashboard!$C$6="*",F1181=Dashboard!$C$6),L1181&lt;&gt;""),ABS(I1181)+ROW()/1000000000,0)</f>
        <v/>
      </c>
    </row>
    <row r="1182">
      <c r="A1182">
        <f>Data_thang!A1182</f>
        <v/>
      </c>
      <c r="B1182">
        <f>Data_thang!B1182</f>
        <v/>
      </c>
      <c r="C1182">
        <f>Data_thang!D1182</f>
        <v/>
      </c>
      <c r="D1182">
        <f>Data_thang!E1182</f>
        <v/>
      </c>
      <c r="E1182">
        <f>Data_thang!F1182</f>
        <v/>
      </c>
      <c r="F1182">
        <f>Data_thang!G1182</f>
        <v/>
      </c>
      <c r="G1182" s="29">
        <f>Data_thang!J1182-Data_thang!K1182</f>
        <v/>
      </c>
      <c r="H1182" s="29">
        <f>Data_thang!N1182</f>
        <v/>
      </c>
      <c r="I1182" s="29">
        <f>H1182-G1182</f>
        <v/>
      </c>
      <c r="J1182" s="30">
        <f>IF(H1182=0,IF(I1182=0,0,1),I1182/ABS(H1182))</f>
        <v/>
      </c>
      <c r="K1182" s="29">
        <f>H1182-(Data_thang!O1182-Data_thang!K1182)</f>
        <v/>
      </c>
      <c r="L1182">
        <f>IF(AND(ABS(I1182)&gt;Dashboard!$G$6,ABS(J1182)&gt;Dashboard!$H$6),"⚠ Vượt","")</f>
        <v/>
      </c>
      <c r="M1182">
        <f>IF(AND(A1182=Dashboard!$D$6,OR(Dashboard!$C$6="*",F1182=Dashboard!$C$6),L1182&lt;&gt;""),ABS(I1182)+ROW()/1000000000,0)</f>
        <v/>
      </c>
    </row>
    <row r="1183">
      <c r="A1183">
        <f>Data_thang!A1183</f>
        <v/>
      </c>
      <c r="B1183">
        <f>Data_thang!B1183</f>
        <v/>
      </c>
      <c r="C1183">
        <f>Data_thang!D1183</f>
        <v/>
      </c>
      <c r="D1183">
        <f>Data_thang!E1183</f>
        <v/>
      </c>
      <c r="E1183">
        <f>Data_thang!F1183</f>
        <v/>
      </c>
      <c r="F1183">
        <f>Data_thang!G1183</f>
        <v/>
      </c>
      <c r="G1183" s="29">
        <f>Data_thang!J1183-Data_thang!K1183</f>
        <v/>
      </c>
      <c r="H1183" s="29">
        <f>Data_thang!N1183</f>
        <v/>
      </c>
      <c r="I1183" s="29">
        <f>H1183-G1183</f>
        <v/>
      </c>
      <c r="J1183" s="30">
        <f>IF(H1183=0,IF(I1183=0,0,1),I1183/ABS(H1183))</f>
        <v/>
      </c>
      <c r="K1183" s="29">
        <f>H1183-(Data_thang!O1183-Data_thang!K1183)</f>
        <v/>
      </c>
      <c r="L1183">
        <f>IF(AND(ABS(I1183)&gt;Dashboard!$G$6,ABS(J1183)&gt;Dashboard!$H$6),"⚠ Vượt","")</f>
        <v/>
      </c>
      <c r="M1183">
        <f>IF(AND(A1183=Dashboard!$D$6,OR(Dashboard!$C$6="*",F1183=Dashboard!$C$6),L1183&lt;&gt;""),ABS(I1183)+ROW()/1000000000,0)</f>
        <v/>
      </c>
    </row>
    <row r="1184">
      <c r="A1184">
        <f>Data_thang!A1184</f>
        <v/>
      </c>
      <c r="B1184">
        <f>Data_thang!B1184</f>
        <v/>
      </c>
      <c r="C1184">
        <f>Data_thang!D1184</f>
        <v/>
      </c>
      <c r="D1184">
        <f>Data_thang!E1184</f>
        <v/>
      </c>
      <c r="E1184">
        <f>Data_thang!F1184</f>
        <v/>
      </c>
      <c r="F1184">
        <f>Data_thang!G1184</f>
        <v/>
      </c>
      <c r="G1184" s="29">
        <f>Data_thang!J1184-Data_thang!K1184</f>
        <v/>
      </c>
      <c r="H1184" s="29">
        <f>Data_thang!N1184</f>
        <v/>
      </c>
      <c r="I1184" s="29">
        <f>H1184-G1184</f>
        <v/>
      </c>
      <c r="J1184" s="30">
        <f>IF(H1184=0,IF(I1184=0,0,1),I1184/ABS(H1184))</f>
        <v/>
      </c>
      <c r="K1184" s="29">
        <f>H1184-(Data_thang!O1184-Data_thang!K1184)</f>
        <v/>
      </c>
      <c r="L1184">
        <f>IF(AND(ABS(I1184)&gt;Dashboard!$G$6,ABS(J1184)&gt;Dashboard!$H$6),"⚠ Vượt","")</f>
        <v/>
      </c>
      <c r="M1184">
        <f>IF(AND(A1184=Dashboard!$D$6,OR(Dashboard!$C$6="*",F1184=Dashboard!$C$6),L1184&lt;&gt;""),ABS(I1184)+ROW()/1000000000,0)</f>
        <v/>
      </c>
    </row>
    <row r="1185">
      <c r="A1185">
        <f>Data_thang!A1185</f>
        <v/>
      </c>
      <c r="B1185">
        <f>Data_thang!B1185</f>
        <v/>
      </c>
      <c r="C1185">
        <f>Data_thang!D1185</f>
        <v/>
      </c>
      <c r="D1185">
        <f>Data_thang!E1185</f>
        <v/>
      </c>
      <c r="E1185">
        <f>Data_thang!F1185</f>
        <v/>
      </c>
      <c r="F1185">
        <f>Data_thang!G1185</f>
        <v/>
      </c>
      <c r="G1185" s="29">
        <f>Data_thang!J1185-Data_thang!K1185</f>
        <v/>
      </c>
      <c r="H1185" s="29">
        <f>Data_thang!N1185</f>
        <v/>
      </c>
      <c r="I1185" s="29">
        <f>H1185-G1185</f>
        <v/>
      </c>
      <c r="J1185" s="30">
        <f>IF(H1185=0,IF(I1185=0,0,1),I1185/ABS(H1185))</f>
        <v/>
      </c>
      <c r="K1185" s="29">
        <f>H1185-(Data_thang!O1185-Data_thang!K1185)</f>
        <v/>
      </c>
      <c r="L1185">
        <f>IF(AND(ABS(I1185)&gt;Dashboard!$G$6,ABS(J1185)&gt;Dashboard!$H$6),"⚠ Vượt","")</f>
        <v/>
      </c>
      <c r="M1185">
        <f>IF(AND(A1185=Dashboard!$D$6,OR(Dashboard!$C$6="*",F1185=Dashboard!$C$6),L1185&lt;&gt;""),ABS(I1185)+ROW()/1000000000,0)</f>
        <v/>
      </c>
    </row>
    <row r="1186">
      <c r="A1186">
        <f>Data_thang!A1186</f>
        <v/>
      </c>
      <c r="B1186">
        <f>Data_thang!B1186</f>
        <v/>
      </c>
      <c r="C1186">
        <f>Data_thang!D1186</f>
        <v/>
      </c>
      <c r="D1186">
        <f>Data_thang!E1186</f>
        <v/>
      </c>
      <c r="E1186">
        <f>Data_thang!F1186</f>
        <v/>
      </c>
      <c r="F1186">
        <f>Data_thang!G1186</f>
        <v/>
      </c>
      <c r="G1186" s="29">
        <f>Data_thang!J1186-Data_thang!K1186</f>
        <v/>
      </c>
      <c r="H1186" s="29">
        <f>Data_thang!N1186</f>
        <v/>
      </c>
      <c r="I1186" s="29">
        <f>H1186-G1186</f>
        <v/>
      </c>
      <c r="J1186" s="30">
        <f>IF(H1186=0,IF(I1186=0,0,1),I1186/ABS(H1186))</f>
        <v/>
      </c>
      <c r="K1186" s="29">
        <f>H1186-(Data_thang!O1186-Data_thang!K1186)</f>
        <v/>
      </c>
      <c r="L1186">
        <f>IF(AND(ABS(I1186)&gt;Dashboard!$G$6,ABS(J1186)&gt;Dashboard!$H$6),"⚠ Vượt","")</f>
        <v/>
      </c>
      <c r="M1186">
        <f>IF(AND(A1186=Dashboard!$D$6,OR(Dashboard!$C$6="*",F1186=Dashboard!$C$6),L1186&lt;&gt;""),ABS(I1186)+ROW()/1000000000,0)</f>
        <v/>
      </c>
    </row>
    <row r="1187">
      <c r="A1187">
        <f>Data_thang!A1187</f>
        <v/>
      </c>
      <c r="B1187">
        <f>Data_thang!B1187</f>
        <v/>
      </c>
      <c r="C1187">
        <f>Data_thang!D1187</f>
        <v/>
      </c>
      <c r="D1187">
        <f>Data_thang!E1187</f>
        <v/>
      </c>
      <c r="E1187">
        <f>Data_thang!F1187</f>
        <v/>
      </c>
      <c r="F1187">
        <f>Data_thang!G1187</f>
        <v/>
      </c>
      <c r="G1187" s="29">
        <f>Data_thang!J1187-Data_thang!K1187</f>
        <v/>
      </c>
      <c r="H1187" s="29">
        <f>Data_thang!N1187</f>
        <v/>
      </c>
      <c r="I1187" s="29">
        <f>H1187-G1187</f>
        <v/>
      </c>
      <c r="J1187" s="30">
        <f>IF(H1187=0,IF(I1187=0,0,1),I1187/ABS(H1187))</f>
        <v/>
      </c>
      <c r="K1187" s="29">
        <f>H1187-(Data_thang!O1187-Data_thang!K1187)</f>
        <v/>
      </c>
      <c r="L1187">
        <f>IF(AND(ABS(I1187)&gt;Dashboard!$G$6,ABS(J1187)&gt;Dashboard!$H$6),"⚠ Vượt","")</f>
        <v/>
      </c>
      <c r="M1187">
        <f>IF(AND(A1187=Dashboard!$D$6,OR(Dashboard!$C$6="*",F1187=Dashboard!$C$6),L1187&lt;&gt;""),ABS(I1187)+ROW()/1000000000,0)</f>
        <v/>
      </c>
    </row>
    <row r="1188">
      <c r="A1188">
        <f>Data_thang!A1188</f>
        <v/>
      </c>
      <c r="B1188">
        <f>Data_thang!B1188</f>
        <v/>
      </c>
      <c r="C1188">
        <f>Data_thang!D1188</f>
        <v/>
      </c>
      <c r="D1188">
        <f>Data_thang!E1188</f>
        <v/>
      </c>
      <c r="E1188">
        <f>Data_thang!F1188</f>
        <v/>
      </c>
      <c r="F1188">
        <f>Data_thang!G1188</f>
        <v/>
      </c>
      <c r="G1188" s="29">
        <f>Data_thang!J1188-Data_thang!K1188</f>
        <v/>
      </c>
      <c r="H1188" s="29">
        <f>Data_thang!N1188</f>
        <v/>
      </c>
      <c r="I1188" s="29">
        <f>H1188-G1188</f>
        <v/>
      </c>
      <c r="J1188" s="30">
        <f>IF(H1188=0,IF(I1188=0,0,1),I1188/ABS(H1188))</f>
        <v/>
      </c>
      <c r="K1188" s="29">
        <f>H1188-(Data_thang!O1188-Data_thang!K1188)</f>
        <v/>
      </c>
      <c r="L1188">
        <f>IF(AND(ABS(I1188)&gt;Dashboard!$G$6,ABS(J1188)&gt;Dashboard!$H$6),"⚠ Vượt","")</f>
        <v/>
      </c>
      <c r="M1188">
        <f>IF(AND(A1188=Dashboard!$D$6,OR(Dashboard!$C$6="*",F1188=Dashboard!$C$6),L1188&lt;&gt;""),ABS(I1188)+ROW()/1000000000,0)</f>
        <v/>
      </c>
    </row>
    <row r="1189">
      <c r="A1189">
        <f>Data_thang!A1189</f>
        <v/>
      </c>
      <c r="B1189">
        <f>Data_thang!B1189</f>
        <v/>
      </c>
      <c r="C1189">
        <f>Data_thang!D1189</f>
        <v/>
      </c>
      <c r="D1189">
        <f>Data_thang!E1189</f>
        <v/>
      </c>
      <c r="E1189">
        <f>Data_thang!F1189</f>
        <v/>
      </c>
      <c r="F1189">
        <f>Data_thang!G1189</f>
        <v/>
      </c>
      <c r="G1189" s="29">
        <f>Data_thang!J1189-Data_thang!K1189</f>
        <v/>
      </c>
      <c r="H1189" s="29">
        <f>Data_thang!N1189</f>
        <v/>
      </c>
      <c r="I1189" s="29">
        <f>H1189-G1189</f>
        <v/>
      </c>
      <c r="J1189" s="30">
        <f>IF(H1189=0,IF(I1189=0,0,1),I1189/ABS(H1189))</f>
        <v/>
      </c>
      <c r="K1189" s="29">
        <f>H1189-(Data_thang!O1189-Data_thang!K1189)</f>
        <v/>
      </c>
      <c r="L1189">
        <f>IF(AND(ABS(I1189)&gt;Dashboard!$G$6,ABS(J1189)&gt;Dashboard!$H$6),"⚠ Vượt","")</f>
        <v/>
      </c>
      <c r="M1189">
        <f>IF(AND(A1189=Dashboard!$D$6,OR(Dashboard!$C$6="*",F1189=Dashboard!$C$6),L1189&lt;&gt;""),ABS(I1189)+ROW()/1000000000,0)</f>
        <v/>
      </c>
    </row>
    <row r="1190">
      <c r="A1190">
        <f>Data_thang!A1190</f>
        <v/>
      </c>
      <c r="B1190">
        <f>Data_thang!B1190</f>
        <v/>
      </c>
      <c r="C1190">
        <f>Data_thang!D1190</f>
        <v/>
      </c>
      <c r="D1190">
        <f>Data_thang!E1190</f>
        <v/>
      </c>
      <c r="E1190">
        <f>Data_thang!F1190</f>
        <v/>
      </c>
      <c r="F1190">
        <f>Data_thang!G1190</f>
        <v/>
      </c>
      <c r="G1190" s="29">
        <f>Data_thang!J1190-Data_thang!K1190</f>
        <v/>
      </c>
      <c r="H1190" s="29">
        <f>Data_thang!N1190</f>
        <v/>
      </c>
      <c r="I1190" s="29">
        <f>H1190-G1190</f>
        <v/>
      </c>
      <c r="J1190" s="30">
        <f>IF(H1190=0,IF(I1190=0,0,1),I1190/ABS(H1190))</f>
        <v/>
      </c>
      <c r="K1190" s="29">
        <f>H1190-(Data_thang!O1190-Data_thang!K1190)</f>
        <v/>
      </c>
      <c r="L1190">
        <f>IF(AND(ABS(I1190)&gt;Dashboard!$G$6,ABS(J1190)&gt;Dashboard!$H$6),"⚠ Vượt","")</f>
        <v/>
      </c>
      <c r="M1190">
        <f>IF(AND(A1190=Dashboard!$D$6,OR(Dashboard!$C$6="*",F1190=Dashboard!$C$6),L1190&lt;&gt;""),ABS(I1190)+ROW()/1000000000,0)</f>
        <v/>
      </c>
    </row>
    <row r="1191">
      <c r="A1191">
        <f>Data_thang!A1191</f>
        <v/>
      </c>
      <c r="B1191">
        <f>Data_thang!B1191</f>
        <v/>
      </c>
      <c r="C1191">
        <f>Data_thang!D1191</f>
        <v/>
      </c>
      <c r="D1191">
        <f>Data_thang!E1191</f>
        <v/>
      </c>
      <c r="E1191">
        <f>Data_thang!F1191</f>
        <v/>
      </c>
      <c r="F1191">
        <f>Data_thang!G1191</f>
        <v/>
      </c>
      <c r="G1191" s="29">
        <f>Data_thang!J1191-Data_thang!K1191</f>
        <v/>
      </c>
      <c r="H1191" s="29">
        <f>Data_thang!N1191</f>
        <v/>
      </c>
      <c r="I1191" s="29">
        <f>H1191-G1191</f>
        <v/>
      </c>
      <c r="J1191" s="30">
        <f>IF(H1191=0,IF(I1191=0,0,1),I1191/ABS(H1191))</f>
        <v/>
      </c>
      <c r="K1191" s="29">
        <f>H1191-(Data_thang!O1191-Data_thang!K1191)</f>
        <v/>
      </c>
      <c r="L1191">
        <f>IF(AND(ABS(I1191)&gt;Dashboard!$G$6,ABS(J1191)&gt;Dashboard!$H$6),"⚠ Vượt","")</f>
        <v/>
      </c>
      <c r="M1191">
        <f>IF(AND(A1191=Dashboard!$D$6,OR(Dashboard!$C$6="*",F1191=Dashboard!$C$6),L1191&lt;&gt;""),ABS(I1191)+ROW()/1000000000,0)</f>
        <v/>
      </c>
    </row>
    <row r="1192">
      <c r="A1192">
        <f>Data_thang!A1192</f>
        <v/>
      </c>
      <c r="B1192">
        <f>Data_thang!B1192</f>
        <v/>
      </c>
      <c r="C1192">
        <f>Data_thang!D1192</f>
        <v/>
      </c>
      <c r="D1192">
        <f>Data_thang!E1192</f>
        <v/>
      </c>
      <c r="E1192">
        <f>Data_thang!F1192</f>
        <v/>
      </c>
      <c r="F1192">
        <f>Data_thang!G1192</f>
        <v/>
      </c>
      <c r="G1192" s="29">
        <f>Data_thang!J1192-Data_thang!K1192</f>
        <v/>
      </c>
      <c r="H1192" s="29">
        <f>Data_thang!N1192</f>
        <v/>
      </c>
      <c r="I1192" s="29">
        <f>H1192-G1192</f>
        <v/>
      </c>
      <c r="J1192" s="30">
        <f>IF(H1192=0,IF(I1192=0,0,1),I1192/ABS(H1192))</f>
        <v/>
      </c>
      <c r="K1192" s="29">
        <f>H1192-(Data_thang!O1192-Data_thang!K1192)</f>
        <v/>
      </c>
      <c r="L1192">
        <f>IF(AND(ABS(I1192)&gt;Dashboard!$G$6,ABS(J1192)&gt;Dashboard!$H$6),"⚠ Vượt","")</f>
        <v/>
      </c>
      <c r="M1192">
        <f>IF(AND(A1192=Dashboard!$D$6,OR(Dashboard!$C$6="*",F1192=Dashboard!$C$6),L1192&lt;&gt;""),ABS(I1192)+ROW()/1000000000,0)</f>
        <v/>
      </c>
    </row>
    <row r="1193">
      <c r="A1193">
        <f>Data_thang!A1193</f>
        <v/>
      </c>
      <c r="B1193">
        <f>Data_thang!B1193</f>
        <v/>
      </c>
      <c r="C1193">
        <f>Data_thang!D1193</f>
        <v/>
      </c>
      <c r="D1193">
        <f>Data_thang!E1193</f>
        <v/>
      </c>
      <c r="E1193">
        <f>Data_thang!F1193</f>
        <v/>
      </c>
      <c r="F1193">
        <f>Data_thang!G1193</f>
        <v/>
      </c>
      <c r="G1193" s="29">
        <f>Data_thang!J1193-Data_thang!K1193</f>
        <v/>
      </c>
      <c r="H1193" s="29">
        <f>Data_thang!N1193</f>
        <v/>
      </c>
      <c r="I1193" s="29">
        <f>H1193-G1193</f>
        <v/>
      </c>
      <c r="J1193" s="30">
        <f>IF(H1193=0,IF(I1193=0,0,1),I1193/ABS(H1193))</f>
        <v/>
      </c>
      <c r="K1193" s="29">
        <f>H1193-(Data_thang!O1193-Data_thang!K1193)</f>
        <v/>
      </c>
      <c r="L1193">
        <f>IF(AND(ABS(I1193)&gt;Dashboard!$G$6,ABS(J1193)&gt;Dashboard!$H$6),"⚠ Vượt","")</f>
        <v/>
      </c>
      <c r="M1193">
        <f>IF(AND(A1193=Dashboard!$D$6,OR(Dashboard!$C$6="*",F1193=Dashboard!$C$6),L1193&lt;&gt;""),ABS(I1193)+ROW()/1000000000,0)</f>
        <v/>
      </c>
    </row>
    <row r="1194">
      <c r="A1194">
        <f>Data_thang!A1194</f>
        <v/>
      </c>
      <c r="B1194">
        <f>Data_thang!B1194</f>
        <v/>
      </c>
      <c r="C1194">
        <f>Data_thang!D1194</f>
        <v/>
      </c>
      <c r="D1194">
        <f>Data_thang!E1194</f>
        <v/>
      </c>
      <c r="E1194">
        <f>Data_thang!F1194</f>
        <v/>
      </c>
      <c r="F1194">
        <f>Data_thang!G1194</f>
        <v/>
      </c>
      <c r="G1194" s="29">
        <f>Data_thang!J1194-Data_thang!K1194</f>
        <v/>
      </c>
      <c r="H1194" s="29">
        <f>Data_thang!N1194</f>
        <v/>
      </c>
      <c r="I1194" s="29">
        <f>H1194-G1194</f>
        <v/>
      </c>
      <c r="J1194" s="30">
        <f>IF(H1194=0,IF(I1194=0,0,1),I1194/ABS(H1194))</f>
        <v/>
      </c>
      <c r="K1194" s="29">
        <f>H1194-(Data_thang!O1194-Data_thang!K1194)</f>
        <v/>
      </c>
      <c r="L1194">
        <f>IF(AND(ABS(I1194)&gt;Dashboard!$G$6,ABS(J1194)&gt;Dashboard!$H$6),"⚠ Vượt","")</f>
        <v/>
      </c>
      <c r="M1194">
        <f>IF(AND(A1194=Dashboard!$D$6,OR(Dashboard!$C$6="*",F1194=Dashboard!$C$6),L1194&lt;&gt;""),ABS(I1194)+ROW()/1000000000,0)</f>
        <v/>
      </c>
    </row>
    <row r="1195">
      <c r="A1195">
        <f>Data_thang!A1195</f>
        <v/>
      </c>
      <c r="B1195">
        <f>Data_thang!B1195</f>
        <v/>
      </c>
      <c r="C1195">
        <f>Data_thang!D1195</f>
        <v/>
      </c>
      <c r="D1195">
        <f>Data_thang!E1195</f>
        <v/>
      </c>
      <c r="E1195">
        <f>Data_thang!F1195</f>
        <v/>
      </c>
      <c r="F1195">
        <f>Data_thang!G1195</f>
        <v/>
      </c>
      <c r="G1195" s="29">
        <f>Data_thang!J1195-Data_thang!K1195</f>
        <v/>
      </c>
      <c r="H1195" s="29">
        <f>Data_thang!N1195</f>
        <v/>
      </c>
      <c r="I1195" s="29">
        <f>H1195-G1195</f>
        <v/>
      </c>
      <c r="J1195" s="30">
        <f>IF(H1195=0,IF(I1195=0,0,1),I1195/ABS(H1195))</f>
        <v/>
      </c>
      <c r="K1195" s="29">
        <f>H1195-(Data_thang!O1195-Data_thang!K1195)</f>
        <v/>
      </c>
      <c r="L1195">
        <f>IF(AND(ABS(I1195)&gt;Dashboard!$G$6,ABS(J1195)&gt;Dashboard!$H$6),"⚠ Vượt","")</f>
        <v/>
      </c>
      <c r="M1195">
        <f>IF(AND(A1195=Dashboard!$D$6,OR(Dashboard!$C$6="*",F1195=Dashboard!$C$6),L1195&lt;&gt;""),ABS(I1195)+ROW()/1000000000,0)</f>
        <v/>
      </c>
    </row>
    <row r="1196">
      <c r="A1196">
        <f>Data_thang!A1196</f>
        <v/>
      </c>
      <c r="B1196">
        <f>Data_thang!B1196</f>
        <v/>
      </c>
      <c r="C1196">
        <f>Data_thang!D1196</f>
        <v/>
      </c>
      <c r="D1196">
        <f>Data_thang!E1196</f>
        <v/>
      </c>
      <c r="E1196">
        <f>Data_thang!F1196</f>
        <v/>
      </c>
      <c r="F1196">
        <f>Data_thang!G1196</f>
        <v/>
      </c>
      <c r="G1196" s="29">
        <f>Data_thang!J1196-Data_thang!K1196</f>
        <v/>
      </c>
      <c r="H1196" s="29">
        <f>Data_thang!N1196</f>
        <v/>
      </c>
      <c r="I1196" s="29">
        <f>H1196-G1196</f>
        <v/>
      </c>
      <c r="J1196" s="30">
        <f>IF(H1196=0,IF(I1196=0,0,1),I1196/ABS(H1196))</f>
        <v/>
      </c>
      <c r="K1196" s="29">
        <f>H1196-(Data_thang!O1196-Data_thang!K1196)</f>
        <v/>
      </c>
      <c r="L1196">
        <f>IF(AND(ABS(I1196)&gt;Dashboard!$G$6,ABS(J1196)&gt;Dashboard!$H$6),"⚠ Vượt","")</f>
        <v/>
      </c>
      <c r="M1196">
        <f>IF(AND(A1196=Dashboard!$D$6,OR(Dashboard!$C$6="*",F1196=Dashboard!$C$6),L1196&lt;&gt;""),ABS(I1196)+ROW()/1000000000,0)</f>
        <v/>
      </c>
    </row>
    <row r="1197">
      <c r="A1197">
        <f>Data_thang!A1197</f>
        <v/>
      </c>
      <c r="B1197">
        <f>Data_thang!B1197</f>
        <v/>
      </c>
      <c r="C1197">
        <f>Data_thang!D1197</f>
        <v/>
      </c>
      <c r="D1197">
        <f>Data_thang!E1197</f>
        <v/>
      </c>
      <c r="E1197">
        <f>Data_thang!F1197</f>
        <v/>
      </c>
      <c r="F1197">
        <f>Data_thang!G1197</f>
        <v/>
      </c>
      <c r="G1197" s="29">
        <f>Data_thang!J1197-Data_thang!K1197</f>
        <v/>
      </c>
      <c r="H1197" s="29">
        <f>Data_thang!N1197</f>
        <v/>
      </c>
      <c r="I1197" s="29">
        <f>H1197-G1197</f>
        <v/>
      </c>
      <c r="J1197" s="30">
        <f>IF(H1197=0,IF(I1197=0,0,1),I1197/ABS(H1197))</f>
        <v/>
      </c>
      <c r="K1197" s="29">
        <f>H1197-(Data_thang!O1197-Data_thang!K1197)</f>
        <v/>
      </c>
      <c r="L1197">
        <f>IF(AND(ABS(I1197)&gt;Dashboard!$G$6,ABS(J1197)&gt;Dashboard!$H$6),"⚠ Vượt","")</f>
        <v/>
      </c>
      <c r="M1197">
        <f>IF(AND(A1197=Dashboard!$D$6,OR(Dashboard!$C$6="*",F1197=Dashboard!$C$6),L1197&lt;&gt;""),ABS(I1197)+ROW()/1000000000,0)</f>
        <v/>
      </c>
    </row>
    <row r="1198">
      <c r="A1198">
        <f>Data_thang!A1198</f>
        <v/>
      </c>
      <c r="B1198">
        <f>Data_thang!B1198</f>
        <v/>
      </c>
      <c r="C1198">
        <f>Data_thang!D1198</f>
        <v/>
      </c>
      <c r="D1198">
        <f>Data_thang!E1198</f>
        <v/>
      </c>
      <c r="E1198">
        <f>Data_thang!F1198</f>
        <v/>
      </c>
      <c r="F1198">
        <f>Data_thang!G1198</f>
        <v/>
      </c>
      <c r="G1198" s="29">
        <f>Data_thang!J1198-Data_thang!K1198</f>
        <v/>
      </c>
      <c r="H1198" s="29">
        <f>Data_thang!N1198</f>
        <v/>
      </c>
      <c r="I1198" s="29">
        <f>H1198-G1198</f>
        <v/>
      </c>
      <c r="J1198" s="30">
        <f>IF(H1198=0,IF(I1198=0,0,1),I1198/ABS(H1198))</f>
        <v/>
      </c>
      <c r="K1198" s="29">
        <f>H1198-(Data_thang!O1198-Data_thang!K1198)</f>
        <v/>
      </c>
      <c r="L1198">
        <f>IF(AND(ABS(I1198)&gt;Dashboard!$G$6,ABS(J1198)&gt;Dashboard!$H$6),"⚠ Vượt","")</f>
        <v/>
      </c>
      <c r="M1198">
        <f>IF(AND(A1198=Dashboard!$D$6,OR(Dashboard!$C$6="*",F1198=Dashboard!$C$6),L1198&lt;&gt;""),ABS(I1198)+ROW()/1000000000,0)</f>
        <v/>
      </c>
    </row>
    <row r="1199">
      <c r="A1199">
        <f>Data_thang!A1199</f>
        <v/>
      </c>
      <c r="B1199">
        <f>Data_thang!B1199</f>
        <v/>
      </c>
      <c r="C1199">
        <f>Data_thang!D1199</f>
        <v/>
      </c>
      <c r="D1199">
        <f>Data_thang!E1199</f>
        <v/>
      </c>
      <c r="E1199">
        <f>Data_thang!F1199</f>
        <v/>
      </c>
      <c r="F1199">
        <f>Data_thang!G1199</f>
        <v/>
      </c>
      <c r="G1199" s="29">
        <f>Data_thang!J1199-Data_thang!K1199</f>
        <v/>
      </c>
      <c r="H1199" s="29">
        <f>Data_thang!N1199</f>
        <v/>
      </c>
      <c r="I1199" s="29">
        <f>H1199-G1199</f>
        <v/>
      </c>
      <c r="J1199" s="30">
        <f>IF(H1199=0,IF(I1199=0,0,1),I1199/ABS(H1199))</f>
        <v/>
      </c>
      <c r="K1199" s="29">
        <f>H1199-(Data_thang!O1199-Data_thang!K1199)</f>
        <v/>
      </c>
      <c r="L1199">
        <f>IF(AND(ABS(I1199)&gt;Dashboard!$G$6,ABS(J1199)&gt;Dashboard!$H$6),"⚠ Vượt","")</f>
        <v/>
      </c>
      <c r="M1199">
        <f>IF(AND(A1199=Dashboard!$D$6,OR(Dashboard!$C$6="*",F1199=Dashboard!$C$6),L1199&lt;&gt;""),ABS(I1199)+ROW()/1000000000,0)</f>
        <v/>
      </c>
    </row>
    <row r="1200">
      <c r="A1200">
        <f>Data_thang!A1200</f>
        <v/>
      </c>
      <c r="B1200">
        <f>Data_thang!B1200</f>
        <v/>
      </c>
      <c r="C1200">
        <f>Data_thang!D1200</f>
        <v/>
      </c>
      <c r="D1200">
        <f>Data_thang!E1200</f>
        <v/>
      </c>
      <c r="E1200">
        <f>Data_thang!F1200</f>
        <v/>
      </c>
      <c r="F1200">
        <f>Data_thang!G1200</f>
        <v/>
      </c>
      <c r="G1200" s="29">
        <f>Data_thang!J1200-Data_thang!K1200</f>
        <v/>
      </c>
      <c r="H1200" s="29">
        <f>Data_thang!N1200</f>
        <v/>
      </c>
      <c r="I1200" s="29">
        <f>H1200-G1200</f>
        <v/>
      </c>
      <c r="J1200" s="30">
        <f>IF(H1200=0,IF(I1200=0,0,1),I1200/ABS(H1200))</f>
        <v/>
      </c>
      <c r="K1200" s="29">
        <f>H1200-(Data_thang!O1200-Data_thang!K1200)</f>
        <v/>
      </c>
      <c r="L1200">
        <f>IF(AND(ABS(I1200)&gt;Dashboard!$G$6,ABS(J1200)&gt;Dashboard!$H$6),"⚠ Vượt","")</f>
        <v/>
      </c>
      <c r="M1200">
        <f>IF(AND(A1200=Dashboard!$D$6,OR(Dashboard!$C$6="*",F1200=Dashboard!$C$6),L1200&lt;&gt;""),ABS(I1200)+ROW()/1000000000,0)</f>
        <v/>
      </c>
    </row>
    <row r="1201">
      <c r="A1201">
        <f>Data_thang!A1201</f>
        <v/>
      </c>
      <c r="B1201">
        <f>Data_thang!B1201</f>
        <v/>
      </c>
      <c r="C1201">
        <f>Data_thang!D1201</f>
        <v/>
      </c>
      <c r="D1201">
        <f>Data_thang!E1201</f>
        <v/>
      </c>
      <c r="E1201">
        <f>Data_thang!F1201</f>
        <v/>
      </c>
      <c r="F1201">
        <f>Data_thang!G1201</f>
        <v/>
      </c>
      <c r="G1201" s="29">
        <f>Data_thang!J1201-Data_thang!K1201</f>
        <v/>
      </c>
      <c r="H1201" s="29">
        <f>Data_thang!N1201</f>
        <v/>
      </c>
      <c r="I1201" s="29">
        <f>H1201-G1201</f>
        <v/>
      </c>
      <c r="J1201" s="30">
        <f>IF(H1201=0,IF(I1201=0,0,1),I1201/ABS(H1201))</f>
        <v/>
      </c>
      <c r="K1201" s="29">
        <f>H1201-(Data_thang!O1201-Data_thang!K1201)</f>
        <v/>
      </c>
      <c r="L1201">
        <f>IF(AND(ABS(I1201)&gt;Dashboard!$G$6,ABS(J1201)&gt;Dashboard!$H$6),"⚠ Vượt","")</f>
        <v/>
      </c>
      <c r="M1201">
        <f>IF(AND(A1201=Dashboard!$D$6,OR(Dashboard!$C$6="*",F1201=Dashboard!$C$6),L1201&lt;&gt;""),ABS(I1201)+ROW()/1000000000,0)</f>
        <v/>
      </c>
    </row>
    <row r="1202">
      <c r="A1202">
        <f>Data_thang!A1202</f>
        <v/>
      </c>
      <c r="B1202">
        <f>Data_thang!B1202</f>
        <v/>
      </c>
      <c r="C1202">
        <f>Data_thang!D1202</f>
        <v/>
      </c>
      <c r="D1202">
        <f>Data_thang!E1202</f>
        <v/>
      </c>
      <c r="E1202">
        <f>Data_thang!F1202</f>
        <v/>
      </c>
      <c r="F1202">
        <f>Data_thang!G1202</f>
        <v/>
      </c>
      <c r="G1202" s="29">
        <f>Data_thang!J1202-Data_thang!K1202</f>
        <v/>
      </c>
      <c r="H1202" s="29">
        <f>Data_thang!N1202</f>
        <v/>
      </c>
      <c r="I1202" s="29">
        <f>H1202-G1202</f>
        <v/>
      </c>
      <c r="J1202" s="30">
        <f>IF(H1202=0,IF(I1202=0,0,1),I1202/ABS(H1202))</f>
        <v/>
      </c>
      <c r="K1202" s="29">
        <f>H1202-(Data_thang!O1202-Data_thang!K1202)</f>
        <v/>
      </c>
      <c r="L1202">
        <f>IF(AND(ABS(I1202)&gt;Dashboard!$G$6,ABS(J1202)&gt;Dashboard!$H$6),"⚠ Vượt","")</f>
        <v/>
      </c>
      <c r="M1202">
        <f>IF(AND(A1202=Dashboard!$D$6,OR(Dashboard!$C$6="*",F1202=Dashboard!$C$6),L1202&lt;&gt;""),ABS(I1202)+ROW()/1000000000,0)</f>
        <v/>
      </c>
    </row>
    <row r="1203">
      <c r="A1203">
        <f>Data_thang!A1203</f>
        <v/>
      </c>
      <c r="B1203">
        <f>Data_thang!B1203</f>
        <v/>
      </c>
      <c r="C1203">
        <f>Data_thang!D1203</f>
        <v/>
      </c>
      <c r="D1203">
        <f>Data_thang!E1203</f>
        <v/>
      </c>
      <c r="E1203">
        <f>Data_thang!F1203</f>
        <v/>
      </c>
      <c r="F1203">
        <f>Data_thang!G1203</f>
        <v/>
      </c>
      <c r="G1203" s="29">
        <f>Data_thang!J1203-Data_thang!K1203</f>
        <v/>
      </c>
      <c r="H1203" s="29">
        <f>Data_thang!N1203</f>
        <v/>
      </c>
      <c r="I1203" s="29">
        <f>H1203-G1203</f>
        <v/>
      </c>
      <c r="J1203" s="30">
        <f>IF(H1203=0,IF(I1203=0,0,1),I1203/ABS(H1203))</f>
        <v/>
      </c>
      <c r="K1203" s="29">
        <f>H1203-(Data_thang!O1203-Data_thang!K1203)</f>
        <v/>
      </c>
      <c r="L1203">
        <f>IF(AND(ABS(I1203)&gt;Dashboard!$G$6,ABS(J1203)&gt;Dashboard!$H$6),"⚠ Vượt","")</f>
        <v/>
      </c>
      <c r="M1203">
        <f>IF(AND(A1203=Dashboard!$D$6,OR(Dashboard!$C$6="*",F1203=Dashboard!$C$6),L1203&lt;&gt;""),ABS(I1203)+ROW()/1000000000,0)</f>
        <v/>
      </c>
    </row>
    <row r="1204">
      <c r="A1204">
        <f>Data_thang!A1204</f>
        <v/>
      </c>
      <c r="B1204">
        <f>Data_thang!B1204</f>
        <v/>
      </c>
      <c r="C1204">
        <f>Data_thang!D1204</f>
        <v/>
      </c>
      <c r="D1204">
        <f>Data_thang!E1204</f>
        <v/>
      </c>
      <c r="E1204">
        <f>Data_thang!F1204</f>
        <v/>
      </c>
      <c r="F1204">
        <f>Data_thang!G1204</f>
        <v/>
      </c>
      <c r="G1204" s="29">
        <f>Data_thang!J1204-Data_thang!K1204</f>
        <v/>
      </c>
      <c r="H1204" s="29">
        <f>Data_thang!N1204</f>
        <v/>
      </c>
      <c r="I1204" s="29">
        <f>H1204-G1204</f>
        <v/>
      </c>
      <c r="J1204" s="30">
        <f>IF(H1204=0,IF(I1204=0,0,1),I1204/ABS(H1204))</f>
        <v/>
      </c>
      <c r="K1204" s="29">
        <f>H1204-(Data_thang!O1204-Data_thang!K1204)</f>
        <v/>
      </c>
      <c r="L1204">
        <f>IF(AND(ABS(I1204)&gt;Dashboard!$G$6,ABS(J1204)&gt;Dashboard!$H$6),"⚠ Vượt","")</f>
        <v/>
      </c>
      <c r="M1204">
        <f>IF(AND(A1204=Dashboard!$D$6,OR(Dashboard!$C$6="*",F1204=Dashboard!$C$6),L1204&lt;&gt;""),ABS(I1204)+ROW()/1000000000,0)</f>
        <v/>
      </c>
    </row>
    <row r="1205">
      <c r="A1205">
        <f>Data_thang!A1205</f>
        <v/>
      </c>
      <c r="B1205">
        <f>Data_thang!B1205</f>
        <v/>
      </c>
      <c r="C1205">
        <f>Data_thang!D1205</f>
        <v/>
      </c>
      <c r="D1205">
        <f>Data_thang!E1205</f>
        <v/>
      </c>
      <c r="E1205">
        <f>Data_thang!F1205</f>
        <v/>
      </c>
      <c r="F1205">
        <f>Data_thang!G1205</f>
        <v/>
      </c>
      <c r="G1205" s="29">
        <f>Data_thang!J1205-Data_thang!K1205</f>
        <v/>
      </c>
      <c r="H1205" s="29">
        <f>Data_thang!N1205</f>
        <v/>
      </c>
      <c r="I1205" s="29">
        <f>H1205-G1205</f>
        <v/>
      </c>
      <c r="J1205" s="30">
        <f>IF(H1205=0,IF(I1205=0,0,1),I1205/ABS(H1205))</f>
        <v/>
      </c>
      <c r="K1205" s="29">
        <f>H1205-(Data_thang!O1205-Data_thang!K1205)</f>
        <v/>
      </c>
      <c r="L1205">
        <f>IF(AND(ABS(I1205)&gt;Dashboard!$G$6,ABS(J1205)&gt;Dashboard!$H$6),"⚠ Vượt","")</f>
        <v/>
      </c>
      <c r="M1205">
        <f>IF(AND(A1205=Dashboard!$D$6,OR(Dashboard!$C$6="*",F1205=Dashboard!$C$6),L1205&lt;&gt;""),ABS(I1205)+ROW()/1000000000,0)</f>
        <v/>
      </c>
    </row>
    <row r="1206">
      <c r="A1206">
        <f>Data_thang!A1206</f>
        <v/>
      </c>
      <c r="B1206">
        <f>Data_thang!B1206</f>
        <v/>
      </c>
      <c r="C1206">
        <f>Data_thang!D1206</f>
        <v/>
      </c>
      <c r="D1206">
        <f>Data_thang!E1206</f>
        <v/>
      </c>
      <c r="E1206">
        <f>Data_thang!F1206</f>
        <v/>
      </c>
      <c r="F1206">
        <f>Data_thang!G1206</f>
        <v/>
      </c>
      <c r="G1206" s="29">
        <f>Data_thang!J1206-Data_thang!K1206</f>
        <v/>
      </c>
      <c r="H1206" s="29">
        <f>Data_thang!N1206</f>
        <v/>
      </c>
      <c r="I1206" s="29">
        <f>H1206-G1206</f>
        <v/>
      </c>
      <c r="J1206" s="30">
        <f>IF(H1206=0,IF(I1206=0,0,1),I1206/ABS(H1206))</f>
        <v/>
      </c>
      <c r="K1206" s="29">
        <f>H1206-(Data_thang!O1206-Data_thang!K1206)</f>
        <v/>
      </c>
      <c r="L1206">
        <f>IF(AND(ABS(I1206)&gt;Dashboard!$G$6,ABS(J1206)&gt;Dashboard!$H$6),"⚠ Vượt","")</f>
        <v/>
      </c>
      <c r="M1206">
        <f>IF(AND(A1206=Dashboard!$D$6,OR(Dashboard!$C$6="*",F1206=Dashboard!$C$6),L1206&lt;&gt;""),ABS(I1206)+ROW()/1000000000,0)</f>
        <v/>
      </c>
    </row>
    <row r="1207">
      <c r="A1207">
        <f>Data_thang!A1207</f>
        <v/>
      </c>
      <c r="B1207">
        <f>Data_thang!B1207</f>
        <v/>
      </c>
      <c r="C1207">
        <f>Data_thang!D1207</f>
        <v/>
      </c>
      <c r="D1207">
        <f>Data_thang!E1207</f>
        <v/>
      </c>
      <c r="E1207">
        <f>Data_thang!F1207</f>
        <v/>
      </c>
      <c r="F1207">
        <f>Data_thang!G1207</f>
        <v/>
      </c>
      <c r="G1207" s="29">
        <f>Data_thang!J1207-Data_thang!K1207</f>
        <v/>
      </c>
      <c r="H1207" s="29">
        <f>Data_thang!N1207</f>
        <v/>
      </c>
      <c r="I1207" s="29">
        <f>H1207-G1207</f>
        <v/>
      </c>
      <c r="J1207" s="30">
        <f>IF(H1207=0,IF(I1207=0,0,1),I1207/ABS(H1207))</f>
        <v/>
      </c>
      <c r="K1207" s="29">
        <f>H1207-(Data_thang!O1207-Data_thang!K1207)</f>
        <v/>
      </c>
      <c r="L1207">
        <f>IF(AND(ABS(I1207)&gt;Dashboard!$G$6,ABS(J1207)&gt;Dashboard!$H$6),"⚠ Vượt","")</f>
        <v/>
      </c>
      <c r="M1207">
        <f>IF(AND(A1207=Dashboard!$D$6,OR(Dashboard!$C$6="*",F1207=Dashboard!$C$6),L1207&lt;&gt;""),ABS(I1207)+ROW()/1000000000,0)</f>
        <v/>
      </c>
    </row>
    <row r="1208">
      <c r="A1208">
        <f>Data_thang!A1208</f>
        <v/>
      </c>
      <c r="B1208">
        <f>Data_thang!B1208</f>
        <v/>
      </c>
      <c r="C1208">
        <f>Data_thang!D1208</f>
        <v/>
      </c>
      <c r="D1208">
        <f>Data_thang!E1208</f>
        <v/>
      </c>
      <c r="E1208">
        <f>Data_thang!F1208</f>
        <v/>
      </c>
      <c r="F1208">
        <f>Data_thang!G1208</f>
        <v/>
      </c>
      <c r="G1208" s="29">
        <f>Data_thang!J1208-Data_thang!K1208</f>
        <v/>
      </c>
      <c r="H1208" s="29">
        <f>Data_thang!N1208</f>
        <v/>
      </c>
      <c r="I1208" s="29">
        <f>H1208-G1208</f>
        <v/>
      </c>
      <c r="J1208" s="30">
        <f>IF(H1208=0,IF(I1208=0,0,1),I1208/ABS(H1208))</f>
        <v/>
      </c>
      <c r="K1208" s="29">
        <f>H1208-(Data_thang!O1208-Data_thang!K1208)</f>
        <v/>
      </c>
      <c r="L1208">
        <f>IF(AND(ABS(I1208)&gt;Dashboard!$G$6,ABS(J1208)&gt;Dashboard!$H$6),"⚠ Vượt","")</f>
        <v/>
      </c>
      <c r="M1208">
        <f>IF(AND(A1208=Dashboard!$D$6,OR(Dashboard!$C$6="*",F1208=Dashboard!$C$6),L1208&lt;&gt;""),ABS(I1208)+ROW()/1000000000,0)</f>
        <v/>
      </c>
    </row>
    <row r="1209">
      <c r="A1209">
        <f>Data_thang!A1209</f>
        <v/>
      </c>
      <c r="B1209">
        <f>Data_thang!B1209</f>
        <v/>
      </c>
      <c r="C1209">
        <f>Data_thang!D1209</f>
        <v/>
      </c>
      <c r="D1209">
        <f>Data_thang!E1209</f>
        <v/>
      </c>
      <c r="E1209">
        <f>Data_thang!F1209</f>
        <v/>
      </c>
      <c r="F1209">
        <f>Data_thang!G1209</f>
        <v/>
      </c>
      <c r="G1209" s="29">
        <f>Data_thang!J1209-Data_thang!K1209</f>
        <v/>
      </c>
      <c r="H1209" s="29">
        <f>Data_thang!N1209</f>
        <v/>
      </c>
      <c r="I1209" s="29">
        <f>H1209-G1209</f>
        <v/>
      </c>
      <c r="J1209" s="30">
        <f>IF(H1209=0,IF(I1209=0,0,1),I1209/ABS(H1209))</f>
        <v/>
      </c>
      <c r="K1209" s="29">
        <f>H1209-(Data_thang!O1209-Data_thang!K1209)</f>
        <v/>
      </c>
      <c r="L1209">
        <f>IF(AND(ABS(I1209)&gt;Dashboard!$G$6,ABS(J1209)&gt;Dashboard!$H$6),"⚠ Vượt","")</f>
        <v/>
      </c>
      <c r="M1209">
        <f>IF(AND(A1209=Dashboard!$D$6,OR(Dashboard!$C$6="*",F1209=Dashboard!$C$6),L1209&lt;&gt;""),ABS(I1209)+ROW()/1000000000,0)</f>
        <v/>
      </c>
    </row>
    <row r="1210">
      <c r="A1210">
        <f>Data_thang!A1210</f>
        <v/>
      </c>
      <c r="B1210">
        <f>Data_thang!B1210</f>
        <v/>
      </c>
      <c r="C1210">
        <f>Data_thang!D1210</f>
        <v/>
      </c>
      <c r="D1210">
        <f>Data_thang!E1210</f>
        <v/>
      </c>
      <c r="E1210">
        <f>Data_thang!F1210</f>
        <v/>
      </c>
      <c r="F1210">
        <f>Data_thang!G1210</f>
        <v/>
      </c>
      <c r="G1210" s="29">
        <f>Data_thang!J1210-Data_thang!K1210</f>
        <v/>
      </c>
      <c r="H1210" s="29">
        <f>Data_thang!N1210</f>
        <v/>
      </c>
      <c r="I1210" s="29">
        <f>H1210-G1210</f>
        <v/>
      </c>
      <c r="J1210" s="30">
        <f>IF(H1210=0,IF(I1210=0,0,1),I1210/ABS(H1210))</f>
        <v/>
      </c>
      <c r="K1210" s="29">
        <f>H1210-(Data_thang!O1210-Data_thang!K1210)</f>
        <v/>
      </c>
      <c r="L1210">
        <f>IF(AND(ABS(I1210)&gt;Dashboard!$G$6,ABS(J1210)&gt;Dashboard!$H$6),"⚠ Vượt","")</f>
        <v/>
      </c>
      <c r="M1210">
        <f>IF(AND(A1210=Dashboard!$D$6,OR(Dashboard!$C$6="*",F1210=Dashboard!$C$6),L1210&lt;&gt;""),ABS(I1210)+ROW()/1000000000,0)</f>
        <v/>
      </c>
    </row>
    <row r="1211">
      <c r="A1211">
        <f>Data_thang!A1211</f>
        <v/>
      </c>
      <c r="B1211">
        <f>Data_thang!B1211</f>
        <v/>
      </c>
      <c r="C1211">
        <f>Data_thang!D1211</f>
        <v/>
      </c>
      <c r="D1211">
        <f>Data_thang!E1211</f>
        <v/>
      </c>
      <c r="E1211">
        <f>Data_thang!F1211</f>
        <v/>
      </c>
      <c r="F1211">
        <f>Data_thang!G1211</f>
        <v/>
      </c>
      <c r="G1211" s="29">
        <f>Data_thang!J1211-Data_thang!K1211</f>
        <v/>
      </c>
      <c r="H1211" s="29">
        <f>Data_thang!N1211</f>
        <v/>
      </c>
      <c r="I1211" s="29">
        <f>H1211-G1211</f>
        <v/>
      </c>
      <c r="J1211" s="30">
        <f>IF(H1211=0,IF(I1211=0,0,1),I1211/ABS(H1211))</f>
        <v/>
      </c>
      <c r="K1211" s="29">
        <f>H1211-(Data_thang!O1211-Data_thang!K1211)</f>
        <v/>
      </c>
      <c r="L1211">
        <f>IF(AND(ABS(I1211)&gt;Dashboard!$G$6,ABS(J1211)&gt;Dashboard!$H$6),"⚠ Vượt","")</f>
        <v/>
      </c>
      <c r="M1211">
        <f>IF(AND(A1211=Dashboard!$D$6,OR(Dashboard!$C$6="*",F1211=Dashboard!$C$6),L1211&lt;&gt;""),ABS(I1211)+ROW()/1000000000,0)</f>
        <v/>
      </c>
    </row>
    <row r="1212">
      <c r="A1212">
        <f>Data_thang!A1212</f>
        <v/>
      </c>
      <c r="B1212">
        <f>Data_thang!B1212</f>
        <v/>
      </c>
      <c r="C1212">
        <f>Data_thang!D1212</f>
        <v/>
      </c>
      <c r="D1212">
        <f>Data_thang!E1212</f>
        <v/>
      </c>
      <c r="E1212">
        <f>Data_thang!F1212</f>
        <v/>
      </c>
      <c r="F1212">
        <f>Data_thang!G1212</f>
        <v/>
      </c>
      <c r="G1212" s="29">
        <f>Data_thang!J1212-Data_thang!K1212</f>
        <v/>
      </c>
      <c r="H1212" s="29">
        <f>Data_thang!N1212</f>
        <v/>
      </c>
      <c r="I1212" s="29">
        <f>H1212-G1212</f>
        <v/>
      </c>
      <c r="J1212" s="30">
        <f>IF(H1212=0,IF(I1212=0,0,1),I1212/ABS(H1212))</f>
        <v/>
      </c>
      <c r="K1212" s="29">
        <f>H1212-(Data_thang!O1212-Data_thang!K1212)</f>
        <v/>
      </c>
      <c r="L1212">
        <f>IF(AND(ABS(I1212)&gt;Dashboard!$G$6,ABS(J1212)&gt;Dashboard!$H$6),"⚠ Vượt","")</f>
        <v/>
      </c>
      <c r="M1212">
        <f>IF(AND(A1212=Dashboard!$D$6,OR(Dashboard!$C$6="*",F1212=Dashboard!$C$6),L1212&lt;&gt;""),ABS(I1212)+ROW()/1000000000,0)</f>
        <v/>
      </c>
    </row>
    <row r="1213">
      <c r="A1213">
        <f>Data_thang!A1213</f>
        <v/>
      </c>
      <c r="B1213">
        <f>Data_thang!B1213</f>
        <v/>
      </c>
      <c r="C1213">
        <f>Data_thang!D1213</f>
        <v/>
      </c>
      <c r="D1213">
        <f>Data_thang!E1213</f>
        <v/>
      </c>
      <c r="E1213">
        <f>Data_thang!F1213</f>
        <v/>
      </c>
      <c r="F1213">
        <f>Data_thang!G1213</f>
        <v/>
      </c>
      <c r="G1213" s="29">
        <f>Data_thang!J1213-Data_thang!K1213</f>
        <v/>
      </c>
      <c r="H1213" s="29">
        <f>Data_thang!N1213</f>
        <v/>
      </c>
      <c r="I1213" s="29">
        <f>H1213-G1213</f>
        <v/>
      </c>
      <c r="J1213" s="30">
        <f>IF(H1213=0,IF(I1213=0,0,1),I1213/ABS(H1213))</f>
        <v/>
      </c>
      <c r="K1213" s="29">
        <f>H1213-(Data_thang!O1213-Data_thang!K1213)</f>
        <v/>
      </c>
      <c r="L1213">
        <f>IF(AND(ABS(I1213)&gt;Dashboard!$G$6,ABS(J1213)&gt;Dashboard!$H$6),"⚠ Vượt","")</f>
        <v/>
      </c>
      <c r="M1213">
        <f>IF(AND(A1213=Dashboard!$D$6,OR(Dashboard!$C$6="*",F1213=Dashboard!$C$6),L1213&lt;&gt;""),ABS(I1213)+ROW()/1000000000,0)</f>
        <v/>
      </c>
    </row>
    <row r="1214">
      <c r="A1214">
        <f>Data_thang!A1214</f>
        <v/>
      </c>
      <c r="B1214">
        <f>Data_thang!B1214</f>
        <v/>
      </c>
      <c r="C1214">
        <f>Data_thang!D1214</f>
        <v/>
      </c>
      <c r="D1214">
        <f>Data_thang!E1214</f>
        <v/>
      </c>
      <c r="E1214">
        <f>Data_thang!F1214</f>
        <v/>
      </c>
      <c r="F1214">
        <f>Data_thang!G1214</f>
        <v/>
      </c>
      <c r="G1214" s="29">
        <f>Data_thang!J1214-Data_thang!K1214</f>
        <v/>
      </c>
      <c r="H1214" s="29">
        <f>Data_thang!N1214</f>
        <v/>
      </c>
      <c r="I1214" s="29">
        <f>H1214-G1214</f>
        <v/>
      </c>
      <c r="J1214" s="30">
        <f>IF(H1214=0,IF(I1214=0,0,1),I1214/ABS(H1214))</f>
        <v/>
      </c>
      <c r="K1214" s="29">
        <f>H1214-(Data_thang!O1214-Data_thang!K1214)</f>
        <v/>
      </c>
      <c r="L1214">
        <f>IF(AND(ABS(I1214)&gt;Dashboard!$G$6,ABS(J1214)&gt;Dashboard!$H$6),"⚠ Vượt","")</f>
        <v/>
      </c>
      <c r="M1214">
        <f>IF(AND(A1214=Dashboard!$D$6,OR(Dashboard!$C$6="*",F1214=Dashboard!$C$6),L1214&lt;&gt;""),ABS(I1214)+ROW()/1000000000,0)</f>
        <v/>
      </c>
    </row>
    <row r="1215">
      <c r="A1215">
        <f>Data_thang!A1215</f>
        <v/>
      </c>
      <c r="B1215">
        <f>Data_thang!B1215</f>
        <v/>
      </c>
      <c r="C1215">
        <f>Data_thang!D1215</f>
        <v/>
      </c>
      <c r="D1215">
        <f>Data_thang!E1215</f>
        <v/>
      </c>
      <c r="E1215">
        <f>Data_thang!F1215</f>
        <v/>
      </c>
      <c r="F1215">
        <f>Data_thang!G1215</f>
        <v/>
      </c>
      <c r="G1215" s="29">
        <f>Data_thang!J1215-Data_thang!K1215</f>
        <v/>
      </c>
      <c r="H1215" s="29">
        <f>Data_thang!N1215</f>
        <v/>
      </c>
      <c r="I1215" s="29">
        <f>H1215-G1215</f>
        <v/>
      </c>
      <c r="J1215" s="30">
        <f>IF(H1215=0,IF(I1215=0,0,1),I1215/ABS(H1215))</f>
        <v/>
      </c>
      <c r="K1215" s="29">
        <f>H1215-(Data_thang!O1215-Data_thang!K1215)</f>
        <v/>
      </c>
      <c r="L1215">
        <f>IF(AND(ABS(I1215)&gt;Dashboard!$G$6,ABS(J1215)&gt;Dashboard!$H$6),"⚠ Vượt","")</f>
        <v/>
      </c>
      <c r="M1215">
        <f>IF(AND(A1215=Dashboard!$D$6,OR(Dashboard!$C$6="*",F1215=Dashboard!$C$6),L1215&lt;&gt;""),ABS(I1215)+ROW()/1000000000,0)</f>
        <v/>
      </c>
    </row>
    <row r="1216">
      <c r="A1216">
        <f>Data_thang!A1216</f>
        <v/>
      </c>
      <c r="B1216">
        <f>Data_thang!B1216</f>
        <v/>
      </c>
      <c r="C1216">
        <f>Data_thang!D1216</f>
        <v/>
      </c>
      <c r="D1216">
        <f>Data_thang!E1216</f>
        <v/>
      </c>
      <c r="E1216">
        <f>Data_thang!F1216</f>
        <v/>
      </c>
      <c r="F1216">
        <f>Data_thang!G1216</f>
        <v/>
      </c>
      <c r="G1216" s="29">
        <f>Data_thang!J1216-Data_thang!K1216</f>
        <v/>
      </c>
      <c r="H1216" s="29">
        <f>Data_thang!N1216</f>
        <v/>
      </c>
      <c r="I1216" s="29">
        <f>H1216-G1216</f>
        <v/>
      </c>
      <c r="J1216" s="30">
        <f>IF(H1216=0,IF(I1216=0,0,1),I1216/ABS(H1216))</f>
        <v/>
      </c>
      <c r="K1216" s="29">
        <f>H1216-(Data_thang!O1216-Data_thang!K1216)</f>
        <v/>
      </c>
      <c r="L1216">
        <f>IF(AND(ABS(I1216)&gt;Dashboard!$G$6,ABS(J1216)&gt;Dashboard!$H$6),"⚠ Vượt","")</f>
        <v/>
      </c>
      <c r="M1216">
        <f>IF(AND(A1216=Dashboard!$D$6,OR(Dashboard!$C$6="*",F1216=Dashboard!$C$6),L1216&lt;&gt;""),ABS(I1216)+ROW()/1000000000,0)</f>
        <v/>
      </c>
    </row>
    <row r="1217">
      <c r="A1217">
        <f>Data_thang!A1217</f>
        <v/>
      </c>
      <c r="B1217">
        <f>Data_thang!B1217</f>
        <v/>
      </c>
      <c r="C1217">
        <f>Data_thang!D1217</f>
        <v/>
      </c>
      <c r="D1217">
        <f>Data_thang!E1217</f>
        <v/>
      </c>
      <c r="E1217">
        <f>Data_thang!F1217</f>
        <v/>
      </c>
      <c r="F1217">
        <f>Data_thang!G1217</f>
        <v/>
      </c>
      <c r="G1217" s="29">
        <f>Data_thang!J1217-Data_thang!K1217</f>
        <v/>
      </c>
      <c r="H1217" s="29">
        <f>Data_thang!N1217</f>
        <v/>
      </c>
      <c r="I1217" s="29">
        <f>H1217-G1217</f>
        <v/>
      </c>
      <c r="J1217" s="30">
        <f>IF(H1217=0,IF(I1217=0,0,1),I1217/ABS(H1217))</f>
        <v/>
      </c>
      <c r="K1217" s="29">
        <f>H1217-(Data_thang!O1217-Data_thang!K1217)</f>
        <v/>
      </c>
      <c r="L1217">
        <f>IF(AND(ABS(I1217)&gt;Dashboard!$G$6,ABS(J1217)&gt;Dashboard!$H$6),"⚠ Vượt","")</f>
        <v/>
      </c>
      <c r="M1217">
        <f>IF(AND(A1217=Dashboard!$D$6,OR(Dashboard!$C$6="*",F1217=Dashboard!$C$6),L1217&lt;&gt;""),ABS(I1217)+ROW()/1000000000,0)</f>
        <v/>
      </c>
    </row>
    <row r="1218">
      <c r="A1218">
        <f>Data_thang!A1218</f>
        <v/>
      </c>
      <c r="B1218">
        <f>Data_thang!B1218</f>
        <v/>
      </c>
      <c r="C1218">
        <f>Data_thang!D1218</f>
        <v/>
      </c>
      <c r="D1218">
        <f>Data_thang!E1218</f>
        <v/>
      </c>
      <c r="E1218">
        <f>Data_thang!F1218</f>
        <v/>
      </c>
      <c r="F1218">
        <f>Data_thang!G1218</f>
        <v/>
      </c>
      <c r="G1218" s="29">
        <f>Data_thang!J1218-Data_thang!K1218</f>
        <v/>
      </c>
      <c r="H1218" s="29">
        <f>Data_thang!N1218</f>
        <v/>
      </c>
      <c r="I1218" s="29">
        <f>H1218-G1218</f>
        <v/>
      </c>
      <c r="J1218" s="30">
        <f>IF(H1218=0,IF(I1218=0,0,1),I1218/ABS(H1218))</f>
        <v/>
      </c>
      <c r="K1218" s="29">
        <f>H1218-(Data_thang!O1218-Data_thang!K1218)</f>
        <v/>
      </c>
      <c r="L1218">
        <f>IF(AND(ABS(I1218)&gt;Dashboard!$G$6,ABS(J1218)&gt;Dashboard!$H$6),"⚠ Vượt","")</f>
        <v/>
      </c>
      <c r="M1218">
        <f>IF(AND(A1218=Dashboard!$D$6,OR(Dashboard!$C$6="*",F1218=Dashboard!$C$6),L1218&lt;&gt;""),ABS(I1218)+ROW()/1000000000,0)</f>
        <v/>
      </c>
    </row>
    <row r="1219">
      <c r="A1219">
        <f>Data_thang!A1219</f>
        <v/>
      </c>
      <c r="B1219">
        <f>Data_thang!B1219</f>
        <v/>
      </c>
      <c r="C1219">
        <f>Data_thang!D1219</f>
        <v/>
      </c>
      <c r="D1219">
        <f>Data_thang!E1219</f>
        <v/>
      </c>
      <c r="E1219">
        <f>Data_thang!F1219</f>
        <v/>
      </c>
      <c r="F1219">
        <f>Data_thang!G1219</f>
        <v/>
      </c>
      <c r="G1219" s="29">
        <f>Data_thang!J1219-Data_thang!K1219</f>
        <v/>
      </c>
      <c r="H1219" s="29">
        <f>Data_thang!N1219</f>
        <v/>
      </c>
      <c r="I1219" s="29">
        <f>H1219-G1219</f>
        <v/>
      </c>
      <c r="J1219" s="30">
        <f>IF(H1219=0,IF(I1219=0,0,1),I1219/ABS(H1219))</f>
        <v/>
      </c>
      <c r="K1219" s="29">
        <f>H1219-(Data_thang!O1219-Data_thang!K1219)</f>
        <v/>
      </c>
      <c r="L1219">
        <f>IF(AND(ABS(I1219)&gt;Dashboard!$G$6,ABS(J1219)&gt;Dashboard!$H$6),"⚠ Vượt","")</f>
        <v/>
      </c>
      <c r="M1219">
        <f>IF(AND(A1219=Dashboard!$D$6,OR(Dashboard!$C$6="*",F1219=Dashboard!$C$6),L1219&lt;&gt;""),ABS(I1219)+ROW()/1000000000,0)</f>
        <v/>
      </c>
    </row>
    <row r="1220">
      <c r="A1220">
        <f>Data_thang!A1220</f>
        <v/>
      </c>
      <c r="B1220">
        <f>Data_thang!B1220</f>
        <v/>
      </c>
      <c r="C1220">
        <f>Data_thang!D1220</f>
        <v/>
      </c>
      <c r="D1220">
        <f>Data_thang!E1220</f>
        <v/>
      </c>
      <c r="E1220">
        <f>Data_thang!F1220</f>
        <v/>
      </c>
      <c r="F1220">
        <f>Data_thang!G1220</f>
        <v/>
      </c>
      <c r="G1220" s="29">
        <f>Data_thang!J1220-Data_thang!K1220</f>
        <v/>
      </c>
      <c r="H1220" s="29">
        <f>Data_thang!N1220</f>
        <v/>
      </c>
      <c r="I1220" s="29">
        <f>H1220-G1220</f>
        <v/>
      </c>
      <c r="J1220" s="30">
        <f>IF(H1220=0,IF(I1220=0,0,1),I1220/ABS(H1220))</f>
        <v/>
      </c>
      <c r="K1220" s="29">
        <f>H1220-(Data_thang!O1220-Data_thang!K1220)</f>
        <v/>
      </c>
      <c r="L1220">
        <f>IF(AND(ABS(I1220)&gt;Dashboard!$G$6,ABS(J1220)&gt;Dashboard!$H$6),"⚠ Vượt","")</f>
        <v/>
      </c>
      <c r="M1220">
        <f>IF(AND(A1220=Dashboard!$D$6,OR(Dashboard!$C$6="*",F1220=Dashboard!$C$6),L1220&lt;&gt;""),ABS(I1220)+ROW()/1000000000,0)</f>
        <v/>
      </c>
    </row>
    <row r="1221">
      <c r="A1221">
        <f>Data_thang!A1221</f>
        <v/>
      </c>
      <c r="B1221">
        <f>Data_thang!B1221</f>
        <v/>
      </c>
      <c r="C1221">
        <f>Data_thang!D1221</f>
        <v/>
      </c>
      <c r="D1221">
        <f>Data_thang!E1221</f>
        <v/>
      </c>
      <c r="E1221">
        <f>Data_thang!F1221</f>
        <v/>
      </c>
      <c r="F1221">
        <f>Data_thang!G1221</f>
        <v/>
      </c>
      <c r="G1221" s="29">
        <f>Data_thang!J1221-Data_thang!K1221</f>
        <v/>
      </c>
      <c r="H1221" s="29">
        <f>Data_thang!N1221</f>
        <v/>
      </c>
      <c r="I1221" s="29">
        <f>H1221-G1221</f>
        <v/>
      </c>
      <c r="J1221" s="30">
        <f>IF(H1221=0,IF(I1221=0,0,1),I1221/ABS(H1221))</f>
        <v/>
      </c>
      <c r="K1221" s="29">
        <f>H1221-(Data_thang!O1221-Data_thang!K1221)</f>
        <v/>
      </c>
      <c r="L1221">
        <f>IF(AND(ABS(I1221)&gt;Dashboard!$G$6,ABS(J1221)&gt;Dashboard!$H$6),"⚠ Vượt","")</f>
        <v/>
      </c>
      <c r="M1221">
        <f>IF(AND(A1221=Dashboard!$D$6,OR(Dashboard!$C$6="*",F1221=Dashboard!$C$6),L1221&lt;&gt;""),ABS(I1221)+ROW()/1000000000,0)</f>
        <v/>
      </c>
    </row>
    <row r="1222">
      <c r="A1222">
        <f>Data_thang!A1222</f>
        <v/>
      </c>
      <c r="B1222">
        <f>Data_thang!B1222</f>
        <v/>
      </c>
      <c r="C1222">
        <f>Data_thang!D1222</f>
        <v/>
      </c>
      <c r="D1222">
        <f>Data_thang!E1222</f>
        <v/>
      </c>
      <c r="E1222">
        <f>Data_thang!F1222</f>
        <v/>
      </c>
      <c r="F1222">
        <f>Data_thang!G1222</f>
        <v/>
      </c>
      <c r="G1222" s="29">
        <f>Data_thang!J1222-Data_thang!K1222</f>
        <v/>
      </c>
      <c r="H1222" s="29">
        <f>Data_thang!N1222</f>
        <v/>
      </c>
      <c r="I1222" s="29">
        <f>H1222-G1222</f>
        <v/>
      </c>
      <c r="J1222" s="30">
        <f>IF(H1222=0,IF(I1222=0,0,1),I1222/ABS(H1222))</f>
        <v/>
      </c>
      <c r="K1222" s="29">
        <f>H1222-(Data_thang!O1222-Data_thang!K1222)</f>
        <v/>
      </c>
      <c r="L1222">
        <f>IF(AND(ABS(I1222)&gt;Dashboard!$G$6,ABS(J1222)&gt;Dashboard!$H$6),"⚠ Vượt","")</f>
        <v/>
      </c>
      <c r="M1222">
        <f>IF(AND(A1222=Dashboard!$D$6,OR(Dashboard!$C$6="*",F1222=Dashboard!$C$6),L1222&lt;&gt;""),ABS(I1222)+ROW()/1000000000,0)</f>
        <v/>
      </c>
    </row>
    <row r="1223">
      <c r="A1223">
        <f>Data_thang!A1223</f>
        <v/>
      </c>
      <c r="B1223">
        <f>Data_thang!B1223</f>
        <v/>
      </c>
      <c r="C1223">
        <f>Data_thang!D1223</f>
        <v/>
      </c>
      <c r="D1223">
        <f>Data_thang!E1223</f>
        <v/>
      </c>
      <c r="E1223">
        <f>Data_thang!F1223</f>
        <v/>
      </c>
      <c r="F1223">
        <f>Data_thang!G1223</f>
        <v/>
      </c>
      <c r="G1223" s="29">
        <f>Data_thang!J1223-Data_thang!K1223</f>
        <v/>
      </c>
      <c r="H1223" s="29">
        <f>Data_thang!N1223</f>
        <v/>
      </c>
      <c r="I1223" s="29">
        <f>H1223-G1223</f>
        <v/>
      </c>
      <c r="J1223" s="30">
        <f>IF(H1223=0,IF(I1223=0,0,1),I1223/ABS(H1223))</f>
        <v/>
      </c>
      <c r="K1223" s="29">
        <f>H1223-(Data_thang!O1223-Data_thang!K1223)</f>
        <v/>
      </c>
      <c r="L1223">
        <f>IF(AND(ABS(I1223)&gt;Dashboard!$G$6,ABS(J1223)&gt;Dashboard!$H$6),"⚠ Vượt","")</f>
        <v/>
      </c>
      <c r="M1223">
        <f>IF(AND(A1223=Dashboard!$D$6,OR(Dashboard!$C$6="*",F1223=Dashboard!$C$6),L1223&lt;&gt;""),ABS(I1223)+ROW()/1000000000,0)</f>
        <v/>
      </c>
    </row>
    <row r="1224">
      <c r="A1224">
        <f>Data_thang!A1224</f>
        <v/>
      </c>
      <c r="B1224">
        <f>Data_thang!B1224</f>
        <v/>
      </c>
      <c r="C1224">
        <f>Data_thang!D1224</f>
        <v/>
      </c>
      <c r="D1224">
        <f>Data_thang!E1224</f>
        <v/>
      </c>
      <c r="E1224">
        <f>Data_thang!F1224</f>
        <v/>
      </c>
      <c r="F1224">
        <f>Data_thang!G1224</f>
        <v/>
      </c>
      <c r="G1224" s="29">
        <f>Data_thang!J1224-Data_thang!K1224</f>
        <v/>
      </c>
      <c r="H1224" s="29">
        <f>Data_thang!N1224</f>
        <v/>
      </c>
      <c r="I1224" s="29">
        <f>H1224-G1224</f>
        <v/>
      </c>
      <c r="J1224" s="30">
        <f>IF(H1224=0,IF(I1224=0,0,1),I1224/ABS(H1224))</f>
        <v/>
      </c>
      <c r="K1224" s="29">
        <f>H1224-(Data_thang!O1224-Data_thang!K1224)</f>
        <v/>
      </c>
      <c r="L1224">
        <f>IF(AND(ABS(I1224)&gt;Dashboard!$G$6,ABS(J1224)&gt;Dashboard!$H$6),"⚠ Vượt","")</f>
        <v/>
      </c>
      <c r="M1224">
        <f>IF(AND(A1224=Dashboard!$D$6,OR(Dashboard!$C$6="*",F1224=Dashboard!$C$6),L1224&lt;&gt;""),ABS(I1224)+ROW()/1000000000,0)</f>
        <v/>
      </c>
    </row>
    <row r="1225">
      <c r="A1225">
        <f>Data_thang!A1225</f>
        <v/>
      </c>
      <c r="B1225">
        <f>Data_thang!B1225</f>
        <v/>
      </c>
      <c r="C1225">
        <f>Data_thang!D1225</f>
        <v/>
      </c>
      <c r="D1225">
        <f>Data_thang!E1225</f>
        <v/>
      </c>
      <c r="E1225">
        <f>Data_thang!F1225</f>
        <v/>
      </c>
      <c r="F1225">
        <f>Data_thang!G1225</f>
        <v/>
      </c>
      <c r="G1225" s="29">
        <f>Data_thang!J1225-Data_thang!K1225</f>
        <v/>
      </c>
      <c r="H1225" s="29">
        <f>Data_thang!N1225</f>
        <v/>
      </c>
      <c r="I1225" s="29">
        <f>H1225-G1225</f>
        <v/>
      </c>
      <c r="J1225" s="30">
        <f>IF(H1225=0,IF(I1225=0,0,1),I1225/ABS(H1225))</f>
        <v/>
      </c>
      <c r="K1225" s="29">
        <f>H1225-(Data_thang!O1225-Data_thang!K1225)</f>
        <v/>
      </c>
      <c r="L1225">
        <f>IF(AND(ABS(I1225)&gt;Dashboard!$G$6,ABS(J1225)&gt;Dashboard!$H$6),"⚠ Vượt","")</f>
        <v/>
      </c>
      <c r="M1225">
        <f>IF(AND(A1225=Dashboard!$D$6,OR(Dashboard!$C$6="*",F1225=Dashboard!$C$6),L1225&lt;&gt;""),ABS(I1225)+ROW()/1000000000,0)</f>
        <v/>
      </c>
    </row>
    <row r="1226">
      <c r="A1226">
        <f>Data_thang!A1226</f>
        <v/>
      </c>
      <c r="B1226">
        <f>Data_thang!B1226</f>
        <v/>
      </c>
      <c r="C1226">
        <f>Data_thang!D1226</f>
        <v/>
      </c>
      <c r="D1226">
        <f>Data_thang!E1226</f>
        <v/>
      </c>
      <c r="E1226">
        <f>Data_thang!F1226</f>
        <v/>
      </c>
      <c r="F1226">
        <f>Data_thang!G1226</f>
        <v/>
      </c>
      <c r="G1226" s="29">
        <f>Data_thang!J1226-Data_thang!K1226</f>
        <v/>
      </c>
      <c r="H1226" s="29">
        <f>Data_thang!N1226</f>
        <v/>
      </c>
      <c r="I1226" s="29">
        <f>H1226-G1226</f>
        <v/>
      </c>
      <c r="J1226" s="30">
        <f>IF(H1226=0,IF(I1226=0,0,1),I1226/ABS(H1226))</f>
        <v/>
      </c>
      <c r="K1226" s="29">
        <f>H1226-(Data_thang!O1226-Data_thang!K1226)</f>
        <v/>
      </c>
      <c r="L1226">
        <f>IF(AND(ABS(I1226)&gt;Dashboard!$G$6,ABS(J1226)&gt;Dashboard!$H$6),"⚠ Vượt","")</f>
        <v/>
      </c>
      <c r="M1226">
        <f>IF(AND(A1226=Dashboard!$D$6,OR(Dashboard!$C$6="*",F1226=Dashboard!$C$6),L1226&lt;&gt;""),ABS(I1226)+ROW()/1000000000,0)</f>
        <v/>
      </c>
    </row>
    <row r="1227">
      <c r="A1227">
        <f>Data_thang!A1227</f>
        <v/>
      </c>
      <c r="B1227">
        <f>Data_thang!B1227</f>
        <v/>
      </c>
      <c r="C1227">
        <f>Data_thang!D1227</f>
        <v/>
      </c>
      <c r="D1227">
        <f>Data_thang!E1227</f>
        <v/>
      </c>
      <c r="E1227">
        <f>Data_thang!F1227</f>
        <v/>
      </c>
      <c r="F1227">
        <f>Data_thang!G1227</f>
        <v/>
      </c>
      <c r="G1227" s="29">
        <f>Data_thang!J1227-Data_thang!K1227</f>
        <v/>
      </c>
      <c r="H1227" s="29">
        <f>Data_thang!N1227</f>
        <v/>
      </c>
      <c r="I1227" s="29">
        <f>H1227-G1227</f>
        <v/>
      </c>
      <c r="J1227" s="30">
        <f>IF(H1227=0,IF(I1227=0,0,1),I1227/ABS(H1227))</f>
        <v/>
      </c>
      <c r="K1227" s="29">
        <f>H1227-(Data_thang!O1227-Data_thang!K1227)</f>
        <v/>
      </c>
      <c r="L1227">
        <f>IF(AND(ABS(I1227)&gt;Dashboard!$G$6,ABS(J1227)&gt;Dashboard!$H$6),"⚠ Vượt","")</f>
        <v/>
      </c>
      <c r="M1227">
        <f>IF(AND(A1227=Dashboard!$D$6,OR(Dashboard!$C$6="*",F1227=Dashboard!$C$6),L1227&lt;&gt;""),ABS(I1227)+ROW()/1000000000,0)</f>
        <v/>
      </c>
    </row>
    <row r="1228">
      <c r="A1228">
        <f>Data_thang!A1228</f>
        <v/>
      </c>
      <c r="B1228">
        <f>Data_thang!B1228</f>
        <v/>
      </c>
      <c r="C1228">
        <f>Data_thang!D1228</f>
        <v/>
      </c>
      <c r="D1228">
        <f>Data_thang!E1228</f>
        <v/>
      </c>
      <c r="E1228">
        <f>Data_thang!F1228</f>
        <v/>
      </c>
      <c r="F1228">
        <f>Data_thang!G1228</f>
        <v/>
      </c>
      <c r="G1228" s="29">
        <f>Data_thang!J1228-Data_thang!K1228</f>
        <v/>
      </c>
      <c r="H1228" s="29">
        <f>Data_thang!N1228</f>
        <v/>
      </c>
      <c r="I1228" s="29">
        <f>H1228-G1228</f>
        <v/>
      </c>
      <c r="J1228" s="30">
        <f>IF(H1228=0,IF(I1228=0,0,1),I1228/ABS(H1228))</f>
        <v/>
      </c>
      <c r="K1228" s="29">
        <f>H1228-(Data_thang!O1228-Data_thang!K1228)</f>
        <v/>
      </c>
      <c r="L1228">
        <f>IF(AND(ABS(I1228)&gt;Dashboard!$G$6,ABS(J1228)&gt;Dashboard!$H$6),"⚠ Vượt","")</f>
        <v/>
      </c>
      <c r="M1228">
        <f>IF(AND(A1228=Dashboard!$D$6,OR(Dashboard!$C$6="*",F1228=Dashboard!$C$6),L1228&lt;&gt;""),ABS(I1228)+ROW()/1000000000,0)</f>
        <v/>
      </c>
    </row>
    <row r="1229">
      <c r="A1229">
        <f>Data_thang!A1229</f>
        <v/>
      </c>
      <c r="B1229">
        <f>Data_thang!B1229</f>
        <v/>
      </c>
      <c r="C1229">
        <f>Data_thang!D1229</f>
        <v/>
      </c>
      <c r="D1229">
        <f>Data_thang!E1229</f>
        <v/>
      </c>
      <c r="E1229">
        <f>Data_thang!F1229</f>
        <v/>
      </c>
      <c r="F1229">
        <f>Data_thang!G1229</f>
        <v/>
      </c>
      <c r="G1229" s="29">
        <f>Data_thang!J1229-Data_thang!K1229</f>
        <v/>
      </c>
      <c r="H1229" s="29">
        <f>Data_thang!N1229</f>
        <v/>
      </c>
      <c r="I1229" s="29">
        <f>H1229-G1229</f>
        <v/>
      </c>
      <c r="J1229" s="30">
        <f>IF(H1229=0,IF(I1229=0,0,1),I1229/ABS(H1229))</f>
        <v/>
      </c>
      <c r="K1229" s="29">
        <f>H1229-(Data_thang!O1229-Data_thang!K1229)</f>
        <v/>
      </c>
      <c r="L1229">
        <f>IF(AND(ABS(I1229)&gt;Dashboard!$G$6,ABS(J1229)&gt;Dashboard!$H$6),"⚠ Vượt","")</f>
        <v/>
      </c>
      <c r="M1229">
        <f>IF(AND(A1229=Dashboard!$D$6,OR(Dashboard!$C$6="*",F1229=Dashboard!$C$6),L1229&lt;&gt;""),ABS(I1229)+ROW()/1000000000,0)</f>
        <v/>
      </c>
    </row>
    <row r="1230">
      <c r="A1230">
        <f>Data_thang!A1230</f>
        <v/>
      </c>
      <c r="B1230">
        <f>Data_thang!B1230</f>
        <v/>
      </c>
      <c r="C1230">
        <f>Data_thang!D1230</f>
        <v/>
      </c>
      <c r="D1230">
        <f>Data_thang!E1230</f>
        <v/>
      </c>
      <c r="E1230">
        <f>Data_thang!F1230</f>
        <v/>
      </c>
      <c r="F1230">
        <f>Data_thang!G1230</f>
        <v/>
      </c>
      <c r="G1230" s="29">
        <f>Data_thang!J1230-Data_thang!K1230</f>
        <v/>
      </c>
      <c r="H1230" s="29">
        <f>Data_thang!N1230</f>
        <v/>
      </c>
      <c r="I1230" s="29">
        <f>H1230-G1230</f>
        <v/>
      </c>
      <c r="J1230" s="30">
        <f>IF(H1230=0,IF(I1230=0,0,1),I1230/ABS(H1230))</f>
        <v/>
      </c>
      <c r="K1230" s="29">
        <f>H1230-(Data_thang!O1230-Data_thang!K1230)</f>
        <v/>
      </c>
      <c r="L1230">
        <f>IF(AND(ABS(I1230)&gt;Dashboard!$G$6,ABS(J1230)&gt;Dashboard!$H$6),"⚠ Vượt","")</f>
        <v/>
      </c>
      <c r="M1230">
        <f>IF(AND(A1230=Dashboard!$D$6,OR(Dashboard!$C$6="*",F1230=Dashboard!$C$6),L1230&lt;&gt;""),ABS(I1230)+ROW()/1000000000,0)</f>
        <v/>
      </c>
    </row>
    <row r="1231">
      <c r="A1231">
        <f>Data_thang!A1231</f>
        <v/>
      </c>
      <c r="B1231">
        <f>Data_thang!B1231</f>
        <v/>
      </c>
      <c r="C1231">
        <f>Data_thang!D1231</f>
        <v/>
      </c>
      <c r="D1231">
        <f>Data_thang!E1231</f>
        <v/>
      </c>
      <c r="E1231">
        <f>Data_thang!F1231</f>
        <v/>
      </c>
      <c r="F1231">
        <f>Data_thang!G1231</f>
        <v/>
      </c>
      <c r="G1231" s="29">
        <f>Data_thang!J1231-Data_thang!K1231</f>
        <v/>
      </c>
      <c r="H1231" s="29">
        <f>Data_thang!N1231</f>
        <v/>
      </c>
      <c r="I1231" s="29">
        <f>H1231-G1231</f>
        <v/>
      </c>
      <c r="J1231" s="30">
        <f>IF(H1231=0,IF(I1231=0,0,1),I1231/ABS(H1231))</f>
        <v/>
      </c>
      <c r="K1231" s="29">
        <f>H1231-(Data_thang!O1231-Data_thang!K1231)</f>
        <v/>
      </c>
      <c r="L1231">
        <f>IF(AND(ABS(I1231)&gt;Dashboard!$G$6,ABS(J1231)&gt;Dashboard!$H$6),"⚠ Vượt","")</f>
        <v/>
      </c>
      <c r="M1231">
        <f>IF(AND(A1231=Dashboard!$D$6,OR(Dashboard!$C$6="*",F1231=Dashboard!$C$6),L1231&lt;&gt;""),ABS(I1231)+ROW()/1000000000,0)</f>
        <v/>
      </c>
    </row>
    <row r="1232">
      <c r="A1232">
        <f>Data_thang!A1232</f>
        <v/>
      </c>
      <c r="B1232">
        <f>Data_thang!B1232</f>
        <v/>
      </c>
      <c r="C1232">
        <f>Data_thang!D1232</f>
        <v/>
      </c>
      <c r="D1232">
        <f>Data_thang!E1232</f>
        <v/>
      </c>
      <c r="E1232">
        <f>Data_thang!F1232</f>
        <v/>
      </c>
      <c r="F1232">
        <f>Data_thang!G1232</f>
        <v/>
      </c>
      <c r="G1232" s="29">
        <f>Data_thang!J1232-Data_thang!K1232</f>
        <v/>
      </c>
      <c r="H1232" s="29">
        <f>Data_thang!N1232</f>
        <v/>
      </c>
      <c r="I1232" s="29">
        <f>H1232-G1232</f>
        <v/>
      </c>
      <c r="J1232" s="30">
        <f>IF(H1232=0,IF(I1232=0,0,1),I1232/ABS(H1232))</f>
        <v/>
      </c>
      <c r="K1232" s="29">
        <f>H1232-(Data_thang!O1232-Data_thang!K1232)</f>
        <v/>
      </c>
      <c r="L1232">
        <f>IF(AND(ABS(I1232)&gt;Dashboard!$G$6,ABS(J1232)&gt;Dashboard!$H$6),"⚠ Vượt","")</f>
        <v/>
      </c>
      <c r="M1232">
        <f>IF(AND(A1232=Dashboard!$D$6,OR(Dashboard!$C$6="*",F1232=Dashboard!$C$6),L1232&lt;&gt;""),ABS(I1232)+ROW()/1000000000,0)</f>
        <v/>
      </c>
    </row>
    <row r="1233">
      <c r="A1233">
        <f>Data_thang!A1233</f>
        <v/>
      </c>
      <c r="B1233">
        <f>Data_thang!B1233</f>
        <v/>
      </c>
      <c r="C1233">
        <f>Data_thang!D1233</f>
        <v/>
      </c>
      <c r="D1233">
        <f>Data_thang!E1233</f>
        <v/>
      </c>
      <c r="E1233">
        <f>Data_thang!F1233</f>
        <v/>
      </c>
      <c r="F1233">
        <f>Data_thang!G1233</f>
        <v/>
      </c>
      <c r="G1233" s="29">
        <f>Data_thang!J1233-Data_thang!K1233</f>
        <v/>
      </c>
      <c r="H1233" s="29">
        <f>Data_thang!N1233</f>
        <v/>
      </c>
      <c r="I1233" s="29">
        <f>H1233-G1233</f>
        <v/>
      </c>
      <c r="J1233" s="30">
        <f>IF(H1233=0,IF(I1233=0,0,1),I1233/ABS(H1233))</f>
        <v/>
      </c>
      <c r="K1233" s="29">
        <f>H1233-(Data_thang!O1233-Data_thang!K1233)</f>
        <v/>
      </c>
      <c r="L1233">
        <f>IF(AND(ABS(I1233)&gt;Dashboard!$G$6,ABS(J1233)&gt;Dashboard!$H$6),"⚠ Vượt","")</f>
        <v/>
      </c>
      <c r="M1233">
        <f>IF(AND(A1233=Dashboard!$D$6,OR(Dashboard!$C$6="*",F1233=Dashboard!$C$6),L1233&lt;&gt;""),ABS(I1233)+ROW()/1000000000,0)</f>
        <v/>
      </c>
    </row>
    <row r="1234">
      <c r="A1234">
        <f>Data_thang!A1234</f>
        <v/>
      </c>
      <c r="B1234">
        <f>Data_thang!B1234</f>
        <v/>
      </c>
      <c r="C1234">
        <f>Data_thang!D1234</f>
        <v/>
      </c>
      <c r="D1234">
        <f>Data_thang!E1234</f>
        <v/>
      </c>
      <c r="E1234">
        <f>Data_thang!F1234</f>
        <v/>
      </c>
      <c r="F1234">
        <f>Data_thang!G1234</f>
        <v/>
      </c>
      <c r="G1234" s="29">
        <f>Data_thang!J1234-Data_thang!K1234</f>
        <v/>
      </c>
      <c r="H1234" s="29">
        <f>Data_thang!N1234</f>
        <v/>
      </c>
      <c r="I1234" s="29">
        <f>H1234-G1234</f>
        <v/>
      </c>
      <c r="J1234" s="30">
        <f>IF(H1234=0,IF(I1234=0,0,1),I1234/ABS(H1234))</f>
        <v/>
      </c>
      <c r="K1234" s="29">
        <f>H1234-(Data_thang!O1234-Data_thang!K1234)</f>
        <v/>
      </c>
      <c r="L1234">
        <f>IF(AND(ABS(I1234)&gt;Dashboard!$G$6,ABS(J1234)&gt;Dashboard!$H$6),"⚠ Vượt","")</f>
        <v/>
      </c>
      <c r="M1234">
        <f>IF(AND(A1234=Dashboard!$D$6,OR(Dashboard!$C$6="*",F1234=Dashboard!$C$6),L1234&lt;&gt;""),ABS(I1234)+ROW()/1000000000,0)</f>
        <v/>
      </c>
    </row>
    <row r="1235">
      <c r="A1235">
        <f>Data_thang!A1235</f>
        <v/>
      </c>
      <c r="B1235">
        <f>Data_thang!B1235</f>
        <v/>
      </c>
      <c r="C1235">
        <f>Data_thang!D1235</f>
        <v/>
      </c>
      <c r="D1235">
        <f>Data_thang!E1235</f>
        <v/>
      </c>
      <c r="E1235">
        <f>Data_thang!F1235</f>
        <v/>
      </c>
      <c r="F1235">
        <f>Data_thang!G1235</f>
        <v/>
      </c>
      <c r="G1235" s="29">
        <f>Data_thang!J1235-Data_thang!K1235</f>
        <v/>
      </c>
      <c r="H1235" s="29">
        <f>Data_thang!N1235</f>
        <v/>
      </c>
      <c r="I1235" s="29">
        <f>H1235-G1235</f>
        <v/>
      </c>
      <c r="J1235" s="30">
        <f>IF(H1235=0,IF(I1235=0,0,1),I1235/ABS(H1235))</f>
        <v/>
      </c>
      <c r="K1235" s="29">
        <f>H1235-(Data_thang!O1235-Data_thang!K1235)</f>
        <v/>
      </c>
      <c r="L1235">
        <f>IF(AND(ABS(I1235)&gt;Dashboard!$G$6,ABS(J1235)&gt;Dashboard!$H$6),"⚠ Vượt","")</f>
        <v/>
      </c>
      <c r="M1235">
        <f>IF(AND(A1235=Dashboard!$D$6,OR(Dashboard!$C$6="*",F1235=Dashboard!$C$6),L1235&lt;&gt;""),ABS(I1235)+ROW()/1000000000,0)</f>
        <v/>
      </c>
    </row>
    <row r="1236">
      <c r="A1236">
        <f>Data_thang!A1236</f>
        <v/>
      </c>
      <c r="B1236">
        <f>Data_thang!B1236</f>
        <v/>
      </c>
      <c r="C1236">
        <f>Data_thang!D1236</f>
        <v/>
      </c>
      <c r="D1236">
        <f>Data_thang!E1236</f>
        <v/>
      </c>
      <c r="E1236">
        <f>Data_thang!F1236</f>
        <v/>
      </c>
      <c r="F1236">
        <f>Data_thang!G1236</f>
        <v/>
      </c>
      <c r="G1236" s="29">
        <f>Data_thang!J1236-Data_thang!K1236</f>
        <v/>
      </c>
      <c r="H1236" s="29">
        <f>Data_thang!N1236</f>
        <v/>
      </c>
      <c r="I1236" s="29">
        <f>H1236-G1236</f>
        <v/>
      </c>
      <c r="J1236" s="30">
        <f>IF(H1236=0,IF(I1236=0,0,1),I1236/ABS(H1236))</f>
        <v/>
      </c>
      <c r="K1236" s="29">
        <f>H1236-(Data_thang!O1236-Data_thang!K1236)</f>
        <v/>
      </c>
      <c r="L1236">
        <f>IF(AND(ABS(I1236)&gt;Dashboard!$G$6,ABS(J1236)&gt;Dashboard!$H$6),"⚠ Vượt","")</f>
        <v/>
      </c>
      <c r="M1236">
        <f>IF(AND(A1236=Dashboard!$D$6,OR(Dashboard!$C$6="*",F1236=Dashboard!$C$6),L1236&lt;&gt;""),ABS(I1236)+ROW()/1000000000,0)</f>
        <v/>
      </c>
    </row>
    <row r="1237">
      <c r="A1237">
        <f>Data_thang!A1237</f>
        <v/>
      </c>
      <c r="B1237">
        <f>Data_thang!B1237</f>
        <v/>
      </c>
      <c r="C1237">
        <f>Data_thang!D1237</f>
        <v/>
      </c>
      <c r="D1237">
        <f>Data_thang!E1237</f>
        <v/>
      </c>
      <c r="E1237">
        <f>Data_thang!F1237</f>
        <v/>
      </c>
      <c r="F1237">
        <f>Data_thang!G1237</f>
        <v/>
      </c>
      <c r="G1237" s="29">
        <f>Data_thang!J1237-Data_thang!K1237</f>
        <v/>
      </c>
      <c r="H1237" s="29">
        <f>Data_thang!N1237</f>
        <v/>
      </c>
      <c r="I1237" s="29">
        <f>H1237-G1237</f>
        <v/>
      </c>
      <c r="J1237" s="30">
        <f>IF(H1237=0,IF(I1237=0,0,1),I1237/ABS(H1237))</f>
        <v/>
      </c>
      <c r="K1237" s="29">
        <f>H1237-(Data_thang!O1237-Data_thang!K1237)</f>
        <v/>
      </c>
      <c r="L1237">
        <f>IF(AND(ABS(I1237)&gt;Dashboard!$G$6,ABS(J1237)&gt;Dashboard!$H$6),"⚠ Vượt","")</f>
        <v/>
      </c>
      <c r="M1237">
        <f>IF(AND(A1237=Dashboard!$D$6,OR(Dashboard!$C$6="*",F1237=Dashboard!$C$6),L1237&lt;&gt;""),ABS(I1237)+ROW()/1000000000,0)</f>
        <v/>
      </c>
    </row>
    <row r="1238">
      <c r="A1238">
        <f>Data_thang!A1238</f>
        <v/>
      </c>
      <c r="B1238">
        <f>Data_thang!B1238</f>
        <v/>
      </c>
      <c r="C1238">
        <f>Data_thang!D1238</f>
        <v/>
      </c>
      <c r="D1238">
        <f>Data_thang!E1238</f>
        <v/>
      </c>
      <c r="E1238">
        <f>Data_thang!F1238</f>
        <v/>
      </c>
      <c r="F1238">
        <f>Data_thang!G1238</f>
        <v/>
      </c>
      <c r="G1238" s="29">
        <f>Data_thang!J1238-Data_thang!K1238</f>
        <v/>
      </c>
      <c r="H1238" s="29">
        <f>Data_thang!N1238</f>
        <v/>
      </c>
      <c r="I1238" s="29">
        <f>H1238-G1238</f>
        <v/>
      </c>
      <c r="J1238" s="30">
        <f>IF(H1238=0,IF(I1238=0,0,1),I1238/ABS(H1238))</f>
        <v/>
      </c>
      <c r="K1238" s="29">
        <f>H1238-(Data_thang!O1238-Data_thang!K1238)</f>
        <v/>
      </c>
      <c r="L1238">
        <f>IF(AND(ABS(I1238)&gt;Dashboard!$G$6,ABS(J1238)&gt;Dashboard!$H$6),"⚠ Vượt","")</f>
        <v/>
      </c>
      <c r="M1238">
        <f>IF(AND(A1238=Dashboard!$D$6,OR(Dashboard!$C$6="*",F1238=Dashboard!$C$6),L1238&lt;&gt;""),ABS(I1238)+ROW()/1000000000,0)</f>
        <v/>
      </c>
    </row>
    <row r="1239">
      <c r="A1239">
        <f>Data_thang!A1239</f>
        <v/>
      </c>
      <c r="B1239">
        <f>Data_thang!B1239</f>
        <v/>
      </c>
      <c r="C1239">
        <f>Data_thang!D1239</f>
        <v/>
      </c>
      <c r="D1239">
        <f>Data_thang!E1239</f>
        <v/>
      </c>
      <c r="E1239">
        <f>Data_thang!F1239</f>
        <v/>
      </c>
      <c r="F1239">
        <f>Data_thang!G1239</f>
        <v/>
      </c>
      <c r="G1239" s="29">
        <f>Data_thang!J1239-Data_thang!K1239</f>
        <v/>
      </c>
      <c r="H1239" s="29">
        <f>Data_thang!N1239</f>
        <v/>
      </c>
      <c r="I1239" s="29">
        <f>H1239-G1239</f>
        <v/>
      </c>
      <c r="J1239" s="30">
        <f>IF(H1239=0,IF(I1239=0,0,1),I1239/ABS(H1239))</f>
        <v/>
      </c>
      <c r="K1239" s="29">
        <f>H1239-(Data_thang!O1239-Data_thang!K1239)</f>
        <v/>
      </c>
      <c r="L1239">
        <f>IF(AND(ABS(I1239)&gt;Dashboard!$G$6,ABS(J1239)&gt;Dashboard!$H$6),"⚠ Vượt","")</f>
        <v/>
      </c>
      <c r="M1239">
        <f>IF(AND(A1239=Dashboard!$D$6,OR(Dashboard!$C$6="*",F1239=Dashboard!$C$6),L1239&lt;&gt;""),ABS(I1239)+ROW()/1000000000,0)</f>
        <v/>
      </c>
    </row>
    <row r="1240">
      <c r="A1240">
        <f>Data_thang!A1240</f>
        <v/>
      </c>
      <c r="B1240">
        <f>Data_thang!B1240</f>
        <v/>
      </c>
      <c r="C1240">
        <f>Data_thang!D1240</f>
        <v/>
      </c>
      <c r="D1240">
        <f>Data_thang!E1240</f>
        <v/>
      </c>
      <c r="E1240">
        <f>Data_thang!F1240</f>
        <v/>
      </c>
      <c r="F1240">
        <f>Data_thang!G1240</f>
        <v/>
      </c>
      <c r="G1240" s="29">
        <f>Data_thang!J1240-Data_thang!K1240</f>
        <v/>
      </c>
      <c r="H1240" s="29">
        <f>Data_thang!N1240</f>
        <v/>
      </c>
      <c r="I1240" s="29">
        <f>H1240-G1240</f>
        <v/>
      </c>
      <c r="J1240" s="30">
        <f>IF(H1240=0,IF(I1240=0,0,1),I1240/ABS(H1240))</f>
        <v/>
      </c>
      <c r="K1240" s="29">
        <f>H1240-(Data_thang!O1240-Data_thang!K1240)</f>
        <v/>
      </c>
      <c r="L1240">
        <f>IF(AND(ABS(I1240)&gt;Dashboard!$G$6,ABS(J1240)&gt;Dashboard!$H$6),"⚠ Vượt","")</f>
        <v/>
      </c>
      <c r="M1240">
        <f>IF(AND(A1240=Dashboard!$D$6,OR(Dashboard!$C$6="*",F1240=Dashboard!$C$6),L1240&lt;&gt;""),ABS(I1240)+ROW()/1000000000,0)</f>
        <v/>
      </c>
    </row>
    <row r="1241">
      <c r="A1241">
        <f>Data_thang!A1241</f>
        <v/>
      </c>
      <c r="B1241">
        <f>Data_thang!B1241</f>
        <v/>
      </c>
      <c r="C1241">
        <f>Data_thang!D1241</f>
        <v/>
      </c>
      <c r="D1241">
        <f>Data_thang!E1241</f>
        <v/>
      </c>
      <c r="E1241">
        <f>Data_thang!F1241</f>
        <v/>
      </c>
      <c r="F1241">
        <f>Data_thang!G1241</f>
        <v/>
      </c>
      <c r="G1241" s="29">
        <f>Data_thang!J1241-Data_thang!K1241</f>
        <v/>
      </c>
      <c r="H1241" s="29">
        <f>Data_thang!N1241</f>
        <v/>
      </c>
      <c r="I1241" s="29">
        <f>H1241-G1241</f>
        <v/>
      </c>
      <c r="J1241" s="30">
        <f>IF(H1241=0,IF(I1241=0,0,1),I1241/ABS(H1241))</f>
        <v/>
      </c>
      <c r="K1241" s="29">
        <f>H1241-(Data_thang!O1241-Data_thang!K1241)</f>
        <v/>
      </c>
      <c r="L1241">
        <f>IF(AND(ABS(I1241)&gt;Dashboard!$G$6,ABS(J1241)&gt;Dashboard!$H$6),"⚠ Vượt","")</f>
        <v/>
      </c>
      <c r="M1241">
        <f>IF(AND(A1241=Dashboard!$D$6,OR(Dashboard!$C$6="*",F1241=Dashboard!$C$6),L1241&lt;&gt;""),ABS(I1241)+ROW()/1000000000,0)</f>
        <v/>
      </c>
    </row>
    <row r="1242">
      <c r="A1242">
        <f>Data_thang!A1242</f>
        <v/>
      </c>
      <c r="B1242">
        <f>Data_thang!B1242</f>
        <v/>
      </c>
      <c r="C1242">
        <f>Data_thang!D1242</f>
        <v/>
      </c>
      <c r="D1242">
        <f>Data_thang!E1242</f>
        <v/>
      </c>
      <c r="E1242">
        <f>Data_thang!F1242</f>
        <v/>
      </c>
      <c r="F1242">
        <f>Data_thang!G1242</f>
        <v/>
      </c>
      <c r="G1242" s="29">
        <f>Data_thang!J1242-Data_thang!K1242</f>
        <v/>
      </c>
      <c r="H1242" s="29">
        <f>Data_thang!N1242</f>
        <v/>
      </c>
      <c r="I1242" s="29">
        <f>H1242-G1242</f>
        <v/>
      </c>
      <c r="J1242" s="30">
        <f>IF(H1242=0,IF(I1242=0,0,1),I1242/ABS(H1242))</f>
        <v/>
      </c>
      <c r="K1242" s="29">
        <f>H1242-(Data_thang!O1242-Data_thang!K1242)</f>
        <v/>
      </c>
      <c r="L1242">
        <f>IF(AND(ABS(I1242)&gt;Dashboard!$G$6,ABS(J1242)&gt;Dashboard!$H$6),"⚠ Vượt","")</f>
        <v/>
      </c>
      <c r="M1242">
        <f>IF(AND(A1242=Dashboard!$D$6,OR(Dashboard!$C$6="*",F1242=Dashboard!$C$6),L1242&lt;&gt;""),ABS(I1242)+ROW()/1000000000,0)</f>
        <v/>
      </c>
    </row>
    <row r="1243">
      <c r="A1243">
        <f>Data_thang!A1243</f>
        <v/>
      </c>
      <c r="B1243">
        <f>Data_thang!B1243</f>
        <v/>
      </c>
      <c r="C1243">
        <f>Data_thang!D1243</f>
        <v/>
      </c>
      <c r="D1243">
        <f>Data_thang!E1243</f>
        <v/>
      </c>
      <c r="E1243">
        <f>Data_thang!F1243</f>
        <v/>
      </c>
      <c r="F1243">
        <f>Data_thang!G1243</f>
        <v/>
      </c>
      <c r="G1243" s="29">
        <f>Data_thang!J1243-Data_thang!K1243</f>
        <v/>
      </c>
      <c r="H1243" s="29">
        <f>Data_thang!N1243</f>
        <v/>
      </c>
      <c r="I1243" s="29">
        <f>H1243-G1243</f>
        <v/>
      </c>
      <c r="J1243" s="30">
        <f>IF(H1243=0,IF(I1243=0,0,1),I1243/ABS(H1243))</f>
        <v/>
      </c>
      <c r="K1243" s="29">
        <f>H1243-(Data_thang!O1243-Data_thang!K1243)</f>
        <v/>
      </c>
      <c r="L1243">
        <f>IF(AND(ABS(I1243)&gt;Dashboard!$G$6,ABS(J1243)&gt;Dashboard!$H$6),"⚠ Vượt","")</f>
        <v/>
      </c>
      <c r="M1243">
        <f>IF(AND(A1243=Dashboard!$D$6,OR(Dashboard!$C$6="*",F1243=Dashboard!$C$6),L1243&lt;&gt;""),ABS(I1243)+ROW()/1000000000,0)</f>
        <v/>
      </c>
    </row>
    <row r="1244">
      <c r="A1244">
        <f>Data_thang!A1244</f>
        <v/>
      </c>
      <c r="B1244">
        <f>Data_thang!B1244</f>
        <v/>
      </c>
      <c r="C1244">
        <f>Data_thang!D1244</f>
        <v/>
      </c>
      <c r="D1244">
        <f>Data_thang!E1244</f>
        <v/>
      </c>
      <c r="E1244">
        <f>Data_thang!F1244</f>
        <v/>
      </c>
      <c r="F1244">
        <f>Data_thang!G1244</f>
        <v/>
      </c>
      <c r="G1244" s="29">
        <f>Data_thang!J1244-Data_thang!K1244</f>
        <v/>
      </c>
      <c r="H1244" s="29">
        <f>Data_thang!N1244</f>
        <v/>
      </c>
      <c r="I1244" s="29">
        <f>H1244-G1244</f>
        <v/>
      </c>
      <c r="J1244" s="30">
        <f>IF(H1244=0,IF(I1244=0,0,1),I1244/ABS(H1244))</f>
        <v/>
      </c>
      <c r="K1244" s="29">
        <f>H1244-(Data_thang!O1244-Data_thang!K1244)</f>
        <v/>
      </c>
      <c r="L1244">
        <f>IF(AND(ABS(I1244)&gt;Dashboard!$G$6,ABS(J1244)&gt;Dashboard!$H$6),"⚠ Vượt","")</f>
        <v/>
      </c>
      <c r="M1244">
        <f>IF(AND(A1244=Dashboard!$D$6,OR(Dashboard!$C$6="*",F1244=Dashboard!$C$6),L1244&lt;&gt;""),ABS(I1244)+ROW()/1000000000,0)</f>
        <v/>
      </c>
    </row>
    <row r="1245">
      <c r="A1245">
        <f>Data_thang!A1245</f>
        <v/>
      </c>
      <c r="B1245">
        <f>Data_thang!B1245</f>
        <v/>
      </c>
      <c r="C1245">
        <f>Data_thang!D1245</f>
        <v/>
      </c>
      <c r="D1245">
        <f>Data_thang!E1245</f>
        <v/>
      </c>
      <c r="E1245">
        <f>Data_thang!F1245</f>
        <v/>
      </c>
      <c r="F1245">
        <f>Data_thang!G1245</f>
        <v/>
      </c>
      <c r="G1245" s="29">
        <f>Data_thang!J1245-Data_thang!K1245</f>
        <v/>
      </c>
      <c r="H1245" s="29">
        <f>Data_thang!N1245</f>
        <v/>
      </c>
      <c r="I1245" s="29">
        <f>H1245-G1245</f>
        <v/>
      </c>
      <c r="J1245" s="30">
        <f>IF(H1245=0,IF(I1245=0,0,1),I1245/ABS(H1245))</f>
        <v/>
      </c>
      <c r="K1245" s="29">
        <f>H1245-(Data_thang!O1245-Data_thang!K1245)</f>
        <v/>
      </c>
      <c r="L1245">
        <f>IF(AND(ABS(I1245)&gt;Dashboard!$G$6,ABS(J1245)&gt;Dashboard!$H$6),"⚠ Vượt","")</f>
        <v/>
      </c>
      <c r="M1245">
        <f>IF(AND(A1245=Dashboard!$D$6,OR(Dashboard!$C$6="*",F1245=Dashboard!$C$6),L1245&lt;&gt;""),ABS(I1245)+ROW()/1000000000,0)</f>
        <v/>
      </c>
    </row>
    <row r="1246">
      <c r="A1246">
        <f>Data_thang!A1246</f>
        <v/>
      </c>
      <c r="B1246">
        <f>Data_thang!B1246</f>
        <v/>
      </c>
      <c r="C1246">
        <f>Data_thang!D1246</f>
        <v/>
      </c>
      <c r="D1246">
        <f>Data_thang!E1246</f>
        <v/>
      </c>
      <c r="E1246">
        <f>Data_thang!F1246</f>
        <v/>
      </c>
      <c r="F1246">
        <f>Data_thang!G1246</f>
        <v/>
      </c>
      <c r="G1246" s="29">
        <f>Data_thang!J1246-Data_thang!K1246</f>
        <v/>
      </c>
      <c r="H1246" s="29">
        <f>Data_thang!N1246</f>
        <v/>
      </c>
      <c r="I1246" s="29">
        <f>H1246-G1246</f>
        <v/>
      </c>
      <c r="J1246" s="30">
        <f>IF(H1246=0,IF(I1246=0,0,1),I1246/ABS(H1246))</f>
        <v/>
      </c>
      <c r="K1246" s="29">
        <f>H1246-(Data_thang!O1246-Data_thang!K1246)</f>
        <v/>
      </c>
      <c r="L1246">
        <f>IF(AND(ABS(I1246)&gt;Dashboard!$G$6,ABS(J1246)&gt;Dashboard!$H$6),"⚠ Vượt","")</f>
        <v/>
      </c>
      <c r="M1246">
        <f>IF(AND(A1246=Dashboard!$D$6,OR(Dashboard!$C$6="*",F1246=Dashboard!$C$6),L1246&lt;&gt;""),ABS(I1246)+ROW()/1000000000,0)</f>
        <v/>
      </c>
    </row>
    <row r="1247">
      <c r="A1247">
        <f>Data_thang!A1247</f>
        <v/>
      </c>
      <c r="B1247">
        <f>Data_thang!B1247</f>
        <v/>
      </c>
      <c r="C1247">
        <f>Data_thang!D1247</f>
        <v/>
      </c>
      <c r="D1247">
        <f>Data_thang!E1247</f>
        <v/>
      </c>
      <c r="E1247">
        <f>Data_thang!F1247</f>
        <v/>
      </c>
      <c r="F1247">
        <f>Data_thang!G1247</f>
        <v/>
      </c>
      <c r="G1247" s="29">
        <f>Data_thang!J1247-Data_thang!K1247</f>
        <v/>
      </c>
      <c r="H1247" s="29">
        <f>Data_thang!N1247</f>
        <v/>
      </c>
      <c r="I1247" s="29">
        <f>H1247-G1247</f>
        <v/>
      </c>
      <c r="J1247" s="30">
        <f>IF(H1247=0,IF(I1247=0,0,1),I1247/ABS(H1247))</f>
        <v/>
      </c>
      <c r="K1247" s="29">
        <f>H1247-(Data_thang!O1247-Data_thang!K1247)</f>
        <v/>
      </c>
      <c r="L1247">
        <f>IF(AND(ABS(I1247)&gt;Dashboard!$G$6,ABS(J1247)&gt;Dashboard!$H$6),"⚠ Vượt","")</f>
        <v/>
      </c>
      <c r="M1247">
        <f>IF(AND(A1247=Dashboard!$D$6,OR(Dashboard!$C$6="*",F1247=Dashboard!$C$6),L1247&lt;&gt;""),ABS(I1247)+ROW()/1000000000,0)</f>
        <v/>
      </c>
    </row>
    <row r="1248">
      <c r="A1248">
        <f>Data_thang!A1248</f>
        <v/>
      </c>
      <c r="B1248">
        <f>Data_thang!B1248</f>
        <v/>
      </c>
      <c r="C1248">
        <f>Data_thang!D1248</f>
        <v/>
      </c>
      <c r="D1248">
        <f>Data_thang!E1248</f>
        <v/>
      </c>
      <c r="E1248">
        <f>Data_thang!F1248</f>
        <v/>
      </c>
      <c r="F1248">
        <f>Data_thang!G1248</f>
        <v/>
      </c>
      <c r="G1248" s="29">
        <f>Data_thang!J1248-Data_thang!K1248</f>
        <v/>
      </c>
      <c r="H1248" s="29">
        <f>Data_thang!N1248</f>
        <v/>
      </c>
      <c r="I1248" s="29">
        <f>H1248-G1248</f>
        <v/>
      </c>
      <c r="J1248" s="30">
        <f>IF(H1248=0,IF(I1248=0,0,1),I1248/ABS(H1248))</f>
        <v/>
      </c>
      <c r="K1248" s="29">
        <f>H1248-(Data_thang!O1248-Data_thang!K1248)</f>
        <v/>
      </c>
      <c r="L1248">
        <f>IF(AND(ABS(I1248)&gt;Dashboard!$G$6,ABS(J1248)&gt;Dashboard!$H$6),"⚠ Vượt","")</f>
        <v/>
      </c>
      <c r="M1248">
        <f>IF(AND(A1248=Dashboard!$D$6,OR(Dashboard!$C$6="*",F1248=Dashboard!$C$6),L1248&lt;&gt;""),ABS(I1248)+ROW()/1000000000,0)</f>
        <v/>
      </c>
    </row>
    <row r="1249">
      <c r="A1249">
        <f>Data_thang!A1249</f>
        <v/>
      </c>
      <c r="B1249">
        <f>Data_thang!B1249</f>
        <v/>
      </c>
      <c r="C1249">
        <f>Data_thang!D1249</f>
        <v/>
      </c>
      <c r="D1249">
        <f>Data_thang!E1249</f>
        <v/>
      </c>
      <c r="E1249">
        <f>Data_thang!F1249</f>
        <v/>
      </c>
      <c r="F1249">
        <f>Data_thang!G1249</f>
        <v/>
      </c>
      <c r="G1249" s="29">
        <f>Data_thang!J1249-Data_thang!K1249</f>
        <v/>
      </c>
      <c r="H1249" s="29">
        <f>Data_thang!N1249</f>
        <v/>
      </c>
      <c r="I1249" s="29">
        <f>H1249-G1249</f>
        <v/>
      </c>
      <c r="J1249" s="30">
        <f>IF(H1249=0,IF(I1249=0,0,1),I1249/ABS(H1249))</f>
        <v/>
      </c>
      <c r="K1249" s="29">
        <f>H1249-(Data_thang!O1249-Data_thang!K1249)</f>
        <v/>
      </c>
      <c r="L1249">
        <f>IF(AND(ABS(I1249)&gt;Dashboard!$G$6,ABS(J1249)&gt;Dashboard!$H$6),"⚠ Vượt","")</f>
        <v/>
      </c>
      <c r="M1249">
        <f>IF(AND(A1249=Dashboard!$D$6,OR(Dashboard!$C$6="*",F1249=Dashboard!$C$6),L1249&lt;&gt;""),ABS(I1249)+ROW()/1000000000,0)</f>
        <v/>
      </c>
    </row>
    <row r="1250">
      <c r="A1250">
        <f>Data_thang!A1250</f>
        <v/>
      </c>
      <c r="B1250">
        <f>Data_thang!B1250</f>
        <v/>
      </c>
      <c r="C1250">
        <f>Data_thang!D1250</f>
        <v/>
      </c>
      <c r="D1250">
        <f>Data_thang!E1250</f>
        <v/>
      </c>
      <c r="E1250">
        <f>Data_thang!F1250</f>
        <v/>
      </c>
      <c r="F1250">
        <f>Data_thang!G1250</f>
        <v/>
      </c>
      <c r="G1250" s="29">
        <f>Data_thang!J1250-Data_thang!K1250</f>
        <v/>
      </c>
      <c r="H1250" s="29">
        <f>Data_thang!N1250</f>
        <v/>
      </c>
      <c r="I1250" s="29">
        <f>H1250-G1250</f>
        <v/>
      </c>
      <c r="J1250" s="30">
        <f>IF(H1250=0,IF(I1250=0,0,1),I1250/ABS(H1250))</f>
        <v/>
      </c>
      <c r="K1250" s="29">
        <f>H1250-(Data_thang!O1250-Data_thang!K1250)</f>
        <v/>
      </c>
      <c r="L1250">
        <f>IF(AND(ABS(I1250)&gt;Dashboard!$G$6,ABS(J1250)&gt;Dashboard!$H$6),"⚠ Vượt","")</f>
        <v/>
      </c>
      <c r="M1250">
        <f>IF(AND(A1250=Dashboard!$D$6,OR(Dashboard!$C$6="*",F1250=Dashboard!$C$6),L1250&lt;&gt;""),ABS(I1250)+ROW()/1000000000,0)</f>
        <v/>
      </c>
    </row>
    <row r="1251">
      <c r="A1251">
        <f>Data_thang!A1251</f>
        <v/>
      </c>
      <c r="B1251">
        <f>Data_thang!B1251</f>
        <v/>
      </c>
      <c r="C1251">
        <f>Data_thang!D1251</f>
        <v/>
      </c>
      <c r="D1251">
        <f>Data_thang!E1251</f>
        <v/>
      </c>
      <c r="E1251">
        <f>Data_thang!F1251</f>
        <v/>
      </c>
      <c r="F1251">
        <f>Data_thang!G1251</f>
        <v/>
      </c>
      <c r="G1251" s="29">
        <f>Data_thang!J1251-Data_thang!K1251</f>
        <v/>
      </c>
      <c r="H1251" s="29">
        <f>Data_thang!N1251</f>
        <v/>
      </c>
      <c r="I1251" s="29">
        <f>H1251-G1251</f>
        <v/>
      </c>
      <c r="J1251" s="30">
        <f>IF(H1251=0,IF(I1251=0,0,1),I1251/ABS(H1251))</f>
        <v/>
      </c>
      <c r="K1251" s="29">
        <f>H1251-(Data_thang!O1251-Data_thang!K1251)</f>
        <v/>
      </c>
      <c r="L1251">
        <f>IF(AND(ABS(I1251)&gt;Dashboard!$G$6,ABS(J1251)&gt;Dashboard!$H$6),"⚠ Vượt","")</f>
        <v/>
      </c>
      <c r="M1251">
        <f>IF(AND(A1251=Dashboard!$D$6,OR(Dashboard!$C$6="*",F1251=Dashboard!$C$6),L1251&lt;&gt;""),ABS(I1251)+ROW()/1000000000,0)</f>
        <v/>
      </c>
    </row>
    <row r="1252">
      <c r="A1252">
        <f>Data_thang!A1252</f>
        <v/>
      </c>
      <c r="B1252">
        <f>Data_thang!B1252</f>
        <v/>
      </c>
      <c r="C1252">
        <f>Data_thang!D1252</f>
        <v/>
      </c>
      <c r="D1252">
        <f>Data_thang!E1252</f>
        <v/>
      </c>
      <c r="E1252">
        <f>Data_thang!F1252</f>
        <v/>
      </c>
      <c r="F1252">
        <f>Data_thang!G1252</f>
        <v/>
      </c>
      <c r="G1252" s="29">
        <f>Data_thang!J1252-Data_thang!K1252</f>
        <v/>
      </c>
      <c r="H1252" s="29">
        <f>Data_thang!N1252</f>
        <v/>
      </c>
      <c r="I1252" s="29">
        <f>H1252-G1252</f>
        <v/>
      </c>
      <c r="J1252" s="30">
        <f>IF(H1252=0,IF(I1252=0,0,1),I1252/ABS(H1252))</f>
        <v/>
      </c>
      <c r="K1252" s="29">
        <f>H1252-(Data_thang!O1252-Data_thang!K1252)</f>
        <v/>
      </c>
      <c r="L1252">
        <f>IF(AND(ABS(I1252)&gt;Dashboard!$G$6,ABS(J1252)&gt;Dashboard!$H$6),"⚠ Vượt","")</f>
        <v/>
      </c>
      <c r="M1252">
        <f>IF(AND(A1252=Dashboard!$D$6,OR(Dashboard!$C$6="*",F1252=Dashboard!$C$6),L1252&lt;&gt;""),ABS(I1252)+ROW()/1000000000,0)</f>
        <v/>
      </c>
    </row>
    <row r="1253">
      <c r="A1253">
        <f>Data_thang!A1253</f>
        <v/>
      </c>
      <c r="B1253">
        <f>Data_thang!B1253</f>
        <v/>
      </c>
      <c r="C1253">
        <f>Data_thang!D1253</f>
        <v/>
      </c>
      <c r="D1253">
        <f>Data_thang!E1253</f>
        <v/>
      </c>
      <c r="E1253">
        <f>Data_thang!F1253</f>
        <v/>
      </c>
      <c r="F1253">
        <f>Data_thang!G1253</f>
        <v/>
      </c>
      <c r="G1253" s="29">
        <f>Data_thang!J1253-Data_thang!K1253</f>
        <v/>
      </c>
      <c r="H1253" s="29">
        <f>Data_thang!N1253</f>
        <v/>
      </c>
      <c r="I1253" s="29">
        <f>H1253-G1253</f>
        <v/>
      </c>
      <c r="J1253" s="30">
        <f>IF(H1253=0,IF(I1253=0,0,1),I1253/ABS(H1253))</f>
        <v/>
      </c>
      <c r="K1253" s="29">
        <f>H1253-(Data_thang!O1253-Data_thang!K1253)</f>
        <v/>
      </c>
      <c r="L1253">
        <f>IF(AND(ABS(I1253)&gt;Dashboard!$G$6,ABS(J1253)&gt;Dashboard!$H$6),"⚠ Vượt","")</f>
        <v/>
      </c>
      <c r="M1253">
        <f>IF(AND(A1253=Dashboard!$D$6,OR(Dashboard!$C$6="*",F1253=Dashboard!$C$6),L1253&lt;&gt;""),ABS(I1253)+ROW()/1000000000,0)</f>
        <v/>
      </c>
    </row>
    <row r="1254">
      <c r="A1254">
        <f>Data_thang!A1254</f>
        <v/>
      </c>
      <c r="B1254">
        <f>Data_thang!B1254</f>
        <v/>
      </c>
      <c r="C1254">
        <f>Data_thang!D1254</f>
        <v/>
      </c>
      <c r="D1254">
        <f>Data_thang!E1254</f>
        <v/>
      </c>
      <c r="E1254">
        <f>Data_thang!F1254</f>
        <v/>
      </c>
      <c r="F1254">
        <f>Data_thang!G1254</f>
        <v/>
      </c>
      <c r="G1254" s="29">
        <f>Data_thang!J1254-Data_thang!K1254</f>
        <v/>
      </c>
      <c r="H1254" s="29">
        <f>Data_thang!N1254</f>
        <v/>
      </c>
      <c r="I1254" s="29">
        <f>H1254-G1254</f>
        <v/>
      </c>
      <c r="J1254" s="30">
        <f>IF(H1254=0,IF(I1254=0,0,1),I1254/ABS(H1254))</f>
        <v/>
      </c>
      <c r="K1254" s="29">
        <f>H1254-(Data_thang!O1254-Data_thang!K1254)</f>
        <v/>
      </c>
      <c r="L1254">
        <f>IF(AND(ABS(I1254)&gt;Dashboard!$G$6,ABS(J1254)&gt;Dashboard!$H$6),"⚠ Vượt","")</f>
        <v/>
      </c>
      <c r="M1254">
        <f>IF(AND(A1254=Dashboard!$D$6,OR(Dashboard!$C$6="*",F1254=Dashboard!$C$6),L1254&lt;&gt;""),ABS(I1254)+ROW()/1000000000,0)</f>
        <v/>
      </c>
    </row>
    <row r="1255">
      <c r="A1255">
        <f>Data_thang!A1255</f>
        <v/>
      </c>
      <c r="B1255">
        <f>Data_thang!B1255</f>
        <v/>
      </c>
      <c r="C1255">
        <f>Data_thang!D1255</f>
        <v/>
      </c>
      <c r="D1255">
        <f>Data_thang!E1255</f>
        <v/>
      </c>
      <c r="E1255">
        <f>Data_thang!F1255</f>
        <v/>
      </c>
      <c r="F1255">
        <f>Data_thang!G1255</f>
        <v/>
      </c>
      <c r="G1255" s="29">
        <f>Data_thang!J1255-Data_thang!K1255</f>
        <v/>
      </c>
      <c r="H1255" s="29">
        <f>Data_thang!N1255</f>
        <v/>
      </c>
      <c r="I1255" s="29">
        <f>H1255-G1255</f>
        <v/>
      </c>
      <c r="J1255" s="30">
        <f>IF(H1255=0,IF(I1255=0,0,1),I1255/ABS(H1255))</f>
        <v/>
      </c>
      <c r="K1255" s="29">
        <f>H1255-(Data_thang!O1255-Data_thang!K1255)</f>
        <v/>
      </c>
      <c r="L1255">
        <f>IF(AND(ABS(I1255)&gt;Dashboard!$G$6,ABS(J1255)&gt;Dashboard!$H$6),"⚠ Vượt","")</f>
        <v/>
      </c>
      <c r="M1255">
        <f>IF(AND(A1255=Dashboard!$D$6,OR(Dashboard!$C$6="*",F1255=Dashboard!$C$6),L1255&lt;&gt;""),ABS(I1255)+ROW()/1000000000,0)</f>
        <v/>
      </c>
    </row>
    <row r="1256">
      <c r="A1256">
        <f>Data_thang!A1256</f>
        <v/>
      </c>
      <c r="B1256">
        <f>Data_thang!B1256</f>
        <v/>
      </c>
      <c r="C1256">
        <f>Data_thang!D1256</f>
        <v/>
      </c>
      <c r="D1256">
        <f>Data_thang!E1256</f>
        <v/>
      </c>
      <c r="E1256">
        <f>Data_thang!F1256</f>
        <v/>
      </c>
      <c r="F1256">
        <f>Data_thang!G1256</f>
        <v/>
      </c>
      <c r="G1256" s="29">
        <f>Data_thang!J1256-Data_thang!K1256</f>
        <v/>
      </c>
      <c r="H1256" s="29">
        <f>Data_thang!N1256</f>
        <v/>
      </c>
      <c r="I1256" s="29">
        <f>H1256-G1256</f>
        <v/>
      </c>
      <c r="J1256" s="30">
        <f>IF(H1256=0,IF(I1256=0,0,1),I1256/ABS(H1256))</f>
        <v/>
      </c>
      <c r="K1256" s="29">
        <f>H1256-(Data_thang!O1256-Data_thang!K1256)</f>
        <v/>
      </c>
      <c r="L1256">
        <f>IF(AND(ABS(I1256)&gt;Dashboard!$G$6,ABS(J1256)&gt;Dashboard!$H$6),"⚠ Vượt","")</f>
        <v/>
      </c>
      <c r="M1256">
        <f>IF(AND(A1256=Dashboard!$D$6,OR(Dashboard!$C$6="*",F1256=Dashboard!$C$6),L1256&lt;&gt;""),ABS(I1256)+ROW()/1000000000,0)</f>
        <v/>
      </c>
    </row>
    <row r="1257">
      <c r="A1257">
        <f>Data_thang!A1257</f>
        <v/>
      </c>
      <c r="B1257">
        <f>Data_thang!B1257</f>
        <v/>
      </c>
      <c r="C1257">
        <f>Data_thang!D1257</f>
        <v/>
      </c>
      <c r="D1257">
        <f>Data_thang!E1257</f>
        <v/>
      </c>
      <c r="E1257">
        <f>Data_thang!F1257</f>
        <v/>
      </c>
      <c r="F1257">
        <f>Data_thang!G1257</f>
        <v/>
      </c>
      <c r="G1257" s="29">
        <f>Data_thang!J1257-Data_thang!K1257</f>
        <v/>
      </c>
      <c r="H1257" s="29">
        <f>Data_thang!N1257</f>
        <v/>
      </c>
      <c r="I1257" s="29">
        <f>H1257-G1257</f>
        <v/>
      </c>
      <c r="J1257" s="30">
        <f>IF(H1257=0,IF(I1257=0,0,1),I1257/ABS(H1257))</f>
        <v/>
      </c>
      <c r="K1257" s="29">
        <f>H1257-(Data_thang!O1257-Data_thang!K1257)</f>
        <v/>
      </c>
      <c r="L1257">
        <f>IF(AND(ABS(I1257)&gt;Dashboard!$G$6,ABS(J1257)&gt;Dashboard!$H$6),"⚠ Vượt","")</f>
        <v/>
      </c>
      <c r="M1257">
        <f>IF(AND(A1257=Dashboard!$D$6,OR(Dashboard!$C$6="*",F1257=Dashboard!$C$6),L1257&lt;&gt;""),ABS(I1257)+ROW()/1000000000,0)</f>
        <v/>
      </c>
    </row>
    <row r="1258">
      <c r="A1258">
        <f>Data_thang!A1258</f>
        <v/>
      </c>
      <c r="B1258">
        <f>Data_thang!B1258</f>
        <v/>
      </c>
      <c r="C1258">
        <f>Data_thang!D1258</f>
        <v/>
      </c>
      <c r="D1258">
        <f>Data_thang!E1258</f>
        <v/>
      </c>
      <c r="E1258">
        <f>Data_thang!F1258</f>
        <v/>
      </c>
      <c r="F1258">
        <f>Data_thang!G1258</f>
        <v/>
      </c>
      <c r="G1258" s="29">
        <f>Data_thang!J1258-Data_thang!K1258</f>
        <v/>
      </c>
      <c r="H1258" s="29">
        <f>Data_thang!N1258</f>
        <v/>
      </c>
      <c r="I1258" s="29">
        <f>H1258-G1258</f>
        <v/>
      </c>
      <c r="J1258" s="30">
        <f>IF(H1258=0,IF(I1258=0,0,1),I1258/ABS(H1258))</f>
        <v/>
      </c>
      <c r="K1258" s="29">
        <f>H1258-(Data_thang!O1258-Data_thang!K1258)</f>
        <v/>
      </c>
      <c r="L1258">
        <f>IF(AND(ABS(I1258)&gt;Dashboard!$G$6,ABS(J1258)&gt;Dashboard!$H$6),"⚠ Vượt","")</f>
        <v/>
      </c>
      <c r="M1258">
        <f>IF(AND(A1258=Dashboard!$D$6,OR(Dashboard!$C$6="*",F1258=Dashboard!$C$6),L1258&lt;&gt;""),ABS(I1258)+ROW()/1000000000,0)</f>
        <v/>
      </c>
    </row>
    <row r="1259">
      <c r="A1259">
        <f>Data_thang!A1259</f>
        <v/>
      </c>
      <c r="B1259">
        <f>Data_thang!B1259</f>
        <v/>
      </c>
      <c r="C1259">
        <f>Data_thang!D1259</f>
        <v/>
      </c>
      <c r="D1259">
        <f>Data_thang!E1259</f>
        <v/>
      </c>
      <c r="E1259">
        <f>Data_thang!F1259</f>
        <v/>
      </c>
      <c r="F1259">
        <f>Data_thang!G1259</f>
        <v/>
      </c>
      <c r="G1259" s="29">
        <f>Data_thang!J1259-Data_thang!K1259</f>
        <v/>
      </c>
      <c r="H1259" s="29">
        <f>Data_thang!N1259</f>
        <v/>
      </c>
      <c r="I1259" s="29">
        <f>H1259-G1259</f>
        <v/>
      </c>
      <c r="J1259" s="30">
        <f>IF(H1259=0,IF(I1259=0,0,1),I1259/ABS(H1259))</f>
        <v/>
      </c>
      <c r="K1259" s="29">
        <f>H1259-(Data_thang!O1259-Data_thang!K1259)</f>
        <v/>
      </c>
      <c r="L1259">
        <f>IF(AND(ABS(I1259)&gt;Dashboard!$G$6,ABS(J1259)&gt;Dashboard!$H$6),"⚠ Vượt","")</f>
        <v/>
      </c>
      <c r="M1259">
        <f>IF(AND(A1259=Dashboard!$D$6,OR(Dashboard!$C$6="*",F1259=Dashboard!$C$6),L1259&lt;&gt;""),ABS(I1259)+ROW()/1000000000,0)</f>
        <v/>
      </c>
    </row>
    <row r="1260">
      <c r="A1260">
        <f>Data_thang!A1260</f>
        <v/>
      </c>
      <c r="B1260">
        <f>Data_thang!B1260</f>
        <v/>
      </c>
      <c r="C1260">
        <f>Data_thang!D1260</f>
        <v/>
      </c>
      <c r="D1260">
        <f>Data_thang!E1260</f>
        <v/>
      </c>
      <c r="E1260">
        <f>Data_thang!F1260</f>
        <v/>
      </c>
      <c r="F1260">
        <f>Data_thang!G1260</f>
        <v/>
      </c>
      <c r="G1260" s="29">
        <f>Data_thang!J1260-Data_thang!K1260</f>
        <v/>
      </c>
      <c r="H1260" s="29">
        <f>Data_thang!N1260</f>
        <v/>
      </c>
      <c r="I1260" s="29">
        <f>H1260-G1260</f>
        <v/>
      </c>
      <c r="J1260" s="30">
        <f>IF(H1260=0,IF(I1260=0,0,1),I1260/ABS(H1260))</f>
        <v/>
      </c>
      <c r="K1260" s="29">
        <f>H1260-(Data_thang!O1260-Data_thang!K1260)</f>
        <v/>
      </c>
      <c r="L1260">
        <f>IF(AND(ABS(I1260)&gt;Dashboard!$G$6,ABS(J1260)&gt;Dashboard!$H$6),"⚠ Vượt","")</f>
        <v/>
      </c>
      <c r="M1260">
        <f>IF(AND(A1260=Dashboard!$D$6,OR(Dashboard!$C$6="*",F1260=Dashboard!$C$6),L1260&lt;&gt;""),ABS(I1260)+ROW()/1000000000,0)</f>
        <v/>
      </c>
    </row>
    <row r="1261">
      <c r="A1261">
        <f>Data_thang!A1261</f>
        <v/>
      </c>
      <c r="B1261">
        <f>Data_thang!B1261</f>
        <v/>
      </c>
      <c r="C1261">
        <f>Data_thang!D1261</f>
        <v/>
      </c>
      <c r="D1261">
        <f>Data_thang!E1261</f>
        <v/>
      </c>
      <c r="E1261">
        <f>Data_thang!F1261</f>
        <v/>
      </c>
      <c r="F1261">
        <f>Data_thang!G1261</f>
        <v/>
      </c>
      <c r="G1261" s="29">
        <f>Data_thang!J1261-Data_thang!K1261</f>
        <v/>
      </c>
      <c r="H1261" s="29">
        <f>Data_thang!N1261</f>
        <v/>
      </c>
      <c r="I1261" s="29">
        <f>H1261-G1261</f>
        <v/>
      </c>
      <c r="J1261" s="30">
        <f>IF(H1261=0,IF(I1261=0,0,1),I1261/ABS(H1261))</f>
        <v/>
      </c>
      <c r="K1261" s="29">
        <f>H1261-(Data_thang!O1261-Data_thang!K1261)</f>
        <v/>
      </c>
      <c r="L1261">
        <f>IF(AND(ABS(I1261)&gt;Dashboard!$G$6,ABS(J1261)&gt;Dashboard!$H$6),"⚠ Vượt","")</f>
        <v/>
      </c>
      <c r="M1261">
        <f>IF(AND(A1261=Dashboard!$D$6,OR(Dashboard!$C$6="*",F1261=Dashboard!$C$6),L1261&lt;&gt;""),ABS(I1261)+ROW()/1000000000,0)</f>
        <v/>
      </c>
    </row>
    <row r="1262">
      <c r="A1262">
        <f>Data_thang!A1262</f>
        <v/>
      </c>
      <c r="B1262">
        <f>Data_thang!B1262</f>
        <v/>
      </c>
      <c r="C1262">
        <f>Data_thang!D1262</f>
        <v/>
      </c>
      <c r="D1262">
        <f>Data_thang!E1262</f>
        <v/>
      </c>
      <c r="E1262">
        <f>Data_thang!F1262</f>
        <v/>
      </c>
      <c r="F1262">
        <f>Data_thang!G1262</f>
        <v/>
      </c>
      <c r="G1262" s="29">
        <f>Data_thang!J1262-Data_thang!K1262</f>
        <v/>
      </c>
      <c r="H1262" s="29">
        <f>Data_thang!N1262</f>
        <v/>
      </c>
      <c r="I1262" s="29">
        <f>H1262-G1262</f>
        <v/>
      </c>
      <c r="J1262" s="30">
        <f>IF(H1262=0,IF(I1262=0,0,1),I1262/ABS(H1262))</f>
        <v/>
      </c>
      <c r="K1262" s="29">
        <f>H1262-(Data_thang!O1262-Data_thang!K1262)</f>
        <v/>
      </c>
      <c r="L1262">
        <f>IF(AND(ABS(I1262)&gt;Dashboard!$G$6,ABS(J1262)&gt;Dashboard!$H$6),"⚠ Vượt","")</f>
        <v/>
      </c>
      <c r="M1262">
        <f>IF(AND(A1262=Dashboard!$D$6,OR(Dashboard!$C$6="*",F1262=Dashboard!$C$6),L1262&lt;&gt;""),ABS(I1262)+ROW()/1000000000,0)</f>
        <v/>
      </c>
    </row>
    <row r="1263">
      <c r="A1263">
        <f>Data_thang!A1263</f>
        <v/>
      </c>
      <c r="B1263">
        <f>Data_thang!B1263</f>
        <v/>
      </c>
      <c r="C1263">
        <f>Data_thang!D1263</f>
        <v/>
      </c>
      <c r="D1263">
        <f>Data_thang!E1263</f>
        <v/>
      </c>
      <c r="E1263">
        <f>Data_thang!F1263</f>
        <v/>
      </c>
      <c r="F1263">
        <f>Data_thang!G1263</f>
        <v/>
      </c>
      <c r="G1263" s="29">
        <f>Data_thang!J1263-Data_thang!K1263</f>
        <v/>
      </c>
      <c r="H1263" s="29">
        <f>Data_thang!N1263</f>
        <v/>
      </c>
      <c r="I1263" s="29">
        <f>H1263-G1263</f>
        <v/>
      </c>
      <c r="J1263" s="30">
        <f>IF(H1263=0,IF(I1263=0,0,1),I1263/ABS(H1263))</f>
        <v/>
      </c>
      <c r="K1263" s="29">
        <f>H1263-(Data_thang!O1263-Data_thang!K1263)</f>
        <v/>
      </c>
      <c r="L1263">
        <f>IF(AND(ABS(I1263)&gt;Dashboard!$G$6,ABS(J1263)&gt;Dashboard!$H$6),"⚠ Vượt","")</f>
        <v/>
      </c>
      <c r="M1263">
        <f>IF(AND(A1263=Dashboard!$D$6,OR(Dashboard!$C$6="*",F1263=Dashboard!$C$6),L1263&lt;&gt;""),ABS(I1263)+ROW()/1000000000,0)</f>
        <v/>
      </c>
    </row>
    <row r="1264">
      <c r="A1264">
        <f>Data_thang!A1264</f>
        <v/>
      </c>
      <c r="B1264">
        <f>Data_thang!B1264</f>
        <v/>
      </c>
      <c r="C1264">
        <f>Data_thang!D1264</f>
        <v/>
      </c>
      <c r="D1264">
        <f>Data_thang!E1264</f>
        <v/>
      </c>
      <c r="E1264">
        <f>Data_thang!F1264</f>
        <v/>
      </c>
      <c r="F1264">
        <f>Data_thang!G1264</f>
        <v/>
      </c>
      <c r="G1264" s="29">
        <f>Data_thang!J1264-Data_thang!K1264</f>
        <v/>
      </c>
      <c r="H1264" s="29">
        <f>Data_thang!N1264</f>
        <v/>
      </c>
      <c r="I1264" s="29">
        <f>H1264-G1264</f>
        <v/>
      </c>
      <c r="J1264" s="30">
        <f>IF(H1264=0,IF(I1264=0,0,1),I1264/ABS(H1264))</f>
        <v/>
      </c>
      <c r="K1264" s="29">
        <f>H1264-(Data_thang!O1264-Data_thang!K1264)</f>
        <v/>
      </c>
      <c r="L1264">
        <f>IF(AND(ABS(I1264)&gt;Dashboard!$G$6,ABS(J1264)&gt;Dashboard!$H$6),"⚠ Vượt","")</f>
        <v/>
      </c>
      <c r="M1264">
        <f>IF(AND(A1264=Dashboard!$D$6,OR(Dashboard!$C$6="*",F1264=Dashboard!$C$6),L1264&lt;&gt;""),ABS(I1264)+ROW()/1000000000,0)</f>
        <v/>
      </c>
    </row>
    <row r="1265">
      <c r="A1265">
        <f>Data_thang!A1265</f>
        <v/>
      </c>
      <c r="B1265">
        <f>Data_thang!B1265</f>
        <v/>
      </c>
      <c r="C1265">
        <f>Data_thang!D1265</f>
        <v/>
      </c>
      <c r="D1265">
        <f>Data_thang!E1265</f>
        <v/>
      </c>
      <c r="E1265">
        <f>Data_thang!F1265</f>
        <v/>
      </c>
      <c r="F1265">
        <f>Data_thang!G1265</f>
        <v/>
      </c>
      <c r="G1265" s="29">
        <f>Data_thang!J1265-Data_thang!K1265</f>
        <v/>
      </c>
      <c r="H1265" s="29">
        <f>Data_thang!N1265</f>
        <v/>
      </c>
      <c r="I1265" s="29">
        <f>H1265-G1265</f>
        <v/>
      </c>
      <c r="J1265" s="30">
        <f>IF(H1265=0,IF(I1265=0,0,1),I1265/ABS(H1265))</f>
        <v/>
      </c>
      <c r="K1265" s="29">
        <f>H1265-(Data_thang!O1265-Data_thang!K1265)</f>
        <v/>
      </c>
      <c r="L1265">
        <f>IF(AND(ABS(I1265)&gt;Dashboard!$G$6,ABS(J1265)&gt;Dashboard!$H$6),"⚠ Vượt","")</f>
        <v/>
      </c>
      <c r="M1265">
        <f>IF(AND(A1265=Dashboard!$D$6,OR(Dashboard!$C$6="*",F1265=Dashboard!$C$6),L1265&lt;&gt;""),ABS(I1265)+ROW()/1000000000,0)</f>
        <v/>
      </c>
    </row>
    <row r="1266">
      <c r="A1266">
        <f>Data_thang!A1266</f>
        <v/>
      </c>
      <c r="B1266">
        <f>Data_thang!B1266</f>
        <v/>
      </c>
      <c r="C1266">
        <f>Data_thang!D1266</f>
        <v/>
      </c>
      <c r="D1266">
        <f>Data_thang!E1266</f>
        <v/>
      </c>
      <c r="E1266">
        <f>Data_thang!F1266</f>
        <v/>
      </c>
      <c r="F1266">
        <f>Data_thang!G1266</f>
        <v/>
      </c>
      <c r="G1266" s="29">
        <f>Data_thang!J1266-Data_thang!K1266</f>
        <v/>
      </c>
      <c r="H1266" s="29">
        <f>Data_thang!N1266</f>
        <v/>
      </c>
      <c r="I1266" s="29">
        <f>H1266-G1266</f>
        <v/>
      </c>
      <c r="J1266" s="30">
        <f>IF(H1266=0,IF(I1266=0,0,1),I1266/ABS(H1266))</f>
        <v/>
      </c>
      <c r="K1266" s="29">
        <f>H1266-(Data_thang!O1266-Data_thang!K1266)</f>
        <v/>
      </c>
      <c r="L1266">
        <f>IF(AND(ABS(I1266)&gt;Dashboard!$G$6,ABS(J1266)&gt;Dashboard!$H$6),"⚠ Vượt","")</f>
        <v/>
      </c>
      <c r="M1266">
        <f>IF(AND(A1266=Dashboard!$D$6,OR(Dashboard!$C$6="*",F1266=Dashboard!$C$6),L1266&lt;&gt;""),ABS(I1266)+ROW()/1000000000,0)</f>
        <v/>
      </c>
    </row>
    <row r="1267">
      <c r="A1267">
        <f>Data_thang!A1267</f>
        <v/>
      </c>
      <c r="B1267">
        <f>Data_thang!B1267</f>
        <v/>
      </c>
      <c r="C1267">
        <f>Data_thang!D1267</f>
        <v/>
      </c>
      <c r="D1267">
        <f>Data_thang!E1267</f>
        <v/>
      </c>
      <c r="E1267">
        <f>Data_thang!F1267</f>
        <v/>
      </c>
      <c r="F1267">
        <f>Data_thang!G1267</f>
        <v/>
      </c>
      <c r="G1267" s="29">
        <f>Data_thang!J1267-Data_thang!K1267</f>
        <v/>
      </c>
      <c r="H1267" s="29">
        <f>Data_thang!N1267</f>
        <v/>
      </c>
      <c r="I1267" s="29">
        <f>H1267-G1267</f>
        <v/>
      </c>
      <c r="J1267" s="30">
        <f>IF(H1267=0,IF(I1267=0,0,1),I1267/ABS(H1267))</f>
        <v/>
      </c>
      <c r="K1267" s="29">
        <f>H1267-(Data_thang!O1267-Data_thang!K1267)</f>
        <v/>
      </c>
      <c r="L1267">
        <f>IF(AND(ABS(I1267)&gt;Dashboard!$G$6,ABS(J1267)&gt;Dashboard!$H$6),"⚠ Vượt","")</f>
        <v/>
      </c>
      <c r="M1267">
        <f>IF(AND(A1267=Dashboard!$D$6,OR(Dashboard!$C$6="*",F1267=Dashboard!$C$6),L1267&lt;&gt;""),ABS(I1267)+ROW()/1000000000,0)</f>
        <v/>
      </c>
    </row>
    <row r="1268">
      <c r="A1268">
        <f>Data_thang!A1268</f>
        <v/>
      </c>
      <c r="B1268">
        <f>Data_thang!B1268</f>
        <v/>
      </c>
      <c r="C1268">
        <f>Data_thang!D1268</f>
        <v/>
      </c>
      <c r="D1268">
        <f>Data_thang!E1268</f>
        <v/>
      </c>
      <c r="E1268">
        <f>Data_thang!F1268</f>
        <v/>
      </c>
      <c r="F1268">
        <f>Data_thang!G1268</f>
        <v/>
      </c>
      <c r="G1268" s="29">
        <f>Data_thang!J1268-Data_thang!K1268</f>
        <v/>
      </c>
      <c r="H1268" s="29">
        <f>Data_thang!N1268</f>
        <v/>
      </c>
      <c r="I1268" s="29">
        <f>H1268-G1268</f>
        <v/>
      </c>
      <c r="J1268" s="30">
        <f>IF(H1268=0,IF(I1268=0,0,1),I1268/ABS(H1268))</f>
        <v/>
      </c>
      <c r="K1268" s="29">
        <f>H1268-(Data_thang!O1268-Data_thang!K1268)</f>
        <v/>
      </c>
      <c r="L1268">
        <f>IF(AND(ABS(I1268)&gt;Dashboard!$G$6,ABS(J1268)&gt;Dashboard!$H$6),"⚠ Vượt","")</f>
        <v/>
      </c>
      <c r="M1268">
        <f>IF(AND(A1268=Dashboard!$D$6,OR(Dashboard!$C$6="*",F1268=Dashboard!$C$6),L1268&lt;&gt;""),ABS(I1268)+ROW()/1000000000,0)</f>
        <v/>
      </c>
    </row>
    <row r="1269">
      <c r="A1269">
        <f>Data_thang!A1269</f>
        <v/>
      </c>
      <c r="B1269">
        <f>Data_thang!B1269</f>
        <v/>
      </c>
      <c r="C1269">
        <f>Data_thang!D1269</f>
        <v/>
      </c>
      <c r="D1269">
        <f>Data_thang!E1269</f>
        <v/>
      </c>
      <c r="E1269">
        <f>Data_thang!F1269</f>
        <v/>
      </c>
      <c r="F1269">
        <f>Data_thang!G1269</f>
        <v/>
      </c>
      <c r="G1269" s="29">
        <f>Data_thang!J1269-Data_thang!K1269</f>
        <v/>
      </c>
      <c r="H1269" s="29">
        <f>Data_thang!N1269</f>
        <v/>
      </c>
      <c r="I1269" s="29">
        <f>H1269-G1269</f>
        <v/>
      </c>
      <c r="J1269" s="30">
        <f>IF(H1269=0,IF(I1269=0,0,1),I1269/ABS(H1269))</f>
        <v/>
      </c>
      <c r="K1269" s="29">
        <f>H1269-(Data_thang!O1269-Data_thang!K1269)</f>
        <v/>
      </c>
      <c r="L1269">
        <f>IF(AND(ABS(I1269)&gt;Dashboard!$G$6,ABS(J1269)&gt;Dashboard!$H$6),"⚠ Vượt","")</f>
        <v/>
      </c>
      <c r="M1269">
        <f>IF(AND(A1269=Dashboard!$D$6,OR(Dashboard!$C$6="*",F1269=Dashboard!$C$6),L1269&lt;&gt;""),ABS(I1269)+ROW()/1000000000,0)</f>
        <v/>
      </c>
    </row>
    <row r="1270">
      <c r="A1270">
        <f>Data_thang!A1270</f>
        <v/>
      </c>
      <c r="B1270">
        <f>Data_thang!B1270</f>
        <v/>
      </c>
      <c r="C1270">
        <f>Data_thang!D1270</f>
        <v/>
      </c>
      <c r="D1270">
        <f>Data_thang!E1270</f>
        <v/>
      </c>
      <c r="E1270">
        <f>Data_thang!F1270</f>
        <v/>
      </c>
      <c r="F1270">
        <f>Data_thang!G1270</f>
        <v/>
      </c>
      <c r="G1270" s="29">
        <f>Data_thang!J1270-Data_thang!K1270</f>
        <v/>
      </c>
      <c r="H1270" s="29">
        <f>Data_thang!N1270</f>
        <v/>
      </c>
      <c r="I1270" s="29">
        <f>H1270-G1270</f>
        <v/>
      </c>
      <c r="J1270" s="30">
        <f>IF(H1270=0,IF(I1270=0,0,1),I1270/ABS(H1270))</f>
        <v/>
      </c>
      <c r="K1270" s="29">
        <f>H1270-(Data_thang!O1270-Data_thang!K1270)</f>
        <v/>
      </c>
      <c r="L1270">
        <f>IF(AND(ABS(I1270)&gt;Dashboard!$G$6,ABS(J1270)&gt;Dashboard!$H$6),"⚠ Vượt","")</f>
        <v/>
      </c>
      <c r="M1270">
        <f>IF(AND(A1270=Dashboard!$D$6,OR(Dashboard!$C$6="*",F1270=Dashboard!$C$6),L1270&lt;&gt;""),ABS(I1270)+ROW()/1000000000,0)</f>
        <v/>
      </c>
    </row>
    <row r="1271">
      <c r="A1271">
        <f>Data_thang!A1271</f>
        <v/>
      </c>
      <c r="B1271">
        <f>Data_thang!B1271</f>
        <v/>
      </c>
      <c r="C1271">
        <f>Data_thang!D1271</f>
        <v/>
      </c>
      <c r="D1271">
        <f>Data_thang!E1271</f>
        <v/>
      </c>
      <c r="E1271">
        <f>Data_thang!F1271</f>
        <v/>
      </c>
      <c r="F1271">
        <f>Data_thang!G1271</f>
        <v/>
      </c>
      <c r="G1271" s="29">
        <f>Data_thang!J1271-Data_thang!K1271</f>
        <v/>
      </c>
      <c r="H1271" s="29">
        <f>Data_thang!N1271</f>
        <v/>
      </c>
      <c r="I1271" s="29">
        <f>H1271-G1271</f>
        <v/>
      </c>
      <c r="J1271" s="30">
        <f>IF(H1271=0,IF(I1271=0,0,1),I1271/ABS(H1271))</f>
        <v/>
      </c>
      <c r="K1271" s="29">
        <f>H1271-(Data_thang!O1271-Data_thang!K1271)</f>
        <v/>
      </c>
      <c r="L1271">
        <f>IF(AND(ABS(I1271)&gt;Dashboard!$G$6,ABS(J1271)&gt;Dashboard!$H$6),"⚠ Vượt","")</f>
        <v/>
      </c>
      <c r="M1271">
        <f>IF(AND(A1271=Dashboard!$D$6,OR(Dashboard!$C$6="*",F1271=Dashboard!$C$6),L1271&lt;&gt;""),ABS(I1271)+ROW()/1000000000,0)</f>
        <v/>
      </c>
    </row>
    <row r="1272">
      <c r="A1272">
        <f>Data_thang!A1272</f>
        <v/>
      </c>
      <c r="B1272">
        <f>Data_thang!B1272</f>
        <v/>
      </c>
      <c r="C1272">
        <f>Data_thang!D1272</f>
        <v/>
      </c>
      <c r="D1272">
        <f>Data_thang!E1272</f>
        <v/>
      </c>
      <c r="E1272">
        <f>Data_thang!F1272</f>
        <v/>
      </c>
      <c r="F1272">
        <f>Data_thang!G1272</f>
        <v/>
      </c>
      <c r="G1272" s="29">
        <f>Data_thang!J1272-Data_thang!K1272</f>
        <v/>
      </c>
      <c r="H1272" s="29">
        <f>Data_thang!N1272</f>
        <v/>
      </c>
      <c r="I1272" s="29">
        <f>H1272-G1272</f>
        <v/>
      </c>
      <c r="J1272" s="30">
        <f>IF(H1272=0,IF(I1272=0,0,1),I1272/ABS(H1272))</f>
        <v/>
      </c>
      <c r="K1272" s="29">
        <f>H1272-(Data_thang!O1272-Data_thang!K1272)</f>
        <v/>
      </c>
      <c r="L1272">
        <f>IF(AND(ABS(I1272)&gt;Dashboard!$G$6,ABS(J1272)&gt;Dashboard!$H$6),"⚠ Vượt","")</f>
        <v/>
      </c>
      <c r="M1272">
        <f>IF(AND(A1272=Dashboard!$D$6,OR(Dashboard!$C$6="*",F1272=Dashboard!$C$6),L1272&lt;&gt;""),ABS(I1272)+ROW()/1000000000,0)</f>
        <v/>
      </c>
    </row>
    <row r="1273">
      <c r="A1273">
        <f>Data_thang!A1273</f>
        <v/>
      </c>
      <c r="B1273">
        <f>Data_thang!B1273</f>
        <v/>
      </c>
      <c r="C1273">
        <f>Data_thang!D1273</f>
        <v/>
      </c>
      <c r="D1273">
        <f>Data_thang!E1273</f>
        <v/>
      </c>
      <c r="E1273">
        <f>Data_thang!F1273</f>
        <v/>
      </c>
      <c r="F1273">
        <f>Data_thang!G1273</f>
        <v/>
      </c>
      <c r="G1273" s="29">
        <f>Data_thang!J1273-Data_thang!K1273</f>
        <v/>
      </c>
      <c r="H1273" s="29">
        <f>Data_thang!N1273</f>
        <v/>
      </c>
      <c r="I1273" s="29">
        <f>H1273-G1273</f>
        <v/>
      </c>
      <c r="J1273" s="30">
        <f>IF(H1273=0,IF(I1273=0,0,1),I1273/ABS(H1273))</f>
        <v/>
      </c>
      <c r="K1273" s="29">
        <f>H1273-(Data_thang!O1273-Data_thang!K1273)</f>
        <v/>
      </c>
      <c r="L1273">
        <f>IF(AND(ABS(I1273)&gt;Dashboard!$G$6,ABS(J1273)&gt;Dashboard!$H$6),"⚠ Vượt","")</f>
        <v/>
      </c>
      <c r="M1273">
        <f>IF(AND(A1273=Dashboard!$D$6,OR(Dashboard!$C$6="*",F1273=Dashboard!$C$6),L1273&lt;&gt;""),ABS(I1273)+ROW()/1000000000,0)</f>
        <v/>
      </c>
    </row>
    <row r="1274">
      <c r="A1274">
        <f>Data_thang!A1274</f>
        <v/>
      </c>
      <c r="B1274">
        <f>Data_thang!B1274</f>
        <v/>
      </c>
      <c r="C1274">
        <f>Data_thang!D1274</f>
        <v/>
      </c>
      <c r="D1274">
        <f>Data_thang!E1274</f>
        <v/>
      </c>
      <c r="E1274">
        <f>Data_thang!F1274</f>
        <v/>
      </c>
      <c r="F1274">
        <f>Data_thang!G1274</f>
        <v/>
      </c>
      <c r="G1274" s="29">
        <f>Data_thang!J1274-Data_thang!K1274</f>
        <v/>
      </c>
      <c r="H1274" s="29">
        <f>Data_thang!N1274</f>
        <v/>
      </c>
      <c r="I1274" s="29">
        <f>H1274-G1274</f>
        <v/>
      </c>
      <c r="J1274" s="30">
        <f>IF(H1274=0,IF(I1274=0,0,1),I1274/ABS(H1274))</f>
        <v/>
      </c>
      <c r="K1274" s="29">
        <f>H1274-(Data_thang!O1274-Data_thang!K1274)</f>
        <v/>
      </c>
      <c r="L1274">
        <f>IF(AND(ABS(I1274)&gt;Dashboard!$G$6,ABS(J1274)&gt;Dashboard!$H$6),"⚠ Vượt","")</f>
        <v/>
      </c>
      <c r="M1274">
        <f>IF(AND(A1274=Dashboard!$D$6,OR(Dashboard!$C$6="*",F1274=Dashboard!$C$6),L1274&lt;&gt;""),ABS(I1274)+ROW()/1000000000,0)</f>
        <v/>
      </c>
    </row>
    <row r="1275">
      <c r="A1275">
        <f>Data_thang!A1275</f>
        <v/>
      </c>
      <c r="B1275">
        <f>Data_thang!B1275</f>
        <v/>
      </c>
      <c r="C1275">
        <f>Data_thang!D1275</f>
        <v/>
      </c>
      <c r="D1275">
        <f>Data_thang!E1275</f>
        <v/>
      </c>
      <c r="E1275">
        <f>Data_thang!F1275</f>
        <v/>
      </c>
      <c r="F1275">
        <f>Data_thang!G1275</f>
        <v/>
      </c>
      <c r="G1275" s="29">
        <f>Data_thang!J1275-Data_thang!K1275</f>
        <v/>
      </c>
      <c r="H1275" s="29">
        <f>Data_thang!N1275</f>
        <v/>
      </c>
      <c r="I1275" s="29">
        <f>H1275-G1275</f>
        <v/>
      </c>
      <c r="J1275" s="30">
        <f>IF(H1275=0,IF(I1275=0,0,1),I1275/ABS(H1275))</f>
        <v/>
      </c>
      <c r="K1275" s="29">
        <f>H1275-(Data_thang!O1275-Data_thang!K1275)</f>
        <v/>
      </c>
      <c r="L1275">
        <f>IF(AND(ABS(I1275)&gt;Dashboard!$G$6,ABS(J1275)&gt;Dashboard!$H$6),"⚠ Vượt","")</f>
        <v/>
      </c>
      <c r="M1275">
        <f>IF(AND(A1275=Dashboard!$D$6,OR(Dashboard!$C$6="*",F1275=Dashboard!$C$6),L1275&lt;&gt;""),ABS(I1275)+ROW()/1000000000,0)</f>
        <v/>
      </c>
    </row>
    <row r="1276">
      <c r="A1276">
        <f>Data_thang!A1276</f>
        <v/>
      </c>
      <c r="B1276">
        <f>Data_thang!B1276</f>
        <v/>
      </c>
      <c r="C1276">
        <f>Data_thang!D1276</f>
        <v/>
      </c>
      <c r="D1276">
        <f>Data_thang!E1276</f>
        <v/>
      </c>
      <c r="E1276">
        <f>Data_thang!F1276</f>
        <v/>
      </c>
      <c r="F1276">
        <f>Data_thang!G1276</f>
        <v/>
      </c>
      <c r="G1276" s="29">
        <f>Data_thang!J1276-Data_thang!K1276</f>
        <v/>
      </c>
      <c r="H1276" s="29">
        <f>Data_thang!N1276</f>
        <v/>
      </c>
      <c r="I1276" s="29">
        <f>H1276-G1276</f>
        <v/>
      </c>
      <c r="J1276" s="30">
        <f>IF(H1276=0,IF(I1276=0,0,1),I1276/ABS(H1276))</f>
        <v/>
      </c>
      <c r="K1276" s="29">
        <f>H1276-(Data_thang!O1276-Data_thang!K1276)</f>
        <v/>
      </c>
      <c r="L1276">
        <f>IF(AND(ABS(I1276)&gt;Dashboard!$G$6,ABS(J1276)&gt;Dashboard!$H$6),"⚠ Vượt","")</f>
        <v/>
      </c>
      <c r="M1276">
        <f>IF(AND(A1276=Dashboard!$D$6,OR(Dashboard!$C$6="*",F1276=Dashboard!$C$6),L1276&lt;&gt;""),ABS(I1276)+ROW()/1000000000,0)</f>
        <v/>
      </c>
    </row>
    <row r="1277">
      <c r="A1277">
        <f>Data_thang!A1277</f>
        <v/>
      </c>
      <c r="B1277">
        <f>Data_thang!B1277</f>
        <v/>
      </c>
      <c r="C1277">
        <f>Data_thang!D1277</f>
        <v/>
      </c>
      <c r="D1277">
        <f>Data_thang!E1277</f>
        <v/>
      </c>
      <c r="E1277">
        <f>Data_thang!F1277</f>
        <v/>
      </c>
      <c r="F1277">
        <f>Data_thang!G1277</f>
        <v/>
      </c>
      <c r="G1277" s="29">
        <f>Data_thang!J1277-Data_thang!K1277</f>
        <v/>
      </c>
      <c r="H1277" s="29">
        <f>Data_thang!N1277</f>
        <v/>
      </c>
      <c r="I1277" s="29">
        <f>H1277-G1277</f>
        <v/>
      </c>
      <c r="J1277" s="30">
        <f>IF(H1277=0,IF(I1277=0,0,1),I1277/ABS(H1277))</f>
        <v/>
      </c>
      <c r="K1277" s="29">
        <f>H1277-(Data_thang!O1277-Data_thang!K1277)</f>
        <v/>
      </c>
      <c r="L1277">
        <f>IF(AND(ABS(I1277)&gt;Dashboard!$G$6,ABS(J1277)&gt;Dashboard!$H$6),"⚠ Vượt","")</f>
        <v/>
      </c>
      <c r="M1277">
        <f>IF(AND(A1277=Dashboard!$D$6,OR(Dashboard!$C$6="*",F1277=Dashboard!$C$6),L1277&lt;&gt;""),ABS(I1277)+ROW()/1000000000,0)</f>
        <v/>
      </c>
    </row>
    <row r="1278">
      <c r="A1278">
        <f>Data_thang!A1278</f>
        <v/>
      </c>
      <c r="B1278">
        <f>Data_thang!B1278</f>
        <v/>
      </c>
      <c r="C1278">
        <f>Data_thang!D1278</f>
        <v/>
      </c>
      <c r="D1278">
        <f>Data_thang!E1278</f>
        <v/>
      </c>
      <c r="E1278">
        <f>Data_thang!F1278</f>
        <v/>
      </c>
      <c r="F1278">
        <f>Data_thang!G1278</f>
        <v/>
      </c>
      <c r="G1278" s="29">
        <f>Data_thang!J1278-Data_thang!K1278</f>
        <v/>
      </c>
      <c r="H1278" s="29">
        <f>Data_thang!N1278</f>
        <v/>
      </c>
      <c r="I1278" s="29">
        <f>H1278-G1278</f>
        <v/>
      </c>
      <c r="J1278" s="30">
        <f>IF(H1278=0,IF(I1278=0,0,1),I1278/ABS(H1278))</f>
        <v/>
      </c>
      <c r="K1278" s="29">
        <f>H1278-(Data_thang!O1278-Data_thang!K1278)</f>
        <v/>
      </c>
      <c r="L1278">
        <f>IF(AND(ABS(I1278)&gt;Dashboard!$G$6,ABS(J1278)&gt;Dashboard!$H$6),"⚠ Vượt","")</f>
        <v/>
      </c>
      <c r="M1278">
        <f>IF(AND(A1278=Dashboard!$D$6,OR(Dashboard!$C$6="*",F1278=Dashboard!$C$6),L1278&lt;&gt;""),ABS(I1278)+ROW()/1000000000,0)</f>
        <v/>
      </c>
    </row>
    <row r="1279">
      <c r="A1279">
        <f>Data_thang!A1279</f>
        <v/>
      </c>
      <c r="B1279">
        <f>Data_thang!B1279</f>
        <v/>
      </c>
      <c r="C1279">
        <f>Data_thang!D1279</f>
        <v/>
      </c>
      <c r="D1279">
        <f>Data_thang!E1279</f>
        <v/>
      </c>
      <c r="E1279">
        <f>Data_thang!F1279</f>
        <v/>
      </c>
      <c r="F1279">
        <f>Data_thang!G1279</f>
        <v/>
      </c>
      <c r="G1279" s="29">
        <f>Data_thang!J1279-Data_thang!K1279</f>
        <v/>
      </c>
      <c r="H1279" s="29">
        <f>Data_thang!N1279</f>
        <v/>
      </c>
      <c r="I1279" s="29">
        <f>H1279-G1279</f>
        <v/>
      </c>
      <c r="J1279" s="30">
        <f>IF(H1279=0,IF(I1279=0,0,1),I1279/ABS(H1279))</f>
        <v/>
      </c>
      <c r="K1279" s="29">
        <f>H1279-(Data_thang!O1279-Data_thang!K1279)</f>
        <v/>
      </c>
      <c r="L1279">
        <f>IF(AND(ABS(I1279)&gt;Dashboard!$G$6,ABS(J1279)&gt;Dashboard!$H$6),"⚠ Vượt","")</f>
        <v/>
      </c>
      <c r="M1279">
        <f>IF(AND(A1279=Dashboard!$D$6,OR(Dashboard!$C$6="*",F1279=Dashboard!$C$6),L1279&lt;&gt;""),ABS(I1279)+ROW()/1000000000,0)</f>
        <v/>
      </c>
    </row>
    <row r="1280">
      <c r="A1280">
        <f>Data_thang!A1280</f>
        <v/>
      </c>
      <c r="B1280">
        <f>Data_thang!B1280</f>
        <v/>
      </c>
      <c r="C1280">
        <f>Data_thang!D1280</f>
        <v/>
      </c>
      <c r="D1280">
        <f>Data_thang!E1280</f>
        <v/>
      </c>
      <c r="E1280">
        <f>Data_thang!F1280</f>
        <v/>
      </c>
      <c r="F1280">
        <f>Data_thang!G1280</f>
        <v/>
      </c>
      <c r="G1280" s="29">
        <f>Data_thang!J1280-Data_thang!K1280</f>
        <v/>
      </c>
      <c r="H1280" s="29">
        <f>Data_thang!N1280</f>
        <v/>
      </c>
      <c r="I1280" s="29">
        <f>H1280-G1280</f>
        <v/>
      </c>
      <c r="J1280" s="30">
        <f>IF(H1280=0,IF(I1280=0,0,1),I1280/ABS(H1280))</f>
        <v/>
      </c>
      <c r="K1280" s="29">
        <f>H1280-(Data_thang!O1280-Data_thang!K1280)</f>
        <v/>
      </c>
      <c r="L1280">
        <f>IF(AND(ABS(I1280)&gt;Dashboard!$G$6,ABS(J1280)&gt;Dashboard!$H$6),"⚠ Vượt","")</f>
        <v/>
      </c>
      <c r="M1280">
        <f>IF(AND(A1280=Dashboard!$D$6,OR(Dashboard!$C$6="*",F1280=Dashboard!$C$6),L1280&lt;&gt;""),ABS(I1280)+ROW()/1000000000,0)</f>
        <v/>
      </c>
    </row>
    <row r="1281">
      <c r="A1281">
        <f>Data_thang!A1281</f>
        <v/>
      </c>
      <c r="B1281">
        <f>Data_thang!B1281</f>
        <v/>
      </c>
      <c r="C1281">
        <f>Data_thang!D1281</f>
        <v/>
      </c>
      <c r="D1281">
        <f>Data_thang!E1281</f>
        <v/>
      </c>
      <c r="E1281">
        <f>Data_thang!F1281</f>
        <v/>
      </c>
      <c r="F1281">
        <f>Data_thang!G1281</f>
        <v/>
      </c>
      <c r="G1281" s="29">
        <f>Data_thang!J1281-Data_thang!K1281</f>
        <v/>
      </c>
      <c r="H1281" s="29">
        <f>Data_thang!N1281</f>
        <v/>
      </c>
      <c r="I1281" s="29">
        <f>H1281-G1281</f>
        <v/>
      </c>
      <c r="J1281" s="30">
        <f>IF(H1281=0,IF(I1281=0,0,1),I1281/ABS(H1281))</f>
        <v/>
      </c>
      <c r="K1281" s="29">
        <f>H1281-(Data_thang!O1281-Data_thang!K1281)</f>
        <v/>
      </c>
      <c r="L1281">
        <f>IF(AND(ABS(I1281)&gt;Dashboard!$G$6,ABS(J1281)&gt;Dashboard!$H$6),"⚠ Vượt","")</f>
        <v/>
      </c>
      <c r="M1281">
        <f>IF(AND(A1281=Dashboard!$D$6,OR(Dashboard!$C$6="*",F1281=Dashboard!$C$6),L1281&lt;&gt;""),ABS(I1281)+ROW()/1000000000,0)</f>
        <v/>
      </c>
    </row>
    <row r="1282">
      <c r="A1282">
        <f>Data_thang!A1282</f>
        <v/>
      </c>
      <c r="B1282">
        <f>Data_thang!B1282</f>
        <v/>
      </c>
      <c r="C1282">
        <f>Data_thang!D1282</f>
        <v/>
      </c>
      <c r="D1282">
        <f>Data_thang!E1282</f>
        <v/>
      </c>
      <c r="E1282">
        <f>Data_thang!F1282</f>
        <v/>
      </c>
      <c r="F1282">
        <f>Data_thang!G1282</f>
        <v/>
      </c>
      <c r="G1282" s="29">
        <f>Data_thang!J1282-Data_thang!K1282</f>
        <v/>
      </c>
      <c r="H1282" s="29">
        <f>Data_thang!N1282</f>
        <v/>
      </c>
      <c r="I1282" s="29">
        <f>H1282-G1282</f>
        <v/>
      </c>
      <c r="J1282" s="30">
        <f>IF(H1282=0,IF(I1282=0,0,1),I1282/ABS(H1282))</f>
        <v/>
      </c>
      <c r="K1282" s="29">
        <f>H1282-(Data_thang!O1282-Data_thang!K1282)</f>
        <v/>
      </c>
      <c r="L1282">
        <f>IF(AND(ABS(I1282)&gt;Dashboard!$G$6,ABS(J1282)&gt;Dashboard!$H$6),"⚠ Vượt","")</f>
        <v/>
      </c>
      <c r="M1282">
        <f>IF(AND(A1282=Dashboard!$D$6,OR(Dashboard!$C$6="*",F1282=Dashboard!$C$6),L1282&lt;&gt;""),ABS(I1282)+ROW()/1000000000,0)</f>
        <v/>
      </c>
    </row>
    <row r="1283">
      <c r="A1283">
        <f>Data_thang!A1283</f>
        <v/>
      </c>
      <c r="B1283">
        <f>Data_thang!B1283</f>
        <v/>
      </c>
      <c r="C1283">
        <f>Data_thang!D1283</f>
        <v/>
      </c>
      <c r="D1283">
        <f>Data_thang!E1283</f>
        <v/>
      </c>
      <c r="E1283">
        <f>Data_thang!F1283</f>
        <v/>
      </c>
      <c r="F1283">
        <f>Data_thang!G1283</f>
        <v/>
      </c>
      <c r="G1283" s="29">
        <f>Data_thang!J1283-Data_thang!K1283</f>
        <v/>
      </c>
      <c r="H1283" s="29">
        <f>Data_thang!N1283</f>
        <v/>
      </c>
      <c r="I1283" s="29">
        <f>H1283-G1283</f>
        <v/>
      </c>
      <c r="J1283" s="30">
        <f>IF(H1283=0,IF(I1283=0,0,1),I1283/ABS(H1283))</f>
        <v/>
      </c>
      <c r="K1283" s="29">
        <f>H1283-(Data_thang!O1283-Data_thang!K1283)</f>
        <v/>
      </c>
      <c r="L1283">
        <f>IF(AND(ABS(I1283)&gt;Dashboard!$G$6,ABS(J1283)&gt;Dashboard!$H$6),"⚠ Vượt","")</f>
        <v/>
      </c>
      <c r="M1283">
        <f>IF(AND(A1283=Dashboard!$D$6,OR(Dashboard!$C$6="*",F1283=Dashboard!$C$6),L1283&lt;&gt;""),ABS(I1283)+ROW()/1000000000,0)</f>
        <v/>
      </c>
    </row>
    <row r="1284">
      <c r="A1284">
        <f>Data_thang!A1284</f>
        <v/>
      </c>
      <c r="B1284">
        <f>Data_thang!B1284</f>
        <v/>
      </c>
      <c r="C1284">
        <f>Data_thang!D1284</f>
        <v/>
      </c>
      <c r="D1284">
        <f>Data_thang!E1284</f>
        <v/>
      </c>
      <c r="E1284">
        <f>Data_thang!F1284</f>
        <v/>
      </c>
      <c r="F1284">
        <f>Data_thang!G1284</f>
        <v/>
      </c>
      <c r="G1284" s="29">
        <f>Data_thang!J1284-Data_thang!K1284</f>
        <v/>
      </c>
      <c r="H1284" s="29">
        <f>Data_thang!N1284</f>
        <v/>
      </c>
      <c r="I1284" s="29">
        <f>H1284-G1284</f>
        <v/>
      </c>
      <c r="J1284" s="30">
        <f>IF(H1284=0,IF(I1284=0,0,1),I1284/ABS(H1284))</f>
        <v/>
      </c>
      <c r="K1284" s="29">
        <f>H1284-(Data_thang!O1284-Data_thang!K1284)</f>
        <v/>
      </c>
      <c r="L1284">
        <f>IF(AND(ABS(I1284)&gt;Dashboard!$G$6,ABS(J1284)&gt;Dashboard!$H$6),"⚠ Vượt","")</f>
        <v/>
      </c>
      <c r="M1284">
        <f>IF(AND(A1284=Dashboard!$D$6,OR(Dashboard!$C$6="*",F1284=Dashboard!$C$6),L1284&lt;&gt;""),ABS(I1284)+ROW()/1000000000,0)</f>
        <v/>
      </c>
    </row>
    <row r="1285">
      <c r="A1285">
        <f>Data_thang!A1285</f>
        <v/>
      </c>
      <c r="B1285">
        <f>Data_thang!B1285</f>
        <v/>
      </c>
      <c r="C1285">
        <f>Data_thang!D1285</f>
        <v/>
      </c>
      <c r="D1285">
        <f>Data_thang!E1285</f>
        <v/>
      </c>
      <c r="E1285">
        <f>Data_thang!F1285</f>
        <v/>
      </c>
      <c r="F1285">
        <f>Data_thang!G1285</f>
        <v/>
      </c>
      <c r="G1285" s="29">
        <f>Data_thang!J1285-Data_thang!K1285</f>
        <v/>
      </c>
      <c r="H1285" s="29">
        <f>Data_thang!N1285</f>
        <v/>
      </c>
      <c r="I1285" s="29">
        <f>H1285-G1285</f>
        <v/>
      </c>
      <c r="J1285" s="30">
        <f>IF(H1285=0,IF(I1285=0,0,1),I1285/ABS(H1285))</f>
        <v/>
      </c>
      <c r="K1285" s="29">
        <f>H1285-(Data_thang!O1285-Data_thang!K1285)</f>
        <v/>
      </c>
      <c r="L1285">
        <f>IF(AND(ABS(I1285)&gt;Dashboard!$G$6,ABS(J1285)&gt;Dashboard!$H$6),"⚠ Vượt","")</f>
        <v/>
      </c>
      <c r="M1285">
        <f>IF(AND(A1285=Dashboard!$D$6,OR(Dashboard!$C$6="*",F1285=Dashboard!$C$6),L1285&lt;&gt;""),ABS(I1285)+ROW()/1000000000,0)</f>
        <v/>
      </c>
    </row>
    <row r="1286">
      <c r="A1286">
        <f>Data_thang!A1286</f>
        <v/>
      </c>
      <c r="B1286">
        <f>Data_thang!B1286</f>
        <v/>
      </c>
      <c r="C1286">
        <f>Data_thang!D1286</f>
        <v/>
      </c>
      <c r="D1286">
        <f>Data_thang!E1286</f>
        <v/>
      </c>
      <c r="E1286">
        <f>Data_thang!F1286</f>
        <v/>
      </c>
      <c r="F1286">
        <f>Data_thang!G1286</f>
        <v/>
      </c>
      <c r="G1286" s="29">
        <f>Data_thang!J1286-Data_thang!K1286</f>
        <v/>
      </c>
      <c r="H1286" s="29">
        <f>Data_thang!N1286</f>
        <v/>
      </c>
      <c r="I1286" s="29">
        <f>H1286-G1286</f>
        <v/>
      </c>
      <c r="J1286" s="30">
        <f>IF(H1286=0,IF(I1286=0,0,1),I1286/ABS(H1286))</f>
        <v/>
      </c>
      <c r="K1286" s="29">
        <f>H1286-(Data_thang!O1286-Data_thang!K1286)</f>
        <v/>
      </c>
      <c r="L1286">
        <f>IF(AND(ABS(I1286)&gt;Dashboard!$G$6,ABS(J1286)&gt;Dashboard!$H$6),"⚠ Vượt","")</f>
        <v/>
      </c>
      <c r="M1286">
        <f>IF(AND(A1286=Dashboard!$D$6,OR(Dashboard!$C$6="*",F1286=Dashboard!$C$6),L1286&lt;&gt;""),ABS(I1286)+ROW()/1000000000,0)</f>
        <v/>
      </c>
    </row>
    <row r="1287">
      <c r="A1287">
        <f>Data_thang!A1287</f>
        <v/>
      </c>
      <c r="B1287">
        <f>Data_thang!B1287</f>
        <v/>
      </c>
      <c r="C1287">
        <f>Data_thang!D1287</f>
        <v/>
      </c>
      <c r="D1287">
        <f>Data_thang!E1287</f>
        <v/>
      </c>
      <c r="E1287">
        <f>Data_thang!F1287</f>
        <v/>
      </c>
      <c r="F1287">
        <f>Data_thang!G1287</f>
        <v/>
      </c>
      <c r="G1287" s="29">
        <f>Data_thang!J1287-Data_thang!K1287</f>
        <v/>
      </c>
      <c r="H1287" s="29">
        <f>Data_thang!N1287</f>
        <v/>
      </c>
      <c r="I1287" s="29">
        <f>H1287-G1287</f>
        <v/>
      </c>
      <c r="J1287" s="30">
        <f>IF(H1287=0,IF(I1287=0,0,1),I1287/ABS(H1287))</f>
        <v/>
      </c>
      <c r="K1287" s="29">
        <f>H1287-(Data_thang!O1287-Data_thang!K1287)</f>
        <v/>
      </c>
      <c r="L1287">
        <f>IF(AND(ABS(I1287)&gt;Dashboard!$G$6,ABS(J1287)&gt;Dashboard!$H$6),"⚠ Vượt","")</f>
        <v/>
      </c>
      <c r="M1287">
        <f>IF(AND(A1287=Dashboard!$D$6,OR(Dashboard!$C$6="*",F1287=Dashboard!$C$6),L1287&lt;&gt;""),ABS(I1287)+ROW()/1000000000,0)</f>
        <v/>
      </c>
    </row>
    <row r="1288">
      <c r="A1288">
        <f>Data_thang!A1288</f>
        <v/>
      </c>
      <c r="B1288">
        <f>Data_thang!B1288</f>
        <v/>
      </c>
      <c r="C1288">
        <f>Data_thang!D1288</f>
        <v/>
      </c>
      <c r="D1288">
        <f>Data_thang!E1288</f>
        <v/>
      </c>
      <c r="E1288">
        <f>Data_thang!F1288</f>
        <v/>
      </c>
      <c r="F1288">
        <f>Data_thang!G1288</f>
        <v/>
      </c>
      <c r="G1288" s="29">
        <f>Data_thang!J1288-Data_thang!K1288</f>
        <v/>
      </c>
      <c r="H1288" s="29">
        <f>Data_thang!N1288</f>
        <v/>
      </c>
      <c r="I1288" s="29">
        <f>H1288-G1288</f>
        <v/>
      </c>
      <c r="J1288" s="30">
        <f>IF(H1288=0,IF(I1288=0,0,1),I1288/ABS(H1288))</f>
        <v/>
      </c>
      <c r="K1288" s="29">
        <f>H1288-(Data_thang!O1288-Data_thang!K1288)</f>
        <v/>
      </c>
      <c r="L1288">
        <f>IF(AND(ABS(I1288)&gt;Dashboard!$G$6,ABS(J1288)&gt;Dashboard!$H$6),"⚠ Vượt","")</f>
        <v/>
      </c>
      <c r="M1288">
        <f>IF(AND(A1288=Dashboard!$D$6,OR(Dashboard!$C$6="*",F1288=Dashboard!$C$6),L1288&lt;&gt;""),ABS(I1288)+ROW()/1000000000,0)</f>
        <v/>
      </c>
    </row>
    <row r="1289">
      <c r="A1289">
        <f>Data_thang!A1289</f>
        <v/>
      </c>
      <c r="B1289">
        <f>Data_thang!B1289</f>
        <v/>
      </c>
      <c r="C1289">
        <f>Data_thang!D1289</f>
        <v/>
      </c>
      <c r="D1289">
        <f>Data_thang!E1289</f>
        <v/>
      </c>
      <c r="E1289">
        <f>Data_thang!F1289</f>
        <v/>
      </c>
      <c r="F1289">
        <f>Data_thang!G1289</f>
        <v/>
      </c>
      <c r="G1289" s="29">
        <f>Data_thang!J1289-Data_thang!K1289</f>
        <v/>
      </c>
      <c r="H1289" s="29">
        <f>Data_thang!N1289</f>
        <v/>
      </c>
      <c r="I1289" s="29">
        <f>H1289-G1289</f>
        <v/>
      </c>
      <c r="J1289" s="30">
        <f>IF(H1289=0,IF(I1289=0,0,1),I1289/ABS(H1289))</f>
        <v/>
      </c>
      <c r="K1289" s="29">
        <f>H1289-(Data_thang!O1289-Data_thang!K1289)</f>
        <v/>
      </c>
      <c r="L1289">
        <f>IF(AND(ABS(I1289)&gt;Dashboard!$G$6,ABS(J1289)&gt;Dashboard!$H$6),"⚠ Vượt","")</f>
        <v/>
      </c>
      <c r="M1289">
        <f>IF(AND(A1289=Dashboard!$D$6,OR(Dashboard!$C$6="*",F1289=Dashboard!$C$6),L1289&lt;&gt;""),ABS(I1289)+ROW()/1000000000,0)</f>
        <v/>
      </c>
    </row>
    <row r="1290">
      <c r="A1290">
        <f>Data_thang!A1290</f>
        <v/>
      </c>
      <c r="B1290">
        <f>Data_thang!B1290</f>
        <v/>
      </c>
      <c r="C1290">
        <f>Data_thang!D1290</f>
        <v/>
      </c>
      <c r="D1290">
        <f>Data_thang!E1290</f>
        <v/>
      </c>
      <c r="E1290">
        <f>Data_thang!F1290</f>
        <v/>
      </c>
      <c r="F1290">
        <f>Data_thang!G1290</f>
        <v/>
      </c>
      <c r="G1290" s="29">
        <f>Data_thang!J1290-Data_thang!K1290</f>
        <v/>
      </c>
      <c r="H1290" s="29">
        <f>Data_thang!N1290</f>
        <v/>
      </c>
      <c r="I1290" s="29">
        <f>H1290-G1290</f>
        <v/>
      </c>
      <c r="J1290" s="30">
        <f>IF(H1290=0,IF(I1290=0,0,1),I1290/ABS(H1290))</f>
        <v/>
      </c>
      <c r="K1290" s="29">
        <f>H1290-(Data_thang!O1290-Data_thang!K1290)</f>
        <v/>
      </c>
      <c r="L1290">
        <f>IF(AND(ABS(I1290)&gt;Dashboard!$G$6,ABS(J1290)&gt;Dashboard!$H$6),"⚠ Vượt","")</f>
        <v/>
      </c>
      <c r="M1290">
        <f>IF(AND(A1290=Dashboard!$D$6,OR(Dashboard!$C$6="*",F1290=Dashboard!$C$6),L1290&lt;&gt;""),ABS(I1290)+ROW()/1000000000,0)</f>
        <v/>
      </c>
    </row>
    <row r="1291">
      <c r="A1291">
        <f>Data_thang!A1291</f>
        <v/>
      </c>
      <c r="B1291">
        <f>Data_thang!B1291</f>
        <v/>
      </c>
      <c r="C1291">
        <f>Data_thang!D1291</f>
        <v/>
      </c>
      <c r="D1291">
        <f>Data_thang!E1291</f>
        <v/>
      </c>
      <c r="E1291">
        <f>Data_thang!F1291</f>
        <v/>
      </c>
      <c r="F1291">
        <f>Data_thang!G1291</f>
        <v/>
      </c>
      <c r="G1291" s="29">
        <f>Data_thang!J1291-Data_thang!K1291</f>
        <v/>
      </c>
      <c r="H1291" s="29">
        <f>Data_thang!N1291</f>
        <v/>
      </c>
      <c r="I1291" s="29">
        <f>H1291-G1291</f>
        <v/>
      </c>
      <c r="J1291" s="30">
        <f>IF(H1291=0,IF(I1291=0,0,1),I1291/ABS(H1291))</f>
        <v/>
      </c>
      <c r="K1291" s="29">
        <f>H1291-(Data_thang!O1291-Data_thang!K1291)</f>
        <v/>
      </c>
      <c r="L1291">
        <f>IF(AND(ABS(I1291)&gt;Dashboard!$G$6,ABS(J1291)&gt;Dashboard!$H$6),"⚠ Vượt","")</f>
        <v/>
      </c>
      <c r="M1291">
        <f>IF(AND(A1291=Dashboard!$D$6,OR(Dashboard!$C$6="*",F1291=Dashboard!$C$6),L1291&lt;&gt;""),ABS(I1291)+ROW()/1000000000,0)</f>
        <v/>
      </c>
    </row>
    <row r="1292">
      <c r="A1292">
        <f>Data_thang!A1292</f>
        <v/>
      </c>
      <c r="B1292">
        <f>Data_thang!B1292</f>
        <v/>
      </c>
      <c r="C1292">
        <f>Data_thang!D1292</f>
        <v/>
      </c>
      <c r="D1292">
        <f>Data_thang!E1292</f>
        <v/>
      </c>
      <c r="E1292">
        <f>Data_thang!F1292</f>
        <v/>
      </c>
      <c r="F1292">
        <f>Data_thang!G1292</f>
        <v/>
      </c>
      <c r="G1292" s="29">
        <f>Data_thang!J1292-Data_thang!K1292</f>
        <v/>
      </c>
      <c r="H1292" s="29">
        <f>Data_thang!N1292</f>
        <v/>
      </c>
      <c r="I1292" s="29">
        <f>H1292-G1292</f>
        <v/>
      </c>
      <c r="J1292" s="30">
        <f>IF(H1292=0,IF(I1292=0,0,1),I1292/ABS(H1292))</f>
        <v/>
      </c>
      <c r="K1292" s="29">
        <f>H1292-(Data_thang!O1292-Data_thang!K1292)</f>
        <v/>
      </c>
      <c r="L1292">
        <f>IF(AND(ABS(I1292)&gt;Dashboard!$G$6,ABS(J1292)&gt;Dashboard!$H$6),"⚠ Vượt","")</f>
        <v/>
      </c>
      <c r="M1292">
        <f>IF(AND(A1292=Dashboard!$D$6,OR(Dashboard!$C$6="*",F1292=Dashboard!$C$6),L1292&lt;&gt;""),ABS(I1292)+ROW()/1000000000,0)</f>
        <v/>
      </c>
    </row>
    <row r="1293">
      <c r="A1293">
        <f>Data_thang!A1293</f>
        <v/>
      </c>
      <c r="B1293">
        <f>Data_thang!B1293</f>
        <v/>
      </c>
      <c r="C1293">
        <f>Data_thang!D1293</f>
        <v/>
      </c>
      <c r="D1293">
        <f>Data_thang!E1293</f>
        <v/>
      </c>
      <c r="E1293">
        <f>Data_thang!F1293</f>
        <v/>
      </c>
      <c r="F1293">
        <f>Data_thang!G1293</f>
        <v/>
      </c>
      <c r="G1293" s="29">
        <f>Data_thang!J1293-Data_thang!K1293</f>
        <v/>
      </c>
      <c r="H1293" s="29">
        <f>Data_thang!N1293</f>
        <v/>
      </c>
      <c r="I1293" s="29">
        <f>H1293-G1293</f>
        <v/>
      </c>
      <c r="J1293" s="30">
        <f>IF(H1293=0,IF(I1293=0,0,1),I1293/ABS(H1293))</f>
        <v/>
      </c>
      <c r="K1293" s="29">
        <f>H1293-(Data_thang!O1293-Data_thang!K1293)</f>
        <v/>
      </c>
      <c r="L1293">
        <f>IF(AND(ABS(I1293)&gt;Dashboard!$G$6,ABS(J1293)&gt;Dashboard!$H$6),"⚠ Vượt","")</f>
        <v/>
      </c>
      <c r="M1293">
        <f>IF(AND(A1293=Dashboard!$D$6,OR(Dashboard!$C$6="*",F1293=Dashboard!$C$6),L1293&lt;&gt;""),ABS(I1293)+ROW()/1000000000,0)</f>
        <v/>
      </c>
    </row>
    <row r="1294">
      <c r="A1294">
        <f>Data_thang!A1294</f>
        <v/>
      </c>
      <c r="B1294">
        <f>Data_thang!B1294</f>
        <v/>
      </c>
      <c r="C1294">
        <f>Data_thang!D1294</f>
        <v/>
      </c>
      <c r="D1294">
        <f>Data_thang!E1294</f>
        <v/>
      </c>
      <c r="E1294">
        <f>Data_thang!F1294</f>
        <v/>
      </c>
      <c r="F1294">
        <f>Data_thang!G1294</f>
        <v/>
      </c>
      <c r="G1294" s="29">
        <f>Data_thang!J1294-Data_thang!K1294</f>
        <v/>
      </c>
      <c r="H1294" s="29">
        <f>Data_thang!N1294</f>
        <v/>
      </c>
      <c r="I1294" s="29">
        <f>H1294-G1294</f>
        <v/>
      </c>
      <c r="J1294" s="30">
        <f>IF(H1294=0,IF(I1294=0,0,1),I1294/ABS(H1294))</f>
        <v/>
      </c>
      <c r="K1294" s="29">
        <f>H1294-(Data_thang!O1294-Data_thang!K1294)</f>
        <v/>
      </c>
      <c r="L1294">
        <f>IF(AND(ABS(I1294)&gt;Dashboard!$G$6,ABS(J1294)&gt;Dashboard!$H$6),"⚠ Vượt","")</f>
        <v/>
      </c>
      <c r="M1294">
        <f>IF(AND(A1294=Dashboard!$D$6,OR(Dashboard!$C$6="*",F1294=Dashboard!$C$6),L1294&lt;&gt;""),ABS(I1294)+ROW()/1000000000,0)</f>
        <v/>
      </c>
    </row>
    <row r="1295">
      <c r="A1295">
        <f>Data_thang!A1295</f>
        <v/>
      </c>
      <c r="B1295">
        <f>Data_thang!B1295</f>
        <v/>
      </c>
      <c r="C1295">
        <f>Data_thang!D1295</f>
        <v/>
      </c>
      <c r="D1295">
        <f>Data_thang!E1295</f>
        <v/>
      </c>
      <c r="E1295">
        <f>Data_thang!F1295</f>
        <v/>
      </c>
      <c r="F1295">
        <f>Data_thang!G1295</f>
        <v/>
      </c>
      <c r="G1295" s="29">
        <f>Data_thang!J1295-Data_thang!K1295</f>
        <v/>
      </c>
      <c r="H1295" s="29">
        <f>Data_thang!N1295</f>
        <v/>
      </c>
      <c r="I1295" s="29">
        <f>H1295-G1295</f>
        <v/>
      </c>
      <c r="J1295" s="30">
        <f>IF(H1295=0,IF(I1295=0,0,1),I1295/ABS(H1295))</f>
        <v/>
      </c>
      <c r="K1295" s="29">
        <f>H1295-(Data_thang!O1295-Data_thang!K1295)</f>
        <v/>
      </c>
      <c r="L1295">
        <f>IF(AND(ABS(I1295)&gt;Dashboard!$G$6,ABS(J1295)&gt;Dashboard!$H$6),"⚠ Vượt","")</f>
        <v/>
      </c>
      <c r="M1295">
        <f>IF(AND(A1295=Dashboard!$D$6,OR(Dashboard!$C$6="*",F1295=Dashboard!$C$6),L1295&lt;&gt;""),ABS(I1295)+ROW()/1000000000,0)</f>
        <v/>
      </c>
    </row>
    <row r="1296">
      <c r="A1296">
        <f>Data_thang!A1296</f>
        <v/>
      </c>
      <c r="B1296">
        <f>Data_thang!B1296</f>
        <v/>
      </c>
      <c r="C1296">
        <f>Data_thang!D1296</f>
        <v/>
      </c>
      <c r="D1296">
        <f>Data_thang!E1296</f>
        <v/>
      </c>
      <c r="E1296">
        <f>Data_thang!F1296</f>
        <v/>
      </c>
      <c r="F1296">
        <f>Data_thang!G1296</f>
        <v/>
      </c>
      <c r="G1296" s="29">
        <f>Data_thang!J1296-Data_thang!K1296</f>
        <v/>
      </c>
      <c r="H1296" s="29">
        <f>Data_thang!N1296</f>
        <v/>
      </c>
      <c r="I1296" s="29">
        <f>H1296-G1296</f>
        <v/>
      </c>
      <c r="J1296" s="30">
        <f>IF(H1296=0,IF(I1296=0,0,1),I1296/ABS(H1296))</f>
        <v/>
      </c>
      <c r="K1296" s="29">
        <f>H1296-(Data_thang!O1296-Data_thang!K1296)</f>
        <v/>
      </c>
      <c r="L1296">
        <f>IF(AND(ABS(I1296)&gt;Dashboard!$G$6,ABS(J1296)&gt;Dashboard!$H$6),"⚠ Vượt","")</f>
        <v/>
      </c>
      <c r="M1296">
        <f>IF(AND(A1296=Dashboard!$D$6,OR(Dashboard!$C$6="*",F1296=Dashboard!$C$6),L1296&lt;&gt;""),ABS(I1296)+ROW()/1000000000,0)</f>
        <v/>
      </c>
    </row>
    <row r="1297">
      <c r="A1297">
        <f>Data_thang!A1297</f>
        <v/>
      </c>
      <c r="B1297">
        <f>Data_thang!B1297</f>
        <v/>
      </c>
      <c r="C1297">
        <f>Data_thang!D1297</f>
        <v/>
      </c>
      <c r="D1297">
        <f>Data_thang!E1297</f>
        <v/>
      </c>
      <c r="E1297">
        <f>Data_thang!F1297</f>
        <v/>
      </c>
      <c r="F1297">
        <f>Data_thang!G1297</f>
        <v/>
      </c>
      <c r="G1297" s="29">
        <f>Data_thang!J1297-Data_thang!K1297</f>
        <v/>
      </c>
      <c r="H1297" s="29">
        <f>Data_thang!N1297</f>
        <v/>
      </c>
      <c r="I1297" s="29">
        <f>H1297-G1297</f>
        <v/>
      </c>
      <c r="J1297" s="30">
        <f>IF(H1297=0,IF(I1297=0,0,1),I1297/ABS(H1297))</f>
        <v/>
      </c>
      <c r="K1297" s="29">
        <f>H1297-(Data_thang!O1297-Data_thang!K1297)</f>
        <v/>
      </c>
      <c r="L1297">
        <f>IF(AND(ABS(I1297)&gt;Dashboard!$G$6,ABS(J1297)&gt;Dashboard!$H$6),"⚠ Vượt","")</f>
        <v/>
      </c>
      <c r="M1297">
        <f>IF(AND(A1297=Dashboard!$D$6,OR(Dashboard!$C$6="*",F1297=Dashboard!$C$6),L1297&lt;&gt;""),ABS(I1297)+ROW()/1000000000,0)</f>
        <v/>
      </c>
    </row>
    <row r="1298">
      <c r="A1298">
        <f>Data_thang!A1298</f>
        <v/>
      </c>
      <c r="B1298">
        <f>Data_thang!B1298</f>
        <v/>
      </c>
      <c r="C1298">
        <f>Data_thang!D1298</f>
        <v/>
      </c>
      <c r="D1298">
        <f>Data_thang!E1298</f>
        <v/>
      </c>
      <c r="E1298">
        <f>Data_thang!F1298</f>
        <v/>
      </c>
      <c r="F1298">
        <f>Data_thang!G1298</f>
        <v/>
      </c>
      <c r="G1298" s="29">
        <f>Data_thang!J1298-Data_thang!K1298</f>
        <v/>
      </c>
      <c r="H1298" s="29">
        <f>Data_thang!N1298</f>
        <v/>
      </c>
      <c r="I1298" s="29">
        <f>H1298-G1298</f>
        <v/>
      </c>
      <c r="J1298" s="30">
        <f>IF(H1298=0,IF(I1298=0,0,1),I1298/ABS(H1298))</f>
        <v/>
      </c>
      <c r="K1298" s="29">
        <f>H1298-(Data_thang!O1298-Data_thang!K1298)</f>
        <v/>
      </c>
      <c r="L1298">
        <f>IF(AND(ABS(I1298)&gt;Dashboard!$G$6,ABS(J1298)&gt;Dashboard!$H$6),"⚠ Vượt","")</f>
        <v/>
      </c>
      <c r="M1298">
        <f>IF(AND(A1298=Dashboard!$D$6,OR(Dashboard!$C$6="*",F1298=Dashboard!$C$6),L1298&lt;&gt;""),ABS(I1298)+ROW()/1000000000,0)</f>
        <v/>
      </c>
    </row>
    <row r="1299">
      <c r="A1299">
        <f>Data_thang!A1299</f>
        <v/>
      </c>
      <c r="B1299">
        <f>Data_thang!B1299</f>
        <v/>
      </c>
      <c r="C1299">
        <f>Data_thang!D1299</f>
        <v/>
      </c>
      <c r="D1299">
        <f>Data_thang!E1299</f>
        <v/>
      </c>
      <c r="E1299">
        <f>Data_thang!F1299</f>
        <v/>
      </c>
      <c r="F1299">
        <f>Data_thang!G1299</f>
        <v/>
      </c>
      <c r="G1299" s="29">
        <f>Data_thang!J1299-Data_thang!K1299</f>
        <v/>
      </c>
      <c r="H1299" s="29">
        <f>Data_thang!N1299</f>
        <v/>
      </c>
      <c r="I1299" s="29">
        <f>H1299-G1299</f>
        <v/>
      </c>
      <c r="J1299" s="30">
        <f>IF(H1299=0,IF(I1299=0,0,1),I1299/ABS(H1299))</f>
        <v/>
      </c>
      <c r="K1299" s="29">
        <f>H1299-(Data_thang!O1299-Data_thang!K1299)</f>
        <v/>
      </c>
      <c r="L1299">
        <f>IF(AND(ABS(I1299)&gt;Dashboard!$G$6,ABS(J1299)&gt;Dashboard!$H$6),"⚠ Vượt","")</f>
        <v/>
      </c>
      <c r="M1299">
        <f>IF(AND(A1299=Dashboard!$D$6,OR(Dashboard!$C$6="*",F1299=Dashboard!$C$6),L1299&lt;&gt;""),ABS(I1299)+ROW()/1000000000,0)</f>
        <v/>
      </c>
    </row>
    <row r="1300">
      <c r="A1300">
        <f>Data_thang!A1300</f>
        <v/>
      </c>
      <c r="B1300">
        <f>Data_thang!B1300</f>
        <v/>
      </c>
      <c r="C1300">
        <f>Data_thang!D1300</f>
        <v/>
      </c>
      <c r="D1300">
        <f>Data_thang!E1300</f>
        <v/>
      </c>
      <c r="E1300">
        <f>Data_thang!F1300</f>
        <v/>
      </c>
      <c r="F1300">
        <f>Data_thang!G1300</f>
        <v/>
      </c>
      <c r="G1300" s="29">
        <f>Data_thang!J1300-Data_thang!K1300</f>
        <v/>
      </c>
      <c r="H1300" s="29">
        <f>Data_thang!N1300</f>
        <v/>
      </c>
      <c r="I1300" s="29">
        <f>H1300-G1300</f>
        <v/>
      </c>
      <c r="J1300" s="30">
        <f>IF(H1300=0,IF(I1300=0,0,1),I1300/ABS(H1300))</f>
        <v/>
      </c>
      <c r="K1300" s="29">
        <f>H1300-(Data_thang!O1300-Data_thang!K1300)</f>
        <v/>
      </c>
      <c r="L1300">
        <f>IF(AND(ABS(I1300)&gt;Dashboard!$G$6,ABS(J1300)&gt;Dashboard!$H$6),"⚠ Vượt","")</f>
        <v/>
      </c>
      <c r="M1300">
        <f>IF(AND(A1300=Dashboard!$D$6,OR(Dashboard!$C$6="*",F1300=Dashboard!$C$6),L1300&lt;&gt;""),ABS(I1300)+ROW()/1000000000,0)</f>
        <v/>
      </c>
    </row>
    <row r="1301">
      <c r="A1301">
        <f>Data_thang!A1301</f>
        <v/>
      </c>
      <c r="B1301">
        <f>Data_thang!B1301</f>
        <v/>
      </c>
      <c r="C1301">
        <f>Data_thang!D1301</f>
        <v/>
      </c>
      <c r="D1301">
        <f>Data_thang!E1301</f>
        <v/>
      </c>
      <c r="E1301">
        <f>Data_thang!F1301</f>
        <v/>
      </c>
      <c r="F1301">
        <f>Data_thang!G1301</f>
        <v/>
      </c>
      <c r="G1301" s="29">
        <f>Data_thang!J1301-Data_thang!K1301</f>
        <v/>
      </c>
      <c r="H1301" s="29">
        <f>Data_thang!N1301</f>
        <v/>
      </c>
      <c r="I1301" s="29">
        <f>H1301-G1301</f>
        <v/>
      </c>
      <c r="J1301" s="30">
        <f>IF(H1301=0,IF(I1301=0,0,1),I1301/ABS(H1301))</f>
        <v/>
      </c>
      <c r="K1301" s="29">
        <f>H1301-(Data_thang!O1301-Data_thang!K1301)</f>
        <v/>
      </c>
      <c r="L1301">
        <f>IF(AND(ABS(I1301)&gt;Dashboard!$G$6,ABS(J1301)&gt;Dashboard!$H$6),"⚠ Vượt","")</f>
        <v/>
      </c>
      <c r="M1301">
        <f>IF(AND(A1301=Dashboard!$D$6,OR(Dashboard!$C$6="*",F1301=Dashboard!$C$6),L1301&lt;&gt;""),ABS(I1301)+ROW()/1000000000,0)</f>
        <v/>
      </c>
    </row>
    <row r="1302">
      <c r="A1302">
        <f>Data_thang!A1302</f>
        <v/>
      </c>
      <c r="B1302">
        <f>Data_thang!B1302</f>
        <v/>
      </c>
      <c r="C1302">
        <f>Data_thang!D1302</f>
        <v/>
      </c>
      <c r="D1302">
        <f>Data_thang!E1302</f>
        <v/>
      </c>
      <c r="E1302">
        <f>Data_thang!F1302</f>
        <v/>
      </c>
      <c r="F1302">
        <f>Data_thang!G1302</f>
        <v/>
      </c>
      <c r="G1302" s="29">
        <f>Data_thang!J1302-Data_thang!K1302</f>
        <v/>
      </c>
      <c r="H1302" s="29">
        <f>Data_thang!N1302</f>
        <v/>
      </c>
      <c r="I1302" s="29">
        <f>H1302-G1302</f>
        <v/>
      </c>
      <c r="J1302" s="30">
        <f>IF(H1302=0,IF(I1302=0,0,1),I1302/ABS(H1302))</f>
        <v/>
      </c>
      <c r="K1302" s="29">
        <f>H1302-(Data_thang!O1302-Data_thang!K1302)</f>
        <v/>
      </c>
      <c r="L1302">
        <f>IF(AND(ABS(I1302)&gt;Dashboard!$G$6,ABS(J1302)&gt;Dashboard!$H$6),"⚠ Vượt","")</f>
        <v/>
      </c>
      <c r="M1302">
        <f>IF(AND(A1302=Dashboard!$D$6,OR(Dashboard!$C$6="*",F1302=Dashboard!$C$6),L1302&lt;&gt;""),ABS(I1302)+ROW()/1000000000,0)</f>
        <v/>
      </c>
    </row>
    <row r="1303">
      <c r="A1303">
        <f>Data_thang!A1303</f>
        <v/>
      </c>
      <c r="B1303">
        <f>Data_thang!B1303</f>
        <v/>
      </c>
      <c r="C1303">
        <f>Data_thang!D1303</f>
        <v/>
      </c>
      <c r="D1303">
        <f>Data_thang!E1303</f>
        <v/>
      </c>
      <c r="E1303">
        <f>Data_thang!F1303</f>
        <v/>
      </c>
      <c r="F1303">
        <f>Data_thang!G1303</f>
        <v/>
      </c>
      <c r="G1303" s="29">
        <f>Data_thang!J1303-Data_thang!K1303</f>
        <v/>
      </c>
      <c r="H1303" s="29">
        <f>Data_thang!N1303</f>
        <v/>
      </c>
      <c r="I1303" s="29">
        <f>H1303-G1303</f>
        <v/>
      </c>
      <c r="J1303" s="30">
        <f>IF(H1303=0,IF(I1303=0,0,1),I1303/ABS(H1303))</f>
        <v/>
      </c>
      <c r="K1303" s="29">
        <f>H1303-(Data_thang!O1303-Data_thang!K1303)</f>
        <v/>
      </c>
      <c r="L1303">
        <f>IF(AND(ABS(I1303)&gt;Dashboard!$G$6,ABS(J1303)&gt;Dashboard!$H$6),"⚠ Vượt","")</f>
        <v/>
      </c>
      <c r="M1303">
        <f>IF(AND(A1303=Dashboard!$D$6,OR(Dashboard!$C$6="*",F1303=Dashboard!$C$6),L1303&lt;&gt;""),ABS(I1303)+ROW()/1000000000,0)</f>
        <v/>
      </c>
    </row>
    <row r="1304">
      <c r="A1304">
        <f>Data_thang!A1304</f>
        <v/>
      </c>
      <c r="B1304">
        <f>Data_thang!B1304</f>
        <v/>
      </c>
      <c r="C1304">
        <f>Data_thang!D1304</f>
        <v/>
      </c>
      <c r="D1304">
        <f>Data_thang!E1304</f>
        <v/>
      </c>
      <c r="E1304">
        <f>Data_thang!F1304</f>
        <v/>
      </c>
      <c r="F1304">
        <f>Data_thang!G1304</f>
        <v/>
      </c>
      <c r="G1304" s="29">
        <f>Data_thang!J1304-Data_thang!K1304</f>
        <v/>
      </c>
      <c r="H1304" s="29">
        <f>Data_thang!N1304</f>
        <v/>
      </c>
      <c r="I1304" s="29">
        <f>H1304-G1304</f>
        <v/>
      </c>
      <c r="J1304" s="30">
        <f>IF(H1304=0,IF(I1304=0,0,1),I1304/ABS(H1304))</f>
        <v/>
      </c>
      <c r="K1304" s="29">
        <f>H1304-(Data_thang!O1304-Data_thang!K1304)</f>
        <v/>
      </c>
      <c r="L1304">
        <f>IF(AND(ABS(I1304)&gt;Dashboard!$G$6,ABS(J1304)&gt;Dashboard!$H$6),"⚠ Vượt","")</f>
        <v/>
      </c>
      <c r="M1304">
        <f>IF(AND(A1304=Dashboard!$D$6,OR(Dashboard!$C$6="*",F1304=Dashboard!$C$6),L1304&lt;&gt;""),ABS(I1304)+ROW()/1000000000,0)</f>
        <v/>
      </c>
    </row>
    <row r="1305">
      <c r="A1305">
        <f>Data_thang!A1305</f>
        <v/>
      </c>
      <c r="B1305">
        <f>Data_thang!B1305</f>
        <v/>
      </c>
      <c r="C1305">
        <f>Data_thang!D1305</f>
        <v/>
      </c>
      <c r="D1305">
        <f>Data_thang!E1305</f>
        <v/>
      </c>
      <c r="E1305">
        <f>Data_thang!F1305</f>
        <v/>
      </c>
      <c r="F1305">
        <f>Data_thang!G1305</f>
        <v/>
      </c>
      <c r="G1305" s="29">
        <f>Data_thang!J1305-Data_thang!K1305</f>
        <v/>
      </c>
      <c r="H1305" s="29">
        <f>Data_thang!N1305</f>
        <v/>
      </c>
      <c r="I1305" s="29">
        <f>H1305-G1305</f>
        <v/>
      </c>
      <c r="J1305" s="30">
        <f>IF(H1305=0,IF(I1305=0,0,1),I1305/ABS(H1305))</f>
        <v/>
      </c>
      <c r="K1305" s="29">
        <f>H1305-(Data_thang!O1305-Data_thang!K1305)</f>
        <v/>
      </c>
      <c r="L1305">
        <f>IF(AND(ABS(I1305)&gt;Dashboard!$G$6,ABS(J1305)&gt;Dashboard!$H$6),"⚠ Vượt","")</f>
        <v/>
      </c>
      <c r="M1305">
        <f>IF(AND(A1305=Dashboard!$D$6,OR(Dashboard!$C$6="*",F1305=Dashboard!$C$6),L1305&lt;&gt;""),ABS(I1305)+ROW()/1000000000,0)</f>
        <v/>
      </c>
    </row>
    <row r="1306">
      <c r="A1306">
        <f>Data_thang!A1306</f>
        <v/>
      </c>
      <c r="B1306">
        <f>Data_thang!B1306</f>
        <v/>
      </c>
      <c r="C1306">
        <f>Data_thang!D1306</f>
        <v/>
      </c>
      <c r="D1306">
        <f>Data_thang!E1306</f>
        <v/>
      </c>
      <c r="E1306">
        <f>Data_thang!F1306</f>
        <v/>
      </c>
      <c r="F1306">
        <f>Data_thang!G1306</f>
        <v/>
      </c>
      <c r="G1306" s="29">
        <f>Data_thang!J1306-Data_thang!K1306</f>
        <v/>
      </c>
      <c r="H1306" s="29">
        <f>Data_thang!N1306</f>
        <v/>
      </c>
      <c r="I1306" s="29">
        <f>H1306-G1306</f>
        <v/>
      </c>
      <c r="J1306" s="30">
        <f>IF(H1306=0,IF(I1306=0,0,1),I1306/ABS(H1306))</f>
        <v/>
      </c>
      <c r="K1306" s="29">
        <f>H1306-(Data_thang!O1306-Data_thang!K1306)</f>
        <v/>
      </c>
      <c r="L1306">
        <f>IF(AND(ABS(I1306)&gt;Dashboard!$G$6,ABS(J1306)&gt;Dashboard!$H$6),"⚠ Vượt","")</f>
        <v/>
      </c>
      <c r="M1306">
        <f>IF(AND(A1306=Dashboard!$D$6,OR(Dashboard!$C$6="*",F1306=Dashboard!$C$6),L1306&lt;&gt;""),ABS(I1306)+ROW()/1000000000,0)</f>
        <v/>
      </c>
    </row>
    <row r="1307">
      <c r="A1307">
        <f>Data_thang!A1307</f>
        <v/>
      </c>
      <c r="B1307">
        <f>Data_thang!B1307</f>
        <v/>
      </c>
      <c r="C1307">
        <f>Data_thang!D1307</f>
        <v/>
      </c>
      <c r="D1307">
        <f>Data_thang!E1307</f>
        <v/>
      </c>
      <c r="E1307">
        <f>Data_thang!F1307</f>
        <v/>
      </c>
      <c r="F1307">
        <f>Data_thang!G1307</f>
        <v/>
      </c>
      <c r="G1307" s="29">
        <f>Data_thang!J1307-Data_thang!K1307</f>
        <v/>
      </c>
      <c r="H1307" s="29">
        <f>Data_thang!N1307</f>
        <v/>
      </c>
      <c r="I1307" s="29">
        <f>H1307-G1307</f>
        <v/>
      </c>
      <c r="J1307" s="30">
        <f>IF(H1307=0,IF(I1307=0,0,1),I1307/ABS(H1307))</f>
        <v/>
      </c>
      <c r="K1307" s="29">
        <f>H1307-(Data_thang!O1307-Data_thang!K1307)</f>
        <v/>
      </c>
      <c r="L1307">
        <f>IF(AND(ABS(I1307)&gt;Dashboard!$G$6,ABS(J1307)&gt;Dashboard!$H$6),"⚠ Vượt","")</f>
        <v/>
      </c>
      <c r="M1307">
        <f>IF(AND(A1307=Dashboard!$D$6,OR(Dashboard!$C$6="*",F1307=Dashboard!$C$6),L1307&lt;&gt;""),ABS(I1307)+ROW()/1000000000,0)</f>
        <v/>
      </c>
    </row>
    <row r="1308">
      <c r="A1308">
        <f>Data_thang!A1308</f>
        <v/>
      </c>
      <c r="B1308">
        <f>Data_thang!B1308</f>
        <v/>
      </c>
      <c r="C1308">
        <f>Data_thang!D1308</f>
        <v/>
      </c>
      <c r="D1308">
        <f>Data_thang!E1308</f>
        <v/>
      </c>
      <c r="E1308">
        <f>Data_thang!F1308</f>
        <v/>
      </c>
      <c r="F1308">
        <f>Data_thang!G1308</f>
        <v/>
      </c>
      <c r="G1308" s="29">
        <f>Data_thang!J1308-Data_thang!K1308</f>
        <v/>
      </c>
      <c r="H1308" s="29">
        <f>Data_thang!N1308</f>
        <v/>
      </c>
      <c r="I1308" s="29">
        <f>H1308-G1308</f>
        <v/>
      </c>
      <c r="J1308" s="30">
        <f>IF(H1308=0,IF(I1308=0,0,1),I1308/ABS(H1308))</f>
        <v/>
      </c>
      <c r="K1308" s="29">
        <f>H1308-(Data_thang!O1308-Data_thang!K1308)</f>
        <v/>
      </c>
      <c r="L1308">
        <f>IF(AND(ABS(I1308)&gt;Dashboard!$G$6,ABS(J1308)&gt;Dashboard!$H$6),"⚠ Vượt","")</f>
        <v/>
      </c>
      <c r="M1308">
        <f>IF(AND(A1308=Dashboard!$D$6,OR(Dashboard!$C$6="*",F1308=Dashboard!$C$6),L1308&lt;&gt;""),ABS(I1308)+ROW()/1000000000,0)</f>
        <v/>
      </c>
    </row>
    <row r="1309">
      <c r="A1309">
        <f>Data_thang!A1309</f>
        <v/>
      </c>
      <c r="B1309">
        <f>Data_thang!B1309</f>
        <v/>
      </c>
      <c r="C1309">
        <f>Data_thang!D1309</f>
        <v/>
      </c>
      <c r="D1309">
        <f>Data_thang!E1309</f>
        <v/>
      </c>
      <c r="E1309">
        <f>Data_thang!F1309</f>
        <v/>
      </c>
      <c r="F1309">
        <f>Data_thang!G1309</f>
        <v/>
      </c>
      <c r="G1309" s="29">
        <f>Data_thang!J1309-Data_thang!K1309</f>
        <v/>
      </c>
      <c r="H1309" s="29">
        <f>Data_thang!N1309</f>
        <v/>
      </c>
      <c r="I1309" s="29">
        <f>H1309-G1309</f>
        <v/>
      </c>
      <c r="J1309" s="30">
        <f>IF(H1309=0,IF(I1309=0,0,1),I1309/ABS(H1309))</f>
        <v/>
      </c>
      <c r="K1309" s="29">
        <f>H1309-(Data_thang!O1309-Data_thang!K1309)</f>
        <v/>
      </c>
      <c r="L1309">
        <f>IF(AND(ABS(I1309)&gt;Dashboard!$G$6,ABS(J1309)&gt;Dashboard!$H$6),"⚠ Vượt","")</f>
        <v/>
      </c>
      <c r="M1309">
        <f>IF(AND(A1309=Dashboard!$D$6,OR(Dashboard!$C$6="*",F1309=Dashboard!$C$6),L1309&lt;&gt;""),ABS(I1309)+ROW()/1000000000,0)</f>
        <v/>
      </c>
    </row>
    <row r="1310">
      <c r="A1310">
        <f>Data_thang!A1310</f>
        <v/>
      </c>
      <c r="B1310">
        <f>Data_thang!B1310</f>
        <v/>
      </c>
      <c r="C1310">
        <f>Data_thang!D1310</f>
        <v/>
      </c>
      <c r="D1310">
        <f>Data_thang!E1310</f>
        <v/>
      </c>
      <c r="E1310">
        <f>Data_thang!F1310</f>
        <v/>
      </c>
      <c r="F1310">
        <f>Data_thang!G1310</f>
        <v/>
      </c>
      <c r="G1310" s="29">
        <f>Data_thang!J1310-Data_thang!K1310</f>
        <v/>
      </c>
      <c r="H1310" s="29">
        <f>Data_thang!N1310</f>
        <v/>
      </c>
      <c r="I1310" s="29">
        <f>H1310-G1310</f>
        <v/>
      </c>
      <c r="J1310" s="30">
        <f>IF(H1310=0,IF(I1310=0,0,1),I1310/ABS(H1310))</f>
        <v/>
      </c>
      <c r="K1310" s="29">
        <f>H1310-(Data_thang!O1310-Data_thang!K1310)</f>
        <v/>
      </c>
      <c r="L1310">
        <f>IF(AND(ABS(I1310)&gt;Dashboard!$G$6,ABS(J1310)&gt;Dashboard!$H$6),"⚠ Vượt","")</f>
        <v/>
      </c>
      <c r="M1310">
        <f>IF(AND(A1310=Dashboard!$D$6,OR(Dashboard!$C$6="*",F1310=Dashboard!$C$6),L1310&lt;&gt;""),ABS(I1310)+ROW()/1000000000,0)</f>
        <v/>
      </c>
    </row>
    <row r="1311">
      <c r="A1311">
        <f>Data_thang!A1311</f>
        <v/>
      </c>
      <c r="B1311">
        <f>Data_thang!B1311</f>
        <v/>
      </c>
      <c r="C1311">
        <f>Data_thang!D1311</f>
        <v/>
      </c>
      <c r="D1311">
        <f>Data_thang!E1311</f>
        <v/>
      </c>
      <c r="E1311">
        <f>Data_thang!F1311</f>
        <v/>
      </c>
      <c r="F1311">
        <f>Data_thang!G1311</f>
        <v/>
      </c>
      <c r="G1311" s="29">
        <f>Data_thang!J1311-Data_thang!K1311</f>
        <v/>
      </c>
      <c r="H1311" s="29">
        <f>Data_thang!N1311</f>
        <v/>
      </c>
      <c r="I1311" s="29">
        <f>H1311-G1311</f>
        <v/>
      </c>
      <c r="J1311" s="30">
        <f>IF(H1311=0,IF(I1311=0,0,1),I1311/ABS(H1311))</f>
        <v/>
      </c>
      <c r="K1311" s="29">
        <f>H1311-(Data_thang!O1311-Data_thang!K1311)</f>
        <v/>
      </c>
      <c r="L1311">
        <f>IF(AND(ABS(I1311)&gt;Dashboard!$G$6,ABS(J1311)&gt;Dashboard!$H$6),"⚠ Vượt","")</f>
        <v/>
      </c>
      <c r="M1311">
        <f>IF(AND(A1311=Dashboard!$D$6,OR(Dashboard!$C$6="*",F1311=Dashboard!$C$6),L1311&lt;&gt;""),ABS(I1311)+ROW()/1000000000,0)</f>
        <v/>
      </c>
    </row>
    <row r="1312">
      <c r="A1312">
        <f>Data_thang!A1312</f>
        <v/>
      </c>
      <c r="B1312">
        <f>Data_thang!B1312</f>
        <v/>
      </c>
      <c r="C1312">
        <f>Data_thang!D1312</f>
        <v/>
      </c>
      <c r="D1312">
        <f>Data_thang!E1312</f>
        <v/>
      </c>
      <c r="E1312">
        <f>Data_thang!F1312</f>
        <v/>
      </c>
      <c r="F1312">
        <f>Data_thang!G1312</f>
        <v/>
      </c>
      <c r="G1312" s="29">
        <f>Data_thang!J1312-Data_thang!K1312</f>
        <v/>
      </c>
      <c r="H1312" s="29">
        <f>Data_thang!N1312</f>
        <v/>
      </c>
      <c r="I1312" s="29">
        <f>H1312-G1312</f>
        <v/>
      </c>
      <c r="J1312" s="30">
        <f>IF(H1312=0,IF(I1312=0,0,1),I1312/ABS(H1312))</f>
        <v/>
      </c>
      <c r="K1312" s="29">
        <f>H1312-(Data_thang!O1312-Data_thang!K1312)</f>
        <v/>
      </c>
      <c r="L1312">
        <f>IF(AND(ABS(I1312)&gt;Dashboard!$G$6,ABS(J1312)&gt;Dashboard!$H$6),"⚠ Vượt","")</f>
        <v/>
      </c>
      <c r="M1312">
        <f>IF(AND(A1312=Dashboard!$D$6,OR(Dashboard!$C$6="*",F1312=Dashboard!$C$6),L1312&lt;&gt;""),ABS(I1312)+ROW()/1000000000,0)</f>
        <v/>
      </c>
    </row>
    <row r="1313">
      <c r="A1313">
        <f>Data_thang!A1313</f>
        <v/>
      </c>
      <c r="B1313">
        <f>Data_thang!B1313</f>
        <v/>
      </c>
      <c r="C1313">
        <f>Data_thang!D1313</f>
        <v/>
      </c>
      <c r="D1313">
        <f>Data_thang!E1313</f>
        <v/>
      </c>
      <c r="E1313">
        <f>Data_thang!F1313</f>
        <v/>
      </c>
      <c r="F1313">
        <f>Data_thang!G1313</f>
        <v/>
      </c>
      <c r="G1313" s="29">
        <f>Data_thang!J1313-Data_thang!K1313</f>
        <v/>
      </c>
      <c r="H1313" s="29">
        <f>Data_thang!N1313</f>
        <v/>
      </c>
      <c r="I1313" s="29">
        <f>H1313-G1313</f>
        <v/>
      </c>
      <c r="J1313" s="30">
        <f>IF(H1313=0,IF(I1313=0,0,1),I1313/ABS(H1313))</f>
        <v/>
      </c>
      <c r="K1313" s="29">
        <f>H1313-(Data_thang!O1313-Data_thang!K1313)</f>
        <v/>
      </c>
      <c r="L1313">
        <f>IF(AND(ABS(I1313)&gt;Dashboard!$G$6,ABS(J1313)&gt;Dashboard!$H$6),"⚠ Vượt","")</f>
        <v/>
      </c>
      <c r="M1313">
        <f>IF(AND(A1313=Dashboard!$D$6,OR(Dashboard!$C$6="*",F1313=Dashboard!$C$6),L1313&lt;&gt;""),ABS(I1313)+ROW()/1000000000,0)</f>
        <v/>
      </c>
    </row>
    <row r="1314">
      <c r="A1314">
        <f>Data_thang!A1314</f>
        <v/>
      </c>
      <c r="B1314">
        <f>Data_thang!B1314</f>
        <v/>
      </c>
      <c r="C1314">
        <f>Data_thang!D1314</f>
        <v/>
      </c>
      <c r="D1314">
        <f>Data_thang!E1314</f>
        <v/>
      </c>
      <c r="E1314">
        <f>Data_thang!F1314</f>
        <v/>
      </c>
      <c r="F1314">
        <f>Data_thang!G1314</f>
        <v/>
      </c>
      <c r="G1314" s="29">
        <f>Data_thang!J1314-Data_thang!K1314</f>
        <v/>
      </c>
      <c r="H1314" s="29">
        <f>Data_thang!N1314</f>
        <v/>
      </c>
      <c r="I1314" s="29">
        <f>H1314-G1314</f>
        <v/>
      </c>
      <c r="J1314" s="30">
        <f>IF(H1314=0,IF(I1314=0,0,1),I1314/ABS(H1314))</f>
        <v/>
      </c>
      <c r="K1314" s="29">
        <f>H1314-(Data_thang!O1314-Data_thang!K1314)</f>
        <v/>
      </c>
      <c r="L1314">
        <f>IF(AND(ABS(I1314)&gt;Dashboard!$G$6,ABS(J1314)&gt;Dashboard!$H$6),"⚠ Vượt","")</f>
        <v/>
      </c>
      <c r="M1314">
        <f>IF(AND(A1314=Dashboard!$D$6,OR(Dashboard!$C$6="*",F1314=Dashboard!$C$6),L1314&lt;&gt;""),ABS(I1314)+ROW()/1000000000,0)</f>
        <v/>
      </c>
    </row>
    <row r="1315">
      <c r="A1315">
        <f>Data_thang!A1315</f>
        <v/>
      </c>
      <c r="B1315">
        <f>Data_thang!B1315</f>
        <v/>
      </c>
      <c r="C1315">
        <f>Data_thang!D1315</f>
        <v/>
      </c>
      <c r="D1315">
        <f>Data_thang!E1315</f>
        <v/>
      </c>
      <c r="E1315">
        <f>Data_thang!F1315</f>
        <v/>
      </c>
      <c r="F1315">
        <f>Data_thang!G1315</f>
        <v/>
      </c>
      <c r="G1315" s="29">
        <f>Data_thang!J1315-Data_thang!K1315</f>
        <v/>
      </c>
      <c r="H1315" s="29">
        <f>Data_thang!N1315</f>
        <v/>
      </c>
      <c r="I1315" s="29">
        <f>H1315-G1315</f>
        <v/>
      </c>
      <c r="J1315" s="30">
        <f>IF(H1315=0,IF(I1315=0,0,1),I1315/ABS(H1315))</f>
        <v/>
      </c>
      <c r="K1315" s="29">
        <f>H1315-(Data_thang!O1315-Data_thang!K1315)</f>
        <v/>
      </c>
      <c r="L1315">
        <f>IF(AND(ABS(I1315)&gt;Dashboard!$G$6,ABS(J1315)&gt;Dashboard!$H$6),"⚠ Vượt","")</f>
        <v/>
      </c>
      <c r="M1315">
        <f>IF(AND(A1315=Dashboard!$D$6,OR(Dashboard!$C$6="*",F1315=Dashboard!$C$6),L1315&lt;&gt;""),ABS(I1315)+ROW()/1000000000,0)</f>
        <v/>
      </c>
    </row>
    <row r="1316">
      <c r="A1316">
        <f>Data_thang!A1316</f>
        <v/>
      </c>
      <c r="B1316">
        <f>Data_thang!B1316</f>
        <v/>
      </c>
      <c r="C1316">
        <f>Data_thang!D1316</f>
        <v/>
      </c>
      <c r="D1316">
        <f>Data_thang!E1316</f>
        <v/>
      </c>
      <c r="E1316">
        <f>Data_thang!F1316</f>
        <v/>
      </c>
      <c r="F1316">
        <f>Data_thang!G1316</f>
        <v/>
      </c>
      <c r="G1316" s="29">
        <f>Data_thang!J1316-Data_thang!K1316</f>
        <v/>
      </c>
      <c r="H1316" s="29">
        <f>Data_thang!N1316</f>
        <v/>
      </c>
      <c r="I1316" s="29">
        <f>H1316-G1316</f>
        <v/>
      </c>
      <c r="J1316" s="30">
        <f>IF(H1316=0,IF(I1316=0,0,1),I1316/ABS(H1316))</f>
        <v/>
      </c>
      <c r="K1316" s="29">
        <f>H1316-(Data_thang!O1316-Data_thang!K1316)</f>
        <v/>
      </c>
      <c r="L1316">
        <f>IF(AND(ABS(I1316)&gt;Dashboard!$G$6,ABS(J1316)&gt;Dashboard!$H$6),"⚠ Vượt","")</f>
        <v/>
      </c>
      <c r="M1316">
        <f>IF(AND(A1316=Dashboard!$D$6,OR(Dashboard!$C$6="*",F1316=Dashboard!$C$6),L1316&lt;&gt;""),ABS(I1316)+ROW()/1000000000,0)</f>
        <v/>
      </c>
    </row>
    <row r="1317">
      <c r="A1317">
        <f>Data_thang!A1317</f>
        <v/>
      </c>
      <c r="B1317">
        <f>Data_thang!B1317</f>
        <v/>
      </c>
      <c r="C1317">
        <f>Data_thang!D1317</f>
        <v/>
      </c>
      <c r="D1317">
        <f>Data_thang!E1317</f>
        <v/>
      </c>
      <c r="E1317">
        <f>Data_thang!F1317</f>
        <v/>
      </c>
      <c r="F1317">
        <f>Data_thang!G1317</f>
        <v/>
      </c>
      <c r="G1317" s="29">
        <f>Data_thang!J1317-Data_thang!K1317</f>
        <v/>
      </c>
      <c r="H1317" s="29">
        <f>Data_thang!N1317</f>
        <v/>
      </c>
      <c r="I1317" s="29">
        <f>H1317-G1317</f>
        <v/>
      </c>
      <c r="J1317" s="30">
        <f>IF(H1317=0,IF(I1317=0,0,1),I1317/ABS(H1317))</f>
        <v/>
      </c>
      <c r="K1317" s="29">
        <f>H1317-(Data_thang!O1317-Data_thang!K1317)</f>
        <v/>
      </c>
      <c r="L1317">
        <f>IF(AND(ABS(I1317)&gt;Dashboard!$G$6,ABS(J1317)&gt;Dashboard!$H$6),"⚠ Vượt","")</f>
        <v/>
      </c>
      <c r="M1317">
        <f>IF(AND(A1317=Dashboard!$D$6,OR(Dashboard!$C$6="*",F1317=Dashboard!$C$6),L1317&lt;&gt;""),ABS(I1317)+ROW()/1000000000,0)</f>
        <v/>
      </c>
    </row>
    <row r="1318">
      <c r="A1318">
        <f>Data_thang!A1318</f>
        <v/>
      </c>
      <c r="B1318">
        <f>Data_thang!B1318</f>
        <v/>
      </c>
      <c r="C1318">
        <f>Data_thang!D1318</f>
        <v/>
      </c>
      <c r="D1318">
        <f>Data_thang!E1318</f>
        <v/>
      </c>
      <c r="E1318">
        <f>Data_thang!F1318</f>
        <v/>
      </c>
      <c r="F1318">
        <f>Data_thang!G1318</f>
        <v/>
      </c>
      <c r="G1318" s="29">
        <f>Data_thang!J1318-Data_thang!K1318</f>
        <v/>
      </c>
      <c r="H1318" s="29">
        <f>Data_thang!N1318</f>
        <v/>
      </c>
      <c r="I1318" s="29">
        <f>H1318-G1318</f>
        <v/>
      </c>
      <c r="J1318" s="30">
        <f>IF(H1318=0,IF(I1318=0,0,1),I1318/ABS(H1318))</f>
        <v/>
      </c>
      <c r="K1318" s="29">
        <f>H1318-(Data_thang!O1318-Data_thang!K1318)</f>
        <v/>
      </c>
      <c r="L1318">
        <f>IF(AND(ABS(I1318)&gt;Dashboard!$G$6,ABS(J1318)&gt;Dashboard!$H$6),"⚠ Vượt","")</f>
        <v/>
      </c>
      <c r="M1318">
        <f>IF(AND(A1318=Dashboard!$D$6,OR(Dashboard!$C$6="*",F1318=Dashboard!$C$6),L1318&lt;&gt;""),ABS(I1318)+ROW()/1000000000,0)</f>
        <v/>
      </c>
    </row>
    <row r="1319">
      <c r="A1319">
        <f>Data_thang!A1319</f>
        <v/>
      </c>
      <c r="B1319">
        <f>Data_thang!B1319</f>
        <v/>
      </c>
      <c r="C1319">
        <f>Data_thang!D1319</f>
        <v/>
      </c>
      <c r="D1319">
        <f>Data_thang!E1319</f>
        <v/>
      </c>
      <c r="E1319">
        <f>Data_thang!F1319</f>
        <v/>
      </c>
      <c r="F1319">
        <f>Data_thang!G1319</f>
        <v/>
      </c>
      <c r="G1319" s="29">
        <f>Data_thang!J1319-Data_thang!K1319</f>
        <v/>
      </c>
      <c r="H1319" s="29">
        <f>Data_thang!N1319</f>
        <v/>
      </c>
      <c r="I1319" s="29">
        <f>H1319-G1319</f>
        <v/>
      </c>
      <c r="J1319" s="30">
        <f>IF(H1319=0,IF(I1319=0,0,1),I1319/ABS(H1319))</f>
        <v/>
      </c>
      <c r="K1319" s="29">
        <f>H1319-(Data_thang!O1319-Data_thang!K1319)</f>
        <v/>
      </c>
      <c r="L1319">
        <f>IF(AND(ABS(I1319)&gt;Dashboard!$G$6,ABS(J1319)&gt;Dashboard!$H$6),"⚠ Vượt","")</f>
        <v/>
      </c>
      <c r="M1319">
        <f>IF(AND(A1319=Dashboard!$D$6,OR(Dashboard!$C$6="*",F1319=Dashboard!$C$6),L1319&lt;&gt;""),ABS(I1319)+ROW()/1000000000,0)</f>
        <v/>
      </c>
    </row>
    <row r="1320">
      <c r="A1320">
        <f>Data_thang!A1320</f>
        <v/>
      </c>
      <c r="B1320">
        <f>Data_thang!B1320</f>
        <v/>
      </c>
      <c r="C1320">
        <f>Data_thang!D1320</f>
        <v/>
      </c>
      <c r="D1320">
        <f>Data_thang!E1320</f>
        <v/>
      </c>
      <c r="E1320">
        <f>Data_thang!F1320</f>
        <v/>
      </c>
      <c r="F1320">
        <f>Data_thang!G1320</f>
        <v/>
      </c>
      <c r="G1320" s="29">
        <f>Data_thang!J1320-Data_thang!K1320</f>
        <v/>
      </c>
      <c r="H1320" s="29">
        <f>Data_thang!N1320</f>
        <v/>
      </c>
      <c r="I1320" s="29">
        <f>H1320-G1320</f>
        <v/>
      </c>
      <c r="J1320" s="30">
        <f>IF(H1320=0,IF(I1320=0,0,1),I1320/ABS(H1320))</f>
        <v/>
      </c>
      <c r="K1320" s="29">
        <f>H1320-(Data_thang!O1320-Data_thang!K1320)</f>
        <v/>
      </c>
      <c r="L1320">
        <f>IF(AND(ABS(I1320)&gt;Dashboard!$G$6,ABS(J1320)&gt;Dashboard!$H$6),"⚠ Vượt","")</f>
        <v/>
      </c>
      <c r="M1320">
        <f>IF(AND(A1320=Dashboard!$D$6,OR(Dashboard!$C$6="*",F1320=Dashboard!$C$6),L1320&lt;&gt;""),ABS(I1320)+ROW()/1000000000,0)</f>
        <v/>
      </c>
    </row>
    <row r="1321">
      <c r="A1321">
        <f>Data_thang!A1321</f>
        <v/>
      </c>
      <c r="B1321">
        <f>Data_thang!B1321</f>
        <v/>
      </c>
      <c r="C1321">
        <f>Data_thang!D1321</f>
        <v/>
      </c>
      <c r="D1321">
        <f>Data_thang!E1321</f>
        <v/>
      </c>
      <c r="E1321">
        <f>Data_thang!F1321</f>
        <v/>
      </c>
      <c r="F1321">
        <f>Data_thang!G1321</f>
        <v/>
      </c>
      <c r="G1321" s="29">
        <f>Data_thang!J1321-Data_thang!K1321</f>
        <v/>
      </c>
      <c r="H1321" s="29">
        <f>Data_thang!N1321</f>
        <v/>
      </c>
      <c r="I1321" s="29">
        <f>H1321-G1321</f>
        <v/>
      </c>
      <c r="J1321" s="30">
        <f>IF(H1321=0,IF(I1321=0,0,1),I1321/ABS(H1321))</f>
        <v/>
      </c>
      <c r="K1321" s="29">
        <f>H1321-(Data_thang!O1321-Data_thang!K1321)</f>
        <v/>
      </c>
      <c r="L1321">
        <f>IF(AND(ABS(I1321)&gt;Dashboard!$G$6,ABS(J1321)&gt;Dashboard!$H$6),"⚠ Vượt","")</f>
        <v/>
      </c>
      <c r="M1321">
        <f>IF(AND(A1321=Dashboard!$D$6,OR(Dashboard!$C$6="*",F1321=Dashboard!$C$6),L1321&lt;&gt;""),ABS(I1321)+ROW()/1000000000,0)</f>
        <v/>
      </c>
    </row>
    <row r="1322">
      <c r="A1322">
        <f>Data_thang!A1322</f>
        <v/>
      </c>
      <c r="B1322">
        <f>Data_thang!B1322</f>
        <v/>
      </c>
      <c r="C1322">
        <f>Data_thang!D1322</f>
        <v/>
      </c>
      <c r="D1322">
        <f>Data_thang!E1322</f>
        <v/>
      </c>
      <c r="E1322">
        <f>Data_thang!F1322</f>
        <v/>
      </c>
      <c r="F1322">
        <f>Data_thang!G1322</f>
        <v/>
      </c>
      <c r="G1322" s="29">
        <f>Data_thang!J1322-Data_thang!K1322</f>
        <v/>
      </c>
      <c r="H1322" s="29">
        <f>Data_thang!N1322</f>
        <v/>
      </c>
      <c r="I1322" s="29">
        <f>H1322-G1322</f>
        <v/>
      </c>
      <c r="J1322" s="30">
        <f>IF(H1322=0,IF(I1322=0,0,1),I1322/ABS(H1322))</f>
        <v/>
      </c>
      <c r="K1322" s="29">
        <f>H1322-(Data_thang!O1322-Data_thang!K1322)</f>
        <v/>
      </c>
      <c r="L1322">
        <f>IF(AND(ABS(I1322)&gt;Dashboard!$G$6,ABS(J1322)&gt;Dashboard!$H$6),"⚠ Vượt","")</f>
        <v/>
      </c>
      <c r="M1322">
        <f>IF(AND(A1322=Dashboard!$D$6,OR(Dashboard!$C$6="*",F1322=Dashboard!$C$6),L1322&lt;&gt;""),ABS(I1322)+ROW()/1000000000,0)</f>
        <v/>
      </c>
    </row>
    <row r="1323">
      <c r="A1323">
        <f>Data_thang!A1323</f>
        <v/>
      </c>
      <c r="B1323">
        <f>Data_thang!B1323</f>
        <v/>
      </c>
      <c r="C1323">
        <f>Data_thang!D1323</f>
        <v/>
      </c>
      <c r="D1323">
        <f>Data_thang!E1323</f>
        <v/>
      </c>
      <c r="E1323">
        <f>Data_thang!F1323</f>
        <v/>
      </c>
      <c r="F1323">
        <f>Data_thang!G1323</f>
        <v/>
      </c>
      <c r="G1323" s="29">
        <f>Data_thang!J1323-Data_thang!K1323</f>
        <v/>
      </c>
      <c r="H1323" s="29">
        <f>Data_thang!N1323</f>
        <v/>
      </c>
      <c r="I1323" s="29">
        <f>H1323-G1323</f>
        <v/>
      </c>
      <c r="J1323" s="30">
        <f>IF(H1323=0,IF(I1323=0,0,1),I1323/ABS(H1323))</f>
        <v/>
      </c>
      <c r="K1323" s="29">
        <f>H1323-(Data_thang!O1323-Data_thang!K1323)</f>
        <v/>
      </c>
      <c r="L1323">
        <f>IF(AND(ABS(I1323)&gt;Dashboard!$G$6,ABS(J1323)&gt;Dashboard!$H$6),"⚠ Vượt","")</f>
        <v/>
      </c>
      <c r="M1323">
        <f>IF(AND(A1323=Dashboard!$D$6,OR(Dashboard!$C$6="*",F1323=Dashboard!$C$6),L1323&lt;&gt;""),ABS(I1323)+ROW()/1000000000,0)</f>
        <v/>
      </c>
    </row>
    <row r="1324">
      <c r="A1324">
        <f>Data_thang!A1324</f>
        <v/>
      </c>
      <c r="B1324">
        <f>Data_thang!B1324</f>
        <v/>
      </c>
      <c r="C1324">
        <f>Data_thang!D1324</f>
        <v/>
      </c>
      <c r="D1324">
        <f>Data_thang!E1324</f>
        <v/>
      </c>
      <c r="E1324">
        <f>Data_thang!F1324</f>
        <v/>
      </c>
      <c r="F1324">
        <f>Data_thang!G1324</f>
        <v/>
      </c>
      <c r="G1324" s="29">
        <f>Data_thang!J1324-Data_thang!K1324</f>
        <v/>
      </c>
      <c r="H1324" s="29">
        <f>Data_thang!N1324</f>
        <v/>
      </c>
      <c r="I1324" s="29">
        <f>H1324-G1324</f>
        <v/>
      </c>
      <c r="J1324" s="30">
        <f>IF(H1324=0,IF(I1324=0,0,1),I1324/ABS(H1324))</f>
        <v/>
      </c>
      <c r="K1324" s="29">
        <f>H1324-(Data_thang!O1324-Data_thang!K1324)</f>
        <v/>
      </c>
      <c r="L1324">
        <f>IF(AND(ABS(I1324)&gt;Dashboard!$G$6,ABS(J1324)&gt;Dashboard!$H$6),"⚠ Vượt","")</f>
        <v/>
      </c>
      <c r="M1324">
        <f>IF(AND(A1324=Dashboard!$D$6,OR(Dashboard!$C$6="*",F1324=Dashboard!$C$6),L1324&lt;&gt;""),ABS(I1324)+ROW()/1000000000,0)</f>
        <v/>
      </c>
    </row>
    <row r="1325">
      <c r="A1325">
        <f>Data_thang!A1325</f>
        <v/>
      </c>
      <c r="B1325">
        <f>Data_thang!B1325</f>
        <v/>
      </c>
      <c r="C1325">
        <f>Data_thang!D1325</f>
        <v/>
      </c>
      <c r="D1325">
        <f>Data_thang!E1325</f>
        <v/>
      </c>
      <c r="E1325">
        <f>Data_thang!F1325</f>
        <v/>
      </c>
      <c r="F1325">
        <f>Data_thang!G1325</f>
        <v/>
      </c>
      <c r="G1325" s="29">
        <f>Data_thang!J1325-Data_thang!K1325</f>
        <v/>
      </c>
      <c r="H1325" s="29">
        <f>Data_thang!N1325</f>
        <v/>
      </c>
      <c r="I1325" s="29">
        <f>H1325-G1325</f>
        <v/>
      </c>
      <c r="J1325" s="30">
        <f>IF(H1325=0,IF(I1325=0,0,1),I1325/ABS(H1325))</f>
        <v/>
      </c>
      <c r="K1325" s="29">
        <f>H1325-(Data_thang!O1325-Data_thang!K1325)</f>
        <v/>
      </c>
      <c r="L1325">
        <f>IF(AND(ABS(I1325)&gt;Dashboard!$G$6,ABS(J1325)&gt;Dashboard!$H$6),"⚠ Vượt","")</f>
        <v/>
      </c>
      <c r="M1325">
        <f>IF(AND(A1325=Dashboard!$D$6,OR(Dashboard!$C$6="*",F1325=Dashboard!$C$6),L1325&lt;&gt;""),ABS(I1325)+ROW()/1000000000,0)</f>
        <v/>
      </c>
    </row>
    <row r="1326">
      <c r="A1326">
        <f>Data_thang!A1326</f>
        <v/>
      </c>
      <c r="B1326">
        <f>Data_thang!B1326</f>
        <v/>
      </c>
      <c r="C1326">
        <f>Data_thang!D1326</f>
        <v/>
      </c>
      <c r="D1326">
        <f>Data_thang!E1326</f>
        <v/>
      </c>
      <c r="E1326">
        <f>Data_thang!F1326</f>
        <v/>
      </c>
      <c r="F1326">
        <f>Data_thang!G1326</f>
        <v/>
      </c>
      <c r="G1326" s="29">
        <f>Data_thang!J1326-Data_thang!K1326</f>
        <v/>
      </c>
      <c r="H1326" s="29">
        <f>Data_thang!N1326</f>
        <v/>
      </c>
      <c r="I1326" s="29">
        <f>H1326-G1326</f>
        <v/>
      </c>
      <c r="J1326" s="30">
        <f>IF(H1326=0,IF(I1326=0,0,1),I1326/ABS(H1326))</f>
        <v/>
      </c>
      <c r="K1326" s="29">
        <f>H1326-(Data_thang!O1326-Data_thang!K1326)</f>
        <v/>
      </c>
      <c r="L1326">
        <f>IF(AND(ABS(I1326)&gt;Dashboard!$G$6,ABS(J1326)&gt;Dashboard!$H$6),"⚠ Vượt","")</f>
        <v/>
      </c>
      <c r="M1326">
        <f>IF(AND(A1326=Dashboard!$D$6,OR(Dashboard!$C$6="*",F1326=Dashboard!$C$6),L1326&lt;&gt;""),ABS(I1326)+ROW()/1000000000,0)</f>
        <v/>
      </c>
    </row>
    <row r="1327">
      <c r="A1327">
        <f>Data_thang!A1327</f>
        <v/>
      </c>
      <c r="B1327">
        <f>Data_thang!B1327</f>
        <v/>
      </c>
      <c r="C1327">
        <f>Data_thang!D1327</f>
        <v/>
      </c>
      <c r="D1327">
        <f>Data_thang!E1327</f>
        <v/>
      </c>
      <c r="E1327">
        <f>Data_thang!F1327</f>
        <v/>
      </c>
      <c r="F1327">
        <f>Data_thang!G1327</f>
        <v/>
      </c>
      <c r="G1327" s="29">
        <f>Data_thang!J1327-Data_thang!K1327</f>
        <v/>
      </c>
      <c r="H1327" s="29">
        <f>Data_thang!N1327</f>
        <v/>
      </c>
      <c r="I1327" s="29">
        <f>H1327-G1327</f>
        <v/>
      </c>
      <c r="J1327" s="30">
        <f>IF(H1327=0,IF(I1327=0,0,1),I1327/ABS(H1327))</f>
        <v/>
      </c>
      <c r="K1327" s="29">
        <f>H1327-(Data_thang!O1327-Data_thang!K1327)</f>
        <v/>
      </c>
      <c r="L1327">
        <f>IF(AND(ABS(I1327)&gt;Dashboard!$G$6,ABS(J1327)&gt;Dashboard!$H$6),"⚠ Vượt","")</f>
        <v/>
      </c>
      <c r="M1327">
        <f>IF(AND(A1327=Dashboard!$D$6,OR(Dashboard!$C$6="*",F1327=Dashboard!$C$6),L1327&lt;&gt;""),ABS(I1327)+ROW()/1000000000,0)</f>
        <v/>
      </c>
    </row>
    <row r="1328">
      <c r="A1328">
        <f>Data_thang!A1328</f>
        <v/>
      </c>
      <c r="B1328">
        <f>Data_thang!B1328</f>
        <v/>
      </c>
      <c r="C1328">
        <f>Data_thang!D1328</f>
        <v/>
      </c>
      <c r="D1328">
        <f>Data_thang!E1328</f>
        <v/>
      </c>
      <c r="E1328">
        <f>Data_thang!F1328</f>
        <v/>
      </c>
      <c r="F1328">
        <f>Data_thang!G1328</f>
        <v/>
      </c>
      <c r="G1328" s="29">
        <f>Data_thang!J1328-Data_thang!K1328</f>
        <v/>
      </c>
      <c r="H1328" s="29">
        <f>Data_thang!N1328</f>
        <v/>
      </c>
      <c r="I1328" s="29">
        <f>H1328-G1328</f>
        <v/>
      </c>
      <c r="J1328" s="30">
        <f>IF(H1328=0,IF(I1328=0,0,1),I1328/ABS(H1328))</f>
        <v/>
      </c>
      <c r="K1328" s="29">
        <f>H1328-(Data_thang!O1328-Data_thang!K1328)</f>
        <v/>
      </c>
      <c r="L1328">
        <f>IF(AND(ABS(I1328)&gt;Dashboard!$G$6,ABS(J1328)&gt;Dashboard!$H$6),"⚠ Vượt","")</f>
        <v/>
      </c>
      <c r="M1328">
        <f>IF(AND(A1328=Dashboard!$D$6,OR(Dashboard!$C$6="*",F1328=Dashboard!$C$6),L1328&lt;&gt;""),ABS(I1328)+ROW()/1000000000,0)</f>
        <v/>
      </c>
    </row>
    <row r="1329">
      <c r="A1329">
        <f>Data_thang!A1329</f>
        <v/>
      </c>
      <c r="B1329">
        <f>Data_thang!B1329</f>
        <v/>
      </c>
      <c r="C1329">
        <f>Data_thang!D1329</f>
        <v/>
      </c>
      <c r="D1329">
        <f>Data_thang!E1329</f>
        <v/>
      </c>
      <c r="E1329">
        <f>Data_thang!F1329</f>
        <v/>
      </c>
      <c r="F1329">
        <f>Data_thang!G1329</f>
        <v/>
      </c>
      <c r="G1329" s="29">
        <f>Data_thang!J1329-Data_thang!K1329</f>
        <v/>
      </c>
      <c r="H1329" s="29">
        <f>Data_thang!N1329</f>
        <v/>
      </c>
      <c r="I1329" s="29">
        <f>H1329-G1329</f>
        <v/>
      </c>
      <c r="J1329" s="30">
        <f>IF(H1329=0,IF(I1329=0,0,1),I1329/ABS(H1329))</f>
        <v/>
      </c>
      <c r="K1329" s="29">
        <f>H1329-(Data_thang!O1329-Data_thang!K1329)</f>
        <v/>
      </c>
      <c r="L1329">
        <f>IF(AND(ABS(I1329)&gt;Dashboard!$G$6,ABS(J1329)&gt;Dashboard!$H$6),"⚠ Vượt","")</f>
        <v/>
      </c>
      <c r="M1329">
        <f>IF(AND(A1329=Dashboard!$D$6,OR(Dashboard!$C$6="*",F1329=Dashboard!$C$6),L1329&lt;&gt;""),ABS(I1329)+ROW()/1000000000,0)</f>
        <v/>
      </c>
    </row>
    <row r="1330">
      <c r="A1330">
        <f>Data_thang!A1330</f>
        <v/>
      </c>
      <c r="B1330">
        <f>Data_thang!B1330</f>
        <v/>
      </c>
      <c r="C1330">
        <f>Data_thang!D1330</f>
        <v/>
      </c>
      <c r="D1330">
        <f>Data_thang!E1330</f>
        <v/>
      </c>
      <c r="E1330">
        <f>Data_thang!F1330</f>
        <v/>
      </c>
      <c r="F1330">
        <f>Data_thang!G1330</f>
        <v/>
      </c>
      <c r="G1330" s="29">
        <f>Data_thang!J1330-Data_thang!K1330</f>
        <v/>
      </c>
      <c r="H1330" s="29">
        <f>Data_thang!N1330</f>
        <v/>
      </c>
      <c r="I1330" s="29">
        <f>H1330-G1330</f>
        <v/>
      </c>
      <c r="J1330" s="30">
        <f>IF(H1330=0,IF(I1330=0,0,1),I1330/ABS(H1330))</f>
        <v/>
      </c>
      <c r="K1330" s="29">
        <f>H1330-(Data_thang!O1330-Data_thang!K1330)</f>
        <v/>
      </c>
      <c r="L1330">
        <f>IF(AND(ABS(I1330)&gt;Dashboard!$G$6,ABS(J1330)&gt;Dashboard!$H$6),"⚠ Vượt","")</f>
        <v/>
      </c>
      <c r="M1330">
        <f>IF(AND(A1330=Dashboard!$D$6,OR(Dashboard!$C$6="*",F1330=Dashboard!$C$6),L1330&lt;&gt;""),ABS(I1330)+ROW()/1000000000,0)</f>
        <v/>
      </c>
    </row>
    <row r="1331">
      <c r="A1331">
        <f>Data_thang!A1331</f>
        <v/>
      </c>
      <c r="B1331">
        <f>Data_thang!B1331</f>
        <v/>
      </c>
      <c r="C1331">
        <f>Data_thang!D1331</f>
        <v/>
      </c>
      <c r="D1331">
        <f>Data_thang!E1331</f>
        <v/>
      </c>
      <c r="E1331">
        <f>Data_thang!F1331</f>
        <v/>
      </c>
      <c r="F1331">
        <f>Data_thang!G1331</f>
        <v/>
      </c>
      <c r="G1331" s="29">
        <f>Data_thang!J1331-Data_thang!K1331</f>
        <v/>
      </c>
      <c r="H1331" s="29">
        <f>Data_thang!N1331</f>
        <v/>
      </c>
      <c r="I1331" s="29">
        <f>H1331-G1331</f>
        <v/>
      </c>
      <c r="J1331" s="30">
        <f>IF(H1331=0,IF(I1331=0,0,1),I1331/ABS(H1331))</f>
        <v/>
      </c>
      <c r="K1331" s="29">
        <f>H1331-(Data_thang!O1331-Data_thang!K1331)</f>
        <v/>
      </c>
      <c r="L1331">
        <f>IF(AND(ABS(I1331)&gt;Dashboard!$G$6,ABS(J1331)&gt;Dashboard!$H$6),"⚠ Vượt","")</f>
        <v/>
      </c>
      <c r="M1331">
        <f>IF(AND(A1331=Dashboard!$D$6,OR(Dashboard!$C$6="*",F1331=Dashboard!$C$6),L1331&lt;&gt;""),ABS(I1331)+ROW()/1000000000,0)</f>
        <v/>
      </c>
    </row>
    <row r="1332">
      <c r="A1332">
        <f>Data_thang!A1332</f>
        <v/>
      </c>
      <c r="B1332">
        <f>Data_thang!B1332</f>
        <v/>
      </c>
      <c r="C1332">
        <f>Data_thang!D1332</f>
        <v/>
      </c>
      <c r="D1332">
        <f>Data_thang!E1332</f>
        <v/>
      </c>
      <c r="E1332">
        <f>Data_thang!F1332</f>
        <v/>
      </c>
      <c r="F1332">
        <f>Data_thang!G1332</f>
        <v/>
      </c>
      <c r="G1332" s="29">
        <f>Data_thang!J1332-Data_thang!K1332</f>
        <v/>
      </c>
      <c r="H1332" s="29">
        <f>Data_thang!N1332</f>
        <v/>
      </c>
      <c r="I1332" s="29">
        <f>H1332-G1332</f>
        <v/>
      </c>
      <c r="J1332" s="30">
        <f>IF(H1332=0,IF(I1332=0,0,1),I1332/ABS(H1332))</f>
        <v/>
      </c>
      <c r="K1332" s="29">
        <f>H1332-(Data_thang!O1332-Data_thang!K1332)</f>
        <v/>
      </c>
      <c r="L1332">
        <f>IF(AND(ABS(I1332)&gt;Dashboard!$G$6,ABS(J1332)&gt;Dashboard!$H$6),"⚠ Vượt","")</f>
        <v/>
      </c>
      <c r="M1332">
        <f>IF(AND(A1332=Dashboard!$D$6,OR(Dashboard!$C$6="*",F1332=Dashboard!$C$6),L1332&lt;&gt;""),ABS(I1332)+ROW()/1000000000,0)</f>
        <v/>
      </c>
    </row>
    <row r="1333">
      <c r="A1333">
        <f>Data_thang!A1333</f>
        <v/>
      </c>
      <c r="B1333">
        <f>Data_thang!B1333</f>
        <v/>
      </c>
      <c r="C1333">
        <f>Data_thang!D1333</f>
        <v/>
      </c>
      <c r="D1333">
        <f>Data_thang!E1333</f>
        <v/>
      </c>
      <c r="E1333">
        <f>Data_thang!F1333</f>
        <v/>
      </c>
      <c r="F1333">
        <f>Data_thang!G1333</f>
        <v/>
      </c>
      <c r="G1333" s="29">
        <f>Data_thang!J1333-Data_thang!K1333</f>
        <v/>
      </c>
      <c r="H1333" s="29">
        <f>Data_thang!N1333</f>
        <v/>
      </c>
      <c r="I1333" s="29">
        <f>H1333-G1333</f>
        <v/>
      </c>
      <c r="J1333" s="30">
        <f>IF(H1333=0,IF(I1333=0,0,1),I1333/ABS(H1333))</f>
        <v/>
      </c>
      <c r="K1333" s="29">
        <f>H1333-(Data_thang!O1333-Data_thang!K1333)</f>
        <v/>
      </c>
      <c r="L1333">
        <f>IF(AND(ABS(I1333)&gt;Dashboard!$G$6,ABS(J1333)&gt;Dashboard!$H$6),"⚠ Vượt","")</f>
        <v/>
      </c>
      <c r="M1333">
        <f>IF(AND(A1333=Dashboard!$D$6,OR(Dashboard!$C$6="*",F1333=Dashboard!$C$6),L1333&lt;&gt;""),ABS(I1333)+ROW()/1000000000,0)</f>
        <v/>
      </c>
    </row>
    <row r="1334">
      <c r="A1334">
        <f>Data_thang!A1334</f>
        <v/>
      </c>
      <c r="B1334">
        <f>Data_thang!B1334</f>
        <v/>
      </c>
      <c r="C1334">
        <f>Data_thang!D1334</f>
        <v/>
      </c>
      <c r="D1334">
        <f>Data_thang!E1334</f>
        <v/>
      </c>
      <c r="E1334">
        <f>Data_thang!F1334</f>
        <v/>
      </c>
      <c r="F1334">
        <f>Data_thang!G1334</f>
        <v/>
      </c>
      <c r="G1334" s="29">
        <f>Data_thang!J1334-Data_thang!K1334</f>
        <v/>
      </c>
      <c r="H1334" s="29">
        <f>Data_thang!N1334</f>
        <v/>
      </c>
      <c r="I1334" s="29">
        <f>H1334-G1334</f>
        <v/>
      </c>
      <c r="J1334" s="30">
        <f>IF(H1334=0,IF(I1334=0,0,1),I1334/ABS(H1334))</f>
        <v/>
      </c>
      <c r="K1334" s="29">
        <f>H1334-(Data_thang!O1334-Data_thang!K1334)</f>
        <v/>
      </c>
      <c r="L1334">
        <f>IF(AND(ABS(I1334)&gt;Dashboard!$G$6,ABS(J1334)&gt;Dashboard!$H$6),"⚠ Vượt","")</f>
        <v/>
      </c>
      <c r="M1334">
        <f>IF(AND(A1334=Dashboard!$D$6,OR(Dashboard!$C$6="*",F1334=Dashboard!$C$6),L1334&lt;&gt;""),ABS(I1334)+ROW()/1000000000,0)</f>
        <v/>
      </c>
    </row>
    <row r="1335">
      <c r="A1335">
        <f>Data_thang!A1335</f>
        <v/>
      </c>
      <c r="B1335">
        <f>Data_thang!B1335</f>
        <v/>
      </c>
      <c r="C1335">
        <f>Data_thang!D1335</f>
        <v/>
      </c>
      <c r="D1335">
        <f>Data_thang!E1335</f>
        <v/>
      </c>
      <c r="E1335">
        <f>Data_thang!F1335</f>
        <v/>
      </c>
      <c r="F1335">
        <f>Data_thang!G1335</f>
        <v/>
      </c>
      <c r="G1335" s="29">
        <f>Data_thang!J1335-Data_thang!K1335</f>
        <v/>
      </c>
      <c r="H1335" s="29">
        <f>Data_thang!N1335</f>
        <v/>
      </c>
      <c r="I1335" s="29">
        <f>H1335-G1335</f>
        <v/>
      </c>
      <c r="J1335" s="30">
        <f>IF(H1335=0,IF(I1335=0,0,1),I1335/ABS(H1335))</f>
        <v/>
      </c>
      <c r="K1335" s="29">
        <f>H1335-(Data_thang!O1335-Data_thang!K1335)</f>
        <v/>
      </c>
      <c r="L1335">
        <f>IF(AND(ABS(I1335)&gt;Dashboard!$G$6,ABS(J1335)&gt;Dashboard!$H$6),"⚠ Vượt","")</f>
        <v/>
      </c>
      <c r="M1335">
        <f>IF(AND(A1335=Dashboard!$D$6,OR(Dashboard!$C$6="*",F1335=Dashboard!$C$6),L1335&lt;&gt;""),ABS(I1335)+ROW()/1000000000,0)</f>
        <v/>
      </c>
    </row>
    <row r="1336">
      <c r="A1336">
        <f>Data_thang!A1336</f>
        <v/>
      </c>
      <c r="B1336">
        <f>Data_thang!B1336</f>
        <v/>
      </c>
      <c r="C1336">
        <f>Data_thang!D1336</f>
        <v/>
      </c>
      <c r="D1336">
        <f>Data_thang!E1336</f>
        <v/>
      </c>
      <c r="E1336">
        <f>Data_thang!F1336</f>
        <v/>
      </c>
      <c r="F1336">
        <f>Data_thang!G1336</f>
        <v/>
      </c>
      <c r="G1336" s="29">
        <f>Data_thang!J1336-Data_thang!K1336</f>
        <v/>
      </c>
      <c r="H1336" s="29">
        <f>Data_thang!N1336</f>
        <v/>
      </c>
      <c r="I1336" s="29">
        <f>H1336-G1336</f>
        <v/>
      </c>
      <c r="J1336" s="30">
        <f>IF(H1336=0,IF(I1336=0,0,1),I1336/ABS(H1336))</f>
        <v/>
      </c>
      <c r="K1336" s="29">
        <f>H1336-(Data_thang!O1336-Data_thang!K1336)</f>
        <v/>
      </c>
      <c r="L1336">
        <f>IF(AND(ABS(I1336)&gt;Dashboard!$G$6,ABS(J1336)&gt;Dashboard!$H$6),"⚠ Vượt","")</f>
        <v/>
      </c>
      <c r="M1336">
        <f>IF(AND(A1336=Dashboard!$D$6,OR(Dashboard!$C$6="*",F1336=Dashboard!$C$6),L1336&lt;&gt;""),ABS(I1336)+ROW()/1000000000,0)</f>
        <v/>
      </c>
    </row>
    <row r="1337">
      <c r="A1337">
        <f>Data_thang!A1337</f>
        <v/>
      </c>
      <c r="B1337">
        <f>Data_thang!B1337</f>
        <v/>
      </c>
      <c r="C1337">
        <f>Data_thang!D1337</f>
        <v/>
      </c>
      <c r="D1337">
        <f>Data_thang!E1337</f>
        <v/>
      </c>
      <c r="E1337">
        <f>Data_thang!F1337</f>
        <v/>
      </c>
      <c r="F1337">
        <f>Data_thang!G1337</f>
        <v/>
      </c>
      <c r="G1337" s="29">
        <f>Data_thang!J1337-Data_thang!K1337</f>
        <v/>
      </c>
      <c r="H1337" s="29">
        <f>Data_thang!N1337</f>
        <v/>
      </c>
      <c r="I1337" s="29">
        <f>H1337-G1337</f>
        <v/>
      </c>
      <c r="J1337" s="30">
        <f>IF(H1337=0,IF(I1337=0,0,1),I1337/ABS(H1337))</f>
        <v/>
      </c>
      <c r="K1337" s="29">
        <f>H1337-(Data_thang!O1337-Data_thang!K1337)</f>
        <v/>
      </c>
      <c r="L1337">
        <f>IF(AND(ABS(I1337)&gt;Dashboard!$G$6,ABS(J1337)&gt;Dashboard!$H$6),"⚠ Vượt","")</f>
        <v/>
      </c>
      <c r="M1337">
        <f>IF(AND(A1337=Dashboard!$D$6,OR(Dashboard!$C$6="*",F1337=Dashboard!$C$6),L1337&lt;&gt;""),ABS(I1337)+ROW()/1000000000,0)</f>
        <v/>
      </c>
    </row>
    <row r="1338">
      <c r="A1338">
        <f>Data_thang!A1338</f>
        <v/>
      </c>
      <c r="B1338">
        <f>Data_thang!B1338</f>
        <v/>
      </c>
      <c r="C1338">
        <f>Data_thang!D1338</f>
        <v/>
      </c>
      <c r="D1338">
        <f>Data_thang!E1338</f>
        <v/>
      </c>
      <c r="E1338">
        <f>Data_thang!F1338</f>
        <v/>
      </c>
      <c r="F1338">
        <f>Data_thang!G1338</f>
        <v/>
      </c>
      <c r="G1338" s="29">
        <f>Data_thang!J1338-Data_thang!K1338</f>
        <v/>
      </c>
      <c r="H1338" s="29">
        <f>Data_thang!N1338</f>
        <v/>
      </c>
      <c r="I1338" s="29">
        <f>H1338-G1338</f>
        <v/>
      </c>
      <c r="J1338" s="30">
        <f>IF(H1338=0,IF(I1338=0,0,1),I1338/ABS(H1338))</f>
        <v/>
      </c>
      <c r="K1338" s="29">
        <f>H1338-(Data_thang!O1338-Data_thang!K1338)</f>
        <v/>
      </c>
      <c r="L1338">
        <f>IF(AND(ABS(I1338)&gt;Dashboard!$G$6,ABS(J1338)&gt;Dashboard!$H$6),"⚠ Vượt","")</f>
        <v/>
      </c>
      <c r="M1338">
        <f>IF(AND(A1338=Dashboard!$D$6,OR(Dashboard!$C$6="*",F1338=Dashboard!$C$6),L1338&lt;&gt;""),ABS(I1338)+ROW()/1000000000,0)</f>
        <v/>
      </c>
    </row>
    <row r="1339">
      <c r="A1339">
        <f>Data_thang!A1339</f>
        <v/>
      </c>
      <c r="B1339">
        <f>Data_thang!B1339</f>
        <v/>
      </c>
      <c r="C1339">
        <f>Data_thang!D1339</f>
        <v/>
      </c>
      <c r="D1339">
        <f>Data_thang!E1339</f>
        <v/>
      </c>
      <c r="E1339">
        <f>Data_thang!F1339</f>
        <v/>
      </c>
      <c r="F1339">
        <f>Data_thang!G1339</f>
        <v/>
      </c>
      <c r="G1339" s="29">
        <f>Data_thang!J1339-Data_thang!K1339</f>
        <v/>
      </c>
      <c r="H1339" s="29">
        <f>Data_thang!N1339</f>
        <v/>
      </c>
      <c r="I1339" s="29">
        <f>H1339-G1339</f>
        <v/>
      </c>
      <c r="J1339" s="30">
        <f>IF(H1339=0,IF(I1339=0,0,1),I1339/ABS(H1339))</f>
        <v/>
      </c>
      <c r="K1339" s="29">
        <f>H1339-(Data_thang!O1339-Data_thang!K1339)</f>
        <v/>
      </c>
      <c r="L1339">
        <f>IF(AND(ABS(I1339)&gt;Dashboard!$G$6,ABS(J1339)&gt;Dashboard!$H$6),"⚠ Vượt","")</f>
        <v/>
      </c>
      <c r="M1339">
        <f>IF(AND(A1339=Dashboard!$D$6,OR(Dashboard!$C$6="*",F1339=Dashboard!$C$6),L1339&lt;&gt;""),ABS(I1339)+ROW()/1000000000,0)</f>
        <v/>
      </c>
    </row>
    <row r="1340">
      <c r="A1340">
        <f>Data_thang!A1340</f>
        <v/>
      </c>
      <c r="B1340">
        <f>Data_thang!B1340</f>
        <v/>
      </c>
      <c r="C1340">
        <f>Data_thang!D1340</f>
        <v/>
      </c>
      <c r="D1340">
        <f>Data_thang!E1340</f>
        <v/>
      </c>
      <c r="E1340">
        <f>Data_thang!F1340</f>
        <v/>
      </c>
      <c r="F1340">
        <f>Data_thang!G1340</f>
        <v/>
      </c>
      <c r="G1340" s="29">
        <f>Data_thang!J1340-Data_thang!K1340</f>
        <v/>
      </c>
      <c r="H1340" s="29">
        <f>Data_thang!N1340</f>
        <v/>
      </c>
      <c r="I1340" s="29">
        <f>H1340-G1340</f>
        <v/>
      </c>
      <c r="J1340" s="30">
        <f>IF(H1340=0,IF(I1340=0,0,1),I1340/ABS(H1340))</f>
        <v/>
      </c>
      <c r="K1340" s="29">
        <f>H1340-(Data_thang!O1340-Data_thang!K1340)</f>
        <v/>
      </c>
      <c r="L1340">
        <f>IF(AND(ABS(I1340)&gt;Dashboard!$G$6,ABS(J1340)&gt;Dashboard!$H$6),"⚠ Vượt","")</f>
        <v/>
      </c>
      <c r="M1340">
        <f>IF(AND(A1340=Dashboard!$D$6,OR(Dashboard!$C$6="*",F1340=Dashboard!$C$6),L1340&lt;&gt;""),ABS(I1340)+ROW()/1000000000,0)</f>
        <v/>
      </c>
    </row>
    <row r="1341">
      <c r="A1341">
        <f>Data_thang!A1341</f>
        <v/>
      </c>
      <c r="B1341">
        <f>Data_thang!B1341</f>
        <v/>
      </c>
      <c r="C1341">
        <f>Data_thang!D1341</f>
        <v/>
      </c>
      <c r="D1341">
        <f>Data_thang!E1341</f>
        <v/>
      </c>
      <c r="E1341">
        <f>Data_thang!F1341</f>
        <v/>
      </c>
      <c r="F1341">
        <f>Data_thang!G1341</f>
        <v/>
      </c>
      <c r="G1341" s="29">
        <f>Data_thang!J1341-Data_thang!K1341</f>
        <v/>
      </c>
      <c r="H1341" s="29">
        <f>Data_thang!N1341</f>
        <v/>
      </c>
      <c r="I1341" s="29">
        <f>H1341-G1341</f>
        <v/>
      </c>
      <c r="J1341" s="30">
        <f>IF(H1341=0,IF(I1341=0,0,1),I1341/ABS(H1341))</f>
        <v/>
      </c>
      <c r="K1341" s="29">
        <f>H1341-(Data_thang!O1341-Data_thang!K1341)</f>
        <v/>
      </c>
      <c r="L1341">
        <f>IF(AND(ABS(I1341)&gt;Dashboard!$G$6,ABS(J1341)&gt;Dashboard!$H$6),"⚠ Vượt","")</f>
        <v/>
      </c>
      <c r="M1341">
        <f>IF(AND(A1341=Dashboard!$D$6,OR(Dashboard!$C$6="*",F1341=Dashboard!$C$6),L1341&lt;&gt;""),ABS(I1341)+ROW()/1000000000,0)</f>
        <v/>
      </c>
    </row>
    <row r="1342">
      <c r="A1342">
        <f>Data_thang!A1342</f>
        <v/>
      </c>
      <c r="B1342">
        <f>Data_thang!B1342</f>
        <v/>
      </c>
      <c r="C1342">
        <f>Data_thang!D1342</f>
        <v/>
      </c>
      <c r="D1342">
        <f>Data_thang!E1342</f>
        <v/>
      </c>
      <c r="E1342">
        <f>Data_thang!F1342</f>
        <v/>
      </c>
      <c r="F1342">
        <f>Data_thang!G1342</f>
        <v/>
      </c>
      <c r="G1342" s="29">
        <f>Data_thang!J1342-Data_thang!K1342</f>
        <v/>
      </c>
      <c r="H1342" s="29">
        <f>Data_thang!N1342</f>
        <v/>
      </c>
      <c r="I1342" s="29">
        <f>H1342-G1342</f>
        <v/>
      </c>
      <c r="J1342" s="30">
        <f>IF(H1342=0,IF(I1342=0,0,1),I1342/ABS(H1342))</f>
        <v/>
      </c>
      <c r="K1342" s="29">
        <f>H1342-(Data_thang!O1342-Data_thang!K1342)</f>
        <v/>
      </c>
      <c r="L1342">
        <f>IF(AND(ABS(I1342)&gt;Dashboard!$G$6,ABS(J1342)&gt;Dashboard!$H$6),"⚠ Vượt","")</f>
        <v/>
      </c>
      <c r="M1342">
        <f>IF(AND(A1342=Dashboard!$D$6,OR(Dashboard!$C$6="*",F1342=Dashboard!$C$6),L1342&lt;&gt;""),ABS(I1342)+ROW()/1000000000,0)</f>
        <v/>
      </c>
    </row>
    <row r="1343">
      <c r="A1343">
        <f>Data_thang!A1343</f>
        <v/>
      </c>
      <c r="B1343">
        <f>Data_thang!B1343</f>
        <v/>
      </c>
      <c r="C1343">
        <f>Data_thang!D1343</f>
        <v/>
      </c>
      <c r="D1343">
        <f>Data_thang!E1343</f>
        <v/>
      </c>
      <c r="E1343">
        <f>Data_thang!F1343</f>
        <v/>
      </c>
      <c r="F1343">
        <f>Data_thang!G1343</f>
        <v/>
      </c>
      <c r="G1343" s="29">
        <f>Data_thang!J1343-Data_thang!K1343</f>
        <v/>
      </c>
      <c r="H1343" s="29">
        <f>Data_thang!N1343</f>
        <v/>
      </c>
      <c r="I1343" s="29">
        <f>H1343-G1343</f>
        <v/>
      </c>
      <c r="J1343" s="30">
        <f>IF(H1343=0,IF(I1343=0,0,1),I1343/ABS(H1343))</f>
        <v/>
      </c>
      <c r="K1343" s="29">
        <f>H1343-(Data_thang!O1343-Data_thang!K1343)</f>
        <v/>
      </c>
      <c r="L1343">
        <f>IF(AND(ABS(I1343)&gt;Dashboard!$G$6,ABS(J1343)&gt;Dashboard!$H$6),"⚠ Vượt","")</f>
        <v/>
      </c>
      <c r="M1343">
        <f>IF(AND(A1343=Dashboard!$D$6,OR(Dashboard!$C$6="*",F1343=Dashboard!$C$6),L1343&lt;&gt;""),ABS(I1343)+ROW()/1000000000,0)</f>
        <v/>
      </c>
    </row>
    <row r="1344">
      <c r="A1344">
        <f>Data_thang!A1344</f>
        <v/>
      </c>
      <c r="B1344">
        <f>Data_thang!B1344</f>
        <v/>
      </c>
      <c r="C1344">
        <f>Data_thang!D1344</f>
        <v/>
      </c>
      <c r="D1344">
        <f>Data_thang!E1344</f>
        <v/>
      </c>
      <c r="E1344">
        <f>Data_thang!F1344</f>
        <v/>
      </c>
      <c r="F1344">
        <f>Data_thang!G1344</f>
        <v/>
      </c>
      <c r="G1344" s="29">
        <f>Data_thang!J1344-Data_thang!K1344</f>
        <v/>
      </c>
      <c r="H1344" s="29">
        <f>Data_thang!N1344</f>
        <v/>
      </c>
      <c r="I1344" s="29">
        <f>H1344-G1344</f>
        <v/>
      </c>
      <c r="J1344" s="30">
        <f>IF(H1344=0,IF(I1344=0,0,1),I1344/ABS(H1344))</f>
        <v/>
      </c>
      <c r="K1344" s="29">
        <f>H1344-(Data_thang!O1344-Data_thang!K1344)</f>
        <v/>
      </c>
      <c r="L1344">
        <f>IF(AND(ABS(I1344)&gt;Dashboard!$G$6,ABS(J1344)&gt;Dashboard!$H$6),"⚠ Vượt","")</f>
        <v/>
      </c>
      <c r="M1344">
        <f>IF(AND(A1344=Dashboard!$D$6,OR(Dashboard!$C$6="*",F1344=Dashboard!$C$6),L1344&lt;&gt;""),ABS(I1344)+ROW()/1000000000,0)</f>
        <v/>
      </c>
    </row>
    <row r="1345">
      <c r="A1345">
        <f>Data_thang!A1345</f>
        <v/>
      </c>
      <c r="B1345">
        <f>Data_thang!B1345</f>
        <v/>
      </c>
      <c r="C1345">
        <f>Data_thang!D1345</f>
        <v/>
      </c>
      <c r="D1345">
        <f>Data_thang!E1345</f>
        <v/>
      </c>
      <c r="E1345">
        <f>Data_thang!F1345</f>
        <v/>
      </c>
      <c r="F1345">
        <f>Data_thang!G1345</f>
        <v/>
      </c>
      <c r="G1345" s="29">
        <f>Data_thang!J1345-Data_thang!K1345</f>
        <v/>
      </c>
      <c r="H1345" s="29">
        <f>Data_thang!N1345</f>
        <v/>
      </c>
      <c r="I1345" s="29">
        <f>H1345-G1345</f>
        <v/>
      </c>
      <c r="J1345" s="30">
        <f>IF(H1345=0,IF(I1345=0,0,1),I1345/ABS(H1345))</f>
        <v/>
      </c>
      <c r="K1345" s="29">
        <f>H1345-(Data_thang!O1345-Data_thang!K1345)</f>
        <v/>
      </c>
      <c r="L1345">
        <f>IF(AND(ABS(I1345)&gt;Dashboard!$G$6,ABS(J1345)&gt;Dashboard!$H$6),"⚠ Vượt","")</f>
        <v/>
      </c>
      <c r="M1345">
        <f>IF(AND(A1345=Dashboard!$D$6,OR(Dashboard!$C$6="*",F1345=Dashboard!$C$6),L1345&lt;&gt;""),ABS(I1345)+ROW()/1000000000,0)</f>
        <v/>
      </c>
    </row>
    <row r="1346">
      <c r="A1346">
        <f>Data_thang!A1346</f>
        <v/>
      </c>
      <c r="B1346">
        <f>Data_thang!B1346</f>
        <v/>
      </c>
      <c r="C1346">
        <f>Data_thang!D1346</f>
        <v/>
      </c>
      <c r="D1346">
        <f>Data_thang!E1346</f>
        <v/>
      </c>
      <c r="E1346">
        <f>Data_thang!F1346</f>
        <v/>
      </c>
      <c r="F1346">
        <f>Data_thang!G1346</f>
        <v/>
      </c>
      <c r="G1346" s="29">
        <f>Data_thang!J1346-Data_thang!K1346</f>
        <v/>
      </c>
      <c r="H1346" s="29">
        <f>Data_thang!N1346</f>
        <v/>
      </c>
      <c r="I1346" s="29">
        <f>H1346-G1346</f>
        <v/>
      </c>
      <c r="J1346" s="30">
        <f>IF(H1346=0,IF(I1346=0,0,1),I1346/ABS(H1346))</f>
        <v/>
      </c>
      <c r="K1346" s="29">
        <f>H1346-(Data_thang!O1346-Data_thang!K1346)</f>
        <v/>
      </c>
      <c r="L1346">
        <f>IF(AND(ABS(I1346)&gt;Dashboard!$G$6,ABS(J1346)&gt;Dashboard!$H$6),"⚠ Vượt","")</f>
        <v/>
      </c>
      <c r="M1346">
        <f>IF(AND(A1346=Dashboard!$D$6,OR(Dashboard!$C$6="*",F1346=Dashboard!$C$6),L1346&lt;&gt;""),ABS(I1346)+ROW()/1000000000,0)</f>
        <v/>
      </c>
    </row>
    <row r="1347">
      <c r="A1347">
        <f>Data_thang!A1347</f>
        <v/>
      </c>
      <c r="B1347">
        <f>Data_thang!B1347</f>
        <v/>
      </c>
      <c r="C1347">
        <f>Data_thang!D1347</f>
        <v/>
      </c>
      <c r="D1347">
        <f>Data_thang!E1347</f>
        <v/>
      </c>
      <c r="E1347">
        <f>Data_thang!F1347</f>
        <v/>
      </c>
      <c r="F1347">
        <f>Data_thang!G1347</f>
        <v/>
      </c>
      <c r="G1347" s="29">
        <f>Data_thang!J1347-Data_thang!K1347</f>
        <v/>
      </c>
      <c r="H1347" s="29">
        <f>Data_thang!N1347</f>
        <v/>
      </c>
      <c r="I1347" s="29">
        <f>H1347-G1347</f>
        <v/>
      </c>
      <c r="J1347" s="30">
        <f>IF(H1347=0,IF(I1347=0,0,1),I1347/ABS(H1347))</f>
        <v/>
      </c>
      <c r="K1347" s="29">
        <f>H1347-(Data_thang!O1347-Data_thang!K1347)</f>
        <v/>
      </c>
      <c r="L1347">
        <f>IF(AND(ABS(I1347)&gt;Dashboard!$G$6,ABS(J1347)&gt;Dashboard!$H$6),"⚠ Vượt","")</f>
        <v/>
      </c>
      <c r="M1347">
        <f>IF(AND(A1347=Dashboard!$D$6,OR(Dashboard!$C$6="*",F1347=Dashboard!$C$6),L1347&lt;&gt;""),ABS(I1347)+ROW()/1000000000,0)</f>
        <v/>
      </c>
    </row>
    <row r="1348">
      <c r="A1348">
        <f>Data_thang!A1348</f>
        <v/>
      </c>
      <c r="B1348">
        <f>Data_thang!B1348</f>
        <v/>
      </c>
      <c r="C1348">
        <f>Data_thang!D1348</f>
        <v/>
      </c>
      <c r="D1348">
        <f>Data_thang!E1348</f>
        <v/>
      </c>
      <c r="E1348">
        <f>Data_thang!F1348</f>
        <v/>
      </c>
      <c r="F1348">
        <f>Data_thang!G1348</f>
        <v/>
      </c>
      <c r="G1348" s="29">
        <f>Data_thang!J1348-Data_thang!K1348</f>
        <v/>
      </c>
      <c r="H1348" s="29">
        <f>Data_thang!N1348</f>
        <v/>
      </c>
      <c r="I1348" s="29">
        <f>H1348-G1348</f>
        <v/>
      </c>
      <c r="J1348" s="30">
        <f>IF(H1348=0,IF(I1348=0,0,1),I1348/ABS(H1348))</f>
        <v/>
      </c>
      <c r="K1348" s="29">
        <f>H1348-(Data_thang!O1348-Data_thang!K1348)</f>
        <v/>
      </c>
      <c r="L1348">
        <f>IF(AND(ABS(I1348)&gt;Dashboard!$G$6,ABS(J1348)&gt;Dashboard!$H$6),"⚠ Vượt","")</f>
        <v/>
      </c>
      <c r="M1348">
        <f>IF(AND(A1348=Dashboard!$D$6,OR(Dashboard!$C$6="*",F1348=Dashboard!$C$6),L1348&lt;&gt;""),ABS(I1348)+ROW()/1000000000,0)</f>
        <v/>
      </c>
    </row>
    <row r="1349">
      <c r="A1349">
        <f>Data_thang!A1349</f>
        <v/>
      </c>
      <c r="B1349">
        <f>Data_thang!B1349</f>
        <v/>
      </c>
      <c r="C1349">
        <f>Data_thang!D1349</f>
        <v/>
      </c>
      <c r="D1349">
        <f>Data_thang!E1349</f>
        <v/>
      </c>
      <c r="E1349">
        <f>Data_thang!F1349</f>
        <v/>
      </c>
      <c r="F1349">
        <f>Data_thang!G1349</f>
        <v/>
      </c>
      <c r="G1349" s="29">
        <f>Data_thang!J1349-Data_thang!K1349</f>
        <v/>
      </c>
      <c r="H1349" s="29">
        <f>Data_thang!N1349</f>
        <v/>
      </c>
      <c r="I1349" s="29">
        <f>H1349-G1349</f>
        <v/>
      </c>
      <c r="J1349" s="30">
        <f>IF(H1349=0,IF(I1349=0,0,1),I1349/ABS(H1349))</f>
        <v/>
      </c>
      <c r="K1349" s="29">
        <f>H1349-(Data_thang!O1349-Data_thang!K1349)</f>
        <v/>
      </c>
      <c r="L1349">
        <f>IF(AND(ABS(I1349)&gt;Dashboard!$G$6,ABS(J1349)&gt;Dashboard!$H$6),"⚠ Vượt","")</f>
        <v/>
      </c>
      <c r="M1349">
        <f>IF(AND(A1349=Dashboard!$D$6,OR(Dashboard!$C$6="*",F1349=Dashboard!$C$6),L1349&lt;&gt;""),ABS(I1349)+ROW()/1000000000,0)</f>
        <v/>
      </c>
    </row>
    <row r="1350">
      <c r="A1350">
        <f>Data_thang!A1350</f>
        <v/>
      </c>
      <c r="B1350">
        <f>Data_thang!B1350</f>
        <v/>
      </c>
      <c r="C1350">
        <f>Data_thang!D1350</f>
        <v/>
      </c>
      <c r="D1350">
        <f>Data_thang!E1350</f>
        <v/>
      </c>
      <c r="E1350">
        <f>Data_thang!F1350</f>
        <v/>
      </c>
      <c r="F1350">
        <f>Data_thang!G1350</f>
        <v/>
      </c>
      <c r="G1350" s="29">
        <f>Data_thang!J1350-Data_thang!K1350</f>
        <v/>
      </c>
      <c r="H1350" s="29">
        <f>Data_thang!N1350</f>
        <v/>
      </c>
      <c r="I1350" s="29">
        <f>H1350-G1350</f>
        <v/>
      </c>
      <c r="J1350" s="30">
        <f>IF(H1350=0,IF(I1350=0,0,1),I1350/ABS(H1350))</f>
        <v/>
      </c>
      <c r="K1350" s="29">
        <f>H1350-(Data_thang!O1350-Data_thang!K1350)</f>
        <v/>
      </c>
      <c r="L1350">
        <f>IF(AND(ABS(I1350)&gt;Dashboard!$G$6,ABS(J1350)&gt;Dashboard!$H$6),"⚠ Vượt","")</f>
        <v/>
      </c>
      <c r="M1350">
        <f>IF(AND(A1350=Dashboard!$D$6,OR(Dashboard!$C$6="*",F1350=Dashboard!$C$6),L1350&lt;&gt;""),ABS(I1350)+ROW()/1000000000,0)</f>
        <v/>
      </c>
    </row>
    <row r="1351">
      <c r="A1351">
        <f>Data_thang!A1351</f>
        <v/>
      </c>
      <c r="B1351">
        <f>Data_thang!B1351</f>
        <v/>
      </c>
      <c r="C1351">
        <f>Data_thang!D1351</f>
        <v/>
      </c>
      <c r="D1351">
        <f>Data_thang!E1351</f>
        <v/>
      </c>
      <c r="E1351">
        <f>Data_thang!F1351</f>
        <v/>
      </c>
      <c r="F1351">
        <f>Data_thang!G1351</f>
        <v/>
      </c>
      <c r="G1351" s="29">
        <f>Data_thang!J1351-Data_thang!K1351</f>
        <v/>
      </c>
      <c r="H1351" s="29">
        <f>Data_thang!N1351</f>
        <v/>
      </c>
      <c r="I1351" s="29">
        <f>H1351-G1351</f>
        <v/>
      </c>
      <c r="J1351" s="30">
        <f>IF(H1351=0,IF(I1351=0,0,1),I1351/ABS(H1351))</f>
        <v/>
      </c>
      <c r="K1351" s="29">
        <f>H1351-(Data_thang!O1351-Data_thang!K1351)</f>
        <v/>
      </c>
      <c r="L1351">
        <f>IF(AND(ABS(I1351)&gt;Dashboard!$G$6,ABS(J1351)&gt;Dashboard!$H$6),"⚠ Vượt","")</f>
        <v/>
      </c>
      <c r="M1351">
        <f>IF(AND(A1351=Dashboard!$D$6,OR(Dashboard!$C$6="*",F1351=Dashboard!$C$6),L1351&lt;&gt;""),ABS(I1351)+ROW()/1000000000,0)</f>
        <v/>
      </c>
    </row>
    <row r="1352">
      <c r="A1352">
        <f>Data_thang!A1352</f>
        <v/>
      </c>
      <c r="B1352">
        <f>Data_thang!B1352</f>
        <v/>
      </c>
      <c r="C1352">
        <f>Data_thang!D1352</f>
        <v/>
      </c>
      <c r="D1352">
        <f>Data_thang!E1352</f>
        <v/>
      </c>
      <c r="E1352">
        <f>Data_thang!F1352</f>
        <v/>
      </c>
      <c r="F1352">
        <f>Data_thang!G1352</f>
        <v/>
      </c>
      <c r="G1352" s="29">
        <f>Data_thang!J1352-Data_thang!K1352</f>
        <v/>
      </c>
      <c r="H1352" s="29">
        <f>Data_thang!N1352</f>
        <v/>
      </c>
      <c r="I1352" s="29">
        <f>H1352-G1352</f>
        <v/>
      </c>
      <c r="J1352" s="30">
        <f>IF(H1352=0,IF(I1352=0,0,1),I1352/ABS(H1352))</f>
        <v/>
      </c>
      <c r="K1352" s="29">
        <f>H1352-(Data_thang!O1352-Data_thang!K1352)</f>
        <v/>
      </c>
      <c r="L1352">
        <f>IF(AND(ABS(I1352)&gt;Dashboard!$G$6,ABS(J1352)&gt;Dashboard!$H$6),"⚠ Vượt","")</f>
        <v/>
      </c>
      <c r="M1352">
        <f>IF(AND(A1352=Dashboard!$D$6,OR(Dashboard!$C$6="*",F1352=Dashboard!$C$6),L1352&lt;&gt;""),ABS(I1352)+ROW()/1000000000,0)</f>
        <v/>
      </c>
    </row>
    <row r="1353">
      <c r="A1353">
        <f>Data_thang!A1353</f>
        <v/>
      </c>
      <c r="B1353">
        <f>Data_thang!B1353</f>
        <v/>
      </c>
      <c r="C1353">
        <f>Data_thang!D1353</f>
        <v/>
      </c>
      <c r="D1353">
        <f>Data_thang!E1353</f>
        <v/>
      </c>
      <c r="E1353">
        <f>Data_thang!F1353</f>
        <v/>
      </c>
      <c r="F1353">
        <f>Data_thang!G1353</f>
        <v/>
      </c>
      <c r="G1353" s="29">
        <f>Data_thang!J1353-Data_thang!K1353</f>
        <v/>
      </c>
      <c r="H1353" s="29">
        <f>Data_thang!N1353</f>
        <v/>
      </c>
      <c r="I1353" s="29">
        <f>H1353-G1353</f>
        <v/>
      </c>
      <c r="J1353" s="30">
        <f>IF(H1353=0,IF(I1353=0,0,1),I1353/ABS(H1353))</f>
        <v/>
      </c>
      <c r="K1353" s="29">
        <f>H1353-(Data_thang!O1353-Data_thang!K1353)</f>
        <v/>
      </c>
      <c r="L1353">
        <f>IF(AND(ABS(I1353)&gt;Dashboard!$G$6,ABS(J1353)&gt;Dashboard!$H$6),"⚠ Vượt","")</f>
        <v/>
      </c>
      <c r="M1353">
        <f>IF(AND(A1353=Dashboard!$D$6,OR(Dashboard!$C$6="*",F1353=Dashboard!$C$6),L1353&lt;&gt;""),ABS(I1353)+ROW()/1000000000,0)</f>
        <v/>
      </c>
    </row>
    <row r="1354">
      <c r="A1354">
        <f>Data_thang!A1354</f>
        <v/>
      </c>
      <c r="B1354">
        <f>Data_thang!B1354</f>
        <v/>
      </c>
      <c r="C1354">
        <f>Data_thang!D1354</f>
        <v/>
      </c>
      <c r="D1354">
        <f>Data_thang!E1354</f>
        <v/>
      </c>
      <c r="E1354">
        <f>Data_thang!F1354</f>
        <v/>
      </c>
      <c r="F1354">
        <f>Data_thang!G1354</f>
        <v/>
      </c>
      <c r="G1354" s="29">
        <f>Data_thang!J1354-Data_thang!K1354</f>
        <v/>
      </c>
      <c r="H1354" s="29">
        <f>Data_thang!N1354</f>
        <v/>
      </c>
      <c r="I1354" s="29">
        <f>H1354-G1354</f>
        <v/>
      </c>
      <c r="J1354" s="30">
        <f>IF(H1354=0,IF(I1354=0,0,1),I1354/ABS(H1354))</f>
        <v/>
      </c>
      <c r="K1354" s="29">
        <f>H1354-(Data_thang!O1354-Data_thang!K1354)</f>
        <v/>
      </c>
      <c r="L1354">
        <f>IF(AND(ABS(I1354)&gt;Dashboard!$G$6,ABS(J1354)&gt;Dashboard!$H$6),"⚠ Vượt","")</f>
        <v/>
      </c>
      <c r="M1354">
        <f>IF(AND(A1354=Dashboard!$D$6,OR(Dashboard!$C$6="*",F1354=Dashboard!$C$6),L1354&lt;&gt;""),ABS(I1354)+ROW()/1000000000,0)</f>
        <v/>
      </c>
    </row>
    <row r="1355">
      <c r="A1355">
        <f>Data_thang!A1355</f>
        <v/>
      </c>
      <c r="B1355">
        <f>Data_thang!B1355</f>
        <v/>
      </c>
      <c r="C1355">
        <f>Data_thang!D1355</f>
        <v/>
      </c>
      <c r="D1355">
        <f>Data_thang!E1355</f>
        <v/>
      </c>
      <c r="E1355">
        <f>Data_thang!F1355</f>
        <v/>
      </c>
      <c r="F1355">
        <f>Data_thang!G1355</f>
        <v/>
      </c>
      <c r="G1355" s="29">
        <f>Data_thang!J1355-Data_thang!K1355</f>
        <v/>
      </c>
      <c r="H1355" s="29">
        <f>Data_thang!N1355</f>
        <v/>
      </c>
      <c r="I1355" s="29">
        <f>H1355-G1355</f>
        <v/>
      </c>
      <c r="J1355" s="30">
        <f>IF(H1355=0,IF(I1355=0,0,1),I1355/ABS(H1355))</f>
        <v/>
      </c>
      <c r="K1355" s="29">
        <f>H1355-(Data_thang!O1355-Data_thang!K1355)</f>
        <v/>
      </c>
      <c r="L1355">
        <f>IF(AND(ABS(I1355)&gt;Dashboard!$G$6,ABS(J1355)&gt;Dashboard!$H$6),"⚠ Vượt","")</f>
        <v/>
      </c>
      <c r="M1355">
        <f>IF(AND(A1355=Dashboard!$D$6,OR(Dashboard!$C$6="*",F1355=Dashboard!$C$6),L1355&lt;&gt;""),ABS(I1355)+ROW()/1000000000,0)</f>
        <v/>
      </c>
    </row>
    <row r="1356">
      <c r="A1356">
        <f>Data_thang!A1356</f>
        <v/>
      </c>
      <c r="B1356">
        <f>Data_thang!B1356</f>
        <v/>
      </c>
      <c r="C1356">
        <f>Data_thang!D1356</f>
        <v/>
      </c>
      <c r="D1356">
        <f>Data_thang!E1356</f>
        <v/>
      </c>
      <c r="E1356">
        <f>Data_thang!F1356</f>
        <v/>
      </c>
      <c r="F1356">
        <f>Data_thang!G1356</f>
        <v/>
      </c>
      <c r="G1356" s="29">
        <f>Data_thang!J1356-Data_thang!K1356</f>
        <v/>
      </c>
      <c r="H1356" s="29">
        <f>Data_thang!N1356</f>
        <v/>
      </c>
      <c r="I1356" s="29">
        <f>H1356-G1356</f>
        <v/>
      </c>
      <c r="J1356" s="30">
        <f>IF(H1356=0,IF(I1356=0,0,1),I1356/ABS(H1356))</f>
        <v/>
      </c>
      <c r="K1356" s="29">
        <f>H1356-(Data_thang!O1356-Data_thang!K1356)</f>
        <v/>
      </c>
      <c r="L1356">
        <f>IF(AND(ABS(I1356)&gt;Dashboard!$G$6,ABS(J1356)&gt;Dashboard!$H$6),"⚠ Vượt","")</f>
        <v/>
      </c>
      <c r="M1356">
        <f>IF(AND(A1356=Dashboard!$D$6,OR(Dashboard!$C$6="*",F1356=Dashboard!$C$6),L1356&lt;&gt;""),ABS(I1356)+ROW()/1000000000,0)</f>
        <v/>
      </c>
    </row>
    <row r="1357">
      <c r="A1357">
        <f>Data_thang!A1357</f>
        <v/>
      </c>
      <c r="B1357">
        <f>Data_thang!B1357</f>
        <v/>
      </c>
      <c r="C1357">
        <f>Data_thang!D1357</f>
        <v/>
      </c>
      <c r="D1357">
        <f>Data_thang!E1357</f>
        <v/>
      </c>
      <c r="E1357">
        <f>Data_thang!F1357</f>
        <v/>
      </c>
      <c r="F1357">
        <f>Data_thang!G1357</f>
        <v/>
      </c>
      <c r="G1357" s="29">
        <f>Data_thang!J1357-Data_thang!K1357</f>
        <v/>
      </c>
      <c r="H1357" s="29">
        <f>Data_thang!N1357</f>
        <v/>
      </c>
      <c r="I1357" s="29">
        <f>H1357-G1357</f>
        <v/>
      </c>
      <c r="J1357" s="30">
        <f>IF(H1357=0,IF(I1357=0,0,1),I1357/ABS(H1357))</f>
        <v/>
      </c>
      <c r="K1357" s="29">
        <f>H1357-(Data_thang!O1357-Data_thang!K1357)</f>
        <v/>
      </c>
      <c r="L1357">
        <f>IF(AND(ABS(I1357)&gt;Dashboard!$G$6,ABS(J1357)&gt;Dashboard!$H$6),"⚠ Vượt","")</f>
        <v/>
      </c>
      <c r="M1357">
        <f>IF(AND(A1357=Dashboard!$D$6,OR(Dashboard!$C$6="*",F1357=Dashboard!$C$6),L1357&lt;&gt;""),ABS(I1357)+ROW()/1000000000,0)</f>
        <v/>
      </c>
    </row>
    <row r="1358">
      <c r="A1358">
        <f>Data_thang!A1358</f>
        <v/>
      </c>
      <c r="B1358">
        <f>Data_thang!B1358</f>
        <v/>
      </c>
      <c r="C1358">
        <f>Data_thang!D1358</f>
        <v/>
      </c>
      <c r="D1358">
        <f>Data_thang!E1358</f>
        <v/>
      </c>
      <c r="E1358">
        <f>Data_thang!F1358</f>
        <v/>
      </c>
      <c r="F1358">
        <f>Data_thang!G1358</f>
        <v/>
      </c>
      <c r="G1358" s="29">
        <f>Data_thang!J1358-Data_thang!K1358</f>
        <v/>
      </c>
      <c r="H1358" s="29">
        <f>Data_thang!N1358</f>
        <v/>
      </c>
      <c r="I1358" s="29">
        <f>H1358-G1358</f>
        <v/>
      </c>
      <c r="J1358" s="30">
        <f>IF(H1358=0,IF(I1358=0,0,1),I1358/ABS(H1358))</f>
        <v/>
      </c>
      <c r="K1358" s="29">
        <f>H1358-(Data_thang!O1358-Data_thang!K1358)</f>
        <v/>
      </c>
      <c r="L1358">
        <f>IF(AND(ABS(I1358)&gt;Dashboard!$G$6,ABS(J1358)&gt;Dashboard!$H$6),"⚠ Vượt","")</f>
        <v/>
      </c>
      <c r="M1358">
        <f>IF(AND(A1358=Dashboard!$D$6,OR(Dashboard!$C$6="*",F1358=Dashboard!$C$6),L1358&lt;&gt;""),ABS(I1358)+ROW()/1000000000,0)</f>
        <v/>
      </c>
    </row>
    <row r="1359">
      <c r="A1359">
        <f>Data_thang!A1359</f>
        <v/>
      </c>
      <c r="B1359">
        <f>Data_thang!B1359</f>
        <v/>
      </c>
      <c r="C1359">
        <f>Data_thang!D1359</f>
        <v/>
      </c>
      <c r="D1359">
        <f>Data_thang!E1359</f>
        <v/>
      </c>
      <c r="E1359">
        <f>Data_thang!F1359</f>
        <v/>
      </c>
      <c r="F1359">
        <f>Data_thang!G1359</f>
        <v/>
      </c>
      <c r="G1359" s="29">
        <f>Data_thang!J1359-Data_thang!K1359</f>
        <v/>
      </c>
      <c r="H1359" s="29">
        <f>Data_thang!N1359</f>
        <v/>
      </c>
      <c r="I1359" s="29">
        <f>H1359-G1359</f>
        <v/>
      </c>
      <c r="J1359" s="30">
        <f>IF(H1359=0,IF(I1359=0,0,1),I1359/ABS(H1359))</f>
        <v/>
      </c>
      <c r="K1359" s="29">
        <f>H1359-(Data_thang!O1359-Data_thang!K1359)</f>
        <v/>
      </c>
      <c r="L1359">
        <f>IF(AND(ABS(I1359)&gt;Dashboard!$G$6,ABS(J1359)&gt;Dashboard!$H$6),"⚠ Vượt","")</f>
        <v/>
      </c>
      <c r="M1359">
        <f>IF(AND(A1359=Dashboard!$D$6,OR(Dashboard!$C$6="*",F1359=Dashboard!$C$6),L1359&lt;&gt;""),ABS(I1359)+ROW()/1000000000,0)</f>
        <v/>
      </c>
    </row>
    <row r="1360">
      <c r="A1360">
        <f>Data_thang!A1360</f>
        <v/>
      </c>
      <c r="B1360">
        <f>Data_thang!B1360</f>
        <v/>
      </c>
      <c r="C1360">
        <f>Data_thang!D1360</f>
        <v/>
      </c>
      <c r="D1360">
        <f>Data_thang!E1360</f>
        <v/>
      </c>
      <c r="E1360">
        <f>Data_thang!F1360</f>
        <v/>
      </c>
      <c r="F1360">
        <f>Data_thang!G1360</f>
        <v/>
      </c>
      <c r="G1360" s="29">
        <f>Data_thang!J1360-Data_thang!K1360</f>
        <v/>
      </c>
      <c r="H1360" s="29">
        <f>Data_thang!N1360</f>
        <v/>
      </c>
      <c r="I1360" s="29">
        <f>H1360-G1360</f>
        <v/>
      </c>
      <c r="J1360" s="30">
        <f>IF(H1360=0,IF(I1360=0,0,1),I1360/ABS(H1360))</f>
        <v/>
      </c>
      <c r="K1360" s="29">
        <f>H1360-(Data_thang!O1360-Data_thang!K1360)</f>
        <v/>
      </c>
      <c r="L1360">
        <f>IF(AND(ABS(I1360)&gt;Dashboard!$G$6,ABS(J1360)&gt;Dashboard!$H$6),"⚠ Vượt","")</f>
        <v/>
      </c>
      <c r="M1360">
        <f>IF(AND(A1360=Dashboard!$D$6,OR(Dashboard!$C$6="*",F1360=Dashboard!$C$6),L1360&lt;&gt;""),ABS(I1360)+ROW()/1000000000,0)</f>
        <v/>
      </c>
    </row>
    <row r="1361">
      <c r="A1361">
        <f>Data_thang!A1361</f>
        <v/>
      </c>
      <c r="B1361">
        <f>Data_thang!B1361</f>
        <v/>
      </c>
      <c r="C1361">
        <f>Data_thang!D1361</f>
        <v/>
      </c>
      <c r="D1361">
        <f>Data_thang!E1361</f>
        <v/>
      </c>
      <c r="E1361">
        <f>Data_thang!F1361</f>
        <v/>
      </c>
      <c r="F1361">
        <f>Data_thang!G1361</f>
        <v/>
      </c>
      <c r="G1361" s="29">
        <f>Data_thang!J1361-Data_thang!K1361</f>
        <v/>
      </c>
      <c r="H1361" s="29">
        <f>Data_thang!N1361</f>
        <v/>
      </c>
      <c r="I1361" s="29">
        <f>H1361-G1361</f>
        <v/>
      </c>
      <c r="J1361" s="30">
        <f>IF(H1361=0,IF(I1361=0,0,1),I1361/ABS(H1361))</f>
        <v/>
      </c>
      <c r="K1361" s="29">
        <f>H1361-(Data_thang!O1361-Data_thang!K1361)</f>
        <v/>
      </c>
      <c r="L1361">
        <f>IF(AND(ABS(I1361)&gt;Dashboard!$G$6,ABS(J1361)&gt;Dashboard!$H$6),"⚠ Vượt","")</f>
        <v/>
      </c>
      <c r="M1361">
        <f>IF(AND(A1361=Dashboard!$D$6,OR(Dashboard!$C$6="*",F1361=Dashboard!$C$6),L1361&lt;&gt;""),ABS(I1361)+ROW()/1000000000,0)</f>
        <v/>
      </c>
    </row>
    <row r="1362">
      <c r="A1362">
        <f>Data_thang!A1362</f>
        <v/>
      </c>
      <c r="B1362">
        <f>Data_thang!B1362</f>
        <v/>
      </c>
      <c r="C1362">
        <f>Data_thang!D1362</f>
        <v/>
      </c>
      <c r="D1362">
        <f>Data_thang!E1362</f>
        <v/>
      </c>
      <c r="E1362">
        <f>Data_thang!F1362</f>
        <v/>
      </c>
      <c r="F1362">
        <f>Data_thang!G1362</f>
        <v/>
      </c>
      <c r="G1362" s="29">
        <f>Data_thang!J1362-Data_thang!K1362</f>
        <v/>
      </c>
      <c r="H1362" s="29">
        <f>Data_thang!N1362</f>
        <v/>
      </c>
      <c r="I1362" s="29">
        <f>H1362-G1362</f>
        <v/>
      </c>
      <c r="J1362" s="30">
        <f>IF(H1362=0,IF(I1362=0,0,1),I1362/ABS(H1362))</f>
        <v/>
      </c>
      <c r="K1362" s="29">
        <f>H1362-(Data_thang!O1362-Data_thang!K1362)</f>
        <v/>
      </c>
      <c r="L1362">
        <f>IF(AND(ABS(I1362)&gt;Dashboard!$G$6,ABS(J1362)&gt;Dashboard!$H$6),"⚠ Vượt","")</f>
        <v/>
      </c>
      <c r="M1362">
        <f>IF(AND(A1362=Dashboard!$D$6,OR(Dashboard!$C$6="*",F1362=Dashboard!$C$6),L1362&lt;&gt;""),ABS(I1362)+ROW()/1000000000,0)</f>
        <v/>
      </c>
    </row>
    <row r="1363">
      <c r="A1363">
        <f>Data_thang!A1363</f>
        <v/>
      </c>
      <c r="B1363">
        <f>Data_thang!B1363</f>
        <v/>
      </c>
      <c r="C1363">
        <f>Data_thang!D1363</f>
        <v/>
      </c>
      <c r="D1363">
        <f>Data_thang!E1363</f>
        <v/>
      </c>
      <c r="E1363">
        <f>Data_thang!F1363</f>
        <v/>
      </c>
      <c r="F1363">
        <f>Data_thang!G1363</f>
        <v/>
      </c>
      <c r="G1363" s="29">
        <f>Data_thang!J1363-Data_thang!K1363</f>
        <v/>
      </c>
      <c r="H1363" s="29">
        <f>Data_thang!N1363</f>
        <v/>
      </c>
      <c r="I1363" s="29">
        <f>H1363-G1363</f>
        <v/>
      </c>
      <c r="J1363" s="30">
        <f>IF(H1363=0,IF(I1363=0,0,1),I1363/ABS(H1363))</f>
        <v/>
      </c>
      <c r="K1363" s="29">
        <f>H1363-(Data_thang!O1363-Data_thang!K1363)</f>
        <v/>
      </c>
      <c r="L1363">
        <f>IF(AND(ABS(I1363)&gt;Dashboard!$G$6,ABS(J1363)&gt;Dashboard!$H$6),"⚠ Vượt","")</f>
        <v/>
      </c>
      <c r="M1363">
        <f>IF(AND(A1363=Dashboard!$D$6,OR(Dashboard!$C$6="*",F1363=Dashboard!$C$6),L1363&lt;&gt;""),ABS(I1363)+ROW()/1000000000,0)</f>
        <v/>
      </c>
    </row>
    <row r="1364">
      <c r="A1364">
        <f>Data_thang!A1364</f>
        <v/>
      </c>
      <c r="B1364">
        <f>Data_thang!B1364</f>
        <v/>
      </c>
      <c r="C1364">
        <f>Data_thang!D1364</f>
        <v/>
      </c>
      <c r="D1364">
        <f>Data_thang!E1364</f>
        <v/>
      </c>
      <c r="E1364">
        <f>Data_thang!F1364</f>
        <v/>
      </c>
      <c r="F1364">
        <f>Data_thang!G1364</f>
        <v/>
      </c>
      <c r="G1364" s="29">
        <f>Data_thang!J1364-Data_thang!K1364</f>
        <v/>
      </c>
      <c r="H1364" s="29">
        <f>Data_thang!N1364</f>
        <v/>
      </c>
      <c r="I1364" s="29">
        <f>H1364-G1364</f>
        <v/>
      </c>
      <c r="J1364" s="30">
        <f>IF(H1364=0,IF(I1364=0,0,1),I1364/ABS(H1364))</f>
        <v/>
      </c>
      <c r="K1364" s="29">
        <f>H1364-(Data_thang!O1364-Data_thang!K1364)</f>
        <v/>
      </c>
      <c r="L1364">
        <f>IF(AND(ABS(I1364)&gt;Dashboard!$G$6,ABS(J1364)&gt;Dashboard!$H$6),"⚠ Vượt","")</f>
        <v/>
      </c>
      <c r="M1364">
        <f>IF(AND(A1364=Dashboard!$D$6,OR(Dashboard!$C$6="*",F1364=Dashboard!$C$6),L1364&lt;&gt;""),ABS(I1364)+ROW()/1000000000,0)</f>
        <v/>
      </c>
    </row>
    <row r="1365">
      <c r="A1365">
        <f>Data_thang!A1365</f>
        <v/>
      </c>
      <c r="B1365">
        <f>Data_thang!B1365</f>
        <v/>
      </c>
      <c r="C1365">
        <f>Data_thang!D1365</f>
        <v/>
      </c>
      <c r="D1365">
        <f>Data_thang!E1365</f>
        <v/>
      </c>
      <c r="E1365">
        <f>Data_thang!F1365</f>
        <v/>
      </c>
      <c r="F1365">
        <f>Data_thang!G1365</f>
        <v/>
      </c>
      <c r="G1365" s="29">
        <f>Data_thang!J1365-Data_thang!K1365</f>
        <v/>
      </c>
      <c r="H1365" s="29">
        <f>Data_thang!N1365</f>
        <v/>
      </c>
      <c r="I1365" s="29">
        <f>H1365-G1365</f>
        <v/>
      </c>
      <c r="J1365" s="30">
        <f>IF(H1365=0,IF(I1365=0,0,1),I1365/ABS(H1365))</f>
        <v/>
      </c>
      <c r="K1365" s="29">
        <f>H1365-(Data_thang!O1365-Data_thang!K1365)</f>
        <v/>
      </c>
      <c r="L1365">
        <f>IF(AND(ABS(I1365)&gt;Dashboard!$G$6,ABS(J1365)&gt;Dashboard!$H$6),"⚠ Vượt","")</f>
        <v/>
      </c>
      <c r="M1365">
        <f>IF(AND(A1365=Dashboard!$D$6,OR(Dashboard!$C$6="*",F1365=Dashboard!$C$6),L1365&lt;&gt;""),ABS(I1365)+ROW()/1000000000,0)</f>
        <v/>
      </c>
    </row>
    <row r="1366">
      <c r="A1366">
        <f>Data_thang!A1366</f>
        <v/>
      </c>
      <c r="B1366">
        <f>Data_thang!B1366</f>
        <v/>
      </c>
      <c r="C1366">
        <f>Data_thang!D1366</f>
        <v/>
      </c>
      <c r="D1366">
        <f>Data_thang!E1366</f>
        <v/>
      </c>
      <c r="E1366">
        <f>Data_thang!F1366</f>
        <v/>
      </c>
      <c r="F1366">
        <f>Data_thang!G1366</f>
        <v/>
      </c>
      <c r="G1366" s="29">
        <f>Data_thang!J1366-Data_thang!K1366</f>
        <v/>
      </c>
      <c r="H1366" s="29">
        <f>Data_thang!N1366</f>
        <v/>
      </c>
      <c r="I1366" s="29">
        <f>H1366-G1366</f>
        <v/>
      </c>
      <c r="J1366" s="30">
        <f>IF(H1366=0,IF(I1366=0,0,1),I1366/ABS(H1366))</f>
        <v/>
      </c>
      <c r="K1366" s="29">
        <f>H1366-(Data_thang!O1366-Data_thang!K1366)</f>
        <v/>
      </c>
      <c r="L1366">
        <f>IF(AND(ABS(I1366)&gt;Dashboard!$G$6,ABS(J1366)&gt;Dashboard!$H$6),"⚠ Vượt","")</f>
        <v/>
      </c>
      <c r="M1366">
        <f>IF(AND(A1366=Dashboard!$D$6,OR(Dashboard!$C$6="*",F1366=Dashboard!$C$6),L1366&lt;&gt;""),ABS(I1366)+ROW()/1000000000,0)</f>
        <v/>
      </c>
    </row>
    <row r="1367">
      <c r="A1367">
        <f>Data_thang!A1367</f>
        <v/>
      </c>
      <c r="B1367">
        <f>Data_thang!B1367</f>
        <v/>
      </c>
      <c r="C1367">
        <f>Data_thang!D1367</f>
        <v/>
      </c>
      <c r="D1367">
        <f>Data_thang!E1367</f>
        <v/>
      </c>
      <c r="E1367">
        <f>Data_thang!F1367</f>
        <v/>
      </c>
      <c r="F1367">
        <f>Data_thang!G1367</f>
        <v/>
      </c>
      <c r="G1367" s="29">
        <f>Data_thang!J1367-Data_thang!K1367</f>
        <v/>
      </c>
      <c r="H1367" s="29">
        <f>Data_thang!N1367</f>
        <v/>
      </c>
      <c r="I1367" s="29">
        <f>H1367-G1367</f>
        <v/>
      </c>
      <c r="J1367" s="30">
        <f>IF(H1367=0,IF(I1367=0,0,1),I1367/ABS(H1367))</f>
        <v/>
      </c>
      <c r="K1367" s="29">
        <f>H1367-(Data_thang!O1367-Data_thang!K1367)</f>
        <v/>
      </c>
      <c r="L1367">
        <f>IF(AND(ABS(I1367)&gt;Dashboard!$G$6,ABS(J1367)&gt;Dashboard!$H$6),"⚠ Vượt","")</f>
        <v/>
      </c>
      <c r="M1367">
        <f>IF(AND(A1367=Dashboard!$D$6,OR(Dashboard!$C$6="*",F1367=Dashboard!$C$6),L1367&lt;&gt;""),ABS(I1367)+ROW()/1000000000,0)</f>
        <v/>
      </c>
    </row>
    <row r="1368">
      <c r="A1368">
        <f>Data_thang!A1368</f>
        <v/>
      </c>
      <c r="B1368">
        <f>Data_thang!B1368</f>
        <v/>
      </c>
      <c r="C1368">
        <f>Data_thang!D1368</f>
        <v/>
      </c>
      <c r="D1368">
        <f>Data_thang!E1368</f>
        <v/>
      </c>
      <c r="E1368">
        <f>Data_thang!F1368</f>
        <v/>
      </c>
      <c r="F1368">
        <f>Data_thang!G1368</f>
        <v/>
      </c>
      <c r="G1368" s="29">
        <f>Data_thang!J1368-Data_thang!K1368</f>
        <v/>
      </c>
      <c r="H1368" s="29">
        <f>Data_thang!N1368</f>
        <v/>
      </c>
      <c r="I1368" s="29">
        <f>H1368-G1368</f>
        <v/>
      </c>
      <c r="J1368" s="30">
        <f>IF(H1368=0,IF(I1368=0,0,1),I1368/ABS(H1368))</f>
        <v/>
      </c>
      <c r="K1368" s="29">
        <f>H1368-(Data_thang!O1368-Data_thang!K1368)</f>
        <v/>
      </c>
      <c r="L1368">
        <f>IF(AND(ABS(I1368)&gt;Dashboard!$G$6,ABS(J1368)&gt;Dashboard!$H$6),"⚠ Vượt","")</f>
        <v/>
      </c>
      <c r="M1368">
        <f>IF(AND(A1368=Dashboard!$D$6,OR(Dashboard!$C$6="*",F1368=Dashboard!$C$6),L1368&lt;&gt;""),ABS(I1368)+ROW()/1000000000,0)</f>
        <v/>
      </c>
    </row>
    <row r="1369">
      <c r="A1369">
        <f>Data_thang!A1369</f>
        <v/>
      </c>
      <c r="B1369">
        <f>Data_thang!B1369</f>
        <v/>
      </c>
      <c r="C1369">
        <f>Data_thang!D1369</f>
        <v/>
      </c>
      <c r="D1369">
        <f>Data_thang!E1369</f>
        <v/>
      </c>
      <c r="E1369">
        <f>Data_thang!F1369</f>
        <v/>
      </c>
      <c r="F1369">
        <f>Data_thang!G1369</f>
        <v/>
      </c>
      <c r="G1369" s="29">
        <f>Data_thang!J1369-Data_thang!K1369</f>
        <v/>
      </c>
      <c r="H1369" s="29">
        <f>Data_thang!N1369</f>
        <v/>
      </c>
      <c r="I1369" s="29">
        <f>H1369-G1369</f>
        <v/>
      </c>
      <c r="J1369" s="30">
        <f>IF(H1369=0,IF(I1369=0,0,1),I1369/ABS(H1369))</f>
        <v/>
      </c>
      <c r="K1369" s="29">
        <f>H1369-(Data_thang!O1369-Data_thang!K1369)</f>
        <v/>
      </c>
      <c r="L1369">
        <f>IF(AND(ABS(I1369)&gt;Dashboard!$G$6,ABS(J1369)&gt;Dashboard!$H$6),"⚠ Vượt","")</f>
        <v/>
      </c>
      <c r="M1369">
        <f>IF(AND(A1369=Dashboard!$D$6,OR(Dashboard!$C$6="*",F1369=Dashboard!$C$6),L1369&lt;&gt;""),ABS(I1369)+ROW()/1000000000,0)</f>
        <v/>
      </c>
    </row>
    <row r="1370">
      <c r="A1370">
        <f>Data_thang!A1370</f>
        <v/>
      </c>
      <c r="B1370">
        <f>Data_thang!B1370</f>
        <v/>
      </c>
      <c r="C1370">
        <f>Data_thang!D1370</f>
        <v/>
      </c>
      <c r="D1370">
        <f>Data_thang!E1370</f>
        <v/>
      </c>
      <c r="E1370">
        <f>Data_thang!F1370</f>
        <v/>
      </c>
      <c r="F1370">
        <f>Data_thang!G1370</f>
        <v/>
      </c>
      <c r="G1370" s="29">
        <f>Data_thang!J1370-Data_thang!K1370</f>
        <v/>
      </c>
      <c r="H1370" s="29">
        <f>Data_thang!N1370</f>
        <v/>
      </c>
      <c r="I1370" s="29">
        <f>H1370-G1370</f>
        <v/>
      </c>
      <c r="J1370" s="30">
        <f>IF(H1370=0,IF(I1370=0,0,1),I1370/ABS(H1370))</f>
        <v/>
      </c>
      <c r="K1370" s="29">
        <f>H1370-(Data_thang!O1370-Data_thang!K1370)</f>
        <v/>
      </c>
      <c r="L1370">
        <f>IF(AND(ABS(I1370)&gt;Dashboard!$G$6,ABS(J1370)&gt;Dashboard!$H$6),"⚠ Vượt","")</f>
        <v/>
      </c>
      <c r="M1370">
        <f>IF(AND(A1370=Dashboard!$D$6,OR(Dashboard!$C$6="*",F1370=Dashboard!$C$6),L1370&lt;&gt;""),ABS(I1370)+ROW()/1000000000,0)</f>
        <v/>
      </c>
    </row>
    <row r="1371">
      <c r="A1371">
        <f>Data_thang!A1371</f>
        <v/>
      </c>
      <c r="B1371">
        <f>Data_thang!B1371</f>
        <v/>
      </c>
      <c r="C1371">
        <f>Data_thang!D1371</f>
        <v/>
      </c>
      <c r="D1371">
        <f>Data_thang!E1371</f>
        <v/>
      </c>
      <c r="E1371">
        <f>Data_thang!F1371</f>
        <v/>
      </c>
      <c r="F1371">
        <f>Data_thang!G1371</f>
        <v/>
      </c>
      <c r="G1371" s="29">
        <f>Data_thang!J1371-Data_thang!K1371</f>
        <v/>
      </c>
      <c r="H1371" s="29">
        <f>Data_thang!N1371</f>
        <v/>
      </c>
      <c r="I1371" s="29">
        <f>H1371-G1371</f>
        <v/>
      </c>
      <c r="J1371" s="30">
        <f>IF(H1371=0,IF(I1371=0,0,1),I1371/ABS(H1371))</f>
        <v/>
      </c>
      <c r="K1371" s="29">
        <f>H1371-(Data_thang!O1371-Data_thang!K1371)</f>
        <v/>
      </c>
      <c r="L1371">
        <f>IF(AND(ABS(I1371)&gt;Dashboard!$G$6,ABS(J1371)&gt;Dashboard!$H$6),"⚠ Vượt","")</f>
        <v/>
      </c>
      <c r="M1371">
        <f>IF(AND(A1371=Dashboard!$D$6,OR(Dashboard!$C$6="*",F1371=Dashboard!$C$6),L1371&lt;&gt;""),ABS(I1371)+ROW()/1000000000,0)</f>
        <v/>
      </c>
    </row>
    <row r="1372">
      <c r="A1372">
        <f>Data_thang!A1372</f>
        <v/>
      </c>
      <c r="B1372">
        <f>Data_thang!B1372</f>
        <v/>
      </c>
      <c r="C1372">
        <f>Data_thang!D1372</f>
        <v/>
      </c>
      <c r="D1372">
        <f>Data_thang!E1372</f>
        <v/>
      </c>
      <c r="E1372">
        <f>Data_thang!F1372</f>
        <v/>
      </c>
      <c r="F1372">
        <f>Data_thang!G1372</f>
        <v/>
      </c>
      <c r="G1372" s="29">
        <f>Data_thang!J1372-Data_thang!K1372</f>
        <v/>
      </c>
      <c r="H1372" s="29">
        <f>Data_thang!N1372</f>
        <v/>
      </c>
      <c r="I1372" s="29">
        <f>H1372-G1372</f>
        <v/>
      </c>
      <c r="J1372" s="30">
        <f>IF(H1372=0,IF(I1372=0,0,1),I1372/ABS(H1372))</f>
        <v/>
      </c>
      <c r="K1372" s="29">
        <f>H1372-(Data_thang!O1372-Data_thang!K1372)</f>
        <v/>
      </c>
      <c r="L1372">
        <f>IF(AND(ABS(I1372)&gt;Dashboard!$G$6,ABS(J1372)&gt;Dashboard!$H$6),"⚠ Vượt","")</f>
        <v/>
      </c>
      <c r="M1372">
        <f>IF(AND(A1372=Dashboard!$D$6,OR(Dashboard!$C$6="*",F1372=Dashboard!$C$6),L1372&lt;&gt;""),ABS(I1372)+ROW()/1000000000,0)</f>
        <v/>
      </c>
    </row>
    <row r="1373">
      <c r="A1373">
        <f>Data_thang!A1373</f>
        <v/>
      </c>
      <c r="B1373">
        <f>Data_thang!B1373</f>
        <v/>
      </c>
      <c r="C1373">
        <f>Data_thang!D1373</f>
        <v/>
      </c>
      <c r="D1373">
        <f>Data_thang!E1373</f>
        <v/>
      </c>
      <c r="E1373">
        <f>Data_thang!F1373</f>
        <v/>
      </c>
      <c r="F1373">
        <f>Data_thang!G1373</f>
        <v/>
      </c>
      <c r="G1373" s="29">
        <f>Data_thang!J1373-Data_thang!K1373</f>
        <v/>
      </c>
      <c r="H1373" s="29">
        <f>Data_thang!N1373</f>
        <v/>
      </c>
      <c r="I1373" s="29">
        <f>H1373-G1373</f>
        <v/>
      </c>
      <c r="J1373" s="30">
        <f>IF(H1373=0,IF(I1373=0,0,1),I1373/ABS(H1373))</f>
        <v/>
      </c>
      <c r="K1373" s="29">
        <f>H1373-(Data_thang!O1373-Data_thang!K1373)</f>
        <v/>
      </c>
      <c r="L1373">
        <f>IF(AND(ABS(I1373)&gt;Dashboard!$G$6,ABS(J1373)&gt;Dashboard!$H$6),"⚠ Vượt","")</f>
        <v/>
      </c>
      <c r="M1373">
        <f>IF(AND(A1373=Dashboard!$D$6,OR(Dashboard!$C$6="*",F1373=Dashboard!$C$6),L1373&lt;&gt;""),ABS(I1373)+ROW()/1000000000,0)</f>
        <v/>
      </c>
    </row>
    <row r="1374">
      <c r="A1374">
        <f>Data_thang!A1374</f>
        <v/>
      </c>
      <c r="B1374">
        <f>Data_thang!B1374</f>
        <v/>
      </c>
      <c r="C1374">
        <f>Data_thang!D1374</f>
        <v/>
      </c>
      <c r="D1374">
        <f>Data_thang!E1374</f>
        <v/>
      </c>
      <c r="E1374">
        <f>Data_thang!F1374</f>
        <v/>
      </c>
      <c r="F1374">
        <f>Data_thang!G1374</f>
        <v/>
      </c>
      <c r="G1374" s="29">
        <f>Data_thang!J1374-Data_thang!K1374</f>
        <v/>
      </c>
      <c r="H1374" s="29">
        <f>Data_thang!N1374</f>
        <v/>
      </c>
      <c r="I1374" s="29">
        <f>H1374-G1374</f>
        <v/>
      </c>
      <c r="J1374" s="30">
        <f>IF(H1374=0,IF(I1374=0,0,1),I1374/ABS(H1374))</f>
        <v/>
      </c>
      <c r="K1374" s="29">
        <f>H1374-(Data_thang!O1374-Data_thang!K1374)</f>
        <v/>
      </c>
      <c r="L1374">
        <f>IF(AND(ABS(I1374)&gt;Dashboard!$G$6,ABS(J1374)&gt;Dashboard!$H$6),"⚠ Vượt","")</f>
        <v/>
      </c>
      <c r="M1374">
        <f>IF(AND(A1374=Dashboard!$D$6,OR(Dashboard!$C$6="*",F1374=Dashboard!$C$6),L1374&lt;&gt;""),ABS(I1374)+ROW()/1000000000,0)</f>
        <v/>
      </c>
    </row>
    <row r="1375">
      <c r="A1375">
        <f>Data_thang!A1375</f>
        <v/>
      </c>
      <c r="B1375">
        <f>Data_thang!B1375</f>
        <v/>
      </c>
      <c r="C1375">
        <f>Data_thang!D1375</f>
        <v/>
      </c>
      <c r="D1375">
        <f>Data_thang!E1375</f>
        <v/>
      </c>
      <c r="E1375">
        <f>Data_thang!F1375</f>
        <v/>
      </c>
      <c r="F1375">
        <f>Data_thang!G1375</f>
        <v/>
      </c>
      <c r="G1375" s="29">
        <f>Data_thang!J1375-Data_thang!K1375</f>
        <v/>
      </c>
      <c r="H1375" s="29">
        <f>Data_thang!N1375</f>
        <v/>
      </c>
      <c r="I1375" s="29">
        <f>H1375-G1375</f>
        <v/>
      </c>
      <c r="J1375" s="30">
        <f>IF(H1375=0,IF(I1375=0,0,1),I1375/ABS(H1375))</f>
        <v/>
      </c>
      <c r="K1375" s="29">
        <f>H1375-(Data_thang!O1375-Data_thang!K1375)</f>
        <v/>
      </c>
      <c r="L1375">
        <f>IF(AND(ABS(I1375)&gt;Dashboard!$G$6,ABS(J1375)&gt;Dashboard!$H$6),"⚠ Vượt","")</f>
        <v/>
      </c>
      <c r="M1375">
        <f>IF(AND(A1375=Dashboard!$D$6,OR(Dashboard!$C$6="*",F1375=Dashboard!$C$6),L1375&lt;&gt;""),ABS(I1375)+ROW()/1000000000,0)</f>
        <v/>
      </c>
    </row>
    <row r="1376">
      <c r="A1376">
        <f>Data_thang!A1376</f>
        <v/>
      </c>
      <c r="B1376">
        <f>Data_thang!B1376</f>
        <v/>
      </c>
      <c r="C1376">
        <f>Data_thang!D1376</f>
        <v/>
      </c>
      <c r="D1376">
        <f>Data_thang!E1376</f>
        <v/>
      </c>
      <c r="E1376">
        <f>Data_thang!F1376</f>
        <v/>
      </c>
      <c r="F1376">
        <f>Data_thang!G1376</f>
        <v/>
      </c>
      <c r="G1376" s="29">
        <f>Data_thang!J1376-Data_thang!K1376</f>
        <v/>
      </c>
      <c r="H1376" s="29">
        <f>Data_thang!N1376</f>
        <v/>
      </c>
      <c r="I1376" s="29">
        <f>H1376-G1376</f>
        <v/>
      </c>
      <c r="J1376" s="30">
        <f>IF(H1376=0,IF(I1376=0,0,1),I1376/ABS(H1376))</f>
        <v/>
      </c>
      <c r="K1376" s="29">
        <f>H1376-(Data_thang!O1376-Data_thang!K1376)</f>
        <v/>
      </c>
      <c r="L1376">
        <f>IF(AND(ABS(I1376)&gt;Dashboard!$G$6,ABS(J1376)&gt;Dashboard!$H$6),"⚠ Vượt","")</f>
        <v/>
      </c>
      <c r="M1376">
        <f>IF(AND(A1376=Dashboard!$D$6,OR(Dashboard!$C$6="*",F1376=Dashboard!$C$6),L1376&lt;&gt;""),ABS(I1376)+ROW()/1000000000,0)</f>
        <v/>
      </c>
    </row>
    <row r="1377">
      <c r="A1377">
        <f>Data_thang!A1377</f>
        <v/>
      </c>
      <c r="B1377">
        <f>Data_thang!B1377</f>
        <v/>
      </c>
      <c r="C1377">
        <f>Data_thang!D1377</f>
        <v/>
      </c>
      <c r="D1377">
        <f>Data_thang!E1377</f>
        <v/>
      </c>
      <c r="E1377">
        <f>Data_thang!F1377</f>
        <v/>
      </c>
      <c r="F1377">
        <f>Data_thang!G1377</f>
        <v/>
      </c>
      <c r="G1377" s="29">
        <f>Data_thang!J1377-Data_thang!K1377</f>
        <v/>
      </c>
      <c r="H1377" s="29">
        <f>Data_thang!N1377</f>
        <v/>
      </c>
      <c r="I1377" s="29">
        <f>H1377-G1377</f>
        <v/>
      </c>
      <c r="J1377" s="30">
        <f>IF(H1377=0,IF(I1377=0,0,1),I1377/ABS(H1377))</f>
        <v/>
      </c>
      <c r="K1377" s="29">
        <f>H1377-(Data_thang!O1377-Data_thang!K1377)</f>
        <v/>
      </c>
      <c r="L1377">
        <f>IF(AND(ABS(I1377)&gt;Dashboard!$G$6,ABS(J1377)&gt;Dashboard!$H$6),"⚠ Vượt","")</f>
        <v/>
      </c>
      <c r="M1377">
        <f>IF(AND(A1377=Dashboard!$D$6,OR(Dashboard!$C$6="*",F1377=Dashboard!$C$6),L1377&lt;&gt;""),ABS(I1377)+ROW()/1000000000,0)</f>
        <v/>
      </c>
    </row>
    <row r="1378">
      <c r="A1378">
        <f>Data_thang!A1378</f>
        <v/>
      </c>
      <c r="B1378">
        <f>Data_thang!B1378</f>
        <v/>
      </c>
      <c r="C1378">
        <f>Data_thang!D1378</f>
        <v/>
      </c>
      <c r="D1378">
        <f>Data_thang!E1378</f>
        <v/>
      </c>
      <c r="E1378">
        <f>Data_thang!F1378</f>
        <v/>
      </c>
      <c r="F1378">
        <f>Data_thang!G1378</f>
        <v/>
      </c>
      <c r="G1378" s="29">
        <f>Data_thang!J1378-Data_thang!K1378</f>
        <v/>
      </c>
      <c r="H1378" s="29">
        <f>Data_thang!N1378</f>
        <v/>
      </c>
      <c r="I1378" s="29">
        <f>H1378-G1378</f>
        <v/>
      </c>
      <c r="J1378" s="30">
        <f>IF(H1378=0,IF(I1378=0,0,1),I1378/ABS(H1378))</f>
        <v/>
      </c>
      <c r="K1378" s="29">
        <f>H1378-(Data_thang!O1378-Data_thang!K1378)</f>
        <v/>
      </c>
      <c r="L1378">
        <f>IF(AND(ABS(I1378)&gt;Dashboard!$G$6,ABS(J1378)&gt;Dashboard!$H$6),"⚠ Vượt","")</f>
        <v/>
      </c>
      <c r="M1378">
        <f>IF(AND(A1378=Dashboard!$D$6,OR(Dashboard!$C$6="*",F1378=Dashboard!$C$6),L1378&lt;&gt;""),ABS(I1378)+ROW()/1000000000,0)</f>
        <v/>
      </c>
    </row>
    <row r="1379">
      <c r="A1379">
        <f>Data_thang!A1379</f>
        <v/>
      </c>
      <c r="B1379">
        <f>Data_thang!B1379</f>
        <v/>
      </c>
      <c r="C1379">
        <f>Data_thang!D1379</f>
        <v/>
      </c>
      <c r="D1379">
        <f>Data_thang!E1379</f>
        <v/>
      </c>
      <c r="E1379">
        <f>Data_thang!F1379</f>
        <v/>
      </c>
      <c r="F1379">
        <f>Data_thang!G1379</f>
        <v/>
      </c>
      <c r="G1379" s="29">
        <f>Data_thang!J1379-Data_thang!K1379</f>
        <v/>
      </c>
      <c r="H1379" s="29">
        <f>Data_thang!N1379</f>
        <v/>
      </c>
      <c r="I1379" s="29">
        <f>H1379-G1379</f>
        <v/>
      </c>
      <c r="J1379" s="30">
        <f>IF(H1379=0,IF(I1379=0,0,1),I1379/ABS(H1379))</f>
        <v/>
      </c>
      <c r="K1379" s="29">
        <f>H1379-(Data_thang!O1379-Data_thang!K1379)</f>
        <v/>
      </c>
      <c r="L1379">
        <f>IF(AND(ABS(I1379)&gt;Dashboard!$G$6,ABS(J1379)&gt;Dashboard!$H$6),"⚠ Vượt","")</f>
        <v/>
      </c>
      <c r="M1379">
        <f>IF(AND(A1379=Dashboard!$D$6,OR(Dashboard!$C$6="*",F1379=Dashboard!$C$6),L1379&lt;&gt;""),ABS(I1379)+ROW()/1000000000,0)</f>
        <v/>
      </c>
    </row>
    <row r="1380">
      <c r="A1380">
        <f>Data_thang!A1380</f>
        <v/>
      </c>
      <c r="B1380">
        <f>Data_thang!B1380</f>
        <v/>
      </c>
      <c r="C1380">
        <f>Data_thang!D1380</f>
        <v/>
      </c>
      <c r="D1380">
        <f>Data_thang!E1380</f>
        <v/>
      </c>
      <c r="E1380">
        <f>Data_thang!F1380</f>
        <v/>
      </c>
      <c r="F1380">
        <f>Data_thang!G1380</f>
        <v/>
      </c>
      <c r="G1380" s="29">
        <f>Data_thang!J1380-Data_thang!K1380</f>
        <v/>
      </c>
      <c r="H1380" s="29">
        <f>Data_thang!N1380</f>
        <v/>
      </c>
      <c r="I1380" s="29">
        <f>H1380-G1380</f>
        <v/>
      </c>
      <c r="J1380" s="30">
        <f>IF(H1380=0,IF(I1380=0,0,1),I1380/ABS(H1380))</f>
        <v/>
      </c>
      <c r="K1380" s="29">
        <f>H1380-(Data_thang!O1380-Data_thang!K1380)</f>
        <v/>
      </c>
      <c r="L1380">
        <f>IF(AND(ABS(I1380)&gt;Dashboard!$G$6,ABS(J1380)&gt;Dashboard!$H$6),"⚠ Vượt","")</f>
        <v/>
      </c>
      <c r="M1380">
        <f>IF(AND(A1380=Dashboard!$D$6,OR(Dashboard!$C$6="*",F1380=Dashboard!$C$6),L1380&lt;&gt;""),ABS(I1380)+ROW()/1000000000,0)</f>
        <v/>
      </c>
    </row>
    <row r="1381">
      <c r="A1381">
        <f>Data_thang!A1381</f>
        <v/>
      </c>
      <c r="B1381">
        <f>Data_thang!B1381</f>
        <v/>
      </c>
      <c r="C1381">
        <f>Data_thang!D1381</f>
        <v/>
      </c>
      <c r="D1381">
        <f>Data_thang!E1381</f>
        <v/>
      </c>
      <c r="E1381">
        <f>Data_thang!F1381</f>
        <v/>
      </c>
      <c r="F1381">
        <f>Data_thang!G1381</f>
        <v/>
      </c>
      <c r="G1381" s="29">
        <f>Data_thang!J1381-Data_thang!K1381</f>
        <v/>
      </c>
      <c r="H1381" s="29">
        <f>Data_thang!N1381</f>
        <v/>
      </c>
      <c r="I1381" s="29">
        <f>H1381-G1381</f>
        <v/>
      </c>
      <c r="J1381" s="30">
        <f>IF(H1381=0,IF(I1381=0,0,1),I1381/ABS(H1381))</f>
        <v/>
      </c>
      <c r="K1381" s="29">
        <f>H1381-(Data_thang!O1381-Data_thang!K1381)</f>
        <v/>
      </c>
      <c r="L1381">
        <f>IF(AND(ABS(I1381)&gt;Dashboard!$G$6,ABS(J1381)&gt;Dashboard!$H$6),"⚠ Vượt","")</f>
        <v/>
      </c>
      <c r="M1381">
        <f>IF(AND(A1381=Dashboard!$D$6,OR(Dashboard!$C$6="*",F1381=Dashboard!$C$6),L1381&lt;&gt;""),ABS(I1381)+ROW()/1000000000,0)</f>
        <v/>
      </c>
    </row>
    <row r="1382">
      <c r="A1382">
        <f>Data_thang!A1382</f>
        <v/>
      </c>
      <c r="B1382">
        <f>Data_thang!B1382</f>
        <v/>
      </c>
      <c r="C1382">
        <f>Data_thang!D1382</f>
        <v/>
      </c>
      <c r="D1382">
        <f>Data_thang!E1382</f>
        <v/>
      </c>
      <c r="E1382">
        <f>Data_thang!F1382</f>
        <v/>
      </c>
      <c r="F1382">
        <f>Data_thang!G1382</f>
        <v/>
      </c>
      <c r="G1382" s="29">
        <f>Data_thang!J1382-Data_thang!K1382</f>
        <v/>
      </c>
      <c r="H1382" s="29">
        <f>Data_thang!N1382</f>
        <v/>
      </c>
      <c r="I1382" s="29">
        <f>H1382-G1382</f>
        <v/>
      </c>
      <c r="J1382" s="30">
        <f>IF(H1382=0,IF(I1382=0,0,1),I1382/ABS(H1382))</f>
        <v/>
      </c>
      <c r="K1382" s="29">
        <f>H1382-(Data_thang!O1382-Data_thang!K1382)</f>
        <v/>
      </c>
      <c r="L1382">
        <f>IF(AND(ABS(I1382)&gt;Dashboard!$G$6,ABS(J1382)&gt;Dashboard!$H$6),"⚠ Vượt","")</f>
        <v/>
      </c>
      <c r="M1382">
        <f>IF(AND(A1382=Dashboard!$D$6,OR(Dashboard!$C$6="*",F1382=Dashboard!$C$6),L1382&lt;&gt;""),ABS(I1382)+ROW()/1000000000,0)</f>
        <v/>
      </c>
    </row>
    <row r="1383">
      <c r="A1383">
        <f>Data_thang!A1383</f>
        <v/>
      </c>
      <c r="B1383">
        <f>Data_thang!B1383</f>
        <v/>
      </c>
      <c r="C1383">
        <f>Data_thang!D1383</f>
        <v/>
      </c>
      <c r="D1383">
        <f>Data_thang!E1383</f>
        <v/>
      </c>
      <c r="E1383">
        <f>Data_thang!F1383</f>
        <v/>
      </c>
      <c r="F1383">
        <f>Data_thang!G1383</f>
        <v/>
      </c>
      <c r="G1383" s="29">
        <f>Data_thang!J1383-Data_thang!K1383</f>
        <v/>
      </c>
      <c r="H1383" s="29">
        <f>Data_thang!N1383</f>
        <v/>
      </c>
      <c r="I1383" s="29">
        <f>H1383-G1383</f>
        <v/>
      </c>
      <c r="J1383" s="30">
        <f>IF(H1383=0,IF(I1383=0,0,1),I1383/ABS(H1383))</f>
        <v/>
      </c>
      <c r="K1383" s="29">
        <f>H1383-(Data_thang!O1383-Data_thang!K1383)</f>
        <v/>
      </c>
      <c r="L1383">
        <f>IF(AND(ABS(I1383)&gt;Dashboard!$G$6,ABS(J1383)&gt;Dashboard!$H$6),"⚠ Vượt","")</f>
        <v/>
      </c>
      <c r="M1383">
        <f>IF(AND(A1383=Dashboard!$D$6,OR(Dashboard!$C$6="*",F1383=Dashboard!$C$6),L1383&lt;&gt;""),ABS(I1383)+ROW()/1000000000,0)</f>
        <v/>
      </c>
    </row>
    <row r="1384">
      <c r="A1384">
        <f>Data_thang!A1384</f>
        <v/>
      </c>
      <c r="B1384">
        <f>Data_thang!B1384</f>
        <v/>
      </c>
      <c r="C1384">
        <f>Data_thang!D1384</f>
        <v/>
      </c>
      <c r="D1384">
        <f>Data_thang!E1384</f>
        <v/>
      </c>
      <c r="E1384">
        <f>Data_thang!F1384</f>
        <v/>
      </c>
      <c r="F1384">
        <f>Data_thang!G1384</f>
        <v/>
      </c>
      <c r="G1384" s="29">
        <f>Data_thang!J1384-Data_thang!K1384</f>
        <v/>
      </c>
      <c r="H1384" s="29">
        <f>Data_thang!N1384</f>
        <v/>
      </c>
      <c r="I1384" s="29">
        <f>H1384-G1384</f>
        <v/>
      </c>
      <c r="J1384" s="30">
        <f>IF(H1384=0,IF(I1384=0,0,1),I1384/ABS(H1384))</f>
        <v/>
      </c>
      <c r="K1384" s="29">
        <f>H1384-(Data_thang!O1384-Data_thang!K1384)</f>
        <v/>
      </c>
      <c r="L1384">
        <f>IF(AND(ABS(I1384)&gt;Dashboard!$G$6,ABS(J1384)&gt;Dashboard!$H$6),"⚠ Vượt","")</f>
        <v/>
      </c>
      <c r="M1384">
        <f>IF(AND(A1384=Dashboard!$D$6,OR(Dashboard!$C$6="*",F1384=Dashboard!$C$6),L1384&lt;&gt;""),ABS(I1384)+ROW()/1000000000,0)</f>
        <v/>
      </c>
    </row>
    <row r="1385">
      <c r="A1385">
        <f>Data_thang!A1385</f>
        <v/>
      </c>
      <c r="B1385">
        <f>Data_thang!B1385</f>
        <v/>
      </c>
      <c r="C1385">
        <f>Data_thang!D1385</f>
        <v/>
      </c>
      <c r="D1385">
        <f>Data_thang!E1385</f>
        <v/>
      </c>
      <c r="E1385">
        <f>Data_thang!F1385</f>
        <v/>
      </c>
      <c r="F1385">
        <f>Data_thang!G1385</f>
        <v/>
      </c>
      <c r="G1385" s="29">
        <f>Data_thang!J1385-Data_thang!K1385</f>
        <v/>
      </c>
      <c r="H1385" s="29">
        <f>Data_thang!N1385</f>
        <v/>
      </c>
      <c r="I1385" s="29">
        <f>H1385-G1385</f>
        <v/>
      </c>
      <c r="J1385" s="30">
        <f>IF(H1385=0,IF(I1385=0,0,1),I1385/ABS(H1385))</f>
        <v/>
      </c>
      <c r="K1385" s="29">
        <f>H1385-(Data_thang!O1385-Data_thang!K1385)</f>
        <v/>
      </c>
      <c r="L1385">
        <f>IF(AND(ABS(I1385)&gt;Dashboard!$G$6,ABS(J1385)&gt;Dashboard!$H$6),"⚠ Vượt","")</f>
        <v/>
      </c>
      <c r="M1385">
        <f>IF(AND(A1385=Dashboard!$D$6,OR(Dashboard!$C$6="*",F1385=Dashboard!$C$6),L1385&lt;&gt;""),ABS(I1385)+ROW()/1000000000,0)</f>
        <v/>
      </c>
    </row>
    <row r="1386">
      <c r="A1386">
        <f>Data_thang!A1386</f>
        <v/>
      </c>
      <c r="B1386">
        <f>Data_thang!B1386</f>
        <v/>
      </c>
      <c r="C1386">
        <f>Data_thang!D1386</f>
        <v/>
      </c>
      <c r="D1386">
        <f>Data_thang!E1386</f>
        <v/>
      </c>
      <c r="E1386">
        <f>Data_thang!F1386</f>
        <v/>
      </c>
      <c r="F1386">
        <f>Data_thang!G1386</f>
        <v/>
      </c>
      <c r="G1386" s="29">
        <f>Data_thang!J1386-Data_thang!K1386</f>
        <v/>
      </c>
      <c r="H1386" s="29">
        <f>Data_thang!N1386</f>
        <v/>
      </c>
      <c r="I1386" s="29">
        <f>H1386-G1386</f>
        <v/>
      </c>
      <c r="J1386" s="30">
        <f>IF(H1386=0,IF(I1386=0,0,1),I1386/ABS(H1386))</f>
        <v/>
      </c>
      <c r="K1386" s="29">
        <f>H1386-(Data_thang!O1386-Data_thang!K1386)</f>
        <v/>
      </c>
      <c r="L1386">
        <f>IF(AND(ABS(I1386)&gt;Dashboard!$G$6,ABS(J1386)&gt;Dashboard!$H$6),"⚠ Vượt","")</f>
        <v/>
      </c>
      <c r="M1386">
        <f>IF(AND(A1386=Dashboard!$D$6,OR(Dashboard!$C$6="*",F1386=Dashboard!$C$6),L1386&lt;&gt;""),ABS(I1386)+ROW()/1000000000,0)</f>
        <v/>
      </c>
    </row>
    <row r="1387">
      <c r="A1387">
        <f>Data_thang!A1387</f>
        <v/>
      </c>
      <c r="B1387">
        <f>Data_thang!B1387</f>
        <v/>
      </c>
      <c r="C1387">
        <f>Data_thang!D1387</f>
        <v/>
      </c>
      <c r="D1387">
        <f>Data_thang!E1387</f>
        <v/>
      </c>
      <c r="E1387">
        <f>Data_thang!F1387</f>
        <v/>
      </c>
      <c r="F1387">
        <f>Data_thang!G1387</f>
        <v/>
      </c>
      <c r="G1387" s="29">
        <f>Data_thang!J1387-Data_thang!K1387</f>
        <v/>
      </c>
      <c r="H1387" s="29">
        <f>Data_thang!N1387</f>
        <v/>
      </c>
      <c r="I1387" s="29">
        <f>H1387-G1387</f>
        <v/>
      </c>
      <c r="J1387" s="30">
        <f>IF(H1387=0,IF(I1387=0,0,1),I1387/ABS(H1387))</f>
        <v/>
      </c>
      <c r="K1387" s="29">
        <f>H1387-(Data_thang!O1387-Data_thang!K1387)</f>
        <v/>
      </c>
      <c r="L1387">
        <f>IF(AND(ABS(I1387)&gt;Dashboard!$G$6,ABS(J1387)&gt;Dashboard!$H$6),"⚠ Vượt","")</f>
        <v/>
      </c>
      <c r="M1387">
        <f>IF(AND(A1387=Dashboard!$D$6,OR(Dashboard!$C$6="*",F1387=Dashboard!$C$6),L1387&lt;&gt;""),ABS(I1387)+ROW()/1000000000,0)</f>
        <v/>
      </c>
    </row>
    <row r="1388">
      <c r="A1388">
        <f>Data_thang!A1388</f>
        <v/>
      </c>
      <c r="B1388">
        <f>Data_thang!B1388</f>
        <v/>
      </c>
      <c r="C1388">
        <f>Data_thang!D1388</f>
        <v/>
      </c>
      <c r="D1388">
        <f>Data_thang!E1388</f>
        <v/>
      </c>
      <c r="E1388">
        <f>Data_thang!F1388</f>
        <v/>
      </c>
      <c r="F1388">
        <f>Data_thang!G1388</f>
        <v/>
      </c>
      <c r="G1388" s="29">
        <f>Data_thang!J1388-Data_thang!K1388</f>
        <v/>
      </c>
      <c r="H1388" s="29">
        <f>Data_thang!N1388</f>
        <v/>
      </c>
      <c r="I1388" s="29">
        <f>H1388-G1388</f>
        <v/>
      </c>
      <c r="J1388" s="30">
        <f>IF(H1388=0,IF(I1388=0,0,1),I1388/ABS(H1388))</f>
        <v/>
      </c>
      <c r="K1388" s="29">
        <f>H1388-(Data_thang!O1388-Data_thang!K1388)</f>
        <v/>
      </c>
      <c r="L1388">
        <f>IF(AND(ABS(I1388)&gt;Dashboard!$G$6,ABS(J1388)&gt;Dashboard!$H$6),"⚠ Vượt","")</f>
        <v/>
      </c>
      <c r="M1388">
        <f>IF(AND(A1388=Dashboard!$D$6,OR(Dashboard!$C$6="*",F1388=Dashboard!$C$6),L1388&lt;&gt;""),ABS(I1388)+ROW()/1000000000,0)</f>
        <v/>
      </c>
    </row>
    <row r="1389">
      <c r="A1389">
        <f>Data_thang!A1389</f>
        <v/>
      </c>
      <c r="B1389">
        <f>Data_thang!B1389</f>
        <v/>
      </c>
      <c r="C1389">
        <f>Data_thang!D1389</f>
        <v/>
      </c>
      <c r="D1389">
        <f>Data_thang!E1389</f>
        <v/>
      </c>
      <c r="E1389">
        <f>Data_thang!F1389</f>
        <v/>
      </c>
      <c r="F1389">
        <f>Data_thang!G1389</f>
        <v/>
      </c>
      <c r="G1389" s="29">
        <f>Data_thang!J1389-Data_thang!K1389</f>
        <v/>
      </c>
      <c r="H1389" s="29">
        <f>Data_thang!N1389</f>
        <v/>
      </c>
      <c r="I1389" s="29">
        <f>H1389-G1389</f>
        <v/>
      </c>
      <c r="J1389" s="30">
        <f>IF(H1389=0,IF(I1389=0,0,1),I1389/ABS(H1389))</f>
        <v/>
      </c>
      <c r="K1389" s="29">
        <f>H1389-(Data_thang!O1389-Data_thang!K1389)</f>
        <v/>
      </c>
      <c r="L1389">
        <f>IF(AND(ABS(I1389)&gt;Dashboard!$G$6,ABS(J1389)&gt;Dashboard!$H$6),"⚠ Vượt","")</f>
        <v/>
      </c>
      <c r="M1389">
        <f>IF(AND(A1389=Dashboard!$D$6,OR(Dashboard!$C$6="*",F1389=Dashboard!$C$6),L1389&lt;&gt;""),ABS(I1389)+ROW()/1000000000,0)</f>
        <v/>
      </c>
    </row>
    <row r="1390">
      <c r="A1390">
        <f>Data_thang!A1390</f>
        <v/>
      </c>
      <c r="B1390">
        <f>Data_thang!B1390</f>
        <v/>
      </c>
      <c r="C1390">
        <f>Data_thang!D1390</f>
        <v/>
      </c>
      <c r="D1390">
        <f>Data_thang!E1390</f>
        <v/>
      </c>
      <c r="E1390">
        <f>Data_thang!F1390</f>
        <v/>
      </c>
      <c r="F1390">
        <f>Data_thang!G1390</f>
        <v/>
      </c>
      <c r="G1390" s="29">
        <f>Data_thang!J1390-Data_thang!K1390</f>
        <v/>
      </c>
      <c r="H1390" s="29">
        <f>Data_thang!N1390</f>
        <v/>
      </c>
      <c r="I1390" s="29">
        <f>H1390-G1390</f>
        <v/>
      </c>
      <c r="J1390" s="30">
        <f>IF(H1390=0,IF(I1390=0,0,1),I1390/ABS(H1390))</f>
        <v/>
      </c>
      <c r="K1390" s="29">
        <f>H1390-(Data_thang!O1390-Data_thang!K1390)</f>
        <v/>
      </c>
      <c r="L1390">
        <f>IF(AND(ABS(I1390)&gt;Dashboard!$G$6,ABS(J1390)&gt;Dashboard!$H$6),"⚠ Vượt","")</f>
        <v/>
      </c>
      <c r="M1390">
        <f>IF(AND(A1390=Dashboard!$D$6,OR(Dashboard!$C$6="*",F1390=Dashboard!$C$6),L1390&lt;&gt;""),ABS(I1390)+ROW()/1000000000,0)</f>
        <v/>
      </c>
    </row>
    <row r="1391">
      <c r="A1391">
        <f>Data_thang!A1391</f>
        <v/>
      </c>
      <c r="B1391">
        <f>Data_thang!B1391</f>
        <v/>
      </c>
      <c r="C1391">
        <f>Data_thang!D1391</f>
        <v/>
      </c>
      <c r="D1391">
        <f>Data_thang!E1391</f>
        <v/>
      </c>
      <c r="E1391">
        <f>Data_thang!F1391</f>
        <v/>
      </c>
      <c r="F1391">
        <f>Data_thang!G1391</f>
        <v/>
      </c>
      <c r="G1391" s="29">
        <f>Data_thang!J1391-Data_thang!K1391</f>
        <v/>
      </c>
      <c r="H1391" s="29">
        <f>Data_thang!N1391</f>
        <v/>
      </c>
      <c r="I1391" s="29">
        <f>H1391-G1391</f>
        <v/>
      </c>
      <c r="J1391" s="30">
        <f>IF(H1391=0,IF(I1391=0,0,1),I1391/ABS(H1391))</f>
        <v/>
      </c>
      <c r="K1391" s="29">
        <f>H1391-(Data_thang!O1391-Data_thang!K1391)</f>
        <v/>
      </c>
      <c r="L1391">
        <f>IF(AND(ABS(I1391)&gt;Dashboard!$G$6,ABS(J1391)&gt;Dashboard!$H$6),"⚠ Vượt","")</f>
        <v/>
      </c>
      <c r="M1391">
        <f>IF(AND(A1391=Dashboard!$D$6,OR(Dashboard!$C$6="*",F1391=Dashboard!$C$6),L1391&lt;&gt;""),ABS(I1391)+ROW()/1000000000,0)</f>
        <v/>
      </c>
    </row>
    <row r="1392">
      <c r="A1392">
        <f>Data_thang!A1392</f>
        <v/>
      </c>
      <c r="B1392">
        <f>Data_thang!B1392</f>
        <v/>
      </c>
      <c r="C1392">
        <f>Data_thang!D1392</f>
        <v/>
      </c>
      <c r="D1392">
        <f>Data_thang!E1392</f>
        <v/>
      </c>
      <c r="E1392">
        <f>Data_thang!F1392</f>
        <v/>
      </c>
      <c r="F1392">
        <f>Data_thang!G1392</f>
        <v/>
      </c>
      <c r="G1392" s="29">
        <f>Data_thang!J1392-Data_thang!K1392</f>
        <v/>
      </c>
      <c r="H1392" s="29">
        <f>Data_thang!N1392</f>
        <v/>
      </c>
      <c r="I1392" s="29">
        <f>H1392-G1392</f>
        <v/>
      </c>
      <c r="J1392" s="30">
        <f>IF(H1392=0,IF(I1392=0,0,1),I1392/ABS(H1392))</f>
        <v/>
      </c>
      <c r="K1392" s="29">
        <f>H1392-(Data_thang!O1392-Data_thang!K1392)</f>
        <v/>
      </c>
      <c r="L1392">
        <f>IF(AND(ABS(I1392)&gt;Dashboard!$G$6,ABS(J1392)&gt;Dashboard!$H$6),"⚠ Vượt","")</f>
        <v/>
      </c>
      <c r="M1392">
        <f>IF(AND(A1392=Dashboard!$D$6,OR(Dashboard!$C$6="*",F1392=Dashboard!$C$6),L1392&lt;&gt;""),ABS(I1392)+ROW()/1000000000,0)</f>
        <v/>
      </c>
    </row>
    <row r="1393">
      <c r="A1393">
        <f>Data_thang!A1393</f>
        <v/>
      </c>
      <c r="B1393">
        <f>Data_thang!B1393</f>
        <v/>
      </c>
      <c r="C1393">
        <f>Data_thang!D1393</f>
        <v/>
      </c>
      <c r="D1393">
        <f>Data_thang!E1393</f>
        <v/>
      </c>
      <c r="E1393">
        <f>Data_thang!F1393</f>
        <v/>
      </c>
      <c r="F1393">
        <f>Data_thang!G1393</f>
        <v/>
      </c>
      <c r="G1393" s="29">
        <f>Data_thang!J1393-Data_thang!K1393</f>
        <v/>
      </c>
      <c r="H1393" s="29">
        <f>Data_thang!N1393</f>
        <v/>
      </c>
      <c r="I1393" s="29">
        <f>H1393-G1393</f>
        <v/>
      </c>
      <c r="J1393" s="30">
        <f>IF(H1393=0,IF(I1393=0,0,1),I1393/ABS(H1393))</f>
        <v/>
      </c>
      <c r="K1393" s="29">
        <f>H1393-(Data_thang!O1393-Data_thang!K1393)</f>
        <v/>
      </c>
      <c r="L1393">
        <f>IF(AND(ABS(I1393)&gt;Dashboard!$G$6,ABS(J1393)&gt;Dashboard!$H$6),"⚠ Vượt","")</f>
        <v/>
      </c>
      <c r="M1393">
        <f>IF(AND(A1393=Dashboard!$D$6,OR(Dashboard!$C$6="*",F1393=Dashboard!$C$6),L1393&lt;&gt;""),ABS(I1393)+ROW()/1000000000,0)</f>
        <v/>
      </c>
    </row>
    <row r="1394">
      <c r="A1394">
        <f>Data_thang!A1394</f>
        <v/>
      </c>
      <c r="B1394">
        <f>Data_thang!B1394</f>
        <v/>
      </c>
      <c r="C1394">
        <f>Data_thang!D1394</f>
        <v/>
      </c>
      <c r="D1394">
        <f>Data_thang!E1394</f>
        <v/>
      </c>
      <c r="E1394">
        <f>Data_thang!F1394</f>
        <v/>
      </c>
      <c r="F1394">
        <f>Data_thang!G1394</f>
        <v/>
      </c>
      <c r="G1394" s="29">
        <f>Data_thang!J1394-Data_thang!K1394</f>
        <v/>
      </c>
      <c r="H1394" s="29">
        <f>Data_thang!N1394</f>
        <v/>
      </c>
      <c r="I1394" s="29">
        <f>H1394-G1394</f>
        <v/>
      </c>
      <c r="J1394" s="30">
        <f>IF(H1394=0,IF(I1394=0,0,1),I1394/ABS(H1394))</f>
        <v/>
      </c>
      <c r="K1394" s="29">
        <f>H1394-(Data_thang!O1394-Data_thang!K1394)</f>
        <v/>
      </c>
      <c r="L1394">
        <f>IF(AND(ABS(I1394)&gt;Dashboard!$G$6,ABS(J1394)&gt;Dashboard!$H$6),"⚠ Vượt","")</f>
        <v/>
      </c>
      <c r="M1394">
        <f>IF(AND(A1394=Dashboard!$D$6,OR(Dashboard!$C$6="*",F1394=Dashboard!$C$6),L1394&lt;&gt;""),ABS(I1394)+ROW()/1000000000,0)</f>
        <v/>
      </c>
    </row>
    <row r="1395">
      <c r="A1395">
        <f>Data_thang!A1395</f>
        <v/>
      </c>
      <c r="B1395">
        <f>Data_thang!B1395</f>
        <v/>
      </c>
      <c r="C1395">
        <f>Data_thang!D1395</f>
        <v/>
      </c>
      <c r="D1395">
        <f>Data_thang!E1395</f>
        <v/>
      </c>
      <c r="E1395">
        <f>Data_thang!F1395</f>
        <v/>
      </c>
      <c r="F1395">
        <f>Data_thang!G1395</f>
        <v/>
      </c>
      <c r="G1395" s="29">
        <f>Data_thang!J1395-Data_thang!K1395</f>
        <v/>
      </c>
      <c r="H1395" s="29">
        <f>Data_thang!N1395</f>
        <v/>
      </c>
      <c r="I1395" s="29">
        <f>H1395-G1395</f>
        <v/>
      </c>
      <c r="J1395" s="30">
        <f>IF(H1395=0,IF(I1395=0,0,1),I1395/ABS(H1395))</f>
        <v/>
      </c>
      <c r="K1395" s="29">
        <f>H1395-(Data_thang!O1395-Data_thang!K1395)</f>
        <v/>
      </c>
      <c r="L1395">
        <f>IF(AND(ABS(I1395)&gt;Dashboard!$G$6,ABS(J1395)&gt;Dashboard!$H$6),"⚠ Vượt","")</f>
        <v/>
      </c>
      <c r="M1395">
        <f>IF(AND(A1395=Dashboard!$D$6,OR(Dashboard!$C$6="*",F1395=Dashboard!$C$6),L1395&lt;&gt;""),ABS(I1395)+ROW()/1000000000,0)</f>
        <v/>
      </c>
    </row>
    <row r="1396">
      <c r="A1396">
        <f>Data_thang!A1396</f>
        <v/>
      </c>
      <c r="B1396">
        <f>Data_thang!B1396</f>
        <v/>
      </c>
      <c r="C1396">
        <f>Data_thang!D1396</f>
        <v/>
      </c>
      <c r="D1396">
        <f>Data_thang!E1396</f>
        <v/>
      </c>
      <c r="E1396">
        <f>Data_thang!F1396</f>
        <v/>
      </c>
      <c r="F1396">
        <f>Data_thang!G1396</f>
        <v/>
      </c>
      <c r="G1396" s="29">
        <f>Data_thang!J1396-Data_thang!K1396</f>
        <v/>
      </c>
      <c r="H1396" s="29">
        <f>Data_thang!N1396</f>
        <v/>
      </c>
      <c r="I1396" s="29">
        <f>H1396-G1396</f>
        <v/>
      </c>
      <c r="J1396" s="30">
        <f>IF(H1396=0,IF(I1396=0,0,1),I1396/ABS(H1396))</f>
        <v/>
      </c>
      <c r="K1396" s="29">
        <f>H1396-(Data_thang!O1396-Data_thang!K1396)</f>
        <v/>
      </c>
      <c r="L1396">
        <f>IF(AND(ABS(I1396)&gt;Dashboard!$G$6,ABS(J1396)&gt;Dashboard!$H$6),"⚠ Vượt","")</f>
        <v/>
      </c>
      <c r="M1396">
        <f>IF(AND(A1396=Dashboard!$D$6,OR(Dashboard!$C$6="*",F1396=Dashboard!$C$6),L1396&lt;&gt;""),ABS(I1396)+ROW()/1000000000,0)</f>
        <v/>
      </c>
    </row>
    <row r="1397">
      <c r="A1397">
        <f>Data_thang!A1397</f>
        <v/>
      </c>
      <c r="B1397">
        <f>Data_thang!B1397</f>
        <v/>
      </c>
      <c r="C1397">
        <f>Data_thang!D1397</f>
        <v/>
      </c>
      <c r="D1397">
        <f>Data_thang!E1397</f>
        <v/>
      </c>
      <c r="E1397">
        <f>Data_thang!F1397</f>
        <v/>
      </c>
      <c r="F1397">
        <f>Data_thang!G1397</f>
        <v/>
      </c>
      <c r="G1397" s="29">
        <f>Data_thang!J1397-Data_thang!K1397</f>
        <v/>
      </c>
      <c r="H1397" s="29">
        <f>Data_thang!N1397</f>
        <v/>
      </c>
      <c r="I1397" s="29">
        <f>H1397-G1397</f>
        <v/>
      </c>
      <c r="J1397" s="30">
        <f>IF(H1397=0,IF(I1397=0,0,1),I1397/ABS(H1397))</f>
        <v/>
      </c>
      <c r="K1397" s="29">
        <f>H1397-(Data_thang!O1397-Data_thang!K1397)</f>
        <v/>
      </c>
      <c r="L1397">
        <f>IF(AND(ABS(I1397)&gt;Dashboard!$G$6,ABS(J1397)&gt;Dashboard!$H$6),"⚠ Vượt","")</f>
        <v/>
      </c>
      <c r="M1397">
        <f>IF(AND(A1397=Dashboard!$D$6,OR(Dashboard!$C$6="*",F1397=Dashboard!$C$6),L1397&lt;&gt;""),ABS(I1397)+ROW()/1000000000,0)</f>
        <v/>
      </c>
    </row>
    <row r="1398">
      <c r="A1398">
        <f>Data_thang!A1398</f>
        <v/>
      </c>
      <c r="B1398">
        <f>Data_thang!B1398</f>
        <v/>
      </c>
      <c r="C1398">
        <f>Data_thang!D1398</f>
        <v/>
      </c>
      <c r="D1398">
        <f>Data_thang!E1398</f>
        <v/>
      </c>
      <c r="E1398">
        <f>Data_thang!F1398</f>
        <v/>
      </c>
      <c r="F1398">
        <f>Data_thang!G1398</f>
        <v/>
      </c>
      <c r="G1398" s="29">
        <f>Data_thang!J1398-Data_thang!K1398</f>
        <v/>
      </c>
      <c r="H1398" s="29">
        <f>Data_thang!N1398</f>
        <v/>
      </c>
      <c r="I1398" s="29">
        <f>H1398-G1398</f>
        <v/>
      </c>
      <c r="J1398" s="30">
        <f>IF(H1398=0,IF(I1398=0,0,1),I1398/ABS(H1398))</f>
        <v/>
      </c>
      <c r="K1398" s="29">
        <f>H1398-(Data_thang!O1398-Data_thang!K1398)</f>
        <v/>
      </c>
      <c r="L1398">
        <f>IF(AND(ABS(I1398)&gt;Dashboard!$G$6,ABS(J1398)&gt;Dashboard!$H$6),"⚠ Vượt","")</f>
        <v/>
      </c>
      <c r="M1398">
        <f>IF(AND(A1398=Dashboard!$D$6,OR(Dashboard!$C$6="*",F1398=Dashboard!$C$6),L1398&lt;&gt;""),ABS(I1398)+ROW()/1000000000,0)</f>
        <v/>
      </c>
    </row>
    <row r="1399">
      <c r="A1399">
        <f>Data_thang!A1399</f>
        <v/>
      </c>
      <c r="B1399">
        <f>Data_thang!B1399</f>
        <v/>
      </c>
      <c r="C1399">
        <f>Data_thang!D1399</f>
        <v/>
      </c>
      <c r="D1399">
        <f>Data_thang!E1399</f>
        <v/>
      </c>
      <c r="E1399">
        <f>Data_thang!F1399</f>
        <v/>
      </c>
      <c r="F1399">
        <f>Data_thang!G1399</f>
        <v/>
      </c>
      <c r="G1399" s="29">
        <f>Data_thang!J1399-Data_thang!K1399</f>
        <v/>
      </c>
      <c r="H1399" s="29">
        <f>Data_thang!N1399</f>
        <v/>
      </c>
      <c r="I1399" s="29">
        <f>H1399-G1399</f>
        <v/>
      </c>
      <c r="J1399" s="30">
        <f>IF(H1399=0,IF(I1399=0,0,1),I1399/ABS(H1399))</f>
        <v/>
      </c>
      <c r="K1399" s="29">
        <f>H1399-(Data_thang!O1399-Data_thang!K1399)</f>
        <v/>
      </c>
      <c r="L1399">
        <f>IF(AND(ABS(I1399)&gt;Dashboard!$G$6,ABS(J1399)&gt;Dashboard!$H$6),"⚠ Vượt","")</f>
        <v/>
      </c>
      <c r="M1399">
        <f>IF(AND(A1399=Dashboard!$D$6,OR(Dashboard!$C$6="*",F1399=Dashboard!$C$6),L1399&lt;&gt;""),ABS(I1399)+ROW()/1000000000,0)</f>
        <v/>
      </c>
    </row>
    <row r="1400">
      <c r="A1400">
        <f>Data_thang!A1400</f>
        <v/>
      </c>
      <c r="B1400">
        <f>Data_thang!B1400</f>
        <v/>
      </c>
      <c r="C1400">
        <f>Data_thang!D1400</f>
        <v/>
      </c>
      <c r="D1400">
        <f>Data_thang!E1400</f>
        <v/>
      </c>
      <c r="E1400">
        <f>Data_thang!F1400</f>
        <v/>
      </c>
      <c r="F1400">
        <f>Data_thang!G1400</f>
        <v/>
      </c>
      <c r="G1400" s="29">
        <f>Data_thang!J1400-Data_thang!K1400</f>
        <v/>
      </c>
      <c r="H1400" s="29">
        <f>Data_thang!N1400</f>
        <v/>
      </c>
      <c r="I1400" s="29">
        <f>H1400-G1400</f>
        <v/>
      </c>
      <c r="J1400" s="30">
        <f>IF(H1400=0,IF(I1400=0,0,1),I1400/ABS(H1400))</f>
        <v/>
      </c>
      <c r="K1400" s="29">
        <f>H1400-(Data_thang!O1400-Data_thang!K1400)</f>
        <v/>
      </c>
      <c r="L1400">
        <f>IF(AND(ABS(I1400)&gt;Dashboard!$G$6,ABS(J1400)&gt;Dashboard!$H$6),"⚠ Vượt","")</f>
        <v/>
      </c>
      <c r="M1400">
        <f>IF(AND(A1400=Dashboard!$D$6,OR(Dashboard!$C$6="*",F1400=Dashboard!$C$6),L1400&lt;&gt;""),ABS(I1400)+ROW()/1000000000,0)</f>
        <v/>
      </c>
    </row>
    <row r="1401">
      <c r="A1401">
        <f>Data_thang!A1401</f>
        <v/>
      </c>
      <c r="B1401">
        <f>Data_thang!B1401</f>
        <v/>
      </c>
      <c r="C1401">
        <f>Data_thang!D1401</f>
        <v/>
      </c>
      <c r="D1401">
        <f>Data_thang!E1401</f>
        <v/>
      </c>
      <c r="E1401">
        <f>Data_thang!F1401</f>
        <v/>
      </c>
      <c r="F1401">
        <f>Data_thang!G1401</f>
        <v/>
      </c>
      <c r="G1401" s="29">
        <f>Data_thang!J1401-Data_thang!K1401</f>
        <v/>
      </c>
      <c r="H1401" s="29">
        <f>Data_thang!N1401</f>
        <v/>
      </c>
      <c r="I1401" s="29">
        <f>H1401-G1401</f>
        <v/>
      </c>
      <c r="J1401" s="30">
        <f>IF(H1401=0,IF(I1401=0,0,1),I1401/ABS(H1401))</f>
        <v/>
      </c>
      <c r="K1401" s="29">
        <f>H1401-(Data_thang!O1401-Data_thang!K1401)</f>
        <v/>
      </c>
      <c r="L1401">
        <f>IF(AND(ABS(I1401)&gt;Dashboard!$G$6,ABS(J1401)&gt;Dashboard!$H$6),"⚠ Vượt","")</f>
        <v/>
      </c>
      <c r="M1401">
        <f>IF(AND(A1401=Dashboard!$D$6,OR(Dashboard!$C$6="*",F1401=Dashboard!$C$6),L1401&lt;&gt;""),ABS(I1401)+ROW()/1000000000,0)</f>
        <v/>
      </c>
    </row>
    <row r="1402">
      <c r="A1402">
        <f>Data_thang!A1402</f>
        <v/>
      </c>
      <c r="B1402">
        <f>Data_thang!B1402</f>
        <v/>
      </c>
      <c r="C1402">
        <f>Data_thang!D1402</f>
        <v/>
      </c>
      <c r="D1402">
        <f>Data_thang!E1402</f>
        <v/>
      </c>
      <c r="E1402">
        <f>Data_thang!F1402</f>
        <v/>
      </c>
      <c r="F1402">
        <f>Data_thang!G1402</f>
        <v/>
      </c>
      <c r="G1402" s="29">
        <f>Data_thang!J1402-Data_thang!K1402</f>
        <v/>
      </c>
      <c r="H1402" s="29">
        <f>Data_thang!N1402</f>
        <v/>
      </c>
      <c r="I1402" s="29">
        <f>H1402-G1402</f>
        <v/>
      </c>
      <c r="J1402" s="30">
        <f>IF(H1402=0,IF(I1402=0,0,1),I1402/ABS(H1402))</f>
        <v/>
      </c>
      <c r="K1402" s="29">
        <f>H1402-(Data_thang!O1402-Data_thang!K1402)</f>
        <v/>
      </c>
      <c r="L1402">
        <f>IF(AND(ABS(I1402)&gt;Dashboard!$G$6,ABS(J1402)&gt;Dashboard!$H$6),"⚠ Vượt","")</f>
        <v/>
      </c>
      <c r="M1402">
        <f>IF(AND(A1402=Dashboard!$D$6,OR(Dashboard!$C$6="*",F1402=Dashboard!$C$6),L1402&lt;&gt;""),ABS(I1402)+ROW()/1000000000,0)</f>
        <v/>
      </c>
    </row>
    <row r="1403">
      <c r="A1403">
        <f>Data_thang!A1403</f>
        <v/>
      </c>
      <c r="B1403">
        <f>Data_thang!B1403</f>
        <v/>
      </c>
      <c r="C1403">
        <f>Data_thang!D1403</f>
        <v/>
      </c>
      <c r="D1403">
        <f>Data_thang!E1403</f>
        <v/>
      </c>
      <c r="E1403">
        <f>Data_thang!F1403</f>
        <v/>
      </c>
      <c r="F1403">
        <f>Data_thang!G1403</f>
        <v/>
      </c>
      <c r="G1403" s="29">
        <f>Data_thang!J1403-Data_thang!K1403</f>
        <v/>
      </c>
      <c r="H1403" s="29">
        <f>Data_thang!N1403</f>
        <v/>
      </c>
      <c r="I1403" s="29">
        <f>H1403-G1403</f>
        <v/>
      </c>
      <c r="J1403" s="30">
        <f>IF(H1403=0,IF(I1403=0,0,1),I1403/ABS(H1403))</f>
        <v/>
      </c>
      <c r="K1403" s="29">
        <f>H1403-(Data_thang!O1403-Data_thang!K1403)</f>
        <v/>
      </c>
      <c r="L1403">
        <f>IF(AND(ABS(I1403)&gt;Dashboard!$G$6,ABS(J1403)&gt;Dashboard!$H$6),"⚠ Vượt","")</f>
        <v/>
      </c>
      <c r="M1403">
        <f>IF(AND(A1403=Dashboard!$D$6,OR(Dashboard!$C$6="*",F1403=Dashboard!$C$6),L1403&lt;&gt;""),ABS(I1403)+ROW()/1000000000,0)</f>
        <v/>
      </c>
    </row>
    <row r="1404">
      <c r="A1404">
        <f>Data_thang!A1404</f>
        <v/>
      </c>
      <c r="B1404">
        <f>Data_thang!B1404</f>
        <v/>
      </c>
      <c r="C1404">
        <f>Data_thang!D1404</f>
        <v/>
      </c>
      <c r="D1404">
        <f>Data_thang!E1404</f>
        <v/>
      </c>
      <c r="E1404">
        <f>Data_thang!F1404</f>
        <v/>
      </c>
      <c r="F1404">
        <f>Data_thang!G1404</f>
        <v/>
      </c>
      <c r="G1404" s="29">
        <f>Data_thang!J1404-Data_thang!K1404</f>
        <v/>
      </c>
      <c r="H1404" s="29">
        <f>Data_thang!N1404</f>
        <v/>
      </c>
      <c r="I1404" s="29">
        <f>H1404-G1404</f>
        <v/>
      </c>
      <c r="J1404" s="30">
        <f>IF(H1404=0,IF(I1404=0,0,1),I1404/ABS(H1404))</f>
        <v/>
      </c>
      <c r="K1404" s="29">
        <f>H1404-(Data_thang!O1404-Data_thang!K1404)</f>
        <v/>
      </c>
      <c r="L1404">
        <f>IF(AND(ABS(I1404)&gt;Dashboard!$G$6,ABS(J1404)&gt;Dashboard!$H$6),"⚠ Vượt","")</f>
        <v/>
      </c>
      <c r="M1404">
        <f>IF(AND(A1404=Dashboard!$D$6,OR(Dashboard!$C$6="*",F1404=Dashboard!$C$6),L1404&lt;&gt;""),ABS(I1404)+ROW()/1000000000,0)</f>
        <v/>
      </c>
    </row>
    <row r="1405">
      <c r="A1405">
        <f>Data_thang!A1405</f>
        <v/>
      </c>
      <c r="B1405">
        <f>Data_thang!B1405</f>
        <v/>
      </c>
      <c r="C1405">
        <f>Data_thang!D1405</f>
        <v/>
      </c>
      <c r="D1405">
        <f>Data_thang!E1405</f>
        <v/>
      </c>
      <c r="E1405">
        <f>Data_thang!F1405</f>
        <v/>
      </c>
      <c r="F1405">
        <f>Data_thang!G1405</f>
        <v/>
      </c>
      <c r="G1405" s="29">
        <f>Data_thang!J1405-Data_thang!K1405</f>
        <v/>
      </c>
      <c r="H1405" s="29">
        <f>Data_thang!N1405</f>
        <v/>
      </c>
      <c r="I1405" s="29">
        <f>H1405-G1405</f>
        <v/>
      </c>
      <c r="J1405" s="30">
        <f>IF(H1405=0,IF(I1405=0,0,1),I1405/ABS(H1405))</f>
        <v/>
      </c>
      <c r="K1405" s="29">
        <f>H1405-(Data_thang!O1405-Data_thang!K1405)</f>
        <v/>
      </c>
      <c r="L1405">
        <f>IF(AND(ABS(I1405)&gt;Dashboard!$G$6,ABS(J1405)&gt;Dashboard!$H$6),"⚠ Vượt","")</f>
        <v/>
      </c>
      <c r="M1405">
        <f>IF(AND(A1405=Dashboard!$D$6,OR(Dashboard!$C$6="*",F1405=Dashboard!$C$6),L1405&lt;&gt;""),ABS(I1405)+ROW()/1000000000,0)</f>
        <v/>
      </c>
    </row>
    <row r="1406">
      <c r="A1406">
        <f>Data_thang!A1406</f>
        <v/>
      </c>
      <c r="B1406">
        <f>Data_thang!B1406</f>
        <v/>
      </c>
      <c r="C1406">
        <f>Data_thang!D1406</f>
        <v/>
      </c>
      <c r="D1406">
        <f>Data_thang!E1406</f>
        <v/>
      </c>
      <c r="E1406">
        <f>Data_thang!F1406</f>
        <v/>
      </c>
      <c r="F1406">
        <f>Data_thang!G1406</f>
        <v/>
      </c>
      <c r="G1406" s="29">
        <f>Data_thang!J1406-Data_thang!K1406</f>
        <v/>
      </c>
      <c r="H1406" s="29">
        <f>Data_thang!N1406</f>
        <v/>
      </c>
      <c r="I1406" s="29">
        <f>H1406-G1406</f>
        <v/>
      </c>
      <c r="J1406" s="30">
        <f>IF(H1406=0,IF(I1406=0,0,1),I1406/ABS(H1406))</f>
        <v/>
      </c>
      <c r="K1406" s="29">
        <f>H1406-(Data_thang!O1406-Data_thang!K1406)</f>
        <v/>
      </c>
      <c r="L1406">
        <f>IF(AND(ABS(I1406)&gt;Dashboard!$G$6,ABS(J1406)&gt;Dashboard!$H$6),"⚠ Vượt","")</f>
        <v/>
      </c>
      <c r="M1406">
        <f>IF(AND(A1406=Dashboard!$D$6,OR(Dashboard!$C$6="*",F1406=Dashboard!$C$6),L1406&lt;&gt;""),ABS(I1406)+ROW()/1000000000,0)</f>
        <v/>
      </c>
    </row>
    <row r="1407">
      <c r="A1407">
        <f>Data_thang!A1407</f>
        <v/>
      </c>
      <c r="B1407">
        <f>Data_thang!B1407</f>
        <v/>
      </c>
      <c r="C1407">
        <f>Data_thang!D1407</f>
        <v/>
      </c>
      <c r="D1407">
        <f>Data_thang!E1407</f>
        <v/>
      </c>
      <c r="E1407">
        <f>Data_thang!F1407</f>
        <v/>
      </c>
      <c r="F1407">
        <f>Data_thang!G1407</f>
        <v/>
      </c>
      <c r="G1407" s="29">
        <f>Data_thang!J1407-Data_thang!K1407</f>
        <v/>
      </c>
      <c r="H1407" s="29">
        <f>Data_thang!N1407</f>
        <v/>
      </c>
      <c r="I1407" s="29">
        <f>H1407-G1407</f>
        <v/>
      </c>
      <c r="J1407" s="30">
        <f>IF(H1407=0,IF(I1407=0,0,1),I1407/ABS(H1407))</f>
        <v/>
      </c>
      <c r="K1407" s="29">
        <f>H1407-(Data_thang!O1407-Data_thang!K1407)</f>
        <v/>
      </c>
      <c r="L1407">
        <f>IF(AND(ABS(I1407)&gt;Dashboard!$G$6,ABS(J1407)&gt;Dashboard!$H$6),"⚠ Vượt","")</f>
        <v/>
      </c>
      <c r="M1407">
        <f>IF(AND(A1407=Dashboard!$D$6,OR(Dashboard!$C$6="*",F1407=Dashboard!$C$6),L1407&lt;&gt;""),ABS(I1407)+ROW()/1000000000,0)</f>
        <v/>
      </c>
    </row>
    <row r="1408">
      <c r="A1408">
        <f>Data_thang!A1408</f>
        <v/>
      </c>
      <c r="B1408">
        <f>Data_thang!B1408</f>
        <v/>
      </c>
      <c r="C1408">
        <f>Data_thang!D1408</f>
        <v/>
      </c>
      <c r="D1408">
        <f>Data_thang!E1408</f>
        <v/>
      </c>
      <c r="E1408">
        <f>Data_thang!F1408</f>
        <v/>
      </c>
      <c r="F1408">
        <f>Data_thang!G1408</f>
        <v/>
      </c>
      <c r="G1408" s="29">
        <f>Data_thang!J1408-Data_thang!K1408</f>
        <v/>
      </c>
      <c r="H1408" s="29">
        <f>Data_thang!N1408</f>
        <v/>
      </c>
      <c r="I1408" s="29">
        <f>H1408-G1408</f>
        <v/>
      </c>
      <c r="J1408" s="30">
        <f>IF(H1408=0,IF(I1408=0,0,1),I1408/ABS(H1408))</f>
        <v/>
      </c>
      <c r="K1408" s="29">
        <f>H1408-(Data_thang!O1408-Data_thang!K1408)</f>
        <v/>
      </c>
      <c r="L1408">
        <f>IF(AND(ABS(I1408)&gt;Dashboard!$G$6,ABS(J1408)&gt;Dashboard!$H$6),"⚠ Vượt","")</f>
        <v/>
      </c>
      <c r="M1408">
        <f>IF(AND(A1408=Dashboard!$D$6,OR(Dashboard!$C$6="*",F1408=Dashboard!$C$6),L1408&lt;&gt;""),ABS(I1408)+ROW()/1000000000,0)</f>
        <v/>
      </c>
    </row>
    <row r="1409">
      <c r="A1409">
        <f>Data_thang!A1409</f>
        <v/>
      </c>
      <c r="B1409">
        <f>Data_thang!B1409</f>
        <v/>
      </c>
      <c r="C1409">
        <f>Data_thang!D1409</f>
        <v/>
      </c>
      <c r="D1409">
        <f>Data_thang!E1409</f>
        <v/>
      </c>
      <c r="E1409">
        <f>Data_thang!F1409</f>
        <v/>
      </c>
      <c r="F1409">
        <f>Data_thang!G1409</f>
        <v/>
      </c>
      <c r="G1409" s="29">
        <f>Data_thang!J1409-Data_thang!K1409</f>
        <v/>
      </c>
      <c r="H1409" s="29">
        <f>Data_thang!N1409</f>
        <v/>
      </c>
      <c r="I1409" s="29">
        <f>H1409-G1409</f>
        <v/>
      </c>
      <c r="J1409" s="30">
        <f>IF(H1409=0,IF(I1409=0,0,1),I1409/ABS(H1409))</f>
        <v/>
      </c>
      <c r="K1409" s="29">
        <f>H1409-(Data_thang!O1409-Data_thang!K1409)</f>
        <v/>
      </c>
      <c r="L1409">
        <f>IF(AND(ABS(I1409)&gt;Dashboard!$G$6,ABS(J1409)&gt;Dashboard!$H$6),"⚠ Vượt","")</f>
        <v/>
      </c>
      <c r="M1409">
        <f>IF(AND(A1409=Dashboard!$D$6,OR(Dashboard!$C$6="*",F1409=Dashboard!$C$6),L1409&lt;&gt;""),ABS(I1409)+ROW()/1000000000,0)</f>
        <v/>
      </c>
    </row>
    <row r="1410">
      <c r="A1410">
        <f>Data_thang!A1410</f>
        <v/>
      </c>
      <c r="B1410">
        <f>Data_thang!B1410</f>
        <v/>
      </c>
      <c r="C1410">
        <f>Data_thang!D1410</f>
        <v/>
      </c>
      <c r="D1410">
        <f>Data_thang!E1410</f>
        <v/>
      </c>
      <c r="E1410">
        <f>Data_thang!F1410</f>
        <v/>
      </c>
      <c r="F1410">
        <f>Data_thang!G1410</f>
        <v/>
      </c>
      <c r="G1410" s="29">
        <f>Data_thang!J1410-Data_thang!K1410</f>
        <v/>
      </c>
      <c r="H1410" s="29">
        <f>Data_thang!N1410</f>
        <v/>
      </c>
      <c r="I1410" s="29">
        <f>H1410-G1410</f>
        <v/>
      </c>
      <c r="J1410" s="30">
        <f>IF(H1410=0,IF(I1410=0,0,1),I1410/ABS(H1410))</f>
        <v/>
      </c>
      <c r="K1410" s="29">
        <f>H1410-(Data_thang!O1410-Data_thang!K1410)</f>
        <v/>
      </c>
      <c r="L1410">
        <f>IF(AND(ABS(I1410)&gt;Dashboard!$G$6,ABS(J1410)&gt;Dashboard!$H$6),"⚠ Vượt","")</f>
        <v/>
      </c>
      <c r="M1410">
        <f>IF(AND(A1410=Dashboard!$D$6,OR(Dashboard!$C$6="*",F1410=Dashboard!$C$6),L1410&lt;&gt;""),ABS(I1410)+ROW()/1000000000,0)</f>
        <v/>
      </c>
    </row>
    <row r="1411">
      <c r="A1411">
        <f>Data_thang!A1411</f>
        <v/>
      </c>
      <c r="B1411">
        <f>Data_thang!B1411</f>
        <v/>
      </c>
      <c r="C1411">
        <f>Data_thang!D1411</f>
        <v/>
      </c>
      <c r="D1411">
        <f>Data_thang!E1411</f>
        <v/>
      </c>
      <c r="E1411">
        <f>Data_thang!F1411</f>
        <v/>
      </c>
      <c r="F1411">
        <f>Data_thang!G1411</f>
        <v/>
      </c>
      <c r="G1411" s="29">
        <f>Data_thang!J1411-Data_thang!K1411</f>
        <v/>
      </c>
      <c r="H1411" s="29">
        <f>Data_thang!N1411</f>
        <v/>
      </c>
      <c r="I1411" s="29">
        <f>H1411-G1411</f>
        <v/>
      </c>
      <c r="J1411" s="30">
        <f>IF(H1411=0,IF(I1411=0,0,1),I1411/ABS(H1411))</f>
        <v/>
      </c>
      <c r="K1411" s="29">
        <f>H1411-(Data_thang!O1411-Data_thang!K1411)</f>
        <v/>
      </c>
      <c r="L1411">
        <f>IF(AND(ABS(I1411)&gt;Dashboard!$G$6,ABS(J1411)&gt;Dashboard!$H$6),"⚠ Vượt","")</f>
        <v/>
      </c>
      <c r="M1411">
        <f>IF(AND(A1411=Dashboard!$D$6,OR(Dashboard!$C$6="*",F1411=Dashboard!$C$6),L1411&lt;&gt;""),ABS(I1411)+ROW()/1000000000,0)</f>
        <v/>
      </c>
    </row>
    <row r="1412">
      <c r="A1412">
        <f>Data_thang!A1412</f>
        <v/>
      </c>
      <c r="B1412">
        <f>Data_thang!B1412</f>
        <v/>
      </c>
      <c r="C1412">
        <f>Data_thang!D1412</f>
        <v/>
      </c>
      <c r="D1412">
        <f>Data_thang!E1412</f>
        <v/>
      </c>
      <c r="E1412">
        <f>Data_thang!F1412</f>
        <v/>
      </c>
      <c r="F1412">
        <f>Data_thang!G1412</f>
        <v/>
      </c>
      <c r="G1412" s="29">
        <f>Data_thang!J1412-Data_thang!K1412</f>
        <v/>
      </c>
      <c r="H1412" s="29">
        <f>Data_thang!N1412</f>
        <v/>
      </c>
      <c r="I1412" s="29">
        <f>H1412-G1412</f>
        <v/>
      </c>
      <c r="J1412" s="30">
        <f>IF(H1412=0,IF(I1412=0,0,1),I1412/ABS(H1412))</f>
        <v/>
      </c>
      <c r="K1412" s="29">
        <f>H1412-(Data_thang!O1412-Data_thang!K1412)</f>
        <v/>
      </c>
      <c r="L1412">
        <f>IF(AND(ABS(I1412)&gt;Dashboard!$G$6,ABS(J1412)&gt;Dashboard!$H$6),"⚠ Vượt","")</f>
        <v/>
      </c>
      <c r="M1412">
        <f>IF(AND(A1412=Dashboard!$D$6,OR(Dashboard!$C$6="*",F1412=Dashboard!$C$6),L1412&lt;&gt;""),ABS(I1412)+ROW()/1000000000,0)</f>
        <v/>
      </c>
    </row>
    <row r="1413">
      <c r="A1413">
        <f>Data_thang!A1413</f>
        <v/>
      </c>
      <c r="B1413">
        <f>Data_thang!B1413</f>
        <v/>
      </c>
      <c r="C1413">
        <f>Data_thang!D1413</f>
        <v/>
      </c>
      <c r="D1413">
        <f>Data_thang!E1413</f>
        <v/>
      </c>
      <c r="E1413">
        <f>Data_thang!F1413</f>
        <v/>
      </c>
      <c r="F1413">
        <f>Data_thang!G1413</f>
        <v/>
      </c>
      <c r="G1413" s="29">
        <f>Data_thang!J1413-Data_thang!K1413</f>
        <v/>
      </c>
      <c r="H1413" s="29">
        <f>Data_thang!N1413</f>
        <v/>
      </c>
      <c r="I1413" s="29">
        <f>H1413-G1413</f>
        <v/>
      </c>
      <c r="J1413" s="30">
        <f>IF(H1413=0,IF(I1413=0,0,1),I1413/ABS(H1413))</f>
        <v/>
      </c>
      <c r="K1413" s="29">
        <f>H1413-(Data_thang!O1413-Data_thang!K1413)</f>
        <v/>
      </c>
      <c r="L1413">
        <f>IF(AND(ABS(I1413)&gt;Dashboard!$G$6,ABS(J1413)&gt;Dashboard!$H$6),"⚠ Vượt","")</f>
        <v/>
      </c>
      <c r="M1413">
        <f>IF(AND(A1413=Dashboard!$D$6,OR(Dashboard!$C$6="*",F1413=Dashboard!$C$6),L1413&lt;&gt;""),ABS(I1413)+ROW()/1000000000,0)</f>
        <v/>
      </c>
    </row>
    <row r="1414">
      <c r="A1414">
        <f>Data_thang!A1414</f>
        <v/>
      </c>
      <c r="B1414">
        <f>Data_thang!B1414</f>
        <v/>
      </c>
      <c r="C1414">
        <f>Data_thang!D1414</f>
        <v/>
      </c>
      <c r="D1414">
        <f>Data_thang!E1414</f>
        <v/>
      </c>
      <c r="E1414">
        <f>Data_thang!F1414</f>
        <v/>
      </c>
      <c r="F1414">
        <f>Data_thang!G1414</f>
        <v/>
      </c>
      <c r="G1414" s="29">
        <f>Data_thang!J1414-Data_thang!K1414</f>
        <v/>
      </c>
      <c r="H1414" s="29">
        <f>Data_thang!N1414</f>
        <v/>
      </c>
      <c r="I1414" s="29">
        <f>H1414-G1414</f>
        <v/>
      </c>
      <c r="J1414" s="30">
        <f>IF(H1414=0,IF(I1414=0,0,1),I1414/ABS(H1414))</f>
        <v/>
      </c>
      <c r="K1414" s="29">
        <f>H1414-(Data_thang!O1414-Data_thang!K1414)</f>
        <v/>
      </c>
      <c r="L1414">
        <f>IF(AND(ABS(I1414)&gt;Dashboard!$G$6,ABS(J1414)&gt;Dashboard!$H$6),"⚠ Vượt","")</f>
        <v/>
      </c>
      <c r="M1414">
        <f>IF(AND(A1414=Dashboard!$D$6,OR(Dashboard!$C$6="*",F1414=Dashboard!$C$6),L1414&lt;&gt;""),ABS(I1414)+ROW()/1000000000,0)</f>
        <v/>
      </c>
    </row>
    <row r="1415">
      <c r="A1415">
        <f>Data_thang!A1415</f>
        <v/>
      </c>
      <c r="B1415">
        <f>Data_thang!B1415</f>
        <v/>
      </c>
      <c r="C1415">
        <f>Data_thang!D1415</f>
        <v/>
      </c>
      <c r="D1415">
        <f>Data_thang!E1415</f>
        <v/>
      </c>
      <c r="E1415">
        <f>Data_thang!F1415</f>
        <v/>
      </c>
      <c r="F1415">
        <f>Data_thang!G1415</f>
        <v/>
      </c>
      <c r="G1415" s="29">
        <f>Data_thang!J1415-Data_thang!K1415</f>
        <v/>
      </c>
      <c r="H1415" s="29">
        <f>Data_thang!N1415</f>
        <v/>
      </c>
      <c r="I1415" s="29">
        <f>H1415-G1415</f>
        <v/>
      </c>
      <c r="J1415" s="30">
        <f>IF(H1415=0,IF(I1415=0,0,1),I1415/ABS(H1415))</f>
        <v/>
      </c>
      <c r="K1415" s="29">
        <f>H1415-(Data_thang!O1415-Data_thang!K1415)</f>
        <v/>
      </c>
      <c r="L1415">
        <f>IF(AND(ABS(I1415)&gt;Dashboard!$G$6,ABS(J1415)&gt;Dashboard!$H$6),"⚠ Vượt","")</f>
        <v/>
      </c>
      <c r="M1415">
        <f>IF(AND(A1415=Dashboard!$D$6,OR(Dashboard!$C$6="*",F1415=Dashboard!$C$6),L1415&lt;&gt;""),ABS(I1415)+ROW()/1000000000,0)</f>
        <v/>
      </c>
    </row>
    <row r="1416">
      <c r="A1416">
        <f>Data_thang!A1416</f>
        <v/>
      </c>
      <c r="B1416">
        <f>Data_thang!B1416</f>
        <v/>
      </c>
      <c r="C1416">
        <f>Data_thang!D1416</f>
        <v/>
      </c>
      <c r="D1416">
        <f>Data_thang!E1416</f>
        <v/>
      </c>
      <c r="E1416">
        <f>Data_thang!F1416</f>
        <v/>
      </c>
      <c r="F1416">
        <f>Data_thang!G1416</f>
        <v/>
      </c>
      <c r="G1416" s="29">
        <f>Data_thang!J1416-Data_thang!K1416</f>
        <v/>
      </c>
      <c r="H1416" s="29">
        <f>Data_thang!N1416</f>
        <v/>
      </c>
      <c r="I1416" s="29">
        <f>H1416-G1416</f>
        <v/>
      </c>
      <c r="J1416" s="30">
        <f>IF(H1416=0,IF(I1416=0,0,1),I1416/ABS(H1416))</f>
        <v/>
      </c>
      <c r="K1416" s="29">
        <f>H1416-(Data_thang!O1416-Data_thang!K1416)</f>
        <v/>
      </c>
      <c r="L1416">
        <f>IF(AND(ABS(I1416)&gt;Dashboard!$G$6,ABS(J1416)&gt;Dashboard!$H$6),"⚠ Vượt","")</f>
        <v/>
      </c>
      <c r="M1416">
        <f>IF(AND(A1416=Dashboard!$D$6,OR(Dashboard!$C$6="*",F1416=Dashboard!$C$6),L1416&lt;&gt;""),ABS(I1416)+ROW()/1000000000,0)</f>
        <v/>
      </c>
    </row>
    <row r="1417">
      <c r="A1417">
        <f>Data_thang!A1417</f>
        <v/>
      </c>
      <c r="B1417">
        <f>Data_thang!B1417</f>
        <v/>
      </c>
      <c r="C1417">
        <f>Data_thang!D1417</f>
        <v/>
      </c>
      <c r="D1417">
        <f>Data_thang!E1417</f>
        <v/>
      </c>
      <c r="E1417">
        <f>Data_thang!F1417</f>
        <v/>
      </c>
      <c r="F1417">
        <f>Data_thang!G1417</f>
        <v/>
      </c>
      <c r="G1417" s="29">
        <f>Data_thang!J1417-Data_thang!K1417</f>
        <v/>
      </c>
      <c r="H1417" s="29">
        <f>Data_thang!N1417</f>
        <v/>
      </c>
      <c r="I1417" s="29">
        <f>H1417-G1417</f>
        <v/>
      </c>
      <c r="J1417" s="30">
        <f>IF(H1417=0,IF(I1417=0,0,1),I1417/ABS(H1417))</f>
        <v/>
      </c>
      <c r="K1417" s="29">
        <f>H1417-(Data_thang!O1417-Data_thang!K1417)</f>
        <v/>
      </c>
      <c r="L1417">
        <f>IF(AND(ABS(I1417)&gt;Dashboard!$G$6,ABS(J1417)&gt;Dashboard!$H$6),"⚠ Vượt","")</f>
        <v/>
      </c>
      <c r="M1417">
        <f>IF(AND(A1417=Dashboard!$D$6,OR(Dashboard!$C$6="*",F1417=Dashboard!$C$6),L1417&lt;&gt;""),ABS(I1417)+ROW()/1000000000,0)</f>
        <v/>
      </c>
    </row>
    <row r="1418">
      <c r="A1418">
        <f>Data_thang!A1418</f>
        <v/>
      </c>
      <c r="B1418">
        <f>Data_thang!B1418</f>
        <v/>
      </c>
      <c r="C1418">
        <f>Data_thang!D1418</f>
        <v/>
      </c>
      <c r="D1418">
        <f>Data_thang!E1418</f>
        <v/>
      </c>
      <c r="E1418">
        <f>Data_thang!F1418</f>
        <v/>
      </c>
      <c r="F1418">
        <f>Data_thang!G1418</f>
        <v/>
      </c>
      <c r="G1418" s="29">
        <f>Data_thang!J1418-Data_thang!K1418</f>
        <v/>
      </c>
      <c r="H1418" s="29">
        <f>Data_thang!N1418</f>
        <v/>
      </c>
      <c r="I1418" s="29">
        <f>H1418-G1418</f>
        <v/>
      </c>
      <c r="J1418" s="30">
        <f>IF(H1418=0,IF(I1418=0,0,1),I1418/ABS(H1418))</f>
        <v/>
      </c>
      <c r="K1418" s="29">
        <f>H1418-(Data_thang!O1418-Data_thang!K1418)</f>
        <v/>
      </c>
      <c r="L1418">
        <f>IF(AND(ABS(I1418)&gt;Dashboard!$G$6,ABS(J1418)&gt;Dashboard!$H$6),"⚠ Vượt","")</f>
        <v/>
      </c>
      <c r="M1418">
        <f>IF(AND(A1418=Dashboard!$D$6,OR(Dashboard!$C$6="*",F1418=Dashboard!$C$6),L1418&lt;&gt;""),ABS(I1418)+ROW()/1000000000,0)</f>
        <v/>
      </c>
    </row>
    <row r="1419">
      <c r="A1419">
        <f>Data_thang!A1419</f>
        <v/>
      </c>
      <c r="B1419">
        <f>Data_thang!B1419</f>
        <v/>
      </c>
      <c r="C1419">
        <f>Data_thang!D1419</f>
        <v/>
      </c>
      <c r="D1419">
        <f>Data_thang!E1419</f>
        <v/>
      </c>
      <c r="E1419">
        <f>Data_thang!F1419</f>
        <v/>
      </c>
      <c r="F1419">
        <f>Data_thang!G1419</f>
        <v/>
      </c>
      <c r="G1419" s="29">
        <f>Data_thang!J1419-Data_thang!K1419</f>
        <v/>
      </c>
      <c r="H1419" s="29">
        <f>Data_thang!N1419</f>
        <v/>
      </c>
      <c r="I1419" s="29">
        <f>H1419-G1419</f>
        <v/>
      </c>
      <c r="J1419" s="30">
        <f>IF(H1419=0,IF(I1419=0,0,1),I1419/ABS(H1419))</f>
        <v/>
      </c>
      <c r="K1419" s="29">
        <f>H1419-(Data_thang!O1419-Data_thang!K1419)</f>
        <v/>
      </c>
      <c r="L1419">
        <f>IF(AND(ABS(I1419)&gt;Dashboard!$G$6,ABS(J1419)&gt;Dashboard!$H$6),"⚠ Vượt","")</f>
        <v/>
      </c>
      <c r="M1419">
        <f>IF(AND(A1419=Dashboard!$D$6,OR(Dashboard!$C$6="*",F1419=Dashboard!$C$6),L1419&lt;&gt;""),ABS(I1419)+ROW()/1000000000,0)</f>
        <v/>
      </c>
    </row>
    <row r="1420">
      <c r="A1420">
        <f>Data_thang!A1420</f>
        <v/>
      </c>
      <c r="B1420">
        <f>Data_thang!B1420</f>
        <v/>
      </c>
      <c r="C1420">
        <f>Data_thang!D1420</f>
        <v/>
      </c>
      <c r="D1420">
        <f>Data_thang!E1420</f>
        <v/>
      </c>
      <c r="E1420">
        <f>Data_thang!F1420</f>
        <v/>
      </c>
      <c r="F1420">
        <f>Data_thang!G1420</f>
        <v/>
      </c>
      <c r="G1420" s="29">
        <f>Data_thang!J1420-Data_thang!K1420</f>
        <v/>
      </c>
      <c r="H1420" s="29">
        <f>Data_thang!N1420</f>
        <v/>
      </c>
      <c r="I1420" s="29">
        <f>H1420-G1420</f>
        <v/>
      </c>
      <c r="J1420" s="30">
        <f>IF(H1420=0,IF(I1420=0,0,1),I1420/ABS(H1420))</f>
        <v/>
      </c>
      <c r="K1420" s="29">
        <f>H1420-(Data_thang!O1420-Data_thang!K1420)</f>
        <v/>
      </c>
      <c r="L1420">
        <f>IF(AND(ABS(I1420)&gt;Dashboard!$G$6,ABS(J1420)&gt;Dashboard!$H$6),"⚠ Vượt","")</f>
        <v/>
      </c>
      <c r="M1420">
        <f>IF(AND(A1420=Dashboard!$D$6,OR(Dashboard!$C$6="*",F1420=Dashboard!$C$6),L1420&lt;&gt;""),ABS(I1420)+ROW()/1000000000,0)</f>
        <v/>
      </c>
    </row>
    <row r="1421">
      <c r="A1421">
        <f>Data_thang!A1421</f>
        <v/>
      </c>
      <c r="B1421">
        <f>Data_thang!B1421</f>
        <v/>
      </c>
      <c r="C1421">
        <f>Data_thang!D1421</f>
        <v/>
      </c>
      <c r="D1421">
        <f>Data_thang!E1421</f>
        <v/>
      </c>
      <c r="E1421">
        <f>Data_thang!F1421</f>
        <v/>
      </c>
      <c r="F1421">
        <f>Data_thang!G1421</f>
        <v/>
      </c>
      <c r="G1421" s="29">
        <f>Data_thang!J1421-Data_thang!K1421</f>
        <v/>
      </c>
      <c r="H1421" s="29">
        <f>Data_thang!N1421</f>
        <v/>
      </c>
      <c r="I1421" s="29">
        <f>H1421-G1421</f>
        <v/>
      </c>
      <c r="J1421" s="30">
        <f>IF(H1421=0,IF(I1421=0,0,1),I1421/ABS(H1421))</f>
        <v/>
      </c>
      <c r="K1421" s="29">
        <f>H1421-(Data_thang!O1421-Data_thang!K1421)</f>
        <v/>
      </c>
      <c r="L1421">
        <f>IF(AND(ABS(I1421)&gt;Dashboard!$G$6,ABS(J1421)&gt;Dashboard!$H$6),"⚠ Vượt","")</f>
        <v/>
      </c>
      <c r="M1421">
        <f>IF(AND(A1421=Dashboard!$D$6,OR(Dashboard!$C$6="*",F1421=Dashboard!$C$6),L1421&lt;&gt;""),ABS(I1421)+ROW()/1000000000,0)</f>
        <v/>
      </c>
    </row>
    <row r="1422">
      <c r="A1422">
        <f>Data_thang!A1422</f>
        <v/>
      </c>
      <c r="B1422">
        <f>Data_thang!B1422</f>
        <v/>
      </c>
      <c r="C1422">
        <f>Data_thang!D1422</f>
        <v/>
      </c>
      <c r="D1422">
        <f>Data_thang!E1422</f>
        <v/>
      </c>
      <c r="E1422">
        <f>Data_thang!F1422</f>
        <v/>
      </c>
      <c r="F1422">
        <f>Data_thang!G1422</f>
        <v/>
      </c>
      <c r="G1422" s="29">
        <f>Data_thang!J1422-Data_thang!K1422</f>
        <v/>
      </c>
      <c r="H1422" s="29">
        <f>Data_thang!N1422</f>
        <v/>
      </c>
      <c r="I1422" s="29">
        <f>H1422-G1422</f>
        <v/>
      </c>
      <c r="J1422" s="30">
        <f>IF(H1422=0,IF(I1422=0,0,1),I1422/ABS(H1422))</f>
        <v/>
      </c>
      <c r="K1422" s="29">
        <f>H1422-(Data_thang!O1422-Data_thang!K1422)</f>
        <v/>
      </c>
      <c r="L1422">
        <f>IF(AND(ABS(I1422)&gt;Dashboard!$G$6,ABS(J1422)&gt;Dashboard!$H$6),"⚠ Vượt","")</f>
        <v/>
      </c>
      <c r="M1422">
        <f>IF(AND(A1422=Dashboard!$D$6,OR(Dashboard!$C$6="*",F1422=Dashboard!$C$6),L1422&lt;&gt;""),ABS(I1422)+ROW()/1000000000,0)</f>
        <v/>
      </c>
    </row>
    <row r="1423">
      <c r="A1423">
        <f>Data_thang!A1423</f>
        <v/>
      </c>
      <c r="B1423">
        <f>Data_thang!B1423</f>
        <v/>
      </c>
      <c r="C1423">
        <f>Data_thang!D1423</f>
        <v/>
      </c>
      <c r="D1423">
        <f>Data_thang!E1423</f>
        <v/>
      </c>
      <c r="E1423">
        <f>Data_thang!F1423</f>
        <v/>
      </c>
      <c r="F1423">
        <f>Data_thang!G1423</f>
        <v/>
      </c>
      <c r="G1423" s="29">
        <f>Data_thang!J1423-Data_thang!K1423</f>
        <v/>
      </c>
      <c r="H1423" s="29">
        <f>Data_thang!N1423</f>
        <v/>
      </c>
      <c r="I1423" s="29">
        <f>H1423-G1423</f>
        <v/>
      </c>
      <c r="J1423" s="30">
        <f>IF(H1423=0,IF(I1423=0,0,1),I1423/ABS(H1423))</f>
        <v/>
      </c>
      <c r="K1423" s="29">
        <f>H1423-(Data_thang!O1423-Data_thang!K1423)</f>
        <v/>
      </c>
      <c r="L1423">
        <f>IF(AND(ABS(I1423)&gt;Dashboard!$G$6,ABS(J1423)&gt;Dashboard!$H$6),"⚠ Vượt","")</f>
        <v/>
      </c>
      <c r="M1423">
        <f>IF(AND(A1423=Dashboard!$D$6,OR(Dashboard!$C$6="*",F1423=Dashboard!$C$6),L1423&lt;&gt;""),ABS(I1423)+ROW()/1000000000,0)</f>
        <v/>
      </c>
    </row>
    <row r="1424">
      <c r="A1424">
        <f>Data_thang!A1424</f>
        <v/>
      </c>
      <c r="B1424">
        <f>Data_thang!B1424</f>
        <v/>
      </c>
      <c r="C1424">
        <f>Data_thang!D1424</f>
        <v/>
      </c>
      <c r="D1424">
        <f>Data_thang!E1424</f>
        <v/>
      </c>
      <c r="E1424">
        <f>Data_thang!F1424</f>
        <v/>
      </c>
      <c r="F1424">
        <f>Data_thang!G1424</f>
        <v/>
      </c>
      <c r="G1424" s="29">
        <f>Data_thang!J1424-Data_thang!K1424</f>
        <v/>
      </c>
      <c r="H1424" s="29">
        <f>Data_thang!N1424</f>
        <v/>
      </c>
      <c r="I1424" s="29">
        <f>H1424-G1424</f>
        <v/>
      </c>
      <c r="J1424" s="30">
        <f>IF(H1424=0,IF(I1424=0,0,1),I1424/ABS(H1424))</f>
        <v/>
      </c>
      <c r="K1424" s="29">
        <f>H1424-(Data_thang!O1424-Data_thang!K1424)</f>
        <v/>
      </c>
      <c r="L1424">
        <f>IF(AND(ABS(I1424)&gt;Dashboard!$G$6,ABS(J1424)&gt;Dashboard!$H$6),"⚠ Vượt","")</f>
        <v/>
      </c>
      <c r="M1424">
        <f>IF(AND(A1424=Dashboard!$D$6,OR(Dashboard!$C$6="*",F1424=Dashboard!$C$6),L1424&lt;&gt;""),ABS(I1424)+ROW()/1000000000,0)</f>
        <v/>
      </c>
    </row>
    <row r="1425">
      <c r="A1425">
        <f>Data_thang!A1425</f>
        <v/>
      </c>
      <c r="B1425">
        <f>Data_thang!B1425</f>
        <v/>
      </c>
      <c r="C1425">
        <f>Data_thang!D1425</f>
        <v/>
      </c>
      <c r="D1425">
        <f>Data_thang!E1425</f>
        <v/>
      </c>
      <c r="E1425">
        <f>Data_thang!F1425</f>
        <v/>
      </c>
      <c r="F1425">
        <f>Data_thang!G1425</f>
        <v/>
      </c>
      <c r="G1425" s="29">
        <f>Data_thang!J1425-Data_thang!K1425</f>
        <v/>
      </c>
      <c r="H1425" s="29">
        <f>Data_thang!N1425</f>
        <v/>
      </c>
      <c r="I1425" s="29">
        <f>H1425-G1425</f>
        <v/>
      </c>
      <c r="J1425" s="30">
        <f>IF(H1425=0,IF(I1425=0,0,1),I1425/ABS(H1425))</f>
        <v/>
      </c>
      <c r="K1425" s="29">
        <f>H1425-(Data_thang!O1425-Data_thang!K1425)</f>
        <v/>
      </c>
      <c r="L1425">
        <f>IF(AND(ABS(I1425)&gt;Dashboard!$G$6,ABS(J1425)&gt;Dashboard!$H$6),"⚠ Vượt","")</f>
        <v/>
      </c>
      <c r="M1425">
        <f>IF(AND(A1425=Dashboard!$D$6,OR(Dashboard!$C$6="*",F1425=Dashboard!$C$6),L1425&lt;&gt;""),ABS(I1425)+ROW()/1000000000,0)</f>
        <v/>
      </c>
    </row>
    <row r="1426">
      <c r="A1426">
        <f>Data_thang!A1426</f>
        <v/>
      </c>
      <c r="B1426">
        <f>Data_thang!B1426</f>
        <v/>
      </c>
      <c r="C1426">
        <f>Data_thang!D1426</f>
        <v/>
      </c>
      <c r="D1426">
        <f>Data_thang!E1426</f>
        <v/>
      </c>
      <c r="E1426">
        <f>Data_thang!F1426</f>
        <v/>
      </c>
      <c r="F1426">
        <f>Data_thang!G1426</f>
        <v/>
      </c>
      <c r="G1426" s="29">
        <f>Data_thang!J1426-Data_thang!K1426</f>
        <v/>
      </c>
      <c r="H1426" s="29">
        <f>Data_thang!N1426</f>
        <v/>
      </c>
      <c r="I1426" s="29">
        <f>H1426-G1426</f>
        <v/>
      </c>
      <c r="J1426" s="30">
        <f>IF(H1426=0,IF(I1426=0,0,1),I1426/ABS(H1426))</f>
        <v/>
      </c>
      <c r="K1426" s="29">
        <f>H1426-(Data_thang!O1426-Data_thang!K1426)</f>
        <v/>
      </c>
      <c r="L1426">
        <f>IF(AND(ABS(I1426)&gt;Dashboard!$G$6,ABS(J1426)&gt;Dashboard!$H$6),"⚠ Vượt","")</f>
        <v/>
      </c>
      <c r="M1426">
        <f>IF(AND(A1426=Dashboard!$D$6,OR(Dashboard!$C$6="*",F1426=Dashboard!$C$6),L1426&lt;&gt;""),ABS(I1426)+ROW()/1000000000,0)</f>
        <v/>
      </c>
    </row>
    <row r="1427">
      <c r="A1427">
        <f>Data_thang!A1427</f>
        <v/>
      </c>
      <c r="B1427">
        <f>Data_thang!B1427</f>
        <v/>
      </c>
      <c r="C1427">
        <f>Data_thang!D1427</f>
        <v/>
      </c>
      <c r="D1427">
        <f>Data_thang!E1427</f>
        <v/>
      </c>
      <c r="E1427">
        <f>Data_thang!F1427</f>
        <v/>
      </c>
      <c r="F1427">
        <f>Data_thang!G1427</f>
        <v/>
      </c>
      <c r="G1427" s="29">
        <f>Data_thang!J1427-Data_thang!K1427</f>
        <v/>
      </c>
      <c r="H1427" s="29">
        <f>Data_thang!N1427</f>
        <v/>
      </c>
      <c r="I1427" s="29">
        <f>H1427-G1427</f>
        <v/>
      </c>
      <c r="J1427" s="30">
        <f>IF(H1427=0,IF(I1427=0,0,1),I1427/ABS(H1427))</f>
        <v/>
      </c>
      <c r="K1427" s="29">
        <f>H1427-(Data_thang!O1427-Data_thang!K1427)</f>
        <v/>
      </c>
      <c r="L1427">
        <f>IF(AND(ABS(I1427)&gt;Dashboard!$G$6,ABS(J1427)&gt;Dashboard!$H$6),"⚠ Vượt","")</f>
        <v/>
      </c>
      <c r="M1427">
        <f>IF(AND(A1427=Dashboard!$D$6,OR(Dashboard!$C$6="*",F1427=Dashboard!$C$6),L1427&lt;&gt;""),ABS(I1427)+ROW()/1000000000,0)</f>
        <v/>
      </c>
    </row>
    <row r="1428">
      <c r="A1428">
        <f>Data_thang!A1428</f>
        <v/>
      </c>
      <c r="B1428">
        <f>Data_thang!B1428</f>
        <v/>
      </c>
      <c r="C1428">
        <f>Data_thang!D1428</f>
        <v/>
      </c>
      <c r="D1428">
        <f>Data_thang!E1428</f>
        <v/>
      </c>
      <c r="E1428">
        <f>Data_thang!F1428</f>
        <v/>
      </c>
      <c r="F1428">
        <f>Data_thang!G1428</f>
        <v/>
      </c>
      <c r="G1428" s="29">
        <f>Data_thang!J1428-Data_thang!K1428</f>
        <v/>
      </c>
      <c r="H1428" s="29">
        <f>Data_thang!N1428</f>
        <v/>
      </c>
      <c r="I1428" s="29">
        <f>H1428-G1428</f>
        <v/>
      </c>
      <c r="J1428" s="30">
        <f>IF(H1428=0,IF(I1428=0,0,1),I1428/ABS(H1428))</f>
        <v/>
      </c>
      <c r="K1428" s="29">
        <f>H1428-(Data_thang!O1428-Data_thang!K1428)</f>
        <v/>
      </c>
      <c r="L1428">
        <f>IF(AND(ABS(I1428)&gt;Dashboard!$G$6,ABS(J1428)&gt;Dashboard!$H$6),"⚠ Vượt","")</f>
        <v/>
      </c>
      <c r="M1428">
        <f>IF(AND(A1428=Dashboard!$D$6,OR(Dashboard!$C$6="*",F1428=Dashboard!$C$6),L1428&lt;&gt;""),ABS(I1428)+ROW()/1000000000,0)</f>
        <v/>
      </c>
    </row>
    <row r="1429">
      <c r="A1429">
        <f>Data_thang!A1429</f>
        <v/>
      </c>
      <c r="B1429">
        <f>Data_thang!B1429</f>
        <v/>
      </c>
      <c r="C1429">
        <f>Data_thang!D1429</f>
        <v/>
      </c>
      <c r="D1429">
        <f>Data_thang!E1429</f>
        <v/>
      </c>
      <c r="E1429">
        <f>Data_thang!F1429</f>
        <v/>
      </c>
      <c r="F1429">
        <f>Data_thang!G1429</f>
        <v/>
      </c>
      <c r="G1429" s="29">
        <f>Data_thang!J1429-Data_thang!K1429</f>
        <v/>
      </c>
      <c r="H1429" s="29">
        <f>Data_thang!N1429</f>
        <v/>
      </c>
      <c r="I1429" s="29">
        <f>H1429-G1429</f>
        <v/>
      </c>
      <c r="J1429" s="30">
        <f>IF(H1429=0,IF(I1429=0,0,1),I1429/ABS(H1429))</f>
        <v/>
      </c>
      <c r="K1429" s="29">
        <f>H1429-(Data_thang!O1429-Data_thang!K1429)</f>
        <v/>
      </c>
      <c r="L1429">
        <f>IF(AND(ABS(I1429)&gt;Dashboard!$G$6,ABS(J1429)&gt;Dashboard!$H$6),"⚠ Vượt","")</f>
        <v/>
      </c>
      <c r="M1429">
        <f>IF(AND(A1429=Dashboard!$D$6,OR(Dashboard!$C$6="*",F1429=Dashboard!$C$6),L1429&lt;&gt;""),ABS(I1429)+ROW()/1000000000,0)</f>
        <v/>
      </c>
    </row>
    <row r="1430">
      <c r="A1430">
        <f>Data_thang!A1430</f>
        <v/>
      </c>
      <c r="B1430">
        <f>Data_thang!B1430</f>
        <v/>
      </c>
      <c r="C1430">
        <f>Data_thang!D1430</f>
        <v/>
      </c>
      <c r="D1430">
        <f>Data_thang!E1430</f>
        <v/>
      </c>
      <c r="E1430">
        <f>Data_thang!F1430</f>
        <v/>
      </c>
      <c r="F1430">
        <f>Data_thang!G1430</f>
        <v/>
      </c>
      <c r="G1430" s="29">
        <f>Data_thang!J1430-Data_thang!K1430</f>
        <v/>
      </c>
      <c r="H1430" s="29">
        <f>Data_thang!N1430</f>
        <v/>
      </c>
      <c r="I1430" s="29">
        <f>H1430-G1430</f>
        <v/>
      </c>
      <c r="J1430" s="30">
        <f>IF(H1430=0,IF(I1430=0,0,1),I1430/ABS(H1430))</f>
        <v/>
      </c>
      <c r="K1430" s="29">
        <f>H1430-(Data_thang!O1430-Data_thang!K1430)</f>
        <v/>
      </c>
      <c r="L1430">
        <f>IF(AND(ABS(I1430)&gt;Dashboard!$G$6,ABS(J1430)&gt;Dashboard!$H$6),"⚠ Vượt","")</f>
        <v/>
      </c>
      <c r="M1430">
        <f>IF(AND(A1430=Dashboard!$D$6,OR(Dashboard!$C$6="*",F1430=Dashboard!$C$6),L1430&lt;&gt;""),ABS(I1430)+ROW()/1000000000,0)</f>
        <v/>
      </c>
    </row>
    <row r="1431">
      <c r="A1431">
        <f>Data_thang!A1431</f>
        <v/>
      </c>
      <c r="B1431">
        <f>Data_thang!B1431</f>
        <v/>
      </c>
      <c r="C1431">
        <f>Data_thang!D1431</f>
        <v/>
      </c>
      <c r="D1431">
        <f>Data_thang!E1431</f>
        <v/>
      </c>
      <c r="E1431">
        <f>Data_thang!F1431</f>
        <v/>
      </c>
      <c r="F1431">
        <f>Data_thang!G1431</f>
        <v/>
      </c>
      <c r="G1431" s="29">
        <f>Data_thang!J1431-Data_thang!K1431</f>
        <v/>
      </c>
      <c r="H1431" s="29">
        <f>Data_thang!N1431</f>
        <v/>
      </c>
      <c r="I1431" s="29">
        <f>H1431-G1431</f>
        <v/>
      </c>
      <c r="J1431" s="30">
        <f>IF(H1431=0,IF(I1431=0,0,1),I1431/ABS(H1431))</f>
        <v/>
      </c>
      <c r="K1431" s="29">
        <f>H1431-(Data_thang!O1431-Data_thang!K1431)</f>
        <v/>
      </c>
      <c r="L1431">
        <f>IF(AND(ABS(I1431)&gt;Dashboard!$G$6,ABS(J1431)&gt;Dashboard!$H$6),"⚠ Vượt","")</f>
        <v/>
      </c>
      <c r="M1431">
        <f>IF(AND(A1431=Dashboard!$D$6,OR(Dashboard!$C$6="*",F1431=Dashboard!$C$6),L1431&lt;&gt;""),ABS(I1431)+ROW()/1000000000,0)</f>
        <v/>
      </c>
    </row>
    <row r="1432">
      <c r="A1432">
        <f>Data_thang!A1432</f>
        <v/>
      </c>
      <c r="B1432">
        <f>Data_thang!B1432</f>
        <v/>
      </c>
      <c r="C1432">
        <f>Data_thang!D1432</f>
        <v/>
      </c>
      <c r="D1432">
        <f>Data_thang!E1432</f>
        <v/>
      </c>
      <c r="E1432">
        <f>Data_thang!F1432</f>
        <v/>
      </c>
      <c r="F1432">
        <f>Data_thang!G1432</f>
        <v/>
      </c>
      <c r="G1432" s="29">
        <f>Data_thang!J1432-Data_thang!K1432</f>
        <v/>
      </c>
      <c r="H1432" s="29">
        <f>Data_thang!N1432</f>
        <v/>
      </c>
      <c r="I1432" s="29">
        <f>H1432-G1432</f>
        <v/>
      </c>
      <c r="J1432" s="30">
        <f>IF(H1432=0,IF(I1432=0,0,1),I1432/ABS(H1432))</f>
        <v/>
      </c>
      <c r="K1432" s="29">
        <f>H1432-(Data_thang!O1432-Data_thang!K1432)</f>
        <v/>
      </c>
      <c r="L1432">
        <f>IF(AND(ABS(I1432)&gt;Dashboard!$G$6,ABS(J1432)&gt;Dashboard!$H$6),"⚠ Vượt","")</f>
        <v/>
      </c>
      <c r="M1432">
        <f>IF(AND(A1432=Dashboard!$D$6,OR(Dashboard!$C$6="*",F1432=Dashboard!$C$6),L1432&lt;&gt;""),ABS(I1432)+ROW()/1000000000,0)</f>
        <v/>
      </c>
    </row>
    <row r="1433">
      <c r="A1433">
        <f>Data_thang!A1433</f>
        <v/>
      </c>
      <c r="B1433">
        <f>Data_thang!B1433</f>
        <v/>
      </c>
      <c r="C1433">
        <f>Data_thang!D1433</f>
        <v/>
      </c>
      <c r="D1433">
        <f>Data_thang!E1433</f>
        <v/>
      </c>
      <c r="E1433">
        <f>Data_thang!F1433</f>
        <v/>
      </c>
      <c r="F1433">
        <f>Data_thang!G1433</f>
        <v/>
      </c>
      <c r="G1433" s="29">
        <f>Data_thang!J1433-Data_thang!K1433</f>
        <v/>
      </c>
      <c r="H1433" s="29">
        <f>Data_thang!N1433</f>
        <v/>
      </c>
      <c r="I1433" s="29">
        <f>H1433-G1433</f>
        <v/>
      </c>
      <c r="J1433" s="30">
        <f>IF(H1433=0,IF(I1433=0,0,1),I1433/ABS(H1433))</f>
        <v/>
      </c>
      <c r="K1433" s="29">
        <f>H1433-(Data_thang!O1433-Data_thang!K1433)</f>
        <v/>
      </c>
      <c r="L1433">
        <f>IF(AND(ABS(I1433)&gt;Dashboard!$G$6,ABS(J1433)&gt;Dashboard!$H$6),"⚠ Vượt","")</f>
        <v/>
      </c>
      <c r="M1433">
        <f>IF(AND(A1433=Dashboard!$D$6,OR(Dashboard!$C$6="*",F1433=Dashboard!$C$6),L1433&lt;&gt;""),ABS(I1433)+ROW()/1000000000,0)</f>
        <v/>
      </c>
    </row>
    <row r="1434">
      <c r="A1434">
        <f>Data_thang!A1434</f>
        <v/>
      </c>
      <c r="B1434">
        <f>Data_thang!B1434</f>
        <v/>
      </c>
      <c r="C1434">
        <f>Data_thang!D1434</f>
        <v/>
      </c>
      <c r="D1434">
        <f>Data_thang!E1434</f>
        <v/>
      </c>
      <c r="E1434">
        <f>Data_thang!F1434</f>
        <v/>
      </c>
      <c r="F1434">
        <f>Data_thang!G1434</f>
        <v/>
      </c>
      <c r="G1434" s="29">
        <f>Data_thang!J1434-Data_thang!K1434</f>
        <v/>
      </c>
      <c r="H1434" s="29">
        <f>Data_thang!N1434</f>
        <v/>
      </c>
      <c r="I1434" s="29">
        <f>H1434-G1434</f>
        <v/>
      </c>
      <c r="J1434" s="30">
        <f>IF(H1434=0,IF(I1434=0,0,1),I1434/ABS(H1434))</f>
        <v/>
      </c>
      <c r="K1434" s="29">
        <f>H1434-(Data_thang!O1434-Data_thang!K1434)</f>
        <v/>
      </c>
      <c r="L1434">
        <f>IF(AND(ABS(I1434)&gt;Dashboard!$G$6,ABS(J1434)&gt;Dashboard!$H$6),"⚠ Vượt","")</f>
        <v/>
      </c>
      <c r="M1434">
        <f>IF(AND(A1434=Dashboard!$D$6,OR(Dashboard!$C$6="*",F1434=Dashboard!$C$6),L1434&lt;&gt;""),ABS(I1434)+ROW()/1000000000,0)</f>
        <v/>
      </c>
    </row>
    <row r="1435">
      <c r="A1435">
        <f>Data_thang!A1435</f>
        <v/>
      </c>
      <c r="B1435">
        <f>Data_thang!B1435</f>
        <v/>
      </c>
      <c r="C1435">
        <f>Data_thang!D1435</f>
        <v/>
      </c>
      <c r="D1435">
        <f>Data_thang!E1435</f>
        <v/>
      </c>
      <c r="E1435">
        <f>Data_thang!F1435</f>
        <v/>
      </c>
      <c r="F1435">
        <f>Data_thang!G1435</f>
        <v/>
      </c>
      <c r="G1435" s="29">
        <f>Data_thang!J1435-Data_thang!K1435</f>
        <v/>
      </c>
      <c r="H1435" s="29">
        <f>Data_thang!N1435</f>
        <v/>
      </c>
      <c r="I1435" s="29">
        <f>H1435-G1435</f>
        <v/>
      </c>
      <c r="J1435" s="30">
        <f>IF(H1435=0,IF(I1435=0,0,1),I1435/ABS(H1435))</f>
        <v/>
      </c>
      <c r="K1435" s="29">
        <f>H1435-(Data_thang!O1435-Data_thang!K1435)</f>
        <v/>
      </c>
      <c r="L1435">
        <f>IF(AND(ABS(I1435)&gt;Dashboard!$G$6,ABS(J1435)&gt;Dashboard!$H$6),"⚠ Vượt","")</f>
        <v/>
      </c>
      <c r="M1435">
        <f>IF(AND(A1435=Dashboard!$D$6,OR(Dashboard!$C$6="*",F1435=Dashboard!$C$6),L1435&lt;&gt;""),ABS(I1435)+ROW()/1000000000,0)</f>
        <v/>
      </c>
    </row>
    <row r="1436">
      <c r="A1436">
        <f>Data_thang!A1436</f>
        <v/>
      </c>
      <c r="B1436">
        <f>Data_thang!B1436</f>
        <v/>
      </c>
      <c r="C1436">
        <f>Data_thang!D1436</f>
        <v/>
      </c>
      <c r="D1436">
        <f>Data_thang!E1436</f>
        <v/>
      </c>
      <c r="E1436">
        <f>Data_thang!F1436</f>
        <v/>
      </c>
      <c r="F1436">
        <f>Data_thang!G1436</f>
        <v/>
      </c>
      <c r="G1436" s="29">
        <f>Data_thang!J1436-Data_thang!K1436</f>
        <v/>
      </c>
      <c r="H1436" s="29">
        <f>Data_thang!N1436</f>
        <v/>
      </c>
      <c r="I1436" s="29">
        <f>H1436-G1436</f>
        <v/>
      </c>
      <c r="J1436" s="30">
        <f>IF(H1436=0,IF(I1436=0,0,1),I1436/ABS(H1436))</f>
        <v/>
      </c>
      <c r="K1436" s="29">
        <f>H1436-(Data_thang!O1436-Data_thang!K1436)</f>
        <v/>
      </c>
      <c r="L1436">
        <f>IF(AND(ABS(I1436)&gt;Dashboard!$G$6,ABS(J1436)&gt;Dashboard!$H$6),"⚠ Vượt","")</f>
        <v/>
      </c>
      <c r="M1436">
        <f>IF(AND(A1436=Dashboard!$D$6,OR(Dashboard!$C$6="*",F1436=Dashboard!$C$6),L1436&lt;&gt;""),ABS(I1436)+ROW()/1000000000,0)</f>
        <v/>
      </c>
    </row>
    <row r="1437">
      <c r="A1437">
        <f>Data_thang!A1437</f>
        <v/>
      </c>
      <c r="B1437">
        <f>Data_thang!B1437</f>
        <v/>
      </c>
      <c r="C1437">
        <f>Data_thang!D1437</f>
        <v/>
      </c>
      <c r="D1437">
        <f>Data_thang!E1437</f>
        <v/>
      </c>
      <c r="E1437">
        <f>Data_thang!F1437</f>
        <v/>
      </c>
      <c r="F1437">
        <f>Data_thang!G1437</f>
        <v/>
      </c>
      <c r="G1437" s="29">
        <f>Data_thang!J1437-Data_thang!K1437</f>
        <v/>
      </c>
      <c r="H1437" s="29">
        <f>Data_thang!N1437</f>
        <v/>
      </c>
      <c r="I1437" s="29">
        <f>H1437-G1437</f>
        <v/>
      </c>
      <c r="J1437" s="30">
        <f>IF(H1437=0,IF(I1437=0,0,1),I1437/ABS(H1437))</f>
        <v/>
      </c>
      <c r="K1437" s="29">
        <f>H1437-(Data_thang!O1437-Data_thang!K1437)</f>
        <v/>
      </c>
      <c r="L1437">
        <f>IF(AND(ABS(I1437)&gt;Dashboard!$G$6,ABS(J1437)&gt;Dashboard!$H$6),"⚠ Vượt","")</f>
        <v/>
      </c>
      <c r="M1437">
        <f>IF(AND(A1437=Dashboard!$D$6,OR(Dashboard!$C$6="*",F1437=Dashboard!$C$6),L1437&lt;&gt;""),ABS(I1437)+ROW()/1000000000,0)</f>
        <v/>
      </c>
    </row>
    <row r="1438">
      <c r="A1438">
        <f>Data_thang!A1438</f>
        <v/>
      </c>
      <c r="B1438">
        <f>Data_thang!B1438</f>
        <v/>
      </c>
      <c r="C1438">
        <f>Data_thang!D1438</f>
        <v/>
      </c>
      <c r="D1438">
        <f>Data_thang!E1438</f>
        <v/>
      </c>
      <c r="E1438">
        <f>Data_thang!F1438</f>
        <v/>
      </c>
      <c r="F1438">
        <f>Data_thang!G1438</f>
        <v/>
      </c>
      <c r="G1438" s="29">
        <f>Data_thang!J1438-Data_thang!K1438</f>
        <v/>
      </c>
      <c r="H1438" s="29">
        <f>Data_thang!N1438</f>
        <v/>
      </c>
      <c r="I1438" s="29">
        <f>H1438-G1438</f>
        <v/>
      </c>
      <c r="J1438" s="30">
        <f>IF(H1438=0,IF(I1438=0,0,1),I1438/ABS(H1438))</f>
        <v/>
      </c>
      <c r="K1438" s="29">
        <f>H1438-(Data_thang!O1438-Data_thang!K1438)</f>
        <v/>
      </c>
      <c r="L1438">
        <f>IF(AND(ABS(I1438)&gt;Dashboard!$G$6,ABS(J1438)&gt;Dashboard!$H$6),"⚠ Vượt","")</f>
        <v/>
      </c>
      <c r="M1438">
        <f>IF(AND(A1438=Dashboard!$D$6,OR(Dashboard!$C$6="*",F1438=Dashboard!$C$6),L1438&lt;&gt;""),ABS(I1438)+ROW()/1000000000,0)</f>
        <v/>
      </c>
    </row>
    <row r="1439">
      <c r="A1439">
        <f>Data_thang!A1439</f>
        <v/>
      </c>
      <c r="B1439">
        <f>Data_thang!B1439</f>
        <v/>
      </c>
      <c r="C1439">
        <f>Data_thang!D1439</f>
        <v/>
      </c>
      <c r="D1439">
        <f>Data_thang!E1439</f>
        <v/>
      </c>
      <c r="E1439">
        <f>Data_thang!F1439</f>
        <v/>
      </c>
      <c r="F1439">
        <f>Data_thang!G1439</f>
        <v/>
      </c>
      <c r="G1439" s="29">
        <f>Data_thang!J1439-Data_thang!K1439</f>
        <v/>
      </c>
      <c r="H1439" s="29">
        <f>Data_thang!N1439</f>
        <v/>
      </c>
      <c r="I1439" s="29">
        <f>H1439-G1439</f>
        <v/>
      </c>
      <c r="J1439" s="30">
        <f>IF(H1439=0,IF(I1439=0,0,1),I1439/ABS(H1439))</f>
        <v/>
      </c>
      <c r="K1439" s="29">
        <f>H1439-(Data_thang!O1439-Data_thang!K1439)</f>
        <v/>
      </c>
      <c r="L1439">
        <f>IF(AND(ABS(I1439)&gt;Dashboard!$G$6,ABS(J1439)&gt;Dashboard!$H$6),"⚠ Vượt","")</f>
        <v/>
      </c>
      <c r="M1439">
        <f>IF(AND(A1439=Dashboard!$D$6,OR(Dashboard!$C$6="*",F1439=Dashboard!$C$6),L1439&lt;&gt;""),ABS(I1439)+ROW()/1000000000,0)</f>
        <v/>
      </c>
    </row>
    <row r="1440">
      <c r="A1440">
        <f>Data_thang!A1440</f>
        <v/>
      </c>
      <c r="B1440">
        <f>Data_thang!B1440</f>
        <v/>
      </c>
      <c r="C1440">
        <f>Data_thang!D1440</f>
        <v/>
      </c>
      <c r="D1440">
        <f>Data_thang!E1440</f>
        <v/>
      </c>
      <c r="E1440">
        <f>Data_thang!F1440</f>
        <v/>
      </c>
      <c r="F1440">
        <f>Data_thang!G1440</f>
        <v/>
      </c>
      <c r="G1440" s="29">
        <f>Data_thang!J1440-Data_thang!K1440</f>
        <v/>
      </c>
      <c r="H1440" s="29">
        <f>Data_thang!N1440</f>
        <v/>
      </c>
      <c r="I1440" s="29">
        <f>H1440-G1440</f>
        <v/>
      </c>
      <c r="J1440" s="30">
        <f>IF(H1440=0,IF(I1440=0,0,1),I1440/ABS(H1440))</f>
        <v/>
      </c>
      <c r="K1440" s="29">
        <f>H1440-(Data_thang!O1440-Data_thang!K1440)</f>
        <v/>
      </c>
      <c r="L1440">
        <f>IF(AND(ABS(I1440)&gt;Dashboard!$G$6,ABS(J1440)&gt;Dashboard!$H$6),"⚠ Vượt","")</f>
        <v/>
      </c>
      <c r="M1440">
        <f>IF(AND(A1440=Dashboard!$D$6,OR(Dashboard!$C$6="*",F1440=Dashboard!$C$6),L1440&lt;&gt;""),ABS(I1440)+ROW()/1000000000,0)</f>
        <v/>
      </c>
    </row>
    <row r="1441">
      <c r="A1441">
        <f>Data_thang!A1441</f>
        <v/>
      </c>
      <c r="B1441">
        <f>Data_thang!B1441</f>
        <v/>
      </c>
      <c r="C1441">
        <f>Data_thang!D1441</f>
        <v/>
      </c>
      <c r="D1441">
        <f>Data_thang!E1441</f>
        <v/>
      </c>
      <c r="E1441">
        <f>Data_thang!F1441</f>
        <v/>
      </c>
      <c r="F1441">
        <f>Data_thang!G1441</f>
        <v/>
      </c>
      <c r="G1441" s="29">
        <f>Data_thang!J1441-Data_thang!K1441</f>
        <v/>
      </c>
      <c r="H1441" s="29">
        <f>Data_thang!N1441</f>
        <v/>
      </c>
      <c r="I1441" s="29">
        <f>H1441-G1441</f>
        <v/>
      </c>
      <c r="J1441" s="30">
        <f>IF(H1441=0,IF(I1441=0,0,1),I1441/ABS(H1441))</f>
        <v/>
      </c>
      <c r="K1441" s="29">
        <f>H1441-(Data_thang!O1441-Data_thang!K1441)</f>
        <v/>
      </c>
      <c r="L1441">
        <f>IF(AND(ABS(I1441)&gt;Dashboard!$G$6,ABS(J1441)&gt;Dashboard!$H$6),"⚠ Vượt","")</f>
        <v/>
      </c>
      <c r="M1441">
        <f>IF(AND(A1441=Dashboard!$D$6,OR(Dashboard!$C$6="*",F1441=Dashboard!$C$6),L1441&lt;&gt;""),ABS(I1441)+ROW()/1000000000,0)</f>
        <v/>
      </c>
    </row>
    <row r="1442">
      <c r="A1442">
        <f>Data_thang!A1442</f>
        <v/>
      </c>
      <c r="B1442">
        <f>Data_thang!B1442</f>
        <v/>
      </c>
      <c r="C1442">
        <f>Data_thang!D1442</f>
        <v/>
      </c>
      <c r="D1442">
        <f>Data_thang!E1442</f>
        <v/>
      </c>
      <c r="E1442">
        <f>Data_thang!F1442</f>
        <v/>
      </c>
      <c r="F1442">
        <f>Data_thang!G1442</f>
        <v/>
      </c>
      <c r="G1442" s="29">
        <f>Data_thang!J1442-Data_thang!K1442</f>
        <v/>
      </c>
      <c r="H1442" s="29">
        <f>Data_thang!N1442</f>
        <v/>
      </c>
      <c r="I1442" s="29">
        <f>H1442-G1442</f>
        <v/>
      </c>
      <c r="J1442" s="30">
        <f>IF(H1442=0,IF(I1442=0,0,1),I1442/ABS(H1442))</f>
        <v/>
      </c>
      <c r="K1442" s="29">
        <f>H1442-(Data_thang!O1442-Data_thang!K1442)</f>
        <v/>
      </c>
      <c r="L1442">
        <f>IF(AND(ABS(I1442)&gt;Dashboard!$G$6,ABS(J1442)&gt;Dashboard!$H$6),"⚠ Vượt","")</f>
        <v/>
      </c>
      <c r="M1442">
        <f>IF(AND(A1442=Dashboard!$D$6,OR(Dashboard!$C$6="*",F1442=Dashboard!$C$6),L1442&lt;&gt;""),ABS(I1442)+ROW()/1000000000,0)</f>
        <v/>
      </c>
    </row>
    <row r="1443">
      <c r="A1443">
        <f>Data_thang!A1443</f>
        <v/>
      </c>
      <c r="B1443">
        <f>Data_thang!B1443</f>
        <v/>
      </c>
      <c r="C1443">
        <f>Data_thang!D1443</f>
        <v/>
      </c>
      <c r="D1443">
        <f>Data_thang!E1443</f>
        <v/>
      </c>
      <c r="E1443">
        <f>Data_thang!F1443</f>
        <v/>
      </c>
      <c r="F1443">
        <f>Data_thang!G1443</f>
        <v/>
      </c>
      <c r="G1443" s="29">
        <f>Data_thang!J1443-Data_thang!K1443</f>
        <v/>
      </c>
      <c r="H1443" s="29">
        <f>Data_thang!N1443</f>
        <v/>
      </c>
      <c r="I1443" s="29">
        <f>H1443-G1443</f>
        <v/>
      </c>
      <c r="J1443" s="30">
        <f>IF(H1443=0,IF(I1443=0,0,1),I1443/ABS(H1443))</f>
        <v/>
      </c>
      <c r="K1443" s="29">
        <f>H1443-(Data_thang!O1443-Data_thang!K1443)</f>
        <v/>
      </c>
      <c r="L1443">
        <f>IF(AND(ABS(I1443)&gt;Dashboard!$G$6,ABS(J1443)&gt;Dashboard!$H$6),"⚠ Vượt","")</f>
        <v/>
      </c>
      <c r="M1443">
        <f>IF(AND(A1443=Dashboard!$D$6,OR(Dashboard!$C$6="*",F1443=Dashboard!$C$6),L1443&lt;&gt;""),ABS(I1443)+ROW()/1000000000,0)</f>
        <v/>
      </c>
    </row>
    <row r="1444">
      <c r="A1444">
        <f>Data_thang!A1444</f>
        <v/>
      </c>
      <c r="B1444">
        <f>Data_thang!B1444</f>
        <v/>
      </c>
      <c r="C1444">
        <f>Data_thang!D1444</f>
        <v/>
      </c>
      <c r="D1444">
        <f>Data_thang!E1444</f>
        <v/>
      </c>
      <c r="E1444">
        <f>Data_thang!F1444</f>
        <v/>
      </c>
      <c r="F1444">
        <f>Data_thang!G1444</f>
        <v/>
      </c>
      <c r="G1444" s="29">
        <f>Data_thang!J1444-Data_thang!K1444</f>
        <v/>
      </c>
      <c r="H1444" s="29">
        <f>Data_thang!N1444</f>
        <v/>
      </c>
      <c r="I1444" s="29">
        <f>H1444-G1444</f>
        <v/>
      </c>
      <c r="J1444" s="30">
        <f>IF(H1444=0,IF(I1444=0,0,1),I1444/ABS(H1444))</f>
        <v/>
      </c>
      <c r="K1444" s="29">
        <f>H1444-(Data_thang!O1444-Data_thang!K1444)</f>
        <v/>
      </c>
      <c r="L1444">
        <f>IF(AND(ABS(I1444)&gt;Dashboard!$G$6,ABS(J1444)&gt;Dashboard!$H$6),"⚠ Vượt","")</f>
        <v/>
      </c>
      <c r="M1444">
        <f>IF(AND(A1444=Dashboard!$D$6,OR(Dashboard!$C$6="*",F1444=Dashboard!$C$6),L1444&lt;&gt;""),ABS(I1444)+ROW()/1000000000,0)</f>
        <v/>
      </c>
    </row>
    <row r="1445">
      <c r="A1445">
        <f>Data_thang!A1445</f>
        <v/>
      </c>
      <c r="B1445">
        <f>Data_thang!B1445</f>
        <v/>
      </c>
      <c r="C1445">
        <f>Data_thang!D1445</f>
        <v/>
      </c>
      <c r="D1445">
        <f>Data_thang!E1445</f>
        <v/>
      </c>
      <c r="E1445">
        <f>Data_thang!F1445</f>
        <v/>
      </c>
      <c r="F1445">
        <f>Data_thang!G1445</f>
        <v/>
      </c>
      <c r="G1445" s="29">
        <f>Data_thang!J1445-Data_thang!K1445</f>
        <v/>
      </c>
      <c r="H1445" s="29">
        <f>Data_thang!N1445</f>
        <v/>
      </c>
      <c r="I1445" s="29">
        <f>H1445-G1445</f>
        <v/>
      </c>
      <c r="J1445" s="30">
        <f>IF(H1445=0,IF(I1445=0,0,1),I1445/ABS(H1445))</f>
        <v/>
      </c>
      <c r="K1445" s="29">
        <f>H1445-(Data_thang!O1445-Data_thang!K1445)</f>
        <v/>
      </c>
      <c r="L1445">
        <f>IF(AND(ABS(I1445)&gt;Dashboard!$G$6,ABS(J1445)&gt;Dashboard!$H$6),"⚠ Vượt","")</f>
        <v/>
      </c>
      <c r="M1445">
        <f>IF(AND(A1445=Dashboard!$D$6,OR(Dashboard!$C$6="*",F1445=Dashboard!$C$6),L1445&lt;&gt;""),ABS(I1445)+ROW()/1000000000,0)</f>
        <v/>
      </c>
    </row>
    <row r="1446">
      <c r="A1446">
        <f>Data_thang!A1446</f>
        <v/>
      </c>
      <c r="B1446">
        <f>Data_thang!B1446</f>
        <v/>
      </c>
      <c r="C1446">
        <f>Data_thang!D1446</f>
        <v/>
      </c>
      <c r="D1446">
        <f>Data_thang!E1446</f>
        <v/>
      </c>
      <c r="E1446">
        <f>Data_thang!F1446</f>
        <v/>
      </c>
      <c r="F1446">
        <f>Data_thang!G1446</f>
        <v/>
      </c>
      <c r="G1446" s="29">
        <f>Data_thang!J1446-Data_thang!K1446</f>
        <v/>
      </c>
      <c r="H1446" s="29">
        <f>Data_thang!N1446</f>
        <v/>
      </c>
      <c r="I1446" s="29">
        <f>H1446-G1446</f>
        <v/>
      </c>
      <c r="J1446" s="30">
        <f>IF(H1446=0,IF(I1446=0,0,1),I1446/ABS(H1446))</f>
        <v/>
      </c>
      <c r="K1446" s="29">
        <f>H1446-(Data_thang!O1446-Data_thang!K1446)</f>
        <v/>
      </c>
      <c r="L1446">
        <f>IF(AND(ABS(I1446)&gt;Dashboard!$G$6,ABS(J1446)&gt;Dashboard!$H$6),"⚠ Vượt","")</f>
        <v/>
      </c>
      <c r="M1446">
        <f>IF(AND(A1446=Dashboard!$D$6,OR(Dashboard!$C$6="*",F1446=Dashboard!$C$6),L1446&lt;&gt;""),ABS(I1446)+ROW()/1000000000,0)</f>
        <v/>
      </c>
    </row>
    <row r="1447">
      <c r="A1447">
        <f>Data_thang!A1447</f>
        <v/>
      </c>
      <c r="B1447">
        <f>Data_thang!B1447</f>
        <v/>
      </c>
      <c r="C1447">
        <f>Data_thang!D1447</f>
        <v/>
      </c>
      <c r="D1447">
        <f>Data_thang!E1447</f>
        <v/>
      </c>
      <c r="E1447">
        <f>Data_thang!F1447</f>
        <v/>
      </c>
      <c r="F1447">
        <f>Data_thang!G1447</f>
        <v/>
      </c>
      <c r="G1447" s="29">
        <f>Data_thang!J1447-Data_thang!K1447</f>
        <v/>
      </c>
      <c r="H1447" s="29">
        <f>Data_thang!N1447</f>
        <v/>
      </c>
      <c r="I1447" s="29">
        <f>H1447-G1447</f>
        <v/>
      </c>
      <c r="J1447" s="30">
        <f>IF(H1447=0,IF(I1447=0,0,1),I1447/ABS(H1447))</f>
        <v/>
      </c>
      <c r="K1447" s="29">
        <f>H1447-(Data_thang!O1447-Data_thang!K1447)</f>
        <v/>
      </c>
      <c r="L1447">
        <f>IF(AND(ABS(I1447)&gt;Dashboard!$G$6,ABS(J1447)&gt;Dashboard!$H$6),"⚠ Vượt","")</f>
        <v/>
      </c>
      <c r="M1447">
        <f>IF(AND(A1447=Dashboard!$D$6,OR(Dashboard!$C$6="*",F1447=Dashboard!$C$6),L1447&lt;&gt;""),ABS(I1447)+ROW()/1000000000,0)</f>
        <v/>
      </c>
    </row>
    <row r="1448">
      <c r="A1448">
        <f>Data_thang!A1448</f>
        <v/>
      </c>
      <c r="B1448">
        <f>Data_thang!B1448</f>
        <v/>
      </c>
      <c r="C1448">
        <f>Data_thang!D1448</f>
        <v/>
      </c>
      <c r="D1448">
        <f>Data_thang!E1448</f>
        <v/>
      </c>
      <c r="E1448">
        <f>Data_thang!F1448</f>
        <v/>
      </c>
      <c r="F1448">
        <f>Data_thang!G1448</f>
        <v/>
      </c>
      <c r="G1448" s="29">
        <f>Data_thang!J1448-Data_thang!K1448</f>
        <v/>
      </c>
      <c r="H1448" s="29">
        <f>Data_thang!N1448</f>
        <v/>
      </c>
      <c r="I1448" s="29">
        <f>H1448-G1448</f>
        <v/>
      </c>
      <c r="J1448" s="30">
        <f>IF(H1448=0,IF(I1448=0,0,1),I1448/ABS(H1448))</f>
        <v/>
      </c>
      <c r="K1448" s="29">
        <f>H1448-(Data_thang!O1448-Data_thang!K1448)</f>
        <v/>
      </c>
      <c r="L1448">
        <f>IF(AND(ABS(I1448)&gt;Dashboard!$G$6,ABS(J1448)&gt;Dashboard!$H$6),"⚠ Vượt","")</f>
        <v/>
      </c>
      <c r="M1448">
        <f>IF(AND(A1448=Dashboard!$D$6,OR(Dashboard!$C$6="*",F1448=Dashboard!$C$6),L1448&lt;&gt;""),ABS(I1448)+ROW()/1000000000,0)</f>
        <v/>
      </c>
    </row>
    <row r="1449">
      <c r="A1449">
        <f>Data_thang!A1449</f>
        <v/>
      </c>
      <c r="B1449">
        <f>Data_thang!B1449</f>
        <v/>
      </c>
      <c r="C1449">
        <f>Data_thang!D1449</f>
        <v/>
      </c>
      <c r="D1449">
        <f>Data_thang!E1449</f>
        <v/>
      </c>
      <c r="E1449">
        <f>Data_thang!F1449</f>
        <v/>
      </c>
      <c r="F1449">
        <f>Data_thang!G1449</f>
        <v/>
      </c>
      <c r="G1449" s="29">
        <f>Data_thang!J1449-Data_thang!K1449</f>
        <v/>
      </c>
      <c r="H1449" s="29">
        <f>Data_thang!N1449</f>
        <v/>
      </c>
      <c r="I1449" s="29">
        <f>H1449-G1449</f>
        <v/>
      </c>
      <c r="J1449" s="30">
        <f>IF(H1449=0,IF(I1449=0,0,1),I1449/ABS(H1449))</f>
        <v/>
      </c>
      <c r="K1449" s="29">
        <f>H1449-(Data_thang!O1449-Data_thang!K1449)</f>
        <v/>
      </c>
      <c r="L1449">
        <f>IF(AND(ABS(I1449)&gt;Dashboard!$G$6,ABS(J1449)&gt;Dashboard!$H$6),"⚠ Vượt","")</f>
        <v/>
      </c>
      <c r="M1449">
        <f>IF(AND(A1449=Dashboard!$D$6,OR(Dashboard!$C$6="*",F1449=Dashboard!$C$6),L1449&lt;&gt;""),ABS(I1449)+ROW()/1000000000,0)</f>
        <v/>
      </c>
    </row>
    <row r="1450">
      <c r="A1450">
        <f>Data_thang!A1450</f>
        <v/>
      </c>
      <c r="B1450">
        <f>Data_thang!B1450</f>
        <v/>
      </c>
      <c r="C1450">
        <f>Data_thang!D1450</f>
        <v/>
      </c>
      <c r="D1450">
        <f>Data_thang!E1450</f>
        <v/>
      </c>
      <c r="E1450">
        <f>Data_thang!F1450</f>
        <v/>
      </c>
      <c r="F1450">
        <f>Data_thang!G1450</f>
        <v/>
      </c>
      <c r="G1450" s="29">
        <f>Data_thang!J1450-Data_thang!K1450</f>
        <v/>
      </c>
      <c r="H1450" s="29">
        <f>Data_thang!N1450</f>
        <v/>
      </c>
      <c r="I1450" s="29">
        <f>H1450-G1450</f>
        <v/>
      </c>
      <c r="J1450" s="30">
        <f>IF(H1450=0,IF(I1450=0,0,1),I1450/ABS(H1450))</f>
        <v/>
      </c>
      <c r="K1450" s="29">
        <f>H1450-(Data_thang!O1450-Data_thang!K1450)</f>
        <v/>
      </c>
      <c r="L1450">
        <f>IF(AND(ABS(I1450)&gt;Dashboard!$G$6,ABS(J1450)&gt;Dashboard!$H$6),"⚠ Vượt","")</f>
        <v/>
      </c>
      <c r="M1450">
        <f>IF(AND(A1450=Dashboard!$D$6,OR(Dashboard!$C$6="*",F1450=Dashboard!$C$6),L1450&lt;&gt;""),ABS(I1450)+ROW()/1000000000,0)</f>
        <v/>
      </c>
    </row>
    <row r="1451">
      <c r="A1451">
        <f>Data_thang!A1451</f>
        <v/>
      </c>
      <c r="B1451">
        <f>Data_thang!B1451</f>
        <v/>
      </c>
      <c r="C1451">
        <f>Data_thang!D1451</f>
        <v/>
      </c>
      <c r="D1451">
        <f>Data_thang!E1451</f>
        <v/>
      </c>
      <c r="E1451">
        <f>Data_thang!F1451</f>
        <v/>
      </c>
      <c r="F1451">
        <f>Data_thang!G1451</f>
        <v/>
      </c>
      <c r="G1451" s="29">
        <f>Data_thang!J1451-Data_thang!K1451</f>
        <v/>
      </c>
      <c r="H1451" s="29">
        <f>Data_thang!N1451</f>
        <v/>
      </c>
      <c r="I1451" s="29">
        <f>H1451-G1451</f>
        <v/>
      </c>
      <c r="J1451" s="30">
        <f>IF(H1451=0,IF(I1451=0,0,1),I1451/ABS(H1451))</f>
        <v/>
      </c>
      <c r="K1451" s="29">
        <f>H1451-(Data_thang!O1451-Data_thang!K1451)</f>
        <v/>
      </c>
      <c r="L1451">
        <f>IF(AND(ABS(I1451)&gt;Dashboard!$G$6,ABS(J1451)&gt;Dashboard!$H$6),"⚠ Vượt","")</f>
        <v/>
      </c>
      <c r="M1451">
        <f>IF(AND(A1451=Dashboard!$D$6,OR(Dashboard!$C$6="*",F1451=Dashboard!$C$6),L1451&lt;&gt;""),ABS(I1451)+ROW()/1000000000,0)</f>
        <v/>
      </c>
    </row>
    <row r="1452">
      <c r="A1452">
        <f>Data_thang!A1452</f>
        <v/>
      </c>
      <c r="B1452">
        <f>Data_thang!B1452</f>
        <v/>
      </c>
      <c r="C1452">
        <f>Data_thang!D1452</f>
        <v/>
      </c>
      <c r="D1452">
        <f>Data_thang!E1452</f>
        <v/>
      </c>
      <c r="E1452">
        <f>Data_thang!F1452</f>
        <v/>
      </c>
      <c r="F1452">
        <f>Data_thang!G1452</f>
        <v/>
      </c>
      <c r="G1452" s="29">
        <f>Data_thang!J1452-Data_thang!K1452</f>
        <v/>
      </c>
      <c r="H1452" s="29">
        <f>Data_thang!N1452</f>
        <v/>
      </c>
      <c r="I1452" s="29">
        <f>H1452-G1452</f>
        <v/>
      </c>
      <c r="J1452" s="30">
        <f>IF(H1452=0,IF(I1452=0,0,1),I1452/ABS(H1452))</f>
        <v/>
      </c>
      <c r="K1452" s="29">
        <f>H1452-(Data_thang!O1452-Data_thang!K1452)</f>
        <v/>
      </c>
      <c r="L1452">
        <f>IF(AND(ABS(I1452)&gt;Dashboard!$G$6,ABS(J1452)&gt;Dashboard!$H$6),"⚠ Vượt","")</f>
        <v/>
      </c>
      <c r="M1452">
        <f>IF(AND(A1452=Dashboard!$D$6,OR(Dashboard!$C$6="*",F1452=Dashboard!$C$6),L1452&lt;&gt;""),ABS(I1452)+ROW()/1000000000,0)</f>
        <v/>
      </c>
    </row>
    <row r="1453">
      <c r="A1453">
        <f>Data_thang!A1453</f>
        <v/>
      </c>
      <c r="B1453">
        <f>Data_thang!B1453</f>
        <v/>
      </c>
      <c r="C1453">
        <f>Data_thang!D1453</f>
        <v/>
      </c>
      <c r="D1453">
        <f>Data_thang!E1453</f>
        <v/>
      </c>
      <c r="E1453">
        <f>Data_thang!F1453</f>
        <v/>
      </c>
      <c r="F1453">
        <f>Data_thang!G1453</f>
        <v/>
      </c>
      <c r="G1453" s="29">
        <f>Data_thang!J1453-Data_thang!K1453</f>
        <v/>
      </c>
      <c r="H1453" s="29">
        <f>Data_thang!N1453</f>
        <v/>
      </c>
      <c r="I1453" s="29">
        <f>H1453-G1453</f>
        <v/>
      </c>
      <c r="J1453" s="30">
        <f>IF(H1453=0,IF(I1453=0,0,1),I1453/ABS(H1453))</f>
        <v/>
      </c>
      <c r="K1453" s="29">
        <f>H1453-(Data_thang!O1453-Data_thang!K1453)</f>
        <v/>
      </c>
      <c r="L1453">
        <f>IF(AND(ABS(I1453)&gt;Dashboard!$G$6,ABS(J1453)&gt;Dashboard!$H$6),"⚠ Vượt","")</f>
        <v/>
      </c>
      <c r="M1453">
        <f>IF(AND(A1453=Dashboard!$D$6,OR(Dashboard!$C$6="*",F1453=Dashboard!$C$6),L1453&lt;&gt;""),ABS(I1453)+ROW()/1000000000,0)</f>
        <v/>
      </c>
    </row>
    <row r="1454">
      <c r="A1454">
        <f>Data_thang!A1454</f>
        <v/>
      </c>
      <c r="B1454">
        <f>Data_thang!B1454</f>
        <v/>
      </c>
      <c r="C1454">
        <f>Data_thang!D1454</f>
        <v/>
      </c>
      <c r="D1454">
        <f>Data_thang!E1454</f>
        <v/>
      </c>
      <c r="E1454">
        <f>Data_thang!F1454</f>
        <v/>
      </c>
      <c r="F1454">
        <f>Data_thang!G1454</f>
        <v/>
      </c>
      <c r="G1454" s="29">
        <f>Data_thang!J1454-Data_thang!K1454</f>
        <v/>
      </c>
      <c r="H1454" s="29">
        <f>Data_thang!N1454</f>
        <v/>
      </c>
      <c r="I1454" s="29">
        <f>H1454-G1454</f>
        <v/>
      </c>
      <c r="J1454" s="30">
        <f>IF(H1454=0,IF(I1454=0,0,1),I1454/ABS(H1454))</f>
        <v/>
      </c>
      <c r="K1454" s="29">
        <f>H1454-(Data_thang!O1454-Data_thang!K1454)</f>
        <v/>
      </c>
      <c r="L1454">
        <f>IF(AND(ABS(I1454)&gt;Dashboard!$G$6,ABS(J1454)&gt;Dashboard!$H$6),"⚠ Vượt","")</f>
        <v/>
      </c>
      <c r="M1454">
        <f>IF(AND(A1454=Dashboard!$D$6,OR(Dashboard!$C$6="*",F1454=Dashboard!$C$6),L1454&lt;&gt;""),ABS(I1454)+ROW()/1000000000,0)</f>
        <v/>
      </c>
    </row>
    <row r="1455">
      <c r="A1455">
        <f>Data_thang!A1455</f>
        <v/>
      </c>
      <c r="B1455">
        <f>Data_thang!B1455</f>
        <v/>
      </c>
      <c r="C1455">
        <f>Data_thang!D1455</f>
        <v/>
      </c>
      <c r="D1455">
        <f>Data_thang!E1455</f>
        <v/>
      </c>
      <c r="E1455">
        <f>Data_thang!F1455</f>
        <v/>
      </c>
      <c r="F1455">
        <f>Data_thang!G1455</f>
        <v/>
      </c>
      <c r="G1455" s="29">
        <f>Data_thang!J1455-Data_thang!K1455</f>
        <v/>
      </c>
      <c r="H1455" s="29">
        <f>Data_thang!N1455</f>
        <v/>
      </c>
      <c r="I1455" s="29">
        <f>H1455-G1455</f>
        <v/>
      </c>
      <c r="J1455" s="30">
        <f>IF(H1455=0,IF(I1455=0,0,1),I1455/ABS(H1455))</f>
        <v/>
      </c>
      <c r="K1455" s="29">
        <f>H1455-(Data_thang!O1455-Data_thang!K1455)</f>
        <v/>
      </c>
      <c r="L1455">
        <f>IF(AND(ABS(I1455)&gt;Dashboard!$G$6,ABS(J1455)&gt;Dashboard!$H$6),"⚠ Vượt","")</f>
        <v/>
      </c>
      <c r="M1455">
        <f>IF(AND(A1455=Dashboard!$D$6,OR(Dashboard!$C$6="*",F1455=Dashboard!$C$6),L1455&lt;&gt;""),ABS(I1455)+ROW()/1000000000,0)</f>
        <v/>
      </c>
    </row>
    <row r="1456">
      <c r="A1456">
        <f>Data_thang!A1456</f>
        <v/>
      </c>
      <c r="B1456">
        <f>Data_thang!B1456</f>
        <v/>
      </c>
      <c r="C1456">
        <f>Data_thang!D1456</f>
        <v/>
      </c>
      <c r="D1456">
        <f>Data_thang!E1456</f>
        <v/>
      </c>
      <c r="E1456">
        <f>Data_thang!F1456</f>
        <v/>
      </c>
      <c r="F1456">
        <f>Data_thang!G1456</f>
        <v/>
      </c>
      <c r="G1456" s="29">
        <f>Data_thang!J1456-Data_thang!K1456</f>
        <v/>
      </c>
      <c r="H1456" s="29">
        <f>Data_thang!N1456</f>
        <v/>
      </c>
      <c r="I1456" s="29">
        <f>H1456-G1456</f>
        <v/>
      </c>
      <c r="J1456" s="30">
        <f>IF(H1456=0,IF(I1456=0,0,1),I1456/ABS(H1456))</f>
        <v/>
      </c>
      <c r="K1456" s="29">
        <f>H1456-(Data_thang!O1456-Data_thang!K1456)</f>
        <v/>
      </c>
      <c r="L1456">
        <f>IF(AND(ABS(I1456)&gt;Dashboard!$G$6,ABS(J1456)&gt;Dashboard!$H$6),"⚠ Vượt","")</f>
        <v/>
      </c>
      <c r="M1456">
        <f>IF(AND(A1456=Dashboard!$D$6,OR(Dashboard!$C$6="*",F1456=Dashboard!$C$6),L1456&lt;&gt;""),ABS(I1456)+ROW()/1000000000,0)</f>
        <v/>
      </c>
    </row>
    <row r="1457">
      <c r="A1457">
        <f>Data_thang!A1457</f>
        <v/>
      </c>
      <c r="B1457">
        <f>Data_thang!B1457</f>
        <v/>
      </c>
      <c r="C1457">
        <f>Data_thang!D1457</f>
        <v/>
      </c>
      <c r="D1457">
        <f>Data_thang!E1457</f>
        <v/>
      </c>
      <c r="E1457">
        <f>Data_thang!F1457</f>
        <v/>
      </c>
      <c r="F1457">
        <f>Data_thang!G1457</f>
        <v/>
      </c>
      <c r="G1457" s="29">
        <f>Data_thang!J1457-Data_thang!K1457</f>
        <v/>
      </c>
      <c r="H1457" s="29">
        <f>Data_thang!N1457</f>
        <v/>
      </c>
      <c r="I1457" s="29">
        <f>H1457-G1457</f>
        <v/>
      </c>
      <c r="J1457" s="30">
        <f>IF(H1457=0,IF(I1457=0,0,1),I1457/ABS(H1457))</f>
        <v/>
      </c>
      <c r="K1457" s="29">
        <f>H1457-(Data_thang!O1457-Data_thang!K1457)</f>
        <v/>
      </c>
      <c r="L1457">
        <f>IF(AND(ABS(I1457)&gt;Dashboard!$G$6,ABS(J1457)&gt;Dashboard!$H$6),"⚠ Vượt","")</f>
        <v/>
      </c>
      <c r="M1457">
        <f>IF(AND(A1457=Dashboard!$D$6,OR(Dashboard!$C$6="*",F1457=Dashboard!$C$6),L1457&lt;&gt;""),ABS(I1457)+ROW()/1000000000,0)</f>
        <v/>
      </c>
    </row>
    <row r="1458">
      <c r="A1458">
        <f>Data_thang!A1458</f>
        <v/>
      </c>
      <c r="B1458">
        <f>Data_thang!B1458</f>
        <v/>
      </c>
      <c r="C1458">
        <f>Data_thang!D1458</f>
        <v/>
      </c>
      <c r="D1458">
        <f>Data_thang!E1458</f>
        <v/>
      </c>
      <c r="E1458">
        <f>Data_thang!F1458</f>
        <v/>
      </c>
      <c r="F1458">
        <f>Data_thang!G1458</f>
        <v/>
      </c>
      <c r="G1458" s="29">
        <f>Data_thang!J1458-Data_thang!K1458</f>
        <v/>
      </c>
      <c r="H1458" s="29">
        <f>Data_thang!N1458</f>
        <v/>
      </c>
      <c r="I1458" s="29">
        <f>H1458-G1458</f>
        <v/>
      </c>
      <c r="J1458" s="30">
        <f>IF(H1458=0,IF(I1458=0,0,1),I1458/ABS(H1458))</f>
        <v/>
      </c>
      <c r="K1458" s="29">
        <f>H1458-(Data_thang!O1458-Data_thang!K1458)</f>
        <v/>
      </c>
      <c r="L1458">
        <f>IF(AND(ABS(I1458)&gt;Dashboard!$G$6,ABS(J1458)&gt;Dashboard!$H$6),"⚠ Vượt","")</f>
        <v/>
      </c>
      <c r="M1458">
        <f>IF(AND(A1458=Dashboard!$D$6,OR(Dashboard!$C$6="*",F1458=Dashboard!$C$6),L1458&lt;&gt;""),ABS(I1458)+ROW()/1000000000,0)</f>
        <v/>
      </c>
    </row>
    <row r="1459">
      <c r="A1459">
        <f>Data_thang!A1459</f>
        <v/>
      </c>
      <c r="B1459">
        <f>Data_thang!B1459</f>
        <v/>
      </c>
      <c r="C1459">
        <f>Data_thang!D1459</f>
        <v/>
      </c>
      <c r="D1459">
        <f>Data_thang!E1459</f>
        <v/>
      </c>
      <c r="E1459">
        <f>Data_thang!F1459</f>
        <v/>
      </c>
      <c r="F1459">
        <f>Data_thang!G1459</f>
        <v/>
      </c>
      <c r="G1459" s="29">
        <f>Data_thang!J1459-Data_thang!K1459</f>
        <v/>
      </c>
      <c r="H1459" s="29">
        <f>Data_thang!N1459</f>
        <v/>
      </c>
      <c r="I1459" s="29">
        <f>H1459-G1459</f>
        <v/>
      </c>
      <c r="J1459" s="30">
        <f>IF(H1459=0,IF(I1459=0,0,1),I1459/ABS(H1459))</f>
        <v/>
      </c>
      <c r="K1459" s="29">
        <f>H1459-(Data_thang!O1459-Data_thang!K1459)</f>
        <v/>
      </c>
      <c r="L1459">
        <f>IF(AND(ABS(I1459)&gt;Dashboard!$G$6,ABS(J1459)&gt;Dashboard!$H$6),"⚠ Vượt","")</f>
        <v/>
      </c>
      <c r="M1459">
        <f>IF(AND(A1459=Dashboard!$D$6,OR(Dashboard!$C$6="*",F1459=Dashboard!$C$6),L1459&lt;&gt;""),ABS(I1459)+ROW()/1000000000,0)</f>
        <v/>
      </c>
    </row>
    <row r="1460">
      <c r="A1460">
        <f>Data_thang!A1460</f>
        <v/>
      </c>
      <c r="B1460">
        <f>Data_thang!B1460</f>
        <v/>
      </c>
      <c r="C1460">
        <f>Data_thang!D1460</f>
        <v/>
      </c>
      <c r="D1460">
        <f>Data_thang!E1460</f>
        <v/>
      </c>
      <c r="E1460">
        <f>Data_thang!F1460</f>
        <v/>
      </c>
      <c r="F1460">
        <f>Data_thang!G1460</f>
        <v/>
      </c>
      <c r="G1460" s="29">
        <f>Data_thang!J1460-Data_thang!K1460</f>
        <v/>
      </c>
      <c r="H1460" s="29">
        <f>Data_thang!N1460</f>
        <v/>
      </c>
      <c r="I1460" s="29">
        <f>H1460-G1460</f>
        <v/>
      </c>
      <c r="J1460" s="30">
        <f>IF(H1460=0,IF(I1460=0,0,1),I1460/ABS(H1460))</f>
        <v/>
      </c>
      <c r="K1460" s="29">
        <f>H1460-(Data_thang!O1460-Data_thang!K1460)</f>
        <v/>
      </c>
      <c r="L1460">
        <f>IF(AND(ABS(I1460)&gt;Dashboard!$G$6,ABS(J1460)&gt;Dashboard!$H$6),"⚠ Vượt","")</f>
        <v/>
      </c>
      <c r="M1460">
        <f>IF(AND(A1460=Dashboard!$D$6,OR(Dashboard!$C$6="*",F1460=Dashboard!$C$6),L1460&lt;&gt;""),ABS(I1460)+ROW()/1000000000,0)</f>
        <v/>
      </c>
    </row>
    <row r="1461">
      <c r="A1461">
        <f>Data_thang!A1461</f>
        <v/>
      </c>
      <c r="B1461">
        <f>Data_thang!B1461</f>
        <v/>
      </c>
      <c r="C1461">
        <f>Data_thang!D1461</f>
        <v/>
      </c>
      <c r="D1461">
        <f>Data_thang!E1461</f>
        <v/>
      </c>
      <c r="E1461">
        <f>Data_thang!F1461</f>
        <v/>
      </c>
      <c r="F1461">
        <f>Data_thang!G1461</f>
        <v/>
      </c>
      <c r="G1461" s="29">
        <f>Data_thang!J1461-Data_thang!K1461</f>
        <v/>
      </c>
      <c r="H1461" s="29">
        <f>Data_thang!N1461</f>
        <v/>
      </c>
      <c r="I1461" s="29">
        <f>H1461-G1461</f>
        <v/>
      </c>
      <c r="J1461" s="30">
        <f>IF(H1461=0,IF(I1461=0,0,1),I1461/ABS(H1461))</f>
        <v/>
      </c>
      <c r="K1461" s="29">
        <f>H1461-(Data_thang!O1461-Data_thang!K1461)</f>
        <v/>
      </c>
      <c r="L1461">
        <f>IF(AND(ABS(I1461)&gt;Dashboard!$G$6,ABS(J1461)&gt;Dashboard!$H$6),"⚠ Vượt","")</f>
        <v/>
      </c>
      <c r="M1461">
        <f>IF(AND(A1461=Dashboard!$D$6,OR(Dashboard!$C$6="*",F1461=Dashboard!$C$6),L1461&lt;&gt;""),ABS(I1461)+ROW()/1000000000,0)</f>
        <v/>
      </c>
    </row>
    <row r="1462">
      <c r="A1462">
        <f>Data_thang!A1462</f>
        <v/>
      </c>
      <c r="B1462">
        <f>Data_thang!B1462</f>
        <v/>
      </c>
      <c r="C1462">
        <f>Data_thang!D1462</f>
        <v/>
      </c>
      <c r="D1462">
        <f>Data_thang!E1462</f>
        <v/>
      </c>
      <c r="E1462">
        <f>Data_thang!F1462</f>
        <v/>
      </c>
      <c r="F1462">
        <f>Data_thang!G1462</f>
        <v/>
      </c>
      <c r="G1462" s="29">
        <f>Data_thang!J1462-Data_thang!K1462</f>
        <v/>
      </c>
      <c r="H1462" s="29">
        <f>Data_thang!N1462</f>
        <v/>
      </c>
      <c r="I1462" s="29">
        <f>H1462-G1462</f>
        <v/>
      </c>
      <c r="J1462" s="30">
        <f>IF(H1462=0,IF(I1462=0,0,1),I1462/ABS(H1462))</f>
        <v/>
      </c>
      <c r="K1462" s="29">
        <f>H1462-(Data_thang!O1462-Data_thang!K1462)</f>
        <v/>
      </c>
      <c r="L1462">
        <f>IF(AND(ABS(I1462)&gt;Dashboard!$G$6,ABS(J1462)&gt;Dashboard!$H$6),"⚠ Vượt","")</f>
        <v/>
      </c>
      <c r="M1462">
        <f>IF(AND(A1462=Dashboard!$D$6,OR(Dashboard!$C$6="*",F1462=Dashboard!$C$6),L1462&lt;&gt;""),ABS(I1462)+ROW()/1000000000,0)</f>
        <v/>
      </c>
    </row>
    <row r="1463">
      <c r="A1463">
        <f>Data_thang!A1463</f>
        <v/>
      </c>
      <c r="B1463">
        <f>Data_thang!B1463</f>
        <v/>
      </c>
      <c r="C1463">
        <f>Data_thang!D1463</f>
        <v/>
      </c>
      <c r="D1463">
        <f>Data_thang!E1463</f>
        <v/>
      </c>
      <c r="E1463">
        <f>Data_thang!F1463</f>
        <v/>
      </c>
      <c r="F1463">
        <f>Data_thang!G1463</f>
        <v/>
      </c>
      <c r="G1463" s="29">
        <f>Data_thang!J1463-Data_thang!K1463</f>
        <v/>
      </c>
      <c r="H1463" s="29">
        <f>Data_thang!N1463</f>
        <v/>
      </c>
      <c r="I1463" s="29">
        <f>H1463-G1463</f>
        <v/>
      </c>
      <c r="J1463" s="30">
        <f>IF(H1463=0,IF(I1463=0,0,1),I1463/ABS(H1463))</f>
        <v/>
      </c>
      <c r="K1463" s="29">
        <f>H1463-(Data_thang!O1463-Data_thang!K1463)</f>
        <v/>
      </c>
      <c r="L1463">
        <f>IF(AND(ABS(I1463)&gt;Dashboard!$G$6,ABS(J1463)&gt;Dashboard!$H$6),"⚠ Vượt","")</f>
        <v/>
      </c>
      <c r="M1463">
        <f>IF(AND(A1463=Dashboard!$D$6,OR(Dashboard!$C$6="*",F1463=Dashboard!$C$6),L1463&lt;&gt;""),ABS(I1463)+ROW()/1000000000,0)</f>
        <v/>
      </c>
    </row>
    <row r="1464">
      <c r="A1464">
        <f>Data_thang!A1464</f>
        <v/>
      </c>
      <c r="B1464">
        <f>Data_thang!B1464</f>
        <v/>
      </c>
      <c r="C1464">
        <f>Data_thang!D1464</f>
        <v/>
      </c>
      <c r="D1464">
        <f>Data_thang!E1464</f>
        <v/>
      </c>
      <c r="E1464">
        <f>Data_thang!F1464</f>
        <v/>
      </c>
      <c r="F1464">
        <f>Data_thang!G1464</f>
        <v/>
      </c>
      <c r="G1464" s="29">
        <f>Data_thang!J1464-Data_thang!K1464</f>
        <v/>
      </c>
      <c r="H1464" s="29">
        <f>Data_thang!N1464</f>
        <v/>
      </c>
      <c r="I1464" s="29">
        <f>H1464-G1464</f>
        <v/>
      </c>
      <c r="J1464" s="30">
        <f>IF(H1464=0,IF(I1464=0,0,1),I1464/ABS(H1464))</f>
        <v/>
      </c>
      <c r="K1464" s="29">
        <f>H1464-(Data_thang!O1464-Data_thang!K1464)</f>
        <v/>
      </c>
      <c r="L1464">
        <f>IF(AND(ABS(I1464)&gt;Dashboard!$G$6,ABS(J1464)&gt;Dashboard!$H$6),"⚠ Vượt","")</f>
        <v/>
      </c>
      <c r="M1464">
        <f>IF(AND(A1464=Dashboard!$D$6,OR(Dashboard!$C$6="*",F1464=Dashboard!$C$6),L1464&lt;&gt;""),ABS(I1464)+ROW()/1000000000,0)</f>
        <v/>
      </c>
    </row>
    <row r="1465">
      <c r="A1465">
        <f>Data_thang!A1465</f>
        <v/>
      </c>
      <c r="B1465">
        <f>Data_thang!B1465</f>
        <v/>
      </c>
      <c r="C1465">
        <f>Data_thang!D1465</f>
        <v/>
      </c>
      <c r="D1465">
        <f>Data_thang!E1465</f>
        <v/>
      </c>
      <c r="E1465">
        <f>Data_thang!F1465</f>
        <v/>
      </c>
      <c r="F1465">
        <f>Data_thang!G1465</f>
        <v/>
      </c>
      <c r="G1465" s="29">
        <f>Data_thang!J1465-Data_thang!K1465</f>
        <v/>
      </c>
      <c r="H1465" s="29">
        <f>Data_thang!N1465</f>
        <v/>
      </c>
      <c r="I1465" s="29">
        <f>H1465-G1465</f>
        <v/>
      </c>
      <c r="J1465" s="30">
        <f>IF(H1465=0,IF(I1465=0,0,1),I1465/ABS(H1465))</f>
        <v/>
      </c>
      <c r="K1465" s="29">
        <f>H1465-(Data_thang!O1465-Data_thang!K1465)</f>
        <v/>
      </c>
      <c r="L1465">
        <f>IF(AND(ABS(I1465)&gt;Dashboard!$G$6,ABS(J1465)&gt;Dashboard!$H$6),"⚠ Vượt","")</f>
        <v/>
      </c>
      <c r="M1465">
        <f>IF(AND(A1465=Dashboard!$D$6,OR(Dashboard!$C$6="*",F1465=Dashboard!$C$6),L1465&lt;&gt;""),ABS(I1465)+ROW()/1000000000,0)</f>
        <v/>
      </c>
    </row>
    <row r="1466">
      <c r="A1466">
        <f>Data_thang!A1466</f>
        <v/>
      </c>
      <c r="B1466">
        <f>Data_thang!B1466</f>
        <v/>
      </c>
      <c r="C1466">
        <f>Data_thang!D1466</f>
        <v/>
      </c>
      <c r="D1466">
        <f>Data_thang!E1466</f>
        <v/>
      </c>
      <c r="E1466">
        <f>Data_thang!F1466</f>
        <v/>
      </c>
      <c r="F1466">
        <f>Data_thang!G1466</f>
        <v/>
      </c>
      <c r="G1466" s="29">
        <f>Data_thang!J1466-Data_thang!K1466</f>
        <v/>
      </c>
      <c r="H1466" s="29">
        <f>Data_thang!N1466</f>
        <v/>
      </c>
      <c r="I1466" s="29">
        <f>H1466-G1466</f>
        <v/>
      </c>
      <c r="J1466" s="30">
        <f>IF(H1466=0,IF(I1466=0,0,1),I1466/ABS(H1466))</f>
        <v/>
      </c>
      <c r="K1466" s="29">
        <f>H1466-(Data_thang!O1466-Data_thang!K1466)</f>
        <v/>
      </c>
      <c r="L1466">
        <f>IF(AND(ABS(I1466)&gt;Dashboard!$G$6,ABS(J1466)&gt;Dashboard!$H$6),"⚠ Vượt","")</f>
        <v/>
      </c>
      <c r="M1466">
        <f>IF(AND(A1466=Dashboard!$D$6,OR(Dashboard!$C$6="*",F1466=Dashboard!$C$6),L1466&lt;&gt;""),ABS(I1466)+ROW()/1000000000,0)</f>
        <v/>
      </c>
    </row>
    <row r="1467">
      <c r="A1467">
        <f>Data_thang!A1467</f>
        <v/>
      </c>
      <c r="B1467">
        <f>Data_thang!B1467</f>
        <v/>
      </c>
      <c r="C1467">
        <f>Data_thang!D1467</f>
        <v/>
      </c>
      <c r="D1467">
        <f>Data_thang!E1467</f>
        <v/>
      </c>
      <c r="E1467">
        <f>Data_thang!F1467</f>
        <v/>
      </c>
      <c r="F1467">
        <f>Data_thang!G1467</f>
        <v/>
      </c>
      <c r="G1467" s="29">
        <f>Data_thang!J1467-Data_thang!K1467</f>
        <v/>
      </c>
      <c r="H1467" s="29">
        <f>Data_thang!N1467</f>
        <v/>
      </c>
      <c r="I1467" s="29">
        <f>H1467-G1467</f>
        <v/>
      </c>
      <c r="J1467" s="30">
        <f>IF(H1467=0,IF(I1467=0,0,1),I1467/ABS(H1467))</f>
        <v/>
      </c>
      <c r="K1467" s="29">
        <f>H1467-(Data_thang!O1467-Data_thang!K1467)</f>
        <v/>
      </c>
      <c r="L1467">
        <f>IF(AND(ABS(I1467)&gt;Dashboard!$G$6,ABS(J1467)&gt;Dashboard!$H$6),"⚠ Vượt","")</f>
        <v/>
      </c>
      <c r="M1467">
        <f>IF(AND(A1467=Dashboard!$D$6,OR(Dashboard!$C$6="*",F1467=Dashboard!$C$6),L1467&lt;&gt;""),ABS(I1467)+ROW()/1000000000,0)</f>
        <v/>
      </c>
    </row>
    <row r="1468">
      <c r="A1468">
        <f>Data_thang!A1468</f>
        <v/>
      </c>
      <c r="B1468">
        <f>Data_thang!B1468</f>
        <v/>
      </c>
      <c r="C1468">
        <f>Data_thang!D1468</f>
        <v/>
      </c>
      <c r="D1468">
        <f>Data_thang!E1468</f>
        <v/>
      </c>
      <c r="E1468">
        <f>Data_thang!F1468</f>
        <v/>
      </c>
      <c r="F1468">
        <f>Data_thang!G1468</f>
        <v/>
      </c>
      <c r="G1468" s="29">
        <f>Data_thang!J1468-Data_thang!K1468</f>
        <v/>
      </c>
      <c r="H1468" s="29">
        <f>Data_thang!N1468</f>
        <v/>
      </c>
      <c r="I1468" s="29">
        <f>H1468-G1468</f>
        <v/>
      </c>
      <c r="J1468" s="30">
        <f>IF(H1468=0,IF(I1468=0,0,1),I1468/ABS(H1468))</f>
        <v/>
      </c>
      <c r="K1468" s="29">
        <f>H1468-(Data_thang!O1468-Data_thang!K1468)</f>
        <v/>
      </c>
      <c r="L1468">
        <f>IF(AND(ABS(I1468)&gt;Dashboard!$G$6,ABS(J1468)&gt;Dashboard!$H$6),"⚠ Vượt","")</f>
        <v/>
      </c>
      <c r="M1468">
        <f>IF(AND(A1468=Dashboard!$D$6,OR(Dashboard!$C$6="*",F1468=Dashboard!$C$6),L1468&lt;&gt;""),ABS(I1468)+ROW()/1000000000,0)</f>
        <v/>
      </c>
    </row>
    <row r="1469">
      <c r="A1469">
        <f>Data_thang!A1469</f>
        <v/>
      </c>
      <c r="B1469">
        <f>Data_thang!B1469</f>
        <v/>
      </c>
      <c r="C1469">
        <f>Data_thang!D1469</f>
        <v/>
      </c>
      <c r="D1469">
        <f>Data_thang!E1469</f>
        <v/>
      </c>
      <c r="E1469">
        <f>Data_thang!F1469</f>
        <v/>
      </c>
      <c r="F1469">
        <f>Data_thang!G1469</f>
        <v/>
      </c>
      <c r="G1469" s="29">
        <f>Data_thang!J1469-Data_thang!K1469</f>
        <v/>
      </c>
      <c r="H1469" s="29">
        <f>Data_thang!N1469</f>
        <v/>
      </c>
      <c r="I1469" s="29">
        <f>H1469-G1469</f>
        <v/>
      </c>
      <c r="J1469" s="30">
        <f>IF(H1469=0,IF(I1469=0,0,1),I1469/ABS(H1469))</f>
        <v/>
      </c>
      <c r="K1469" s="29">
        <f>H1469-(Data_thang!O1469-Data_thang!K1469)</f>
        <v/>
      </c>
      <c r="L1469">
        <f>IF(AND(ABS(I1469)&gt;Dashboard!$G$6,ABS(J1469)&gt;Dashboard!$H$6),"⚠ Vượt","")</f>
        <v/>
      </c>
      <c r="M1469">
        <f>IF(AND(A1469=Dashboard!$D$6,OR(Dashboard!$C$6="*",F1469=Dashboard!$C$6),L1469&lt;&gt;""),ABS(I1469)+ROW()/1000000000,0)</f>
        <v/>
      </c>
    </row>
    <row r="1470">
      <c r="A1470">
        <f>Data_thang!A1470</f>
        <v/>
      </c>
      <c r="B1470">
        <f>Data_thang!B1470</f>
        <v/>
      </c>
      <c r="C1470">
        <f>Data_thang!D1470</f>
        <v/>
      </c>
      <c r="D1470">
        <f>Data_thang!E1470</f>
        <v/>
      </c>
      <c r="E1470">
        <f>Data_thang!F1470</f>
        <v/>
      </c>
      <c r="F1470">
        <f>Data_thang!G1470</f>
        <v/>
      </c>
      <c r="G1470" s="29">
        <f>Data_thang!J1470-Data_thang!K1470</f>
        <v/>
      </c>
      <c r="H1470" s="29">
        <f>Data_thang!N1470</f>
        <v/>
      </c>
      <c r="I1470" s="29">
        <f>H1470-G1470</f>
        <v/>
      </c>
      <c r="J1470" s="30">
        <f>IF(H1470=0,IF(I1470=0,0,1),I1470/ABS(H1470))</f>
        <v/>
      </c>
      <c r="K1470" s="29">
        <f>H1470-(Data_thang!O1470-Data_thang!K1470)</f>
        <v/>
      </c>
      <c r="L1470">
        <f>IF(AND(ABS(I1470)&gt;Dashboard!$G$6,ABS(J1470)&gt;Dashboard!$H$6),"⚠ Vượt","")</f>
        <v/>
      </c>
      <c r="M1470">
        <f>IF(AND(A1470=Dashboard!$D$6,OR(Dashboard!$C$6="*",F1470=Dashboard!$C$6),L1470&lt;&gt;""),ABS(I1470)+ROW()/1000000000,0)</f>
        <v/>
      </c>
    </row>
    <row r="1471">
      <c r="A1471">
        <f>Data_thang!A1471</f>
        <v/>
      </c>
      <c r="B1471">
        <f>Data_thang!B1471</f>
        <v/>
      </c>
      <c r="C1471">
        <f>Data_thang!D1471</f>
        <v/>
      </c>
      <c r="D1471">
        <f>Data_thang!E1471</f>
        <v/>
      </c>
      <c r="E1471">
        <f>Data_thang!F1471</f>
        <v/>
      </c>
      <c r="F1471">
        <f>Data_thang!G1471</f>
        <v/>
      </c>
      <c r="G1471" s="29">
        <f>Data_thang!J1471-Data_thang!K1471</f>
        <v/>
      </c>
      <c r="H1471" s="29">
        <f>Data_thang!N1471</f>
        <v/>
      </c>
      <c r="I1471" s="29">
        <f>H1471-G1471</f>
        <v/>
      </c>
      <c r="J1471" s="30">
        <f>IF(H1471=0,IF(I1471=0,0,1),I1471/ABS(H1471))</f>
        <v/>
      </c>
      <c r="K1471" s="29">
        <f>H1471-(Data_thang!O1471-Data_thang!K1471)</f>
        <v/>
      </c>
      <c r="L1471">
        <f>IF(AND(ABS(I1471)&gt;Dashboard!$G$6,ABS(J1471)&gt;Dashboard!$H$6),"⚠ Vượt","")</f>
        <v/>
      </c>
      <c r="M1471">
        <f>IF(AND(A1471=Dashboard!$D$6,OR(Dashboard!$C$6="*",F1471=Dashboard!$C$6),L1471&lt;&gt;""),ABS(I1471)+ROW()/1000000000,0)</f>
        <v/>
      </c>
    </row>
    <row r="1472">
      <c r="A1472">
        <f>Data_thang!A1472</f>
        <v/>
      </c>
      <c r="B1472">
        <f>Data_thang!B1472</f>
        <v/>
      </c>
      <c r="C1472">
        <f>Data_thang!D1472</f>
        <v/>
      </c>
      <c r="D1472">
        <f>Data_thang!E1472</f>
        <v/>
      </c>
      <c r="E1472">
        <f>Data_thang!F1472</f>
        <v/>
      </c>
      <c r="F1472">
        <f>Data_thang!G1472</f>
        <v/>
      </c>
      <c r="G1472" s="29">
        <f>Data_thang!J1472-Data_thang!K1472</f>
        <v/>
      </c>
      <c r="H1472" s="29">
        <f>Data_thang!N1472</f>
        <v/>
      </c>
      <c r="I1472" s="29">
        <f>H1472-G1472</f>
        <v/>
      </c>
      <c r="J1472" s="30">
        <f>IF(H1472=0,IF(I1472=0,0,1),I1472/ABS(H1472))</f>
        <v/>
      </c>
      <c r="K1472" s="29">
        <f>H1472-(Data_thang!O1472-Data_thang!K1472)</f>
        <v/>
      </c>
      <c r="L1472">
        <f>IF(AND(ABS(I1472)&gt;Dashboard!$G$6,ABS(J1472)&gt;Dashboard!$H$6),"⚠ Vượt","")</f>
        <v/>
      </c>
      <c r="M1472">
        <f>IF(AND(A1472=Dashboard!$D$6,OR(Dashboard!$C$6="*",F1472=Dashboard!$C$6),L1472&lt;&gt;""),ABS(I1472)+ROW()/1000000000,0)</f>
        <v/>
      </c>
    </row>
    <row r="1473">
      <c r="A1473">
        <f>Data_thang!A1473</f>
        <v/>
      </c>
      <c r="B1473">
        <f>Data_thang!B1473</f>
        <v/>
      </c>
      <c r="C1473">
        <f>Data_thang!D1473</f>
        <v/>
      </c>
      <c r="D1473">
        <f>Data_thang!E1473</f>
        <v/>
      </c>
      <c r="E1473">
        <f>Data_thang!F1473</f>
        <v/>
      </c>
      <c r="F1473">
        <f>Data_thang!G1473</f>
        <v/>
      </c>
      <c r="G1473" s="29">
        <f>Data_thang!J1473-Data_thang!K1473</f>
        <v/>
      </c>
      <c r="H1473" s="29">
        <f>Data_thang!N1473</f>
        <v/>
      </c>
      <c r="I1473" s="29">
        <f>H1473-G1473</f>
        <v/>
      </c>
      <c r="J1473" s="30">
        <f>IF(H1473=0,IF(I1473=0,0,1),I1473/ABS(H1473))</f>
        <v/>
      </c>
      <c r="K1473" s="29">
        <f>H1473-(Data_thang!O1473-Data_thang!K1473)</f>
        <v/>
      </c>
      <c r="L1473">
        <f>IF(AND(ABS(I1473)&gt;Dashboard!$G$6,ABS(J1473)&gt;Dashboard!$H$6),"⚠ Vượt","")</f>
        <v/>
      </c>
      <c r="M1473">
        <f>IF(AND(A1473=Dashboard!$D$6,OR(Dashboard!$C$6="*",F1473=Dashboard!$C$6),L1473&lt;&gt;""),ABS(I1473)+ROW()/1000000000,0)</f>
        <v/>
      </c>
    </row>
    <row r="1474">
      <c r="A1474">
        <f>Data_thang!A1474</f>
        <v/>
      </c>
      <c r="B1474">
        <f>Data_thang!B1474</f>
        <v/>
      </c>
      <c r="C1474">
        <f>Data_thang!D1474</f>
        <v/>
      </c>
      <c r="D1474">
        <f>Data_thang!E1474</f>
        <v/>
      </c>
      <c r="E1474">
        <f>Data_thang!F1474</f>
        <v/>
      </c>
      <c r="F1474">
        <f>Data_thang!G1474</f>
        <v/>
      </c>
      <c r="G1474" s="29">
        <f>Data_thang!J1474-Data_thang!K1474</f>
        <v/>
      </c>
      <c r="H1474" s="29">
        <f>Data_thang!N1474</f>
        <v/>
      </c>
      <c r="I1474" s="29">
        <f>H1474-G1474</f>
        <v/>
      </c>
      <c r="J1474" s="30">
        <f>IF(H1474=0,IF(I1474=0,0,1),I1474/ABS(H1474))</f>
        <v/>
      </c>
      <c r="K1474" s="29">
        <f>H1474-(Data_thang!O1474-Data_thang!K1474)</f>
        <v/>
      </c>
      <c r="L1474">
        <f>IF(AND(ABS(I1474)&gt;Dashboard!$G$6,ABS(J1474)&gt;Dashboard!$H$6),"⚠ Vượt","")</f>
        <v/>
      </c>
      <c r="M1474">
        <f>IF(AND(A1474=Dashboard!$D$6,OR(Dashboard!$C$6="*",F1474=Dashboard!$C$6),L1474&lt;&gt;""),ABS(I1474)+ROW()/1000000000,0)</f>
        <v/>
      </c>
    </row>
    <row r="1475">
      <c r="A1475">
        <f>Data_thang!A1475</f>
        <v/>
      </c>
      <c r="B1475">
        <f>Data_thang!B1475</f>
        <v/>
      </c>
      <c r="C1475">
        <f>Data_thang!D1475</f>
        <v/>
      </c>
      <c r="D1475">
        <f>Data_thang!E1475</f>
        <v/>
      </c>
      <c r="E1475">
        <f>Data_thang!F1475</f>
        <v/>
      </c>
      <c r="F1475">
        <f>Data_thang!G1475</f>
        <v/>
      </c>
      <c r="G1475" s="29">
        <f>Data_thang!J1475-Data_thang!K1475</f>
        <v/>
      </c>
      <c r="H1475" s="29">
        <f>Data_thang!N1475</f>
        <v/>
      </c>
      <c r="I1475" s="29">
        <f>H1475-G1475</f>
        <v/>
      </c>
      <c r="J1475" s="30">
        <f>IF(H1475=0,IF(I1475=0,0,1),I1475/ABS(H1475))</f>
        <v/>
      </c>
      <c r="K1475" s="29">
        <f>H1475-(Data_thang!O1475-Data_thang!K1475)</f>
        <v/>
      </c>
      <c r="L1475">
        <f>IF(AND(ABS(I1475)&gt;Dashboard!$G$6,ABS(J1475)&gt;Dashboard!$H$6),"⚠ Vượt","")</f>
        <v/>
      </c>
      <c r="M1475">
        <f>IF(AND(A1475=Dashboard!$D$6,OR(Dashboard!$C$6="*",F1475=Dashboard!$C$6),L1475&lt;&gt;""),ABS(I1475)+ROW()/1000000000,0)</f>
        <v/>
      </c>
    </row>
    <row r="1476">
      <c r="A1476">
        <f>Data_thang!A1476</f>
        <v/>
      </c>
      <c r="B1476">
        <f>Data_thang!B1476</f>
        <v/>
      </c>
      <c r="C1476">
        <f>Data_thang!D1476</f>
        <v/>
      </c>
      <c r="D1476">
        <f>Data_thang!E1476</f>
        <v/>
      </c>
      <c r="E1476">
        <f>Data_thang!F1476</f>
        <v/>
      </c>
      <c r="F1476">
        <f>Data_thang!G1476</f>
        <v/>
      </c>
      <c r="G1476" s="29">
        <f>Data_thang!J1476-Data_thang!K1476</f>
        <v/>
      </c>
      <c r="H1476" s="29">
        <f>Data_thang!N1476</f>
        <v/>
      </c>
      <c r="I1476" s="29">
        <f>H1476-G1476</f>
        <v/>
      </c>
      <c r="J1476" s="30">
        <f>IF(H1476=0,IF(I1476=0,0,1),I1476/ABS(H1476))</f>
        <v/>
      </c>
      <c r="K1476" s="29">
        <f>H1476-(Data_thang!O1476-Data_thang!K1476)</f>
        <v/>
      </c>
      <c r="L1476">
        <f>IF(AND(ABS(I1476)&gt;Dashboard!$G$6,ABS(J1476)&gt;Dashboard!$H$6),"⚠ Vượt","")</f>
        <v/>
      </c>
      <c r="M1476">
        <f>IF(AND(A1476=Dashboard!$D$6,OR(Dashboard!$C$6="*",F1476=Dashboard!$C$6),L1476&lt;&gt;""),ABS(I1476)+ROW()/1000000000,0)</f>
        <v/>
      </c>
    </row>
    <row r="1477">
      <c r="A1477">
        <f>Data_thang!A1477</f>
        <v/>
      </c>
      <c r="B1477">
        <f>Data_thang!B1477</f>
        <v/>
      </c>
      <c r="C1477">
        <f>Data_thang!D1477</f>
        <v/>
      </c>
      <c r="D1477">
        <f>Data_thang!E1477</f>
        <v/>
      </c>
      <c r="E1477">
        <f>Data_thang!F1477</f>
        <v/>
      </c>
      <c r="F1477">
        <f>Data_thang!G1477</f>
        <v/>
      </c>
      <c r="G1477" s="29">
        <f>Data_thang!J1477-Data_thang!K1477</f>
        <v/>
      </c>
      <c r="H1477" s="29">
        <f>Data_thang!N1477</f>
        <v/>
      </c>
      <c r="I1477" s="29">
        <f>H1477-G1477</f>
        <v/>
      </c>
      <c r="J1477" s="30">
        <f>IF(H1477=0,IF(I1477=0,0,1),I1477/ABS(H1477))</f>
        <v/>
      </c>
      <c r="K1477" s="29">
        <f>H1477-(Data_thang!O1477-Data_thang!K1477)</f>
        <v/>
      </c>
      <c r="L1477">
        <f>IF(AND(ABS(I1477)&gt;Dashboard!$G$6,ABS(J1477)&gt;Dashboard!$H$6),"⚠ Vượt","")</f>
        <v/>
      </c>
      <c r="M1477">
        <f>IF(AND(A1477=Dashboard!$D$6,OR(Dashboard!$C$6="*",F1477=Dashboard!$C$6),L1477&lt;&gt;""),ABS(I1477)+ROW()/1000000000,0)</f>
        <v/>
      </c>
    </row>
    <row r="1478">
      <c r="A1478">
        <f>Data_thang!A1478</f>
        <v/>
      </c>
      <c r="B1478">
        <f>Data_thang!B1478</f>
        <v/>
      </c>
      <c r="C1478">
        <f>Data_thang!D1478</f>
        <v/>
      </c>
      <c r="D1478">
        <f>Data_thang!E1478</f>
        <v/>
      </c>
      <c r="E1478">
        <f>Data_thang!F1478</f>
        <v/>
      </c>
      <c r="F1478">
        <f>Data_thang!G1478</f>
        <v/>
      </c>
      <c r="G1478" s="29">
        <f>Data_thang!J1478-Data_thang!K1478</f>
        <v/>
      </c>
      <c r="H1478" s="29">
        <f>Data_thang!N1478</f>
        <v/>
      </c>
      <c r="I1478" s="29">
        <f>H1478-G1478</f>
        <v/>
      </c>
      <c r="J1478" s="30">
        <f>IF(H1478=0,IF(I1478=0,0,1),I1478/ABS(H1478))</f>
        <v/>
      </c>
      <c r="K1478" s="29">
        <f>H1478-(Data_thang!O1478-Data_thang!K1478)</f>
        <v/>
      </c>
      <c r="L1478">
        <f>IF(AND(ABS(I1478)&gt;Dashboard!$G$6,ABS(J1478)&gt;Dashboard!$H$6),"⚠ Vượt","")</f>
        <v/>
      </c>
      <c r="M1478">
        <f>IF(AND(A1478=Dashboard!$D$6,OR(Dashboard!$C$6="*",F1478=Dashboard!$C$6),L1478&lt;&gt;""),ABS(I1478)+ROW()/1000000000,0)</f>
        <v/>
      </c>
    </row>
    <row r="1479">
      <c r="A1479">
        <f>Data_thang!A1479</f>
        <v/>
      </c>
      <c r="B1479">
        <f>Data_thang!B1479</f>
        <v/>
      </c>
      <c r="C1479">
        <f>Data_thang!D1479</f>
        <v/>
      </c>
      <c r="D1479">
        <f>Data_thang!E1479</f>
        <v/>
      </c>
      <c r="E1479">
        <f>Data_thang!F1479</f>
        <v/>
      </c>
      <c r="F1479">
        <f>Data_thang!G1479</f>
        <v/>
      </c>
      <c r="G1479" s="29">
        <f>Data_thang!J1479-Data_thang!K1479</f>
        <v/>
      </c>
      <c r="H1479" s="29">
        <f>Data_thang!N1479</f>
        <v/>
      </c>
      <c r="I1479" s="29">
        <f>H1479-G1479</f>
        <v/>
      </c>
      <c r="J1479" s="30">
        <f>IF(H1479=0,IF(I1479=0,0,1),I1479/ABS(H1479))</f>
        <v/>
      </c>
      <c r="K1479" s="29">
        <f>H1479-(Data_thang!O1479-Data_thang!K1479)</f>
        <v/>
      </c>
      <c r="L1479">
        <f>IF(AND(ABS(I1479)&gt;Dashboard!$G$6,ABS(J1479)&gt;Dashboard!$H$6),"⚠ Vượt","")</f>
        <v/>
      </c>
      <c r="M1479">
        <f>IF(AND(A1479=Dashboard!$D$6,OR(Dashboard!$C$6="*",F1479=Dashboard!$C$6),L1479&lt;&gt;""),ABS(I1479)+ROW()/1000000000,0)</f>
        <v/>
      </c>
    </row>
    <row r="1480">
      <c r="A1480">
        <f>Data_thang!A1480</f>
        <v/>
      </c>
      <c r="B1480">
        <f>Data_thang!B1480</f>
        <v/>
      </c>
      <c r="C1480">
        <f>Data_thang!D1480</f>
        <v/>
      </c>
      <c r="D1480">
        <f>Data_thang!E1480</f>
        <v/>
      </c>
      <c r="E1480">
        <f>Data_thang!F1480</f>
        <v/>
      </c>
      <c r="F1480">
        <f>Data_thang!G1480</f>
        <v/>
      </c>
      <c r="G1480" s="29">
        <f>Data_thang!J1480-Data_thang!K1480</f>
        <v/>
      </c>
      <c r="H1480" s="29">
        <f>Data_thang!N1480</f>
        <v/>
      </c>
      <c r="I1480" s="29">
        <f>H1480-G1480</f>
        <v/>
      </c>
      <c r="J1480" s="30">
        <f>IF(H1480=0,IF(I1480=0,0,1),I1480/ABS(H1480))</f>
        <v/>
      </c>
      <c r="K1480" s="29">
        <f>H1480-(Data_thang!O1480-Data_thang!K1480)</f>
        <v/>
      </c>
      <c r="L1480">
        <f>IF(AND(ABS(I1480)&gt;Dashboard!$G$6,ABS(J1480)&gt;Dashboard!$H$6),"⚠ Vượt","")</f>
        <v/>
      </c>
      <c r="M1480">
        <f>IF(AND(A1480=Dashboard!$D$6,OR(Dashboard!$C$6="*",F1480=Dashboard!$C$6),L1480&lt;&gt;""),ABS(I1480)+ROW()/1000000000,0)</f>
        <v/>
      </c>
    </row>
    <row r="1481">
      <c r="A1481">
        <f>Data_thang!A1481</f>
        <v/>
      </c>
      <c r="B1481">
        <f>Data_thang!B1481</f>
        <v/>
      </c>
      <c r="C1481">
        <f>Data_thang!D1481</f>
        <v/>
      </c>
      <c r="D1481">
        <f>Data_thang!E1481</f>
        <v/>
      </c>
      <c r="E1481">
        <f>Data_thang!F1481</f>
        <v/>
      </c>
      <c r="F1481">
        <f>Data_thang!G1481</f>
        <v/>
      </c>
      <c r="G1481" s="29">
        <f>Data_thang!J1481-Data_thang!K1481</f>
        <v/>
      </c>
      <c r="H1481" s="29">
        <f>Data_thang!N1481</f>
        <v/>
      </c>
      <c r="I1481" s="29">
        <f>H1481-G1481</f>
        <v/>
      </c>
      <c r="J1481" s="30">
        <f>IF(H1481=0,IF(I1481=0,0,1),I1481/ABS(H1481))</f>
        <v/>
      </c>
      <c r="K1481" s="29">
        <f>H1481-(Data_thang!O1481-Data_thang!K1481)</f>
        <v/>
      </c>
      <c r="L1481">
        <f>IF(AND(ABS(I1481)&gt;Dashboard!$G$6,ABS(J1481)&gt;Dashboard!$H$6),"⚠ Vượt","")</f>
        <v/>
      </c>
      <c r="M1481">
        <f>IF(AND(A1481=Dashboard!$D$6,OR(Dashboard!$C$6="*",F1481=Dashboard!$C$6),L1481&lt;&gt;""),ABS(I1481)+ROW()/1000000000,0)</f>
        <v/>
      </c>
    </row>
    <row r="1482">
      <c r="A1482">
        <f>Data_thang!A1482</f>
        <v/>
      </c>
      <c r="B1482">
        <f>Data_thang!B1482</f>
        <v/>
      </c>
      <c r="C1482">
        <f>Data_thang!D1482</f>
        <v/>
      </c>
      <c r="D1482">
        <f>Data_thang!E1482</f>
        <v/>
      </c>
      <c r="E1482">
        <f>Data_thang!F1482</f>
        <v/>
      </c>
      <c r="F1482">
        <f>Data_thang!G1482</f>
        <v/>
      </c>
      <c r="G1482" s="29">
        <f>Data_thang!J1482-Data_thang!K1482</f>
        <v/>
      </c>
      <c r="H1482" s="29">
        <f>Data_thang!N1482</f>
        <v/>
      </c>
      <c r="I1482" s="29">
        <f>H1482-G1482</f>
        <v/>
      </c>
      <c r="J1482" s="30">
        <f>IF(H1482=0,IF(I1482=0,0,1),I1482/ABS(H1482))</f>
        <v/>
      </c>
      <c r="K1482" s="29">
        <f>H1482-(Data_thang!O1482-Data_thang!K1482)</f>
        <v/>
      </c>
      <c r="L1482">
        <f>IF(AND(ABS(I1482)&gt;Dashboard!$G$6,ABS(J1482)&gt;Dashboard!$H$6),"⚠ Vượt","")</f>
        <v/>
      </c>
      <c r="M1482">
        <f>IF(AND(A1482=Dashboard!$D$6,OR(Dashboard!$C$6="*",F1482=Dashboard!$C$6),L1482&lt;&gt;""),ABS(I1482)+ROW()/1000000000,0)</f>
        <v/>
      </c>
    </row>
    <row r="1483">
      <c r="A1483">
        <f>Data_thang!A1483</f>
        <v/>
      </c>
      <c r="B1483">
        <f>Data_thang!B1483</f>
        <v/>
      </c>
      <c r="C1483">
        <f>Data_thang!D1483</f>
        <v/>
      </c>
      <c r="D1483">
        <f>Data_thang!E1483</f>
        <v/>
      </c>
      <c r="E1483">
        <f>Data_thang!F1483</f>
        <v/>
      </c>
      <c r="F1483">
        <f>Data_thang!G1483</f>
        <v/>
      </c>
      <c r="G1483" s="29">
        <f>Data_thang!J1483-Data_thang!K1483</f>
        <v/>
      </c>
      <c r="H1483" s="29">
        <f>Data_thang!N1483</f>
        <v/>
      </c>
      <c r="I1483" s="29">
        <f>H1483-G1483</f>
        <v/>
      </c>
      <c r="J1483" s="30">
        <f>IF(H1483=0,IF(I1483=0,0,1),I1483/ABS(H1483))</f>
        <v/>
      </c>
      <c r="K1483" s="29">
        <f>H1483-(Data_thang!O1483-Data_thang!K1483)</f>
        <v/>
      </c>
      <c r="L1483">
        <f>IF(AND(ABS(I1483)&gt;Dashboard!$G$6,ABS(J1483)&gt;Dashboard!$H$6),"⚠ Vượt","")</f>
        <v/>
      </c>
      <c r="M1483">
        <f>IF(AND(A1483=Dashboard!$D$6,OR(Dashboard!$C$6="*",F1483=Dashboard!$C$6),L1483&lt;&gt;""),ABS(I1483)+ROW()/1000000000,0)</f>
        <v/>
      </c>
    </row>
    <row r="1484">
      <c r="A1484">
        <f>Data_thang!A1484</f>
        <v/>
      </c>
      <c r="B1484">
        <f>Data_thang!B1484</f>
        <v/>
      </c>
      <c r="C1484">
        <f>Data_thang!D1484</f>
        <v/>
      </c>
      <c r="D1484">
        <f>Data_thang!E1484</f>
        <v/>
      </c>
      <c r="E1484">
        <f>Data_thang!F1484</f>
        <v/>
      </c>
      <c r="F1484">
        <f>Data_thang!G1484</f>
        <v/>
      </c>
      <c r="G1484" s="29">
        <f>Data_thang!J1484-Data_thang!K1484</f>
        <v/>
      </c>
      <c r="H1484" s="29">
        <f>Data_thang!N1484</f>
        <v/>
      </c>
      <c r="I1484" s="29">
        <f>H1484-G1484</f>
        <v/>
      </c>
      <c r="J1484" s="30">
        <f>IF(H1484=0,IF(I1484=0,0,1),I1484/ABS(H1484))</f>
        <v/>
      </c>
      <c r="K1484" s="29">
        <f>H1484-(Data_thang!O1484-Data_thang!K1484)</f>
        <v/>
      </c>
      <c r="L1484">
        <f>IF(AND(ABS(I1484)&gt;Dashboard!$G$6,ABS(J1484)&gt;Dashboard!$H$6),"⚠ Vượt","")</f>
        <v/>
      </c>
      <c r="M1484">
        <f>IF(AND(A1484=Dashboard!$D$6,OR(Dashboard!$C$6="*",F1484=Dashboard!$C$6),L1484&lt;&gt;""),ABS(I1484)+ROW()/1000000000,0)</f>
        <v/>
      </c>
    </row>
    <row r="1485">
      <c r="A1485">
        <f>Data_thang!A1485</f>
        <v/>
      </c>
      <c r="B1485">
        <f>Data_thang!B1485</f>
        <v/>
      </c>
      <c r="C1485">
        <f>Data_thang!D1485</f>
        <v/>
      </c>
      <c r="D1485">
        <f>Data_thang!E1485</f>
        <v/>
      </c>
      <c r="E1485">
        <f>Data_thang!F1485</f>
        <v/>
      </c>
      <c r="F1485">
        <f>Data_thang!G1485</f>
        <v/>
      </c>
      <c r="G1485" s="29">
        <f>Data_thang!J1485-Data_thang!K1485</f>
        <v/>
      </c>
      <c r="H1485" s="29">
        <f>Data_thang!N1485</f>
        <v/>
      </c>
      <c r="I1485" s="29">
        <f>H1485-G1485</f>
        <v/>
      </c>
      <c r="J1485" s="30">
        <f>IF(H1485=0,IF(I1485=0,0,1),I1485/ABS(H1485))</f>
        <v/>
      </c>
      <c r="K1485" s="29">
        <f>H1485-(Data_thang!O1485-Data_thang!K1485)</f>
        <v/>
      </c>
      <c r="L1485">
        <f>IF(AND(ABS(I1485)&gt;Dashboard!$G$6,ABS(J1485)&gt;Dashboard!$H$6),"⚠ Vượt","")</f>
        <v/>
      </c>
      <c r="M1485">
        <f>IF(AND(A1485=Dashboard!$D$6,OR(Dashboard!$C$6="*",F1485=Dashboard!$C$6),L1485&lt;&gt;""),ABS(I1485)+ROW()/1000000000,0)</f>
        <v/>
      </c>
    </row>
    <row r="1486">
      <c r="A1486">
        <f>Data_thang!A1486</f>
        <v/>
      </c>
      <c r="B1486">
        <f>Data_thang!B1486</f>
        <v/>
      </c>
      <c r="C1486">
        <f>Data_thang!D1486</f>
        <v/>
      </c>
      <c r="D1486">
        <f>Data_thang!E1486</f>
        <v/>
      </c>
      <c r="E1486">
        <f>Data_thang!F1486</f>
        <v/>
      </c>
      <c r="F1486">
        <f>Data_thang!G1486</f>
        <v/>
      </c>
      <c r="G1486" s="29">
        <f>Data_thang!J1486-Data_thang!K1486</f>
        <v/>
      </c>
      <c r="H1486" s="29">
        <f>Data_thang!N1486</f>
        <v/>
      </c>
      <c r="I1486" s="29">
        <f>H1486-G1486</f>
        <v/>
      </c>
      <c r="J1486" s="30">
        <f>IF(H1486=0,IF(I1486=0,0,1),I1486/ABS(H1486))</f>
        <v/>
      </c>
      <c r="K1486" s="29">
        <f>H1486-(Data_thang!O1486-Data_thang!K1486)</f>
        <v/>
      </c>
      <c r="L1486">
        <f>IF(AND(ABS(I1486)&gt;Dashboard!$G$6,ABS(J1486)&gt;Dashboard!$H$6),"⚠ Vượt","")</f>
        <v/>
      </c>
      <c r="M1486">
        <f>IF(AND(A1486=Dashboard!$D$6,OR(Dashboard!$C$6="*",F1486=Dashboard!$C$6),L1486&lt;&gt;""),ABS(I1486)+ROW()/1000000000,0)</f>
        <v/>
      </c>
    </row>
    <row r="1487">
      <c r="A1487">
        <f>Data_thang!A1487</f>
        <v/>
      </c>
      <c r="B1487">
        <f>Data_thang!B1487</f>
        <v/>
      </c>
      <c r="C1487">
        <f>Data_thang!D1487</f>
        <v/>
      </c>
      <c r="D1487">
        <f>Data_thang!E1487</f>
        <v/>
      </c>
      <c r="E1487">
        <f>Data_thang!F1487</f>
        <v/>
      </c>
      <c r="F1487">
        <f>Data_thang!G1487</f>
        <v/>
      </c>
      <c r="G1487" s="29">
        <f>Data_thang!J1487-Data_thang!K1487</f>
        <v/>
      </c>
      <c r="H1487" s="29">
        <f>Data_thang!N1487</f>
        <v/>
      </c>
      <c r="I1487" s="29">
        <f>H1487-G1487</f>
        <v/>
      </c>
      <c r="J1487" s="30">
        <f>IF(H1487=0,IF(I1487=0,0,1),I1487/ABS(H1487))</f>
        <v/>
      </c>
      <c r="K1487" s="29">
        <f>H1487-(Data_thang!O1487-Data_thang!K1487)</f>
        <v/>
      </c>
      <c r="L1487">
        <f>IF(AND(ABS(I1487)&gt;Dashboard!$G$6,ABS(J1487)&gt;Dashboard!$H$6),"⚠ Vượt","")</f>
        <v/>
      </c>
      <c r="M1487">
        <f>IF(AND(A1487=Dashboard!$D$6,OR(Dashboard!$C$6="*",F1487=Dashboard!$C$6),L1487&lt;&gt;""),ABS(I1487)+ROW()/1000000000,0)</f>
        <v/>
      </c>
    </row>
    <row r="1488">
      <c r="A1488">
        <f>Data_thang!A1488</f>
        <v/>
      </c>
      <c r="B1488">
        <f>Data_thang!B1488</f>
        <v/>
      </c>
      <c r="C1488">
        <f>Data_thang!D1488</f>
        <v/>
      </c>
      <c r="D1488">
        <f>Data_thang!E1488</f>
        <v/>
      </c>
      <c r="E1488">
        <f>Data_thang!F1488</f>
        <v/>
      </c>
      <c r="F1488">
        <f>Data_thang!G1488</f>
        <v/>
      </c>
      <c r="G1488" s="29">
        <f>Data_thang!J1488-Data_thang!K1488</f>
        <v/>
      </c>
      <c r="H1488" s="29">
        <f>Data_thang!N1488</f>
        <v/>
      </c>
      <c r="I1488" s="29">
        <f>H1488-G1488</f>
        <v/>
      </c>
      <c r="J1488" s="30">
        <f>IF(H1488=0,IF(I1488=0,0,1),I1488/ABS(H1488))</f>
        <v/>
      </c>
      <c r="K1488" s="29">
        <f>H1488-(Data_thang!O1488-Data_thang!K1488)</f>
        <v/>
      </c>
      <c r="L1488">
        <f>IF(AND(ABS(I1488)&gt;Dashboard!$G$6,ABS(J1488)&gt;Dashboard!$H$6),"⚠ Vượt","")</f>
        <v/>
      </c>
      <c r="M1488">
        <f>IF(AND(A1488=Dashboard!$D$6,OR(Dashboard!$C$6="*",F1488=Dashboard!$C$6),L1488&lt;&gt;""),ABS(I1488)+ROW()/1000000000,0)</f>
        <v/>
      </c>
    </row>
    <row r="1489">
      <c r="A1489">
        <f>Data_thang!A1489</f>
        <v/>
      </c>
      <c r="B1489">
        <f>Data_thang!B1489</f>
        <v/>
      </c>
      <c r="C1489">
        <f>Data_thang!D1489</f>
        <v/>
      </c>
      <c r="D1489">
        <f>Data_thang!E1489</f>
        <v/>
      </c>
      <c r="E1489">
        <f>Data_thang!F1489</f>
        <v/>
      </c>
      <c r="F1489">
        <f>Data_thang!G1489</f>
        <v/>
      </c>
      <c r="G1489" s="29">
        <f>Data_thang!J1489-Data_thang!K1489</f>
        <v/>
      </c>
      <c r="H1489" s="29">
        <f>Data_thang!N1489</f>
        <v/>
      </c>
      <c r="I1489" s="29">
        <f>H1489-G1489</f>
        <v/>
      </c>
      <c r="J1489" s="30">
        <f>IF(H1489=0,IF(I1489=0,0,1),I1489/ABS(H1489))</f>
        <v/>
      </c>
      <c r="K1489" s="29">
        <f>H1489-(Data_thang!O1489-Data_thang!K1489)</f>
        <v/>
      </c>
      <c r="L1489">
        <f>IF(AND(ABS(I1489)&gt;Dashboard!$G$6,ABS(J1489)&gt;Dashboard!$H$6),"⚠ Vượt","")</f>
        <v/>
      </c>
      <c r="M1489">
        <f>IF(AND(A1489=Dashboard!$D$6,OR(Dashboard!$C$6="*",F1489=Dashboard!$C$6),L1489&lt;&gt;""),ABS(I1489)+ROW()/1000000000,0)</f>
        <v/>
      </c>
    </row>
    <row r="1490">
      <c r="A1490">
        <f>Data_thang!A1490</f>
        <v/>
      </c>
      <c r="B1490">
        <f>Data_thang!B1490</f>
        <v/>
      </c>
      <c r="C1490">
        <f>Data_thang!D1490</f>
        <v/>
      </c>
      <c r="D1490">
        <f>Data_thang!E1490</f>
        <v/>
      </c>
      <c r="E1490">
        <f>Data_thang!F1490</f>
        <v/>
      </c>
      <c r="F1490">
        <f>Data_thang!G1490</f>
        <v/>
      </c>
      <c r="G1490" s="29">
        <f>Data_thang!J1490-Data_thang!K1490</f>
        <v/>
      </c>
      <c r="H1490" s="29">
        <f>Data_thang!N1490</f>
        <v/>
      </c>
      <c r="I1490" s="29">
        <f>H1490-G1490</f>
        <v/>
      </c>
      <c r="J1490" s="30">
        <f>IF(H1490=0,IF(I1490=0,0,1),I1490/ABS(H1490))</f>
        <v/>
      </c>
      <c r="K1490" s="29">
        <f>H1490-(Data_thang!O1490-Data_thang!K1490)</f>
        <v/>
      </c>
      <c r="L1490">
        <f>IF(AND(ABS(I1490)&gt;Dashboard!$G$6,ABS(J1490)&gt;Dashboard!$H$6),"⚠ Vượt","")</f>
        <v/>
      </c>
      <c r="M1490">
        <f>IF(AND(A1490=Dashboard!$D$6,OR(Dashboard!$C$6="*",F1490=Dashboard!$C$6),L1490&lt;&gt;""),ABS(I1490)+ROW()/1000000000,0)</f>
        <v/>
      </c>
    </row>
    <row r="1491">
      <c r="A1491">
        <f>Data_thang!A1491</f>
        <v/>
      </c>
      <c r="B1491">
        <f>Data_thang!B1491</f>
        <v/>
      </c>
      <c r="C1491">
        <f>Data_thang!D1491</f>
        <v/>
      </c>
      <c r="D1491">
        <f>Data_thang!E1491</f>
        <v/>
      </c>
      <c r="E1491">
        <f>Data_thang!F1491</f>
        <v/>
      </c>
      <c r="F1491">
        <f>Data_thang!G1491</f>
        <v/>
      </c>
      <c r="G1491" s="29">
        <f>Data_thang!J1491-Data_thang!K1491</f>
        <v/>
      </c>
      <c r="H1491" s="29">
        <f>Data_thang!N1491</f>
        <v/>
      </c>
      <c r="I1491" s="29">
        <f>H1491-G1491</f>
        <v/>
      </c>
      <c r="J1491" s="30">
        <f>IF(H1491=0,IF(I1491=0,0,1),I1491/ABS(H1491))</f>
        <v/>
      </c>
      <c r="K1491" s="29">
        <f>H1491-(Data_thang!O1491-Data_thang!K1491)</f>
        <v/>
      </c>
      <c r="L1491">
        <f>IF(AND(ABS(I1491)&gt;Dashboard!$G$6,ABS(J1491)&gt;Dashboard!$H$6),"⚠ Vượt","")</f>
        <v/>
      </c>
      <c r="M1491">
        <f>IF(AND(A1491=Dashboard!$D$6,OR(Dashboard!$C$6="*",F1491=Dashboard!$C$6),L1491&lt;&gt;""),ABS(I1491)+ROW()/1000000000,0)</f>
        <v/>
      </c>
    </row>
    <row r="1492">
      <c r="A1492">
        <f>Data_thang!A1492</f>
        <v/>
      </c>
      <c r="B1492">
        <f>Data_thang!B1492</f>
        <v/>
      </c>
      <c r="C1492">
        <f>Data_thang!D1492</f>
        <v/>
      </c>
      <c r="D1492">
        <f>Data_thang!E1492</f>
        <v/>
      </c>
      <c r="E1492">
        <f>Data_thang!F1492</f>
        <v/>
      </c>
      <c r="F1492">
        <f>Data_thang!G1492</f>
        <v/>
      </c>
      <c r="G1492" s="29">
        <f>Data_thang!J1492-Data_thang!K1492</f>
        <v/>
      </c>
      <c r="H1492" s="29">
        <f>Data_thang!N1492</f>
        <v/>
      </c>
      <c r="I1492" s="29">
        <f>H1492-G1492</f>
        <v/>
      </c>
      <c r="J1492" s="30">
        <f>IF(H1492=0,IF(I1492=0,0,1),I1492/ABS(H1492))</f>
        <v/>
      </c>
      <c r="K1492" s="29">
        <f>H1492-(Data_thang!O1492-Data_thang!K1492)</f>
        <v/>
      </c>
      <c r="L1492">
        <f>IF(AND(ABS(I1492)&gt;Dashboard!$G$6,ABS(J1492)&gt;Dashboard!$H$6),"⚠ Vượt","")</f>
        <v/>
      </c>
      <c r="M1492">
        <f>IF(AND(A1492=Dashboard!$D$6,OR(Dashboard!$C$6="*",F1492=Dashboard!$C$6),L1492&lt;&gt;""),ABS(I1492)+ROW()/1000000000,0)</f>
        <v/>
      </c>
    </row>
    <row r="1493">
      <c r="A1493">
        <f>Data_thang!A1493</f>
        <v/>
      </c>
      <c r="B1493">
        <f>Data_thang!B1493</f>
        <v/>
      </c>
      <c r="C1493">
        <f>Data_thang!D1493</f>
        <v/>
      </c>
      <c r="D1493">
        <f>Data_thang!E1493</f>
        <v/>
      </c>
      <c r="E1493">
        <f>Data_thang!F1493</f>
        <v/>
      </c>
      <c r="F1493">
        <f>Data_thang!G1493</f>
        <v/>
      </c>
      <c r="G1493" s="29">
        <f>Data_thang!J1493-Data_thang!K1493</f>
        <v/>
      </c>
      <c r="H1493" s="29">
        <f>Data_thang!N1493</f>
        <v/>
      </c>
      <c r="I1493" s="29">
        <f>H1493-G1493</f>
        <v/>
      </c>
      <c r="J1493" s="30">
        <f>IF(H1493=0,IF(I1493=0,0,1),I1493/ABS(H1493))</f>
        <v/>
      </c>
      <c r="K1493" s="29">
        <f>H1493-(Data_thang!O1493-Data_thang!K1493)</f>
        <v/>
      </c>
      <c r="L1493">
        <f>IF(AND(ABS(I1493)&gt;Dashboard!$G$6,ABS(J1493)&gt;Dashboard!$H$6),"⚠ Vượt","")</f>
        <v/>
      </c>
      <c r="M1493">
        <f>IF(AND(A1493=Dashboard!$D$6,OR(Dashboard!$C$6="*",F1493=Dashboard!$C$6),L1493&lt;&gt;""),ABS(I1493)+ROW()/1000000000,0)</f>
        <v/>
      </c>
    </row>
    <row r="1494">
      <c r="A1494">
        <f>Data_thang!A1494</f>
        <v/>
      </c>
      <c r="B1494">
        <f>Data_thang!B1494</f>
        <v/>
      </c>
      <c r="C1494">
        <f>Data_thang!D1494</f>
        <v/>
      </c>
      <c r="D1494">
        <f>Data_thang!E1494</f>
        <v/>
      </c>
      <c r="E1494">
        <f>Data_thang!F1494</f>
        <v/>
      </c>
      <c r="F1494">
        <f>Data_thang!G1494</f>
        <v/>
      </c>
      <c r="G1494" s="29">
        <f>Data_thang!J1494-Data_thang!K1494</f>
        <v/>
      </c>
      <c r="H1494" s="29">
        <f>Data_thang!N1494</f>
        <v/>
      </c>
      <c r="I1494" s="29">
        <f>H1494-G1494</f>
        <v/>
      </c>
      <c r="J1494" s="30">
        <f>IF(H1494=0,IF(I1494=0,0,1),I1494/ABS(H1494))</f>
        <v/>
      </c>
      <c r="K1494" s="29">
        <f>H1494-(Data_thang!O1494-Data_thang!K1494)</f>
        <v/>
      </c>
      <c r="L1494">
        <f>IF(AND(ABS(I1494)&gt;Dashboard!$G$6,ABS(J1494)&gt;Dashboard!$H$6),"⚠ Vượt","")</f>
        <v/>
      </c>
      <c r="M1494">
        <f>IF(AND(A1494=Dashboard!$D$6,OR(Dashboard!$C$6="*",F1494=Dashboard!$C$6),L1494&lt;&gt;""),ABS(I1494)+ROW()/1000000000,0)</f>
        <v/>
      </c>
    </row>
    <row r="1495">
      <c r="A1495">
        <f>Data_thang!A1495</f>
        <v/>
      </c>
      <c r="B1495">
        <f>Data_thang!B1495</f>
        <v/>
      </c>
      <c r="C1495">
        <f>Data_thang!D1495</f>
        <v/>
      </c>
      <c r="D1495">
        <f>Data_thang!E1495</f>
        <v/>
      </c>
      <c r="E1495">
        <f>Data_thang!F1495</f>
        <v/>
      </c>
      <c r="F1495">
        <f>Data_thang!G1495</f>
        <v/>
      </c>
      <c r="G1495" s="29">
        <f>Data_thang!J1495-Data_thang!K1495</f>
        <v/>
      </c>
      <c r="H1495" s="29">
        <f>Data_thang!N1495</f>
        <v/>
      </c>
      <c r="I1495" s="29">
        <f>H1495-G1495</f>
        <v/>
      </c>
      <c r="J1495" s="30">
        <f>IF(H1495=0,IF(I1495=0,0,1),I1495/ABS(H1495))</f>
        <v/>
      </c>
      <c r="K1495" s="29">
        <f>H1495-(Data_thang!O1495-Data_thang!K1495)</f>
        <v/>
      </c>
      <c r="L1495">
        <f>IF(AND(ABS(I1495)&gt;Dashboard!$G$6,ABS(J1495)&gt;Dashboard!$H$6),"⚠ Vượt","")</f>
        <v/>
      </c>
      <c r="M1495">
        <f>IF(AND(A1495=Dashboard!$D$6,OR(Dashboard!$C$6="*",F1495=Dashboard!$C$6),L1495&lt;&gt;""),ABS(I1495)+ROW()/1000000000,0)</f>
        <v/>
      </c>
    </row>
    <row r="1496">
      <c r="A1496">
        <f>Data_thang!A1496</f>
        <v/>
      </c>
      <c r="B1496">
        <f>Data_thang!B1496</f>
        <v/>
      </c>
      <c r="C1496">
        <f>Data_thang!D1496</f>
        <v/>
      </c>
      <c r="D1496">
        <f>Data_thang!E1496</f>
        <v/>
      </c>
      <c r="E1496">
        <f>Data_thang!F1496</f>
        <v/>
      </c>
      <c r="F1496">
        <f>Data_thang!G1496</f>
        <v/>
      </c>
      <c r="G1496" s="29">
        <f>Data_thang!J1496-Data_thang!K1496</f>
        <v/>
      </c>
      <c r="H1496" s="29">
        <f>Data_thang!N1496</f>
        <v/>
      </c>
      <c r="I1496" s="29">
        <f>H1496-G1496</f>
        <v/>
      </c>
      <c r="J1496" s="30">
        <f>IF(H1496=0,IF(I1496=0,0,1),I1496/ABS(H1496))</f>
        <v/>
      </c>
      <c r="K1496" s="29">
        <f>H1496-(Data_thang!O1496-Data_thang!K1496)</f>
        <v/>
      </c>
      <c r="L1496">
        <f>IF(AND(ABS(I1496)&gt;Dashboard!$G$6,ABS(J1496)&gt;Dashboard!$H$6),"⚠ Vượt","")</f>
        <v/>
      </c>
      <c r="M1496">
        <f>IF(AND(A1496=Dashboard!$D$6,OR(Dashboard!$C$6="*",F1496=Dashboard!$C$6),L1496&lt;&gt;""),ABS(I1496)+ROW()/1000000000,0)</f>
        <v/>
      </c>
    </row>
    <row r="1497">
      <c r="A1497">
        <f>Data_thang!A1497</f>
        <v/>
      </c>
      <c r="B1497">
        <f>Data_thang!B1497</f>
        <v/>
      </c>
      <c r="C1497">
        <f>Data_thang!D1497</f>
        <v/>
      </c>
      <c r="D1497">
        <f>Data_thang!E1497</f>
        <v/>
      </c>
      <c r="E1497">
        <f>Data_thang!F1497</f>
        <v/>
      </c>
      <c r="F1497">
        <f>Data_thang!G1497</f>
        <v/>
      </c>
      <c r="G1497" s="29">
        <f>Data_thang!J1497-Data_thang!K1497</f>
        <v/>
      </c>
      <c r="H1497" s="29">
        <f>Data_thang!N1497</f>
        <v/>
      </c>
      <c r="I1497" s="29">
        <f>H1497-G1497</f>
        <v/>
      </c>
      <c r="J1497" s="30">
        <f>IF(H1497=0,IF(I1497=0,0,1),I1497/ABS(H1497))</f>
        <v/>
      </c>
      <c r="K1497" s="29">
        <f>H1497-(Data_thang!O1497-Data_thang!K1497)</f>
        <v/>
      </c>
      <c r="L1497">
        <f>IF(AND(ABS(I1497)&gt;Dashboard!$G$6,ABS(J1497)&gt;Dashboard!$H$6),"⚠ Vượt","")</f>
        <v/>
      </c>
      <c r="M1497">
        <f>IF(AND(A1497=Dashboard!$D$6,OR(Dashboard!$C$6="*",F1497=Dashboard!$C$6),L1497&lt;&gt;""),ABS(I1497)+ROW()/1000000000,0)</f>
        <v/>
      </c>
    </row>
    <row r="1498">
      <c r="A1498">
        <f>Data_thang!A1498</f>
        <v/>
      </c>
      <c r="B1498">
        <f>Data_thang!B1498</f>
        <v/>
      </c>
      <c r="C1498">
        <f>Data_thang!D1498</f>
        <v/>
      </c>
      <c r="D1498">
        <f>Data_thang!E1498</f>
        <v/>
      </c>
      <c r="E1498">
        <f>Data_thang!F1498</f>
        <v/>
      </c>
      <c r="F1498">
        <f>Data_thang!G1498</f>
        <v/>
      </c>
      <c r="G1498" s="29">
        <f>Data_thang!J1498-Data_thang!K1498</f>
        <v/>
      </c>
      <c r="H1498" s="29">
        <f>Data_thang!N1498</f>
        <v/>
      </c>
      <c r="I1498" s="29">
        <f>H1498-G1498</f>
        <v/>
      </c>
      <c r="J1498" s="30">
        <f>IF(H1498=0,IF(I1498=0,0,1),I1498/ABS(H1498))</f>
        <v/>
      </c>
      <c r="K1498" s="29">
        <f>H1498-(Data_thang!O1498-Data_thang!K1498)</f>
        <v/>
      </c>
      <c r="L1498">
        <f>IF(AND(ABS(I1498)&gt;Dashboard!$G$6,ABS(J1498)&gt;Dashboard!$H$6),"⚠ Vượt","")</f>
        <v/>
      </c>
      <c r="M1498">
        <f>IF(AND(A1498=Dashboard!$D$6,OR(Dashboard!$C$6="*",F1498=Dashboard!$C$6),L1498&lt;&gt;""),ABS(I1498)+ROW()/1000000000,0)</f>
        <v/>
      </c>
    </row>
    <row r="1499">
      <c r="A1499">
        <f>Data_thang!A1499</f>
        <v/>
      </c>
      <c r="B1499">
        <f>Data_thang!B1499</f>
        <v/>
      </c>
      <c r="C1499">
        <f>Data_thang!D1499</f>
        <v/>
      </c>
      <c r="D1499">
        <f>Data_thang!E1499</f>
        <v/>
      </c>
      <c r="E1499">
        <f>Data_thang!F1499</f>
        <v/>
      </c>
      <c r="F1499">
        <f>Data_thang!G1499</f>
        <v/>
      </c>
      <c r="G1499" s="29">
        <f>Data_thang!J1499-Data_thang!K1499</f>
        <v/>
      </c>
      <c r="H1499" s="29">
        <f>Data_thang!N1499</f>
        <v/>
      </c>
      <c r="I1499" s="29">
        <f>H1499-G1499</f>
        <v/>
      </c>
      <c r="J1499" s="30">
        <f>IF(H1499=0,IF(I1499=0,0,1),I1499/ABS(H1499))</f>
        <v/>
      </c>
      <c r="K1499" s="29">
        <f>H1499-(Data_thang!O1499-Data_thang!K1499)</f>
        <v/>
      </c>
      <c r="L1499">
        <f>IF(AND(ABS(I1499)&gt;Dashboard!$G$6,ABS(J1499)&gt;Dashboard!$H$6),"⚠ Vượt","")</f>
        <v/>
      </c>
      <c r="M1499">
        <f>IF(AND(A1499=Dashboard!$D$6,OR(Dashboard!$C$6="*",F1499=Dashboard!$C$6),L1499&lt;&gt;""),ABS(I1499)+ROW()/1000000000,0)</f>
        <v/>
      </c>
    </row>
    <row r="1500">
      <c r="A1500">
        <f>Data_thang!A1500</f>
        <v/>
      </c>
      <c r="B1500">
        <f>Data_thang!B1500</f>
        <v/>
      </c>
      <c r="C1500">
        <f>Data_thang!D1500</f>
        <v/>
      </c>
      <c r="D1500">
        <f>Data_thang!E1500</f>
        <v/>
      </c>
      <c r="E1500">
        <f>Data_thang!F1500</f>
        <v/>
      </c>
      <c r="F1500">
        <f>Data_thang!G1500</f>
        <v/>
      </c>
      <c r="G1500" s="29">
        <f>Data_thang!J1500-Data_thang!K1500</f>
        <v/>
      </c>
      <c r="H1500" s="29">
        <f>Data_thang!N1500</f>
        <v/>
      </c>
      <c r="I1500" s="29">
        <f>H1500-G1500</f>
        <v/>
      </c>
      <c r="J1500" s="30">
        <f>IF(H1500=0,IF(I1500=0,0,1),I1500/ABS(H1500))</f>
        <v/>
      </c>
      <c r="K1500" s="29">
        <f>H1500-(Data_thang!O1500-Data_thang!K1500)</f>
        <v/>
      </c>
      <c r="L1500">
        <f>IF(AND(ABS(I1500)&gt;Dashboard!$G$6,ABS(J1500)&gt;Dashboard!$H$6),"⚠ Vượt","")</f>
        <v/>
      </c>
      <c r="M1500">
        <f>IF(AND(A1500=Dashboard!$D$6,OR(Dashboard!$C$6="*",F1500=Dashboard!$C$6),L1500&lt;&gt;""),ABS(I1500)+ROW()/1000000000,0)</f>
        <v/>
      </c>
    </row>
    <row r="1501">
      <c r="A1501">
        <f>Data_thang!A1501</f>
        <v/>
      </c>
      <c r="B1501">
        <f>Data_thang!B1501</f>
        <v/>
      </c>
      <c r="C1501">
        <f>Data_thang!D1501</f>
        <v/>
      </c>
      <c r="D1501">
        <f>Data_thang!E1501</f>
        <v/>
      </c>
      <c r="E1501">
        <f>Data_thang!F1501</f>
        <v/>
      </c>
      <c r="F1501">
        <f>Data_thang!G1501</f>
        <v/>
      </c>
      <c r="G1501" s="29">
        <f>Data_thang!J1501-Data_thang!K1501</f>
        <v/>
      </c>
      <c r="H1501" s="29">
        <f>Data_thang!N1501</f>
        <v/>
      </c>
      <c r="I1501" s="29">
        <f>H1501-G1501</f>
        <v/>
      </c>
      <c r="J1501" s="30">
        <f>IF(H1501=0,IF(I1501=0,0,1),I1501/ABS(H1501))</f>
        <v/>
      </c>
      <c r="K1501" s="29">
        <f>H1501-(Data_thang!O1501-Data_thang!K1501)</f>
        <v/>
      </c>
      <c r="L1501">
        <f>IF(AND(ABS(I1501)&gt;Dashboard!$G$6,ABS(J1501)&gt;Dashboard!$H$6),"⚠ Vượt","")</f>
        <v/>
      </c>
      <c r="M1501">
        <f>IF(AND(A1501=Dashboard!$D$6,OR(Dashboard!$C$6="*",F1501=Dashboard!$C$6),L1501&lt;&gt;""),ABS(I1501)+ROW()/1000000000,0)</f>
        <v/>
      </c>
    </row>
    <row r="1502">
      <c r="A1502">
        <f>Data_thang!A1502</f>
        <v/>
      </c>
      <c r="B1502">
        <f>Data_thang!B1502</f>
        <v/>
      </c>
      <c r="C1502">
        <f>Data_thang!D1502</f>
        <v/>
      </c>
      <c r="D1502">
        <f>Data_thang!E1502</f>
        <v/>
      </c>
      <c r="E1502">
        <f>Data_thang!F1502</f>
        <v/>
      </c>
      <c r="F1502">
        <f>Data_thang!G1502</f>
        <v/>
      </c>
      <c r="G1502" s="29">
        <f>Data_thang!J1502-Data_thang!K1502</f>
        <v/>
      </c>
      <c r="H1502" s="29">
        <f>Data_thang!N1502</f>
        <v/>
      </c>
      <c r="I1502" s="29">
        <f>H1502-G1502</f>
        <v/>
      </c>
      <c r="J1502" s="30">
        <f>IF(H1502=0,IF(I1502=0,0,1),I1502/ABS(H1502))</f>
        <v/>
      </c>
      <c r="K1502" s="29">
        <f>H1502-(Data_thang!O1502-Data_thang!K1502)</f>
        <v/>
      </c>
      <c r="L1502">
        <f>IF(AND(ABS(I1502)&gt;Dashboard!$G$6,ABS(J1502)&gt;Dashboard!$H$6),"⚠ Vượt","")</f>
        <v/>
      </c>
      <c r="M1502">
        <f>IF(AND(A1502=Dashboard!$D$6,OR(Dashboard!$C$6="*",F1502=Dashboard!$C$6),L1502&lt;&gt;""),ABS(I1502)+ROW()/1000000000,0)</f>
        <v/>
      </c>
    </row>
    <row r="1503">
      <c r="A1503">
        <f>Data_thang!A1503</f>
        <v/>
      </c>
      <c r="B1503">
        <f>Data_thang!B1503</f>
        <v/>
      </c>
      <c r="C1503">
        <f>Data_thang!D1503</f>
        <v/>
      </c>
      <c r="D1503">
        <f>Data_thang!E1503</f>
        <v/>
      </c>
      <c r="E1503">
        <f>Data_thang!F1503</f>
        <v/>
      </c>
      <c r="F1503">
        <f>Data_thang!G1503</f>
        <v/>
      </c>
      <c r="G1503" s="29">
        <f>Data_thang!J1503-Data_thang!K1503</f>
        <v/>
      </c>
      <c r="H1503" s="29">
        <f>Data_thang!N1503</f>
        <v/>
      </c>
      <c r="I1503" s="29">
        <f>H1503-G1503</f>
        <v/>
      </c>
      <c r="J1503" s="30">
        <f>IF(H1503=0,IF(I1503=0,0,1),I1503/ABS(H1503))</f>
        <v/>
      </c>
      <c r="K1503" s="29">
        <f>H1503-(Data_thang!O1503-Data_thang!K1503)</f>
        <v/>
      </c>
      <c r="L1503">
        <f>IF(AND(ABS(I1503)&gt;Dashboard!$G$6,ABS(J1503)&gt;Dashboard!$H$6),"⚠ Vượt","")</f>
        <v/>
      </c>
      <c r="M1503">
        <f>IF(AND(A1503=Dashboard!$D$6,OR(Dashboard!$C$6="*",F1503=Dashboard!$C$6),L1503&lt;&gt;""),ABS(I1503)+ROW()/1000000000,0)</f>
        <v/>
      </c>
    </row>
    <row r="1504">
      <c r="A1504">
        <f>Data_thang!A1504</f>
        <v/>
      </c>
      <c r="B1504">
        <f>Data_thang!B1504</f>
        <v/>
      </c>
      <c r="C1504">
        <f>Data_thang!D1504</f>
        <v/>
      </c>
      <c r="D1504">
        <f>Data_thang!E1504</f>
        <v/>
      </c>
      <c r="E1504">
        <f>Data_thang!F1504</f>
        <v/>
      </c>
      <c r="F1504">
        <f>Data_thang!G1504</f>
        <v/>
      </c>
      <c r="G1504" s="29">
        <f>Data_thang!J1504-Data_thang!K1504</f>
        <v/>
      </c>
      <c r="H1504" s="29">
        <f>Data_thang!N1504</f>
        <v/>
      </c>
      <c r="I1504" s="29">
        <f>H1504-G1504</f>
        <v/>
      </c>
      <c r="J1504" s="30">
        <f>IF(H1504=0,IF(I1504=0,0,1),I1504/ABS(H1504))</f>
        <v/>
      </c>
      <c r="K1504" s="29">
        <f>H1504-(Data_thang!O1504-Data_thang!K1504)</f>
        <v/>
      </c>
      <c r="L1504">
        <f>IF(AND(ABS(I1504)&gt;Dashboard!$G$6,ABS(J1504)&gt;Dashboard!$H$6),"⚠ Vượt","")</f>
        <v/>
      </c>
      <c r="M1504">
        <f>IF(AND(A1504=Dashboard!$D$6,OR(Dashboard!$C$6="*",F1504=Dashboard!$C$6),L1504&lt;&gt;""),ABS(I1504)+ROW()/1000000000,0)</f>
        <v/>
      </c>
    </row>
    <row r="1505">
      <c r="A1505">
        <f>Data_thang!A1505</f>
        <v/>
      </c>
      <c r="B1505">
        <f>Data_thang!B1505</f>
        <v/>
      </c>
      <c r="C1505">
        <f>Data_thang!D1505</f>
        <v/>
      </c>
      <c r="D1505">
        <f>Data_thang!E1505</f>
        <v/>
      </c>
      <c r="E1505">
        <f>Data_thang!F1505</f>
        <v/>
      </c>
      <c r="F1505">
        <f>Data_thang!G1505</f>
        <v/>
      </c>
      <c r="G1505" s="29">
        <f>Data_thang!J1505-Data_thang!K1505</f>
        <v/>
      </c>
      <c r="H1505" s="29">
        <f>Data_thang!N1505</f>
        <v/>
      </c>
      <c r="I1505" s="29">
        <f>H1505-G1505</f>
        <v/>
      </c>
      <c r="J1505" s="30">
        <f>IF(H1505=0,IF(I1505=0,0,1),I1505/ABS(H1505))</f>
        <v/>
      </c>
      <c r="K1505" s="29">
        <f>H1505-(Data_thang!O1505-Data_thang!K1505)</f>
        <v/>
      </c>
      <c r="L1505">
        <f>IF(AND(ABS(I1505)&gt;Dashboard!$G$6,ABS(J1505)&gt;Dashboard!$H$6),"⚠ Vượt","")</f>
        <v/>
      </c>
      <c r="M1505">
        <f>IF(AND(A1505=Dashboard!$D$6,OR(Dashboard!$C$6="*",F1505=Dashboard!$C$6),L1505&lt;&gt;""),ABS(I1505)+ROW()/1000000000,0)</f>
        <v/>
      </c>
    </row>
    <row r="1506">
      <c r="A1506">
        <f>Data_thang!A1506</f>
        <v/>
      </c>
      <c r="B1506">
        <f>Data_thang!B1506</f>
        <v/>
      </c>
      <c r="C1506">
        <f>Data_thang!D1506</f>
        <v/>
      </c>
      <c r="D1506">
        <f>Data_thang!E1506</f>
        <v/>
      </c>
      <c r="E1506">
        <f>Data_thang!F1506</f>
        <v/>
      </c>
      <c r="F1506">
        <f>Data_thang!G1506</f>
        <v/>
      </c>
      <c r="G1506" s="29">
        <f>Data_thang!J1506-Data_thang!K1506</f>
        <v/>
      </c>
      <c r="H1506" s="29">
        <f>Data_thang!N1506</f>
        <v/>
      </c>
      <c r="I1506" s="29">
        <f>H1506-G1506</f>
        <v/>
      </c>
      <c r="J1506" s="30">
        <f>IF(H1506=0,IF(I1506=0,0,1),I1506/ABS(H1506))</f>
        <v/>
      </c>
      <c r="K1506" s="29">
        <f>H1506-(Data_thang!O1506-Data_thang!K1506)</f>
        <v/>
      </c>
      <c r="L1506">
        <f>IF(AND(ABS(I1506)&gt;Dashboard!$G$6,ABS(J1506)&gt;Dashboard!$H$6),"⚠ Vượt","")</f>
        <v/>
      </c>
      <c r="M1506">
        <f>IF(AND(A1506=Dashboard!$D$6,OR(Dashboard!$C$6="*",F1506=Dashboard!$C$6),L1506&lt;&gt;""),ABS(I1506)+ROW()/1000000000,0)</f>
        <v/>
      </c>
    </row>
    <row r="1507">
      <c r="A1507">
        <f>Data_thang!A1507</f>
        <v/>
      </c>
      <c r="B1507">
        <f>Data_thang!B1507</f>
        <v/>
      </c>
      <c r="C1507">
        <f>Data_thang!D1507</f>
        <v/>
      </c>
      <c r="D1507">
        <f>Data_thang!E1507</f>
        <v/>
      </c>
      <c r="E1507">
        <f>Data_thang!F1507</f>
        <v/>
      </c>
      <c r="F1507">
        <f>Data_thang!G1507</f>
        <v/>
      </c>
      <c r="G1507" s="29">
        <f>Data_thang!J1507-Data_thang!K1507</f>
        <v/>
      </c>
      <c r="H1507" s="29">
        <f>Data_thang!N1507</f>
        <v/>
      </c>
      <c r="I1507" s="29">
        <f>H1507-G1507</f>
        <v/>
      </c>
      <c r="J1507" s="30">
        <f>IF(H1507=0,IF(I1507=0,0,1),I1507/ABS(H1507))</f>
        <v/>
      </c>
      <c r="K1507" s="29">
        <f>H1507-(Data_thang!O1507-Data_thang!K1507)</f>
        <v/>
      </c>
      <c r="L1507">
        <f>IF(AND(ABS(I1507)&gt;Dashboard!$G$6,ABS(J1507)&gt;Dashboard!$H$6),"⚠ Vượt","")</f>
        <v/>
      </c>
      <c r="M1507">
        <f>IF(AND(A1507=Dashboard!$D$6,OR(Dashboard!$C$6="*",F1507=Dashboard!$C$6),L1507&lt;&gt;""),ABS(I1507)+ROW()/1000000000,0)</f>
        <v/>
      </c>
    </row>
    <row r="1508">
      <c r="A1508">
        <f>Data_thang!A1508</f>
        <v/>
      </c>
      <c r="B1508">
        <f>Data_thang!B1508</f>
        <v/>
      </c>
      <c r="C1508">
        <f>Data_thang!D1508</f>
        <v/>
      </c>
      <c r="D1508">
        <f>Data_thang!E1508</f>
        <v/>
      </c>
      <c r="E1508">
        <f>Data_thang!F1508</f>
        <v/>
      </c>
      <c r="F1508">
        <f>Data_thang!G1508</f>
        <v/>
      </c>
      <c r="G1508" s="29">
        <f>Data_thang!J1508-Data_thang!K1508</f>
        <v/>
      </c>
      <c r="H1508" s="29">
        <f>Data_thang!N1508</f>
        <v/>
      </c>
      <c r="I1508" s="29">
        <f>H1508-G1508</f>
        <v/>
      </c>
      <c r="J1508" s="30">
        <f>IF(H1508=0,IF(I1508=0,0,1),I1508/ABS(H1508))</f>
        <v/>
      </c>
      <c r="K1508" s="29">
        <f>H1508-(Data_thang!O1508-Data_thang!K1508)</f>
        <v/>
      </c>
      <c r="L1508">
        <f>IF(AND(ABS(I1508)&gt;Dashboard!$G$6,ABS(J1508)&gt;Dashboard!$H$6),"⚠ Vượt","")</f>
        <v/>
      </c>
      <c r="M1508">
        <f>IF(AND(A1508=Dashboard!$D$6,OR(Dashboard!$C$6="*",F1508=Dashboard!$C$6),L1508&lt;&gt;""),ABS(I1508)+ROW()/1000000000,0)</f>
        <v/>
      </c>
    </row>
    <row r="1509">
      <c r="A1509">
        <f>Data_thang!A1509</f>
        <v/>
      </c>
      <c r="B1509">
        <f>Data_thang!B1509</f>
        <v/>
      </c>
      <c r="C1509">
        <f>Data_thang!D1509</f>
        <v/>
      </c>
      <c r="D1509">
        <f>Data_thang!E1509</f>
        <v/>
      </c>
      <c r="E1509">
        <f>Data_thang!F1509</f>
        <v/>
      </c>
      <c r="F1509">
        <f>Data_thang!G1509</f>
        <v/>
      </c>
      <c r="G1509" s="29">
        <f>Data_thang!J1509-Data_thang!K1509</f>
        <v/>
      </c>
      <c r="H1509" s="29">
        <f>Data_thang!N1509</f>
        <v/>
      </c>
      <c r="I1509" s="29">
        <f>H1509-G1509</f>
        <v/>
      </c>
      <c r="J1509" s="30">
        <f>IF(H1509=0,IF(I1509=0,0,1),I1509/ABS(H1509))</f>
        <v/>
      </c>
      <c r="K1509" s="29">
        <f>H1509-(Data_thang!O1509-Data_thang!K1509)</f>
        <v/>
      </c>
      <c r="L1509">
        <f>IF(AND(ABS(I1509)&gt;Dashboard!$G$6,ABS(J1509)&gt;Dashboard!$H$6),"⚠ Vượt","")</f>
        <v/>
      </c>
      <c r="M1509">
        <f>IF(AND(A1509=Dashboard!$D$6,OR(Dashboard!$C$6="*",F1509=Dashboard!$C$6),L1509&lt;&gt;""),ABS(I1509)+ROW()/1000000000,0)</f>
        <v/>
      </c>
    </row>
    <row r="1510">
      <c r="A1510">
        <f>Data_thang!A1510</f>
        <v/>
      </c>
      <c r="B1510">
        <f>Data_thang!B1510</f>
        <v/>
      </c>
      <c r="C1510">
        <f>Data_thang!D1510</f>
        <v/>
      </c>
      <c r="D1510">
        <f>Data_thang!E1510</f>
        <v/>
      </c>
      <c r="E1510">
        <f>Data_thang!F1510</f>
        <v/>
      </c>
      <c r="F1510">
        <f>Data_thang!G1510</f>
        <v/>
      </c>
      <c r="G1510" s="29">
        <f>Data_thang!J1510-Data_thang!K1510</f>
        <v/>
      </c>
      <c r="H1510" s="29">
        <f>Data_thang!N1510</f>
        <v/>
      </c>
      <c r="I1510" s="29">
        <f>H1510-G1510</f>
        <v/>
      </c>
      <c r="J1510" s="30">
        <f>IF(H1510=0,IF(I1510=0,0,1),I1510/ABS(H1510))</f>
        <v/>
      </c>
      <c r="K1510" s="29">
        <f>H1510-(Data_thang!O1510-Data_thang!K1510)</f>
        <v/>
      </c>
      <c r="L1510">
        <f>IF(AND(ABS(I1510)&gt;Dashboard!$G$6,ABS(J1510)&gt;Dashboard!$H$6),"⚠ Vượt","")</f>
        <v/>
      </c>
      <c r="M1510">
        <f>IF(AND(A1510=Dashboard!$D$6,OR(Dashboard!$C$6="*",F1510=Dashboard!$C$6),L1510&lt;&gt;""),ABS(I1510)+ROW()/1000000000,0)</f>
        <v/>
      </c>
    </row>
    <row r="1511">
      <c r="A1511">
        <f>Data_thang!A1511</f>
        <v/>
      </c>
      <c r="B1511">
        <f>Data_thang!B1511</f>
        <v/>
      </c>
      <c r="C1511">
        <f>Data_thang!D1511</f>
        <v/>
      </c>
      <c r="D1511">
        <f>Data_thang!E1511</f>
        <v/>
      </c>
      <c r="E1511">
        <f>Data_thang!F1511</f>
        <v/>
      </c>
      <c r="F1511">
        <f>Data_thang!G1511</f>
        <v/>
      </c>
      <c r="G1511" s="29">
        <f>Data_thang!J1511-Data_thang!K1511</f>
        <v/>
      </c>
      <c r="H1511" s="29">
        <f>Data_thang!N1511</f>
        <v/>
      </c>
      <c r="I1511" s="29">
        <f>H1511-G1511</f>
        <v/>
      </c>
      <c r="J1511" s="30">
        <f>IF(H1511=0,IF(I1511=0,0,1),I1511/ABS(H1511))</f>
        <v/>
      </c>
      <c r="K1511" s="29">
        <f>H1511-(Data_thang!O1511-Data_thang!K1511)</f>
        <v/>
      </c>
      <c r="L1511">
        <f>IF(AND(ABS(I1511)&gt;Dashboard!$G$6,ABS(J1511)&gt;Dashboard!$H$6),"⚠ Vượt","")</f>
        <v/>
      </c>
      <c r="M1511">
        <f>IF(AND(A1511=Dashboard!$D$6,OR(Dashboard!$C$6="*",F1511=Dashboard!$C$6),L1511&lt;&gt;""),ABS(I1511)+ROW()/1000000000,0)</f>
        <v/>
      </c>
    </row>
    <row r="1512">
      <c r="A1512">
        <f>Data_thang!A1512</f>
        <v/>
      </c>
      <c r="B1512">
        <f>Data_thang!B1512</f>
        <v/>
      </c>
      <c r="C1512">
        <f>Data_thang!D1512</f>
        <v/>
      </c>
      <c r="D1512">
        <f>Data_thang!E1512</f>
        <v/>
      </c>
      <c r="E1512">
        <f>Data_thang!F1512</f>
        <v/>
      </c>
      <c r="F1512">
        <f>Data_thang!G1512</f>
        <v/>
      </c>
      <c r="G1512" s="29">
        <f>Data_thang!J1512-Data_thang!K1512</f>
        <v/>
      </c>
      <c r="H1512" s="29">
        <f>Data_thang!N1512</f>
        <v/>
      </c>
      <c r="I1512" s="29">
        <f>H1512-G1512</f>
        <v/>
      </c>
      <c r="J1512" s="30">
        <f>IF(H1512=0,IF(I1512=0,0,1),I1512/ABS(H1512))</f>
        <v/>
      </c>
      <c r="K1512" s="29">
        <f>H1512-(Data_thang!O1512-Data_thang!K1512)</f>
        <v/>
      </c>
      <c r="L1512">
        <f>IF(AND(ABS(I1512)&gt;Dashboard!$G$6,ABS(J1512)&gt;Dashboard!$H$6),"⚠ Vượt","")</f>
        <v/>
      </c>
      <c r="M1512">
        <f>IF(AND(A1512=Dashboard!$D$6,OR(Dashboard!$C$6="*",F1512=Dashboard!$C$6),L1512&lt;&gt;""),ABS(I1512)+ROW()/1000000000,0)</f>
        <v/>
      </c>
    </row>
    <row r="1513">
      <c r="A1513">
        <f>Data_thang!A1513</f>
        <v/>
      </c>
      <c r="B1513">
        <f>Data_thang!B1513</f>
        <v/>
      </c>
      <c r="C1513">
        <f>Data_thang!D1513</f>
        <v/>
      </c>
      <c r="D1513">
        <f>Data_thang!E1513</f>
        <v/>
      </c>
      <c r="E1513">
        <f>Data_thang!F1513</f>
        <v/>
      </c>
      <c r="F1513">
        <f>Data_thang!G1513</f>
        <v/>
      </c>
      <c r="G1513" s="29">
        <f>Data_thang!J1513-Data_thang!K1513</f>
        <v/>
      </c>
      <c r="H1513" s="29">
        <f>Data_thang!N1513</f>
        <v/>
      </c>
      <c r="I1513" s="29">
        <f>H1513-G1513</f>
        <v/>
      </c>
      <c r="J1513" s="30">
        <f>IF(H1513=0,IF(I1513=0,0,1),I1513/ABS(H1513))</f>
        <v/>
      </c>
      <c r="K1513" s="29">
        <f>H1513-(Data_thang!O1513-Data_thang!K1513)</f>
        <v/>
      </c>
      <c r="L1513">
        <f>IF(AND(ABS(I1513)&gt;Dashboard!$G$6,ABS(J1513)&gt;Dashboard!$H$6),"⚠ Vượt","")</f>
        <v/>
      </c>
      <c r="M1513">
        <f>IF(AND(A1513=Dashboard!$D$6,OR(Dashboard!$C$6="*",F1513=Dashboard!$C$6),L1513&lt;&gt;""),ABS(I1513)+ROW()/1000000000,0)</f>
        <v/>
      </c>
    </row>
    <row r="1514">
      <c r="A1514">
        <f>Data_thang!A1514</f>
        <v/>
      </c>
      <c r="B1514">
        <f>Data_thang!B1514</f>
        <v/>
      </c>
      <c r="C1514">
        <f>Data_thang!D1514</f>
        <v/>
      </c>
      <c r="D1514">
        <f>Data_thang!E1514</f>
        <v/>
      </c>
      <c r="E1514">
        <f>Data_thang!F1514</f>
        <v/>
      </c>
      <c r="F1514">
        <f>Data_thang!G1514</f>
        <v/>
      </c>
      <c r="G1514" s="29">
        <f>Data_thang!J1514-Data_thang!K1514</f>
        <v/>
      </c>
      <c r="H1514" s="29">
        <f>Data_thang!N1514</f>
        <v/>
      </c>
      <c r="I1514" s="29">
        <f>H1514-G1514</f>
        <v/>
      </c>
      <c r="J1514" s="30">
        <f>IF(H1514=0,IF(I1514=0,0,1),I1514/ABS(H1514))</f>
        <v/>
      </c>
      <c r="K1514" s="29">
        <f>H1514-(Data_thang!O1514-Data_thang!K1514)</f>
        <v/>
      </c>
      <c r="L1514">
        <f>IF(AND(ABS(I1514)&gt;Dashboard!$G$6,ABS(J1514)&gt;Dashboard!$H$6),"⚠ Vượt","")</f>
        <v/>
      </c>
      <c r="M1514">
        <f>IF(AND(A1514=Dashboard!$D$6,OR(Dashboard!$C$6="*",F1514=Dashboard!$C$6),L1514&lt;&gt;""),ABS(I1514)+ROW()/1000000000,0)</f>
        <v/>
      </c>
    </row>
    <row r="1515">
      <c r="A1515">
        <f>Data_thang!A1515</f>
        <v/>
      </c>
      <c r="B1515">
        <f>Data_thang!B1515</f>
        <v/>
      </c>
      <c r="C1515">
        <f>Data_thang!D1515</f>
        <v/>
      </c>
      <c r="D1515">
        <f>Data_thang!E1515</f>
        <v/>
      </c>
      <c r="E1515">
        <f>Data_thang!F1515</f>
        <v/>
      </c>
      <c r="F1515">
        <f>Data_thang!G1515</f>
        <v/>
      </c>
      <c r="G1515" s="29">
        <f>Data_thang!J1515-Data_thang!K1515</f>
        <v/>
      </c>
      <c r="H1515" s="29">
        <f>Data_thang!N1515</f>
        <v/>
      </c>
      <c r="I1515" s="29">
        <f>H1515-G1515</f>
        <v/>
      </c>
      <c r="J1515" s="30">
        <f>IF(H1515=0,IF(I1515=0,0,1),I1515/ABS(H1515))</f>
        <v/>
      </c>
      <c r="K1515" s="29">
        <f>H1515-(Data_thang!O1515-Data_thang!K1515)</f>
        <v/>
      </c>
      <c r="L1515">
        <f>IF(AND(ABS(I1515)&gt;Dashboard!$G$6,ABS(J1515)&gt;Dashboard!$H$6),"⚠ Vượt","")</f>
        <v/>
      </c>
      <c r="M1515">
        <f>IF(AND(A1515=Dashboard!$D$6,OR(Dashboard!$C$6="*",F1515=Dashboard!$C$6),L1515&lt;&gt;""),ABS(I1515)+ROW()/1000000000,0)</f>
        <v/>
      </c>
    </row>
    <row r="1516">
      <c r="A1516">
        <f>Data_thang!A1516</f>
        <v/>
      </c>
      <c r="B1516">
        <f>Data_thang!B1516</f>
        <v/>
      </c>
      <c r="C1516">
        <f>Data_thang!D1516</f>
        <v/>
      </c>
      <c r="D1516">
        <f>Data_thang!E1516</f>
        <v/>
      </c>
      <c r="E1516">
        <f>Data_thang!F1516</f>
        <v/>
      </c>
      <c r="F1516">
        <f>Data_thang!G1516</f>
        <v/>
      </c>
      <c r="G1516" s="29">
        <f>Data_thang!J1516-Data_thang!K1516</f>
        <v/>
      </c>
      <c r="H1516" s="29">
        <f>Data_thang!N1516</f>
        <v/>
      </c>
      <c r="I1516" s="29">
        <f>H1516-G1516</f>
        <v/>
      </c>
      <c r="J1516" s="30">
        <f>IF(H1516=0,IF(I1516=0,0,1),I1516/ABS(H1516))</f>
        <v/>
      </c>
      <c r="K1516" s="29">
        <f>H1516-(Data_thang!O1516-Data_thang!K1516)</f>
        <v/>
      </c>
      <c r="L1516">
        <f>IF(AND(ABS(I1516)&gt;Dashboard!$G$6,ABS(J1516)&gt;Dashboard!$H$6),"⚠ Vượt","")</f>
        <v/>
      </c>
      <c r="M1516">
        <f>IF(AND(A1516=Dashboard!$D$6,OR(Dashboard!$C$6="*",F1516=Dashboard!$C$6),L1516&lt;&gt;""),ABS(I1516)+ROW()/1000000000,0)</f>
        <v/>
      </c>
    </row>
    <row r="1517">
      <c r="A1517">
        <f>Data_thang!A1517</f>
        <v/>
      </c>
      <c r="B1517">
        <f>Data_thang!B1517</f>
        <v/>
      </c>
      <c r="C1517">
        <f>Data_thang!D1517</f>
        <v/>
      </c>
      <c r="D1517">
        <f>Data_thang!E1517</f>
        <v/>
      </c>
      <c r="E1517">
        <f>Data_thang!F1517</f>
        <v/>
      </c>
      <c r="F1517">
        <f>Data_thang!G1517</f>
        <v/>
      </c>
      <c r="G1517" s="29">
        <f>Data_thang!J1517-Data_thang!K1517</f>
        <v/>
      </c>
      <c r="H1517" s="29">
        <f>Data_thang!N1517</f>
        <v/>
      </c>
      <c r="I1517" s="29">
        <f>H1517-G1517</f>
        <v/>
      </c>
      <c r="J1517" s="30">
        <f>IF(H1517=0,IF(I1517=0,0,1),I1517/ABS(H1517))</f>
        <v/>
      </c>
      <c r="K1517" s="29">
        <f>H1517-(Data_thang!O1517-Data_thang!K1517)</f>
        <v/>
      </c>
      <c r="L1517">
        <f>IF(AND(ABS(I1517)&gt;Dashboard!$G$6,ABS(J1517)&gt;Dashboard!$H$6),"⚠ Vượt","")</f>
        <v/>
      </c>
      <c r="M1517">
        <f>IF(AND(A1517=Dashboard!$D$6,OR(Dashboard!$C$6="*",F1517=Dashboard!$C$6),L1517&lt;&gt;""),ABS(I1517)+ROW()/1000000000,0)</f>
        <v/>
      </c>
    </row>
    <row r="1518">
      <c r="A1518">
        <f>Data_thang!A1518</f>
        <v/>
      </c>
      <c r="B1518">
        <f>Data_thang!B1518</f>
        <v/>
      </c>
      <c r="C1518">
        <f>Data_thang!D1518</f>
        <v/>
      </c>
      <c r="D1518">
        <f>Data_thang!E1518</f>
        <v/>
      </c>
      <c r="E1518">
        <f>Data_thang!F1518</f>
        <v/>
      </c>
      <c r="F1518">
        <f>Data_thang!G1518</f>
        <v/>
      </c>
      <c r="G1518" s="29">
        <f>Data_thang!J1518-Data_thang!K1518</f>
        <v/>
      </c>
      <c r="H1518" s="29">
        <f>Data_thang!N1518</f>
        <v/>
      </c>
      <c r="I1518" s="29">
        <f>H1518-G1518</f>
        <v/>
      </c>
      <c r="J1518" s="30">
        <f>IF(H1518=0,IF(I1518=0,0,1),I1518/ABS(H1518))</f>
        <v/>
      </c>
      <c r="K1518" s="29">
        <f>H1518-(Data_thang!O1518-Data_thang!K1518)</f>
        <v/>
      </c>
      <c r="L1518">
        <f>IF(AND(ABS(I1518)&gt;Dashboard!$G$6,ABS(J1518)&gt;Dashboard!$H$6),"⚠ Vượt","")</f>
        <v/>
      </c>
      <c r="M1518">
        <f>IF(AND(A1518=Dashboard!$D$6,OR(Dashboard!$C$6="*",F1518=Dashboard!$C$6),L1518&lt;&gt;""),ABS(I1518)+ROW()/1000000000,0)</f>
        <v/>
      </c>
    </row>
    <row r="1519">
      <c r="A1519">
        <f>Data_thang!A1519</f>
        <v/>
      </c>
      <c r="B1519">
        <f>Data_thang!B1519</f>
        <v/>
      </c>
      <c r="C1519">
        <f>Data_thang!D1519</f>
        <v/>
      </c>
      <c r="D1519">
        <f>Data_thang!E1519</f>
        <v/>
      </c>
      <c r="E1519">
        <f>Data_thang!F1519</f>
        <v/>
      </c>
      <c r="F1519">
        <f>Data_thang!G1519</f>
        <v/>
      </c>
      <c r="G1519" s="29">
        <f>Data_thang!J1519-Data_thang!K1519</f>
        <v/>
      </c>
      <c r="H1519" s="29">
        <f>Data_thang!N1519</f>
        <v/>
      </c>
      <c r="I1519" s="29">
        <f>H1519-G1519</f>
        <v/>
      </c>
      <c r="J1519" s="30">
        <f>IF(H1519=0,IF(I1519=0,0,1),I1519/ABS(H1519))</f>
        <v/>
      </c>
      <c r="K1519" s="29">
        <f>H1519-(Data_thang!O1519-Data_thang!K1519)</f>
        <v/>
      </c>
      <c r="L1519">
        <f>IF(AND(ABS(I1519)&gt;Dashboard!$G$6,ABS(J1519)&gt;Dashboard!$H$6),"⚠ Vượt","")</f>
        <v/>
      </c>
      <c r="M1519">
        <f>IF(AND(A1519=Dashboard!$D$6,OR(Dashboard!$C$6="*",F1519=Dashboard!$C$6),L1519&lt;&gt;""),ABS(I1519)+ROW()/1000000000,0)</f>
        <v/>
      </c>
    </row>
    <row r="1520">
      <c r="A1520">
        <f>Data_thang!A1520</f>
        <v/>
      </c>
      <c r="B1520">
        <f>Data_thang!B1520</f>
        <v/>
      </c>
      <c r="C1520">
        <f>Data_thang!D1520</f>
        <v/>
      </c>
      <c r="D1520">
        <f>Data_thang!E1520</f>
        <v/>
      </c>
      <c r="E1520">
        <f>Data_thang!F1520</f>
        <v/>
      </c>
      <c r="F1520">
        <f>Data_thang!G1520</f>
        <v/>
      </c>
      <c r="G1520" s="29">
        <f>Data_thang!J1520-Data_thang!K1520</f>
        <v/>
      </c>
      <c r="H1520" s="29">
        <f>Data_thang!N1520</f>
        <v/>
      </c>
      <c r="I1520" s="29">
        <f>H1520-G1520</f>
        <v/>
      </c>
      <c r="J1520" s="30">
        <f>IF(H1520=0,IF(I1520=0,0,1),I1520/ABS(H1520))</f>
        <v/>
      </c>
      <c r="K1520" s="29">
        <f>H1520-(Data_thang!O1520-Data_thang!K1520)</f>
        <v/>
      </c>
      <c r="L1520">
        <f>IF(AND(ABS(I1520)&gt;Dashboard!$G$6,ABS(J1520)&gt;Dashboard!$H$6),"⚠ Vượt","")</f>
        <v/>
      </c>
      <c r="M1520">
        <f>IF(AND(A1520=Dashboard!$D$6,OR(Dashboard!$C$6="*",F1520=Dashboard!$C$6),L1520&lt;&gt;""),ABS(I1520)+ROW()/1000000000,0)</f>
        <v/>
      </c>
    </row>
    <row r="1521">
      <c r="A1521">
        <f>Data_thang!A1521</f>
        <v/>
      </c>
      <c r="B1521">
        <f>Data_thang!B1521</f>
        <v/>
      </c>
      <c r="C1521">
        <f>Data_thang!D1521</f>
        <v/>
      </c>
      <c r="D1521">
        <f>Data_thang!E1521</f>
        <v/>
      </c>
      <c r="E1521">
        <f>Data_thang!F1521</f>
        <v/>
      </c>
      <c r="F1521">
        <f>Data_thang!G1521</f>
        <v/>
      </c>
      <c r="G1521" s="29">
        <f>Data_thang!J1521-Data_thang!K1521</f>
        <v/>
      </c>
      <c r="H1521" s="29">
        <f>Data_thang!N1521</f>
        <v/>
      </c>
      <c r="I1521" s="29">
        <f>H1521-G1521</f>
        <v/>
      </c>
      <c r="J1521" s="30">
        <f>IF(H1521=0,IF(I1521=0,0,1),I1521/ABS(H1521))</f>
        <v/>
      </c>
      <c r="K1521" s="29">
        <f>H1521-(Data_thang!O1521-Data_thang!K1521)</f>
        <v/>
      </c>
      <c r="L1521">
        <f>IF(AND(ABS(I1521)&gt;Dashboard!$G$6,ABS(J1521)&gt;Dashboard!$H$6),"⚠ Vượt","")</f>
        <v/>
      </c>
      <c r="M1521">
        <f>IF(AND(A1521=Dashboard!$D$6,OR(Dashboard!$C$6="*",F1521=Dashboard!$C$6),L1521&lt;&gt;""),ABS(I1521)+ROW()/1000000000,0)</f>
        <v/>
      </c>
    </row>
    <row r="1522">
      <c r="A1522">
        <f>Data_thang!A1522</f>
        <v/>
      </c>
      <c r="B1522">
        <f>Data_thang!B1522</f>
        <v/>
      </c>
      <c r="C1522">
        <f>Data_thang!D1522</f>
        <v/>
      </c>
      <c r="D1522">
        <f>Data_thang!E1522</f>
        <v/>
      </c>
      <c r="E1522">
        <f>Data_thang!F1522</f>
        <v/>
      </c>
      <c r="F1522">
        <f>Data_thang!G1522</f>
        <v/>
      </c>
      <c r="G1522" s="29">
        <f>Data_thang!J1522-Data_thang!K1522</f>
        <v/>
      </c>
      <c r="H1522" s="29">
        <f>Data_thang!N1522</f>
        <v/>
      </c>
      <c r="I1522" s="29">
        <f>H1522-G1522</f>
        <v/>
      </c>
      <c r="J1522" s="30">
        <f>IF(H1522=0,IF(I1522=0,0,1),I1522/ABS(H1522))</f>
        <v/>
      </c>
      <c r="K1522" s="29">
        <f>H1522-(Data_thang!O1522-Data_thang!K1522)</f>
        <v/>
      </c>
      <c r="L1522">
        <f>IF(AND(ABS(I1522)&gt;Dashboard!$G$6,ABS(J1522)&gt;Dashboard!$H$6),"⚠ Vượt","")</f>
        <v/>
      </c>
      <c r="M1522">
        <f>IF(AND(A1522=Dashboard!$D$6,OR(Dashboard!$C$6="*",F1522=Dashboard!$C$6),L1522&lt;&gt;""),ABS(I1522)+ROW()/1000000000,0)</f>
        <v/>
      </c>
    </row>
    <row r="1523">
      <c r="A1523">
        <f>Data_thang!A1523</f>
        <v/>
      </c>
      <c r="B1523">
        <f>Data_thang!B1523</f>
        <v/>
      </c>
      <c r="C1523">
        <f>Data_thang!D1523</f>
        <v/>
      </c>
      <c r="D1523">
        <f>Data_thang!E1523</f>
        <v/>
      </c>
      <c r="E1523">
        <f>Data_thang!F1523</f>
        <v/>
      </c>
      <c r="F1523">
        <f>Data_thang!G1523</f>
        <v/>
      </c>
      <c r="G1523" s="29">
        <f>Data_thang!J1523-Data_thang!K1523</f>
        <v/>
      </c>
      <c r="H1523" s="29">
        <f>Data_thang!N1523</f>
        <v/>
      </c>
      <c r="I1523" s="29">
        <f>H1523-G1523</f>
        <v/>
      </c>
      <c r="J1523" s="30">
        <f>IF(H1523=0,IF(I1523=0,0,1),I1523/ABS(H1523))</f>
        <v/>
      </c>
      <c r="K1523" s="29">
        <f>H1523-(Data_thang!O1523-Data_thang!K1523)</f>
        <v/>
      </c>
      <c r="L1523">
        <f>IF(AND(ABS(I1523)&gt;Dashboard!$G$6,ABS(J1523)&gt;Dashboard!$H$6),"⚠ Vượt","")</f>
        <v/>
      </c>
      <c r="M1523">
        <f>IF(AND(A1523=Dashboard!$D$6,OR(Dashboard!$C$6="*",F1523=Dashboard!$C$6),L1523&lt;&gt;""),ABS(I1523)+ROW()/1000000000,0)</f>
        <v/>
      </c>
    </row>
    <row r="1524">
      <c r="A1524">
        <f>Data_thang!A1524</f>
        <v/>
      </c>
      <c r="B1524">
        <f>Data_thang!B1524</f>
        <v/>
      </c>
      <c r="C1524">
        <f>Data_thang!D1524</f>
        <v/>
      </c>
      <c r="D1524">
        <f>Data_thang!E1524</f>
        <v/>
      </c>
      <c r="E1524">
        <f>Data_thang!F1524</f>
        <v/>
      </c>
      <c r="F1524">
        <f>Data_thang!G1524</f>
        <v/>
      </c>
      <c r="G1524" s="29">
        <f>Data_thang!J1524-Data_thang!K1524</f>
        <v/>
      </c>
      <c r="H1524" s="29">
        <f>Data_thang!N1524</f>
        <v/>
      </c>
      <c r="I1524" s="29">
        <f>H1524-G1524</f>
        <v/>
      </c>
      <c r="J1524" s="30">
        <f>IF(H1524=0,IF(I1524=0,0,1),I1524/ABS(H1524))</f>
        <v/>
      </c>
      <c r="K1524" s="29">
        <f>H1524-(Data_thang!O1524-Data_thang!K1524)</f>
        <v/>
      </c>
      <c r="L1524">
        <f>IF(AND(ABS(I1524)&gt;Dashboard!$G$6,ABS(J1524)&gt;Dashboard!$H$6),"⚠ Vượt","")</f>
        <v/>
      </c>
      <c r="M1524">
        <f>IF(AND(A1524=Dashboard!$D$6,OR(Dashboard!$C$6="*",F1524=Dashboard!$C$6),L1524&lt;&gt;""),ABS(I1524)+ROW()/1000000000,0)</f>
        <v/>
      </c>
    </row>
    <row r="1525">
      <c r="A1525">
        <f>Data_thang!A1525</f>
        <v/>
      </c>
      <c r="B1525">
        <f>Data_thang!B1525</f>
        <v/>
      </c>
      <c r="C1525">
        <f>Data_thang!D1525</f>
        <v/>
      </c>
      <c r="D1525">
        <f>Data_thang!E1525</f>
        <v/>
      </c>
      <c r="E1525">
        <f>Data_thang!F1525</f>
        <v/>
      </c>
      <c r="F1525">
        <f>Data_thang!G1525</f>
        <v/>
      </c>
      <c r="G1525" s="29">
        <f>Data_thang!J1525-Data_thang!K1525</f>
        <v/>
      </c>
      <c r="H1525" s="29">
        <f>Data_thang!N1525</f>
        <v/>
      </c>
      <c r="I1525" s="29">
        <f>H1525-G1525</f>
        <v/>
      </c>
      <c r="J1525" s="30">
        <f>IF(H1525=0,IF(I1525=0,0,1),I1525/ABS(H1525))</f>
        <v/>
      </c>
      <c r="K1525" s="29">
        <f>H1525-(Data_thang!O1525-Data_thang!K1525)</f>
        <v/>
      </c>
      <c r="L1525">
        <f>IF(AND(ABS(I1525)&gt;Dashboard!$G$6,ABS(J1525)&gt;Dashboard!$H$6),"⚠ Vượt","")</f>
        <v/>
      </c>
      <c r="M1525">
        <f>IF(AND(A1525=Dashboard!$D$6,OR(Dashboard!$C$6="*",F1525=Dashboard!$C$6),L1525&lt;&gt;""),ABS(I1525)+ROW()/1000000000,0)</f>
        <v/>
      </c>
    </row>
    <row r="1526">
      <c r="A1526">
        <f>Data_thang!A1526</f>
        <v/>
      </c>
      <c r="B1526">
        <f>Data_thang!B1526</f>
        <v/>
      </c>
      <c r="C1526">
        <f>Data_thang!D1526</f>
        <v/>
      </c>
      <c r="D1526">
        <f>Data_thang!E1526</f>
        <v/>
      </c>
      <c r="E1526">
        <f>Data_thang!F1526</f>
        <v/>
      </c>
      <c r="F1526">
        <f>Data_thang!G1526</f>
        <v/>
      </c>
      <c r="G1526" s="29">
        <f>Data_thang!J1526-Data_thang!K1526</f>
        <v/>
      </c>
      <c r="H1526" s="29">
        <f>Data_thang!N1526</f>
        <v/>
      </c>
      <c r="I1526" s="29">
        <f>H1526-G1526</f>
        <v/>
      </c>
      <c r="J1526" s="30">
        <f>IF(H1526=0,IF(I1526=0,0,1),I1526/ABS(H1526))</f>
        <v/>
      </c>
      <c r="K1526" s="29">
        <f>H1526-(Data_thang!O1526-Data_thang!K1526)</f>
        <v/>
      </c>
      <c r="L1526">
        <f>IF(AND(ABS(I1526)&gt;Dashboard!$G$6,ABS(J1526)&gt;Dashboard!$H$6),"⚠ Vượt","")</f>
        <v/>
      </c>
      <c r="M1526">
        <f>IF(AND(A1526=Dashboard!$D$6,OR(Dashboard!$C$6="*",F1526=Dashboard!$C$6),L1526&lt;&gt;""),ABS(I1526)+ROW()/1000000000,0)</f>
        <v/>
      </c>
    </row>
    <row r="1527">
      <c r="A1527">
        <f>Data_thang!A1527</f>
        <v/>
      </c>
      <c r="B1527">
        <f>Data_thang!B1527</f>
        <v/>
      </c>
      <c r="C1527">
        <f>Data_thang!D1527</f>
        <v/>
      </c>
      <c r="D1527">
        <f>Data_thang!E1527</f>
        <v/>
      </c>
      <c r="E1527">
        <f>Data_thang!F1527</f>
        <v/>
      </c>
      <c r="F1527">
        <f>Data_thang!G1527</f>
        <v/>
      </c>
      <c r="G1527" s="29">
        <f>Data_thang!J1527-Data_thang!K1527</f>
        <v/>
      </c>
      <c r="H1527" s="29">
        <f>Data_thang!N1527</f>
        <v/>
      </c>
      <c r="I1527" s="29">
        <f>H1527-G1527</f>
        <v/>
      </c>
      <c r="J1527" s="30">
        <f>IF(H1527=0,IF(I1527=0,0,1),I1527/ABS(H1527))</f>
        <v/>
      </c>
      <c r="K1527" s="29">
        <f>H1527-(Data_thang!O1527-Data_thang!K1527)</f>
        <v/>
      </c>
      <c r="L1527">
        <f>IF(AND(ABS(I1527)&gt;Dashboard!$G$6,ABS(J1527)&gt;Dashboard!$H$6),"⚠ Vượt","")</f>
        <v/>
      </c>
      <c r="M1527">
        <f>IF(AND(A1527=Dashboard!$D$6,OR(Dashboard!$C$6="*",F1527=Dashboard!$C$6),L1527&lt;&gt;""),ABS(I1527)+ROW()/1000000000,0)</f>
        <v/>
      </c>
    </row>
    <row r="1528">
      <c r="A1528">
        <f>Data_thang!A1528</f>
        <v/>
      </c>
      <c r="B1528">
        <f>Data_thang!B1528</f>
        <v/>
      </c>
      <c r="C1528">
        <f>Data_thang!D1528</f>
        <v/>
      </c>
      <c r="D1528">
        <f>Data_thang!E1528</f>
        <v/>
      </c>
      <c r="E1528">
        <f>Data_thang!F1528</f>
        <v/>
      </c>
      <c r="F1528">
        <f>Data_thang!G1528</f>
        <v/>
      </c>
      <c r="G1528" s="29">
        <f>Data_thang!J1528-Data_thang!K1528</f>
        <v/>
      </c>
      <c r="H1528" s="29">
        <f>Data_thang!N1528</f>
        <v/>
      </c>
      <c r="I1528" s="29">
        <f>H1528-G1528</f>
        <v/>
      </c>
      <c r="J1528" s="30">
        <f>IF(H1528=0,IF(I1528=0,0,1),I1528/ABS(H1528))</f>
        <v/>
      </c>
      <c r="K1528" s="29">
        <f>H1528-(Data_thang!O1528-Data_thang!K1528)</f>
        <v/>
      </c>
      <c r="L1528">
        <f>IF(AND(ABS(I1528)&gt;Dashboard!$G$6,ABS(J1528)&gt;Dashboard!$H$6),"⚠ Vượt","")</f>
        <v/>
      </c>
      <c r="M1528">
        <f>IF(AND(A1528=Dashboard!$D$6,OR(Dashboard!$C$6="*",F1528=Dashboard!$C$6),L1528&lt;&gt;""),ABS(I1528)+ROW()/1000000000,0)</f>
        <v/>
      </c>
    </row>
    <row r="1529">
      <c r="A1529">
        <f>Data_thang!A1529</f>
        <v/>
      </c>
      <c r="B1529">
        <f>Data_thang!B1529</f>
        <v/>
      </c>
      <c r="C1529">
        <f>Data_thang!D1529</f>
        <v/>
      </c>
      <c r="D1529">
        <f>Data_thang!E1529</f>
        <v/>
      </c>
      <c r="E1529">
        <f>Data_thang!F1529</f>
        <v/>
      </c>
      <c r="F1529">
        <f>Data_thang!G1529</f>
        <v/>
      </c>
      <c r="G1529" s="29">
        <f>Data_thang!J1529-Data_thang!K1529</f>
        <v/>
      </c>
      <c r="H1529" s="29">
        <f>Data_thang!N1529</f>
        <v/>
      </c>
      <c r="I1529" s="29">
        <f>H1529-G1529</f>
        <v/>
      </c>
      <c r="J1529" s="30">
        <f>IF(H1529=0,IF(I1529=0,0,1),I1529/ABS(H1529))</f>
        <v/>
      </c>
      <c r="K1529" s="29">
        <f>H1529-(Data_thang!O1529-Data_thang!K1529)</f>
        <v/>
      </c>
      <c r="L1529">
        <f>IF(AND(ABS(I1529)&gt;Dashboard!$G$6,ABS(J1529)&gt;Dashboard!$H$6),"⚠ Vượt","")</f>
        <v/>
      </c>
      <c r="M1529">
        <f>IF(AND(A1529=Dashboard!$D$6,OR(Dashboard!$C$6="*",F1529=Dashboard!$C$6),L1529&lt;&gt;""),ABS(I1529)+ROW()/1000000000,0)</f>
        <v/>
      </c>
    </row>
    <row r="1530">
      <c r="A1530">
        <f>Data_thang!A1530</f>
        <v/>
      </c>
      <c r="B1530">
        <f>Data_thang!B1530</f>
        <v/>
      </c>
      <c r="C1530">
        <f>Data_thang!D1530</f>
        <v/>
      </c>
      <c r="D1530">
        <f>Data_thang!E1530</f>
        <v/>
      </c>
      <c r="E1530">
        <f>Data_thang!F1530</f>
        <v/>
      </c>
      <c r="F1530">
        <f>Data_thang!G1530</f>
        <v/>
      </c>
      <c r="G1530" s="29">
        <f>Data_thang!J1530-Data_thang!K1530</f>
        <v/>
      </c>
      <c r="H1530" s="29">
        <f>Data_thang!N1530</f>
        <v/>
      </c>
      <c r="I1530" s="29">
        <f>H1530-G1530</f>
        <v/>
      </c>
      <c r="J1530" s="30">
        <f>IF(H1530=0,IF(I1530=0,0,1),I1530/ABS(H1530))</f>
        <v/>
      </c>
      <c r="K1530" s="29">
        <f>H1530-(Data_thang!O1530-Data_thang!K1530)</f>
        <v/>
      </c>
      <c r="L1530">
        <f>IF(AND(ABS(I1530)&gt;Dashboard!$G$6,ABS(J1530)&gt;Dashboard!$H$6),"⚠ Vượt","")</f>
        <v/>
      </c>
      <c r="M1530">
        <f>IF(AND(A1530=Dashboard!$D$6,OR(Dashboard!$C$6="*",F1530=Dashboard!$C$6),L1530&lt;&gt;""),ABS(I1530)+ROW()/1000000000,0)</f>
        <v/>
      </c>
    </row>
    <row r="1531">
      <c r="A1531">
        <f>Data_thang!A1531</f>
        <v/>
      </c>
      <c r="B1531">
        <f>Data_thang!B1531</f>
        <v/>
      </c>
      <c r="C1531">
        <f>Data_thang!D1531</f>
        <v/>
      </c>
      <c r="D1531">
        <f>Data_thang!E1531</f>
        <v/>
      </c>
      <c r="E1531">
        <f>Data_thang!F1531</f>
        <v/>
      </c>
      <c r="F1531">
        <f>Data_thang!G1531</f>
        <v/>
      </c>
      <c r="G1531" s="29">
        <f>Data_thang!J1531-Data_thang!K1531</f>
        <v/>
      </c>
      <c r="H1531" s="29">
        <f>Data_thang!N1531</f>
        <v/>
      </c>
      <c r="I1531" s="29">
        <f>H1531-G1531</f>
        <v/>
      </c>
      <c r="J1531" s="30">
        <f>IF(H1531=0,IF(I1531=0,0,1),I1531/ABS(H1531))</f>
        <v/>
      </c>
      <c r="K1531" s="29">
        <f>H1531-(Data_thang!O1531-Data_thang!K1531)</f>
        <v/>
      </c>
      <c r="L1531">
        <f>IF(AND(ABS(I1531)&gt;Dashboard!$G$6,ABS(J1531)&gt;Dashboard!$H$6),"⚠ Vượt","")</f>
        <v/>
      </c>
      <c r="M1531">
        <f>IF(AND(A1531=Dashboard!$D$6,OR(Dashboard!$C$6="*",F1531=Dashboard!$C$6),L1531&lt;&gt;""),ABS(I1531)+ROW()/1000000000,0)</f>
        <v/>
      </c>
    </row>
    <row r="1532">
      <c r="A1532">
        <f>Data_thang!A1532</f>
        <v/>
      </c>
      <c r="B1532">
        <f>Data_thang!B1532</f>
        <v/>
      </c>
      <c r="C1532">
        <f>Data_thang!D1532</f>
        <v/>
      </c>
      <c r="D1532">
        <f>Data_thang!E1532</f>
        <v/>
      </c>
      <c r="E1532">
        <f>Data_thang!F1532</f>
        <v/>
      </c>
      <c r="F1532">
        <f>Data_thang!G1532</f>
        <v/>
      </c>
      <c r="G1532" s="29">
        <f>Data_thang!J1532-Data_thang!K1532</f>
        <v/>
      </c>
      <c r="H1532" s="29">
        <f>Data_thang!N1532</f>
        <v/>
      </c>
      <c r="I1532" s="29">
        <f>H1532-G1532</f>
        <v/>
      </c>
      <c r="J1532" s="30">
        <f>IF(H1532=0,IF(I1532=0,0,1),I1532/ABS(H1532))</f>
        <v/>
      </c>
      <c r="K1532" s="29">
        <f>H1532-(Data_thang!O1532-Data_thang!K1532)</f>
        <v/>
      </c>
      <c r="L1532">
        <f>IF(AND(ABS(I1532)&gt;Dashboard!$G$6,ABS(J1532)&gt;Dashboard!$H$6),"⚠ Vượt","")</f>
        <v/>
      </c>
      <c r="M1532">
        <f>IF(AND(A1532=Dashboard!$D$6,OR(Dashboard!$C$6="*",F1532=Dashboard!$C$6),L1532&lt;&gt;""),ABS(I1532)+ROW()/1000000000,0)</f>
        <v/>
      </c>
    </row>
    <row r="1533">
      <c r="A1533">
        <f>Data_thang!A1533</f>
        <v/>
      </c>
      <c r="B1533">
        <f>Data_thang!B1533</f>
        <v/>
      </c>
      <c r="C1533">
        <f>Data_thang!D1533</f>
        <v/>
      </c>
      <c r="D1533">
        <f>Data_thang!E1533</f>
        <v/>
      </c>
      <c r="E1533">
        <f>Data_thang!F1533</f>
        <v/>
      </c>
      <c r="F1533">
        <f>Data_thang!G1533</f>
        <v/>
      </c>
      <c r="G1533" s="29">
        <f>Data_thang!J1533-Data_thang!K1533</f>
        <v/>
      </c>
      <c r="H1533" s="29">
        <f>Data_thang!N1533</f>
        <v/>
      </c>
      <c r="I1533" s="29">
        <f>H1533-G1533</f>
        <v/>
      </c>
      <c r="J1533" s="30">
        <f>IF(H1533=0,IF(I1533=0,0,1),I1533/ABS(H1533))</f>
        <v/>
      </c>
      <c r="K1533" s="29">
        <f>H1533-(Data_thang!O1533-Data_thang!K1533)</f>
        <v/>
      </c>
      <c r="L1533">
        <f>IF(AND(ABS(I1533)&gt;Dashboard!$G$6,ABS(J1533)&gt;Dashboard!$H$6),"⚠ Vượt","")</f>
        <v/>
      </c>
      <c r="M1533">
        <f>IF(AND(A1533=Dashboard!$D$6,OR(Dashboard!$C$6="*",F1533=Dashboard!$C$6),L1533&lt;&gt;""),ABS(I1533)+ROW()/1000000000,0)</f>
        <v/>
      </c>
    </row>
    <row r="1534">
      <c r="A1534">
        <f>Data_thang!A1534</f>
        <v/>
      </c>
      <c r="B1534">
        <f>Data_thang!B1534</f>
        <v/>
      </c>
      <c r="C1534">
        <f>Data_thang!D1534</f>
        <v/>
      </c>
      <c r="D1534">
        <f>Data_thang!E1534</f>
        <v/>
      </c>
      <c r="E1534">
        <f>Data_thang!F1534</f>
        <v/>
      </c>
      <c r="F1534">
        <f>Data_thang!G1534</f>
        <v/>
      </c>
      <c r="G1534" s="29">
        <f>Data_thang!J1534-Data_thang!K1534</f>
        <v/>
      </c>
      <c r="H1534" s="29">
        <f>Data_thang!N1534</f>
        <v/>
      </c>
      <c r="I1534" s="29">
        <f>H1534-G1534</f>
        <v/>
      </c>
      <c r="J1534" s="30">
        <f>IF(H1534=0,IF(I1534=0,0,1),I1534/ABS(H1534))</f>
        <v/>
      </c>
      <c r="K1534" s="29">
        <f>H1534-(Data_thang!O1534-Data_thang!K1534)</f>
        <v/>
      </c>
      <c r="L1534">
        <f>IF(AND(ABS(I1534)&gt;Dashboard!$G$6,ABS(J1534)&gt;Dashboard!$H$6),"⚠ Vượt","")</f>
        <v/>
      </c>
      <c r="M1534">
        <f>IF(AND(A1534=Dashboard!$D$6,OR(Dashboard!$C$6="*",F1534=Dashboard!$C$6),L1534&lt;&gt;""),ABS(I1534)+ROW()/1000000000,0)</f>
        <v/>
      </c>
    </row>
    <row r="1535">
      <c r="A1535">
        <f>Data_thang!A1535</f>
        <v/>
      </c>
      <c r="B1535">
        <f>Data_thang!B1535</f>
        <v/>
      </c>
      <c r="C1535">
        <f>Data_thang!D1535</f>
        <v/>
      </c>
      <c r="D1535">
        <f>Data_thang!E1535</f>
        <v/>
      </c>
      <c r="E1535">
        <f>Data_thang!F1535</f>
        <v/>
      </c>
      <c r="F1535">
        <f>Data_thang!G1535</f>
        <v/>
      </c>
      <c r="G1535" s="29">
        <f>Data_thang!J1535-Data_thang!K1535</f>
        <v/>
      </c>
      <c r="H1535" s="29">
        <f>Data_thang!N1535</f>
        <v/>
      </c>
      <c r="I1535" s="29">
        <f>H1535-G1535</f>
        <v/>
      </c>
      <c r="J1535" s="30">
        <f>IF(H1535=0,IF(I1535=0,0,1),I1535/ABS(H1535))</f>
        <v/>
      </c>
      <c r="K1535" s="29">
        <f>H1535-(Data_thang!O1535-Data_thang!K1535)</f>
        <v/>
      </c>
      <c r="L1535">
        <f>IF(AND(ABS(I1535)&gt;Dashboard!$G$6,ABS(J1535)&gt;Dashboard!$H$6),"⚠ Vượt","")</f>
        <v/>
      </c>
      <c r="M1535">
        <f>IF(AND(A1535=Dashboard!$D$6,OR(Dashboard!$C$6="*",F1535=Dashboard!$C$6),L1535&lt;&gt;""),ABS(I1535)+ROW()/1000000000,0)</f>
        <v/>
      </c>
    </row>
    <row r="1536">
      <c r="A1536">
        <f>Data_thang!A1536</f>
        <v/>
      </c>
      <c r="B1536">
        <f>Data_thang!B1536</f>
        <v/>
      </c>
      <c r="C1536">
        <f>Data_thang!D1536</f>
        <v/>
      </c>
      <c r="D1536">
        <f>Data_thang!E1536</f>
        <v/>
      </c>
      <c r="E1536">
        <f>Data_thang!F1536</f>
        <v/>
      </c>
      <c r="F1536">
        <f>Data_thang!G1536</f>
        <v/>
      </c>
      <c r="G1536" s="29">
        <f>Data_thang!J1536-Data_thang!K1536</f>
        <v/>
      </c>
      <c r="H1536" s="29">
        <f>Data_thang!N1536</f>
        <v/>
      </c>
      <c r="I1536" s="29">
        <f>H1536-G1536</f>
        <v/>
      </c>
      <c r="J1536" s="30">
        <f>IF(H1536=0,IF(I1536=0,0,1),I1536/ABS(H1536))</f>
        <v/>
      </c>
      <c r="K1536" s="29">
        <f>H1536-(Data_thang!O1536-Data_thang!K1536)</f>
        <v/>
      </c>
      <c r="L1536">
        <f>IF(AND(ABS(I1536)&gt;Dashboard!$G$6,ABS(J1536)&gt;Dashboard!$H$6),"⚠ Vượt","")</f>
        <v/>
      </c>
      <c r="M1536">
        <f>IF(AND(A1536=Dashboard!$D$6,OR(Dashboard!$C$6="*",F1536=Dashboard!$C$6),L1536&lt;&gt;""),ABS(I1536)+ROW()/1000000000,0)</f>
        <v/>
      </c>
    </row>
    <row r="1537">
      <c r="A1537">
        <f>Data_thang!A1537</f>
        <v/>
      </c>
      <c r="B1537">
        <f>Data_thang!B1537</f>
        <v/>
      </c>
      <c r="C1537">
        <f>Data_thang!D1537</f>
        <v/>
      </c>
      <c r="D1537">
        <f>Data_thang!E1537</f>
        <v/>
      </c>
      <c r="E1537">
        <f>Data_thang!F1537</f>
        <v/>
      </c>
      <c r="F1537">
        <f>Data_thang!G1537</f>
        <v/>
      </c>
      <c r="G1537" s="29">
        <f>Data_thang!J1537-Data_thang!K1537</f>
        <v/>
      </c>
      <c r="H1537" s="29">
        <f>Data_thang!N1537</f>
        <v/>
      </c>
      <c r="I1537" s="29">
        <f>H1537-G1537</f>
        <v/>
      </c>
      <c r="J1537" s="30">
        <f>IF(H1537=0,IF(I1537=0,0,1),I1537/ABS(H1537))</f>
        <v/>
      </c>
      <c r="K1537" s="29">
        <f>H1537-(Data_thang!O1537-Data_thang!K1537)</f>
        <v/>
      </c>
      <c r="L1537">
        <f>IF(AND(ABS(I1537)&gt;Dashboard!$G$6,ABS(J1537)&gt;Dashboard!$H$6),"⚠ Vượt","")</f>
        <v/>
      </c>
      <c r="M1537">
        <f>IF(AND(A1537=Dashboard!$D$6,OR(Dashboard!$C$6="*",F1537=Dashboard!$C$6),L1537&lt;&gt;""),ABS(I1537)+ROW()/1000000000,0)</f>
        <v/>
      </c>
    </row>
    <row r="1538">
      <c r="A1538">
        <f>Data_thang!A1538</f>
        <v/>
      </c>
      <c r="B1538">
        <f>Data_thang!B1538</f>
        <v/>
      </c>
      <c r="C1538">
        <f>Data_thang!D1538</f>
        <v/>
      </c>
      <c r="D1538">
        <f>Data_thang!E1538</f>
        <v/>
      </c>
      <c r="E1538">
        <f>Data_thang!F1538</f>
        <v/>
      </c>
      <c r="F1538">
        <f>Data_thang!G1538</f>
        <v/>
      </c>
      <c r="G1538" s="29">
        <f>Data_thang!J1538-Data_thang!K1538</f>
        <v/>
      </c>
      <c r="H1538" s="29">
        <f>Data_thang!N1538</f>
        <v/>
      </c>
      <c r="I1538" s="29">
        <f>H1538-G1538</f>
        <v/>
      </c>
      <c r="J1538" s="30">
        <f>IF(H1538=0,IF(I1538=0,0,1),I1538/ABS(H1538))</f>
        <v/>
      </c>
      <c r="K1538" s="29">
        <f>H1538-(Data_thang!O1538-Data_thang!K1538)</f>
        <v/>
      </c>
      <c r="L1538">
        <f>IF(AND(ABS(I1538)&gt;Dashboard!$G$6,ABS(J1538)&gt;Dashboard!$H$6),"⚠ Vượt","")</f>
        <v/>
      </c>
      <c r="M1538">
        <f>IF(AND(A1538=Dashboard!$D$6,OR(Dashboard!$C$6="*",F1538=Dashboard!$C$6),L1538&lt;&gt;""),ABS(I1538)+ROW()/1000000000,0)</f>
        <v/>
      </c>
    </row>
    <row r="1539">
      <c r="A1539">
        <f>Data_thang!A1539</f>
        <v/>
      </c>
      <c r="B1539">
        <f>Data_thang!B1539</f>
        <v/>
      </c>
      <c r="C1539">
        <f>Data_thang!D1539</f>
        <v/>
      </c>
      <c r="D1539">
        <f>Data_thang!E1539</f>
        <v/>
      </c>
      <c r="E1539">
        <f>Data_thang!F1539</f>
        <v/>
      </c>
      <c r="F1539">
        <f>Data_thang!G1539</f>
        <v/>
      </c>
      <c r="G1539" s="29">
        <f>Data_thang!J1539-Data_thang!K1539</f>
        <v/>
      </c>
      <c r="H1539" s="29">
        <f>Data_thang!N1539</f>
        <v/>
      </c>
      <c r="I1539" s="29">
        <f>H1539-G1539</f>
        <v/>
      </c>
      <c r="J1539" s="30">
        <f>IF(H1539=0,IF(I1539=0,0,1),I1539/ABS(H1539))</f>
        <v/>
      </c>
      <c r="K1539" s="29">
        <f>H1539-(Data_thang!O1539-Data_thang!K1539)</f>
        <v/>
      </c>
      <c r="L1539">
        <f>IF(AND(ABS(I1539)&gt;Dashboard!$G$6,ABS(J1539)&gt;Dashboard!$H$6),"⚠ Vượt","")</f>
        <v/>
      </c>
      <c r="M1539">
        <f>IF(AND(A1539=Dashboard!$D$6,OR(Dashboard!$C$6="*",F1539=Dashboard!$C$6),L1539&lt;&gt;""),ABS(I1539)+ROW()/1000000000,0)</f>
        <v/>
      </c>
    </row>
    <row r="1540">
      <c r="A1540">
        <f>Data_thang!A1540</f>
        <v/>
      </c>
      <c r="B1540">
        <f>Data_thang!B1540</f>
        <v/>
      </c>
      <c r="C1540">
        <f>Data_thang!D1540</f>
        <v/>
      </c>
      <c r="D1540">
        <f>Data_thang!E1540</f>
        <v/>
      </c>
      <c r="E1540">
        <f>Data_thang!F1540</f>
        <v/>
      </c>
      <c r="F1540">
        <f>Data_thang!G1540</f>
        <v/>
      </c>
      <c r="G1540" s="29">
        <f>Data_thang!J1540-Data_thang!K1540</f>
        <v/>
      </c>
      <c r="H1540" s="29">
        <f>Data_thang!N1540</f>
        <v/>
      </c>
      <c r="I1540" s="29">
        <f>H1540-G1540</f>
        <v/>
      </c>
      <c r="J1540" s="30">
        <f>IF(H1540=0,IF(I1540=0,0,1),I1540/ABS(H1540))</f>
        <v/>
      </c>
      <c r="K1540" s="29">
        <f>H1540-(Data_thang!O1540-Data_thang!K1540)</f>
        <v/>
      </c>
      <c r="L1540">
        <f>IF(AND(ABS(I1540)&gt;Dashboard!$G$6,ABS(J1540)&gt;Dashboard!$H$6),"⚠ Vượt","")</f>
        <v/>
      </c>
      <c r="M1540">
        <f>IF(AND(A1540=Dashboard!$D$6,OR(Dashboard!$C$6="*",F1540=Dashboard!$C$6),L1540&lt;&gt;""),ABS(I1540)+ROW()/1000000000,0)</f>
        <v/>
      </c>
    </row>
    <row r="1541">
      <c r="A1541">
        <f>Data_thang!A1541</f>
        <v/>
      </c>
      <c r="B1541">
        <f>Data_thang!B1541</f>
        <v/>
      </c>
      <c r="C1541">
        <f>Data_thang!D1541</f>
        <v/>
      </c>
      <c r="D1541">
        <f>Data_thang!E1541</f>
        <v/>
      </c>
      <c r="E1541">
        <f>Data_thang!F1541</f>
        <v/>
      </c>
      <c r="F1541">
        <f>Data_thang!G1541</f>
        <v/>
      </c>
      <c r="G1541" s="29">
        <f>Data_thang!J1541-Data_thang!K1541</f>
        <v/>
      </c>
      <c r="H1541" s="29">
        <f>Data_thang!N1541</f>
        <v/>
      </c>
      <c r="I1541" s="29">
        <f>H1541-G1541</f>
        <v/>
      </c>
      <c r="J1541" s="30">
        <f>IF(H1541=0,IF(I1541=0,0,1),I1541/ABS(H1541))</f>
        <v/>
      </c>
      <c r="K1541" s="29">
        <f>H1541-(Data_thang!O1541-Data_thang!K1541)</f>
        <v/>
      </c>
      <c r="L1541">
        <f>IF(AND(ABS(I1541)&gt;Dashboard!$G$6,ABS(J1541)&gt;Dashboard!$H$6),"⚠ Vượt","")</f>
        <v/>
      </c>
      <c r="M1541">
        <f>IF(AND(A1541=Dashboard!$D$6,OR(Dashboard!$C$6="*",F1541=Dashboard!$C$6),L1541&lt;&gt;""),ABS(I1541)+ROW()/1000000000,0)</f>
        <v/>
      </c>
    </row>
    <row r="1542">
      <c r="A1542">
        <f>Data_thang!A1542</f>
        <v/>
      </c>
      <c r="B1542">
        <f>Data_thang!B1542</f>
        <v/>
      </c>
      <c r="C1542">
        <f>Data_thang!D1542</f>
        <v/>
      </c>
      <c r="D1542">
        <f>Data_thang!E1542</f>
        <v/>
      </c>
      <c r="E1542">
        <f>Data_thang!F1542</f>
        <v/>
      </c>
      <c r="F1542">
        <f>Data_thang!G1542</f>
        <v/>
      </c>
      <c r="G1542" s="29">
        <f>Data_thang!J1542-Data_thang!K1542</f>
        <v/>
      </c>
      <c r="H1542" s="29">
        <f>Data_thang!N1542</f>
        <v/>
      </c>
      <c r="I1542" s="29">
        <f>H1542-G1542</f>
        <v/>
      </c>
      <c r="J1542" s="30">
        <f>IF(H1542=0,IF(I1542=0,0,1),I1542/ABS(H1542))</f>
        <v/>
      </c>
      <c r="K1542" s="29">
        <f>H1542-(Data_thang!O1542-Data_thang!K1542)</f>
        <v/>
      </c>
      <c r="L1542">
        <f>IF(AND(ABS(I1542)&gt;Dashboard!$G$6,ABS(J1542)&gt;Dashboard!$H$6),"⚠ Vượt","")</f>
        <v/>
      </c>
      <c r="M1542">
        <f>IF(AND(A1542=Dashboard!$D$6,OR(Dashboard!$C$6="*",F1542=Dashboard!$C$6),L1542&lt;&gt;""),ABS(I1542)+ROW()/1000000000,0)</f>
        <v/>
      </c>
    </row>
    <row r="1543">
      <c r="A1543">
        <f>Data_thang!A1543</f>
        <v/>
      </c>
      <c r="B1543">
        <f>Data_thang!B1543</f>
        <v/>
      </c>
      <c r="C1543">
        <f>Data_thang!D1543</f>
        <v/>
      </c>
      <c r="D1543">
        <f>Data_thang!E1543</f>
        <v/>
      </c>
      <c r="E1543">
        <f>Data_thang!F1543</f>
        <v/>
      </c>
      <c r="F1543">
        <f>Data_thang!G1543</f>
        <v/>
      </c>
      <c r="G1543" s="29">
        <f>Data_thang!J1543-Data_thang!K1543</f>
        <v/>
      </c>
      <c r="H1543" s="29">
        <f>Data_thang!N1543</f>
        <v/>
      </c>
      <c r="I1543" s="29">
        <f>H1543-G1543</f>
        <v/>
      </c>
      <c r="J1543" s="30">
        <f>IF(H1543=0,IF(I1543=0,0,1),I1543/ABS(H1543))</f>
        <v/>
      </c>
      <c r="K1543" s="29">
        <f>H1543-(Data_thang!O1543-Data_thang!K1543)</f>
        <v/>
      </c>
      <c r="L1543">
        <f>IF(AND(ABS(I1543)&gt;Dashboard!$G$6,ABS(J1543)&gt;Dashboard!$H$6),"⚠ Vượt","")</f>
        <v/>
      </c>
      <c r="M1543">
        <f>IF(AND(A1543=Dashboard!$D$6,OR(Dashboard!$C$6="*",F1543=Dashboard!$C$6),L1543&lt;&gt;""),ABS(I1543)+ROW()/1000000000,0)</f>
        <v/>
      </c>
    </row>
    <row r="1544">
      <c r="A1544">
        <f>Data_thang!A1544</f>
        <v/>
      </c>
      <c r="B1544">
        <f>Data_thang!B1544</f>
        <v/>
      </c>
      <c r="C1544">
        <f>Data_thang!D1544</f>
        <v/>
      </c>
      <c r="D1544">
        <f>Data_thang!E1544</f>
        <v/>
      </c>
      <c r="E1544">
        <f>Data_thang!F1544</f>
        <v/>
      </c>
      <c r="F1544">
        <f>Data_thang!G1544</f>
        <v/>
      </c>
      <c r="G1544" s="29">
        <f>Data_thang!J1544-Data_thang!K1544</f>
        <v/>
      </c>
      <c r="H1544" s="29">
        <f>Data_thang!N1544</f>
        <v/>
      </c>
      <c r="I1544" s="29">
        <f>H1544-G1544</f>
        <v/>
      </c>
      <c r="J1544" s="30">
        <f>IF(H1544=0,IF(I1544=0,0,1),I1544/ABS(H1544))</f>
        <v/>
      </c>
      <c r="K1544" s="29">
        <f>H1544-(Data_thang!O1544-Data_thang!K1544)</f>
        <v/>
      </c>
      <c r="L1544">
        <f>IF(AND(ABS(I1544)&gt;Dashboard!$G$6,ABS(J1544)&gt;Dashboard!$H$6),"⚠ Vượt","")</f>
        <v/>
      </c>
      <c r="M1544">
        <f>IF(AND(A1544=Dashboard!$D$6,OR(Dashboard!$C$6="*",F1544=Dashboard!$C$6),L1544&lt;&gt;""),ABS(I1544)+ROW()/1000000000,0)</f>
        <v/>
      </c>
    </row>
    <row r="1545">
      <c r="A1545">
        <f>Data_thang!A1545</f>
        <v/>
      </c>
      <c r="B1545">
        <f>Data_thang!B1545</f>
        <v/>
      </c>
      <c r="C1545">
        <f>Data_thang!D1545</f>
        <v/>
      </c>
      <c r="D1545">
        <f>Data_thang!E1545</f>
        <v/>
      </c>
      <c r="E1545">
        <f>Data_thang!F1545</f>
        <v/>
      </c>
      <c r="F1545">
        <f>Data_thang!G1545</f>
        <v/>
      </c>
      <c r="G1545" s="29">
        <f>Data_thang!J1545-Data_thang!K1545</f>
        <v/>
      </c>
      <c r="H1545" s="29">
        <f>Data_thang!N1545</f>
        <v/>
      </c>
      <c r="I1545" s="29">
        <f>H1545-G1545</f>
        <v/>
      </c>
      <c r="J1545" s="30">
        <f>IF(H1545=0,IF(I1545=0,0,1),I1545/ABS(H1545))</f>
        <v/>
      </c>
      <c r="K1545" s="29">
        <f>H1545-(Data_thang!O1545-Data_thang!K1545)</f>
        <v/>
      </c>
      <c r="L1545">
        <f>IF(AND(ABS(I1545)&gt;Dashboard!$G$6,ABS(J1545)&gt;Dashboard!$H$6),"⚠ Vượt","")</f>
        <v/>
      </c>
      <c r="M1545">
        <f>IF(AND(A1545=Dashboard!$D$6,OR(Dashboard!$C$6="*",F1545=Dashboard!$C$6),L1545&lt;&gt;""),ABS(I1545)+ROW()/1000000000,0)</f>
        <v/>
      </c>
    </row>
    <row r="1546">
      <c r="A1546">
        <f>Data_thang!A1546</f>
        <v/>
      </c>
      <c r="B1546">
        <f>Data_thang!B1546</f>
        <v/>
      </c>
      <c r="C1546">
        <f>Data_thang!D1546</f>
        <v/>
      </c>
      <c r="D1546">
        <f>Data_thang!E1546</f>
        <v/>
      </c>
      <c r="E1546">
        <f>Data_thang!F1546</f>
        <v/>
      </c>
      <c r="F1546">
        <f>Data_thang!G1546</f>
        <v/>
      </c>
      <c r="G1546" s="29">
        <f>Data_thang!J1546-Data_thang!K1546</f>
        <v/>
      </c>
      <c r="H1546" s="29">
        <f>Data_thang!N1546</f>
        <v/>
      </c>
      <c r="I1546" s="29">
        <f>H1546-G1546</f>
        <v/>
      </c>
      <c r="J1546" s="30">
        <f>IF(H1546=0,IF(I1546=0,0,1),I1546/ABS(H1546))</f>
        <v/>
      </c>
      <c r="K1546" s="29">
        <f>H1546-(Data_thang!O1546-Data_thang!K1546)</f>
        <v/>
      </c>
      <c r="L1546">
        <f>IF(AND(ABS(I1546)&gt;Dashboard!$G$6,ABS(J1546)&gt;Dashboard!$H$6),"⚠ Vượt","")</f>
        <v/>
      </c>
      <c r="M1546">
        <f>IF(AND(A1546=Dashboard!$D$6,OR(Dashboard!$C$6="*",F1546=Dashboard!$C$6),L1546&lt;&gt;""),ABS(I1546)+ROW()/1000000000,0)</f>
        <v/>
      </c>
    </row>
    <row r="1547">
      <c r="A1547">
        <f>Data_thang!A1547</f>
        <v/>
      </c>
      <c r="B1547">
        <f>Data_thang!B1547</f>
        <v/>
      </c>
      <c r="C1547">
        <f>Data_thang!D1547</f>
        <v/>
      </c>
      <c r="D1547">
        <f>Data_thang!E1547</f>
        <v/>
      </c>
      <c r="E1547">
        <f>Data_thang!F1547</f>
        <v/>
      </c>
      <c r="F1547">
        <f>Data_thang!G1547</f>
        <v/>
      </c>
      <c r="G1547" s="29">
        <f>Data_thang!J1547-Data_thang!K1547</f>
        <v/>
      </c>
      <c r="H1547" s="29">
        <f>Data_thang!N1547</f>
        <v/>
      </c>
      <c r="I1547" s="29">
        <f>H1547-G1547</f>
        <v/>
      </c>
      <c r="J1547" s="30">
        <f>IF(H1547=0,IF(I1547=0,0,1),I1547/ABS(H1547))</f>
        <v/>
      </c>
      <c r="K1547" s="29">
        <f>H1547-(Data_thang!O1547-Data_thang!K1547)</f>
        <v/>
      </c>
      <c r="L1547">
        <f>IF(AND(ABS(I1547)&gt;Dashboard!$G$6,ABS(J1547)&gt;Dashboard!$H$6),"⚠ Vượt","")</f>
        <v/>
      </c>
      <c r="M1547">
        <f>IF(AND(A1547=Dashboard!$D$6,OR(Dashboard!$C$6="*",F1547=Dashboard!$C$6),L1547&lt;&gt;""),ABS(I1547)+ROW()/1000000000,0)</f>
        <v/>
      </c>
    </row>
    <row r="1548">
      <c r="A1548">
        <f>Data_thang!A1548</f>
        <v/>
      </c>
      <c r="B1548">
        <f>Data_thang!B1548</f>
        <v/>
      </c>
      <c r="C1548">
        <f>Data_thang!D1548</f>
        <v/>
      </c>
      <c r="D1548">
        <f>Data_thang!E1548</f>
        <v/>
      </c>
      <c r="E1548">
        <f>Data_thang!F1548</f>
        <v/>
      </c>
      <c r="F1548">
        <f>Data_thang!G1548</f>
        <v/>
      </c>
      <c r="G1548" s="29">
        <f>Data_thang!J1548-Data_thang!K1548</f>
        <v/>
      </c>
      <c r="H1548" s="29">
        <f>Data_thang!N1548</f>
        <v/>
      </c>
      <c r="I1548" s="29">
        <f>H1548-G1548</f>
        <v/>
      </c>
      <c r="J1548" s="30">
        <f>IF(H1548=0,IF(I1548=0,0,1),I1548/ABS(H1548))</f>
        <v/>
      </c>
      <c r="K1548" s="29">
        <f>H1548-(Data_thang!O1548-Data_thang!K1548)</f>
        <v/>
      </c>
      <c r="L1548">
        <f>IF(AND(ABS(I1548)&gt;Dashboard!$G$6,ABS(J1548)&gt;Dashboard!$H$6),"⚠ Vượt","")</f>
        <v/>
      </c>
      <c r="M1548">
        <f>IF(AND(A1548=Dashboard!$D$6,OR(Dashboard!$C$6="*",F1548=Dashboard!$C$6),L1548&lt;&gt;""),ABS(I1548)+ROW()/1000000000,0)</f>
        <v/>
      </c>
    </row>
    <row r="1549">
      <c r="A1549">
        <f>Data_thang!A1549</f>
        <v/>
      </c>
      <c r="B1549">
        <f>Data_thang!B1549</f>
        <v/>
      </c>
      <c r="C1549">
        <f>Data_thang!D1549</f>
        <v/>
      </c>
      <c r="D1549">
        <f>Data_thang!E1549</f>
        <v/>
      </c>
      <c r="E1549">
        <f>Data_thang!F1549</f>
        <v/>
      </c>
      <c r="F1549">
        <f>Data_thang!G1549</f>
        <v/>
      </c>
      <c r="G1549" s="29">
        <f>Data_thang!J1549-Data_thang!K1549</f>
        <v/>
      </c>
      <c r="H1549" s="29">
        <f>Data_thang!N1549</f>
        <v/>
      </c>
      <c r="I1549" s="29">
        <f>H1549-G1549</f>
        <v/>
      </c>
      <c r="J1549" s="30">
        <f>IF(H1549=0,IF(I1549=0,0,1),I1549/ABS(H1549))</f>
        <v/>
      </c>
      <c r="K1549" s="29">
        <f>H1549-(Data_thang!O1549-Data_thang!K1549)</f>
        <v/>
      </c>
      <c r="L1549">
        <f>IF(AND(ABS(I1549)&gt;Dashboard!$G$6,ABS(J1549)&gt;Dashboard!$H$6),"⚠ Vượt","")</f>
        <v/>
      </c>
      <c r="M1549">
        <f>IF(AND(A1549=Dashboard!$D$6,OR(Dashboard!$C$6="*",F1549=Dashboard!$C$6),L1549&lt;&gt;""),ABS(I1549)+ROW()/1000000000,0)</f>
        <v/>
      </c>
    </row>
    <row r="1550">
      <c r="A1550">
        <f>Data_thang!A1550</f>
        <v/>
      </c>
      <c r="B1550">
        <f>Data_thang!B1550</f>
        <v/>
      </c>
      <c r="C1550">
        <f>Data_thang!D1550</f>
        <v/>
      </c>
      <c r="D1550">
        <f>Data_thang!E1550</f>
        <v/>
      </c>
      <c r="E1550">
        <f>Data_thang!F1550</f>
        <v/>
      </c>
      <c r="F1550">
        <f>Data_thang!G1550</f>
        <v/>
      </c>
      <c r="G1550" s="29">
        <f>Data_thang!J1550-Data_thang!K1550</f>
        <v/>
      </c>
      <c r="H1550" s="29">
        <f>Data_thang!N1550</f>
        <v/>
      </c>
      <c r="I1550" s="29">
        <f>H1550-G1550</f>
        <v/>
      </c>
      <c r="J1550" s="30">
        <f>IF(H1550=0,IF(I1550=0,0,1),I1550/ABS(H1550))</f>
        <v/>
      </c>
      <c r="K1550" s="29">
        <f>H1550-(Data_thang!O1550-Data_thang!K1550)</f>
        <v/>
      </c>
      <c r="L1550">
        <f>IF(AND(ABS(I1550)&gt;Dashboard!$G$6,ABS(J1550)&gt;Dashboard!$H$6),"⚠ Vượt","")</f>
        <v/>
      </c>
      <c r="M1550">
        <f>IF(AND(A1550=Dashboard!$D$6,OR(Dashboard!$C$6="*",F1550=Dashboard!$C$6),L1550&lt;&gt;""),ABS(I1550)+ROW()/1000000000,0)</f>
        <v/>
      </c>
    </row>
    <row r="1551">
      <c r="A1551">
        <f>Data_thang!A1551</f>
        <v/>
      </c>
      <c r="B1551">
        <f>Data_thang!B1551</f>
        <v/>
      </c>
      <c r="C1551">
        <f>Data_thang!D1551</f>
        <v/>
      </c>
      <c r="D1551">
        <f>Data_thang!E1551</f>
        <v/>
      </c>
      <c r="E1551">
        <f>Data_thang!F1551</f>
        <v/>
      </c>
      <c r="F1551">
        <f>Data_thang!G1551</f>
        <v/>
      </c>
      <c r="G1551" s="29">
        <f>Data_thang!J1551-Data_thang!K1551</f>
        <v/>
      </c>
      <c r="H1551" s="29">
        <f>Data_thang!N1551</f>
        <v/>
      </c>
      <c r="I1551" s="29">
        <f>H1551-G1551</f>
        <v/>
      </c>
      <c r="J1551" s="30">
        <f>IF(H1551=0,IF(I1551=0,0,1),I1551/ABS(H1551))</f>
        <v/>
      </c>
      <c r="K1551" s="29">
        <f>H1551-(Data_thang!O1551-Data_thang!K1551)</f>
        <v/>
      </c>
      <c r="L1551">
        <f>IF(AND(ABS(I1551)&gt;Dashboard!$G$6,ABS(J1551)&gt;Dashboard!$H$6),"⚠ Vượt","")</f>
        <v/>
      </c>
      <c r="M1551">
        <f>IF(AND(A1551=Dashboard!$D$6,OR(Dashboard!$C$6="*",F1551=Dashboard!$C$6),L1551&lt;&gt;""),ABS(I1551)+ROW()/1000000000,0)</f>
        <v/>
      </c>
    </row>
    <row r="1552">
      <c r="A1552">
        <f>Data_thang!A1552</f>
        <v/>
      </c>
      <c r="B1552">
        <f>Data_thang!B1552</f>
        <v/>
      </c>
      <c r="C1552">
        <f>Data_thang!D1552</f>
        <v/>
      </c>
      <c r="D1552">
        <f>Data_thang!E1552</f>
        <v/>
      </c>
      <c r="E1552">
        <f>Data_thang!F1552</f>
        <v/>
      </c>
      <c r="F1552">
        <f>Data_thang!G1552</f>
        <v/>
      </c>
      <c r="G1552" s="29">
        <f>Data_thang!J1552-Data_thang!K1552</f>
        <v/>
      </c>
      <c r="H1552" s="29">
        <f>Data_thang!N1552</f>
        <v/>
      </c>
      <c r="I1552" s="29">
        <f>H1552-G1552</f>
        <v/>
      </c>
      <c r="J1552" s="30">
        <f>IF(H1552=0,IF(I1552=0,0,1),I1552/ABS(H1552))</f>
        <v/>
      </c>
      <c r="K1552" s="29">
        <f>H1552-(Data_thang!O1552-Data_thang!K1552)</f>
        <v/>
      </c>
      <c r="L1552">
        <f>IF(AND(ABS(I1552)&gt;Dashboard!$G$6,ABS(J1552)&gt;Dashboard!$H$6),"⚠ Vượt","")</f>
        <v/>
      </c>
      <c r="M1552">
        <f>IF(AND(A1552=Dashboard!$D$6,OR(Dashboard!$C$6="*",F1552=Dashboard!$C$6),L1552&lt;&gt;""),ABS(I1552)+ROW()/1000000000,0)</f>
        <v/>
      </c>
    </row>
    <row r="1553">
      <c r="A1553">
        <f>Data_thang!A1553</f>
        <v/>
      </c>
      <c r="B1553">
        <f>Data_thang!B1553</f>
        <v/>
      </c>
      <c r="C1553">
        <f>Data_thang!D1553</f>
        <v/>
      </c>
      <c r="D1553">
        <f>Data_thang!E1553</f>
        <v/>
      </c>
      <c r="E1553">
        <f>Data_thang!F1553</f>
        <v/>
      </c>
      <c r="F1553">
        <f>Data_thang!G1553</f>
        <v/>
      </c>
      <c r="G1553" s="29">
        <f>Data_thang!J1553-Data_thang!K1553</f>
        <v/>
      </c>
      <c r="H1553" s="29">
        <f>Data_thang!N1553</f>
        <v/>
      </c>
      <c r="I1553" s="29">
        <f>H1553-G1553</f>
        <v/>
      </c>
      <c r="J1553" s="30">
        <f>IF(H1553=0,IF(I1553=0,0,1),I1553/ABS(H1553))</f>
        <v/>
      </c>
      <c r="K1553" s="29">
        <f>H1553-(Data_thang!O1553-Data_thang!K1553)</f>
        <v/>
      </c>
      <c r="L1553">
        <f>IF(AND(ABS(I1553)&gt;Dashboard!$G$6,ABS(J1553)&gt;Dashboard!$H$6),"⚠ Vượt","")</f>
        <v/>
      </c>
      <c r="M1553">
        <f>IF(AND(A1553=Dashboard!$D$6,OR(Dashboard!$C$6="*",F1553=Dashboard!$C$6),L1553&lt;&gt;""),ABS(I1553)+ROW()/1000000000,0)</f>
        <v/>
      </c>
    </row>
    <row r="1554">
      <c r="A1554">
        <f>Data_thang!A1554</f>
        <v/>
      </c>
      <c r="B1554">
        <f>Data_thang!B1554</f>
        <v/>
      </c>
      <c r="C1554">
        <f>Data_thang!D1554</f>
        <v/>
      </c>
      <c r="D1554">
        <f>Data_thang!E1554</f>
        <v/>
      </c>
      <c r="E1554">
        <f>Data_thang!F1554</f>
        <v/>
      </c>
      <c r="F1554">
        <f>Data_thang!G1554</f>
        <v/>
      </c>
      <c r="G1554" s="29">
        <f>Data_thang!J1554-Data_thang!K1554</f>
        <v/>
      </c>
      <c r="H1554" s="29">
        <f>Data_thang!N1554</f>
        <v/>
      </c>
      <c r="I1554" s="29">
        <f>H1554-G1554</f>
        <v/>
      </c>
      <c r="J1554" s="30">
        <f>IF(H1554=0,IF(I1554=0,0,1),I1554/ABS(H1554))</f>
        <v/>
      </c>
      <c r="K1554" s="29">
        <f>H1554-(Data_thang!O1554-Data_thang!K1554)</f>
        <v/>
      </c>
      <c r="L1554">
        <f>IF(AND(ABS(I1554)&gt;Dashboard!$G$6,ABS(J1554)&gt;Dashboard!$H$6),"⚠ Vượt","")</f>
        <v/>
      </c>
      <c r="M1554">
        <f>IF(AND(A1554=Dashboard!$D$6,OR(Dashboard!$C$6="*",F1554=Dashboard!$C$6),L1554&lt;&gt;""),ABS(I1554)+ROW()/1000000000,0)</f>
        <v/>
      </c>
    </row>
    <row r="1555">
      <c r="A1555">
        <f>Data_thang!A1555</f>
        <v/>
      </c>
      <c r="B1555">
        <f>Data_thang!B1555</f>
        <v/>
      </c>
      <c r="C1555">
        <f>Data_thang!D1555</f>
        <v/>
      </c>
      <c r="D1555">
        <f>Data_thang!E1555</f>
        <v/>
      </c>
      <c r="E1555">
        <f>Data_thang!F1555</f>
        <v/>
      </c>
      <c r="F1555">
        <f>Data_thang!G1555</f>
        <v/>
      </c>
      <c r="G1555" s="29">
        <f>Data_thang!J1555-Data_thang!K1555</f>
        <v/>
      </c>
      <c r="H1555" s="29">
        <f>Data_thang!N1555</f>
        <v/>
      </c>
      <c r="I1555" s="29">
        <f>H1555-G1555</f>
        <v/>
      </c>
      <c r="J1555" s="30">
        <f>IF(H1555=0,IF(I1555=0,0,1),I1555/ABS(H1555))</f>
        <v/>
      </c>
      <c r="K1555" s="29">
        <f>H1555-(Data_thang!O1555-Data_thang!K1555)</f>
        <v/>
      </c>
      <c r="L1555">
        <f>IF(AND(ABS(I1555)&gt;Dashboard!$G$6,ABS(J1555)&gt;Dashboard!$H$6),"⚠ Vượt","")</f>
        <v/>
      </c>
      <c r="M1555">
        <f>IF(AND(A1555=Dashboard!$D$6,OR(Dashboard!$C$6="*",F1555=Dashboard!$C$6),L1555&lt;&gt;""),ABS(I1555)+ROW()/1000000000,0)</f>
        <v/>
      </c>
    </row>
    <row r="1556">
      <c r="A1556">
        <f>Data_thang!A1556</f>
        <v/>
      </c>
      <c r="B1556">
        <f>Data_thang!B1556</f>
        <v/>
      </c>
      <c r="C1556">
        <f>Data_thang!D1556</f>
        <v/>
      </c>
      <c r="D1556">
        <f>Data_thang!E1556</f>
        <v/>
      </c>
      <c r="E1556">
        <f>Data_thang!F1556</f>
        <v/>
      </c>
      <c r="F1556">
        <f>Data_thang!G1556</f>
        <v/>
      </c>
      <c r="G1556" s="29">
        <f>Data_thang!J1556-Data_thang!K1556</f>
        <v/>
      </c>
      <c r="H1556" s="29">
        <f>Data_thang!N1556</f>
        <v/>
      </c>
      <c r="I1556" s="29">
        <f>H1556-G1556</f>
        <v/>
      </c>
      <c r="J1556" s="30">
        <f>IF(H1556=0,IF(I1556=0,0,1),I1556/ABS(H1556))</f>
        <v/>
      </c>
      <c r="K1556" s="29">
        <f>H1556-(Data_thang!O1556-Data_thang!K1556)</f>
        <v/>
      </c>
      <c r="L1556">
        <f>IF(AND(ABS(I1556)&gt;Dashboard!$G$6,ABS(J1556)&gt;Dashboard!$H$6),"⚠ Vượt","")</f>
        <v/>
      </c>
      <c r="M1556">
        <f>IF(AND(A1556=Dashboard!$D$6,OR(Dashboard!$C$6="*",F1556=Dashboard!$C$6),L1556&lt;&gt;""),ABS(I1556)+ROW()/1000000000,0)</f>
        <v/>
      </c>
    </row>
    <row r="1557">
      <c r="A1557">
        <f>Data_thang!A1557</f>
        <v/>
      </c>
      <c r="B1557">
        <f>Data_thang!B1557</f>
        <v/>
      </c>
      <c r="C1557">
        <f>Data_thang!D1557</f>
        <v/>
      </c>
      <c r="D1557">
        <f>Data_thang!E1557</f>
        <v/>
      </c>
      <c r="E1557">
        <f>Data_thang!F1557</f>
        <v/>
      </c>
      <c r="F1557">
        <f>Data_thang!G1557</f>
        <v/>
      </c>
      <c r="G1557" s="29">
        <f>Data_thang!J1557-Data_thang!K1557</f>
        <v/>
      </c>
      <c r="H1557" s="29">
        <f>Data_thang!N1557</f>
        <v/>
      </c>
      <c r="I1557" s="29">
        <f>H1557-G1557</f>
        <v/>
      </c>
      <c r="J1557" s="30">
        <f>IF(H1557=0,IF(I1557=0,0,1),I1557/ABS(H1557))</f>
        <v/>
      </c>
      <c r="K1557" s="29">
        <f>H1557-(Data_thang!O1557-Data_thang!K1557)</f>
        <v/>
      </c>
      <c r="L1557">
        <f>IF(AND(ABS(I1557)&gt;Dashboard!$G$6,ABS(J1557)&gt;Dashboard!$H$6),"⚠ Vượt","")</f>
        <v/>
      </c>
      <c r="M1557">
        <f>IF(AND(A1557=Dashboard!$D$6,OR(Dashboard!$C$6="*",F1557=Dashboard!$C$6),L1557&lt;&gt;""),ABS(I1557)+ROW()/1000000000,0)</f>
        <v/>
      </c>
    </row>
    <row r="1558">
      <c r="A1558">
        <f>Data_thang!A1558</f>
        <v/>
      </c>
      <c r="B1558">
        <f>Data_thang!B1558</f>
        <v/>
      </c>
      <c r="C1558">
        <f>Data_thang!D1558</f>
        <v/>
      </c>
      <c r="D1558">
        <f>Data_thang!E1558</f>
        <v/>
      </c>
      <c r="E1558">
        <f>Data_thang!F1558</f>
        <v/>
      </c>
      <c r="F1558">
        <f>Data_thang!G1558</f>
        <v/>
      </c>
      <c r="G1558" s="29">
        <f>Data_thang!J1558-Data_thang!K1558</f>
        <v/>
      </c>
      <c r="H1558" s="29">
        <f>Data_thang!N1558</f>
        <v/>
      </c>
      <c r="I1558" s="29">
        <f>H1558-G1558</f>
        <v/>
      </c>
      <c r="J1558" s="30">
        <f>IF(H1558=0,IF(I1558=0,0,1),I1558/ABS(H1558))</f>
        <v/>
      </c>
      <c r="K1558" s="29">
        <f>H1558-(Data_thang!O1558-Data_thang!K1558)</f>
        <v/>
      </c>
      <c r="L1558">
        <f>IF(AND(ABS(I1558)&gt;Dashboard!$G$6,ABS(J1558)&gt;Dashboard!$H$6),"⚠ Vượt","")</f>
        <v/>
      </c>
      <c r="M1558">
        <f>IF(AND(A1558=Dashboard!$D$6,OR(Dashboard!$C$6="*",F1558=Dashboard!$C$6),L1558&lt;&gt;""),ABS(I1558)+ROW()/1000000000,0)</f>
        <v/>
      </c>
    </row>
    <row r="1559">
      <c r="A1559">
        <f>Data_thang!A1559</f>
        <v/>
      </c>
      <c r="B1559">
        <f>Data_thang!B1559</f>
        <v/>
      </c>
      <c r="C1559">
        <f>Data_thang!D1559</f>
        <v/>
      </c>
      <c r="D1559">
        <f>Data_thang!E1559</f>
        <v/>
      </c>
      <c r="E1559">
        <f>Data_thang!F1559</f>
        <v/>
      </c>
      <c r="F1559">
        <f>Data_thang!G1559</f>
        <v/>
      </c>
      <c r="G1559" s="29">
        <f>Data_thang!J1559-Data_thang!K1559</f>
        <v/>
      </c>
      <c r="H1559" s="29">
        <f>Data_thang!N1559</f>
        <v/>
      </c>
      <c r="I1559" s="29">
        <f>H1559-G1559</f>
        <v/>
      </c>
      <c r="J1559" s="30">
        <f>IF(H1559=0,IF(I1559=0,0,1),I1559/ABS(H1559))</f>
        <v/>
      </c>
      <c r="K1559" s="29">
        <f>H1559-(Data_thang!O1559-Data_thang!K1559)</f>
        <v/>
      </c>
      <c r="L1559">
        <f>IF(AND(ABS(I1559)&gt;Dashboard!$G$6,ABS(J1559)&gt;Dashboard!$H$6),"⚠ Vượt","")</f>
        <v/>
      </c>
      <c r="M1559">
        <f>IF(AND(A1559=Dashboard!$D$6,OR(Dashboard!$C$6="*",F1559=Dashboard!$C$6),L1559&lt;&gt;""),ABS(I1559)+ROW()/1000000000,0)</f>
        <v/>
      </c>
    </row>
    <row r="1560">
      <c r="A1560">
        <f>Data_thang!A1560</f>
        <v/>
      </c>
      <c r="B1560">
        <f>Data_thang!B1560</f>
        <v/>
      </c>
      <c r="C1560">
        <f>Data_thang!D1560</f>
        <v/>
      </c>
      <c r="D1560">
        <f>Data_thang!E1560</f>
        <v/>
      </c>
      <c r="E1560">
        <f>Data_thang!F1560</f>
        <v/>
      </c>
      <c r="F1560">
        <f>Data_thang!G1560</f>
        <v/>
      </c>
      <c r="G1560" s="29">
        <f>Data_thang!J1560-Data_thang!K1560</f>
        <v/>
      </c>
      <c r="H1560" s="29">
        <f>Data_thang!N1560</f>
        <v/>
      </c>
      <c r="I1560" s="29">
        <f>H1560-G1560</f>
        <v/>
      </c>
      <c r="J1560" s="30">
        <f>IF(H1560=0,IF(I1560=0,0,1),I1560/ABS(H1560))</f>
        <v/>
      </c>
      <c r="K1560" s="29">
        <f>H1560-(Data_thang!O1560-Data_thang!K1560)</f>
        <v/>
      </c>
      <c r="L1560">
        <f>IF(AND(ABS(I1560)&gt;Dashboard!$G$6,ABS(J1560)&gt;Dashboard!$H$6),"⚠ Vượt","")</f>
        <v/>
      </c>
      <c r="M1560">
        <f>IF(AND(A1560=Dashboard!$D$6,OR(Dashboard!$C$6="*",F1560=Dashboard!$C$6),L1560&lt;&gt;""),ABS(I1560)+ROW()/1000000000,0)</f>
        <v/>
      </c>
    </row>
    <row r="1561">
      <c r="A1561">
        <f>Data_thang!A1561</f>
        <v/>
      </c>
      <c r="B1561">
        <f>Data_thang!B1561</f>
        <v/>
      </c>
      <c r="C1561">
        <f>Data_thang!D1561</f>
        <v/>
      </c>
      <c r="D1561">
        <f>Data_thang!E1561</f>
        <v/>
      </c>
      <c r="E1561">
        <f>Data_thang!F1561</f>
        <v/>
      </c>
      <c r="F1561">
        <f>Data_thang!G1561</f>
        <v/>
      </c>
      <c r="G1561" s="29">
        <f>Data_thang!J1561-Data_thang!K1561</f>
        <v/>
      </c>
      <c r="H1561" s="29">
        <f>Data_thang!N1561</f>
        <v/>
      </c>
      <c r="I1561" s="29">
        <f>H1561-G1561</f>
        <v/>
      </c>
      <c r="J1561" s="30">
        <f>IF(H1561=0,IF(I1561=0,0,1),I1561/ABS(H1561))</f>
        <v/>
      </c>
      <c r="K1561" s="29">
        <f>H1561-(Data_thang!O1561-Data_thang!K1561)</f>
        <v/>
      </c>
      <c r="L1561">
        <f>IF(AND(ABS(I1561)&gt;Dashboard!$G$6,ABS(J1561)&gt;Dashboard!$H$6),"⚠ Vượt","")</f>
        <v/>
      </c>
      <c r="M1561">
        <f>IF(AND(A1561=Dashboard!$D$6,OR(Dashboard!$C$6="*",F1561=Dashboard!$C$6),L1561&lt;&gt;""),ABS(I1561)+ROW()/1000000000,0)</f>
        <v/>
      </c>
    </row>
    <row r="1562">
      <c r="A1562">
        <f>Data_thang!A1562</f>
        <v/>
      </c>
      <c r="B1562">
        <f>Data_thang!B1562</f>
        <v/>
      </c>
      <c r="C1562">
        <f>Data_thang!D1562</f>
        <v/>
      </c>
      <c r="D1562">
        <f>Data_thang!E1562</f>
        <v/>
      </c>
      <c r="E1562">
        <f>Data_thang!F1562</f>
        <v/>
      </c>
      <c r="F1562">
        <f>Data_thang!G1562</f>
        <v/>
      </c>
      <c r="G1562" s="29">
        <f>Data_thang!J1562-Data_thang!K1562</f>
        <v/>
      </c>
      <c r="H1562" s="29">
        <f>Data_thang!N1562</f>
        <v/>
      </c>
      <c r="I1562" s="29">
        <f>H1562-G1562</f>
        <v/>
      </c>
      <c r="J1562" s="30">
        <f>IF(H1562=0,IF(I1562=0,0,1),I1562/ABS(H1562))</f>
        <v/>
      </c>
      <c r="K1562" s="29">
        <f>H1562-(Data_thang!O1562-Data_thang!K1562)</f>
        <v/>
      </c>
      <c r="L1562">
        <f>IF(AND(ABS(I1562)&gt;Dashboard!$G$6,ABS(J1562)&gt;Dashboard!$H$6),"⚠ Vượt","")</f>
        <v/>
      </c>
      <c r="M1562">
        <f>IF(AND(A1562=Dashboard!$D$6,OR(Dashboard!$C$6="*",F1562=Dashboard!$C$6),L1562&lt;&gt;""),ABS(I1562)+ROW()/1000000000,0)</f>
        <v/>
      </c>
    </row>
    <row r="1563">
      <c r="A1563">
        <f>Data_thang!A1563</f>
        <v/>
      </c>
      <c r="B1563">
        <f>Data_thang!B1563</f>
        <v/>
      </c>
      <c r="C1563">
        <f>Data_thang!D1563</f>
        <v/>
      </c>
      <c r="D1563">
        <f>Data_thang!E1563</f>
        <v/>
      </c>
      <c r="E1563">
        <f>Data_thang!F1563</f>
        <v/>
      </c>
      <c r="F1563">
        <f>Data_thang!G1563</f>
        <v/>
      </c>
      <c r="G1563" s="29">
        <f>Data_thang!J1563-Data_thang!K1563</f>
        <v/>
      </c>
      <c r="H1563" s="29">
        <f>Data_thang!N1563</f>
        <v/>
      </c>
      <c r="I1563" s="29">
        <f>H1563-G1563</f>
        <v/>
      </c>
      <c r="J1563" s="30">
        <f>IF(H1563=0,IF(I1563=0,0,1),I1563/ABS(H1563))</f>
        <v/>
      </c>
      <c r="K1563" s="29">
        <f>H1563-(Data_thang!O1563-Data_thang!K1563)</f>
        <v/>
      </c>
      <c r="L1563">
        <f>IF(AND(ABS(I1563)&gt;Dashboard!$G$6,ABS(J1563)&gt;Dashboard!$H$6),"⚠ Vượt","")</f>
        <v/>
      </c>
      <c r="M1563">
        <f>IF(AND(A1563=Dashboard!$D$6,OR(Dashboard!$C$6="*",F1563=Dashboard!$C$6),L1563&lt;&gt;""),ABS(I1563)+ROW()/1000000000,0)</f>
        <v/>
      </c>
    </row>
    <row r="1564">
      <c r="A1564">
        <f>Data_thang!A1564</f>
        <v/>
      </c>
      <c r="B1564">
        <f>Data_thang!B1564</f>
        <v/>
      </c>
      <c r="C1564">
        <f>Data_thang!D1564</f>
        <v/>
      </c>
      <c r="D1564">
        <f>Data_thang!E1564</f>
        <v/>
      </c>
      <c r="E1564">
        <f>Data_thang!F1564</f>
        <v/>
      </c>
      <c r="F1564">
        <f>Data_thang!G1564</f>
        <v/>
      </c>
      <c r="G1564" s="29">
        <f>Data_thang!J1564-Data_thang!K1564</f>
        <v/>
      </c>
      <c r="H1564" s="29">
        <f>Data_thang!N1564</f>
        <v/>
      </c>
      <c r="I1564" s="29">
        <f>H1564-G1564</f>
        <v/>
      </c>
      <c r="J1564" s="30">
        <f>IF(H1564=0,IF(I1564=0,0,1),I1564/ABS(H1564))</f>
        <v/>
      </c>
      <c r="K1564" s="29">
        <f>H1564-(Data_thang!O1564-Data_thang!K1564)</f>
        <v/>
      </c>
      <c r="L1564">
        <f>IF(AND(ABS(I1564)&gt;Dashboard!$G$6,ABS(J1564)&gt;Dashboard!$H$6),"⚠ Vượt","")</f>
        <v/>
      </c>
      <c r="M1564">
        <f>IF(AND(A1564=Dashboard!$D$6,OR(Dashboard!$C$6="*",F1564=Dashboard!$C$6),L1564&lt;&gt;""),ABS(I1564)+ROW()/1000000000,0)</f>
        <v/>
      </c>
    </row>
    <row r="1565">
      <c r="A1565">
        <f>Data_thang!A1565</f>
        <v/>
      </c>
      <c r="B1565">
        <f>Data_thang!B1565</f>
        <v/>
      </c>
      <c r="C1565">
        <f>Data_thang!D1565</f>
        <v/>
      </c>
      <c r="D1565">
        <f>Data_thang!E1565</f>
        <v/>
      </c>
      <c r="E1565">
        <f>Data_thang!F1565</f>
        <v/>
      </c>
      <c r="F1565">
        <f>Data_thang!G1565</f>
        <v/>
      </c>
      <c r="G1565" s="29">
        <f>Data_thang!J1565-Data_thang!K1565</f>
        <v/>
      </c>
      <c r="H1565" s="29">
        <f>Data_thang!N1565</f>
        <v/>
      </c>
      <c r="I1565" s="29">
        <f>H1565-G1565</f>
        <v/>
      </c>
      <c r="J1565" s="30">
        <f>IF(H1565=0,IF(I1565=0,0,1),I1565/ABS(H1565))</f>
        <v/>
      </c>
      <c r="K1565" s="29">
        <f>H1565-(Data_thang!O1565-Data_thang!K1565)</f>
        <v/>
      </c>
      <c r="L1565">
        <f>IF(AND(ABS(I1565)&gt;Dashboard!$G$6,ABS(J1565)&gt;Dashboard!$H$6),"⚠ Vượt","")</f>
        <v/>
      </c>
      <c r="M1565">
        <f>IF(AND(A1565=Dashboard!$D$6,OR(Dashboard!$C$6="*",F1565=Dashboard!$C$6),L1565&lt;&gt;""),ABS(I1565)+ROW()/1000000000,0)</f>
        <v/>
      </c>
    </row>
    <row r="1566">
      <c r="A1566">
        <f>Data_thang!A1566</f>
        <v/>
      </c>
      <c r="B1566">
        <f>Data_thang!B1566</f>
        <v/>
      </c>
      <c r="C1566">
        <f>Data_thang!D1566</f>
        <v/>
      </c>
      <c r="D1566">
        <f>Data_thang!E1566</f>
        <v/>
      </c>
      <c r="E1566">
        <f>Data_thang!F1566</f>
        <v/>
      </c>
      <c r="F1566">
        <f>Data_thang!G1566</f>
        <v/>
      </c>
      <c r="G1566" s="29">
        <f>Data_thang!J1566-Data_thang!K1566</f>
        <v/>
      </c>
      <c r="H1566" s="29">
        <f>Data_thang!N1566</f>
        <v/>
      </c>
      <c r="I1566" s="29">
        <f>H1566-G1566</f>
        <v/>
      </c>
      <c r="J1566" s="30">
        <f>IF(H1566=0,IF(I1566=0,0,1),I1566/ABS(H1566))</f>
        <v/>
      </c>
      <c r="K1566" s="29">
        <f>H1566-(Data_thang!O1566-Data_thang!K1566)</f>
        <v/>
      </c>
      <c r="L1566">
        <f>IF(AND(ABS(I1566)&gt;Dashboard!$G$6,ABS(J1566)&gt;Dashboard!$H$6),"⚠ Vượt","")</f>
        <v/>
      </c>
      <c r="M1566">
        <f>IF(AND(A1566=Dashboard!$D$6,OR(Dashboard!$C$6="*",F1566=Dashboard!$C$6),L1566&lt;&gt;""),ABS(I1566)+ROW()/1000000000,0)</f>
        <v/>
      </c>
    </row>
    <row r="1567">
      <c r="A1567">
        <f>Data_thang!A1567</f>
        <v/>
      </c>
      <c r="B1567">
        <f>Data_thang!B1567</f>
        <v/>
      </c>
      <c r="C1567">
        <f>Data_thang!D1567</f>
        <v/>
      </c>
      <c r="D1567">
        <f>Data_thang!E1567</f>
        <v/>
      </c>
      <c r="E1567">
        <f>Data_thang!F1567</f>
        <v/>
      </c>
      <c r="F1567">
        <f>Data_thang!G1567</f>
        <v/>
      </c>
      <c r="G1567" s="29">
        <f>Data_thang!J1567-Data_thang!K1567</f>
        <v/>
      </c>
      <c r="H1567" s="29">
        <f>Data_thang!N1567</f>
        <v/>
      </c>
      <c r="I1567" s="29">
        <f>H1567-G1567</f>
        <v/>
      </c>
      <c r="J1567" s="30">
        <f>IF(H1567=0,IF(I1567=0,0,1),I1567/ABS(H1567))</f>
        <v/>
      </c>
      <c r="K1567" s="29">
        <f>H1567-(Data_thang!O1567-Data_thang!K1567)</f>
        <v/>
      </c>
      <c r="L1567">
        <f>IF(AND(ABS(I1567)&gt;Dashboard!$G$6,ABS(J1567)&gt;Dashboard!$H$6),"⚠ Vượt","")</f>
        <v/>
      </c>
      <c r="M1567">
        <f>IF(AND(A1567=Dashboard!$D$6,OR(Dashboard!$C$6="*",F1567=Dashboard!$C$6),L1567&lt;&gt;""),ABS(I1567)+ROW()/1000000000,0)</f>
        <v/>
      </c>
    </row>
    <row r="1568">
      <c r="A1568">
        <f>Data_thang!A1568</f>
        <v/>
      </c>
      <c r="B1568">
        <f>Data_thang!B1568</f>
        <v/>
      </c>
      <c r="C1568">
        <f>Data_thang!D1568</f>
        <v/>
      </c>
      <c r="D1568">
        <f>Data_thang!E1568</f>
        <v/>
      </c>
      <c r="E1568">
        <f>Data_thang!F1568</f>
        <v/>
      </c>
      <c r="F1568">
        <f>Data_thang!G1568</f>
        <v/>
      </c>
      <c r="G1568" s="29">
        <f>Data_thang!J1568-Data_thang!K1568</f>
        <v/>
      </c>
      <c r="H1568" s="29">
        <f>Data_thang!N1568</f>
        <v/>
      </c>
      <c r="I1568" s="29">
        <f>H1568-G1568</f>
        <v/>
      </c>
      <c r="J1568" s="30">
        <f>IF(H1568=0,IF(I1568=0,0,1),I1568/ABS(H1568))</f>
        <v/>
      </c>
      <c r="K1568" s="29">
        <f>H1568-(Data_thang!O1568-Data_thang!K1568)</f>
        <v/>
      </c>
      <c r="L1568">
        <f>IF(AND(ABS(I1568)&gt;Dashboard!$G$6,ABS(J1568)&gt;Dashboard!$H$6),"⚠ Vượt","")</f>
        <v/>
      </c>
      <c r="M1568">
        <f>IF(AND(A1568=Dashboard!$D$6,OR(Dashboard!$C$6="*",F1568=Dashboard!$C$6),L1568&lt;&gt;""),ABS(I1568)+ROW()/1000000000,0)</f>
        <v/>
      </c>
    </row>
    <row r="1569">
      <c r="A1569">
        <f>Data_thang!A1569</f>
        <v/>
      </c>
      <c r="B1569">
        <f>Data_thang!B1569</f>
        <v/>
      </c>
      <c r="C1569">
        <f>Data_thang!D1569</f>
        <v/>
      </c>
      <c r="D1569">
        <f>Data_thang!E1569</f>
        <v/>
      </c>
      <c r="E1569">
        <f>Data_thang!F1569</f>
        <v/>
      </c>
      <c r="F1569">
        <f>Data_thang!G1569</f>
        <v/>
      </c>
      <c r="G1569" s="29">
        <f>Data_thang!J1569-Data_thang!K1569</f>
        <v/>
      </c>
      <c r="H1569" s="29">
        <f>Data_thang!N1569</f>
        <v/>
      </c>
      <c r="I1569" s="29">
        <f>H1569-G1569</f>
        <v/>
      </c>
      <c r="J1569" s="30">
        <f>IF(H1569=0,IF(I1569=0,0,1),I1569/ABS(H1569))</f>
        <v/>
      </c>
      <c r="K1569" s="29">
        <f>H1569-(Data_thang!O1569-Data_thang!K1569)</f>
        <v/>
      </c>
      <c r="L1569">
        <f>IF(AND(ABS(I1569)&gt;Dashboard!$G$6,ABS(J1569)&gt;Dashboard!$H$6),"⚠ Vượt","")</f>
        <v/>
      </c>
      <c r="M1569">
        <f>IF(AND(A1569=Dashboard!$D$6,OR(Dashboard!$C$6="*",F1569=Dashboard!$C$6),L1569&lt;&gt;""),ABS(I1569)+ROW()/1000000000,0)</f>
        <v/>
      </c>
    </row>
    <row r="1570">
      <c r="A1570">
        <f>Data_thang!A1570</f>
        <v/>
      </c>
      <c r="B1570">
        <f>Data_thang!B1570</f>
        <v/>
      </c>
      <c r="C1570">
        <f>Data_thang!D1570</f>
        <v/>
      </c>
      <c r="D1570">
        <f>Data_thang!E1570</f>
        <v/>
      </c>
      <c r="E1570">
        <f>Data_thang!F1570</f>
        <v/>
      </c>
      <c r="F1570">
        <f>Data_thang!G1570</f>
        <v/>
      </c>
      <c r="G1570" s="29">
        <f>Data_thang!J1570-Data_thang!K1570</f>
        <v/>
      </c>
      <c r="H1570" s="29">
        <f>Data_thang!N1570</f>
        <v/>
      </c>
      <c r="I1570" s="29">
        <f>H1570-G1570</f>
        <v/>
      </c>
      <c r="J1570" s="30">
        <f>IF(H1570=0,IF(I1570=0,0,1),I1570/ABS(H1570))</f>
        <v/>
      </c>
      <c r="K1570" s="29">
        <f>H1570-(Data_thang!O1570-Data_thang!K1570)</f>
        <v/>
      </c>
      <c r="L1570">
        <f>IF(AND(ABS(I1570)&gt;Dashboard!$G$6,ABS(J1570)&gt;Dashboard!$H$6),"⚠ Vượt","")</f>
        <v/>
      </c>
      <c r="M1570">
        <f>IF(AND(A1570=Dashboard!$D$6,OR(Dashboard!$C$6="*",F1570=Dashboard!$C$6),L1570&lt;&gt;""),ABS(I1570)+ROW()/1000000000,0)</f>
        <v/>
      </c>
    </row>
    <row r="1571">
      <c r="A1571">
        <f>Data_thang!A1571</f>
        <v/>
      </c>
      <c r="B1571">
        <f>Data_thang!B1571</f>
        <v/>
      </c>
      <c r="C1571">
        <f>Data_thang!D1571</f>
        <v/>
      </c>
      <c r="D1571">
        <f>Data_thang!E1571</f>
        <v/>
      </c>
      <c r="E1571">
        <f>Data_thang!F1571</f>
        <v/>
      </c>
      <c r="F1571">
        <f>Data_thang!G1571</f>
        <v/>
      </c>
      <c r="G1571" s="29">
        <f>Data_thang!J1571-Data_thang!K1571</f>
        <v/>
      </c>
      <c r="H1571" s="29">
        <f>Data_thang!N1571</f>
        <v/>
      </c>
      <c r="I1571" s="29">
        <f>H1571-G1571</f>
        <v/>
      </c>
      <c r="J1571" s="30">
        <f>IF(H1571=0,IF(I1571=0,0,1),I1571/ABS(H1571))</f>
        <v/>
      </c>
      <c r="K1571" s="29">
        <f>H1571-(Data_thang!O1571-Data_thang!K1571)</f>
        <v/>
      </c>
      <c r="L1571">
        <f>IF(AND(ABS(I1571)&gt;Dashboard!$G$6,ABS(J1571)&gt;Dashboard!$H$6),"⚠ Vượt","")</f>
        <v/>
      </c>
      <c r="M1571">
        <f>IF(AND(A1571=Dashboard!$D$6,OR(Dashboard!$C$6="*",F1571=Dashboard!$C$6),L1571&lt;&gt;""),ABS(I1571)+ROW()/1000000000,0)</f>
        <v/>
      </c>
    </row>
    <row r="1572">
      <c r="A1572">
        <f>Data_thang!A1572</f>
        <v/>
      </c>
      <c r="B1572">
        <f>Data_thang!B1572</f>
        <v/>
      </c>
      <c r="C1572">
        <f>Data_thang!D1572</f>
        <v/>
      </c>
      <c r="D1572">
        <f>Data_thang!E1572</f>
        <v/>
      </c>
      <c r="E1572">
        <f>Data_thang!F1572</f>
        <v/>
      </c>
      <c r="F1572">
        <f>Data_thang!G1572</f>
        <v/>
      </c>
      <c r="G1572" s="29">
        <f>Data_thang!J1572-Data_thang!K1572</f>
        <v/>
      </c>
      <c r="H1572" s="29">
        <f>Data_thang!N1572</f>
        <v/>
      </c>
      <c r="I1572" s="29">
        <f>H1572-G1572</f>
        <v/>
      </c>
      <c r="J1572" s="30">
        <f>IF(H1572=0,IF(I1572=0,0,1),I1572/ABS(H1572))</f>
        <v/>
      </c>
      <c r="K1572" s="29">
        <f>H1572-(Data_thang!O1572-Data_thang!K1572)</f>
        <v/>
      </c>
      <c r="L1572">
        <f>IF(AND(ABS(I1572)&gt;Dashboard!$G$6,ABS(J1572)&gt;Dashboard!$H$6),"⚠ Vượt","")</f>
        <v/>
      </c>
      <c r="M1572">
        <f>IF(AND(A1572=Dashboard!$D$6,OR(Dashboard!$C$6="*",F1572=Dashboard!$C$6),L1572&lt;&gt;""),ABS(I1572)+ROW()/1000000000,0)</f>
        <v/>
      </c>
    </row>
    <row r="1573">
      <c r="A1573">
        <f>Data_thang!A1573</f>
        <v/>
      </c>
      <c r="B1573">
        <f>Data_thang!B1573</f>
        <v/>
      </c>
      <c r="C1573">
        <f>Data_thang!D1573</f>
        <v/>
      </c>
      <c r="D1573">
        <f>Data_thang!E1573</f>
        <v/>
      </c>
      <c r="E1573">
        <f>Data_thang!F1573</f>
        <v/>
      </c>
      <c r="F1573">
        <f>Data_thang!G1573</f>
        <v/>
      </c>
      <c r="G1573" s="29">
        <f>Data_thang!J1573-Data_thang!K1573</f>
        <v/>
      </c>
      <c r="H1573" s="29">
        <f>Data_thang!N1573</f>
        <v/>
      </c>
      <c r="I1573" s="29">
        <f>H1573-G1573</f>
        <v/>
      </c>
      <c r="J1573" s="30">
        <f>IF(H1573=0,IF(I1573=0,0,1),I1573/ABS(H1573))</f>
        <v/>
      </c>
      <c r="K1573" s="29">
        <f>H1573-(Data_thang!O1573-Data_thang!K1573)</f>
        <v/>
      </c>
      <c r="L1573">
        <f>IF(AND(ABS(I1573)&gt;Dashboard!$G$6,ABS(J1573)&gt;Dashboard!$H$6),"⚠ Vượt","")</f>
        <v/>
      </c>
      <c r="M1573">
        <f>IF(AND(A1573=Dashboard!$D$6,OR(Dashboard!$C$6="*",F1573=Dashboard!$C$6),L1573&lt;&gt;""),ABS(I1573)+ROW()/1000000000,0)</f>
        <v/>
      </c>
    </row>
    <row r="1574">
      <c r="A1574">
        <f>Data_thang!A1574</f>
        <v/>
      </c>
      <c r="B1574">
        <f>Data_thang!B1574</f>
        <v/>
      </c>
      <c r="C1574">
        <f>Data_thang!D1574</f>
        <v/>
      </c>
      <c r="D1574">
        <f>Data_thang!E1574</f>
        <v/>
      </c>
      <c r="E1574">
        <f>Data_thang!F1574</f>
        <v/>
      </c>
      <c r="F1574">
        <f>Data_thang!G1574</f>
        <v/>
      </c>
      <c r="G1574" s="29">
        <f>Data_thang!J1574-Data_thang!K1574</f>
        <v/>
      </c>
      <c r="H1574" s="29">
        <f>Data_thang!N1574</f>
        <v/>
      </c>
      <c r="I1574" s="29">
        <f>H1574-G1574</f>
        <v/>
      </c>
      <c r="J1574" s="30">
        <f>IF(H1574=0,IF(I1574=0,0,1),I1574/ABS(H1574))</f>
        <v/>
      </c>
      <c r="K1574" s="29">
        <f>H1574-(Data_thang!O1574-Data_thang!K1574)</f>
        <v/>
      </c>
      <c r="L1574">
        <f>IF(AND(ABS(I1574)&gt;Dashboard!$G$6,ABS(J1574)&gt;Dashboard!$H$6),"⚠ Vượt","")</f>
        <v/>
      </c>
      <c r="M1574">
        <f>IF(AND(A1574=Dashboard!$D$6,OR(Dashboard!$C$6="*",F1574=Dashboard!$C$6),L1574&lt;&gt;""),ABS(I1574)+ROW()/1000000000,0)</f>
        <v/>
      </c>
    </row>
    <row r="1575">
      <c r="A1575">
        <f>Data_thang!A1575</f>
        <v/>
      </c>
      <c r="B1575">
        <f>Data_thang!B1575</f>
        <v/>
      </c>
      <c r="C1575">
        <f>Data_thang!D1575</f>
        <v/>
      </c>
      <c r="D1575">
        <f>Data_thang!E1575</f>
        <v/>
      </c>
      <c r="E1575">
        <f>Data_thang!F1575</f>
        <v/>
      </c>
      <c r="F1575">
        <f>Data_thang!G1575</f>
        <v/>
      </c>
      <c r="G1575" s="29">
        <f>Data_thang!J1575-Data_thang!K1575</f>
        <v/>
      </c>
      <c r="H1575" s="29">
        <f>Data_thang!N1575</f>
        <v/>
      </c>
      <c r="I1575" s="29">
        <f>H1575-G1575</f>
        <v/>
      </c>
      <c r="J1575" s="30">
        <f>IF(H1575=0,IF(I1575=0,0,1),I1575/ABS(H1575))</f>
        <v/>
      </c>
      <c r="K1575" s="29">
        <f>H1575-(Data_thang!O1575-Data_thang!K1575)</f>
        <v/>
      </c>
      <c r="L1575">
        <f>IF(AND(ABS(I1575)&gt;Dashboard!$G$6,ABS(J1575)&gt;Dashboard!$H$6),"⚠ Vượt","")</f>
        <v/>
      </c>
      <c r="M1575">
        <f>IF(AND(A1575=Dashboard!$D$6,OR(Dashboard!$C$6="*",F1575=Dashboard!$C$6),L1575&lt;&gt;""),ABS(I1575)+ROW()/1000000000,0)</f>
        <v/>
      </c>
    </row>
    <row r="1576">
      <c r="A1576">
        <f>Data_thang!A1576</f>
        <v/>
      </c>
      <c r="B1576">
        <f>Data_thang!B1576</f>
        <v/>
      </c>
      <c r="C1576">
        <f>Data_thang!D1576</f>
        <v/>
      </c>
      <c r="D1576">
        <f>Data_thang!E1576</f>
        <v/>
      </c>
      <c r="E1576">
        <f>Data_thang!F1576</f>
        <v/>
      </c>
      <c r="F1576">
        <f>Data_thang!G1576</f>
        <v/>
      </c>
      <c r="G1576" s="29">
        <f>Data_thang!J1576-Data_thang!K1576</f>
        <v/>
      </c>
      <c r="H1576" s="29">
        <f>Data_thang!N1576</f>
        <v/>
      </c>
      <c r="I1576" s="29">
        <f>H1576-G1576</f>
        <v/>
      </c>
      <c r="J1576" s="30">
        <f>IF(H1576=0,IF(I1576=0,0,1),I1576/ABS(H1576))</f>
        <v/>
      </c>
      <c r="K1576" s="29">
        <f>H1576-(Data_thang!O1576-Data_thang!K1576)</f>
        <v/>
      </c>
      <c r="L1576">
        <f>IF(AND(ABS(I1576)&gt;Dashboard!$G$6,ABS(J1576)&gt;Dashboard!$H$6),"⚠ Vượt","")</f>
        <v/>
      </c>
      <c r="M1576">
        <f>IF(AND(A1576=Dashboard!$D$6,OR(Dashboard!$C$6="*",F1576=Dashboard!$C$6),L1576&lt;&gt;""),ABS(I1576)+ROW()/1000000000,0)</f>
        <v/>
      </c>
    </row>
    <row r="1577">
      <c r="A1577">
        <f>Data_thang!A1577</f>
        <v/>
      </c>
      <c r="B1577">
        <f>Data_thang!B1577</f>
        <v/>
      </c>
      <c r="C1577">
        <f>Data_thang!D1577</f>
        <v/>
      </c>
      <c r="D1577">
        <f>Data_thang!E1577</f>
        <v/>
      </c>
      <c r="E1577">
        <f>Data_thang!F1577</f>
        <v/>
      </c>
      <c r="F1577">
        <f>Data_thang!G1577</f>
        <v/>
      </c>
      <c r="G1577" s="29">
        <f>Data_thang!J1577-Data_thang!K1577</f>
        <v/>
      </c>
      <c r="H1577" s="29">
        <f>Data_thang!N1577</f>
        <v/>
      </c>
      <c r="I1577" s="29">
        <f>H1577-G1577</f>
        <v/>
      </c>
      <c r="J1577" s="30">
        <f>IF(H1577=0,IF(I1577=0,0,1),I1577/ABS(H1577))</f>
        <v/>
      </c>
      <c r="K1577" s="29">
        <f>H1577-(Data_thang!O1577-Data_thang!K1577)</f>
        <v/>
      </c>
      <c r="L1577">
        <f>IF(AND(ABS(I1577)&gt;Dashboard!$G$6,ABS(J1577)&gt;Dashboard!$H$6),"⚠ Vượt","")</f>
        <v/>
      </c>
      <c r="M1577">
        <f>IF(AND(A1577=Dashboard!$D$6,OR(Dashboard!$C$6="*",F1577=Dashboard!$C$6),L1577&lt;&gt;""),ABS(I1577)+ROW()/1000000000,0)</f>
        <v/>
      </c>
    </row>
    <row r="1578">
      <c r="A1578">
        <f>Data_thang!A1578</f>
        <v/>
      </c>
      <c r="B1578">
        <f>Data_thang!B1578</f>
        <v/>
      </c>
      <c r="C1578">
        <f>Data_thang!D1578</f>
        <v/>
      </c>
      <c r="D1578">
        <f>Data_thang!E1578</f>
        <v/>
      </c>
      <c r="E1578">
        <f>Data_thang!F1578</f>
        <v/>
      </c>
      <c r="F1578">
        <f>Data_thang!G1578</f>
        <v/>
      </c>
      <c r="G1578" s="29">
        <f>Data_thang!J1578-Data_thang!K1578</f>
        <v/>
      </c>
      <c r="H1578" s="29">
        <f>Data_thang!N1578</f>
        <v/>
      </c>
      <c r="I1578" s="29">
        <f>H1578-G1578</f>
        <v/>
      </c>
      <c r="J1578" s="30">
        <f>IF(H1578=0,IF(I1578=0,0,1),I1578/ABS(H1578))</f>
        <v/>
      </c>
      <c r="K1578" s="29">
        <f>H1578-(Data_thang!O1578-Data_thang!K1578)</f>
        <v/>
      </c>
      <c r="L1578">
        <f>IF(AND(ABS(I1578)&gt;Dashboard!$G$6,ABS(J1578)&gt;Dashboard!$H$6),"⚠ Vượt","")</f>
        <v/>
      </c>
      <c r="M1578">
        <f>IF(AND(A1578=Dashboard!$D$6,OR(Dashboard!$C$6="*",F1578=Dashboard!$C$6),L1578&lt;&gt;""),ABS(I1578)+ROW()/1000000000,0)</f>
        <v/>
      </c>
    </row>
    <row r="1579">
      <c r="A1579">
        <f>Data_thang!A1579</f>
        <v/>
      </c>
      <c r="B1579">
        <f>Data_thang!B1579</f>
        <v/>
      </c>
      <c r="C1579">
        <f>Data_thang!D1579</f>
        <v/>
      </c>
      <c r="D1579">
        <f>Data_thang!E1579</f>
        <v/>
      </c>
      <c r="E1579">
        <f>Data_thang!F1579</f>
        <v/>
      </c>
      <c r="F1579">
        <f>Data_thang!G1579</f>
        <v/>
      </c>
      <c r="G1579" s="29">
        <f>Data_thang!J1579-Data_thang!K1579</f>
        <v/>
      </c>
      <c r="H1579" s="29">
        <f>Data_thang!N1579</f>
        <v/>
      </c>
      <c r="I1579" s="29">
        <f>H1579-G1579</f>
        <v/>
      </c>
      <c r="J1579" s="30">
        <f>IF(H1579=0,IF(I1579=0,0,1),I1579/ABS(H1579))</f>
        <v/>
      </c>
      <c r="K1579" s="29">
        <f>H1579-(Data_thang!O1579-Data_thang!K1579)</f>
        <v/>
      </c>
      <c r="L1579">
        <f>IF(AND(ABS(I1579)&gt;Dashboard!$G$6,ABS(J1579)&gt;Dashboard!$H$6),"⚠ Vượt","")</f>
        <v/>
      </c>
      <c r="M1579">
        <f>IF(AND(A1579=Dashboard!$D$6,OR(Dashboard!$C$6="*",F1579=Dashboard!$C$6),L1579&lt;&gt;""),ABS(I1579)+ROW()/1000000000,0)</f>
        <v/>
      </c>
    </row>
    <row r="1580">
      <c r="A1580">
        <f>Data_thang!A1580</f>
        <v/>
      </c>
      <c r="B1580">
        <f>Data_thang!B1580</f>
        <v/>
      </c>
      <c r="C1580">
        <f>Data_thang!D1580</f>
        <v/>
      </c>
      <c r="D1580">
        <f>Data_thang!E1580</f>
        <v/>
      </c>
      <c r="E1580">
        <f>Data_thang!F1580</f>
        <v/>
      </c>
      <c r="F1580">
        <f>Data_thang!G1580</f>
        <v/>
      </c>
      <c r="G1580" s="29">
        <f>Data_thang!J1580-Data_thang!K1580</f>
        <v/>
      </c>
      <c r="H1580" s="29">
        <f>Data_thang!N1580</f>
        <v/>
      </c>
      <c r="I1580" s="29">
        <f>H1580-G1580</f>
        <v/>
      </c>
      <c r="J1580" s="30">
        <f>IF(H1580=0,IF(I1580=0,0,1),I1580/ABS(H1580))</f>
        <v/>
      </c>
      <c r="K1580" s="29">
        <f>H1580-(Data_thang!O1580-Data_thang!K1580)</f>
        <v/>
      </c>
      <c r="L1580">
        <f>IF(AND(ABS(I1580)&gt;Dashboard!$G$6,ABS(J1580)&gt;Dashboard!$H$6),"⚠ Vượt","")</f>
        <v/>
      </c>
      <c r="M1580">
        <f>IF(AND(A1580=Dashboard!$D$6,OR(Dashboard!$C$6="*",F1580=Dashboard!$C$6),L1580&lt;&gt;""),ABS(I1580)+ROW()/1000000000,0)</f>
        <v/>
      </c>
    </row>
    <row r="1581">
      <c r="A1581">
        <f>Data_thang!A1581</f>
        <v/>
      </c>
      <c r="B1581">
        <f>Data_thang!B1581</f>
        <v/>
      </c>
      <c r="C1581">
        <f>Data_thang!D1581</f>
        <v/>
      </c>
      <c r="D1581">
        <f>Data_thang!E1581</f>
        <v/>
      </c>
      <c r="E1581">
        <f>Data_thang!F1581</f>
        <v/>
      </c>
      <c r="F1581">
        <f>Data_thang!G1581</f>
        <v/>
      </c>
      <c r="G1581" s="29">
        <f>Data_thang!J1581-Data_thang!K1581</f>
        <v/>
      </c>
      <c r="H1581" s="29">
        <f>Data_thang!N1581</f>
        <v/>
      </c>
      <c r="I1581" s="29">
        <f>H1581-G1581</f>
        <v/>
      </c>
      <c r="J1581" s="30">
        <f>IF(H1581=0,IF(I1581=0,0,1),I1581/ABS(H1581))</f>
        <v/>
      </c>
      <c r="K1581" s="29">
        <f>H1581-(Data_thang!O1581-Data_thang!K1581)</f>
        <v/>
      </c>
      <c r="L1581">
        <f>IF(AND(ABS(I1581)&gt;Dashboard!$G$6,ABS(J1581)&gt;Dashboard!$H$6),"⚠ Vượt","")</f>
        <v/>
      </c>
      <c r="M1581">
        <f>IF(AND(A1581=Dashboard!$D$6,OR(Dashboard!$C$6="*",F1581=Dashboard!$C$6),L1581&lt;&gt;""),ABS(I1581)+ROW()/1000000000,0)</f>
        <v/>
      </c>
    </row>
    <row r="1582">
      <c r="A1582">
        <f>Data_thang!A1582</f>
        <v/>
      </c>
      <c r="B1582">
        <f>Data_thang!B1582</f>
        <v/>
      </c>
      <c r="C1582">
        <f>Data_thang!D1582</f>
        <v/>
      </c>
      <c r="D1582">
        <f>Data_thang!E1582</f>
        <v/>
      </c>
      <c r="E1582">
        <f>Data_thang!F1582</f>
        <v/>
      </c>
      <c r="F1582">
        <f>Data_thang!G1582</f>
        <v/>
      </c>
      <c r="G1582" s="29">
        <f>Data_thang!J1582-Data_thang!K1582</f>
        <v/>
      </c>
      <c r="H1582" s="29">
        <f>Data_thang!N1582</f>
        <v/>
      </c>
      <c r="I1582" s="29">
        <f>H1582-G1582</f>
        <v/>
      </c>
      <c r="J1582" s="30">
        <f>IF(H1582=0,IF(I1582=0,0,1),I1582/ABS(H1582))</f>
        <v/>
      </c>
      <c r="K1582" s="29">
        <f>H1582-(Data_thang!O1582-Data_thang!K1582)</f>
        <v/>
      </c>
      <c r="L1582">
        <f>IF(AND(ABS(I1582)&gt;Dashboard!$G$6,ABS(J1582)&gt;Dashboard!$H$6),"⚠ Vượt","")</f>
        <v/>
      </c>
      <c r="M1582">
        <f>IF(AND(A1582=Dashboard!$D$6,OR(Dashboard!$C$6="*",F1582=Dashboard!$C$6),L1582&lt;&gt;""),ABS(I1582)+ROW()/1000000000,0)</f>
        <v/>
      </c>
    </row>
    <row r="1583">
      <c r="A1583">
        <f>Data_thang!A1583</f>
        <v/>
      </c>
      <c r="B1583">
        <f>Data_thang!B1583</f>
        <v/>
      </c>
      <c r="C1583">
        <f>Data_thang!D1583</f>
        <v/>
      </c>
      <c r="D1583">
        <f>Data_thang!E1583</f>
        <v/>
      </c>
      <c r="E1583">
        <f>Data_thang!F1583</f>
        <v/>
      </c>
      <c r="F1583">
        <f>Data_thang!G1583</f>
        <v/>
      </c>
      <c r="G1583" s="29">
        <f>Data_thang!J1583-Data_thang!K1583</f>
        <v/>
      </c>
      <c r="H1583" s="29">
        <f>Data_thang!N1583</f>
        <v/>
      </c>
      <c r="I1583" s="29">
        <f>H1583-G1583</f>
        <v/>
      </c>
      <c r="J1583" s="30">
        <f>IF(H1583=0,IF(I1583=0,0,1),I1583/ABS(H1583))</f>
        <v/>
      </c>
      <c r="K1583" s="29">
        <f>H1583-(Data_thang!O1583-Data_thang!K1583)</f>
        <v/>
      </c>
      <c r="L1583">
        <f>IF(AND(ABS(I1583)&gt;Dashboard!$G$6,ABS(J1583)&gt;Dashboard!$H$6),"⚠ Vượt","")</f>
        <v/>
      </c>
      <c r="M1583">
        <f>IF(AND(A1583=Dashboard!$D$6,OR(Dashboard!$C$6="*",F1583=Dashboard!$C$6),L1583&lt;&gt;""),ABS(I1583)+ROW()/1000000000,0)</f>
        <v/>
      </c>
    </row>
    <row r="1584">
      <c r="A1584">
        <f>Data_thang!A1584</f>
        <v/>
      </c>
      <c r="B1584">
        <f>Data_thang!B1584</f>
        <v/>
      </c>
      <c r="C1584">
        <f>Data_thang!D1584</f>
        <v/>
      </c>
      <c r="D1584">
        <f>Data_thang!E1584</f>
        <v/>
      </c>
      <c r="E1584">
        <f>Data_thang!F1584</f>
        <v/>
      </c>
      <c r="F1584">
        <f>Data_thang!G1584</f>
        <v/>
      </c>
      <c r="G1584" s="29">
        <f>Data_thang!J1584-Data_thang!K1584</f>
        <v/>
      </c>
      <c r="H1584" s="29">
        <f>Data_thang!N1584</f>
        <v/>
      </c>
      <c r="I1584" s="29">
        <f>H1584-G1584</f>
        <v/>
      </c>
      <c r="J1584" s="30">
        <f>IF(H1584=0,IF(I1584=0,0,1),I1584/ABS(H1584))</f>
        <v/>
      </c>
      <c r="K1584" s="29">
        <f>H1584-(Data_thang!O1584-Data_thang!K1584)</f>
        <v/>
      </c>
      <c r="L1584">
        <f>IF(AND(ABS(I1584)&gt;Dashboard!$G$6,ABS(J1584)&gt;Dashboard!$H$6),"⚠ Vượt","")</f>
        <v/>
      </c>
      <c r="M1584">
        <f>IF(AND(A1584=Dashboard!$D$6,OR(Dashboard!$C$6="*",F1584=Dashboard!$C$6),L1584&lt;&gt;""),ABS(I1584)+ROW()/1000000000,0)</f>
        <v/>
      </c>
    </row>
    <row r="1585">
      <c r="A1585">
        <f>Data_thang!A1585</f>
        <v/>
      </c>
      <c r="B1585">
        <f>Data_thang!B1585</f>
        <v/>
      </c>
      <c r="C1585">
        <f>Data_thang!D1585</f>
        <v/>
      </c>
      <c r="D1585">
        <f>Data_thang!E1585</f>
        <v/>
      </c>
      <c r="E1585">
        <f>Data_thang!F1585</f>
        <v/>
      </c>
      <c r="F1585">
        <f>Data_thang!G1585</f>
        <v/>
      </c>
      <c r="G1585" s="29">
        <f>Data_thang!J1585-Data_thang!K1585</f>
        <v/>
      </c>
      <c r="H1585" s="29">
        <f>Data_thang!N1585</f>
        <v/>
      </c>
      <c r="I1585" s="29">
        <f>H1585-G1585</f>
        <v/>
      </c>
      <c r="J1585" s="30">
        <f>IF(H1585=0,IF(I1585=0,0,1),I1585/ABS(H1585))</f>
        <v/>
      </c>
      <c r="K1585" s="29">
        <f>H1585-(Data_thang!O1585-Data_thang!K1585)</f>
        <v/>
      </c>
      <c r="L1585">
        <f>IF(AND(ABS(I1585)&gt;Dashboard!$G$6,ABS(J1585)&gt;Dashboard!$H$6),"⚠ Vượt","")</f>
        <v/>
      </c>
      <c r="M1585">
        <f>IF(AND(A1585=Dashboard!$D$6,OR(Dashboard!$C$6="*",F1585=Dashboard!$C$6),L1585&lt;&gt;""),ABS(I1585)+ROW()/1000000000,0)</f>
        <v/>
      </c>
    </row>
    <row r="1586">
      <c r="A1586">
        <f>Data_thang!A1586</f>
        <v/>
      </c>
      <c r="B1586">
        <f>Data_thang!B1586</f>
        <v/>
      </c>
      <c r="C1586">
        <f>Data_thang!D1586</f>
        <v/>
      </c>
      <c r="D1586">
        <f>Data_thang!E1586</f>
        <v/>
      </c>
      <c r="E1586">
        <f>Data_thang!F1586</f>
        <v/>
      </c>
      <c r="F1586">
        <f>Data_thang!G1586</f>
        <v/>
      </c>
      <c r="G1586" s="29">
        <f>Data_thang!J1586-Data_thang!K1586</f>
        <v/>
      </c>
      <c r="H1586" s="29">
        <f>Data_thang!N1586</f>
        <v/>
      </c>
      <c r="I1586" s="29">
        <f>H1586-G1586</f>
        <v/>
      </c>
      <c r="J1586" s="30">
        <f>IF(H1586=0,IF(I1586=0,0,1),I1586/ABS(H1586))</f>
        <v/>
      </c>
      <c r="K1586" s="29">
        <f>H1586-(Data_thang!O1586-Data_thang!K1586)</f>
        <v/>
      </c>
      <c r="L1586">
        <f>IF(AND(ABS(I1586)&gt;Dashboard!$G$6,ABS(J1586)&gt;Dashboard!$H$6),"⚠ Vượt","")</f>
        <v/>
      </c>
      <c r="M1586">
        <f>IF(AND(A1586=Dashboard!$D$6,OR(Dashboard!$C$6="*",F1586=Dashboard!$C$6),L1586&lt;&gt;""),ABS(I1586)+ROW()/1000000000,0)</f>
        <v/>
      </c>
    </row>
    <row r="1587">
      <c r="A1587">
        <f>Data_thang!A1587</f>
        <v/>
      </c>
      <c r="B1587">
        <f>Data_thang!B1587</f>
        <v/>
      </c>
      <c r="C1587">
        <f>Data_thang!D1587</f>
        <v/>
      </c>
      <c r="D1587">
        <f>Data_thang!E1587</f>
        <v/>
      </c>
      <c r="E1587">
        <f>Data_thang!F1587</f>
        <v/>
      </c>
      <c r="F1587">
        <f>Data_thang!G1587</f>
        <v/>
      </c>
      <c r="G1587" s="29">
        <f>Data_thang!J1587-Data_thang!K1587</f>
        <v/>
      </c>
      <c r="H1587" s="29">
        <f>Data_thang!N1587</f>
        <v/>
      </c>
      <c r="I1587" s="29">
        <f>H1587-G1587</f>
        <v/>
      </c>
      <c r="J1587" s="30">
        <f>IF(H1587=0,IF(I1587=0,0,1),I1587/ABS(H1587))</f>
        <v/>
      </c>
      <c r="K1587" s="29">
        <f>H1587-(Data_thang!O1587-Data_thang!K1587)</f>
        <v/>
      </c>
      <c r="L1587">
        <f>IF(AND(ABS(I1587)&gt;Dashboard!$G$6,ABS(J1587)&gt;Dashboard!$H$6),"⚠ Vượt","")</f>
        <v/>
      </c>
      <c r="M1587">
        <f>IF(AND(A1587=Dashboard!$D$6,OR(Dashboard!$C$6="*",F1587=Dashboard!$C$6),L1587&lt;&gt;""),ABS(I1587)+ROW()/1000000000,0)</f>
        <v/>
      </c>
    </row>
    <row r="1588">
      <c r="A1588">
        <f>Data_thang!A1588</f>
        <v/>
      </c>
      <c r="B1588">
        <f>Data_thang!B1588</f>
        <v/>
      </c>
      <c r="C1588">
        <f>Data_thang!D1588</f>
        <v/>
      </c>
      <c r="D1588">
        <f>Data_thang!E1588</f>
        <v/>
      </c>
      <c r="E1588">
        <f>Data_thang!F1588</f>
        <v/>
      </c>
      <c r="F1588">
        <f>Data_thang!G1588</f>
        <v/>
      </c>
      <c r="G1588" s="29">
        <f>Data_thang!J1588-Data_thang!K1588</f>
        <v/>
      </c>
      <c r="H1588" s="29">
        <f>Data_thang!N1588</f>
        <v/>
      </c>
      <c r="I1588" s="29">
        <f>H1588-G1588</f>
        <v/>
      </c>
      <c r="J1588" s="30">
        <f>IF(H1588=0,IF(I1588=0,0,1),I1588/ABS(H1588))</f>
        <v/>
      </c>
      <c r="K1588" s="29">
        <f>H1588-(Data_thang!O1588-Data_thang!K1588)</f>
        <v/>
      </c>
      <c r="L1588">
        <f>IF(AND(ABS(I1588)&gt;Dashboard!$G$6,ABS(J1588)&gt;Dashboard!$H$6),"⚠ Vượt","")</f>
        <v/>
      </c>
      <c r="M1588">
        <f>IF(AND(A1588=Dashboard!$D$6,OR(Dashboard!$C$6="*",F1588=Dashboard!$C$6),L1588&lt;&gt;""),ABS(I1588)+ROW()/1000000000,0)</f>
        <v/>
      </c>
    </row>
    <row r="1589">
      <c r="A1589">
        <f>Data_thang!A1589</f>
        <v/>
      </c>
      <c r="B1589">
        <f>Data_thang!B1589</f>
        <v/>
      </c>
      <c r="C1589">
        <f>Data_thang!D1589</f>
        <v/>
      </c>
      <c r="D1589">
        <f>Data_thang!E1589</f>
        <v/>
      </c>
      <c r="E1589">
        <f>Data_thang!F1589</f>
        <v/>
      </c>
      <c r="F1589">
        <f>Data_thang!G1589</f>
        <v/>
      </c>
      <c r="G1589" s="29">
        <f>Data_thang!J1589-Data_thang!K1589</f>
        <v/>
      </c>
      <c r="H1589" s="29">
        <f>Data_thang!N1589</f>
        <v/>
      </c>
      <c r="I1589" s="29">
        <f>H1589-G1589</f>
        <v/>
      </c>
      <c r="J1589" s="30">
        <f>IF(H1589=0,IF(I1589=0,0,1),I1589/ABS(H1589))</f>
        <v/>
      </c>
      <c r="K1589" s="29">
        <f>H1589-(Data_thang!O1589-Data_thang!K1589)</f>
        <v/>
      </c>
      <c r="L1589">
        <f>IF(AND(ABS(I1589)&gt;Dashboard!$G$6,ABS(J1589)&gt;Dashboard!$H$6),"⚠ Vượt","")</f>
        <v/>
      </c>
      <c r="M1589">
        <f>IF(AND(A1589=Dashboard!$D$6,OR(Dashboard!$C$6="*",F1589=Dashboard!$C$6),L1589&lt;&gt;""),ABS(I1589)+ROW()/1000000000,0)</f>
        <v/>
      </c>
    </row>
    <row r="1590">
      <c r="A1590">
        <f>Data_thang!A1590</f>
        <v/>
      </c>
      <c r="B1590">
        <f>Data_thang!B1590</f>
        <v/>
      </c>
      <c r="C1590">
        <f>Data_thang!D1590</f>
        <v/>
      </c>
      <c r="D1590">
        <f>Data_thang!E1590</f>
        <v/>
      </c>
      <c r="E1590">
        <f>Data_thang!F1590</f>
        <v/>
      </c>
      <c r="F1590">
        <f>Data_thang!G1590</f>
        <v/>
      </c>
      <c r="G1590" s="29">
        <f>Data_thang!J1590-Data_thang!K1590</f>
        <v/>
      </c>
      <c r="H1590" s="29">
        <f>Data_thang!N1590</f>
        <v/>
      </c>
      <c r="I1590" s="29">
        <f>H1590-G1590</f>
        <v/>
      </c>
      <c r="J1590" s="30">
        <f>IF(H1590=0,IF(I1590=0,0,1),I1590/ABS(H1590))</f>
        <v/>
      </c>
      <c r="K1590" s="29">
        <f>H1590-(Data_thang!O1590-Data_thang!K1590)</f>
        <v/>
      </c>
      <c r="L1590">
        <f>IF(AND(ABS(I1590)&gt;Dashboard!$G$6,ABS(J1590)&gt;Dashboard!$H$6),"⚠ Vượt","")</f>
        <v/>
      </c>
      <c r="M1590">
        <f>IF(AND(A1590=Dashboard!$D$6,OR(Dashboard!$C$6="*",F1590=Dashboard!$C$6),L1590&lt;&gt;""),ABS(I1590)+ROW()/1000000000,0)</f>
        <v/>
      </c>
    </row>
    <row r="1591">
      <c r="A1591">
        <f>Data_thang!A1591</f>
        <v/>
      </c>
      <c r="B1591">
        <f>Data_thang!B1591</f>
        <v/>
      </c>
      <c r="C1591">
        <f>Data_thang!D1591</f>
        <v/>
      </c>
      <c r="D1591">
        <f>Data_thang!E1591</f>
        <v/>
      </c>
      <c r="E1591">
        <f>Data_thang!F1591</f>
        <v/>
      </c>
      <c r="F1591">
        <f>Data_thang!G1591</f>
        <v/>
      </c>
      <c r="G1591" s="29">
        <f>Data_thang!J1591-Data_thang!K1591</f>
        <v/>
      </c>
      <c r="H1591" s="29">
        <f>Data_thang!N1591</f>
        <v/>
      </c>
      <c r="I1591" s="29">
        <f>H1591-G1591</f>
        <v/>
      </c>
      <c r="J1591" s="30">
        <f>IF(H1591=0,IF(I1591=0,0,1),I1591/ABS(H1591))</f>
        <v/>
      </c>
      <c r="K1591" s="29">
        <f>H1591-(Data_thang!O1591-Data_thang!K1591)</f>
        <v/>
      </c>
      <c r="L1591">
        <f>IF(AND(ABS(I1591)&gt;Dashboard!$G$6,ABS(J1591)&gt;Dashboard!$H$6),"⚠ Vượt","")</f>
        <v/>
      </c>
      <c r="M1591">
        <f>IF(AND(A1591=Dashboard!$D$6,OR(Dashboard!$C$6="*",F1591=Dashboard!$C$6),L1591&lt;&gt;""),ABS(I1591)+ROW()/1000000000,0)</f>
        <v/>
      </c>
    </row>
    <row r="1592">
      <c r="A1592">
        <f>Data_thang!A1592</f>
        <v/>
      </c>
      <c r="B1592">
        <f>Data_thang!B1592</f>
        <v/>
      </c>
      <c r="C1592">
        <f>Data_thang!D1592</f>
        <v/>
      </c>
      <c r="D1592">
        <f>Data_thang!E1592</f>
        <v/>
      </c>
      <c r="E1592">
        <f>Data_thang!F1592</f>
        <v/>
      </c>
      <c r="F1592">
        <f>Data_thang!G1592</f>
        <v/>
      </c>
      <c r="G1592" s="29">
        <f>Data_thang!J1592-Data_thang!K1592</f>
        <v/>
      </c>
      <c r="H1592" s="29">
        <f>Data_thang!N1592</f>
        <v/>
      </c>
      <c r="I1592" s="29">
        <f>H1592-G1592</f>
        <v/>
      </c>
      <c r="J1592" s="30">
        <f>IF(H1592=0,IF(I1592=0,0,1),I1592/ABS(H1592))</f>
        <v/>
      </c>
      <c r="K1592" s="29">
        <f>H1592-(Data_thang!O1592-Data_thang!K1592)</f>
        <v/>
      </c>
      <c r="L1592">
        <f>IF(AND(ABS(I1592)&gt;Dashboard!$G$6,ABS(J1592)&gt;Dashboard!$H$6),"⚠ Vượt","")</f>
        <v/>
      </c>
      <c r="M1592">
        <f>IF(AND(A1592=Dashboard!$D$6,OR(Dashboard!$C$6="*",F1592=Dashboard!$C$6),L1592&lt;&gt;""),ABS(I1592)+ROW()/1000000000,0)</f>
        <v/>
      </c>
    </row>
    <row r="1593">
      <c r="A1593">
        <f>Data_thang!A1593</f>
        <v/>
      </c>
      <c r="B1593">
        <f>Data_thang!B1593</f>
        <v/>
      </c>
      <c r="C1593">
        <f>Data_thang!D1593</f>
        <v/>
      </c>
      <c r="D1593">
        <f>Data_thang!E1593</f>
        <v/>
      </c>
      <c r="E1593">
        <f>Data_thang!F1593</f>
        <v/>
      </c>
      <c r="F1593">
        <f>Data_thang!G1593</f>
        <v/>
      </c>
      <c r="G1593" s="29">
        <f>Data_thang!J1593-Data_thang!K1593</f>
        <v/>
      </c>
      <c r="H1593" s="29">
        <f>Data_thang!N1593</f>
        <v/>
      </c>
      <c r="I1593" s="29">
        <f>H1593-G1593</f>
        <v/>
      </c>
      <c r="J1593" s="30">
        <f>IF(H1593=0,IF(I1593=0,0,1),I1593/ABS(H1593))</f>
        <v/>
      </c>
      <c r="K1593" s="29">
        <f>H1593-(Data_thang!O1593-Data_thang!K1593)</f>
        <v/>
      </c>
      <c r="L1593">
        <f>IF(AND(ABS(I1593)&gt;Dashboard!$G$6,ABS(J1593)&gt;Dashboard!$H$6),"⚠ Vượt","")</f>
        <v/>
      </c>
      <c r="M1593">
        <f>IF(AND(A1593=Dashboard!$D$6,OR(Dashboard!$C$6="*",F1593=Dashboard!$C$6),L1593&lt;&gt;""),ABS(I1593)+ROW()/1000000000,0)</f>
        <v/>
      </c>
    </row>
    <row r="1594">
      <c r="A1594">
        <f>Data_thang!A1594</f>
        <v/>
      </c>
      <c r="B1594">
        <f>Data_thang!B1594</f>
        <v/>
      </c>
      <c r="C1594">
        <f>Data_thang!D1594</f>
        <v/>
      </c>
      <c r="D1594">
        <f>Data_thang!E1594</f>
        <v/>
      </c>
      <c r="E1594">
        <f>Data_thang!F1594</f>
        <v/>
      </c>
      <c r="F1594">
        <f>Data_thang!G1594</f>
        <v/>
      </c>
      <c r="G1594" s="29">
        <f>Data_thang!J1594-Data_thang!K1594</f>
        <v/>
      </c>
      <c r="H1594" s="29">
        <f>Data_thang!N1594</f>
        <v/>
      </c>
      <c r="I1594" s="29">
        <f>H1594-G1594</f>
        <v/>
      </c>
      <c r="J1594" s="30">
        <f>IF(H1594=0,IF(I1594=0,0,1),I1594/ABS(H1594))</f>
        <v/>
      </c>
      <c r="K1594" s="29">
        <f>H1594-(Data_thang!O1594-Data_thang!K1594)</f>
        <v/>
      </c>
      <c r="L1594">
        <f>IF(AND(ABS(I1594)&gt;Dashboard!$G$6,ABS(J1594)&gt;Dashboard!$H$6),"⚠ Vượt","")</f>
        <v/>
      </c>
      <c r="M1594">
        <f>IF(AND(A1594=Dashboard!$D$6,OR(Dashboard!$C$6="*",F1594=Dashboard!$C$6),L1594&lt;&gt;""),ABS(I1594)+ROW()/1000000000,0)</f>
        <v/>
      </c>
    </row>
    <row r="1595">
      <c r="A1595">
        <f>Data_thang!A1595</f>
        <v/>
      </c>
      <c r="B1595">
        <f>Data_thang!B1595</f>
        <v/>
      </c>
      <c r="C1595">
        <f>Data_thang!D1595</f>
        <v/>
      </c>
      <c r="D1595">
        <f>Data_thang!E1595</f>
        <v/>
      </c>
      <c r="E1595">
        <f>Data_thang!F1595</f>
        <v/>
      </c>
      <c r="F1595">
        <f>Data_thang!G1595</f>
        <v/>
      </c>
      <c r="G1595" s="29">
        <f>Data_thang!J1595-Data_thang!K1595</f>
        <v/>
      </c>
      <c r="H1595" s="29">
        <f>Data_thang!N1595</f>
        <v/>
      </c>
      <c r="I1595" s="29">
        <f>H1595-G1595</f>
        <v/>
      </c>
      <c r="J1595" s="30">
        <f>IF(H1595=0,IF(I1595=0,0,1),I1595/ABS(H1595))</f>
        <v/>
      </c>
      <c r="K1595" s="29">
        <f>H1595-(Data_thang!O1595-Data_thang!K1595)</f>
        <v/>
      </c>
      <c r="L1595">
        <f>IF(AND(ABS(I1595)&gt;Dashboard!$G$6,ABS(J1595)&gt;Dashboard!$H$6),"⚠ Vượt","")</f>
        <v/>
      </c>
      <c r="M1595">
        <f>IF(AND(A1595=Dashboard!$D$6,OR(Dashboard!$C$6="*",F1595=Dashboard!$C$6),L1595&lt;&gt;""),ABS(I1595)+ROW()/1000000000,0)</f>
        <v/>
      </c>
    </row>
    <row r="1596">
      <c r="A1596">
        <f>Data_thang!A1596</f>
        <v/>
      </c>
      <c r="B1596">
        <f>Data_thang!B1596</f>
        <v/>
      </c>
      <c r="C1596">
        <f>Data_thang!D1596</f>
        <v/>
      </c>
      <c r="D1596">
        <f>Data_thang!E1596</f>
        <v/>
      </c>
      <c r="E1596">
        <f>Data_thang!F1596</f>
        <v/>
      </c>
      <c r="F1596">
        <f>Data_thang!G1596</f>
        <v/>
      </c>
      <c r="G1596" s="29">
        <f>Data_thang!J1596-Data_thang!K1596</f>
        <v/>
      </c>
      <c r="H1596" s="29">
        <f>Data_thang!N1596</f>
        <v/>
      </c>
      <c r="I1596" s="29">
        <f>H1596-G1596</f>
        <v/>
      </c>
      <c r="J1596" s="30">
        <f>IF(H1596=0,IF(I1596=0,0,1),I1596/ABS(H1596))</f>
        <v/>
      </c>
      <c r="K1596" s="29">
        <f>H1596-(Data_thang!O1596-Data_thang!K1596)</f>
        <v/>
      </c>
      <c r="L1596">
        <f>IF(AND(ABS(I1596)&gt;Dashboard!$G$6,ABS(J1596)&gt;Dashboard!$H$6),"⚠ Vượt","")</f>
        <v/>
      </c>
      <c r="M1596">
        <f>IF(AND(A1596=Dashboard!$D$6,OR(Dashboard!$C$6="*",F1596=Dashboard!$C$6),L1596&lt;&gt;""),ABS(I1596)+ROW()/1000000000,0)</f>
        <v/>
      </c>
    </row>
    <row r="1597">
      <c r="A1597">
        <f>Data_thang!A1597</f>
        <v/>
      </c>
      <c r="B1597">
        <f>Data_thang!B1597</f>
        <v/>
      </c>
      <c r="C1597">
        <f>Data_thang!D1597</f>
        <v/>
      </c>
      <c r="D1597">
        <f>Data_thang!E1597</f>
        <v/>
      </c>
      <c r="E1597">
        <f>Data_thang!F1597</f>
        <v/>
      </c>
      <c r="F1597">
        <f>Data_thang!G1597</f>
        <v/>
      </c>
      <c r="G1597" s="29">
        <f>Data_thang!J1597-Data_thang!K1597</f>
        <v/>
      </c>
      <c r="H1597" s="29">
        <f>Data_thang!N1597</f>
        <v/>
      </c>
      <c r="I1597" s="29">
        <f>H1597-G1597</f>
        <v/>
      </c>
      <c r="J1597" s="30">
        <f>IF(H1597=0,IF(I1597=0,0,1),I1597/ABS(H1597))</f>
        <v/>
      </c>
      <c r="K1597" s="29">
        <f>H1597-(Data_thang!O1597-Data_thang!K1597)</f>
        <v/>
      </c>
      <c r="L1597">
        <f>IF(AND(ABS(I1597)&gt;Dashboard!$G$6,ABS(J1597)&gt;Dashboard!$H$6),"⚠ Vượt","")</f>
        <v/>
      </c>
      <c r="M1597">
        <f>IF(AND(A1597=Dashboard!$D$6,OR(Dashboard!$C$6="*",F1597=Dashboard!$C$6),L1597&lt;&gt;""),ABS(I1597)+ROW()/1000000000,0)</f>
        <v/>
      </c>
    </row>
    <row r="1598">
      <c r="A1598">
        <f>Data_thang!A1598</f>
        <v/>
      </c>
      <c r="B1598">
        <f>Data_thang!B1598</f>
        <v/>
      </c>
      <c r="C1598">
        <f>Data_thang!D1598</f>
        <v/>
      </c>
      <c r="D1598">
        <f>Data_thang!E1598</f>
        <v/>
      </c>
      <c r="E1598">
        <f>Data_thang!F1598</f>
        <v/>
      </c>
      <c r="F1598">
        <f>Data_thang!G1598</f>
        <v/>
      </c>
      <c r="G1598" s="29">
        <f>Data_thang!J1598-Data_thang!K1598</f>
        <v/>
      </c>
      <c r="H1598" s="29">
        <f>Data_thang!N1598</f>
        <v/>
      </c>
      <c r="I1598" s="29">
        <f>H1598-G1598</f>
        <v/>
      </c>
      <c r="J1598" s="30">
        <f>IF(H1598=0,IF(I1598=0,0,1),I1598/ABS(H1598))</f>
        <v/>
      </c>
      <c r="K1598" s="29">
        <f>H1598-(Data_thang!O1598-Data_thang!K1598)</f>
        <v/>
      </c>
      <c r="L1598">
        <f>IF(AND(ABS(I1598)&gt;Dashboard!$G$6,ABS(J1598)&gt;Dashboard!$H$6),"⚠ Vượt","")</f>
        <v/>
      </c>
      <c r="M1598">
        <f>IF(AND(A1598=Dashboard!$D$6,OR(Dashboard!$C$6="*",F1598=Dashboard!$C$6),L1598&lt;&gt;""),ABS(I1598)+ROW()/1000000000,0)</f>
        <v/>
      </c>
    </row>
    <row r="1599">
      <c r="A1599">
        <f>Data_thang!A1599</f>
        <v/>
      </c>
      <c r="B1599">
        <f>Data_thang!B1599</f>
        <v/>
      </c>
      <c r="C1599">
        <f>Data_thang!D1599</f>
        <v/>
      </c>
      <c r="D1599">
        <f>Data_thang!E1599</f>
        <v/>
      </c>
      <c r="E1599">
        <f>Data_thang!F1599</f>
        <v/>
      </c>
      <c r="F1599">
        <f>Data_thang!G1599</f>
        <v/>
      </c>
      <c r="G1599" s="29">
        <f>Data_thang!J1599-Data_thang!K1599</f>
        <v/>
      </c>
      <c r="H1599" s="29">
        <f>Data_thang!N1599</f>
        <v/>
      </c>
      <c r="I1599" s="29">
        <f>H1599-G1599</f>
        <v/>
      </c>
      <c r="J1599" s="30">
        <f>IF(H1599=0,IF(I1599=0,0,1),I1599/ABS(H1599))</f>
        <v/>
      </c>
      <c r="K1599" s="29">
        <f>H1599-(Data_thang!O1599-Data_thang!K1599)</f>
        <v/>
      </c>
      <c r="L1599">
        <f>IF(AND(ABS(I1599)&gt;Dashboard!$G$6,ABS(J1599)&gt;Dashboard!$H$6),"⚠ Vượt","")</f>
        <v/>
      </c>
      <c r="M1599">
        <f>IF(AND(A1599=Dashboard!$D$6,OR(Dashboard!$C$6="*",F1599=Dashboard!$C$6),L1599&lt;&gt;""),ABS(I1599)+ROW()/1000000000,0)</f>
        <v/>
      </c>
    </row>
    <row r="1600">
      <c r="A1600">
        <f>Data_thang!A1600</f>
        <v/>
      </c>
      <c r="B1600">
        <f>Data_thang!B1600</f>
        <v/>
      </c>
      <c r="C1600">
        <f>Data_thang!D1600</f>
        <v/>
      </c>
      <c r="D1600">
        <f>Data_thang!E1600</f>
        <v/>
      </c>
      <c r="E1600">
        <f>Data_thang!F1600</f>
        <v/>
      </c>
      <c r="F1600">
        <f>Data_thang!G1600</f>
        <v/>
      </c>
      <c r="G1600" s="29">
        <f>Data_thang!J1600-Data_thang!K1600</f>
        <v/>
      </c>
      <c r="H1600" s="29">
        <f>Data_thang!N1600</f>
        <v/>
      </c>
      <c r="I1600" s="29">
        <f>H1600-G1600</f>
        <v/>
      </c>
      <c r="J1600" s="30">
        <f>IF(H1600=0,IF(I1600=0,0,1),I1600/ABS(H1600))</f>
        <v/>
      </c>
      <c r="K1600" s="29">
        <f>H1600-(Data_thang!O1600-Data_thang!K1600)</f>
        <v/>
      </c>
      <c r="L1600">
        <f>IF(AND(ABS(I1600)&gt;Dashboard!$G$6,ABS(J1600)&gt;Dashboard!$H$6),"⚠ Vượt","")</f>
        <v/>
      </c>
      <c r="M1600">
        <f>IF(AND(A1600=Dashboard!$D$6,OR(Dashboard!$C$6="*",F1600=Dashboard!$C$6),L1600&lt;&gt;""),ABS(I1600)+ROW()/1000000000,0)</f>
        <v/>
      </c>
    </row>
    <row r="1601">
      <c r="A1601">
        <f>Data_thang!A1601</f>
        <v/>
      </c>
      <c r="B1601">
        <f>Data_thang!B1601</f>
        <v/>
      </c>
      <c r="C1601">
        <f>Data_thang!D1601</f>
        <v/>
      </c>
      <c r="D1601">
        <f>Data_thang!E1601</f>
        <v/>
      </c>
      <c r="E1601">
        <f>Data_thang!F1601</f>
        <v/>
      </c>
      <c r="F1601">
        <f>Data_thang!G1601</f>
        <v/>
      </c>
      <c r="G1601" s="29">
        <f>Data_thang!J1601-Data_thang!K1601</f>
        <v/>
      </c>
      <c r="H1601" s="29">
        <f>Data_thang!N1601</f>
        <v/>
      </c>
      <c r="I1601" s="29">
        <f>H1601-G1601</f>
        <v/>
      </c>
      <c r="J1601" s="30">
        <f>IF(H1601=0,IF(I1601=0,0,1),I1601/ABS(H1601))</f>
        <v/>
      </c>
      <c r="K1601" s="29">
        <f>H1601-(Data_thang!O1601-Data_thang!K1601)</f>
        <v/>
      </c>
      <c r="L1601">
        <f>IF(AND(ABS(I1601)&gt;Dashboard!$G$6,ABS(J1601)&gt;Dashboard!$H$6),"⚠ Vượt","")</f>
        <v/>
      </c>
      <c r="M1601">
        <f>IF(AND(A1601=Dashboard!$D$6,OR(Dashboard!$C$6="*",F1601=Dashboard!$C$6),L1601&lt;&gt;""),ABS(I1601)+ROW()/1000000000,0)</f>
        <v/>
      </c>
    </row>
    <row r="1602">
      <c r="A1602">
        <f>Data_thang!A1602</f>
        <v/>
      </c>
      <c r="B1602">
        <f>Data_thang!B1602</f>
        <v/>
      </c>
      <c r="C1602">
        <f>Data_thang!D1602</f>
        <v/>
      </c>
      <c r="D1602">
        <f>Data_thang!E1602</f>
        <v/>
      </c>
      <c r="E1602">
        <f>Data_thang!F1602</f>
        <v/>
      </c>
      <c r="F1602">
        <f>Data_thang!G1602</f>
        <v/>
      </c>
      <c r="G1602" s="29">
        <f>Data_thang!J1602-Data_thang!K1602</f>
        <v/>
      </c>
      <c r="H1602" s="29">
        <f>Data_thang!N1602</f>
        <v/>
      </c>
      <c r="I1602" s="29">
        <f>H1602-G1602</f>
        <v/>
      </c>
      <c r="J1602" s="30">
        <f>IF(H1602=0,IF(I1602=0,0,1),I1602/ABS(H1602))</f>
        <v/>
      </c>
      <c r="K1602" s="29">
        <f>H1602-(Data_thang!O1602-Data_thang!K1602)</f>
        <v/>
      </c>
      <c r="L1602">
        <f>IF(AND(ABS(I1602)&gt;Dashboard!$G$6,ABS(J1602)&gt;Dashboard!$H$6),"⚠ Vượt","")</f>
        <v/>
      </c>
      <c r="M1602">
        <f>IF(AND(A1602=Dashboard!$D$6,OR(Dashboard!$C$6="*",F1602=Dashboard!$C$6),L1602&lt;&gt;""),ABS(I1602)+ROW()/1000000000,0)</f>
        <v/>
      </c>
    </row>
    <row r="1603">
      <c r="A1603">
        <f>Data_thang!A1603</f>
        <v/>
      </c>
      <c r="B1603">
        <f>Data_thang!B1603</f>
        <v/>
      </c>
      <c r="C1603">
        <f>Data_thang!D1603</f>
        <v/>
      </c>
      <c r="D1603">
        <f>Data_thang!E1603</f>
        <v/>
      </c>
      <c r="E1603">
        <f>Data_thang!F1603</f>
        <v/>
      </c>
      <c r="F1603">
        <f>Data_thang!G1603</f>
        <v/>
      </c>
      <c r="G1603" s="29">
        <f>Data_thang!J1603-Data_thang!K1603</f>
        <v/>
      </c>
      <c r="H1603" s="29">
        <f>Data_thang!N1603</f>
        <v/>
      </c>
      <c r="I1603" s="29">
        <f>H1603-G1603</f>
        <v/>
      </c>
      <c r="J1603" s="30">
        <f>IF(H1603=0,IF(I1603=0,0,1),I1603/ABS(H1603))</f>
        <v/>
      </c>
      <c r="K1603" s="29">
        <f>H1603-(Data_thang!O1603-Data_thang!K1603)</f>
        <v/>
      </c>
      <c r="L1603">
        <f>IF(AND(ABS(I1603)&gt;Dashboard!$G$6,ABS(J1603)&gt;Dashboard!$H$6),"⚠ Vượt","")</f>
        <v/>
      </c>
      <c r="M1603">
        <f>IF(AND(A1603=Dashboard!$D$6,OR(Dashboard!$C$6="*",F1603=Dashboard!$C$6),L1603&lt;&gt;""),ABS(I1603)+ROW()/1000000000,0)</f>
        <v/>
      </c>
    </row>
    <row r="1604">
      <c r="A1604">
        <f>Data_thang!A1604</f>
        <v/>
      </c>
      <c r="B1604">
        <f>Data_thang!B1604</f>
        <v/>
      </c>
      <c r="C1604">
        <f>Data_thang!D1604</f>
        <v/>
      </c>
      <c r="D1604">
        <f>Data_thang!E1604</f>
        <v/>
      </c>
      <c r="E1604">
        <f>Data_thang!F1604</f>
        <v/>
      </c>
      <c r="F1604">
        <f>Data_thang!G1604</f>
        <v/>
      </c>
      <c r="G1604" s="29">
        <f>Data_thang!J1604-Data_thang!K1604</f>
        <v/>
      </c>
      <c r="H1604" s="29">
        <f>Data_thang!N1604</f>
        <v/>
      </c>
      <c r="I1604" s="29">
        <f>H1604-G1604</f>
        <v/>
      </c>
      <c r="J1604" s="30">
        <f>IF(H1604=0,IF(I1604=0,0,1),I1604/ABS(H1604))</f>
        <v/>
      </c>
      <c r="K1604" s="29">
        <f>H1604-(Data_thang!O1604-Data_thang!K1604)</f>
        <v/>
      </c>
      <c r="L1604">
        <f>IF(AND(ABS(I1604)&gt;Dashboard!$G$6,ABS(J1604)&gt;Dashboard!$H$6),"⚠ Vượt","")</f>
        <v/>
      </c>
      <c r="M1604">
        <f>IF(AND(A1604=Dashboard!$D$6,OR(Dashboard!$C$6="*",F1604=Dashboard!$C$6),L1604&lt;&gt;""),ABS(I1604)+ROW()/1000000000,0)</f>
        <v/>
      </c>
    </row>
    <row r="1605">
      <c r="A1605">
        <f>Data_thang!A1605</f>
        <v/>
      </c>
      <c r="B1605">
        <f>Data_thang!B1605</f>
        <v/>
      </c>
      <c r="C1605">
        <f>Data_thang!D1605</f>
        <v/>
      </c>
      <c r="D1605">
        <f>Data_thang!E1605</f>
        <v/>
      </c>
      <c r="E1605">
        <f>Data_thang!F1605</f>
        <v/>
      </c>
      <c r="F1605">
        <f>Data_thang!G1605</f>
        <v/>
      </c>
      <c r="G1605" s="29">
        <f>Data_thang!J1605-Data_thang!K1605</f>
        <v/>
      </c>
      <c r="H1605" s="29">
        <f>Data_thang!N1605</f>
        <v/>
      </c>
      <c r="I1605" s="29">
        <f>H1605-G1605</f>
        <v/>
      </c>
      <c r="J1605" s="30">
        <f>IF(H1605=0,IF(I1605=0,0,1),I1605/ABS(H1605))</f>
        <v/>
      </c>
      <c r="K1605" s="29">
        <f>H1605-(Data_thang!O1605-Data_thang!K1605)</f>
        <v/>
      </c>
      <c r="L1605">
        <f>IF(AND(ABS(I1605)&gt;Dashboard!$G$6,ABS(J1605)&gt;Dashboard!$H$6),"⚠ Vượt","")</f>
        <v/>
      </c>
      <c r="M1605">
        <f>IF(AND(A1605=Dashboard!$D$6,OR(Dashboard!$C$6="*",F1605=Dashboard!$C$6),L1605&lt;&gt;""),ABS(I1605)+ROW()/1000000000,0)</f>
        <v/>
      </c>
    </row>
    <row r="1606">
      <c r="A1606">
        <f>Data_thang!A1606</f>
        <v/>
      </c>
      <c r="B1606">
        <f>Data_thang!B1606</f>
        <v/>
      </c>
      <c r="C1606">
        <f>Data_thang!D1606</f>
        <v/>
      </c>
      <c r="D1606">
        <f>Data_thang!E1606</f>
        <v/>
      </c>
      <c r="E1606">
        <f>Data_thang!F1606</f>
        <v/>
      </c>
      <c r="F1606">
        <f>Data_thang!G1606</f>
        <v/>
      </c>
      <c r="G1606" s="29">
        <f>Data_thang!J1606-Data_thang!K1606</f>
        <v/>
      </c>
      <c r="H1606" s="29">
        <f>Data_thang!N1606</f>
        <v/>
      </c>
      <c r="I1606" s="29">
        <f>H1606-G1606</f>
        <v/>
      </c>
      <c r="J1606" s="30">
        <f>IF(H1606=0,IF(I1606=0,0,1),I1606/ABS(H1606))</f>
        <v/>
      </c>
      <c r="K1606" s="29">
        <f>H1606-(Data_thang!O1606-Data_thang!K1606)</f>
        <v/>
      </c>
      <c r="L1606">
        <f>IF(AND(ABS(I1606)&gt;Dashboard!$G$6,ABS(J1606)&gt;Dashboard!$H$6),"⚠ Vượt","")</f>
        <v/>
      </c>
      <c r="M1606">
        <f>IF(AND(A1606=Dashboard!$D$6,OR(Dashboard!$C$6="*",F1606=Dashboard!$C$6),L1606&lt;&gt;""),ABS(I1606)+ROW()/1000000000,0)</f>
        <v/>
      </c>
    </row>
    <row r="1607">
      <c r="A1607">
        <f>Data_thang!A1607</f>
        <v/>
      </c>
      <c r="B1607">
        <f>Data_thang!B1607</f>
        <v/>
      </c>
      <c r="C1607">
        <f>Data_thang!D1607</f>
        <v/>
      </c>
      <c r="D1607">
        <f>Data_thang!E1607</f>
        <v/>
      </c>
      <c r="E1607">
        <f>Data_thang!F1607</f>
        <v/>
      </c>
      <c r="F1607">
        <f>Data_thang!G1607</f>
        <v/>
      </c>
      <c r="G1607" s="29">
        <f>Data_thang!J1607-Data_thang!K1607</f>
        <v/>
      </c>
      <c r="H1607" s="29">
        <f>Data_thang!N1607</f>
        <v/>
      </c>
      <c r="I1607" s="29">
        <f>H1607-G1607</f>
        <v/>
      </c>
      <c r="J1607" s="30">
        <f>IF(H1607=0,IF(I1607=0,0,1),I1607/ABS(H1607))</f>
        <v/>
      </c>
      <c r="K1607" s="29">
        <f>H1607-(Data_thang!O1607-Data_thang!K1607)</f>
        <v/>
      </c>
      <c r="L1607">
        <f>IF(AND(ABS(I1607)&gt;Dashboard!$G$6,ABS(J1607)&gt;Dashboard!$H$6),"⚠ Vượt","")</f>
        <v/>
      </c>
      <c r="M1607">
        <f>IF(AND(A1607=Dashboard!$D$6,OR(Dashboard!$C$6="*",F1607=Dashboard!$C$6),L1607&lt;&gt;""),ABS(I1607)+ROW()/1000000000,0)</f>
        <v/>
      </c>
    </row>
    <row r="1608">
      <c r="A1608">
        <f>Data_thang!A1608</f>
        <v/>
      </c>
      <c r="B1608">
        <f>Data_thang!B1608</f>
        <v/>
      </c>
      <c r="C1608">
        <f>Data_thang!D1608</f>
        <v/>
      </c>
      <c r="D1608">
        <f>Data_thang!E1608</f>
        <v/>
      </c>
      <c r="E1608">
        <f>Data_thang!F1608</f>
        <v/>
      </c>
      <c r="F1608">
        <f>Data_thang!G1608</f>
        <v/>
      </c>
      <c r="G1608" s="29">
        <f>Data_thang!J1608-Data_thang!K1608</f>
        <v/>
      </c>
      <c r="H1608" s="29">
        <f>Data_thang!N1608</f>
        <v/>
      </c>
      <c r="I1608" s="29">
        <f>H1608-G1608</f>
        <v/>
      </c>
      <c r="J1608" s="30">
        <f>IF(H1608=0,IF(I1608=0,0,1),I1608/ABS(H1608))</f>
        <v/>
      </c>
      <c r="K1608" s="29">
        <f>H1608-(Data_thang!O1608-Data_thang!K1608)</f>
        <v/>
      </c>
      <c r="L1608">
        <f>IF(AND(ABS(I1608)&gt;Dashboard!$G$6,ABS(J1608)&gt;Dashboard!$H$6),"⚠ Vượt","")</f>
        <v/>
      </c>
      <c r="M1608">
        <f>IF(AND(A1608=Dashboard!$D$6,OR(Dashboard!$C$6="*",F1608=Dashboard!$C$6),L1608&lt;&gt;""),ABS(I1608)+ROW()/1000000000,0)</f>
        <v/>
      </c>
    </row>
    <row r="1609">
      <c r="A1609">
        <f>Data_thang!A1609</f>
        <v/>
      </c>
      <c r="B1609">
        <f>Data_thang!B1609</f>
        <v/>
      </c>
      <c r="C1609">
        <f>Data_thang!D1609</f>
        <v/>
      </c>
      <c r="D1609">
        <f>Data_thang!E1609</f>
        <v/>
      </c>
      <c r="E1609">
        <f>Data_thang!F1609</f>
        <v/>
      </c>
      <c r="F1609">
        <f>Data_thang!G1609</f>
        <v/>
      </c>
      <c r="G1609" s="29">
        <f>Data_thang!J1609-Data_thang!K1609</f>
        <v/>
      </c>
      <c r="H1609" s="29">
        <f>Data_thang!N1609</f>
        <v/>
      </c>
      <c r="I1609" s="29">
        <f>H1609-G1609</f>
        <v/>
      </c>
      <c r="J1609" s="30">
        <f>IF(H1609=0,IF(I1609=0,0,1),I1609/ABS(H1609))</f>
        <v/>
      </c>
      <c r="K1609" s="29">
        <f>H1609-(Data_thang!O1609-Data_thang!K1609)</f>
        <v/>
      </c>
      <c r="L1609">
        <f>IF(AND(ABS(I1609)&gt;Dashboard!$G$6,ABS(J1609)&gt;Dashboard!$H$6),"⚠ Vượt","")</f>
        <v/>
      </c>
      <c r="M1609">
        <f>IF(AND(A1609=Dashboard!$D$6,OR(Dashboard!$C$6="*",F1609=Dashboard!$C$6),L1609&lt;&gt;""),ABS(I1609)+ROW()/1000000000,0)</f>
        <v/>
      </c>
    </row>
    <row r="1610">
      <c r="A1610">
        <f>Data_thang!A1610</f>
        <v/>
      </c>
      <c r="B1610">
        <f>Data_thang!B1610</f>
        <v/>
      </c>
      <c r="C1610">
        <f>Data_thang!D1610</f>
        <v/>
      </c>
      <c r="D1610">
        <f>Data_thang!E1610</f>
        <v/>
      </c>
      <c r="E1610">
        <f>Data_thang!F1610</f>
        <v/>
      </c>
      <c r="F1610">
        <f>Data_thang!G1610</f>
        <v/>
      </c>
      <c r="G1610" s="29">
        <f>Data_thang!J1610-Data_thang!K1610</f>
        <v/>
      </c>
      <c r="H1610" s="29">
        <f>Data_thang!N1610</f>
        <v/>
      </c>
      <c r="I1610" s="29">
        <f>H1610-G1610</f>
        <v/>
      </c>
      <c r="J1610" s="30">
        <f>IF(H1610=0,IF(I1610=0,0,1),I1610/ABS(H1610))</f>
        <v/>
      </c>
      <c r="K1610" s="29">
        <f>H1610-(Data_thang!O1610-Data_thang!K1610)</f>
        <v/>
      </c>
      <c r="L1610">
        <f>IF(AND(ABS(I1610)&gt;Dashboard!$G$6,ABS(J1610)&gt;Dashboard!$H$6),"⚠ Vượt","")</f>
        <v/>
      </c>
      <c r="M1610">
        <f>IF(AND(A1610=Dashboard!$D$6,OR(Dashboard!$C$6="*",F1610=Dashboard!$C$6),L1610&lt;&gt;""),ABS(I1610)+ROW()/1000000000,0)</f>
        <v/>
      </c>
    </row>
    <row r="1611">
      <c r="A1611">
        <f>Data_thang!A1611</f>
        <v/>
      </c>
      <c r="B1611">
        <f>Data_thang!B1611</f>
        <v/>
      </c>
      <c r="C1611">
        <f>Data_thang!D1611</f>
        <v/>
      </c>
      <c r="D1611">
        <f>Data_thang!E1611</f>
        <v/>
      </c>
      <c r="E1611">
        <f>Data_thang!F1611</f>
        <v/>
      </c>
      <c r="F1611">
        <f>Data_thang!G1611</f>
        <v/>
      </c>
      <c r="G1611" s="29">
        <f>Data_thang!J1611-Data_thang!K1611</f>
        <v/>
      </c>
      <c r="H1611" s="29">
        <f>Data_thang!N1611</f>
        <v/>
      </c>
      <c r="I1611" s="29">
        <f>H1611-G1611</f>
        <v/>
      </c>
      <c r="J1611" s="30">
        <f>IF(H1611=0,IF(I1611=0,0,1),I1611/ABS(H1611))</f>
        <v/>
      </c>
      <c r="K1611" s="29">
        <f>H1611-(Data_thang!O1611-Data_thang!K1611)</f>
        <v/>
      </c>
      <c r="L1611">
        <f>IF(AND(ABS(I1611)&gt;Dashboard!$G$6,ABS(J1611)&gt;Dashboard!$H$6),"⚠ Vượt","")</f>
        <v/>
      </c>
      <c r="M1611">
        <f>IF(AND(A1611=Dashboard!$D$6,OR(Dashboard!$C$6="*",F1611=Dashboard!$C$6),L1611&lt;&gt;""),ABS(I1611)+ROW()/1000000000,0)</f>
        <v/>
      </c>
    </row>
    <row r="1612">
      <c r="A1612">
        <f>Data_thang!A1612</f>
        <v/>
      </c>
      <c r="B1612">
        <f>Data_thang!B1612</f>
        <v/>
      </c>
      <c r="C1612">
        <f>Data_thang!D1612</f>
        <v/>
      </c>
      <c r="D1612">
        <f>Data_thang!E1612</f>
        <v/>
      </c>
      <c r="E1612">
        <f>Data_thang!F1612</f>
        <v/>
      </c>
      <c r="F1612">
        <f>Data_thang!G1612</f>
        <v/>
      </c>
      <c r="G1612" s="29">
        <f>Data_thang!J1612-Data_thang!K1612</f>
        <v/>
      </c>
      <c r="H1612" s="29">
        <f>Data_thang!N1612</f>
        <v/>
      </c>
      <c r="I1612" s="29">
        <f>H1612-G1612</f>
        <v/>
      </c>
      <c r="J1612" s="30">
        <f>IF(H1612=0,IF(I1612=0,0,1),I1612/ABS(H1612))</f>
        <v/>
      </c>
      <c r="K1612" s="29">
        <f>H1612-(Data_thang!O1612-Data_thang!K1612)</f>
        <v/>
      </c>
      <c r="L1612">
        <f>IF(AND(ABS(I1612)&gt;Dashboard!$G$6,ABS(J1612)&gt;Dashboard!$H$6),"⚠ Vượt","")</f>
        <v/>
      </c>
      <c r="M1612">
        <f>IF(AND(A1612=Dashboard!$D$6,OR(Dashboard!$C$6="*",F1612=Dashboard!$C$6),L1612&lt;&gt;""),ABS(I1612)+ROW()/1000000000,0)</f>
        <v/>
      </c>
    </row>
    <row r="1613">
      <c r="A1613">
        <f>Data_thang!A1613</f>
        <v/>
      </c>
      <c r="B1613">
        <f>Data_thang!B1613</f>
        <v/>
      </c>
      <c r="C1613">
        <f>Data_thang!D1613</f>
        <v/>
      </c>
      <c r="D1613">
        <f>Data_thang!E1613</f>
        <v/>
      </c>
      <c r="E1613">
        <f>Data_thang!F1613</f>
        <v/>
      </c>
      <c r="F1613">
        <f>Data_thang!G1613</f>
        <v/>
      </c>
      <c r="G1613" s="29">
        <f>Data_thang!J1613-Data_thang!K1613</f>
        <v/>
      </c>
      <c r="H1613" s="29">
        <f>Data_thang!N1613</f>
        <v/>
      </c>
      <c r="I1613" s="29">
        <f>H1613-G1613</f>
        <v/>
      </c>
      <c r="J1613" s="30">
        <f>IF(H1613=0,IF(I1613=0,0,1),I1613/ABS(H1613))</f>
        <v/>
      </c>
      <c r="K1613" s="29">
        <f>H1613-(Data_thang!O1613-Data_thang!K1613)</f>
        <v/>
      </c>
      <c r="L1613">
        <f>IF(AND(ABS(I1613)&gt;Dashboard!$G$6,ABS(J1613)&gt;Dashboard!$H$6),"⚠ Vượt","")</f>
        <v/>
      </c>
      <c r="M1613">
        <f>IF(AND(A1613=Dashboard!$D$6,OR(Dashboard!$C$6="*",F1613=Dashboard!$C$6),L1613&lt;&gt;""),ABS(I1613)+ROW()/1000000000,0)</f>
        <v/>
      </c>
    </row>
    <row r="1614">
      <c r="A1614">
        <f>Data_thang!A1614</f>
        <v/>
      </c>
      <c r="B1614">
        <f>Data_thang!B1614</f>
        <v/>
      </c>
      <c r="C1614">
        <f>Data_thang!D1614</f>
        <v/>
      </c>
      <c r="D1614">
        <f>Data_thang!E1614</f>
        <v/>
      </c>
      <c r="E1614">
        <f>Data_thang!F1614</f>
        <v/>
      </c>
      <c r="F1614">
        <f>Data_thang!G1614</f>
        <v/>
      </c>
      <c r="G1614" s="29">
        <f>Data_thang!J1614-Data_thang!K1614</f>
        <v/>
      </c>
      <c r="H1614" s="29">
        <f>Data_thang!N1614</f>
        <v/>
      </c>
      <c r="I1614" s="29">
        <f>H1614-G1614</f>
        <v/>
      </c>
      <c r="J1614" s="30">
        <f>IF(H1614=0,IF(I1614=0,0,1),I1614/ABS(H1614))</f>
        <v/>
      </c>
      <c r="K1614" s="29">
        <f>H1614-(Data_thang!O1614-Data_thang!K1614)</f>
        <v/>
      </c>
      <c r="L1614">
        <f>IF(AND(ABS(I1614)&gt;Dashboard!$G$6,ABS(J1614)&gt;Dashboard!$H$6),"⚠ Vượt","")</f>
        <v/>
      </c>
      <c r="M1614">
        <f>IF(AND(A1614=Dashboard!$D$6,OR(Dashboard!$C$6="*",F1614=Dashboard!$C$6),L1614&lt;&gt;""),ABS(I1614)+ROW()/1000000000,0)</f>
        <v/>
      </c>
    </row>
    <row r="1615">
      <c r="A1615">
        <f>Data_thang!A1615</f>
        <v/>
      </c>
      <c r="B1615">
        <f>Data_thang!B1615</f>
        <v/>
      </c>
      <c r="C1615">
        <f>Data_thang!D1615</f>
        <v/>
      </c>
      <c r="D1615">
        <f>Data_thang!E1615</f>
        <v/>
      </c>
      <c r="E1615">
        <f>Data_thang!F1615</f>
        <v/>
      </c>
      <c r="F1615">
        <f>Data_thang!G1615</f>
        <v/>
      </c>
      <c r="G1615" s="29">
        <f>Data_thang!J1615-Data_thang!K1615</f>
        <v/>
      </c>
      <c r="H1615" s="29">
        <f>Data_thang!N1615</f>
        <v/>
      </c>
      <c r="I1615" s="29">
        <f>H1615-G1615</f>
        <v/>
      </c>
      <c r="J1615" s="30">
        <f>IF(H1615=0,IF(I1615=0,0,1),I1615/ABS(H1615))</f>
        <v/>
      </c>
      <c r="K1615" s="29">
        <f>H1615-(Data_thang!O1615-Data_thang!K1615)</f>
        <v/>
      </c>
      <c r="L1615">
        <f>IF(AND(ABS(I1615)&gt;Dashboard!$G$6,ABS(J1615)&gt;Dashboard!$H$6),"⚠ Vượt","")</f>
        <v/>
      </c>
      <c r="M1615">
        <f>IF(AND(A1615=Dashboard!$D$6,OR(Dashboard!$C$6="*",F1615=Dashboard!$C$6),L1615&lt;&gt;""),ABS(I1615)+ROW()/1000000000,0)</f>
        <v/>
      </c>
    </row>
    <row r="1616">
      <c r="A1616">
        <f>Data_thang!A1616</f>
        <v/>
      </c>
      <c r="B1616">
        <f>Data_thang!B1616</f>
        <v/>
      </c>
      <c r="C1616">
        <f>Data_thang!D1616</f>
        <v/>
      </c>
      <c r="D1616">
        <f>Data_thang!E1616</f>
        <v/>
      </c>
      <c r="E1616">
        <f>Data_thang!F1616</f>
        <v/>
      </c>
      <c r="F1616">
        <f>Data_thang!G1616</f>
        <v/>
      </c>
      <c r="G1616" s="29">
        <f>Data_thang!J1616-Data_thang!K1616</f>
        <v/>
      </c>
      <c r="H1616" s="29">
        <f>Data_thang!N1616</f>
        <v/>
      </c>
      <c r="I1616" s="29">
        <f>H1616-G1616</f>
        <v/>
      </c>
      <c r="J1616" s="30">
        <f>IF(H1616=0,IF(I1616=0,0,1),I1616/ABS(H1616))</f>
        <v/>
      </c>
      <c r="K1616" s="29">
        <f>H1616-(Data_thang!O1616-Data_thang!K1616)</f>
        <v/>
      </c>
      <c r="L1616">
        <f>IF(AND(ABS(I1616)&gt;Dashboard!$G$6,ABS(J1616)&gt;Dashboard!$H$6),"⚠ Vượt","")</f>
        <v/>
      </c>
      <c r="M1616">
        <f>IF(AND(A1616=Dashboard!$D$6,OR(Dashboard!$C$6="*",F1616=Dashboard!$C$6),L1616&lt;&gt;""),ABS(I1616)+ROW()/1000000000,0)</f>
        <v/>
      </c>
    </row>
    <row r="1617">
      <c r="A1617">
        <f>Data_thang!A1617</f>
        <v/>
      </c>
      <c r="B1617">
        <f>Data_thang!B1617</f>
        <v/>
      </c>
      <c r="C1617">
        <f>Data_thang!D1617</f>
        <v/>
      </c>
      <c r="D1617">
        <f>Data_thang!E1617</f>
        <v/>
      </c>
      <c r="E1617">
        <f>Data_thang!F1617</f>
        <v/>
      </c>
      <c r="F1617">
        <f>Data_thang!G1617</f>
        <v/>
      </c>
      <c r="G1617" s="29">
        <f>Data_thang!J1617-Data_thang!K1617</f>
        <v/>
      </c>
      <c r="H1617" s="29">
        <f>Data_thang!N1617</f>
        <v/>
      </c>
      <c r="I1617" s="29">
        <f>H1617-G1617</f>
        <v/>
      </c>
      <c r="J1617" s="30">
        <f>IF(H1617=0,IF(I1617=0,0,1),I1617/ABS(H1617))</f>
        <v/>
      </c>
      <c r="K1617" s="29">
        <f>H1617-(Data_thang!O1617-Data_thang!K1617)</f>
        <v/>
      </c>
      <c r="L1617">
        <f>IF(AND(ABS(I1617)&gt;Dashboard!$G$6,ABS(J1617)&gt;Dashboard!$H$6),"⚠ Vượt","")</f>
        <v/>
      </c>
      <c r="M1617">
        <f>IF(AND(A1617=Dashboard!$D$6,OR(Dashboard!$C$6="*",F1617=Dashboard!$C$6),L1617&lt;&gt;""),ABS(I1617)+ROW()/1000000000,0)</f>
        <v/>
      </c>
    </row>
    <row r="1618">
      <c r="A1618">
        <f>Data_thang!A1618</f>
        <v/>
      </c>
      <c r="B1618">
        <f>Data_thang!B1618</f>
        <v/>
      </c>
      <c r="C1618">
        <f>Data_thang!D1618</f>
        <v/>
      </c>
      <c r="D1618">
        <f>Data_thang!E1618</f>
        <v/>
      </c>
      <c r="E1618">
        <f>Data_thang!F1618</f>
        <v/>
      </c>
      <c r="F1618">
        <f>Data_thang!G1618</f>
        <v/>
      </c>
      <c r="G1618" s="29">
        <f>Data_thang!J1618-Data_thang!K1618</f>
        <v/>
      </c>
      <c r="H1618" s="29">
        <f>Data_thang!N1618</f>
        <v/>
      </c>
      <c r="I1618" s="29">
        <f>H1618-G1618</f>
        <v/>
      </c>
      <c r="J1618" s="30">
        <f>IF(H1618=0,IF(I1618=0,0,1),I1618/ABS(H1618))</f>
        <v/>
      </c>
      <c r="K1618" s="29">
        <f>H1618-(Data_thang!O1618-Data_thang!K1618)</f>
        <v/>
      </c>
      <c r="L1618">
        <f>IF(AND(ABS(I1618)&gt;Dashboard!$G$6,ABS(J1618)&gt;Dashboard!$H$6),"⚠ Vượt","")</f>
        <v/>
      </c>
      <c r="M1618">
        <f>IF(AND(A1618=Dashboard!$D$6,OR(Dashboard!$C$6="*",F1618=Dashboard!$C$6),L1618&lt;&gt;""),ABS(I1618)+ROW()/1000000000,0)</f>
        <v/>
      </c>
    </row>
    <row r="1619">
      <c r="A1619">
        <f>Data_thang!A1619</f>
        <v/>
      </c>
      <c r="B1619">
        <f>Data_thang!B1619</f>
        <v/>
      </c>
      <c r="C1619">
        <f>Data_thang!D1619</f>
        <v/>
      </c>
      <c r="D1619">
        <f>Data_thang!E1619</f>
        <v/>
      </c>
      <c r="E1619">
        <f>Data_thang!F1619</f>
        <v/>
      </c>
      <c r="F1619">
        <f>Data_thang!G1619</f>
        <v/>
      </c>
      <c r="G1619" s="29">
        <f>Data_thang!J1619-Data_thang!K1619</f>
        <v/>
      </c>
      <c r="H1619" s="29">
        <f>Data_thang!N1619</f>
        <v/>
      </c>
      <c r="I1619" s="29">
        <f>H1619-G1619</f>
        <v/>
      </c>
      <c r="J1619" s="30">
        <f>IF(H1619=0,IF(I1619=0,0,1),I1619/ABS(H1619))</f>
        <v/>
      </c>
      <c r="K1619" s="29">
        <f>H1619-(Data_thang!O1619-Data_thang!K1619)</f>
        <v/>
      </c>
      <c r="L1619">
        <f>IF(AND(ABS(I1619)&gt;Dashboard!$G$6,ABS(J1619)&gt;Dashboard!$H$6),"⚠ Vượt","")</f>
        <v/>
      </c>
      <c r="M1619">
        <f>IF(AND(A1619=Dashboard!$D$6,OR(Dashboard!$C$6="*",F1619=Dashboard!$C$6),L1619&lt;&gt;""),ABS(I1619)+ROW()/1000000000,0)</f>
        <v/>
      </c>
    </row>
    <row r="1620">
      <c r="A1620">
        <f>Data_thang!A1620</f>
        <v/>
      </c>
      <c r="B1620">
        <f>Data_thang!B1620</f>
        <v/>
      </c>
      <c r="C1620">
        <f>Data_thang!D1620</f>
        <v/>
      </c>
      <c r="D1620">
        <f>Data_thang!E1620</f>
        <v/>
      </c>
      <c r="E1620">
        <f>Data_thang!F1620</f>
        <v/>
      </c>
      <c r="F1620">
        <f>Data_thang!G1620</f>
        <v/>
      </c>
      <c r="G1620" s="29">
        <f>Data_thang!J1620-Data_thang!K1620</f>
        <v/>
      </c>
      <c r="H1620" s="29">
        <f>Data_thang!N1620</f>
        <v/>
      </c>
      <c r="I1620" s="29">
        <f>H1620-G1620</f>
        <v/>
      </c>
      <c r="J1620" s="30">
        <f>IF(H1620=0,IF(I1620=0,0,1),I1620/ABS(H1620))</f>
        <v/>
      </c>
      <c r="K1620" s="29">
        <f>H1620-(Data_thang!O1620-Data_thang!K1620)</f>
        <v/>
      </c>
      <c r="L1620">
        <f>IF(AND(ABS(I1620)&gt;Dashboard!$G$6,ABS(J1620)&gt;Dashboard!$H$6),"⚠ Vượt","")</f>
        <v/>
      </c>
      <c r="M1620">
        <f>IF(AND(A1620=Dashboard!$D$6,OR(Dashboard!$C$6="*",F1620=Dashboard!$C$6),L1620&lt;&gt;""),ABS(I1620)+ROW()/1000000000,0)</f>
        <v/>
      </c>
    </row>
    <row r="1621">
      <c r="A1621">
        <f>Data_thang!A1621</f>
        <v/>
      </c>
      <c r="B1621">
        <f>Data_thang!B1621</f>
        <v/>
      </c>
      <c r="C1621">
        <f>Data_thang!D1621</f>
        <v/>
      </c>
      <c r="D1621">
        <f>Data_thang!E1621</f>
        <v/>
      </c>
      <c r="E1621">
        <f>Data_thang!F1621</f>
        <v/>
      </c>
      <c r="F1621">
        <f>Data_thang!G1621</f>
        <v/>
      </c>
      <c r="G1621" s="29">
        <f>Data_thang!J1621-Data_thang!K1621</f>
        <v/>
      </c>
      <c r="H1621" s="29">
        <f>Data_thang!N1621</f>
        <v/>
      </c>
      <c r="I1621" s="29">
        <f>H1621-G1621</f>
        <v/>
      </c>
      <c r="J1621" s="30">
        <f>IF(H1621=0,IF(I1621=0,0,1),I1621/ABS(H1621))</f>
        <v/>
      </c>
      <c r="K1621" s="29">
        <f>H1621-(Data_thang!O1621-Data_thang!K1621)</f>
        <v/>
      </c>
      <c r="L1621">
        <f>IF(AND(ABS(I1621)&gt;Dashboard!$G$6,ABS(J1621)&gt;Dashboard!$H$6),"⚠ Vượt","")</f>
        <v/>
      </c>
      <c r="M1621">
        <f>IF(AND(A1621=Dashboard!$D$6,OR(Dashboard!$C$6="*",F1621=Dashboard!$C$6),L1621&lt;&gt;""),ABS(I1621)+ROW()/1000000000,0)</f>
        <v/>
      </c>
    </row>
    <row r="1622">
      <c r="A1622">
        <f>Data_thang!A1622</f>
        <v/>
      </c>
      <c r="B1622">
        <f>Data_thang!B1622</f>
        <v/>
      </c>
      <c r="C1622">
        <f>Data_thang!D1622</f>
        <v/>
      </c>
      <c r="D1622">
        <f>Data_thang!E1622</f>
        <v/>
      </c>
      <c r="E1622">
        <f>Data_thang!F1622</f>
        <v/>
      </c>
      <c r="F1622">
        <f>Data_thang!G1622</f>
        <v/>
      </c>
      <c r="G1622" s="29">
        <f>Data_thang!J1622-Data_thang!K1622</f>
        <v/>
      </c>
      <c r="H1622" s="29">
        <f>Data_thang!N1622</f>
        <v/>
      </c>
      <c r="I1622" s="29">
        <f>H1622-G1622</f>
        <v/>
      </c>
      <c r="J1622" s="30">
        <f>IF(H1622=0,IF(I1622=0,0,1),I1622/ABS(H1622))</f>
        <v/>
      </c>
      <c r="K1622" s="29">
        <f>H1622-(Data_thang!O1622-Data_thang!K1622)</f>
        <v/>
      </c>
      <c r="L1622">
        <f>IF(AND(ABS(I1622)&gt;Dashboard!$G$6,ABS(J1622)&gt;Dashboard!$H$6),"⚠ Vượt","")</f>
        <v/>
      </c>
      <c r="M1622">
        <f>IF(AND(A1622=Dashboard!$D$6,OR(Dashboard!$C$6="*",F1622=Dashboard!$C$6),L1622&lt;&gt;""),ABS(I1622)+ROW()/1000000000,0)</f>
        <v/>
      </c>
    </row>
    <row r="1623">
      <c r="A1623">
        <f>Data_thang!A1623</f>
        <v/>
      </c>
      <c r="B1623">
        <f>Data_thang!B1623</f>
        <v/>
      </c>
      <c r="C1623">
        <f>Data_thang!D1623</f>
        <v/>
      </c>
      <c r="D1623">
        <f>Data_thang!E1623</f>
        <v/>
      </c>
      <c r="E1623">
        <f>Data_thang!F1623</f>
        <v/>
      </c>
      <c r="F1623">
        <f>Data_thang!G1623</f>
        <v/>
      </c>
      <c r="G1623" s="29">
        <f>Data_thang!J1623-Data_thang!K1623</f>
        <v/>
      </c>
      <c r="H1623" s="29">
        <f>Data_thang!N1623</f>
        <v/>
      </c>
      <c r="I1623" s="29">
        <f>H1623-G1623</f>
        <v/>
      </c>
      <c r="J1623" s="30">
        <f>IF(H1623=0,IF(I1623=0,0,1),I1623/ABS(H1623))</f>
        <v/>
      </c>
      <c r="K1623" s="29">
        <f>H1623-(Data_thang!O1623-Data_thang!K1623)</f>
        <v/>
      </c>
      <c r="L1623">
        <f>IF(AND(ABS(I1623)&gt;Dashboard!$G$6,ABS(J1623)&gt;Dashboard!$H$6),"⚠ Vượt","")</f>
        <v/>
      </c>
      <c r="M1623">
        <f>IF(AND(A1623=Dashboard!$D$6,OR(Dashboard!$C$6="*",F1623=Dashboard!$C$6),L1623&lt;&gt;""),ABS(I1623)+ROW()/1000000000,0)</f>
        <v/>
      </c>
    </row>
    <row r="1624">
      <c r="A1624">
        <f>Data_thang!A1624</f>
        <v/>
      </c>
      <c r="B1624">
        <f>Data_thang!B1624</f>
        <v/>
      </c>
      <c r="C1624">
        <f>Data_thang!D1624</f>
        <v/>
      </c>
      <c r="D1624">
        <f>Data_thang!E1624</f>
        <v/>
      </c>
      <c r="E1624">
        <f>Data_thang!F1624</f>
        <v/>
      </c>
      <c r="F1624">
        <f>Data_thang!G1624</f>
        <v/>
      </c>
      <c r="G1624" s="29">
        <f>Data_thang!J1624-Data_thang!K1624</f>
        <v/>
      </c>
      <c r="H1624" s="29">
        <f>Data_thang!N1624</f>
        <v/>
      </c>
      <c r="I1624" s="29">
        <f>H1624-G1624</f>
        <v/>
      </c>
      <c r="J1624" s="30">
        <f>IF(H1624=0,IF(I1624=0,0,1),I1624/ABS(H1624))</f>
        <v/>
      </c>
      <c r="K1624" s="29">
        <f>H1624-(Data_thang!O1624-Data_thang!K1624)</f>
        <v/>
      </c>
      <c r="L1624">
        <f>IF(AND(ABS(I1624)&gt;Dashboard!$G$6,ABS(J1624)&gt;Dashboard!$H$6),"⚠ Vượt","")</f>
        <v/>
      </c>
      <c r="M1624">
        <f>IF(AND(A1624=Dashboard!$D$6,OR(Dashboard!$C$6="*",F1624=Dashboard!$C$6),L1624&lt;&gt;""),ABS(I1624)+ROW()/1000000000,0)</f>
        <v/>
      </c>
    </row>
    <row r="1625">
      <c r="A1625">
        <f>Data_thang!A1625</f>
        <v/>
      </c>
      <c r="B1625">
        <f>Data_thang!B1625</f>
        <v/>
      </c>
      <c r="C1625">
        <f>Data_thang!D1625</f>
        <v/>
      </c>
      <c r="D1625">
        <f>Data_thang!E1625</f>
        <v/>
      </c>
      <c r="E1625">
        <f>Data_thang!F1625</f>
        <v/>
      </c>
      <c r="F1625">
        <f>Data_thang!G1625</f>
        <v/>
      </c>
      <c r="G1625" s="29">
        <f>Data_thang!J1625-Data_thang!K1625</f>
        <v/>
      </c>
      <c r="H1625" s="29">
        <f>Data_thang!N1625</f>
        <v/>
      </c>
      <c r="I1625" s="29">
        <f>H1625-G1625</f>
        <v/>
      </c>
      <c r="J1625" s="30">
        <f>IF(H1625=0,IF(I1625=0,0,1),I1625/ABS(H1625))</f>
        <v/>
      </c>
      <c r="K1625" s="29">
        <f>H1625-(Data_thang!O1625-Data_thang!K1625)</f>
        <v/>
      </c>
      <c r="L1625">
        <f>IF(AND(ABS(I1625)&gt;Dashboard!$G$6,ABS(J1625)&gt;Dashboard!$H$6),"⚠ Vượt","")</f>
        <v/>
      </c>
      <c r="M1625">
        <f>IF(AND(A1625=Dashboard!$D$6,OR(Dashboard!$C$6="*",F1625=Dashboard!$C$6),L1625&lt;&gt;""),ABS(I1625)+ROW()/1000000000,0)</f>
        <v/>
      </c>
    </row>
    <row r="1626">
      <c r="A1626">
        <f>Data_thang!A1626</f>
        <v/>
      </c>
      <c r="B1626">
        <f>Data_thang!B1626</f>
        <v/>
      </c>
      <c r="C1626">
        <f>Data_thang!D1626</f>
        <v/>
      </c>
      <c r="D1626">
        <f>Data_thang!E1626</f>
        <v/>
      </c>
      <c r="E1626">
        <f>Data_thang!F1626</f>
        <v/>
      </c>
      <c r="F1626">
        <f>Data_thang!G1626</f>
        <v/>
      </c>
      <c r="G1626" s="29">
        <f>Data_thang!J1626-Data_thang!K1626</f>
        <v/>
      </c>
      <c r="H1626" s="29">
        <f>Data_thang!N1626</f>
        <v/>
      </c>
      <c r="I1626" s="29">
        <f>H1626-G1626</f>
        <v/>
      </c>
      <c r="J1626" s="30">
        <f>IF(H1626=0,IF(I1626=0,0,1),I1626/ABS(H1626))</f>
        <v/>
      </c>
      <c r="K1626" s="29">
        <f>H1626-(Data_thang!O1626-Data_thang!K1626)</f>
        <v/>
      </c>
      <c r="L1626">
        <f>IF(AND(ABS(I1626)&gt;Dashboard!$G$6,ABS(J1626)&gt;Dashboard!$H$6),"⚠ Vượt","")</f>
        <v/>
      </c>
      <c r="M1626">
        <f>IF(AND(A1626=Dashboard!$D$6,OR(Dashboard!$C$6="*",F1626=Dashboard!$C$6),L1626&lt;&gt;""),ABS(I1626)+ROW()/1000000000,0)</f>
        <v/>
      </c>
    </row>
    <row r="1627">
      <c r="A1627">
        <f>Data_thang!A1627</f>
        <v/>
      </c>
      <c r="B1627">
        <f>Data_thang!B1627</f>
        <v/>
      </c>
      <c r="C1627">
        <f>Data_thang!D1627</f>
        <v/>
      </c>
      <c r="D1627">
        <f>Data_thang!E1627</f>
        <v/>
      </c>
      <c r="E1627">
        <f>Data_thang!F1627</f>
        <v/>
      </c>
      <c r="F1627">
        <f>Data_thang!G1627</f>
        <v/>
      </c>
      <c r="G1627" s="29">
        <f>Data_thang!J1627-Data_thang!K1627</f>
        <v/>
      </c>
      <c r="H1627" s="29">
        <f>Data_thang!N1627</f>
        <v/>
      </c>
      <c r="I1627" s="29">
        <f>H1627-G1627</f>
        <v/>
      </c>
      <c r="J1627" s="30">
        <f>IF(H1627=0,IF(I1627=0,0,1),I1627/ABS(H1627))</f>
        <v/>
      </c>
      <c r="K1627" s="29">
        <f>H1627-(Data_thang!O1627-Data_thang!K1627)</f>
        <v/>
      </c>
      <c r="L1627">
        <f>IF(AND(ABS(I1627)&gt;Dashboard!$G$6,ABS(J1627)&gt;Dashboard!$H$6),"⚠ Vượt","")</f>
        <v/>
      </c>
      <c r="M1627">
        <f>IF(AND(A1627=Dashboard!$D$6,OR(Dashboard!$C$6="*",F1627=Dashboard!$C$6),L1627&lt;&gt;""),ABS(I1627)+ROW()/1000000000,0)</f>
        <v/>
      </c>
    </row>
    <row r="1628">
      <c r="A1628">
        <f>Data_thang!A1628</f>
        <v/>
      </c>
      <c r="B1628">
        <f>Data_thang!B1628</f>
        <v/>
      </c>
      <c r="C1628">
        <f>Data_thang!D1628</f>
        <v/>
      </c>
      <c r="D1628">
        <f>Data_thang!E1628</f>
        <v/>
      </c>
      <c r="E1628">
        <f>Data_thang!F1628</f>
        <v/>
      </c>
      <c r="F1628">
        <f>Data_thang!G1628</f>
        <v/>
      </c>
      <c r="G1628" s="29">
        <f>Data_thang!J1628-Data_thang!K1628</f>
        <v/>
      </c>
      <c r="H1628" s="29">
        <f>Data_thang!N1628</f>
        <v/>
      </c>
      <c r="I1628" s="29">
        <f>H1628-G1628</f>
        <v/>
      </c>
      <c r="J1628" s="30">
        <f>IF(H1628=0,IF(I1628=0,0,1),I1628/ABS(H1628))</f>
        <v/>
      </c>
      <c r="K1628" s="29">
        <f>H1628-(Data_thang!O1628-Data_thang!K1628)</f>
        <v/>
      </c>
      <c r="L1628">
        <f>IF(AND(ABS(I1628)&gt;Dashboard!$G$6,ABS(J1628)&gt;Dashboard!$H$6),"⚠ Vượt","")</f>
        <v/>
      </c>
      <c r="M1628">
        <f>IF(AND(A1628=Dashboard!$D$6,OR(Dashboard!$C$6="*",F1628=Dashboard!$C$6),L1628&lt;&gt;""),ABS(I1628)+ROW()/1000000000,0)</f>
        <v/>
      </c>
    </row>
    <row r="1629">
      <c r="A1629">
        <f>Data_thang!A1629</f>
        <v/>
      </c>
      <c r="B1629">
        <f>Data_thang!B1629</f>
        <v/>
      </c>
      <c r="C1629">
        <f>Data_thang!D1629</f>
        <v/>
      </c>
      <c r="D1629">
        <f>Data_thang!E1629</f>
        <v/>
      </c>
      <c r="E1629">
        <f>Data_thang!F1629</f>
        <v/>
      </c>
      <c r="F1629">
        <f>Data_thang!G1629</f>
        <v/>
      </c>
      <c r="G1629" s="29">
        <f>Data_thang!J1629-Data_thang!K1629</f>
        <v/>
      </c>
      <c r="H1629" s="29">
        <f>Data_thang!N1629</f>
        <v/>
      </c>
      <c r="I1629" s="29">
        <f>H1629-G1629</f>
        <v/>
      </c>
      <c r="J1629" s="30">
        <f>IF(H1629=0,IF(I1629=0,0,1),I1629/ABS(H1629))</f>
        <v/>
      </c>
      <c r="K1629" s="29">
        <f>H1629-(Data_thang!O1629-Data_thang!K1629)</f>
        <v/>
      </c>
      <c r="L1629">
        <f>IF(AND(ABS(I1629)&gt;Dashboard!$G$6,ABS(J1629)&gt;Dashboard!$H$6),"⚠ Vượt","")</f>
        <v/>
      </c>
      <c r="M1629">
        <f>IF(AND(A1629=Dashboard!$D$6,OR(Dashboard!$C$6="*",F1629=Dashboard!$C$6),L1629&lt;&gt;""),ABS(I1629)+ROW()/1000000000,0)</f>
        <v/>
      </c>
    </row>
    <row r="1630">
      <c r="A1630">
        <f>Data_thang!A1630</f>
        <v/>
      </c>
      <c r="B1630">
        <f>Data_thang!B1630</f>
        <v/>
      </c>
      <c r="C1630">
        <f>Data_thang!D1630</f>
        <v/>
      </c>
      <c r="D1630">
        <f>Data_thang!E1630</f>
        <v/>
      </c>
      <c r="E1630">
        <f>Data_thang!F1630</f>
        <v/>
      </c>
      <c r="F1630">
        <f>Data_thang!G1630</f>
        <v/>
      </c>
      <c r="G1630" s="29">
        <f>Data_thang!J1630-Data_thang!K1630</f>
        <v/>
      </c>
      <c r="H1630" s="29">
        <f>Data_thang!N1630</f>
        <v/>
      </c>
      <c r="I1630" s="29">
        <f>H1630-G1630</f>
        <v/>
      </c>
      <c r="J1630" s="30">
        <f>IF(H1630=0,IF(I1630=0,0,1),I1630/ABS(H1630))</f>
        <v/>
      </c>
      <c r="K1630" s="29">
        <f>H1630-(Data_thang!O1630-Data_thang!K1630)</f>
        <v/>
      </c>
      <c r="L1630">
        <f>IF(AND(ABS(I1630)&gt;Dashboard!$G$6,ABS(J1630)&gt;Dashboard!$H$6),"⚠ Vượt","")</f>
        <v/>
      </c>
      <c r="M1630">
        <f>IF(AND(A1630=Dashboard!$D$6,OR(Dashboard!$C$6="*",F1630=Dashboard!$C$6),L1630&lt;&gt;""),ABS(I1630)+ROW()/1000000000,0)</f>
        <v/>
      </c>
    </row>
    <row r="1631">
      <c r="A1631">
        <f>Data_thang!A1631</f>
        <v/>
      </c>
      <c r="B1631">
        <f>Data_thang!B1631</f>
        <v/>
      </c>
      <c r="C1631">
        <f>Data_thang!D1631</f>
        <v/>
      </c>
      <c r="D1631">
        <f>Data_thang!E1631</f>
        <v/>
      </c>
      <c r="E1631">
        <f>Data_thang!F1631</f>
        <v/>
      </c>
      <c r="F1631">
        <f>Data_thang!G1631</f>
        <v/>
      </c>
      <c r="G1631" s="29">
        <f>Data_thang!J1631-Data_thang!K1631</f>
        <v/>
      </c>
      <c r="H1631" s="29">
        <f>Data_thang!N1631</f>
        <v/>
      </c>
      <c r="I1631" s="29">
        <f>H1631-G1631</f>
        <v/>
      </c>
      <c r="J1631" s="30">
        <f>IF(H1631=0,IF(I1631=0,0,1),I1631/ABS(H1631))</f>
        <v/>
      </c>
      <c r="K1631" s="29">
        <f>H1631-(Data_thang!O1631-Data_thang!K1631)</f>
        <v/>
      </c>
      <c r="L1631">
        <f>IF(AND(ABS(I1631)&gt;Dashboard!$G$6,ABS(J1631)&gt;Dashboard!$H$6),"⚠ Vượt","")</f>
        <v/>
      </c>
      <c r="M1631">
        <f>IF(AND(A1631=Dashboard!$D$6,OR(Dashboard!$C$6="*",F1631=Dashboard!$C$6),L1631&lt;&gt;""),ABS(I1631)+ROW()/1000000000,0)</f>
        <v/>
      </c>
    </row>
    <row r="1632">
      <c r="A1632">
        <f>Data_thang!A1632</f>
        <v/>
      </c>
      <c r="B1632">
        <f>Data_thang!B1632</f>
        <v/>
      </c>
      <c r="C1632">
        <f>Data_thang!D1632</f>
        <v/>
      </c>
      <c r="D1632">
        <f>Data_thang!E1632</f>
        <v/>
      </c>
      <c r="E1632">
        <f>Data_thang!F1632</f>
        <v/>
      </c>
      <c r="F1632">
        <f>Data_thang!G1632</f>
        <v/>
      </c>
      <c r="G1632" s="29">
        <f>Data_thang!J1632-Data_thang!K1632</f>
        <v/>
      </c>
      <c r="H1632" s="29">
        <f>Data_thang!N1632</f>
        <v/>
      </c>
      <c r="I1632" s="29">
        <f>H1632-G1632</f>
        <v/>
      </c>
      <c r="J1632" s="30">
        <f>IF(H1632=0,IF(I1632=0,0,1),I1632/ABS(H1632))</f>
        <v/>
      </c>
      <c r="K1632" s="29">
        <f>H1632-(Data_thang!O1632-Data_thang!K1632)</f>
        <v/>
      </c>
      <c r="L1632">
        <f>IF(AND(ABS(I1632)&gt;Dashboard!$G$6,ABS(J1632)&gt;Dashboard!$H$6),"⚠ Vượt","")</f>
        <v/>
      </c>
      <c r="M1632">
        <f>IF(AND(A1632=Dashboard!$D$6,OR(Dashboard!$C$6="*",F1632=Dashboard!$C$6),L1632&lt;&gt;""),ABS(I1632)+ROW()/1000000000,0)</f>
        <v/>
      </c>
    </row>
    <row r="1633">
      <c r="A1633">
        <f>Data_thang!A1633</f>
        <v/>
      </c>
      <c r="B1633">
        <f>Data_thang!B1633</f>
        <v/>
      </c>
      <c r="C1633">
        <f>Data_thang!D1633</f>
        <v/>
      </c>
      <c r="D1633">
        <f>Data_thang!E1633</f>
        <v/>
      </c>
      <c r="E1633">
        <f>Data_thang!F1633</f>
        <v/>
      </c>
      <c r="F1633">
        <f>Data_thang!G1633</f>
        <v/>
      </c>
      <c r="G1633" s="29">
        <f>Data_thang!J1633-Data_thang!K1633</f>
        <v/>
      </c>
      <c r="H1633" s="29">
        <f>Data_thang!N1633</f>
        <v/>
      </c>
      <c r="I1633" s="29">
        <f>H1633-G1633</f>
        <v/>
      </c>
      <c r="J1633" s="30">
        <f>IF(H1633=0,IF(I1633=0,0,1),I1633/ABS(H1633))</f>
        <v/>
      </c>
      <c r="K1633" s="29">
        <f>H1633-(Data_thang!O1633-Data_thang!K1633)</f>
        <v/>
      </c>
      <c r="L1633">
        <f>IF(AND(ABS(I1633)&gt;Dashboard!$G$6,ABS(J1633)&gt;Dashboard!$H$6),"⚠ Vượt","")</f>
        <v/>
      </c>
      <c r="M1633">
        <f>IF(AND(A1633=Dashboard!$D$6,OR(Dashboard!$C$6="*",F1633=Dashboard!$C$6),L1633&lt;&gt;""),ABS(I1633)+ROW()/1000000000,0)</f>
        <v/>
      </c>
    </row>
    <row r="1634">
      <c r="A1634">
        <f>Data_thang!A1634</f>
        <v/>
      </c>
      <c r="B1634">
        <f>Data_thang!B1634</f>
        <v/>
      </c>
      <c r="C1634">
        <f>Data_thang!D1634</f>
        <v/>
      </c>
      <c r="D1634">
        <f>Data_thang!E1634</f>
        <v/>
      </c>
      <c r="E1634">
        <f>Data_thang!F1634</f>
        <v/>
      </c>
      <c r="F1634">
        <f>Data_thang!G1634</f>
        <v/>
      </c>
      <c r="G1634" s="29">
        <f>Data_thang!J1634-Data_thang!K1634</f>
        <v/>
      </c>
      <c r="H1634" s="29">
        <f>Data_thang!N1634</f>
        <v/>
      </c>
      <c r="I1634" s="29">
        <f>H1634-G1634</f>
        <v/>
      </c>
      <c r="J1634" s="30">
        <f>IF(H1634=0,IF(I1634=0,0,1),I1634/ABS(H1634))</f>
        <v/>
      </c>
      <c r="K1634" s="29">
        <f>H1634-(Data_thang!O1634-Data_thang!K1634)</f>
        <v/>
      </c>
      <c r="L1634">
        <f>IF(AND(ABS(I1634)&gt;Dashboard!$G$6,ABS(J1634)&gt;Dashboard!$H$6),"⚠ Vượt","")</f>
        <v/>
      </c>
      <c r="M1634">
        <f>IF(AND(A1634=Dashboard!$D$6,OR(Dashboard!$C$6="*",F1634=Dashboard!$C$6),L1634&lt;&gt;""),ABS(I1634)+ROW()/1000000000,0)</f>
        <v/>
      </c>
    </row>
    <row r="1635">
      <c r="A1635">
        <f>Data_thang!A1635</f>
        <v/>
      </c>
      <c r="B1635">
        <f>Data_thang!B1635</f>
        <v/>
      </c>
      <c r="C1635">
        <f>Data_thang!D1635</f>
        <v/>
      </c>
      <c r="D1635">
        <f>Data_thang!E1635</f>
        <v/>
      </c>
      <c r="E1635">
        <f>Data_thang!F1635</f>
        <v/>
      </c>
      <c r="F1635">
        <f>Data_thang!G1635</f>
        <v/>
      </c>
      <c r="G1635" s="29">
        <f>Data_thang!J1635-Data_thang!K1635</f>
        <v/>
      </c>
      <c r="H1635" s="29">
        <f>Data_thang!N1635</f>
        <v/>
      </c>
      <c r="I1635" s="29">
        <f>H1635-G1635</f>
        <v/>
      </c>
      <c r="J1635" s="30">
        <f>IF(H1635=0,IF(I1635=0,0,1),I1635/ABS(H1635))</f>
        <v/>
      </c>
      <c r="K1635" s="29">
        <f>H1635-(Data_thang!O1635-Data_thang!K1635)</f>
        <v/>
      </c>
      <c r="L1635">
        <f>IF(AND(ABS(I1635)&gt;Dashboard!$G$6,ABS(J1635)&gt;Dashboard!$H$6),"⚠ Vượt","")</f>
        <v/>
      </c>
      <c r="M1635">
        <f>IF(AND(A1635=Dashboard!$D$6,OR(Dashboard!$C$6="*",F1635=Dashboard!$C$6),L1635&lt;&gt;""),ABS(I1635)+ROW()/1000000000,0)</f>
        <v/>
      </c>
    </row>
    <row r="1636">
      <c r="A1636">
        <f>Data_thang!A1636</f>
        <v/>
      </c>
      <c r="B1636">
        <f>Data_thang!B1636</f>
        <v/>
      </c>
      <c r="C1636">
        <f>Data_thang!D1636</f>
        <v/>
      </c>
      <c r="D1636">
        <f>Data_thang!E1636</f>
        <v/>
      </c>
      <c r="E1636">
        <f>Data_thang!F1636</f>
        <v/>
      </c>
      <c r="F1636">
        <f>Data_thang!G1636</f>
        <v/>
      </c>
      <c r="G1636" s="29">
        <f>Data_thang!J1636-Data_thang!K1636</f>
        <v/>
      </c>
      <c r="H1636" s="29">
        <f>Data_thang!N1636</f>
        <v/>
      </c>
      <c r="I1636" s="29">
        <f>H1636-G1636</f>
        <v/>
      </c>
      <c r="J1636" s="30">
        <f>IF(H1636=0,IF(I1636=0,0,1),I1636/ABS(H1636))</f>
        <v/>
      </c>
      <c r="K1636" s="29">
        <f>H1636-(Data_thang!O1636-Data_thang!K1636)</f>
        <v/>
      </c>
      <c r="L1636">
        <f>IF(AND(ABS(I1636)&gt;Dashboard!$G$6,ABS(J1636)&gt;Dashboard!$H$6),"⚠ Vượt","")</f>
        <v/>
      </c>
      <c r="M1636">
        <f>IF(AND(A1636=Dashboard!$D$6,OR(Dashboard!$C$6="*",F1636=Dashboard!$C$6),L1636&lt;&gt;""),ABS(I1636)+ROW()/1000000000,0)</f>
        <v/>
      </c>
    </row>
    <row r="1637">
      <c r="A1637">
        <f>Data_thang!A1637</f>
        <v/>
      </c>
      <c r="B1637">
        <f>Data_thang!B1637</f>
        <v/>
      </c>
      <c r="C1637">
        <f>Data_thang!D1637</f>
        <v/>
      </c>
      <c r="D1637">
        <f>Data_thang!E1637</f>
        <v/>
      </c>
      <c r="E1637">
        <f>Data_thang!F1637</f>
        <v/>
      </c>
      <c r="F1637">
        <f>Data_thang!G1637</f>
        <v/>
      </c>
      <c r="G1637" s="29">
        <f>Data_thang!J1637-Data_thang!K1637</f>
        <v/>
      </c>
      <c r="H1637" s="29">
        <f>Data_thang!N1637</f>
        <v/>
      </c>
      <c r="I1637" s="29">
        <f>H1637-G1637</f>
        <v/>
      </c>
      <c r="J1637" s="30">
        <f>IF(H1637=0,IF(I1637=0,0,1),I1637/ABS(H1637))</f>
        <v/>
      </c>
      <c r="K1637" s="29">
        <f>H1637-(Data_thang!O1637-Data_thang!K1637)</f>
        <v/>
      </c>
      <c r="L1637">
        <f>IF(AND(ABS(I1637)&gt;Dashboard!$G$6,ABS(J1637)&gt;Dashboard!$H$6),"⚠ Vượt","")</f>
        <v/>
      </c>
      <c r="M1637">
        <f>IF(AND(A1637=Dashboard!$D$6,OR(Dashboard!$C$6="*",F1637=Dashboard!$C$6),L1637&lt;&gt;""),ABS(I1637)+ROW()/1000000000,0)</f>
        <v/>
      </c>
    </row>
    <row r="1638">
      <c r="A1638">
        <f>Data_thang!A1638</f>
        <v/>
      </c>
      <c r="B1638">
        <f>Data_thang!B1638</f>
        <v/>
      </c>
      <c r="C1638">
        <f>Data_thang!D1638</f>
        <v/>
      </c>
      <c r="D1638">
        <f>Data_thang!E1638</f>
        <v/>
      </c>
      <c r="E1638">
        <f>Data_thang!F1638</f>
        <v/>
      </c>
      <c r="F1638">
        <f>Data_thang!G1638</f>
        <v/>
      </c>
      <c r="G1638" s="29">
        <f>Data_thang!J1638-Data_thang!K1638</f>
        <v/>
      </c>
      <c r="H1638" s="29">
        <f>Data_thang!N1638</f>
        <v/>
      </c>
      <c r="I1638" s="29">
        <f>H1638-G1638</f>
        <v/>
      </c>
      <c r="J1638" s="30">
        <f>IF(H1638=0,IF(I1638=0,0,1),I1638/ABS(H1638))</f>
        <v/>
      </c>
      <c r="K1638" s="29">
        <f>H1638-(Data_thang!O1638-Data_thang!K1638)</f>
        <v/>
      </c>
      <c r="L1638">
        <f>IF(AND(ABS(I1638)&gt;Dashboard!$G$6,ABS(J1638)&gt;Dashboard!$H$6),"⚠ Vượt","")</f>
        <v/>
      </c>
      <c r="M1638">
        <f>IF(AND(A1638=Dashboard!$D$6,OR(Dashboard!$C$6="*",F1638=Dashboard!$C$6),L1638&lt;&gt;""),ABS(I1638)+ROW()/1000000000,0)</f>
        <v/>
      </c>
    </row>
    <row r="1639">
      <c r="A1639">
        <f>Data_thang!A1639</f>
        <v/>
      </c>
      <c r="B1639">
        <f>Data_thang!B1639</f>
        <v/>
      </c>
      <c r="C1639">
        <f>Data_thang!D1639</f>
        <v/>
      </c>
      <c r="D1639">
        <f>Data_thang!E1639</f>
        <v/>
      </c>
      <c r="E1639">
        <f>Data_thang!F1639</f>
        <v/>
      </c>
      <c r="F1639">
        <f>Data_thang!G1639</f>
        <v/>
      </c>
      <c r="G1639" s="29">
        <f>Data_thang!J1639-Data_thang!K1639</f>
        <v/>
      </c>
      <c r="H1639" s="29">
        <f>Data_thang!N1639</f>
        <v/>
      </c>
      <c r="I1639" s="29">
        <f>H1639-G1639</f>
        <v/>
      </c>
      <c r="J1639" s="30">
        <f>IF(H1639=0,IF(I1639=0,0,1),I1639/ABS(H1639))</f>
        <v/>
      </c>
      <c r="K1639" s="29">
        <f>H1639-(Data_thang!O1639-Data_thang!K1639)</f>
        <v/>
      </c>
      <c r="L1639">
        <f>IF(AND(ABS(I1639)&gt;Dashboard!$G$6,ABS(J1639)&gt;Dashboard!$H$6),"⚠ Vượt","")</f>
        <v/>
      </c>
      <c r="M1639">
        <f>IF(AND(A1639=Dashboard!$D$6,OR(Dashboard!$C$6="*",F1639=Dashboard!$C$6),L1639&lt;&gt;""),ABS(I1639)+ROW()/1000000000,0)</f>
        <v/>
      </c>
    </row>
    <row r="1640">
      <c r="A1640">
        <f>Data_thang!A1640</f>
        <v/>
      </c>
      <c r="B1640">
        <f>Data_thang!B1640</f>
        <v/>
      </c>
      <c r="C1640">
        <f>Data_thang!D1640</f>
        <v/>
      </c>
      <c r="D1640">
        <f>Data_thang!E1640</f>
        <v/>
      </c>
      <c r="E1640">
        <f>Data_thang!F1640</f>
        <v/>
      </c>
      <c r="F1640">
        <f>Data_thang!G1640</f>
        <v/>
      </c>
      <c r="G1640" s="29">
        <f>Data_thang!J1640-Data_thang!K1640</f>
        <v/>
      </c>
      <c r="H1640" s="29">
        <f>Data_thang!N1640</f>
        <v/>
      </c>
      <c r="I1640" s="29">
        <f>H1640-G1640</f>
        <v/>
      </c>
      <c r="J1640" s="30">
        <f>IF(H1640=0,IF(I1640=0,0,1),I1640/ABS(H1640))</f>
        <v/>
      </c>
      <c r="K1640" s="29">
        <f>H1640-(Data_thang!O1640-Data_thang!K1640)</f>
        <v/>
      </c>
      <c r="L1640">
        <f>IF(AND(ABS(I1640)&gt;Dashboard!$G$6,ABS(J1640)&gt;Dashboard!$H$6),"⚠ Vượt","")</f>
        <v/>
      </c>
      <c r="M1640">
        <f>IF(AND(A1640=Dashboard!$D$6,OR(Dashboard!$C$6="*",F1640=Dashboard!$C$6),L1640&lt;&gt;""),ABS(I1640)+ROW()/1000000000,0)</f>
        <v/>
      </c>
    </row>
    <row r="1641">
      <c r="A1641">
        <f>Data_thang!A1641</f>
        <v/>
      </c>
      <c r="B1641">
        <f>Data_thang!B1641</f>
        <v/>
      </c>
      <c r="C1641">
        <f>Data_thang!D1641</f>
        <v/>
      </c>
      <c r="D1641">
        <f>Data_thang!E1641</f>
        <v/>
      </c>
      <c r="E1641">
        <f>Data_thang!F1641</f>
        <v/>
      </c>
      <c r="F1641">
        <f>Data_thang!G1641</f>
        <v/>
      </c>
      <c r="G1641" s="29">
        <f>Data_thang!J1641-Data_thang!K1641</f>
        <v/>
      </c>
      <c r="H1641" s="29">
        <f>Data_thang!N1641</f>
        <v/>
      </c>
      <c r="I1641" s="29">
        <f>H1641-G1641</f>
        <v/>
      </c>
      <c r="J1641" s="30">
        <f>IF(H1641=0,IF(I1641=0,0,1),I1641/ABS(H1641))</f>
        <v/>
      </c>
      <c r="K1641" s="29">
        <f>H1641-(Data_thang!O1641-Data_thang!K1641)</f>
        <v/>
      </c>
      <c r="L1641">
        <f>IF(AND(ABS(I1641)&gt;Dashboard!$G$6,ABS(J1641)&gt;Dashboard!$H$6),"⚠ Vượt","")</f>
        <v/>
      </c>
      <c r="M1641">
        <f>IF(AND(A1641=Dashboard!$D$6,OR(Dashboard!$C$6="*",F1641=Dashboard!$C$6),L1641&lt;&gt;""),ABS(I1641)+ROW()/1000000000,0)</f>
        <v/>
      </c>
    </row>
    <row r="1642">
      <c r="A1642">
        <f>Data_thang!A1642</f>
        <v/>
      </c>
      <c r="B1642">
        <f>Data_thang!B1642</f>
        <v/>
      </c>
      <c r="C1642">
        <f>Data_thang!D1642</f>
        <v/>
      </c>
      <c r="D1642">
        <f>Data_thang!E1642</f>
        <v/>
      </c>
      <c r="E1642">
        <f>Data_thang!F1642</f>
        <v/>
      </c>
      <c r="F1642">
        <f>Data_thang!G1642</f>
        <v/>
      </c>
      <c r="G1642" s="29">
        <f>Data_thang!J1642-Data_thang!K1642</f>
        <v/>
      </c>
      <c r="H1642" s="29">
        <f>Data_thang!N1642</f>
        <v/>
      </c>
      <c r="I1642" s="29">
        <f>H1642-G1642</f>
        <v/>
      </c>
      <c r="J1642" s="30">
        <f>IF(H1642=0,IF(I1642=0,0,1),I1642/ABS(H1642))</f>
        <v/>
      </c>
      <c r="K1642" s="29">
        <f>H1642-(Data_thang!O1642-Data_thang!K1642)</f>
        <v/>
      </c>
      <c r="L1642">
        <f>IF(AND(ABS(I1642)&gt;Dashboard!$G$6,ABS(J1642)&gt;Dashboard!$H$6),"⚠ Vượt","")</f>
        <v/>
      </c>
      <c r="M1642">
        <f>IF(AND(A1642=Dashboard!$D$6,OR(Dashboard!$C$6="*",F1642=Dashboard!$C$6),L1642&lt;&gt;""),ABS(I1642)+ROW()/1000000000,0)</f>
        <v/>
      </c>
    </row>
    <row r="1643">
      <c r="A1643">
        <f>Data_thang!A1643</f>
        <v/>
      </c>
      <c r="B1643">
        <f>Data_thang!B1643</f>
        <v/>
      </c>
      <c r="C1643">
        <f>Data_thang!D1643</f>
        <v/>
      </c>
      <c r="D1643">
        <f>Data_thang!E1643</f>
        <v/>
      </c>
      <c r="E1643">
        <f>Data_thang!F1643</f>
        <v/>
      </c>
      <c r="F1643">
        <f>Data_thang!G1643</f>
        <v/>
      </c>
      <c r="G1643" s="29">
        <f>Data_thang!J1643-Data_thang!K1643</f>
        <v/>
      </c>
      <c r="H1643" s="29">
        <f>Data_thang!N1643</f>
        <v/>
      </c>
      <c r="I1643" s="29">
        <f>H1643-G1643</f>
        <v/>
      </c>
      <c r="J1643" s="30">
        <f>IF(H1643=0,IF(I1643=0,0,1),I1643/ABS(H1643))</f>
        <v/>
      </c>
      <c r="K1643" s="29">
        <f>H1643-(Data_thang!O1643-Data_thang!K1643)</f>
        <v/>
      </c>
      <c r="L1643">
        <f>IF(AND(ABS(I1643)&gt;Dashboard!$G$6,ABS(J1643)&gt;Dashboard!$H$6),"⚠ Vượt","")</f>
        <v/>
      </c>
      <c r="M1643">
        <f>IF(AND(A1643=Dashboard!$D$6,OR(Dashboard!$C$6="*",F1643=Dashboard!$C$6),L1643&lt;&gt;""),ABS(I1643)+ROW()/1000000000,0)</f>
        <v/>
      </c>
    </row>
    <row r="1644">
      <c r="A1644">
        <f>Data_thang!A1644</f>
        <v/>
      </c>
      <c r="B1644">
        <f>Data_thang!B1644</f>
        <v/>
      </c>
      <c r="C1644">
        <f>Data_thang!D1644</f>
        <v/>
      </c>
      <c r="D1644">
        <f>Data_thang!E1644</f>
        <v/>
      </c>
      <c r="E1644">
        <f>Data_thang!F1644</f>
        <v/>
      </c>
      <c r="F1644">
        <f>Data_thang!G1644</f>
        <v/>
      </c>
      <c r="G1644" s="29">
        <f>Data_thang!J1644-Data_thang!K1644</f>
        <v/>
      </c>
      <c r="H1644" s="29">
        <f>Data_thang!N1644</f>
        <v/>
      </c>
      <c r="I1644" s="29">
        <f>H1644-G1644</f>
        <v/>
      </c>
      <c r="J1644" s="30">
        <f>IF(H1644=0,IF(I1644=0,0,1),I1644/ABS(H1644))</f>
        <v/>
      </c>
      <c r="K1644" s="29">
        <f>H1644-(Data_thang!O1644-Data_thang!K1644)</f>
        <v/>
      </c>
      <c r="L1644">
        <f>IF(AND(ABS(I1644)&gt;Dashboard!$G$6,ABS(J1644)&gt;Dashboard!$H$6),"⚠ Vượt","")</f>
        <v/>
      </c>
      <c r="M1644">
        <f>IF(AND(A1644=Dashboard!$D$6,OR(Dashboard!$C$6="*",F1644=Dashboard!$C$6),L1644&lt;&gt;""),ABS(I1644)+ROW()/1000000000,0)</f>
        <v/>
      </c>
    </row>
    <row r="1645">
      <c r="A1645">
        <f>Data_thang!A1645</f>
        <v/>
      </c>
      <c r="B1645">
        <f>Data_thang!B1645</f>
        <v/>
      </c>
      <c r="C1645">
        <f>Data_thang!D1645</f>
        <v/>
      </c>
      <c r="D1645">
        <f>Data_thang!E1645</f>
        <v/>
      </c>
      <c r="E1645">
        <f>Data_thang!F1645</f>
        <v/>
      </c>
      <c r="F1645">
        <f>Data_thang!G1645</f>
        <v/>
      </c>
      <c r="G1645" s="29">
        <f>Data_thang!J1645-Data_thang!K1645</f>
        <v/>
      </c>
      <c r="H1645" s="29">
        <f>Data_thang!N1645</f>
        <v/>
      </c>
      <c r="I1645" s="29">
        <f>H1645-G1645</f>
        <v/>
      </c>
      <c r="J1645" s="30">
        <f>IF(H1645=0,IF(I1645=0,0,1),I1645/ABS(H1645))</f>
        <v/>
      </c>
      <c r="K1645" s="29">
        <f>H1645-(Data_thang!O1645-Data_thang!K1645)</f>
        <v/>
      </c>
      <c r="L1645">
        <f>IF(AND(ABS(I1645)&gt;Dashboard!$G$6,ABS(J1645)&gt;Dashboard!$H$6),"⚠ Vượt","")</f>
        <v/>
      </c>
      <c r="M1645">
        <f>IF(AND(A1645=Dashboard!$D$6,OR(Dashboard!$C$6="*",F1645=Dashboard!$C$6),L1645&lt;&gt;""),ABS(I1645)+ROW()/1000000000,0)</f>
        <v/>
      </c>
    </row>
    <row r="1646">
      <c r="A1646">
        <f>Data_thang!A1646</f>
        <v/>
      </c>
      <c r="B1646">
        <f>Data_thang!B1646</f>
        <v/>
      </c>
      <c r="C1646">
        <f>Data_thang!D1646</f>
        <v/>
      </c>
      <c r="D1646">
        <f>Data_thang!E1646</f>
        <v/>
      </c>
      <c r="E1646">
        <f>Data_thang!F1646</f>
        <v/>
      </c>
      <c r="F1646">
        <f>Data_thang!G1646</f>
        <v/>
      </c>
      <c r="G1646" s="29">
        <f>Data_thang!J1646-Data_thang!K1646</f>
        <v/>
      </c>
      <c r="H1646" s="29">
        <f>Data_thang!N1646</f>
        <v/>
      </c>
      <c r="I1646" s="29">
        <f>H1646-G1646</f>
        <v/>
      </c>
      <c r="J1646" s="30">
        <f>IF(H1646=0,IF(I1646=0,0,1),I1646/ABS(H1646))</f>
        <v/>
      </c>
      <c r="K1646" s="29">
        <f>H1646-(Data_thang!O1646-Data_thang!K1646)</f>
        <v/>
      </c>
      <c r="L1646">
        <f>IF(AND(ABS(I1646)&gt;Dashboard!$G$6,ABS(J1646)&gt;Dashboard!$H$6),"⚠ Vượt","")</f>
        <v/>
      </c>
      <c r="M1646">
        <f>IF(AND(A1646=Dashboard!$D$6,OR(Dashboard!$C$6="*",F1646=Dashboard!$C$6),L1646&lt;&gt;""),ABS(I1646)+ROW()/1000000000,0)</f>
        <v/>
      </c>
    </row>
    <row r="1647">
      <c r="A1647">
        <f>Data_thang!A1647</f>
        <v/>
      </c>
      <c r="B1647">
        <f>Data_thang!B1647</f>
        <v/>
      </c>
      <c r="C1647">
        <f>Data_thang!D1647</f>
        <v/>
      </c>
      <c r="D1647">
        <f>Data_thang!E1647</f>
        <v/>
      </c>
      <c r="E1647">
        <f>Data_thang!F1647</f>
        <v/>
      </c>
      <c r="F1647">
        <f>Data_thang!G1647</f>
        <v/>
      </c>
      <c r="G1647" s="29">
        <f>Data_thang!J1647-Data_thang!K1647</f>
        <v/>
      </c>
      <c r="H1647" s="29">
        <f>Data_thang!N1647</f>
        <v/>
      </c>
      <c r="I1647" s="29">
        <f>H1647-G1647</f>
        <v/>
      </c>
      <c r="J1647" s="30">
        <f>IF(H1647=0,IF(I1647=0,0,1),I1647/ABS(H1647))</f>
        <v/>
      </c>
      <c r="K1647" s="29">
        <f>H1647-(Data_thang!O1647-Data_thang!K1647)</f>
        <v/>
      </c>
      <c r="L1647">
        <f>IF(AND(ABS(I1647)&gt;Dashboard!$G$6,ABS(J1647)&gt;Dashboard!$H$6),"⚠ Vượt","")</f>
        <v/>
      </c>
      <c r="M1647">
        <f>IF(AND(A1647=Dashboard!$D$6,OR(Dashboard!$C$6="*",F1647=Dashboard!$C$6),L1647&lt;&gt;""),ABS(I1647)+ROW()/1000000000,0)</f>
        <v/>
      </c>
    </row>
    <row r="1648">
      <c r="A1648">
        <f>Data_thang!A1648</f>
        <v/>
      </c>
      <c r="B1648">
        <f>Data_thang!B1648</f>
        <v/>
      </c>
      <c r="C1648">
        <f>Data_thang!D1648</f>
        <v/>
      </c>
      <c r="D1648">
        <f>Data_thang!E1648</f>
        <v/>
      </c>
      <c r="E1648">
        <f>Data_thang!F1648</f>
        <v/>
      </c>
      <c r="F1648">
        <f>Data_thang!G1648</f>
        <v/>
      </c>
      <c r="G1648" s="29">
        <f>Data_thang!J1648-Data_thang!K1648</f>
        <v/>
      </c>
      <c r="H1648" s="29">
        <f>Data_thang!N1648</f>
        <v/>
      </c>
      <c r="I1648" s="29">
        <f>H1648-G1648</f>
        <v/>
      </c>
      <c r="J1648" s="30">
        <f>IF(H1648=0,IF(I1648=0,0,1),I1648/ABS(H1648))</f>
        <v/>
      </c>
      <c r="K1648" s="29">
        <f>H1648-(Data_thang!O1648-Data_thang!K1648)</f>
        <v/>
      </c>
      <c r="L1648">
        <f>IF(AND(ABS(I1648)&gt;Dashboard!$G$6,ABS(J1648)&gt;Dashboard!$H$6),"⚠ Vượt","")</f>
        <v/>
      </c>
      <c r="M1648">
        <f>IF(AND(A1648=Dashboard!$D$6,OR(Dashboard!$C$6="*",F1648=Dashboard!$C$6),L1648&lt;&gt;""),ABS(I1648)+ROW()/1000000000,0)</f>
        <v/>
      </c>
    </row>
    <row r="1649">
      <c r="A1649">
        <f>Data_thang!A1649</f>
        <v/>
      </c>
      <c r="B1649">
        <f>Data_thang!B1649</f>
        <v/>
      </c>
      <c r="C1649">
        <f>Data_thang!D1649</f>
        <v/>
      </c>
      <c r="D1649">
        <f>Data_thang!E1649</f>
        <v/>
      </c>
      <c r="E1649">
        <f>Data_thang!F1649</f>
        <v/>
      </c>
      <c r="F1649">
        <f>Data_thang!G1649</f>
        <v/>
      </c>
      <c r="G1649" s="29">
        <f>Data_thang!J1649-Data_thang!K1649</f>
        <v/>
      </c>
      <c r="H1649" s="29">
        <f>Data_thang!N1649</f>
        <v/>
      </c>
      <c r="I1649" s="29">
        <f>H1649-G1649</f>
        <v/>
      </c>
      <c r="J1649" s="30">
        <f>IF(H1649=0,IF(I1649=0,0,1),I1649/ABS(H1649))</f>
        <v/>
      </c>
      <c r="K1649" s="29">
        <f>H1649-(Data_thang!O1649-Data_thang!K1649)</f>
        <v/>
      </c>
      <c r="L1649">
        <f>IF(AND(ABS(I1649)&gt;Dashboard!$G$6,ABS(J1649)&gt;Dashboard!$H$6),"⚠ Vượt","")</f>
        <v/>
      </c>
      <c r="M1649">
        <f>IF(AND(A1649=Dashboard!$D$6,OR(Dashboard!$C$6="*",F1649=Dashboard!$C$6),L1649&lt;&gt;""),ABS(I1649)+ROW()/1000000000,0)</f>
        <v/>
      </c>
    </row>
    <row r="1650">
      <c r="A1650">
        <f>Data_thang!A1650</f>
        <v/>
      </c>
      <c r="B1650">
        <f>Data_thang!B1650</f>
        <v/>
      </c>
      <c r="C1650">
        <f>Data_thang!D1650</f>
        <v/>
      </c>
      <c r="D1650">
        <f>Data_thang!E1650</f>
        <v/>
      </c>
      <c r="E1650">
        <f>Data_thang!F1650</f>
        <v/>
      </c>
      <c r="F1650">
        <f>Data_thang!G1650</f>
        <v/>
      </c>
      <c r="G1650" s="29">
        <f>Data_thang!J1650-Data_thang!K1650</f>
        <v/>
      </c>
      <c r="H1650" s="29">
        <f>Data_thang!N1650</f>
        <v/>
      </c>
      <c r="I1650" s="29">
        <f>H1650-G1650</f>
        <v/>
      </c>
      <c r="J1650" s="30">
        <f>IF(H1650=0,IF(I1650=0,0,1),I1650/ABS(H1650))</f>
        <v/>
      </c>
      <c r="K1650" s="29">
        <f>H1650-(Data_thang!O1650-Data_thang!K1650)</f>
        <v/>
      </c>
      <c r="L1650">
        <f>IF(AND(ABS(I1650)&gt;Dashboard!$G$6,ABS(J1650)&gt;Dashboard!$H$6),"⚠ Vượt","")</f>
        <v/>
      </c>
      <c r="M1650">
        <f>IF(AND(A1650=Dashboard!$D$6,OR(Dashboard!$C$6="*",F1650=Dashboard!$C$6),L1650&lt;&gt;""),ABS(I1650)+ROW()/1000000000,0)</f>
        <v/>
      </c>
    </row>
    <row r="1651">
      <c r="A1651">
        <f>Data_thang!A1651</f>
        <v/>
      </c>
      <c r="B1651">
        <f>Data_thang!B1651</f>
        <v/>
      </c>
      <c r="C1651">
        <f>Data_thang!D1651</f>
        <v/>
      </c>
      <c r="D1651">
        <f>Data_thang!E1651</f>
        <v/>
      </c>
      <c r="E1651">
        <f>Data_thang!F1651</f>
        <v/>
      </c>
      <c r="F1651">
        <f>Data_thang!G1651</f>
        <v/>
      </c>
      <c r="G1651" s="29">
        <f>Data_thang!J1651-Data_thang!K1651</f>
        <v/>
      </c>
      <c r="H1651" s="29">
        <f>Data_thang!N1651</f>
        <v/>
      </c>
      <c r="I1651" s="29">
        <f>H1651-G1651</f>
        <v/>
      </c>
      <c r="J1651" s="30">
        <f>IF(H1651=0,IF(I1651=0,0,1),I1651/ABS(H1651))</f>
        <v/>
      </c>
      <c r="K1651" s="29">
        <f>H1651-(Data_thang!O1651-Data_thang!K1651)</f>
        <v/>
      </c>
      <c r="L1651">
        <f>IF(AND(ABS(I1651)&gt;Dashboard!$G$6,ABS(J1651)&gt;Dashboard!$H$6),"⚠ Vượt","")</f>
        <v/>
      </c>
      <c r="M1651">
        <f>IF(AND(A1651=Dashboard!$D$6,OR(Dashboard!$C$6="*",F1651=Dashboard!$C$6),L1651&lt;&gt;""),ABS(I1651)+ROW()/1000000000,0)</f>
        <v/>
      </c>
    </row>
    <row r="1652">
      <c r="A1652">
        <f>Data_thang!A1652</f>
        <v/>
      </c>
      <c r="B1652">
        <f>Data_thang!B1652</f>
        <v/>
      </c>
      <c r="C1652">
        <f>Data_thang!D1652</f>
        <v/>
      </c>
      <c r="D1652">
        <f>Data_thang!E1652</f>
        <v/>
      </c>
      <c r="E1652">
        <f>Data_thang!F1652</f>
        <v/>
      </c>
      <c r="F1652">
        <f>Data_thang!G1652</f>
        <v/>
      </c>
      <c r="G1652" s="29">
        <f>Data_thang!J1652-Data_thang!K1652</f>
        <v/>
      </c>
      <c r="H1652" s="29">
        <f>Data_thang!N1652</f>
        <v/>
      </c>
      <c r="I1652" s="29">
        <f>H1652-G1652</f>
        <v/>
      </c>
      <c r="J1652" s="30">
        <f>IF(H1652=0,IF(I1652=0,0,1),I1652/ABS(H1652))</f>
        <v/>
      </c>
      <c r="K1652" s="29">
        <f>H1652-(Data_thang!O1652-Data_thang!K1652)</f>
        <v/>
      </c>
      <c r="L1652">
        <f>IF(AND(ABS(I1652)&gt;Dashboard!$G$6,ABS(J1652)&gt;Dashboard!$H$6),"⚠ Vượt","")</f>
        <v/>
      </c>
      <c r="M1652">
        <f>IF(AND(A1652=Dashboard!$D$6,OR(Dashboard!$C$6="*",F1652=Dashboard!$C$6),L1652&lt;&gt;""),ABS(I1652)+ROW()/1000000000,0)</f>
        <v/>
      </c>
    </row>
    <row r="1653">
      <c r="A1653">
        <f>Data_thang!A1653</f>
        <v/>
      </c>
      <c r="B1653">
        <f>Data_thang!B1653</f>
        <v/>
      </c>
      <c r="C1653">
        <f>Data_thang!D1653</f>
        <v/>
      </c>
      <c r="D1653">
        <f>Data_thang!E1653</f>
        <v/>
      </c>
      <c r="E1653">
        <f>Data_thang!F1653</f>
        <v/>
      </c>
      <c r="F1653">
        <f>Data_thang!G1653</f>
        <v/>
      </c>
      <c r="G1653" s="29">
        <f>Data_thang!J1653-Data_thang!K1653</f>
        <v/>
      </c>
      <c r="H1653" s="29">
        <f>Data_thang!N1653</f>
        <v/>
      </c>
      <c r="I1653" s="29">
        <f>H1653-G1653</f>
        <v/>
      </c>
      <c r="J1653" s="30">
        <f>IF(H1653=0,IF(I1653=0,0,1),I1653/ABS(H1653))</f>
        <v/>
      </c>
      <c r="K1653" s="29">
        <f>H1653-(Data_thang!O1653-Data_thang!K1653)</f>
        <v/>
      </c>
      <c r="L1653">
        <f>IF(AND(ABS(I1653)&gt;Dashboard!$G$6,ABS(J1653)&gt;Dashboard!$H$6),"⚠ Vượt","")</f>
        <v/>
      </c>
      <c r="M1653">
        <f>IF(AND(A1653=Dashboard!$D$6,OR(Dashboard!$C$6="*",F1653=Dashboard!$C$6),L1653&lt;&gt;""),ABS(I1653)+ROW()/1000000000,0)</f>
        <v/>
      </c>
    </row>
    <row r="1654">
      <c r="A1654">
        <f>Data_thang!A1654</f>
        <v/>
      </c>
      <c r="B1654">
        <f>Data_thang!B1654</f>
        <v/>
      </c>
      <c r="C1654">
        <f>Data_thang!D1654</f>
        <v/>
      </c>
      <c r="D1654">
        <f>Data_thang!E1654</f>
        <v/>
      </c>
      <c r="E1654">
        <f>Data_thang!F1654</f>
        <v/>
      </c>
      <c r="F1654">
        <f>Data_thang!G1654</f>
        <v/>
      </c>
      <c r="G1654" s="29">
        <f>Data_thang!J1654-Data_thang!K1654</f>
        <v/>
      </c>
      <c r="H1654" s="29">
        <f>Data_thang!N1654</f>
        <v/>
      </c>
      <c r="I1654" s="29">
        <f>H1654-G1654</f>
        <v/>
      </c>
      <c r="J1654" s="30">
        <f>IF(H1654=0,IF(I1654=0,0,1),I1654/ABS(H1654))</f>
        <v/>
      </c>
      <c r="K1654" s="29">
        <f>H1654-(Data_thang!O1654-Data_thang!K1654)</f>
        <v/>
      </c>
      <c r="L1654">
        <f>IF(AND(ABS(I1654)&gt;Dashboard!$G$6,ABS(J1654)&gt;Dashboard!$H$6),"⚠ Vượt","")</f>
        <v/>
      </c>
      <c r="M1654">
        <f>IF(AND(A1654=Dashboard!$D$6,OR(Dashboard!$C$6="*",F1654=Dashboard!$C$6),L1654&lt;&gt;""),ABS(I1654)+ROW()/1000000000,0)</f>
        <v/>
      </c>
    </row>
    <row r="1655">
      <c r="A1655">
        <f>Data_thang!A1655</f>
        <v/>
      </c>
      <c r="B1655">
        <f>Data_thang!B1655</f>
        <v/>
      </c>
      <c r="C1655">
        <f>Data_thang!D1655</f>
        <v/>
      </c>
      <c r="D1655">
        <f>Data_thang!E1655</f>
        <v/>
      </c>
      <c r="E1655">
        <f>Data_thang!F1655</f>
        <v/>
      </c>
      <c r="F1655">
        <f>Data_thang!G1655</f>
        <v/>
      </c>
      <c r="G1655" s="29">
        <f>Data_thang!J1655-Data_thang!K1655</f>
        <v/>
      </c>
      <c r="H1655" s="29">
        <f>Data_thang!N1655</f>
        <v/>
      </c>
      <c r="I1655" s="29">
        <f>H1655-G1655</f>
        <v/>
      </c>
      <c r="J1655" s="30">
        <f>IF(H1655=0,IF(I1655=0,0,1),I1655/ABS(H1655))</f>
        <v/>
      </c>
      <c r="K1655" s="29">
        <f>H1655-(Data_thang!O1655-Data_thang!K1655)</f>
        <v/>
      </c>
      <c r="L1655">
        <f>IF(AND(ABS(I1655)&gt;Dashboard!$G$6,ABS(J1655)&gt;Dashboard!$H$6),"⚠ Vượt","")</f>
        <v/>
      </c>
      <c r="M1655">
        <f>IF(AND(A1655=Dashboard!$D$6,OR(Dashboard!$C$6="*",F1655=Dashboard!$C$6),L1655&lt;&gt;""),ABS(I1655)+ROW()/1000000000,0)</f>
        <v/>
      </c>
    </row>
    <row r="1656">
      <c r="A1656">
        <f>Data_thang!A1656</f>
        <v/>
      </c>
      <c r="B1656">
        <f>Data_thang!B1656</f>
        <v/>
      </c>
      <c r="C1656">
        <f>Data_thang!D1656</f>
        <v/>
      </c>
      <c r="D1656">
        <f>Data_thang!E1656</f>
        <v/>
      </c>
      <c r="E1656">
        <f>Data_thang!F1656</f>
        <v/>
      </c>
      <c r="F1656">
        <f>Data_thang!G1656</f>
        <v/>
      </c>
      <c r="G1656" s="29">
        <f>Data_thang!J1656-Data_thang!K1656</f>
        <v/>
      </c>
      <c r="H1656" s="29">
        <f>Data_thang!N1656</f>
        <v/>
      </c>
      <c r="I1656" s="29">
        <f>H1656-G1656</f>
        <v/>
      </c>
      <c r="J1656" s="30">
        <f>IF(H1656=0,IF(I1656=0,0,1),I1656/ABS(H1656))</f>
        <v/>
      </c>
      <c r="K1656" s="29">
        <f>H1656-(Data_thang!O1656-Data_thang!K1656)</f>
        <v/>
      </c>
      <c r="L1656">
        <f>IF(AND(ABS(I1656)&gt;Dashboard!$G$6,ABS(J1656)&gt;Dashboard!$H$6),"⚠ Vượt","")</f>
        <v/>
      </c>
      <c r="M1656">
        <f>IF(AND(A1656=Dashboard!$D$6,OR(Dashboard!$C$6="*",F1656=Dashboard!$C$6),L1656&lt;&gt;""),ABS(I1656)+ROW()/1000000000,0)</f>
        <v/>
      </c>
    </row>
    <row r="1657">
      <c r="A1657">
        <f>Data_thang!A1657</f>
        <v/>
      </c>
      <c r="B1657">
        <f>Data_thang!B1657</f>
        <v/>
      </c>
      <c r="C1657">
        <f>Data_thang!D1657</f>
        <v/>
      </c>
      <c r="D1657">
        <f>Data_thang!E1657</f>
        <v/>
      </c>
      <c r="E1657">
        <f>Data_thang!F1657</f>
        <v/>
      </c>
      <c r="F1657">
        <f>Data_thang!G1657</f>
        <v/>
      </c>
      <c r="G1657" s="29">
        <f>Data_thang!J1657-Data_thang!K1657</f>
        <v/>
      </c>
      <c r="H1657" s="29">
        <f>Data_thang!N1657</f>
        <v/>
      </c>
      <c r="I1657" s="29">
        <f>H1657-G1657</f>
        <v/>
      </c>
      <c r="J1657" s="30">
        <f>IF(H1657=0,IF(I1657=0,0,1),I1657/ABS(H1657))</f>
        <v/>
      </c>
      <c r="K1657" s="29">
        <f>H1657-(Data_thang!O1657-Data_thang!K1657)</f>
        <v/>
      </c>
      <c r="L1657">
        <f>IF(AND(ABS(I1657)&gt;Dashboard!$G$6,ABS(J1657)&gt;Dashboard!$H$6),"⚠ Vượt","")</f>
        <v/>
      </c>
      <c r="M1657">
        <f>IF(AND(A1657=Dashboard!$D$6,OR(Dashboard!$C$6="*",F1657=Dashboard!$C$6),L1657&lt;&gt;""),ABS(I1657)+ROW()/1000000000,0)</f>
        <v/>
      </c>
    </row>
    <row r="1658">
      <c r="A1658">
        <f>Data_thang!A1658</f>
        <v/>
      </c>
      <c r="B1658">
        <f>Data_thang!B1658</f>
        <v/>
      </c>
      <c r="C1658">
        <f>Data_thang!D1658</f>
        <v/>
      </c>
      <c r="D1658">
        <f>Data_thang!E1658</f>
        <v/>
      </c>
      <c r="E1658">
        <f>Data_thang!F1658</f>
        <v/>
      </c>
      <c r="F1658">
        <f>Data_thang!G1658</f>
        <v/>
      </c>
      <c r="G1658" s="29">
        <f>Data_thang!J1658-Data_thang!K1658</f>
        <v/>
      </c>
      <c r="H1658" s="29">
        <f>Data_thang!N1658</f>
        <v/>
      </c>
      <c r="I1658" s="29">
        <f>H1658-G1658</f>
        <v/>
      </c>
      <c r="J1658" s="30">
        <f>IF(H1658=0,IF(I1658=0,0,1),I1658/ABS(H1658))</f>
        <v/>
      </c>
      <c r="K1658" s="29">
        <f>H1658-(Data_thang!O1658-Data_thang!K1658)</f>
        <v/>
      </c>
      <c r="L1658">
        <f>IF(AND(ABS(I1658)&gt;Dashboard!$G$6,ABS(J1658)&gt;Dashboard!$H$6),"⚠ Vượt","")</f>
        <v/>
      </c>
      <c r="M1658">
        <f>IF(AND(A1658=Dashboard!$D$6,OR(Dashboard!$C$6="*",F1658=Dashboard!$C$6),L1658&lt;&gt;""),ABS(I1658)+ROW()/1000000000,0)</f>
        <v/>
      </c>
    </row>
    <row r="1659">
      <c r="A1659">
        <f>Data_thang!A1659</f>
        <v/>
      </c>
      <c r="B1659">
        <f>Data_thang!B1659</f>
        <v/>
      </c>
      <c r="C1659">
        <f>Data_thang!D1659</f>
        <v/>
      </c>
      <c r="D1659">
        <f>Data_thang!E1659</f>
        <v/>
      </c>
      <c r="E1659">
        <f>Data_thang!F1659</f>
        <v/>
      </c>
      <c r="F1659">
        <f>Data_thang!G1659</f>
        <v/>
      </c>
      <c r="G1659" s="29">
        <f>Data_thang!J1659-Data_thang!K1659</f>
        <v/>
      </c>
      <c r="H1659" s="29">
        <f>Data_thang!N1659</f>
        <v/>
      </c>
      <c r="I1659" s="29">
        <f>H1659-G1659</f>
        <v/>
      </c>
      <c r="J1659" s="30">
        <f>IF(H1659=0,IF(I1659=0,0,1),I1659/ABS(H1659))</f>
        <v/>
      </c>
      <c r="K1659" s="29">
        <f>H1659-(Data_thang!O1659-Data_thang!K1659)</f>
        <v/>
      </c>
      <c r="L1659">
        <f>IF(AND(ABS(I1659)&gt;Dashboard!$G$6,ABS(J1659)&gt;Dashboard!$H$6),"⚠ Vượt","")</f>
        <v/>
      </c>
      <c r="M1659">
        <f>IF(AND(A1659=Dashboard!$D$6,OR(Dashboard!$C$6="*",F1659=Dashboard!$C$6),L1659&lt;&gt;""),ABS(I1659)+ROW()/1000000000,0)</f>
        <v/>
      </c>
    </row>
    <row r="1660">
      <c r="A1660">
        <f>Data_thang!A1660</f>
        <v/>
      </c>
      <c r="B1660">
        <f>Data_thang!B1660</f>
        <v/>
      </c>
      <c r="C1660">
        <f>Data_thang!D1660</f>
        <v/>
      </c>
      <c r="D1660">
        <f>Data_thang!E1660</f>
        <v/>
      </c>
      <c r="E1660">
        <f>Data_thang!F1660</f>
        <v/>
      </c>
      <c r="F1660">
        <f>Data_thang!G1660</f>
        <v/>
      </c>
      <c r="G1660" s="29">
        <f>Data_thang!J1660-Data_thang!K1660</f>
        <v/>
      </c>
      <c r="H1660" s="29">
        <f>Data_thang!N1660</f>
        <v/>
      </c>
      <c r="I1660" s="29">
        <f>H1660-G1660</f>
        <v/>
      </c>
      <c r="J1660" s="30">
        <f>IF(H1660=0,IF(I1660=0,0,1),I1660/ABS(H1660))</f>
        <v/>
      </c>
      <c r="K1660" s="29">
        <f>H1660-(Data_thang!O1660-Data_thang!K1660)</f>
        <v/>
      </c>
      <c r="L1660">
        <f>IF(AND(ABS(I1660)&gt;Dashboard!$G$6,ABS(J1660)&gt;Dashboard!$H$6),"⚠ Vượt","")</f>
        <v/>
      </c>
      <c r="M1660">
        <f>IF(AND(A1660=Dashboard!$D$6,OR(Dashboard!$C$6="*",F1660=Dashboard!$C$6),L1660&lt;&gt;""),ABS(I1660)+ROW()/1000000000,0)</f>
        <v/>
      </c>
    </row>
    <row r="1661">
      <c r="A1661">
        <f>Data_thang!A1661</f>
        <v/>
      </c>
      <c r="B1661">
        <f>Data_thang!B1661</f>
        <v/>
      </c>
      <c r="C1661">
        <f>Data_thang!D1661</f>
        <v/>
      </c>
      <c r="D1661">
        <f>Data_thang!E1661</f>
        <v/>
      </c>
      <c r="E1661">
        <f>Data_thang!F1661</f>
        <v/>
      </c>
      <c r="F1661">
        <f>Data_thang!G1661</f>
        <v/>
      </c>
      <c r="G1661" s="29">
        <f>Data_thang!J1661-Data_thang!K1661</f>
        <v/>
      </c>
      <c r="H1661" s="29">
        <f>Data_thang!N1661</f>
        <v/>
      </c>
      <c r="I1661" s="29">
        <f>H1661-G1661</f>
        <v/>
      </c>
      <c r="J1661" s="30">
        <f>IF(H1661=0,IF(I1661=0,0,1),I1661/ABS(H1661))</f>
        <v/>
      </c>
      <c r="K1661" s="29">
        <f>H1661-(Data_thang!O1661-Data_thang!K1661)</f>
        <v/>
      </c>
      <c r="L1661">
        <f>IF(AND(ABS(I1661)&gt;Dashboard!$G$6,ABS(J1661)&gt;Dashboard!$H$6),"⚠ Vượt","")</f>
        <v/>
      </c>
      <c r="M1661">
        <f>IF(AND(A1661=Dashboard!$D$6,OR(Dashboard!$C$6="*",F1661=Dashboard!$C$6),L1661&lt;&gt;""),ABS(I1661)+ROW()/1000000000,0)</f>
        <v/>
      </c>
    </row>
    <row r="1662">
      <c r="A1662">
        <f>Data_thang!A1662</f>
        <v/>
      </c>
      <c r="B1662">
        <f>Data_thang!B1662</f>
        <v/>
      </c>
      <c r="C1662">
        <f>Data_thang!D1662</f>
        <v/>
      </c>
      <c r="D1662">
        <f>Data_thang!E1662</f>
        <v/>
      </c>
      <c r="E1662">
        <f>Data_thang!F1662</f>
        <v/>
      </c>
      <c r="F1662">
        <f>Data_thang!G1662</f>
        <v/>
      </c>
      <c r="G1662" s="29">
        <f>Data_thang!J1662-Data_thang!K1662</f>
        <v/>
      </c>
      <c r="H1662" s="29">
        <f>Data_thang!N1662</f>
        <v/>
      </c>
      <c r="I1662" s="29">
        <f>H1662-G1662</f>
        <v/>
      </c>
      <c r="J1662" s="30">
        <f>IF(H1662=0,IF(I1662=0,0,1),I1662/ABS(H1662))</f>
        <v/>
      </c>
      <c r="K1662" s="29">
        <f>H1662-(Data_thang!O1662-Data_thang!K1662)</f>
        <v/>
      </c>
      <c r="L1662">
        <f>IF(AND(ABS(I1662)&gt;Dashboard!$G$6,ABS(J1662)&gt;Dashboard!$H$6),"⚠ Vượt","")</f>
        <v/>
      </c>
      <c r="M1662">
        <f>IF(AND(A1662=Dashboard!$D$6,OR(Dashboard!$C$6="*",F1662=Dashboard!$C$6),L1662&lt;&gt;""),ABS(I1662)+ROW()/1000000000,0)</f>
        <v/>
      </c>
    </row>
    <row r="1663">
      <c r="A1663">
        <f>Data_thang!A1663</f>
        <v/>
      </c>
      <c r="B1663">
        <f>Data_thang!B1663</f>
        <v/>
      </c>
      <c r="C1663">
        <f>Data_thang!D1663</f>
        <v/>
      </c>
      <c r="D1663">
        <f>Data_thang!E1663</f>
        <v/>
      </c>
      <c r="E1663">
        <f>Data_thang!F1663</f>
        <v/>
      </c>
      <c r="F1663">
        <f>Data_thang!G1663</f>
        <v/>
      </c>
      <c r="G1663" s="29">
        <f>Data_thang!J1663-Data_thang!K1663</f>
        <v/>
      </c>
      <c r="H1663" s="29">
        <f>Data_thang!N1663</f>
        <v/>
      </c>
      <c r="I1663" s="29">
        <f>H1663-G1663</f>
        <v/>
      </c>
      <c r="J1663" s="30">
        <f>IF(H1663=0,IF(I1663=0,0,1),I1663/ABS(H1663))</f>
        <v/>
      </c>
      <c r="K1663" s="29">
        <f>H1663-(Data_thang!O1663-Data_thang!K1663)</f>
        <v/>
      </c>
      <c r="L1663">
        <f>IF(AND(ABS(I1663)&gt;Dashboard!$G$6,ABS(J1663)&gt;Dashboard!$H$6),"⚠ Vượt","")</f>
        <v/>
      </c>
      <c r="M1663">
        <f>IF(AND(A1663=Dashboard!$D$6,OR(Dashboard!$C$6="*",F1663=Dashboard!$C$6),L1663&lt;&gt;""),ABS(I1663)+ROW()/1000000000,0)</f>
        <v/>
      </c>
    </row>
    <row r="1664">
      <c r="A1664">
        <f>Data_thang!A1664</f>
        <v/>
      </c>
      <c r="B1664">
        <f>Data_thang!B1664</f>
        <v/>
      </c>
      <c r="C1664">
        <f>Data_thang!D1664</f>
        <v/>
      </c>
      <c r="D1664">
        <f>Data_thang!E1664</f>
        <v/>
      </c>
      <c r="E1664">
        <f>Data_thang!F1664</f>
        <v/>
      </c>
      <c r="F1664">
        <f>Data_thang!G1664</f>
        <v/>
      </c>
      <c r="G1664" s="29">
        <f>Data_thang!J1664-Data_thang!K1664</f>
        <v/>
      </c>
      <c r="H1664" s="29">
        <f>Data_thang!N1664</f>
        <v/>
      </c>
      <c r="I1664" s="29">
        <f>H1664-G1664</f>
        <v/>
      </c>
      <c r="J1664" s="30">
        <f>IF(H1664=0,IF(I1664=0,0,1),I1664/ABS(H1664))</f>
        <v/>
      </c>
      <c r="K1664" s="29">
        <f>H1664-(Data_thang!O1664-Data_thang!K1664)</f>
        <v/>
      </c>
      <c r="L1664">
        <f>IF(AND(ABS(I1664)&gt;Dashboard!$G$6,ABS(J1664)&gt;Dashboard!$H$6),"⚠ Vượt","")</f>
        <v/>
      </c>
      <c r="M1664">
        <f>IF(AND(A1664=Dashboard!$D$6,OR(Dashboard!$C$6="*",F1664=Dashboard!$C$6),L1664&lt;&gt;""),ABS(I1664)+ROW()/1000000000,0)</f>
        <v/>
      </c>
    </row>
    <row r="1665">
      <c r="A1665">
        <f>Data_thang!A1665</f>
        <v/>
      </c>
      <c r="B1665">
        <f>Data_thang!B1665</f>
        <v/>
      </c>
      <c r="C1665">
        <f>Data_thang!D1665</f>
        <v/>
      </c>
      <c r="D1665">
        <f>Data_thang!E1665</f>
        <v/>
      </c>
      <c r="E1665">
        <f>Data_thang!F1665</f>
        <v/>
      </c>
      <c r="F1665">
        <f>Data_thang!G1665</f>
        <v/>
      </c>
      <c r="G1665" s="29">
        <f>Data_thang!J1665-Data_thang!K1665</f>
        <v/>
      </c>
      <c r="H1665" s="29">
        <f>Data_thang!N1665</f>
        <v/>
      </c>
      <c r="I1665" s="29">
        <f>H1665-G1665</f>
        <v/>
      </c>
      <c r="J1665" s="30">
        <f>IF(H1665=0,IF(I1665=0,0,1),I1665/ABS(H1665))</f>
        <v/>
      </c>
      <c r="K1665" s="29">
        <f>H1665-(Data_thang!O1665-Data_thang!K1665)</f>
        <v/>
      </c>
      <c r="L1665">
        <f>IF(AND(ABS(I1665)&gt;Dashboard!$G$6,ABS(J1665)&gt;Dashboard!$H$6),"⚠ Vượt","")</f>
        <v/>
      </c>
      <c r="M1665">
        <f>IF(AND(A1665=Dashboard!$D$6,OR(Dashboard!$C$6="*",F1665=Dashboard!$C$6),L1665&lt;&gt;""),ABS(I1665)+ROW()/1000000000,0)</f>
        <v/>
      </c>
    </row>
    <row r="1666">
      <c r="A1666">
        <f>Data_thang!A1666</f>
        <v/>
      </c>
      <c r="B1666">
        <f>Data_thang!B1666</f>
        <v/>
      </c>
      <c r="C1666">
        <f>Data_thang!D1666</f>
        <v/>
      </c>
      <c r="D1666">
        <f>Data_thang!E1666</f>
        <v/>
      </c>
      <c r="E1666">
        <f>Data_thang!F1666</f>
        <v/>
      </c>
      <c r="F1666">
        <f>Data_thang!G1666</f>
        <v/>
      </c>
      <c r="G1666" s="29">
        <f>Data_thang!J1666-Data_thang!K1666</f>
        <v/>
      </c>
      <c r="H1666" s="29">
        <f>Data_thang!N1666</f>
        <v/>
      </c>
      <c r="I1666" s="29">
        <f>H1666-G1666</f>
        <v/>
      </c>
      <c r="J1666" s="30">
        <f>IF(H1666=0,IF(I1666=0,0,1),I1666/ABS(H1666))</f>
        <v/>
      </c>
      <c r="K1666" s="29">
        <f>H1666-(Data_thang!O1666-Data_thang!K1666)</f>
        <v/>
      </c>
      <c r="L1666">
        <f>IF(AND(ABS(I1666)&gt;Dashboard!$G$6,ABS(J1666)&gt;Dashboard!$H$6),"⚠ Vượt","")</f>
        <v/>
      </c>
      <c r="M1666">
        <f>IF(AND(A1666=Dashboard!$D$6,OR(Dashboard!$C$6="*",F1666=Dashboard!$C$6),L1666&lt;&gt;""),ABS(I1666)+ROW()/1000000000,0)</f>
        <v/>
      </c>
    </row>
    <row r="1667">
      <c r="A1667">
        <f>Data_thang!A1667</f>
        <v/>
      </c>
      <c r="B1667">
        <f>Data_thang!B1667</f>
        <v/>
      </c>
      <c r="C1667">
        <f>Data_thang!D1667</f>
        <v/>
      </c>
      <c r="D1667">
        <f>Data_thang!E1667</f>
        <v/>
      </c>
      <c r="E1667">
        <f>Data_thang!F1667</f>
        <v/>
      </c>
      <c r="F1667">
        <f>Data_thang!G1667</f>
        <v/>
      </c>
      <c r="G1667" s="29">
        <f>Data_thang!J1667-Data_thang!K1667</f>
        <v/>
      </c>
      <c r="H1667" s="29">
        <f>Data_thang!N1667</f>
        <v/>
      </c>
      <c r="I1667" s="29">
        <f>H1667-G1667</f>
        <v/>
      </c>
      <c r="J1667" s="30">
        <f>IF(H1667=0,IF(I1667=0,0,1),I1667/ABS(H1667))</f>
        <v/>
      </c>
      <c r="K1667" s="29">
        <f>H1667-(Data_thang!O1667-Data_thang!K1667)</f>
        <v/>
      </c>
      <c r="L1667">
        <f>IF(AND(ABS(I1667)&gt;Dashboard!$G$6,ABS(J1667)&gt;Dashboard!$H$6),"⚠ Vượt","")</f>
        <v/>
      </c>
      <c r="M1667">
        <f>IF(AND(A1667=Dashboard!$D$6,OR(Dashboard!$C$6="*",F1667=Dashboard!$C$6),L1667&lt;&gt;""),ABS(I1667)+ROW()/1000000000,0)</f>
        <v/>
      </c>
    </row>
    <row r="1668">
      <c r="A1668">
        <f>Data_thang!A1668</f>
        <v/>
      </c>
      <c r="B1668">
        <f>Data_thang!B1668</f>
        <v/>
      </c>
      <c r="C1668">
        <f>Data_thang!D1668</f>
        <v/>
      </c>
      <c r="D1668">
        <f>Data_thang!E1668</f>
        <v/>
      </c>
      <c r="E1668">
        <f>Data_thang!F1668</f>
        <v/>
      </c>
      <c r="F1668">
        <f>Data_thang!G1668</f>
        <v/>
      </c>
      <c r="G1668" s="29">
        <f>Data_thang!J1668-Data_thang!K1668</f>
        <v/>
      </c>
      <c r="H1668" s="29">
        <f>Data_thang!N1668</f>
        <v/>
      </c>
      <c r="I1668" s="29">
        <f>H1668-G1668</f>
        <v/>
      </c>
      <c r="J1668" s="30">
        <f>IF(H1668=0,IF(I1668=0,0,1),I1668/ABS(H1668))</f>
        <v/>
      </c>
      <c r="K1668" s="29">
        <f>H1668-(Data_thang!O1668-Data_thang!K1668)</f>
        <v/>
      </c>
      <c r="L1668">
        <f>IF(AND(ABS(I1668)&gt;Dashboard!$G$6,ABS(J1668)&gt;Dashboard!$H$6),"⚠ Vượt","")</f>
        <v/>
      </c>
      <c r="M1668">
        <f>IF(AND(A1668=Dashboard!$D$6,OR(Dashboard!$C$6="*",F1668=Dashboard!$C$6),L1668&lt;&gt;""),ABS(I1668)+ROW()/1000000000,0)</f>
        <v/>
      </c>
    </row>
    <row r="1669">
      <c r="A1669">
        <f>Data_thang!A1669</f>
        <v/>
      </c>
      <c r="B1669">
        <f>Data_thang!B1669</f>
        <v/>
      </c>
      <c r="C1669">
        <f>Data_thang!D1669</f>
        <v/>
      </c>
      <c r="D1669">
        <f>Data_thang!E1669</f>
        <v/>
      </c>
      <c r="E1669">
        <f>Data_thang!F1669</f>
        <v/>
      </c>
      <c r="F1669">
        <f>Data_thang!G1669</f>
        <v/>
      </c>
      <c r="G1669" s="29">
        <f>Data_thang!J1669-Data_thang!K1669</f>
        <v/>
      </c>
      <c r="H1669" s="29">
        <f>Data_thang!N1669</f>
        <v/>
      </c>
      <c r="I1669" s="29">
        <f>H1669-G1669</f>
        <v/>
      </c>
      <c r="J1669" s="30">
        <f>IF(H1669=0,IF(I1669=0,0,1),I1669/ABS(H1669))</f>
        <v/>
      </c>
      <c r="K1669" s="29">
        <f>H1669-(Data_thang!O1669-Data_thang!K1669)</f>
        <v/>
      </c>
      <c r="L1669">
        <f>IF(AND(ABS(I1669)&gt;Dashboard!$G$6,ABS(J1669)&gt;Dashboard!$H$6),"⚠ Vượt","")</f>
        <v/>
      </c>
      <c r="M1669">
        <f>IF(AND(A1669=Dashboard!$D$6,OR(Dashboard!$C$6="*",F1669=Dashboard!$C$6),L1669&lt;&gt;""),ABS(I1669)+ROW()/1000000000,0)</f>
        <v/>
      </c>
    </row>
    <row r="1670">
      <c r="A1670">
        <f>Data_thang!A1670</f>
        <v/>
      </c>
      <c r="B1670">
        <f>Data_thang!B1670</f>
        <v/>
      </c>
      <c r="C1670">
        <f>Data_thang!D1670</f>
        <v/>
      </c>
      <c r="D1670">
        <f>Data_thang!E1670</f>
        <v/>
      </c>
      <c r="E1670">
        <f>Data_thang!F1670</f>
        <v/>
      </c>
      <c r="F1670">
        <f>Data_thang!G1670</f>
        <v/>
      </c>
      <c r="G1670" s="29">
        <f>Data_thang!J1670-Data_thang!K1670</f>
        <v/>
      </c>
      <c r="H1670" s="29">
        <f>Data_thang!N1670</f>
        <v/>
      </c>
      <c r="I1670" s="29">
        <f>H1670-G1670</f>
        <v/>
      </c>
      <c r="J1670" s="30">
        <f>IF(H1670=0,IF(I1670=0,0,1),I1670/ABS(H1670))</f>
        <v/>
      </c>
      <c r="K1670" s="29">
        <f>H1670-(Data_thang!O1670-Data_thang!K1670)</f>
        <v/>
      </c>
      <c r="L1670">
        <f>IF(AND(ABS(I1670)&gt;Dashboard!$G$6,ABS(J1670)&gt;Dashboard!$H$6),"⚠ Vượt","")</f>
        <v/>
      </c>
      <c r="M1670">
        <f>IF(AND(A1670=Dashboard!$D$6,OR(Dashboard!$C$6="*",F1670=Dashboard!$C$6),L1670&lt;&gt;""),ABS(I1670)+ROW()/1000000000,0)</f>
        <v/>
      </c>
    </row>
    <row r="1671">
      <c r="A1671">
        <f>Data_thang!A1671</f>
        <v/>
      </c>
      <c r="B1671">
        <f>Data_thang!B1671</f>
        <v/>
      </c>
      <c r="C1671">
        <f>Data_thang!D1671</f>
        <v/>
      </c>
      <c r="D1671">
        <f>Data_thang!E1671</f>
        <v/>
      </c>
      <c r="E1671">
        <f>Data_thang!F1671</f>
        <v/>
      </c>
      <c r="F1671">
        <f>Data_thang!G1671</f>
        <v/>
      </c>
      <c r="G1671" s="29">
        <f>Data_thang!J1671-Data_thang!K1671</f>
        <v/>
      </c>
      <c r="H1671" s="29">
        <f>Data_thang!N1671</f>
        <v/>
      </c>
      <c r="I1671" s="29">
        <f>H1671-G1671</f>
        <v/>
      </c>
      <c r="J1671" s="30">
        <f>IF(H1671=0,IF(I1671=0,0,1),I1671/ABS(H1671))</f>
        <v/>
      </c>
      <c r="K1671" s="29">
        <f>H1671-(Data_thang!O1671-Data_thang!K1671)</f>
        <v/>
      </c>
      <c r="L1671">
        <f>IF(AND(ABS(I1671)&gt;Dashboard!$G$6,ABS(J1671)&gt;Dashboard!$H$6),"⚠ Vượt","")</f>
        <v/>
      </c>
      <c r="M1671">
        <f>IF(AND(A1671=Dashboard!$D$6,OR(Dashboard!$C$6="*",F1671=Dashboard!$C$6),L1671&lt;&gt;""),ABS(I1671)+ROW()/1000000000,0)</f>
        <v/>
      </c>
    </row>
    <row r="1672">
      <c r="A1672">
        <f>Data_thang!A1672</f>
        <v/>
      </c>
      <c r="B1672">
        <f>Data_thang!B1672</f>
        <v/>
      </c>
      <c r="C1672">
        <f>Data_thang!D1672</f>
        <v/>
      </c>
      <c r="D1672">
        <f>Data_thang!E1672</f>
        <v/>
      </c>
      <c r="E1672">
        <f>Data_thang!F1672</f>
        <v/>
      </c>
      <c r="F1672">
        <f>Data_thang!G1672</f>
        <v/>
      </c>
      <c r="G1672" s="29">
        <f>Data_thang!J1672-Data_thang!K1672</f>
        <v/>
      </c>
      <c r="H1672" s="29">
        <f>Data_thang!N1672</f>
        <v/>
      </c>
      <c r="I1672" s="29">
        <f>H1672-G1672</f>
        <v/>
      </c>
      <c r="J1672" s="30">
        <f>IF(H1672=0,IF(I1672=0,0,1),I1672/ABS(H1672))</f>
        <v/>
      </c>
      <c r="K1672" s="29">
        <f>H1672-(Data_thang!O1672-Data_thang!K1672)</f>
        <v/>
      </c>
      <c r="L1672">
        <f>IF(AND(ABS(I1672)&gt;Dashboard!$G$6,ABS(J1672)&gt;Dashboard!$H$6),"⚠ Vượt","")</f>
        <v/>
      </c>
      <c r="M1672">
        <f>IF(AND(A1672=Dashboard!$D$6,OR(Dashboard!$C$6="*",F1672=Dashboard!$C$6),L1672&lt;&gt;""),ABS(I1672)+ROW()/1000000000,0)</f>
        <v/>
      </c>
    </row>
    <row r="1673">
      <c r="A1673">
        <f>Data_thang!A1673</f>
        <v/>
      </c>
      <c r="B1673">
        <f>Data_thang!B1673</f>
        <v/>
      </c>
      <c r="C1673">
        <f>Data_thang!D1673</f>
        <v/>
      </c>
      <c r="D1673">
        <f>Data_thang!E1673</f>
        <v/>
      </c>
      <c r="E1673">
        <f>Data_thang!F1673</f>
        <v/>
      </c>
      <c r="F1673">
        <f>Data_thang!G1673</f>
        <v/>
      </c>
      <c r="G1673" s="29">
        <f>Data_thang!J1673-Data_thang!K1673</f>
        <v/>
      </c>
      <c r="H1673" s="29">
        <f>Data_thang!N1673</f>
        <v/>
      </c>
      <c r="I1673" s="29">
        <f>H1673-G1673</f>
        <v/>
      </c>
      <c r="J1673" s="30">
        <f>IF(H1673=0,IF(I1673=0,0,1),I1673/ABS(H1673))</f>
        <v/>
      </c>
      <c r="K1673" s="29">
        <f>H1673-(Data_thang!O1673-Data_thang!K1673)</f>
        <v/>
      </c>
      <c r="L1673">
        <f>IF(AND(ABS(I1673)&gt;Dashboard!$G$6,ABS(J1673)&gt;Dashboard!$H$6),"⚠ Vượt","")</f>
        <v/>
      </c>
      <c r="M1673">
        <f>IF(AND(A1673=Dashboard!$D$6,OR(Dashboard!$C$6="*",F1673=Dashboard!$C$6),L1673&lt;&gt;""),ABS(I1673)+ROW()/1000000000,0)</f>
        <v/>
      </c>
    </row>
    <row r="1674">
      <c r="A1674">
        <f>Data_thang!A1674</f>
        <v/>
      </c>
      <c r="B1674">
        <f>Data_thang!B1674</f>
        <v/>
      </c>
      <c r="C1674">
        <f>Data_thang!D1674</f>
        <v/>
      </c>
      <c r="D1674">
        <f>Data_thang!E1674</f>
        <v/>
      </c>
      <c r="E1674">
        <f>Data_thang!F1674</f>
        <v/>
      </c>
      <c r="F1674">
        <f>Data_thang!G1674</f>
        <v/>
      </c>
      <c r="G1674" s="29">
        <f>Data_thang!J1674-Data_thang!K1674</f>
        <v/>
      </c>
      <c r="H1674" s="29">
        <f>Data_thang!N1674</f>
        <v/>
      </c>
      <c r="I1674" s="29">
        <f>H1674-G1674</f>
        <v/>
      </c>
      <c r="J1674" s="30">
        <f>IF(H1674=0,IF(I1674=0,0,1),I1674/ABS(H1674))</f>
        <v/>
      </c>
      <c r="K1674" s="29">
        <f>H1674-(Data_thang!O1674-Data_thang!K1674)</f>
        <v/>
      </c>
      <c r="L1674">
        <f>IF(AND(ABS(I1674)&gt;Dashboard!$G$6,ABS(J1674)&gt;Dashboard!$H$6),"⚠ Vượt","")</f>
        <v/>
      </c>
      <c r="M1674">
        <f>IF(AND(A1674=Dashboard!$D$6,OR(Dashboard!$C$6="*",F1674=Dashboard!$C$6),L1674&lt;&gt;""),ABS(I1674)+ROW()/1000000000,0)</f>
        <v/>
      </c>
    </row>
    <row r="1675">
      <c r="A1675">
        <f>Data_thang!A1675</f>
        <v/>
      </c>
      <c r="B1675">
        <f>Data_thang!B1675</f>
        <v/>
      </c>
      <c r="C1675">
        <f>Data_thang!D1675</f>
        <v/>
      </c>
      <c r="D1675">
        <f>Data_thang!E1675</f>
        <v/>
      </c>
      <c r="E1675">
        <f>Data_thang!F1675</f>
        <v/>
      </c>
      <c r="F1675">
        <f>Data_thang!G1675</f>
        <v/>
      </c>
      <c r="G1675" s="29">
        <f>Data_thang!J1675-Data_thang!K1675</f>
        <v/>
      </c>
      <c r="H1675" s="29">
        <f>Data_thang!N1675</f>
        <v/>
      </c>
      <c r="I1675" s="29">
        <f>H1675-G1675</f>
        <v/>
      </c>
      <c r="J1675" s="30">
        <f>IF(H1675=0,IF(I1675=0,0,1),I1675/ABS(H1675))</f>
        <v/>
      </c>
      <c r="K1675" s="29">
        <f>H1675-(Data_thang!O1675-Data_thang!K1675)</f>
        <v/>
      </c>
      <c r="L1675">
        <f>IF(AND(ABS(I1675)&gt;Dashboard!$G$6,ABS(J1675)&gt;Dashboard!$H$6),"⚠ Vượt","")</f>
        <v/>
      </c>
      <c r="M1675">
        <f>IF(AND(A1675=Dashboard!$D$6,OR(Dashboard!$C$6="*",F1675=Dashboard!$C$6),L1675&lt;&gt;""),ABS(I1675)+ROW()/1000000000,0)</f>
        <v/>
      </c>
    </row>
    <row r="1676">
      <c r="A1676">
        <f>Data_thang!A1676</f>
        <v/>
      </c>
      <c r="B1676">
        <f>Data_thang!B1676</f>
        <v/>
      </c>
      <c r="C1676">
        <f>Data_thang!D1676</f>
        <v/>
      </c>
      <c r="D1676">
        <f>Data_thang!E1676</f>
        <v/>
      </c>
      <c r="E1676">
        <f>Data_thang!F1676</f>
        <v/>
      </c>
      <c r="F1676">
        <f>Data_thang!G1676</f>
        <v/>
      </c>
      <c r="G1676" s="29">
        <f>Data_thang!J1676-Data_thang!K1676</f>
        <v/>
      </c>
      <c r="H1676" s="29">
        <f>Data_thang!N1676</f>
        <v/>
      </c>
      <c r="I1676" s="29">
        <f>H1676-G1676</f>
        <v/>
      </c>
      <c r="J1676" s="30">
        <f>IF(H1676=0,IF(I1676=0,0,1),I1676/ABS(H1676))</f>
        <v/>
      </c>
      <c r="K1676" s="29">
        <f>H1676-(Data_thang!O1676-Data_thang!K1676)</f>
        <v/>
      </c>
      <c r="L1676">
        <f>IF(AND(ABS(I1676)&gt;Dashboard!$G$6,ABS(J1676)&gt;Dashboard!$H$6),"⚠ Vượt","")</f>
        <v/>
      </c>
      <c r="M1676">
        <f>IF(AND(A1676=Dashboard!$D$6,OR(Dashboard!$C$6="*",F1676=Dashboard!$C$6),L1676&lt;&gt;""),ABS(I1676)+ROW()/1000000000,0)</f>
        <v/>
      </c>
    </row>
    <row r="1677">
      <c r="A1677">
        <f>Data_thang!A1677</f>
        <v/>
      </c>
      <c r="B1677">
        <f>Data_thang!B1677</f>
        <v/>
      </c>
      <c r="C1677">
        <f>Data_thang!D1677</f>
        <v/>
      </c>
      <c r="D1677">
        <f>Data_thang!E1677</f>
        <v/>
      </c>
      <c r="E1677">
        <f>Data_thang!F1677</f>
        <v/>
      </c>
      <c r="F1677">
        <f>Data_thang!G1677</f>
        <v/>
      </c>
      <c r="G1677" s="29">
        <f>Data_thang!J1677-Data_thang!K1677</f>
        <v/>
      </c>
      <c r="H1677" s="29">
        <f>Data_thang!N1677</f>
        <v/>
      </c>
      <c r="I1677" s="29">
        <f>H1677-G1677</f>
        <v/>
      </c>
      <c r="J1677" s="30">
        <f>IF(H1677=0,IF(I1677=0,0,1),I1677/ABS(H1677))</f>
        <v/>
      </c>
      <c r="K1677" s="29">
        <f>H1677-(Data_thang!O1677-Data_thang!K1677)</f>
        <v/>
      </c>
      <c r="L1677">
        <f>IF(AND(ABS(I1677)&gt;Dashboard!$G$6,ABS(J1677)&gt;Dashboard!$H$6),"⚠ Vượt","")</f>
        <v/>
      </c>
      <c r="M1677">
        <f>IF(AND(A1677=Dashboard!$D$6,OR(Dashboard!$C$6="*",F1677=Dashboard!$C$6),L1677&lt;&gt;""),ABS(I1677)+ROW()/1000000000,0)</f>
        <v/>
      </c>
    </row>
    <row r="1678">
      <c r="A1678">
        <f>Data_thang!A1678</f>
        <v/>
      </c>
      <c r="B1678">
        <f>Data_thang!B1678</f>
        <v/>
      </c>
      <c r="C1678">
        <f>Data_thang!D1678</f>
        <v/>
      </c>
      <c r="D1678">
        <f>Data_thang!E1678</f>
        <v/>
      </c>
      <c r="E1678">
        <f>Data_thang!F1678</f>
        <v/>
      </c>
      <c r="F1678">
        <f>Data_thang!G1678</f>
        <v/>
      </c>
      <c r="G1678" s="29">
        <f>Data_thang!J1678-Data_thang!K1678</f>
        <v/>
      </c>
      <c r="H1678" s="29">
        <f>Data_thang!N1678</f>
        <v/>
      </c>
      <c r="I1678" s="29">
        <f>H1678-G1678</f>
        <v/>
      </c>
      <c r="J1678" s="30">
        <f>IF(H1678=0,IF(I1678=0,0,1),I1678/ABS(H1678))</f>
        <v/>
      </c>
      <c r="K1678" s="29">
        <f>H1678-(Data_thang!O1678-Data_thang!K1678)</f>
        <v/>
      </c>
      <c r="L1678">
        <f>IF(AND(ABS(I1678)&gt;Dashboard!$G$6,ABS(J1678)&gt;Dashboard!$H$6),"⚠ Vượt","")</f>
        <v/>
      </c>
      <c r="M1678">
        <f>IF(AND(A1678=Dashboard!$D$6,OR(Dashboard!$C$6="*",F1678=Dashboard!$C$6),L1678&lt;&gt;""),ABS(I1678)+ROW()/1000000000,0)</f>
        <v/>
      </c>
    </row>
    <row r="1679">
      <c r="A1679">
        <f>Data_thang!A1679</f>
        <v/>
      </c>
      <c r="B1679">
        <f>Data_thang!B1679</f>
        <v/>
      </c>
      <c r="C1679">
        <f>Data_thang!D1679</f>
        <v/>
      </c>
      <c r="D1679">
        <f>Data_thang!E1679</f>
        <v/>
      </c>
      <c r="E1679">
        <f>Data_thang!F1679</f>
        <v/>
      </c>
      <c r="F1679">
        <f>Data_thang!G1679</f>
        <v/>
      </c>
      <c r="G1679" s="29">
        <f>Data_thang!J1679-Data_thang!K1679</f>
        <v/>
      </c>
      <c r="H1679" s="29">
        <f>Data_thang!N1679</f>
        <v/>
      </c>
      <c r="I1679" s="29">
        <f>H1679-G1679</f>
        <v/>
      </c>
      <c r="J1679" s="30">
        <f>IF(H1679=0,IF(I1679=0,0,1),I1679/ABS(H1679))</f>
        <v/>
      </c>
      <c r="K1679" s="29">
        <f>H1679-(Data_thang!O1679-Data_thang!K1679)</f>
        <v/>
      </c>
      <c r="L1679">
        <f>IF(AND(ABS(I1679)&gt;Dashboard!$G$6,ABS(J1679)&gt;Dashboard!$H$6),"⚠ Vượt","")</f>
        <v/>
      </c>
      <c r="M1679">
        <f>IF(AND(A1679=Dashboard!$D$6,OR(Dashboard!$C$6="*",F1679=Dashboard!$C$6),L1679&lt;&gt;""),ABS(I1679)+ROW()/1000000000,0)</f>
        <v/>
      </c>
    </row>
    <row r="1680">
      <c r="A1680">
        <f>Data_thang!A1680</f>
        <v/>
      </c>
      <c r="B1680">
        <f>Data_thang!B1680</f>
        <v/>
      </c>
      <c r="C1680">
        <f>Data_thang!D1680</f>
        <v/>
      </c>
      <c r="D1680">
        <f>Data_thang!E1680</f>
        <v/>
      </c>
      <c r="E1680">
        <f>Data_thang!F1680</f>
        <v/>
      </c>
      <c r="F1680">
        <f>Data_thang!G1680</f>
        <v/>
      </c>
      <c r="G1680" s="29">
        <f>Data_thang!J1680-Data_thang!K1680</f>
        <v/>
      </c>
      <c r="H1680" s="29">
        <f>Data_thang!N1680</f>
        <v/>
      </c>
      <c r="I1680" s="29">
        <f>H1680-G1680</f>
        <v/>
      </c>
      <c r="J1680" s="30">
        <f>IF(H1680=0,IF(I1680=0,0,1),I1680/ABS(H1680))</f>
        <v/>
      </c>
      <c r="K1680" s="29">
        <f>H1680-(Data_thang!O1680-Data_thang!K1680)</f>
        <v/>
      </c>
      <c r="L1680">
        <f>IF(AND(ABS(I1680)&gt;Dashboard!$G$6,ABS(J1680)&gt;Dashboard!$H$6),"⚠ Vượt","")</f>
        <v/>
      </c>
      <c r="M1680">
        <f>IF(AND(A1680=Dashboard!$D$6,OR(Dashboard!$C$6="*",F1680=Dashboard!$C$6),L1680&lt;&gt;""),ABS(I1680)+ROW()/1000000000,0)</f>
        <v/>
      </c>
    </row>
    <row r="1681">
      <c r="A1681">
        <f>Data_thang!A1681</f>
        <v/>
      </c>
      <c r="B1681">
        <f>Data_thang!B1681</f>
        <v/>
      </c>
      <c r="C1681">
        <f>Data_thang!D1681</f>
        <v/>
      </c>
      <c r="D1681">
        <f>Data_thang!E1681</f>
        <v/>
      </c>
      <c r="E1681">
        <f>Data_thang!F1681</f>
        <v/>
      </c>
      <c r="F1681">
        <f>Data_thang!G1681</f>
        <v/>
      </c>
      <c r="G1681" s="29">
        <f>Data_thang!J1681-Data_thang!K1681</f>
        <v/>
      </c>
      <c r="H1681" s="29">
        <f>Data_thang!N1681</f>
        <v/>
      </c>
      <c r="I1681" s="29">
        <f>H1681-G1681</f>
        <v/>
      </c>
      <c r="J1681" s="30">
        <f>IF(H1681=0,IF(I1681=0,0,1),I1681/ABS(H1681))</f>
        <v/>
      </c>
      <c r="K1681" s="29">
        <f>H1681-(Data_thang!O1681-Data_thang!K1681)</f>
        <v/>
      </c>
      <c r="L1681">
        <f>IF(AND(ABS(I1681)&gt;Dashboard!$G$6,ABS(J1681)&gt;Dashboard!$H$6),"⚠ Vượt","")</f>
        <v/>
      </c>
      <c r="M1681">
        <f>IF(AND(A1681=Dashboard!$D$6,OR(Dashboard!$C$6="*",F1681=Dashboard!$C$6),L1681&lt;&gt;""),ABS(I1681)+ROW()/1000000000,0)</f>
        <v/>
      </c>
    </row>
    <row r="1682">
      <c r="A1682">
        <f>Data_thang!A1682</f>
        <v/>
      </c>
      <c r="B1682">
        <f>Data_thang!B1682</f>
        <v/>
      </c>
      <c r="C1682">
        <f>Data_thang!D1682</f>
        <v/>
      </c>
      <c r="D1682">
        <f>Data_thang!E1682</f>
        <v/>
      </c>
      <c r="E1682">
        <f>Data_thang!F1682</f>
        <v/>
      </c>
      <c r="F1682">
        <f>Data_thang!G1682</f>
        <v/>
      </c>
      <c r="G1682" s="29">
        <f>Data_thang!J1682-Data_thang!K1682</f>
        <v/>
      </c>
      <c r="H1682" s="29">
        <f>Data_thang!N1682</f>
        <v/>
      </c>
      <c r="I1682" s="29">
        <f>H1682-G1682</f>
        <v/>
      </c>
      <c r="J1682" s="30">
        <f>IF(H1682=0,IF(I1682=0,0,1),I1682/ABS(H1682))</f>
        <v/>
      </c>
      <c r="K1682" s="29">
        <f>H1682-(Data_thang!O1682-Data_thang!K1682)</f>
        <v/>
      </c>
      <c r="L1682">
        <f>IF(AND(ABS(I1682)&gt;Dashboard!$G$6,ABS(J1682)&gt;Dashboard!$H$6),"⚠ Vượt","")</f>
        <v/>
      </c>
      <c r="M1682">
        <f>IF(AND(A1682=Dashboard!$D$6,OR(Dashboard!$C$6="*",F1682=Dashboard!$C$6),L1682&lt;&gt;""),ABS(I1682)+ROW()/1000000000,0)</f>
        <v/>
      </c>
    </row>
    <row r="1683">
      <c r="A1683">
        <f>Data_thang!A1683</f>
        <v/>
      </c>
      <c r="B1683">
        <f>Data_thang!B1683</f>
        <v/>
      </c>
      <c r="C1683">
        <f>Data_thang!D1683</f>
        <v/>
      </c>
      <c r="D1683">
        <f>Data_thang!E1683</f>
        <v/>
      </c>
      <c r="E1683">
        <f>Data_thang!F1683</f>
        <v/>
      </c>
      <c r="F1683">
        <f>Data_thang!G1683</f>
        <v/>
      </c>
      <c r="G1683" s="29">
        <f>Data_thang!J1683-Data_thang!K1683</f>
        <v/>
      </c>
      <c r="H1683" s="29">
        <f>Data_thang!N1683</f>
        <v/>
      </c>
      <c r="I1683" s="29">
        <f>H1683-G1683</f>
        <v/>
      </c>
      <c r="J1683" s="30">
        <f>IF(H1683=0,IF(I1683=0,0,1),I1683/ABS(H1683))</f>
        <v/>
      </c>
      <c r="K1683" s="29">
        <f>H1683-(Data_thang!O1683-Data_thang!K1683)</f>
        <v/>
      </c>
      <c r="L1683">
        <f>IF(AND(ABS(I1683)&gt;Dashboard!$G$6,ABS(J1683)&gt;Dashboard!$H$6),"⚠ Vượt","")</f>
        <v/>
      </c>
      <c r="M1683">
        <f>IF(AND(A1683=Dashboard!$D$6,OR(Dashboard!$C$6="*",F1683=Dashboard!$C$6),L1683&lt;&gt;""),ABS(I1683)+ROW()/1000000000,0)</f>
        <v/>
      </c>
    </row>
    <row r="1684">
      <c r="A1684">
        <f>Data_thang!A1684</f>
        <v/>
      </c>
      <c r="B1684">
        <f>Data_thang!B1684</f>
        <v/>
      </c>
      <c r="C1684">
        <f>Data_thang!D1684</f>
        <v/>
      </c>
      <c r="D1684">
        <f>Data_thang!E1684</f>
        <v/>
      </c>
      <c r="E1684">
        <f>Data_thang!F1684</f>
        <v/>
      </c>
      <c r="F1684">
        <f>Data_thang!G1684</f>
        <v/>
      </c>
      <c r="G1684" s="29">
        <f>Data_thang!J1684-Data_thang!K1684</f>
        <v/>
      </c>
      <c r="H1684" s="29">
        <f>Data_thang!N1684</f>
        <v/>
      </c>
      <c r="I1684" s="29">
        <f>H1684-G1684</f>
        <v/>
      </c>
      <c r="J1684" s="30">
        <f>IF(H1684=0,IF(I1684=0,0,1),I1684/ABS(H1684))</f>
        <v/>
      </c>
      <c r="K1684" s="29">
        <f>H1684-(Data_thang!O1684-Data_thang!K1684)</f>
        <v/>
      </c>
      <c r="L1684">
        <f>IF(AND(ABS(I1684)&gt;Dashboard!$G$6,ABS(J1684)&gt;Dashboard!$H$6),"⚠ Vượt","")</f>
        <v/>
      </c>
      <c r="M1684">
        <f>IF(AND(A1684=Dashboard!$D$6,OR(Dashboard!$C$6="*",F1684=Dashboard!$C$6),L1684&lt;&gt;""),ABS(I1684)+ROW()/1000000000,0)</f>
        <v/>
      </c>
    </row>
    <row r="1685">
      <c r="A1685">
        <f>Data_thang!A1685</f>
        <v/>
      </c>
      <c r="B1685">
        <f>Data_thang!B1685</f>
        <v/>
      </c>
      <c r="C1685">
        <f>Data_thang!D1685</f>
        <v/>
      </c>
      <c r="D1685">
        <f>Data_thang!E1685</f>
        <v/>
      </c>
      <c r="E1685">
        <f>Data_thang!F1685</f>
        <v/>
      </c>
      <c r="F1685">
        <f>Data_thang!G1685</f>
        <v/>
      </c>
      <c r="G1685" s="29">
        <f>Data_thang!J1685-Data_thang!K1685</f>
        <v/>
      </c>
      <c r="H1685" s="29">
        <f>Data_thang!N1685</f>
        <v/>
      </c>
      <c r="I1685" s="29">
        <f>H1685-G1685</f>
        <v/>
      </c>
      <c r="J1685" s="30">
        <f>IF(H1685=0,IF(I1685=0,0,1),I1685/ABS(H1685))</f>
        <v/>
      </c>
      <c r="K1685" s="29">
        <f>H1685-(Data_thang!O1685-Data_thang!K1685)</f>
        <v/>
      </c>
      <c r="L1685">
        <f>IF(AND(ABS(I1685)&gt;Dashboard!$G$6,ABS(J1685)&gt;Dashboard!$H$6),"⚠ Vượt","")</f>
        <v/>
      </c>
      <c r="M1685">
        <f>IF(AND(A1685=Dashboard!$D$6,OR(Dashboard!$C$6="*",F1685=Dashboard!$C$6),L1685&lt;&gt;""),ABS(I1685)+ROW()/1000000000,0)</f>
        <v/>
      </c>
    </row>
    <row r="1686">
      <c r="A1686">
        <f>Data_thang!A1686</f>
        <v/>
      </c>
      <c r="B1686">
        <f>Data_thang!B1686</f>
        <v/>
      </c>
      <c r="C1686">
        <f>Data_thang!D1686</f>
        <v/>
      </c>
      <c r="D1686">
        <f>Data_thang!E1686</f>
        <v/>
      </c>
      <c r="E1686">
        <f>Data_thang!F1686</f>
        <v/>
      </c>
      <c r="F1686">
        <f>Data_thang!G1686</f>
        <v/>
      </c>
      <c r="G1686" s="29">
        <f>Data_thang!J1686-Data_thang!K1686</f>
        <v/>
      </c>
      <c r="H1686" s="29">
        <f>Data_thang!N1686</f>
        <v/>
      </c>
      <c r="I1686" s="29">
        <f>H1686-G1686</f>
        <v/>
      </c>
      <c r="J1686" s="30">
        <f>IF(H1686=0,IF(I1686=0,0,1),I1686/ABS(H1686))</f>
        <v/>
      </c>
      <c r="K1686" s="29">
        <f>H1686-(Data_thang!O1686-Data_thang!K1686)</f>
        <v/>
      </c>
      <c r="L1686">
        <f>IF(AND(ABS(I1686)&gt;Dashboard!$G$6,ABS(J1686)&gt;Dashboard!$H$6),"⚠ Vượt","")</f>
        <v/>
      </c>
      <c r="M1686">
        <f>IF(AND(A1686=Dashboard!$D$6,OR(Dashboard!$C$6="*",F1686=Dashboard!$C$6),L1686&lt;&gt;""),ABS(I1686)+ROW()/1000000000,0)</f>
        <v/>
      </c>
    </row>
    <row r="1687">
      <c r="A1687">
        <f>Data_thang!A1687</f>
        <v/>
      </c>
      <c r="B1687">
        <f>Data_thang!B1687</f>
        <v/>
      </c>
      <c r="C1687">
        <f>Data_thang!D1687</f>
        <v/>
      </c>
      <c r="D1687">
        <f>Data_thang!E1687</f>
        <v/>
      </c>
      <c r="E1687">
        <f>Data_thang!F1687</f>
        <v/>
      </c>
      <c r="F1687">
        <f>Data_thang!G1687</f>
        <v/>
      </c>
      <c r="G1687" s="29">
        <f>Data_thang!J1687-Data_thang!K1687</f>
        <v/>
      </c>
      <c r="H1687" s="29">
        <f>Data_thang!N1687</f>
        <v/>
      </c>
      <c r="I1687" s="29">
        <f>H1687-G1687</f>
        <v/>
      </c>
      <c r="J1687" s="30">
        <f>IF(H1687=0,IF(I1687=0,0,1),I1687/ABS(H1687))</f>
        <v/>
      </c>
      <c r="K1687" s="29">
        <f>H1687-(Data_thang!O1687-Data_thang!K1687)</f>
        <v/>
      </c>
      <c r="L1687">
        <f>IF(AND(ABS(I1687)&gt;Dashboard!$G$6,ABS(J1687)&gt;Dashboard!$H$6),"⚠ Vượt","")</f>
        <v/>
      </c>
      <c r="M1687">
        <f>IF(AND(A1687=Dashboard!$D$6,OR(Dashboard!$C$6="*",F1687=Dashboard!$C$6),L1687&lt;&gt;""),ABS(I1687)+ROW()/1000000000,0)</f>
        <v/>
      </c>
    </row>
    <row r="1688">
      <c r="A1688">
        <f>Data_thang!A1688</f>
        <v/>
      </c>
      <c r="B1688">
        <f>Data_thang!B1688</f>
        <v/>
      </c>
      <c r="C1688">
        <f>Data_thang!D1688</f>
        <v/>
      </c>
      <c r="D1688">
        <f>Data_thang!E1688</f>
        <v/>
      </c>
      <c r="E1688">
        <f>Data_thang!F1688</f>
        <v/>
      </c>
      <c r="F1688">
        <f>Data_thang!G1688</f>
        <v/>
      </c>
      <c r="G1688" s="29">
        <f>Data_thang!J1688-Data_thang!K1688</f>
        <v/>
      </c>
      <c r="H1688" s="29">
        <f>Data_thang!N1688</f>
        <v/>
      </c>
      <c r="I1688" s="29">
        <f>H1688-G1688</f>
        <v/>
      </c>
      <c r="J1688" s="30">
        <f>IF(H1688=0,IF(I1688=0,0,1),I1688/ABS(H1688))</f>
        <v/>
      </c>
      <c r="K1688" s="29">
        <f>H1688-(Data_thang!O1688-Data_thang!K1688)</f>
        <v/>
      </c>
      <c r="L1688">
        <f>IF(AND(ABS(I1688)&gt;Dashboard!$G$6,ABS(J1688)&gt;Dashboard!$H$6),"⚠ Vượt","")</f>
        <v/>
      </c>
      <c r="M1688">
        <f>IF(AND(A1688=Dashboard!$D$6,OR(Dashboard!$C$6="*",F1688=Dashboard!$C$6),L1688&lt;&gt;""),ABS(I1688)+ROW()/1000000000,0)</f>
        <v/>
      </c>
    </row>
    <row r="1689">
      <c r="A1689">
        <f>Data_thang!A1689</f>
        <v/>
      </c>
      <c r="B1689">
        <f>Data_thang!B1689</f>
        <v/>
      </c>
      <c r="C1689">
        <f>Data_thang!D1689</f>
        <v/>
      </c>
      <c r="D1689">
        <f>Data_thang!E1689</f>
        <v/>
      </c>
      <c r="E1689">
        <f>Data_thang!F1689</f>
        <v/>
      </c>
      <c r="F1689">
        <f>Data_thang!G1689</f>
        <v/>
      </c>
      <c r="G1689" s="29">
        <f>Data_thang!J1689-Data_thang!K1689</f>
        <v/>
      </c>
      <c r="H1689" s="29">
        <f>Data_thang!N1689</f>
        <v/>
      </c>
      <c r="I1689" s="29">
        <f>H1689-G1689</f>
        <v/>
      </c>
      <c r="J1689" s="30">
        <f>IF(H1689=0,IF(I1689=0,0,1),I1689/ABS(H1689))</f>
        <v/>
      </c>
      <c r="K1689" s="29">
        <f>H1689-(Data_thang!O1689-Data_thang!K1689)</f>
        <v/>
      </c>
      <c r="L1689">
        <f>IF(AND(ABS(I1689)&gt;Dashboard!$G$6,ABS(J1689)&gt;Dashboard!$H$6),"⚠ Vượt","")</f>
        <v/>
      </c>
      <c r="M1689">
        <f>IF(AND(A1689=Dashboard!$D$6,OR(Dashboard!$C$6="*",F1689=Dashboard!$C$6),L1689&lt;&gt;""),ABS(I1689)+ROW()/1000000000,0)</f>
        <v/>
      </c>
    </row>
    <row r="1690">
      <c r="A1690">
        <f>Data_thang!A1690</f>
        <v/>
      </c>
      <c r="B1690">
        <f>Data_thang!B1690</f>
        <v/>
      </c>
      <c r="C1690">
        <f>Data_thang!D1690</f>
        <v/>
      </c>
      <c r="D1690">
        <f>Data_thang!E1690</f>
        <v/>
      </c>
      <c r="E1690">
        <f>Data_thang!F1690</f>
        <v/>
      </c>
      <c r="F1690">
        <f>Data_thang!G1690</f>
        <v/>
      </c>
      <c r="G1690" s="29">
        <f>Data_thang!J1690-Data_thang!K1690</f>
        <v/>
      </c>
      <c r="H1690" s="29">
        <f>Data_thang!N1690</f>
        <v/>
      </c>
      <c r="I1690" s="29">
        <f>H1690-G1690</f>
        <v/>
      </c>
      <c r="J1690" s="30">
        <f>IF(H1690=0,IF(I1690=0,0,1),I1690/ABS(H1690))</f>
        <v/>
      </c>
      <c r="K1690" s="29">
        <f>H1690-(Data_thang!O1690-Data_thang!K1690)</f>
        <v/>
      </c>
      <c r="L1690">
        <f>IF(AND(ABS(I1690)&gt;Dashboard!$G$6,ABS(J1690)&gt;Dashboard!$H$6),"⚠ Vượt","")</f>
        <v/>
      </c>
      <c r="M1690">
        <f>IF(AND(A1690=Dashboard!$D$6,OR(Dashboard!$C$6="*",F1690=Dashboard!$C$6),L1690&lt;&gt;""),ABS(I1690)+ROW()/1000000000,0)</f>
        <v/>
      </c>
    </row>
    <row r="1691">
      <c r="A1691">
        <f>Data_thang!A1691</f>
        <v/>
      </c>
      <c r="B1691">
        <f>Data_thang!B1691</f>
        <v/>
      </c>
      <c r="C1691">
        <f>Data_thang!D1691</f>
        <v/>
      </c>
      <c r="D1691">
        <f>Data_thang!E1691</f>
        <v/>
      </c>
      <c r="E1691">
        <f>Data_thang!F1691</f>
        <v/>
      </c>
      <c r="F1691">
        <f>Data_thang!G1691</f>
        <v/>
      </c>
      <c r="G1691" s="29">
        <f>Data_thang!J1691-Data_thang!K1691</f>
        <v/>
      </c>
      <c r="H1691" s="29">
        <f>Data_thang!N1691</f>
        <v/>
      </c>
      <c r="I1691" s="29">
        <f>H1691-G1691</f>
        <v/>
      </c>
      <c r="J1691" s="30">
        <f>IF(H1691=0,IF(I1691=0,0,1),I1691/ABS(H1691))</f>
        <v/>
      </c>
      <c r="K1691" s="29">
        <f>H1691-(Data_thang!O1691-Data_thang!K1691)</f>
        <v/>
      </c>
      <c r="L1691">
        <f>IF(AND(ABS(I1691)&gt;Dashboard!$G$6,ABS(J1691)&gt;Dashboard!$H$6),"⚠ Vượt","")</f>
        <v/>
      </c>
      <c r="M1691">
        <f>IF(AND(A1691=Dashboard!$D$6,OR(Dashboard!$C$6="*",F1691=Dashboard!$C$6),L1691&lt;&gt;""),ABS(I1691)+ROW()/1000000000,0)</f>
        <v/>
      </c>
    </row>
    <row r="1692">
      <c r="A1692">
        <f>Data_thang!A1692</f>
        <v/>
      </c>
      <c r="B1692">
        <f>Data_thang!B1692</f>
        <v/>
      </c>
      <c r="C1692">
        <f>Data_thang!D1692</f>
        <v/>
      </c>
      <c r="D1692">
        <f>Data_thang!E1692</f>
        <v/>
      </c>
      <c r="E1692">
        <f>Data_thang!F1692</f>
        <v/>
      </c>
      <c r="F1692">
        <f>Data_thang!G1692</f>
        <v/>
      </c>
      <c r="G1692" s="29">
        <f>Data_thang!J1692-Data_thang!K1692</f>
        <v/>
      </c>
      <c r="H1692" s="29">
        <f>Data_thang!N1692</f>
        <v/>
      </c>
      <c r="I1692" s="29">
        <f>H1692-G1692</f>
        <v/>
      </c>
      <c r="J1692" s="30">
        <f>IF(H1692=0,IF(I1692=0,0,1),I1692/ABS(H1692))</f>
        <v/>
      </c>
      <c r="K1692" s="29">
        <f>H1692-(Data_thang!O1692-Data_thang!K1692)</f>
        <v/>
      </c>
      <c r="L1692">
        <f>IF(AND(ABS(I1692)&gt;Dashboard!$G$6,ABS(J1692)&gt;Dashboard!$H$6),"⚠ Vượt","")</f>
        <v/>
      </c>
      <c r="M1692">
        <f>IF(AND(A1692=Dashboard!$D$6,OR(Dashboard!$C$6="*",F1692=Dashboard!$C$6),L1692&lt;&gt;""),ABS(I1692)+ROW()/1000000000,0)</f>
        <v/>
      </c>
    </row>
    <row r="1693">
      <c r="A1693">
        <f>Data_thang!A1693</f>
        <v/>
      </c>
      <c r="B1693">
        <f>Data_thang!B1693</f>
        <v/>
      </c>
      <c r="C1693">
        <f>Data_thang!D1693</f>
        <v/>
      </c>
      <c r="D1693">
        <f>Data_thang!E1693</f>
        <v/>
      </c>
      <c r="E1693">
        <f>Data_thang!F1693</f>
        <v/>
      </c>
      <c r="F1693">
        <f>Data_thang!G1693</f>
        <v/>
      </c>
      <c r="G1693" s="29">
        <f>Data_thang!J1693-Data_thang!K1693</f>
        <v/>
      </c>
      <c r="H1693" s="29">
        <f>Data_thang!N1693</f>
        <v/>
      </c>
      <c r="I1693" s="29">
        <f>H1693-G1693</f>
        <v/>
      </c>
      <c r="J1693" s="30">
        <f>IF(H1693=0,IF(I1693=0,0,1),I1693/ABS(H1693))</f>
        <v/>
      </c>
      <c r="K1693" s="29">
        <f>H1693-(Data_thang!O1693-Data_thang!K1693)</f>
        <v/>
      </c>
      <c r="L1693">
        <f>IF(AND(ABS(I1693)&gt;Dashboard!$G$6,ABS(J1693)&gt;Dashboard!$H$6),"⚠ Vượt","")</f>
        <v/>
      </c>
      <c r="M1693">
        <f>IF(AND(A1693=Dashboard!$D$6,OR(Dashboard!$C$6="*",F1693=Dashboard!$C$6),L1693&lt;&gt;""),ABS(I1693)+ROW()/1000000000,0)</f>
        <v/>
      </c>
    </row>
    <row r="1694">
      <c r="A1694">
        <f>Data_thang!A1694</f>
        <v/>
      </c>
      <c r="B1694">
        <f>Data_thang!B1694</f>
        <v/>
      </c>
      <c r="C1694">
        <f>Data_thang!D1694</f>
        <v/>
      </c>
      <c r="D1694">
        <f>Data_thang!E1694</f>
        <v/>
      </c>
      <c r="E1694">
        <f>Data_thang!F1694</f>
        <v/>
      </c>
      <c r="F1694">
        <f>Data_thang!G1694</f>
        <v/>
      </c>
      <c r="G1694" s="29">
        <f>Data_thang!J1694-Data_thang!K1694</f>
        <v/>
      </c>
      <c r="H1694" s="29">
        <f>Data_thang!N1694</f>
        <v/>
      </c>
      <c r="I1694" s="29">
        <f>H1694-G1694</f>
        <v/>
      </c>
      <c r="J1694" s="30">
        <f>IF(H1694=0,IF(I1694=0,0,1),I1694/ABS(H1694))</f>
        <v/>
      </c>
      <c r="K1694" s="29">
        <f>H1694-(Data_thang!O1694-Data_thang!K1694)</f>
        <v/>
      </c>
      <c r="L1694">
        <f>IF(AND(ABS(I1694)&gt;Dashboard!$G$6,ABS(J1694)&gt;Dashboard!$H$6),"⚠ Vượt","")</f>
        <v/>
      </c>
      <c r="M1694">
        <f>IF(AND(A1694=Dashboard!$D$6,OR(Dashboard!$C$6="*",F1694=Dashboard!$C$6),L1694&lt;&gt;""),ABS(I1694)+ROW()/1000000000,0)</f>
        <v/>
      </c>
    </row>
    <row r="1695">
      <c r="A1695">
        <f>Data_thang!A1695</f>
        <v/>
      </c>
      <c r="B1695">
        <f>Data_thang!B1695</f>
        <v/>
      </c>
      <c r="C1695">
        <f>Data_thang!D1695</f>
        <v/>
      </c>
      <c r="D1695">
        <f>Data_thang!E1695</f>
        <v/>
      </c>
      <c r="E1695">
        <f>Data_thang!F1695</f>
        <v/>
      </c>
      <c r="F1695">
        <f>Data_thang!G1695</f>
        <v/>
      </c>
      <c r="G1695" s="29">
        <f>Data_thang!J1695-Data_thang!K1695</f>
        <v/>
      </c>
      <c r="H1695" s="29">
        <f>Data_thang!N1695</f>
        <v/>
      </c>
      <c r="I1695" s="29">
        <f>H1695-G1695</f>
        <v/>
      </c>
      <c r="J1695" s="30">
        <f>IF(H1695=0,IF(I1695=0,0,1),I1695/ABS(H1695))</f>
        <v/>
      </c>
      <c r="K1695" s="29">
        <f>H1695-(Data_thang!O1695-Data_thang!K1695)</f>
        <v/>
      </c>
      <c r="L1695">
        <f>IF(AND(ABS(I1695)&gt;Dashboard!$G$6,ABS(J1695)&gt;Dashboard!$H$6),"⚠ Vượt","")</f>
        <v/>
      </c>
      <c r="M1695">
        <f>IF(AND(A1695=Dashboard!$D$6,OR(Dashboard!$C$6="*",F1695=Dashboard!$C$6),L1695&lt;&gt;""),ABS(I1695)+ROW()/1000000000,0)</f>
        <v/>
      </c>
    </row>
    <row r="1696">
      <c r="A1696">
        <f>Data_thang!A1696</f>
        <v/>
      </c>
      <c r="B1696">
        <f>Data_thang!B1696</f>
        <v/>
      </c>
      <c r="C1696">
        <f>Data_thang!D1696</f>
        <v/>
      </c>
      <c r="D1696">
        <f>Data_thang!E1696</f>
        <v/>
      </c>
      <c r="E1696">
        <f>Data_thang!F1696</f>
        <v/>
      </c>
      <c r="F1696">
        <f>Data_thang!G1696</f>
        <v/>
      </c>
      <c r="G1696" s="29">
        <f>Data_thang!J1696-Data_thang!K1696</f>
        <v/>
      </c>
      <c r="H1696" s="29">
        <f>Data_thang!N1696</f>
        <v/>
      </c>
      <c r="I1696" s="29">
        <f>H1696-G1696</f>
        <v/>
      </c>
      <c r="J1696" s="30">
        <f>IF(H1696=0,IF(I1696=0,0,1),I1696/ABS(H1696))</f>
        <v/>
      </c>
      <c r="K1696" s="29">
        <f>H1696-(Data_thang!O1696-Data_thang!K1696)</f>
        <v/>
      </c>
      <c r="L1696">
        <f>IF(AND(ABS(I1696)&gt;Dashboard!$G$6,ABS(J1696)&gt;Dashboard!$H$6),"⚠ Vượt","")</f>
        <v/>
      </c>
      <c r="M1696">
        <f>IF(AND(A1696=Dashboard!$D$6,OR(Dashboard!$C$6="*",F1696=Dashboard!$C$6),L1696&lt;&gt;""),ABS(I1696)+ROW()/1000000000,0)</f>
        <v/>
      </c>
    </row>
    <row r="1697">
      <c r="A1697">
        <f>Data_thang!A1697</f>
        <v/>
      </c>
      <c r="B1697">
        <f>Data_thang!B1697</f>
        <v/>
      </c>
      <c r="C1697">
        <f>Data_thang!D1697</f>
        <v/>
      </c>
      <c r="D1697">
        <f>Data_thang!E1697</f>
        <v/>
      </c>
      <c r="E1697">
        <f>Data_thang!F1697</f>
        <v/>
      </c>
      <c r="F1697">
        <f>Data_thang!G1697</f>
        <v/>
      </c>
      <c r="G1697" s="29">
        <f>Data_thang!J1697-Data_thang!K1697</f>
        <v/>
      </c>
      <c r="H1697" s="29">
        <f>Data_thang!N1697</f>
        <v/>
      </c>
      <c r="I1697" s="29">
        <f>H1697-G1697</f>
        <v/>
      </c>
      <c r="J1697" s="30">
        <f>IF(H1697=0,IF(I1697=0,0,1),I1697/ABS(H1697))</f>
        <v/>
      </c>
      <c r="K1697" s="29">
        <f>H1697-(Data_thang!O1697-Data_thang!K1697)</f>
        <v/>
      </c>
      <c r="L1697">
        <f>IF(AND(ABS(I1697)&gt;Dashboard!$G$6,ABS(J1697)&gt;Dashboard!$H$6),"⚠ Vượt","")</f>
        <v/>
      </c>
      <c r="M1697">
        <f>IF(AND(A1697=Dashboard!$D$6,OR(Dashboard!$C$6="*",F1697=Dashboard!$C$6),L1697&lt;&gt;""),ABS(I1697)+ROW()/1000000000,0)</f>
        <v/>
      </c>
    </row>
    <row r="1698">
      <c r="A1698">
        <f>Data_thang!A1698</f>
        <v/>
      </c>
      <c r="B1698">
        <f>Data_thang!B1698</f>
        <v/>
      </c>
      <c r="C1698">
        <f>Data_thang!D1698</f>
        <v/>
      </c>
      <c r="D1698">
        <f>Data_thang!E1698</f>
        <v/>
      </c>
      <c r="E1698">
        <f>Data_thang!F1698</f>
        <v/>
      </c>
      <c r="F1698">
        <f>Data_thang!G1698</f>
        <v/>
      </c>
      <c r="G1698" s="29">
        <f>Data_thang!J1698-Data_thang!K1698</f>
        <v/>
      </c>
      <c r="H1698" s="29">
        <f>Data_thang!N1698</f>
        <v/>
      </c>
      <c r="I1698" s="29">
        <f>H1698-G1698</f>
        <v/>
      </c>
      <c r="J1698" s="30">
        <f>IF(H1698=0,IF(I1698=0,0,1),I1698/ABS(H1698))</f>
        <v/>
      </c>
      <c r="K1698" s="29">
        <f>H1698-(Data_thang!O1698-Data_thang!K1698)</f>
        <v/>
      </c>
      <c r="L1698">
        <f>IF(AND(ABS(I1698)&gt;Dashboard!$G$6,ABS(J1698)&gt;Dashboard!$H$6),"⚠ Vượt","")</f>
        <v/>
      </c>
      <c r="M1698">
        <f>IF(AND(A1698=Dashboard!$D$6,OR(Dashboard!$C$6="*",F1698=Dashboard!$C$6),L1698&lt;&gt;""),ABS(I1698)+ROW()/1000000000,0)</f>
        <v/>
      </c>
    </row>
    <row r="1699">
      <c r="A1699">
        <f>Data_thang!A1699</f>
        <v/>
      </c>
      <c r="B1699">
        <f>Data_thang!B1699</f>
        <v/>
      </c>
      <c r="C1699">
        <f>Data_thang!D1699</f>
        <v/>
      </c>
      <c r="D1699">
        <f>Data_thang!E1699</f>
        <v/>
      </c>
      <c r="E1699">
        <f>Data_thang!F1699</f>
        <v/>
      </c>
      <c r="F1699">
        <f>Data_thang!G1699</f>
        <v/>
      </c>
      <c r="G1699" s="29">
        <f>Data_thang!J1699-Data_thang!K1699</f>
        <v/>
      </c>
      <c r="H1699" s="29">
        <f>Data_thang!N1699</f>
        <v/>
      </c>
      <c r="I1699" s="29">
        <f>H1699-G1699</f>
        <v/>
      </c>
      <c r="J1699" s="30">
        <f>IF(H1699=0,IF(I1699=0,0,1),I1699/ABS(H1699))</f>
        <v/>
      </c>
      <c r="K1699" s="29">
        <f>H1699-(Data_thang!O1699-Data_thang!K1699)</f>
        <v/>
      </c>
      <c r="L1699">
        <f>IF(AND(ABS(I1699)&gt;Dashboard!$G$6,ABS(J1699)&gt;Dashboard!$H$6),"⚠ Vượt","")</f>
        <v/>
      </c>
      <c r="M1699">
        <f>IF(AND(A1699=Dashboard!$D$6,OR(Dashboard!$C$6="*",F1699=Dashboard!$C$6),L1699&lt;&gt;""),ABS(I1699)+ROW()/1000000000,0)</f>
        <v/>
      </c>
    </row>
    <row r="1700">
      <c r="A1700">
        <f>Data_thang!A1700</f>
        <v/>
      </c>
      <c r="B1700">
        <f>Data_thang!B1700</f>
        <v/>
      </c>
      <c r="C1700">
        <f>Data_thang!D1700</f>
        <v/>
      </c>
      <c r="D1700">
        <f>Data_thang!E1700</f>
        <v/>
      </c>
      <c r="E1700">
        <f>Data_thang!F1700</f>
        <v/>
      </c>
      <c r="F1700">
        <f>Data_thang!G1700</f>
        <v/>
      </c>
      <c r="G1700" s="29">
        <f>Data_thang!J1700-Data_thang!K1700</f>
        <v/>
      </c>
      <c r="H1700" s="29">
        <f>Data_thang!N1700</f>
        <v/>
      </c>
      <c r="I1700" s="29">
        <f>H1700-G1700</f>
        <v/>
      </c>
      <c r="J1700" s="30">
        <f>IF(H1700=0,IF(I1700=0,0,1),I1700/ABS(H1700))</f>
        <v/>
      </c>
      <c r="K1700" s="29">
        <f>H1700-(Data_thang!O1700-Data_thang!K1700)</f>
        <v/>
      </c>
      <c r="L1700">
        <f>IF(AND(ABS(I1700)&gt;Dashboard!$G$6,ABS(J1700)&gt;Dashboard!$H$6),"⚠ Vượt","")</f>
        <v/>
      </c>
      <c r="M1700">
        <f>IF(AND(A1700=Dashboard!$D$6,OR(Dashboard!$C$6="*",F1700=Dashboard!$C$6),L1700&lt;&gt;""),ABS(I1700)+ROW()/1000000000,0)</f>
        <v/>
      </c>
    </row>
    <row r="1701">
      <c r="A1701">
        <f>Data_thang!A1701</f>
        <v/>
      </c>
      <c r="B1701">
        <f>Data_thang!B1701</f>
        <v/>
      </c>
      <c r="C1701">
        <f>Data_thang!D1701</f>
        <v/>
      </c>
      <c r="D1701">
        <f>Data_thang!E1701</f>
        <v/>
      </c>
      <c r="E1701">
        <f>Data_thang!F1701</f>
        <v/>
      </c>
      <c r="F1701">
        <f>Data_thang!G1701</f>
        <v/>
      </c>
      <c r="G1701" s="29">
        <f>Data_thang!J1701-Data_thang!K1701</f>
        <v/>
      </c>
      <c r="H1701" s="29">
        <f>Data_thang!N1701</f>
        <v/>
      </c>
      <c r="I1701" s="29">
        <f>H1701-G1701</f>
        <v/>
      </c>
      <c r="J1701" s="30">
        <f>IF(H1701=0,IF(I1701=0,0,1),I1701/ABS(H1701))</f>
        <v/>
      </c>
      <c r="K1701" s="29">
        <f>H1701-(Data_thang!O1701-Data_thang!K1701)</f>
        <v/>
      </c>
      <c r="L1701">
        <f>IF(AND(ABS(I1701)&gt;Dashboard!$G$6,ABS(J1701)&gt;Dashboard!$H$6),"⚠ Vượt","")</f>
        <v/>
      </c>
      <c r="M1701">
        <f>IF(AND(A1701=Dashboard!$D$6,OR(Dashboard!$C$6="*",F1701=Dashboard!$C$6),L1701&lt;&gt;""),ABS(I1701)+ROW()/1000000000,0)</f>
        <v/>
      </c>
    </row>
    <row r="1702">
      <c r="A1702">
        <f>Data_thang!A1702</f>
        <v/>
      </c>
      <c r="B1702">
        <f>Data_thang!B1702</f>
        <v/>
      </c>
      <c r="C1702">
        <f>Data_thang!D1702</f>
        <v/>
      </c>
      <c r="D1702">
        <f>Data_thang!E1702</f>
        <v/>
      </c>
      <c r="E1702">
        <f>Data_thang!F1702</f>
        <v/>
      </c>
      <c r="F1702">
        <f>Data_thang!G1702</f>
        <v/>
      </c>
      <c r="G1702" s="29">
        <f>Data_thang!J1702-Data_thang!K1702</f>
        <v/>
      </c>
      <c r="H1702" s="29">
        <f>Data_thang!N1702</f>
        <v/>
      </c>
      <c r="I1702" s="29">
        <f>H1702-G1702</f>
        <v/>
      </c>
      <c r="J1702" s="30">
        <f>IF(H1702=0,IF(I1702=0,0,1),I1702/ABS(H1702))</f>
        <v/>
      </c>
      <c r="K1702" s="29">
        <f>H1702-(Data_thang!O1702-Data_thang!K1702)</f>
        <v/>
      </c>
      <c r="L1702">
        <f>IF(AND(ABS(I1702)&gt;Dashboard!$G$6,ABS(J1702)&gt;Dashboard!$H$6),"⚠ Vượt","")</f>
        <v/>
      </c>
      <c r="M1702">
        <f>IF(AND(A1702=Dashboard!$D$6,OR(Dashboard!$C$6="*",F1702=Dashboard!$C$6),L1702&lt;&gt;""),ABS(I1702)+ROW()/1000000000,0)</f>
        <v/>
      </c>
    </row>
    <row r="1703">
      <c r="A1703">
        <f>Data_thang!A1703</f>
        <v/>
      </c>
      <c r="B1703">
        <f>Data_thang!B1703</f>
        <v/>
      </c>
      <c r="C1703">
        <f>Data_thang!D1703</f>
        <v/>
      </c>
      <c r="D1703">
        <f>Data_thang!E1703</f>
        <v/>
      </c>
      <c r="E1703">
        <f>Data_thang!F1703</f>
        <v/>
      </c>
      <c r="F1703">
        <f>Data_thang!G1703</f>
        <v/>
      </c>
      <c r="G1703" s="29">
        <f>Data_thang!J1703-Data_thang!K1703</f>
        <v/>
      </c>
      <c r="H1703" s="29">
        <f>Data_thang!N1703</f>
        <v/>
      </c>
      <c r="I1703" s="29">
        <f>H1703-G1703</f>
        <v/>
      </c>
      <c r="J1703" s="30">
        <f>IF(H1703=0,IF(I1703=0,0,1),I1703/ABS(H1703))</f>
        <v/>
      </c>
      <c r="K1703" s="29">
        <f>H1703-(Data_thang!O1703-Data_thang!K1703)</f>
        <v/>
      </c>
      <c r="L1703">
        <f>IF(AND(ABS(I1703)&gt;Dashboard!$G$6,ABS(J1703)&gt;Dashboard!$H$6),"⚠ Vượt","")</f>
        <v/>
      </c>
      <c r="M1703">
        <f>IF(AND(A1703=Dashboard!$D$6,OR(Dashboard!$C$6="*",F1703=Dashboard!$C$6),L1703&lt;&gt;""),ABS(I1703)+ROW()/1000000000,0)</f>
        <v/>
      </c>
    </row>
    <row r="1704">
      <c r="A1704">
        <f>Data_thang!A1704</f>
        <v/>
      </c>
      <c r="B1704">
        <f>Data_thang!B1704</f>
        <v/>
      </c>
      <c r="C1704">
        <f>Data_thang!D1704</f>
        <v/>
      </c>
      <c r="D1704">
        <f>Data_thang!E1704</f>
        <v/>
      </c>
      <c r="E1704">
        <f>Data_thang!F1704</f>
        <v/>
      </c>
      <c r="F1704">
        <f>Data_thang!G1704</f>
        <v/>
      </c>
      <c r="G1704" s="29">
        <f>Data_thang!J1704-Data_thang!K1704</f>
        <v/>
      </c>
      <c r="H1704" s="29">
        <f>Data_thang!N1704</f>
        <v/>
      </c>
      <c r="I1704" s="29">
        <f>H1704-G1704</f>
        <v/>
      </c>
      <c r="J1704" s="30">
        <f>IF(H1704=0,IF(I1704=0,0,1),I1704/ABS(H1704))</f>
        <v/>
      </c>
      <c r="K1704" s="29">
        <f>H1704-(Data_thang!O1704-Data_thang!K1704)</f>
        <v/>
      </c>
      <c r="L1704">
        <f>IF(AND(ABS(I1704)&gt;Dashboard!$G$6,ABS(J1704)&gt;Dashboard!$H$6),"⚠ Vượt","")</f>
        <v/>
      </c>
      <c r="M1704">
        <f>IF(AND(A1704=Dashboard!$D$6,OR(Dashboard!$C$6="*",F1704=Dashboard!$C$6),L1704&lt;&gt;""),ABS(I1704)+ROW()/1000000000,0)</f>
        <v/>
      </c>
    </row>
    <row r="1705">
      <c r="A1705">
        <f>Data_thang!A1705</f>
        <v/>
      </c>
      <c r="B1705">
        <f>Data_thang!B1705</f>
        <v/>
      </c>
      <c r="C1705">
        <f>Data_thang!D1705</f>
        <v/>
      </c>
      <c r="D1705">
        <f>Data_thang!E1705</f>
        <v/>
      </c>
      <c r="E1705">
        <f>Data_thang!F1705</f>
        <v/>
      </c>
      <c r="F1705">
        <f>Data_thang!G1705</f>
        <v/>
      </c>
      <c r="G1705" s="29">
        <f>Data_thang!J1705-Data_thang!K1705</f>
        <v/>
      </c>
      <c r="H1705" s="29">
        <f>Data_thang!N1705</f>
        <v/>
      </c>
      <c r="I1705" s="29">
        <f>H1705-G1705</f>
        <v/>
      </c>
      <c r="J1705" s="30">
        <f>IF(H1705=0,IF(I1705=0,0,1),I1705/ABS(H1705))</f>
        <v/>
      </c>
      <c r="K1705" s="29">
        <f>H1705-(Data_thang!O1705-Data_thang!K1705)</f>
        <v/>
      </c>
      <c r="L1705">
        <f>IF(AND(ABS(I1705)&gt;Dashboard!$G$6,ABS(J1705)&gt;Dashboard!$H$6),"⚠ Vượt","")</f>
        <v/>
      </c>
      <c r="M1705">
        <f>IF(AND(A1705=Dashboard!$D$6,OR(Dashboard!$C$6="*",F1705=Dashboard!$C$6),L1705&lt;&gt;""),ABS(I1705)+ROW()/1000000000,0)</f>
        <v/>
      </c>
    </row>
    <row r="1706">
      <c r="A1706">
        <f>Data_thang!A1706</f>
        <v/>
      </c>
      <c r="B1706">
        <f>Data_thang!B1706</f>
        <v/>
      </c>
      <c r="C1706">
        <f>Data_thang!D1706</f>
        <v/>
      </c>
      <c r="D1706">
        <f>Data_thang!E1706</f>
        <v/>
      </c>
      <c r="E1706">
        <f>Data_thang!F1706</f>
        <v/>
      </c>
      <c r="F1706">
        <f>Data_thang!G1706</f>
        <v/>
      </c>
      <c r="G1706" s="29">
        <f>Data_thang!J1706-Data_thang!K1706</f>
        <v/>
      </c>
      <c r="H1706" s="29">
        <f>Data_thang!N1706</f>
        <v/>
      </c>
      <c r="I1706" s="29">
        <f>H1706-G1706</f>
        <v/>
      </c>
      <c r="J1706" s="30">
        <f>IF(H1706=0,IF(I1706=0,0,1),I1706/ABS(H1706))</f>
        <v/>
      </c>
      <c r="K1706" s="29">
        <f>H1706-(Data_thang!O1706-Data_thang!K1706)</f>
        <v/>
      </c>
      <c r="L1706">
        <f>IF(AND(ABS(I1706)&gt;Dashboard!$G$6,ABS(J1706)&gt;Dashboard!$H$6),"⚠ Vượt","")</f>
        <v/>
      </c>
      <c r="M1706">
        <f>IF(AND(A1706=Dashboard!$D$6,OR(Dashboard!$C$6="*",F1706=Dashboard!$C$6),L1706&lt;&gt;""),ABS(I1706)+ROW()/1000000000,0)</f>
        <v/>
      </c>
    </row>
    <row r="1707">
      <c r="A1707">
        <f>Data_thang!A1707</f>
        <v/>
      </c>
      <c r="B1707">
        <f>Data_thang!B1707</f>
        <v/>
      </c>
      <c r="C1707">
        <f>Data_thang!D1707</f>
        <v/>
      </c>
      <c r="D1707">
        <f>Data_thang!E1707</f>
        <v/>
      </c>
      <c r="E1707">
        <f>Data_thang!F1707</f>
        <v/>
      </c>
      <c r="F1707">
        <f>Data_thang!G1707</f>
        <v/>
      </c>
      <c r="G1707" s="29">
        <f>Data_thang!J1707-Data_thang!K1707</f>
        <v/>
      </c>
      <c r="H1707" s="29">
        <f>Data_thang!N1707</f>
        <v/>
      </c>
      <c r="I1707" s="29">
        <f>H1707-G1707</f>
        <v/>
      </c>
      <c r="J1707" s="30">
        <f>IF(H1707=0,IF(I1707=0,0,1),I1707/ABS(H1707))</f>
        <v/>
      </c>
      <c r="K1707" s="29">
        <f>H1707-(Data_thang!O1707-Data_thang!K1707)</f>
        <v/>
      </c>
      <c r="L1707">
        <f>IF(AND(ABS(I1707)&gt;Dashboard!$G$6,ABS(J1707)&gt;Dashboard!$H$6),"⚠ Vượt","")</f>
        <v/>
      </c>
      <c r="M1707">
        <f>IF(AND(A1707=Dashboard!$D$6,OR(Dashboard!$C$6="*",F1707=Dashboard!$C$6),L1707&lt;&gt;""),ABS(I1707)+ROW()/1000000000,0)</f>
        <v/>
      </c>
    </row>
    <row r="1708">
      <c r="A1708">
        <f>Data_thang!A1708</f>
        <v/>
      </c>
      <c r="B1708">
        <f>Data_thang!B1708</f>
        <v/>
      </c>
      <c r="C1708">
        <f>Data_thang!D1708</f>
        <v/>
      </c>
      <c r="D1708">
        <f>Data_thang!E1708</f>
        <v/>
      </c>
      <c r="E1708">
        <f>Data_thang!F1708</f>
        <v/>
      </c>
      <c r="F1708">
        <f>Data_thang!G1708</f>
        <v/>
      </c>
      <c r="G1708" s="29">
        <f>Data_thang!J1708-Data_thang!K1708</f>
        <v/>
      </c>
      <c r="H1708" s="29">
        <f>Data_thang!N1708</f>
        <v/>
      </c>
      <c r="I1708" s="29">
        <f>H1708-G1708</f>
        <v/>
      </c>
      <c r="J1708" s="30">
        <f>IF(H1708=0,IF(I1708=0,0,1),I1708/ABS(H1708))</f>
        <v/>
      </c>
      <c r="K1708" s="29">
        <f>H1708-(Data_thang!O1708-Data_thang!K1708)</f>
        <v/>
      </c>
      <c r="L1708">
        <f>IF(AND(ABS(I1708)&gt;Dashboard!$G$6,ABS(J1708)&gt;Dashboard!$H$6),"⚠ Vượt","")</f>
        <v/>
      </c>
      <c r="M1708">
        <f>IF(AND(A1708=Dashboard!$D$6,OR(Dashboard!$C$6="*",F1708=Dashboard!$C$6),L1708&lt;&gt;""),ABS(I1708)+ROW()/1000000000,0)</f>
        <v/>
      </c>
    </row>
    <row r="1709">
      <c r="A1709">
        <f>Data_thang!A1709</f>
        <v/>
      </c>
      <c r="B1709">
        <f>Data_thang!B1709</f>
        <v/>
      </c>
      <c r="C1709">
        <f>Data_thang!D1709</f>
        <v/>
      </c>
      <c r="D1709">
        <f>Data_thang!E1709</f>
        <v/>
      </c>
      <c r="E1709">
        <f>Data_thang!F1709</f>
        <v/>
      </c>
      <c r="F1709">
        <f>Data_thang!G1709</f>
        <v/>
      </c>
      <c r="G1709" s="29">
        <f>Data_thang!J1709-Data_thang!K1709</f>
        <v/>
      </c>
      <c r="H1709" s="29">
        <f>Data_thang!N1709</f>
        <v/>
      </c>
      <c r="I1709" s="29">
        <f>H1709-G1709</f>
        <v/>
      </c>
      <c r="J1709" s="30">
        <f>IF(H1709=0,IF(I1709=0,0,1),I1709/ABS(H1709))</f>
        <v/>
      </c>
      <c r="K1709" s="29">
        <f>H1709-(Data_thang!O1709-Data_thang!K1709)</f>
        <v/>
      </c>
      <c r="L1709">
        <f>IF(AND(ABS(I1709)&gt;Dashboard!$G$6,ABS(J1709)&gt;Dashboard!$H$6),"⚠ Vượt","")</f>
        <v/>
      </c>
      <c r="M1709">
        <f>IF(AND(A1709=Dashboard!$D$6,OR(Dashboard!$C$6="*",F1709=Dashboard!$C$6),L1709&lt;&gt;""),ABS(I1709)+ROW()/1000000000,0)</f>
        <v/>
      </c>
    </row>
    <row r="1710">
      <c r="A1710">
        <f>Data_thang!A1710</f>
        <v/>
      </c>
      <c r="B1710">
        <f>Data_thang!B1710</f>
        <v/>
      </c>
      <c r="C1710">
        <f>Data_thang!D1710</f>
        <v/>
      </c>
      <c r="D1710">
        <f>Data_thang!E1710</f>
        <v/>
      </c>
      <c r="E1710">
        <f>Data_thang!F1710</f>
        <v/>
      </c>
      <c r="F1710">
        <f>Data_thang!G1710</f>
        <v/>
      </c>
      <c r="G1710" s="29">
        <f>Data_thang!J1710-Data_thang!K1710</f>
        <v/>
      </c>
      <c r="H1710" s="29">
        <f>Data_thang!N1710</f>
        <v/>
      </c>
      <c r="I1710" s="29">
        <f>H1710-G1710</f>
        <v/>
      </c>
      <c r="J1710" s="30">
        <f>IF(H1710=0,IF(I1710=0,0,1),I1710/ABS(H1710))</f>
        <v/>
      </c>
      <c r="K1710" s="29">
        <f>H1710-(Data_thang!O1710-Data_thang!K1710)</f>
        <v/>
      </c>
      <c r="L1710">
        <f>IF(AND(ABS(I1710)&gt;Dashboard!$G$6,ABS(J1710)&gt;Dashboard!$H$6),"⚠ Vượt","")</f>
        <v/>
      </c>
      <c r="M1710">
        <f>IF(AND(A1710=Dashboard!$D$6,OR(Dashboard!$C$6="*",F1710=Dashboard!$C$6),L1710&lt;&gt;""),ABS(I1710)+ROW()/1000000000,0)</f>
        <v/>
      </c>
    </row>
    <row r="1711">
      <c r="A1711">
        <f>Data_thang!A1711</f>
        <v/>
      </c>
      <c r="B1711">
        <f>Data_thang!B1711</f>
        <v/>
      </c>
      <c r="C1711">
        <f>Data_thang!D1711</f>
        <v/>
      </c>
      <c r="D1711">
        <f>Data_thang!E1711</f>
        <v/>
      </c>
      <c r="E1711">
        <f>Data_thang!F1711</f>
        <v/>
      </c>
      <c r="F1711">
        <f>Data_thang!G1711</f>
        <v/>
      </c>
      <c r="G1711" s="29">
        <f>Data_thang!J1711-Data_thang!K1711</f>
        <v/>
      </c>
      <c r="H1711" s="29">
        <f>Data_thang!N1711</f>
        <v/>
      </c>
      <c r="I1711" s="29">
        <f>H1711-G1711</f>
        <v/>
      </c>
      <c r="J1711" s="30">
        <f>IF(H1711=0,IF(I1711=0,0,1),I1711/ABS(H1711))</f>
        <v/>
      </c>
      <c r="K1711" s="29">
        <f>H1711-(Data_thang!O1711-Data_thang!K1711)</f>
        <v/>
      </c>
      <c r="L1711">
        <f>IF(AND(ABS(I1711)&gt;Dashboard!$G$6,ABS(J1711)&gt;Dashboard!$H$6),"⚠ Vượt","")</f>
        <v/>
      </c>
      <c r="M1711">
        <f>IF(AND(A1711=Dashboard!$D$6,OR(Dashboard!$C$6="*",F1711=Dashboard!$C$6),L1711&lt;&gt;""),ABS(I1711)+ROW()/1000000000,0)</f>
        <v/>
      </c>
    </row>
    <row r="1712">
      <c r="A1712">
        <f>Data_thang!A1712</f>
        <v/>
      </c>
      <c r="B1712">
        <f>Data_thang!B1712</f>
        <v/>
      </c>
      <c r="C1712">
        <f>Data_thang!D1712</f>
        <v/>
      </c>
      <c r="D1712">
        <f>Data_thang!E1712</f>
        <v/>
      </c>
      <c r="E1712">
        <f>Data_thang!F1712</f>
        <v/>
      </c>
      <c r="F1712">
        <f>Data_thang!G1712</f>
        <v/>
      </c>
      <c r="G1712" s="29">
        <f>Data_thang!J1712-Data_thang!K1712</f>
        <v/>
      </c>
      <c r="H1712" s="29">
        <f>Data_thang!N1712</f>
        <v/>
      </c>
      <c r="I1712" s="29">
        <f>H1712-G1712</f>
        <v/>
      </c>
      <c r="J1712" s="30">
        <f>IF(H1712=0,IF(I1712=0,0,1),I1712/ABS(H1712))</f>
        <v/>
      </c>
      <c r="K1712" s="29">
        <f>H1712-(Data_thang!O1712-Data_thang!K1712)</f>
        <v/>
      </c>
      <c r="L1712">
        <f>IF(AND(ABS(I1712)&gt;Dashboard!$G$6,ABS(J1712)&gt;Dashboard!$H$6),"⚠ Vượt","")</f>
        <v/>
      </c>
      <c r="M1712">
        <f>IF(AND(A1712=Dashboard!$D$6,OR(Dashboard!$C$6="*",F1712=Dashboard!$C$6),L1712&lt;&gt;""),ABS(I1712)+ROW()/1000000000,0)</f>
        <v/>
      </c>
    </row>
    <row r="1713">
      <c r="A1713">
        <f>Data_thang!A1713</f>
        <v/>
      </c>
      <c r="B1713">
        <f>Data_thang!B1713</f>
        <v/>
      </c>
      <c r="C1713">
        <f>Data_thang!D1713</f>
        <v/>
      </c>
      <c r="D1713">
        <f>Data_thang!E1713</f>
        <v/>
      </c>
      <c r="E1713">
        <f>Data_thang!F1713</f>
        <v/>
      </c>
      <c r="F1713">
        <f>Data_thang!G1713</f>
        <v/>
      </c>
      <c r="G1713" s="29">
        <f>Data_thang!J1713-Data_thang!K1713</f>
        <v/>
      </c>
      <c r="H1713" s="29">
        <f>Data_thang!N1713</f>
        <v/>
      </c>
      <c r="I1713" s="29">
        <f>H1713-G1713</f>
        <v/>
      </c>
      <c r="J1713" s="30">
        <f>IF(H1713=0,IF(I1713=0,0,1),I1713/ABS(H1713))</f>
        <v/>
      </c>
      <c r="K1713" s="29">
        <f>H1713-(Data_thang!O1713-Data_thang!K1713)</f>
        <v/>
      </c>
      <c r="L1713">
        <f>IF(AND(ABS(I1713)&gt;Dashboard!$G$6,ABS(J1713)&gt;Dashboard!$H$6),"⚠ Vượt","")</f>
        <v/>
      </c>
      <c r="M1713">
        <f>IF(AND(A1713=Dashboard!$D$6,OR(Dashboard!$C$6="*",F1713=Dashboard!$C$6),L1713&lt;&gt;""),ABS(I1713)+ROW()/1000000000,0)</f>
        <v/>
      </c>
    </row>
    <row r="1714">
      <c r="A1714">
        <f>Data_thang!A1714</f>
        <v/>
      </c>
      <c r="B1714">
        <f>Data_thang!B1714</f>
        <v/>
      </c>
      <c r="C1714">
        <f>Data_thang!D1714</f>
        <v/>
      </c>
      <c r="D1714">
        <f>Data_thang!E1714</f>
        <v/>
      </c>
      <c r="E1714">
        <f>Data_thang!F1714</f>
        <v/>
      </c>
      <c r="F1714">
        <f>Data_thang!G1714</f>
        <v/>
      </c>
      <c r="G1714" s="29">
        <f>Data_thang!J1714-Data_thang!K1714</f>
        <v/>
      </c>
      <c r="H1714" s="29">
        <f>Data_thang!N1714</f>
        <v/>
      </c>
      <c r="I1714" s="29">
        <f>H1714-G1714</f>
        <v/>
      </c>
      <c r="J1714" s="30">
        <f>IF(H1714=0,IF(I1714=0,0,1),I1714/ABS(H1714))</f>
        <v/>
      </c>
      <c r="K1714" s="29">
        <f>H1714-(Data_thang!O1714-Data_thang!K1714)</f>
        <v/>
      </c>
      <c r="L1714">
        <f>IF(AND(ABS(I1714)&gt;Dashboard!$G$6,ABS(J1714)&gt;Dashboard!$H$6),"⚠ Vượt","")</f>
        <v/>
      </c>
      <c r="M1714">
        <f>IF(AND(A1714=Dashboard!$D$6,OR(Dashboard!$C$6="*",F1714=Dashboard!$C$6),L1714&lt;&gt;""),ABS(I1714)+ROW()/1000000000,0)</f>
        <v/>
      </c>
    </row>
    <row r="1715">
      <c r="A1715">
        <f>Data_thang!A1715</f>
        <v/>
      </c>
      <c r="B1715">
        <f>Data_thang!B1715</f>
        <v/>
      </c>
      <c r="C1715">
        <f>Data_thang!D1715</f>
        <v/>
      </c>
      <c r="D1715">
        <f>Data_thang!E1715</f>
        <v/>
      </c>
      <c r="E1715">
        <f>Data_thang!F1715</f>
        <v/>
      </c>
      <c r="F1715">
        <f>Data_thang!G1715</f>
        <v/>
      </c>
      <c r="G1715" s="29">
        <f>Data_thang!J1715-Data_thang!K1715</f>
        <v/>
      </c>
      <c r="H1715" s="29">
        <f>Data_thang!N1715</f>
        <v/>
      </c>
      <c r="I1715" s="29">
        <f>H1715-G1715</f>
        <v/>
      </c>
      <c r="J1715" s="30">
        <f>IF(H1715=0,IF(I1715=0,0,1),I1715/ABS(H1715))</f>
        <v/>
      </c>
      <c r="K1715" s="29">
        <f>H1715-(Data_thang!O1715-Data_thang!K1715)</f>
        <v/>
      </c>
      <c r="L1715">
        <f>IF(AND(ABS(I1715)&gt;Dashboard!$G$6,ABS(J1715)&gt;Dashboard!$H$6),"⚠ Vượt","")</f>
        <v/>
      </c>
      <c r="M1715">
        <f>IF(AND(A1715=Dashboard!$D$6,OR(Dashboard!$C$6="*",F1715=Dashboard!$C$6),L1715&lt;&gt;""),ABS(I1715)+ROW()/1000000000,0)</f>
        <v/>
      </c>
    </row>
    <row r="1716">
      <c r="A1716">
        <f>Data_thang!A1716</f>
        <v/>
      </c>
      <c r="B1716">
        <f>Data_thang!B1716</f>
        <v/>
      </c>
      <c r="C1716">
        <f>Data_thang!D1716</f>
        <v/>
      </c>
      <c r="D1716">
        <f>Data_thang!E1716</f>
        <v/>
      </c>
      <c r="E1716">
        <f>Data_thang!F1716</f>
        <v/>
      </c>
      <c r="F1716">
        <f>Data_thang!G1716</f>
        <v/>
      </c>
      <c r="G1716" s="29">
        <f>Data_thang!J1716-Data_thang!K1716</f>
        <v/>
      </c>
      <c r="H1716" s="29">
        <f>Data_thang!N1716</f>
        <v/>
      </c>
      <c r="I1716" s="29">
        <f>H1716-G1716</f>
        <v/>
      </c>
      <c r="J1716" s="30">
        <f>IF(H1716=0,IF(I1716=0,0,1),I1716/ABS(H1716))</f>
        <v/>
      </c>
      <c r="K1716" s="29">
        <f>H1716-(Data_thang!O1716-Data_thang!K1716)</f>
        <v/>
      </c>
      <c r="L1716">
        <f>IF(AND(ABS(I1716)&gt;Dashboard!$G$6,ABS(J1716)&gt;Dashboard!$H$6),"⚠ Vượt","")</f>
        <v/>
      </c>
      <c r="M1716">
        <f>IF(AND(A1716=Dashboard!$D$6,OR(Dashboard!$C$6="*",F1716=Dashboard!$C$6),L1716&lt;&gt;""),ABS(I1716)+ROW()/1000000000,0)</f>
        <v/>
      </c>
    </row>
    <row r="1717">
      <c r="A1717">
        <f>Data_thang!A1717</f>
        <v/>
      </c>
      <c r="B1717">
        <f>Data_thang!B1717</f>
        <v/>
      </c>
      <c r="C1717">
        <f>Data_thang!D1717</f>
        <v/>
      </c>
      <c r="D1717">
        <f>Data_thang!E1717</f>
        <v/>
      </c>
      <c r="E1717">
        <f>Data_thang!F1717</f>
        <v/>
      </c>
      <c r="F1717">
        <f>Data_thang!G1717</f>
        <v/>
      </c>
      <c r="G1717" s="29">
        <f>Data_thang!J1717-Data_thang!K1717</f>
        <v/>
      </c>
      <c r="H1717" s="29">
        <f>Data_thang!N1717</f>
        <v/>
      </c>
      <c r="I1717" s="29">
        <f>H1717-G1717</f>
        <v/>
      </c>
      <c r="J1717" s="30">
        <f>IF(H1717=0,IF(I1717=0,0,1),I1717/ABS(H1717))</f>
        <v/>
      </c>
      <c r="K1717" s="29">
        <f>H1717-(Data_thang!O1717-Data_thang!K1717)</f>
        <v/>
      </c>
      <c r="L1717">
        <f>IF(AND(ABS(I1717)&gt;Dashboard!$G$6,ABS(J1717)&gt;Dashboard!$H$6),"⚠ Vượt","")</f>
        <v/>
      </c>
      <c r="M1717">
        <f>IF(AND(A1717=Dashboard!$D$6,OR(Dashboard!$C$6="*",F1717=Dashboard!$C$6),L1717&lt;&gt;""),ABS(I1717)+ROW()/1000000000,0)</f>
        <v/>
      </c>
    </row>
    <row r="1718">
      <c r="A1718">
        <f>Data_thang!A1718</f>
        <v/>
      </c>
      <c r="B1718">
        <f>Data_thang!B1718</f>
        <v/>
      </c>
      <c r="C1718">
        <f>Data_thang!D1718</f>
        <v/>
      </c>
      <c r="D1718">
        <f>Data_thang!E1718</f>
        <v/>
      </c>
      <c r="E1718">
        <f>Data_thang!F1718</f>
        <v/>
      </c>
      <c r="F1718">
        <f>Data_thang!G1718</f>
        <v/>
      </c>
      <c r="G1718" s="29">
        <f>Data_thang!J1718-Data_thang!K1718</f>
        <v/>
      </c>
      <c r="H1718" s="29">
        <f>Data_thang!N1718</f>
        <v/>
      </c>
      <c r="I1718" s="29">
        <f>H1718-G1718</f>
        <v/>
      </c>
      <c r="J1718" s="30">
        <f>IF(H1718=0,IF(I1718=0,0,1),I1718/ABS(H1718))</f>
        <v/>
      </c>
      <c r="K1718" s="29">
        <f>H1718-(Data_thang!O1718-Data_thang!K1718)</f>
        <v/>
      </c>
      <c r="L1718">
        <f>IF(AND(ABS(I1718)&gt;Dashboard!$G$6,ABS(J1718)&gt;Dashboard!$H$6),"⚠ Vượt","")</f>
        <v/>
      </c>
      <c r="M1718">
        <f>IF(AND(A1718=Dashboard!$D$6,OR(Dashboard!$C$6="*",F1718=Dashboard!$C$6),L1718&lt;&gt;""),ABS(I1718)+ROW()/1000000000,0)</f>
        <v/>
      </c>
    </row>
    <row r="1719">
      <c r="A1719">
        <f>Data_thang!A1719</f>
        <v/>
      </c>
      <c r="B1719">
        <f>Data_thang!B1719</f>
        <v/>
      </c>
      <c r="C1719">
        <f>Data_thang!D1719</f>
        <v/>
      </c>
      <c r="D1719">
        <f>Data_thang!E1719</f>
        <v/>
      </c>
      <c r="E1719">
        <f>Data_thang!F1719</f>
        <v/>
      </c>
      <c r="F1719">
        <f>Data_thang!G1719</f>
        <v/>
      </c>
      <c r="G1719" s="29">
        <f>Data_thang!J1719-Data_thang!K1719</f>
        <v/>
      </c>
      <c r="H1719" s="29">
        <f>Data_thang!N1719</f>
        <v/>
      </c>
      <c r="I1719" s="29">
        <f>H1719-G1719</f>
        <v/>
      </c>
      <c r="J1719" s="30">
        <f>IF(H1719=0,IF(I1719=0,0,1),I1719/ABS(H1719))</f>
        <v/>
      </c>
      <c r="K1719" s="29">
        <f>H1719-(Data_thang!O1719-Data_thang!K1719)</f>
        <v/>
      </c>
      <c r="L1719">
        <f>IF(AND(ABS(I1719)&gt;Dashboard!$G$6,ABS(J1719)&gt;Dashboard!$H$6),"⚠ Vượt","")</f>
        <v/>
      </c>
      <c r="M1719">
        <f>IF(AND(A1719=Dashboard!$D$6,OR(Dashboard!$C$6="*",F1719=Dashboard!$C$6),L1719&lt;&gt;""),ABS(I1719)+ROW()/1000000000,0)</f>
        <v/>
      </c>
    </row>
    <row r="1720">
      <c r="A1720">
        <f>Data_thang!A1720</f>
        <v/>
      </c>
      <c r="B1720">
        <f>Data_thang!B1720</f>
        <v/>
      </c>
      <c r="C1720">
        <f>Data_thang!D1720</f>
        <v/>
      </c>
      <c r="D1720">
        <f>Data_thang!E1720</f>
        <v/>
      </c>
      <c r="E1720">
        <f>Data_thang!F1720</f>
        <v/>
      </c>
      <c r="F1720">
        <f>Data_thang!G1720</f>
        <v/>
      </c>
      <c r="G1720" s="29">
        <f>Data_thang!J1720-Data_thang!K1720</f>
        <v/>
      </c>
      <c r="H1720" s="29">
        <f>Data_thang!N1720</f>
        <v/>
      </c>
      <c r="I1720" s="29">
        <f>H1720-G1720</f>
        <v/>
      </c>
      <c r="J1720" s="30">
        <f>IF(H1720=0,IF(I1720=0,0,1),I1720/ABS(H1720))</f>
        <v/>
      </c>
      <c r="K1720" s="29">
        <f>H1720-(Data_thang!O1720-Data_thang!K1720)</f>
        <v/>
      </c>
      <c r="L1720">
        <f>IF(AND(ABS(I1720)&gt;Dashboard!$G$6,ABS(J1720)&gt;Dashboard!$H$6),"⚠ Vượt","")</f>
        <v/>
      </c>
      <c r="M1720">
        <f>IF(AND(A1720=Dashboard!$D$6,OR(Dashboard!$C$6="*",F1720=Dashboard!$C$6),L1720&lt;&gt;""),ABS(I1720)+ROW()/1000000000,0)</f>
        <v/>
      </c>
    </row>
    <row r="1721">
      <c r="A1721">
        <f>Data_thang!A1721</f>
        <v/>
      </c>
      <c r="B1721">
        <f>Data_thang!B1721</f>
        <v/>
      </c>
      <c r="C1721">
        <f>Data_thang!D1721</f>
        <v/>
      </c>
      <c r="D1721">
        <f>Data_thang!E1721</f>
        <v/>
      </c>
      <c r="E1721">
        <f>Data_thang!F1721</f>
        <v/>
      </c>
      <c r="F1721">
        <f>Data_thang!G1721</f>
        <v/>
      </c>
      <c r="G1721" s="29">
        <f>Data_thang!J1721-Data_thang!K1721</f>
        <v/>
      </c>
      <c r="H1721" s="29">
        <f>Data_thang!N1721</f>
        <v/>
      </c>
      <c r="I1721" s="29">
        <f>H1721-G1721</f>
        <v/>
      </c>
      <c r="J1721" s="30">
        <f>IF(H1721=0,IF(I1721=0,0,1),I1721/ABS(H1721))</f>
        <v/>
      </c>
      <c r="K1721" s="29">
        <f>H1721-(Data_thang!O1721-Data_thang!K1721)</f>
        <v/>
      </c>
      <c r="L1721">
        <f>IF(AND(ABS(I1721)&gt;Dashboard!$G$6,ABS(J1721)&gt;Dashboard!$H$6),"⚠ Vượt","")</f>
        <v/>
      </c>
      <c r="M1721">
        <f>IF(AND(A1721=Dashboard!$D$6,OR(Dashboard!$C$6="*",F1721=Dashboard!$C$6),L1721&lt;&gt;""),ABS(I1721)+ROW()/1000000000,0)</f>
        <v/>
      </c>
    </row>
    <row r="1722">
      <c r="A1722">
        <f>Data_thang!A1722</f>
        <v/>
      </c>
      <c r="B1722">
        <f>Data_thang!B1722</f>
        <v/>
      </c>
      <c r="C1722">
        <f>Data_thang!D1722</f>
        <v/>
      </c>
      <c r="D1722">
        <f>Data_thang!E1722</f>
        <v/>
      </c>
      <c r="E1722">
        <f>Data_thang!F1722</f>
        <v/>
      </c>
      <c r="F1722">
        <f>Data_thang!G1722</f>
        <v/>
      </c>
      <c r="G1722" s="29">
        <f>Data_thang!J1722-Data_thang!K1722</f>
        <v/>
      </c>
      <c r="H1722" s="29">
        <f>Data_thang!N1722</f>
        <v/>
      </c>
      <c r="I1722" s="29">
        <f>H1722-G1722</f>
        <v/>
      </c>
      <c r="J1722" s="30">
        <f>IF(H1722=0,IF(I1722=0,0,1),I1722/ABS(H1722))</f>
        <v/>
      </c>
      <c r="K1722" s="29">
        <f>H1722-(Data_thang!O1722-Data_thang!K1722)</f>
        <v/>
      </c>
      <c r="L1722">
        <f>IF(AND(ABS(I1722)&gt;Dashboard!$G$6,ABS(J1722)&gt;Dashboard!$H$6),"⚠ Vượt","")</f>
        <v/>
      </c>
      <c r="M1722">
        <f>IF(AND(A1722=Dashboard!$D$6,OR(Dashboard!$C$6="*",F1722=Dashboard!$C$6),L1722&lt;&gt;""),ABS(I1722)+ROW()/1000000000,0)</f>
        <v/>
      </c>
    </row>
    <row r="1723">
      <c r="A1723">
        <f>Data_thang!A1723</f>
        <v/>
      </c>
      <c r="B1723">
        <f>Data_thang!B1723</f>
        <v/>
      </c>
      <c r="C1723">
        <f>Data_thang!D1723</f>
        <v/>
      </c>
      <c r="D1723">
        <f>Data_thang!E1723</f>
        <v/>
      </c>
      <c r="E1723">
        <f>Data_thang!F1723</f>
        <v/>
      </c>
      <c r="F1723">
        <f>Data_thang!G1723</f>
        <v/>
      </c>
      <c r="G1723" s="29">
        <f>Data_thang!J1723-Data_thang!K1723</f>
        <v/>
      </c>
      <c r="H1723" s="29">
        <f>Data_thang!N1723</f>
        <v/>
      </c>
      <c r="I1723" s="29">
        <f>H1723-G1723</f>
        <v/>
      </c>
      <c r="J1723" s="30">
        <f>IF(H1723=0,IF(I1723=0,0,1),I1723/ABS(H1723))</f>
        <v/>
      </c>
      <c r="K1723" s="29">
        <f>H1723-(Data_thang!O1723-Data_thang!K1723)</f>
        <v/>
      </c>
      <c r="L1723">
        <f>IF(AND(ABS(I1723)&gt;Dashboard!$G$6,ABS(J1723)&gt;Dashboard!$H$6),"⚠ Vượt","")</f>
        <v/>
      </c>
      <c r="M1723">
        <f>IF(AND(A1723=Dashboard!$D$6,OR(Dashboard!$C$6="*",F1723=Dashboard!$C$6),L1723&lt;&gt;""),ABS(I1723)+ROW()/1000000000,0)</f>
        <v/>
      </c>
    </row>
    <row r="1724">
      <c r="A1724">
        <f>Data_thang!A1724</f>
        <v/>
      </c>
      <c r="B1724">
        <f>Data_thang!B1724</f>
        <v/>
      </c>
      <c r="C1724">
        <f>Data_thang!D1724</f>
        <v/>
      </c>
      <c r="D1724">
        <f>Data_thang!E1724</f>
        <v/>
      </c>
      <c r="E1724">
        <f>Data_thang!F1724</f>
        <v/>
      </c>
      <c r="F1724">
        <f>Data_thang!G1724</f>
        <v/>
      </c>
      <c r="G1724" s="29">
        <f>Data_thang!J1724-Data_thang!K1724</f>
        <v/>
      </c>
      <c r="H1724" s="29">
        <f>Data_thang!N1724</f>
        <v/>
      </c>
      <c r="I1724" s="29">
        <f>H1724-G1724</f>
        <v/>
      </c>
      <c r="J1724" s="30">
        <f>IF(H1724=0,IF(I1724=0,0,1),I1724/ABS(H1724))</f>
        <v/>
      </c>
      <c r="K1724" s="29">
        <f>H1724-(Data_thang!O1724-Data_thang!K1724)</f>
        <v/>
      </c>
      <c r="L1724">
        <f>IF(AND(ABS(I1724)&gt;Dashboard!$G$6,ABS(J1724)&gt;Dashboard!$H$6),"⚠ Vượt","")</f>
        <v/>
      </c>
      <c r="M1724">
        <f>IF(AND(A1724=Dashboard!$D$6,OR(Dashboard!$C$6="*",F1724=Dashboard!$C$6),L1724&lt;&gt;""),ABS(I1724)+ROW()/1000000000,0)</f>
        <v/>
      </c>
    </row>
    <row r="1725">
      <c r="A1725">
        <f>Data_thang!A1725</f>
        <v/>
      </c>
      <c r="B1725">
        <f>Data_thang!B1725</f>
        <v/>
      </c>
      <c r="C1725">
        <f>Data_thang!D1725</f>
        <v/>
      </c>
      <c r="D1725">
        <f>Data_thang!E1725</f>
        <v/>
      </c>
      <c r="E1725">
        <f>Data_thang!F1725</f>
        <v/>
      </c>
      <c r="F1725">
        <f>Data_thang!G1725</f>
        <v/>
      </c>
      <c r="G1725" s="29">
        <f>Data_thang!J1725-Data_thang!K1725</f>
        <v/>
      </c>
      <c r="H1725" s="29">
        <f>Data_thang!N1725</f>
        <v/>
      </c>
      <c r="I1725" s="29">
        <f>H1725-G1725</f>
        <v/>
      </c>
      <c r="J1725" s="30">
        <f>IF(H1725=0,IF(I1725=0,0,1),I1725/ABS(H1725))</f>
        <v/>
      </c>
      <c r="K1725" s="29">
        <f>H1725-(Data_thang!O1725-Data_thang!K1725)</f>
        <v/>
      </c>
      <c r="L1725">
        <f>IF(AND(ABS(I1725)&gt;Dashboard!$G$6,ABS(J1725)&gt;Dashboard!$H$6),"⚠ Vượt","")</f>
        <v/>
      </c>
      <c r="M1725">
        <f>IF(AND(A1725=Dashboard!$D$6,OR(Dashboard!$C$6="*",F1725=Dashboard!$C$6),L1725&lt;&gt;""),ABS(I1725)+ROW()/1000000000,0)</f>
        <v/>
      </c>
    </row>
    <row r="1726">
      <c r="A1726">
        <f>Data_thang!A1726</f>
        <v/>
      </c>
      <c r="B1726">
        <f>Data_thang!B1726</f>
        <v/>
      </c>
      <c r="C1726">
        <f>Data_thang!D1726</f>
        <v/>
      </c>
      <c r="D1726">
        <f>Data_thang!E1726</f>
        <v/>
      </c>
      <c r="E1726">
        <f>Data_thang!F1726</f>
        <v/>
      </c>
      <c r="F1726">
        <f>Data_thang!G1726</f>
        <v/>
      </c>
      <c r="G1726" s="29">
        <f>Data_thang!J1726-Data_thang!K1726</f>
        <v/>
      </c>
      <c r="H1726" s="29">
        <f>Data_thang!N1726</f>
        <v/>
      </c>
      <c r="I1726" s="29">
        <f>H1726-G1726</f>
        <v/>
      </c>
      <c r="J1726" s="30">
        <f>IF(H1726=0,IF(I1726=0,0,1),I1726/ABS(H1726))</f>
        <v/>
      </c>
      <c r="K1726" s="29">
        <f>H1726-(Data_thang!O1726-Data_thang!K1726)</f>
        <v/>
      </c>
      <c r="L1726">
        <f>IF(AND(ABS(I1726)&gt;Dashboard!$G$6,ABS(J1726)&gt;Dashboard!$H$6),"⚠ Vượt","")</f>
        <v/>
      </c>
      <c r="M1726">
        <f>IF(AND(A1726=Dashboard!$D$6,OR(Dashboard!$C$6="*",F1726=Dashboard!$C$6),L1726&lt;&gt;""),ABS(I1726)+ROW()/1000000000,0)</f>
        <v/>
      </c>
    </row>
    <row r="1727">
      <c r="A1727">
        <f>Data_thang!A1727</f>
        <v/>
      </c>
      <c r="B1727">
        <f>Data_thang!B1727</f>
        <v/>
      </c>
      <c r="C1727">
        <f>Data_thang!D1727</f>
        <v/>
      </c>
      <c r="D1727">
        <f>Data_thang!E1727</f>
        <v/>
      </c>
      <c r="E1727">
        <f>Data_thang!F1727</f>
        <v/>
      </c>
      <c r="F1727">
        <f>Data_thang!G1727</f>
        <v/>
      </c>
      <c r="G1727" s="29">
        <f>Data_thang!J1727-Data_thang!K1727</f>
        <v/>
      </c>
      <c r="H1727" s="29">
        <f>Data_thang!N1727</f>
        <v/>
      </c>
      <c r="I1727" s="29">
        <f>H1727-G1727</f>
        <v/>
      </c>
      <c r="J1727" s="30">
        <f>IF(H1727=0,IF(I1727=0,0,1),I1727/ABS(H1727))</f>
        <v/>
      </c>
      <c r="K1727" s="29">
        <f>H1727-(Data_thang!O1727-Data_thang!K1727)</f>
        <v/>
      </c>
      <c r="L1727">
        <f>IF(AND(ABS(I1727)&gt;Dashboard!$G$6,ABS(J1727)&gt;Dashboard!$H$6),"⚠ Vượt","")</f>
        <v/>
      </c>
      <c r="M1727">
        <f>IF(AND(A1727=Dashboard!$D$6,OR(Dashboard!$C$6="*",F1727=Dashboard!$C$6),L1727&lt;&gt;""),ABS(I1727)+ROW()/1000000000,0)</f>
        <v/>
      </c>
    </row>
    <row r="1728">
      <c r="A1728">
        <f>Data_thang!A1728</f>
        <v/>
      </c>
      <c r="B1728">
        <f>Data_thang!B1728</f>
        <v/>
      </c>
      <c r="C1728">
        <f>Data_thang!D1728</f>
        <v/>
      </c>
      <c r="D1728">
        <f>Data_thang!E1728</f>
        <v/>
      </c>
      <c r="E1728">
        <f>Data_thang!F1728</f>
        <v/>
      </c>
      <c r="F1728">
        <f>Data_thang!G1728</f>
        <v/>
      </c>
      <c r="G1728" s="29">
        <f>Data_thang!J1728-Data_thang!K1728</f>
        <v/>
      </c>
      <c r="H1728" s="29">
        <f>Data_thang!N1728</f>
        <v/>
      </c>
      <c r="I1728" s="29">
        <f>H1728-G1728</f>
        <v/>
      </c>
      <c r="J1728" s="30">
        <f>IF(H1728=0,IF(I1728=0,0,1),I1728/ABS(H1728))</f>
        <v/>
      </c>
      <c r="K1728" s="29">
        <f>H1728-(Data_thang!O1728-Data_thang!K1728)</f>
        <v/>
      </c>
      <c r="L1728">
        <f>IF(AND(ABS(I1728)&gt;Dashboard!$G$6,ABS(J1728)&gt;Dashboard!$H$6),"⚠ Vượt","")</f>
        <v/>
      </c>
      <c r="M1728">
        <f>IF(AND(A1728=Dashboard!$D$6,OR(Dashboard!$C$6="*",F1728=Dashboard!$C$6),L1728&lt;&gt;""),ABS(I1728)+ROW()/1000000000,0)</f>
        <v/>
      </c>
    </row>
    <row r="1729">
      <c r="A1729">
        <f>Data_thang!A1729</f>
        <v/>
      </c>
      <c r="B1729">
        <f>Data_thang!B1729</f>
        <v/>
      </c>
      <c r="C1729">
        <f>Data_thang!D1729</f>
        <v/>
      </c>
      <c r="D1729">
        <f>Data_thang!E1729</f>
        <v/>
      </c>
      <c r="E1729">
        <f>Data_thang!F1729</f>
        <v/>
      </c>
      <c r="F1729">
        <f>Data_thang!G1729</f>
        <v/>
      </c>
      <c r="G1729" s="29">
        <f>Data_thang!J1729-Data_thang!K1729</f>
        <v/>
      </c>
      <c r="H1729" s="29">
        <f>Data_thang!N1729</f>
        <v/>
      </c>
      <c r="I1729" s="29">
        <f>H1729-G1729</f>
        <v/>
      </c>
      <c r="J1729" s="30">
        <f>IF(H1729=0,IF(I1729=0,0,1),I1729/ABS(H1729))</f>
        <v/>
      </c>
      <c r="K1729" s="29">
        <f>H1729-(Data_thang!O1729-Data_thang!K1729)</f>
        <v/>
      </c>
      <c r="L1729">
        <f>IF(AND(ABS(I1729)&gt;Dashboard!$G$6,ABS(J1729)&gt;Dashboard!$H$6),"⚠ Vượt","")</f>
        <v/>
      </c>
      <c r="M1729">
        <f>IF(AND(A1729=Dashboard!$D$6,OR(Dashboard!$C$6="*",F1729=Dashboard!$C$6),L1729&lt;&gt;""),ABS(I1729)+ROW()/1000000000,0)</f>
        <v/>
      </c>
    </row>
    <row r="1730">
      <c r="A1730">
        <f>Data_thang!A1730</f>
        <v/>
      </c>
      <c r="B1730">
        <f>Data_thang!B1730</f>
        <v/>
      </c>
      <c r="C1730">
        <f>Data_thang!D1730</f>
        <v/>
      </c>
      <c r="D1730">
        <f>Data_thang!E1730</f>
        <v/>
      </c>
      <c r="E1730">
        <f>Data_thang!F1730</f>
        <v/>
      </c>
      <c r="F1730">
        <f>Data_thang!G1730</f>
        <v/>
      </c>
      <c r="G1730" s="29">
        <f>Data_thang!J1730-Data_thang!K1730</f>
        <v/>
      </c>
      <c r="H1730" s="29">
        <f>Data_thang!N1730</f>
        <v/>
      </c>
      <c r="I1730" s="29">
        <f>H1730-G1730</f>
        <v/>
      </c>
      <c r="J1730" s="30">
        <f>IF(H1730=0,IF(I1730=0,0,1),I1730/ABS(H1730))</f>
        <v/>
      </c>
      <c r="K1730" s="29">
        <f>H1730-(Data_thang!O1730-Data_thang!K1730)</f>
        <v/>
      </c>
      <c r="L1730">
        <f>IF(AND(ABS(I1730)&gt;Dashboard!$G$6,ABS(J1730)&gt;Dashboard!$H$6),"⚠ Vượt","")</f>
        <v/>
      </c>
      <c r="M1730">
        <f>IF(AND(A1730=Dashboard!$D$6,OR(Dashboard!$C$6="*",F1730=Dashboard!$C$6),L1730&lt;&gt;""),ABS(I1730)+ROW()/1000000000,0)</f>
        <v/>
      </c>
    </row>
    <row r="1731">
      <c r="A1731">
        <f>Data_thang!A1731</f>
        <v/>
      </c>
      <c r="B1731">
        <f>Data_thang!B1731</f>
        <v/>
      </c>
      <c r="C1731">
        <f>Data_thang!D1731</f>
        <v/>
      </c>
      <c r="D1731">
        <f>Data_thang!E1731</f>
        <v/>
      </c>
      <c r="E1731">
        <f>Data_thang!F1731</f>
        <v/>
      </c>
      <c r="F1731">
        <f>Data_thang!G1731</f>
        <v/>
      </c>
      <c r="G1731" s="29">
        <f>Data_thang!J1731-Data_thang!K1731</f>
        <v/>
      </c>
      <c r="H1731" s="29">
        <f>Data_thang!N1731</f>
        <v/>
      </c>
      <c r="I1731" s="29">
        <f>H1731-G1731</f>
        <v/>
      </c>
      <c r="J1731" s="30">
        <f>IF(H1731=0,IF(I1731=0,0,1),I1731/ABS(H1731))</f>
        <v/>
      </c>
      <c r="K1731" s="29">
        <f>H1731-(Data_thang!O1731-Data_thang!K1731)</f>
        <v/>
      </c>
      <c r="L1731">
        <f>IF(AND(ABS(I1731)&gt;Dashboard!$G$6,ABS(J1731)&gt;Dashboard!$H$6),"⚠ Vượt","")</f>
        <v/>
      </c>
      <c r="M1731">
        <f>IF(AND(A1731=Dashboard!$D$6,OR(Dashboard!$C$6="*",F1731=Dashboard!$C$6),L1731&lt;&gt;""),ABS(I1731)+ROW()/1000000000,0)</f>
        <v/>
      </c>
    </row>
    <row r="1732">
      <c r="A1732">
        <f>Data_thang!A1732</f>
        <v/>
      </c>
      <c r="B1732">
        <f>Data_thang!B1732</f>
        <v/>
      </c>
      <c r="C1732">
        <f>Data_thang!D1732</f>
        <v/>
      </c>
      <c r="D1732">
        <f>Data_thang!E1732</f>
        <v/>
      </c>
      <c r="E1732">
        <f>Data_thang!F1732</f>
        <v/>
      </c>
      <c r="F1732">
        <f>Data_thang!G1732</f>
        <v/>
      </c>
      <c r="G1732" s="29">
        <f>Data_thang!J1732-Data_thang!K1732</f>
        <v/>
      </c>
      <c r="H1732" s="29">
        <f>Data_thang!N1732</f>
        <v/>
      </c>
      <c r="I1732" s="29">
        <f>H1732-G1732</f>
        <v/>
      </c>
      <c r="J1732" s="30">
        <f>IF(H1732=0,IF(I1732=0,0,1),I1732/ABS(H1732))</f>
        <v/>
      </c>
      <c r="K1732" s="29">
        <f>H1732-(Data_thang!O1732-Data_thang!K1732)</f>
        <v/>
      </c>
      <c r="L1732">
        <f>IF(AND(ABS(I1732)&gt;Dashboard!$G$6,ABS(J1732)&gt;Dashboard!$H$6),"⚠ Vượt","")</f>
        <v/>
      </c>
      <c r="M1732">
        <f>IF(AND(A1732=Dashboard!$D$6,OR(Dashboard!$C$6="*",F1732=Dashboard!$C$6),L1732&lt;&gt;""),ABS(I1732)+ROW()/1000000000,0)</f>
        <v/>
      </c>
    </row>
    <row r="1733">
      <c r="A1733">
        <f>Data_thang!A1733</f>
        <v/>
      </c>
      <c r="B1733">
        <f>Data_thang!B1733</f>
        <v/>
      </c>
      <c r="C1733">
        <f>Data_thang!D1733</f>
        <v/>
      </c>
      <c r="D1733">
        <f>Data_thang!E1733</f>
        <v/>
      </c>
      <c r="E1733">
        <f>Data_thang!F1733</f>
        <v/>
      </c>
      <c r="F1733">
        <f>Data_thang!G1733</f>
        <v/>
      </c>
      <c r="G1733" s="29">
        <f>Data_thang!J1733-Data_thang!K1733</f>
        <v/>
      </c>
      <c r="H1733" s="29">
        <f>Data_thang!N1733</f>
        <v/>
      </c>
      <c r="I1733" s="29">
        <f>H1733-G1733</f>
        <v/>
      </c>
      <c r="J1733" s="30">
        <f>IF(H1733=0,IF(I1733=0,0,1),I1733/ABS(H1733))</f>
        <v/>
      </c>
      <c r="K1733" s="29">
        <f>H1733-(Data_thang!O1733-Data_thang!K1733)</f>
        <v/>
      </c>
      <c r="L1733">
        <f>IF(AND(ABS(I1733)&gt;Dashboard!$G$6,ABS(J1733)&gt;Dashboard!$H$6),"⚠ Vượt","")</f>
        <v/>
      </c>
      <c r="M1733">
        <f>IF(AND(A1733=Dashboard!$D$6,OR(Dashboard!$C$6="*",F1733=Dashboard!$C$6),L1733&lt;&gt;""),ABS(I1733)+ROW()/1000000000,0)</f>
        <v/>
      </c>
    </row>
    <row r="1734">
      <c r="A1734">
        <f>Data_thang!A1734</f>
        <v/>
      </c>
      <c r="B1734">
        <f>Data_thang!B1734</f>
        <v/>
      </c>
      <c r="C1734">
        <f>Data_thang!D1734</f>
        <v/>
      </c>
      <c r="D1734">
        <f>Data_thang!E1734</f>
        <v/>
      </c>
      <c r="E1734">
        <f>Data_thang!F1734</f>
        <v/>
      </c>
      <c r="F1734">
        <f>Data_thang!G1734</f>
        <v/>
      </c>
      <c r="G1734" s="29">
        <f>Data_thang!J1734-Data_thang!K1734</f>
        <v/>
      </c>
      <c r="H1734" s="29">
        <f>Data_thang!N1734</f>
        <v/>
      </c>
      <c r="I1734" s="29">
        <f>H1734-G1734</f>
        <v/>
      </c>
      <c r="J1734" s="30">
        <f>IF(H1734=0,IF(I1734=0,0,1),I1734/ABS(H1734))</f>
        <v/>
      </c>
      <c r="K1734" s="29">
        <f>H1734-(Data_thang!O1734-Data_thang!K1734)</f>
        <v/>
      </c>
      <c r="L1734">
        <f>IF(AND(ABS(I1734)&gt;Dashboard!$G$6,ABS(J1734)&gt;Dashboard!$H$6),"⚠ Vượt","")</f>
        <v/>
      </c>
      <c r="M1734">
        <f>IF(AND(A1734=Dashboard!$D$6,OR(Dashboard!$C$6="*",F1734=Dashboard!$C$6),L1734&lt;&gt;""),ABS(I1734)+ROW()/1000000000,0)</f>
        <v/>
      </c>
    </row>
    <row r="1735">
      <c r="A1735">
        <f>Data_thang!A1735</f>
        <v/>
      </c>
      <c r="B1735">
        <f>Data_thang!B1735</f>
        <v/>
      </c>
      <c r="C1735">
        <f>Data_thang!D1735</f>
        <v/>
      </c>
      <c r="D1735">
        <f>Data_thang!E1735</f>
        <v/>
      </c>
      <c r="E1735">
        <f>Data_thang!F1735</f>
        <v/>
      </c>
      <c r="F1735">
        <f>Data_thang!G1735</f>
        <v/>
      </c>
      <c r="G1735" s="29">
        <f>Data_thang!J1735-Data_thang!K1735</f>
        <v/>
      </c>
      <c r="H1735" s="29">
        <f>Data_thang!N1735</f>
        <v/>
      </c>
      <c r="I1735" s="29">
        <f>H1735-G1735</f>
        <v/>
      </c>
      <c r="J1735" s="30">
        <f>IF(H1735=0,IF(I1735=0,0,1),I1735/ABS(H1735))</f>
        <v/>
      </c>
      <c r="K1735" s="29">
        <f>H1735-(Data_thang!O1735-Data_thang!K1735)</f>
        <v/>
      </c>
      <c r="L1735">
        <f>IF(AND(ABS(I1735)&gt;Dashboard!$G$6,ABS(J1735)&gt;Dashboard!$H$6),"⚠ Vượt","")</f>
        <v/>
      </c>
      <c r="M1735">
        <f>IF(AND(A1735=Dashboard!$D$6,OR(Dashboard!$C$6="*",F1735=Dashboard!$C$6),L1735&lt;&gt;""),ABS(I1735)+ROW()/1000000000,0)</f>
        <v/>
      </c>
    </row>
    <row r="1736">
      <c r="A1736">
        <f>Data_thang!A1736</f>
        <v/>
      </c>
      <c r="B1736">
        <f>Data_thang!B1736</f>
        <v/>
      </c>
      <c r="C1736">
        <f>Data_thang!D1736</f>
        <v/>
      </c>
      <c r="D1736">
        <f>Data_thang!E1736</f>
        <v/>
      </c>
      <c r="E1736">
        <f>Data_thang!F1736</f>
        <v/>
      </c>
      <c r="F1736">
        <f>Data_thang!G1736</f>
        <v/>
      </c>
      <c r="G1736" s="29">
        <f>Data_thang!J1736-Data_thang!K1736</f>
        <v/>
      </c>
      <c r="H1736" s="29">
        <f>Data_thang!N1736</f>
        <v/>
      </c>
      <c r="I1736" s="29">
        <f>H1736-G1736</f>
        <v/>
      </c>
      <c r="J1736" s="30">
        <f>IF(H1736=0,IF(I1736=0,0,1),I1736/ABS(H1736))</f>
        <v/>
      </c>
      <c r="K1736" s="29">
        <f>H1736-(Data_thang!O1736-Data_thang!K1736)</f>
        <v/>
      </c>
      <c r="L1736">
        <f>IF(AND(ABS(I1736)&gt;Dashboard!$G$6,ABS(J1736)&gt;Dashboard!$H$6),"⚠ Vượt","")</f>
        <v/>
      </c>
      <c r="M1736">
        <f>IF(AND(A1736=Dashboard!$D$6,OR(Dashboard!$C$6="*",F1736=Dashboard!$C$6),L1736&lt;&gt;""),ABS(I1736)+ROW()/1000000000,0)</f>
        <v/>
      </c>
    </row>
    <row r="1737">
      <c r="A1737">
        <f>Data_thang!A1737</f>
        <v/>
      </c>
      <c r="B1737">
        <f>Data_thang!B1737</f>
        <v/>
      </c>
      <c r="C1737">
        <f>Data_thang!D1737</f>
        <v/>
      </c>
      <c r="D1737">
        <f>Data_thang!E1737</f>
        <v/>
      </c>
      <c r="E1737">
        <f>Data_thang!F1737</f>
        <v/>
      </c>
      <c r="F1737">
        <f>Data_thang!G1737</f>
        <v/>
      </c>
      <c r="G1737" s="29">
        <f>Data_thang!J1737-Data_thang!K1737</f>
        <v/>
      </c>
      <c r="H1737" s="29">
        <f>Data_thang!N1737</f>
        <v/>
      </c>
      <c r="I1737" s="29">
        <f>H1737-G1737</f>
        <v/>
      </c>
      <c r="J1737" s="30">
        <f>IF(H1737=0,IF(I1737=0,0,1),I1737/ABS(H1737))</f>
        <v/>
      </c>
      <c r="K1737" s="29">
        <f>H1737-(Data_thang!O1737-Data_thang!K1737)</f>
        <v/>
      </c>
      <c r="L1737">
        <f>IF(AND(ABS(I1737)&gt;Dashboard!$G$6,ABS(J1737)&gt;Dashboard!$H$6),"⚠ Vượt","")</f>
        <v/>
      </c>
      <c r="M1737">
        <f>IF(AND(A1737=Dashboard!$D$6,OR(Dashboard!$C$6="*",F1737=Dashboard!$C$6),L1737&lt;&gt;""),ABS(I1737)+ROW()/1000000000,0)</f>
        <v/>
      </c>
    </row>
    <row r="1738">
      <c r="A1738">
        <f>Data_thang!A1738</f>
        <v/>
      </c>
      <c r="B1738">
        <f>Data_thang!B1738</f>
        <v/>
      </c>
      <c r="C1738">
        <f>Data_thang!D1738</f>
        <v/>
      </c>
      <c r="D1738">
        <f>Data_thang!E1738</f>
        <v/>
      </c>
      <c r="E1738">
        <f>Data_thang!F1738</f>
        <v/>
      </c>
      <c r="F1738">
        <f>Data_thang!G1738</f>
        <v/>
      </c>
      <c r="G1738" s="29">
        <f>Data_thang!J1738-Data_thang!K1738</f>
        <v/>
      </c>
      <c r="H1738" s="29">
        <f>Data_thang!N1738</f>
        <v/>
      </c>
      <c r="I1738" s="29">
        <f>H1738-G1738</f>
        <v/>
      </c>
      <c r="J1738" s="30">
        <f>IF(H1738=0,IF(I1738=0,0,1),I1738/ABS(H1738))</f>
        <v/>
      </c>
      <c r="K1738" s="29">
        <f>H1738-(Data_thang!O1738-Data_thang!K1738)</f>
        <v/>
      </c>
      <c r="L1738">
        <f>IF(AND(ABS(I1738)&gt;Dashboard!$G$6,ABS(J1738)&gt;Dashboard!$H$6),"⚠ Vượt","")</f>
        <v/>
      </c>
      <c r="M1738">
        <f>IF(AND(A1738=Dashboard!$D$6,OR(Dashboard!$C$6="*",F1738=Dashboard!$C$6),L1738&lt;&gt;""),ABS(I1738)+ROW()/1000000000,0)</f>
        <v/>
      </c>
    </row>
    <row r="1739">
      <c r="A1739">
        <f>Data_thang!A1739</f>
        <v/>
      </c>
      <c r="B1739">
        <f>Data_thang!B1739</f>
        <v/>
      </c>
      <c r="C1739">
        <f>Data_thang!D1739</f>
        <v/>
      </c>
      <c r="D1739">
        <f>Data_thang!E1739</f>
        <v/>
      </c>
      <c r="E1739">
        <f>Data_thang!F1739</f>
        <v/>
      </c>
      <c r="F1739">
        <f>Data_thang!G1739</f>
        <v/>
      </c>
      <c r="G1739" s="29">
        <f>Data_thang!J1739-Data_thang!K1739</f>
        <v/>
      </c>
      <c r="H1739" s="29">
        <f>Data_thang!N1739</f>
        <v/>
      </c>
      <c r="I1739" s="29">
        <f>H1739-G1739</f>
        <v/>
      </c>
      <c r="J1739" s="30">
        <f>IF(H1739=0,IF(I1739=0,0,1),I1739/ABS(H1739))</f>
        <v/>
      </c>
      <c r="K1739" s="29">
        <f>H1739-(Data_thang!O1739-Data_thang!K1739)</f>
        <v/>
      </c>
      <c r="L1739">
        <f>IF(AND(ABS(I1739)&gt;Dashboard!$G$6,ABS(J1739)&gt;Dashboard!$H$6),"⚠ Vượt","")</f>
        <v/>
      </c>
      <c r="M1739">
        <f>IF(AND(A1739=Dashboard!$D$6,OR(Dashboard!$C$6="*",F1739=Dashboard!$C$6),L1739&lt;&gt;""),ABS(I1739)+ROW()/1000000000,0)</f>
        <v/>
      </c>
    </row>
    <row r="1740">
      <c r="A1740">
        <f>Data_thang!A1740</f>
        <v/>
      </c>
      <c r="B1740">
        <f>Data_thang!B1740</f>
        <v/>
      </c>
      <c r="C1740">
        <f>Data_thang!D1740</f>
        <v/>
      </c>
      <c r="D1740">
        <f>Data_thang!E1740</f>
        <v/>
      </c>
      <c r="E1740">
        <f>Data_thang!F1740</f>
        <v/>
      </c>
      <c r="F1740">
        <f>Data_thang!G1740</f>
        <v/>
      </c>
      <c r="G1740" s="29">
        <f>Data_thang!J1740-Data_thang!K1740</f>
        <v/>
      </c>
      <c r="H1740" s="29">
        <f>Data_thang!N1740</f>
        <v/>
      </c>
      <c r="I1740" s="29">
        <f>H1740-G1740</f>
        <v/>
      </c>
      <c r="J1740" s="30">
        <f>IF(H1740=0,IF(I1740=0,0,1),I1740/ABS(H1740))</f>
        <v/>
      </c>
      <c r="K1740" s="29">
        <f>H1740-(Data_thang!O1740-Data_thang!K1740)</f>
        <v/>
      </c>
      <c r="L1740">
        <f>IF(AND(ABS(I1740)&gt;Dashboard!$G$6,ABS(J1740)&gt;Dashboard!$H$6),"⚠ Vượt","")</f>
        <v/>
      </c>
      <c r="M1740">
        <f>IF(AND(A1740=Dashboard!$D$6,OR(Dashboard!$C$6="*",F1740=Dashboard!$C$6),L1740&lt;&gt;""),ABS(I1740)+ROW()/1000000000,0)</f>
        <v/>
      </c>
    </row>
    <row r="1741">
      <c r="A1741">
        <f>Data_thang!A1741</f>
        <v/>
      </c>
      <c r="B1741">
        <f>Data_thang!B1741</f>
        <v/>
      </c>
      <c r="C1741">
        <f>Data_thang!D1741</f>
        <v/>
      </c>
      <c r="D1741">
        <f>Data_thang!E1741</f>
        <v/>
      </c>
      <c r="E1741">
        <f>Data_thang!F1741</f>
        <v/>
      </c>
      <c r="F1741">
        <f>Data_thang!G1741</f>
        <v/>
      </c>
      <c r="G1741" s="29">
        <f>Data_thang!J1741-Data_thang!K1741</f>
        <v/>
      </c>
      <c r="H1741" s="29">
        <f>Data_thang!N1741</f>
        <v/>
      </c>
      <c r="I1741" s="29">
        <f>H1741-G1741</f>
        <v/>
      </c>
      <c r="J1741" s="30">
        <f>IF(H1741=0,IF(I1741=0,0,1),I1741/ABS(H1741))</f>
        <v/>
      </c>
      <c r="K1741" s="29">
        <f>H1741-(Data_thang!O1741-Data_thang!K1741)</f>
        <v/>
      </c>
      <c r="L1741">
        <f>IF(AND(ABS(I1741)&gt;Dashboard!$G$6,ABS(J1741)&gt;Dashboard!$H$6),"⚠ Vượt","")</f>
        <v/>
      </c>
      <c r="M1741">
        <f>IF(AND(A1741=Dashboard!$D$6,OR(Dashboard!$C$6="*",F1741=Dashboard!$C$6),L1741&lt;&gt;""),ABS(I1741)+ROW()/1000000000,0)</f>
        <v/>
      </c>
    </row>
    <row r="1742">
      <c r="A1742">
        <f>Data_thang!A1742</f>
        <v/>
      </c>
      <c r="B1742">
        <f>Data_thang!B1742</f>
        <v/>
      </c>
      <c r="C1742">
        <f>Data_thang!D1742</f>
        <v/>
      </c>
      <c r="D1742">
        <f>Data_thang!E1742</f>
        <v/>
      </c>
      <c r="E1742">
        <f>Data_thang!F1742</f>
        <v/>
      </c>
      <c r="F1742">
        <f>Data_thang!G1742</f>
        <v/>
      </c>
      <c r="G1742" s="29">
        <f>Data_thang!J1742-Data_thang!K1742</f>
        <v/>
      </c>
      <c r="H1742" s="29">
        <f>Data_thang!N1742</f>
        <v/>
      </c>
      <c r="I1742" s="29">
        <f>H1742-G1742</f>
        <v/>
      </c>
      <c r="J1742" s="30">
        <f>IF(H1742=0,IF(I1742=0,0,1),I1742/ABS(H1742))</f>
        <v/>
      </c>
      <c r="K1742" s="29">
        <f>H1742-(Data_thang!O1742-Data_thang!K1742)</f>
        <v/>
      </c>
      <c r="L1742">
        <f>IF(AND(ABS(I1742)&gt;Dashboard!$G$6,ABS(J1742)&gt;Dashboard!$H$6),"⚠ Vượt","")</f>
        <v/>
      </c>
      <c r="M1742">
        <f>IF(AND(A1742=Dashboard!$D$6,OR(Dashboard!$C$6="*",F1742=Dashboard!$C$6),L1742&lt;&gt;""),ABS(I1742)+ROW()/1000000000,0)</f>
        <v/>
      </c>
    </row>
    <row r="1743">
      <c r="A1743">
        <f>Data_thang!A1743</f>
        <v/>
      </c>
      <c r="B1743">
        <f>Data_thang!B1743</f>
        <v/>
      </c>
      <c r="C1743">
        <f>Data_thang!D1743</f>
        <v/>
      </c>
      <c r="D1743">
        <f>Data_thang!E1743</f>
        <v/>
      </c>
      <c r="E1743">
        <f>Data_thang!F1743</f>
        <v/>
      </c>
      <c r="F1743">
        <f>Data_thang!G1743</f>
        <v/>
      </c>
      <c r="G1743" s="29">
        <f>Data_thang!J1743-Data_thang!K1743</f>
        <v/>
      </c>
      <c r="H1743" s="29">
        <f>Data_thang!N1743</f>
        <v/>
      </c>
      <c r="I1743" s="29">
        <f>H1743-G1743</f>
        <v/>
      </c>
      <c r="J1743" s="30">
        <f>IF(H1743=0,IF(I1743=0,0,1),I1743/ABS(H1743))</f>
        <v/>
      </c>
      <c r="K1743" s="29">
        <f>H1743-(Data_thang!O1743-Data_thang!K1743)</f>
        <v/>
      </c>
      <c r="L1743">
        <f>IF(AND(ABS(I1743)&gt;Dashboard!$G$6,ABS(J1743)&gt;Dashboard!$H$6),"⚠ Vượt","")</f>
        <v/>
      </c>
      <c r="M1743">
        <f>IF(AND(A1743=Dashboard!$D$6,OR(Dashboard!$C$6="*",F1743=Dashboard!$C$6),L1743&lt;&gt;""),ABS(I1743)+ROW()/1000000000,0)</f>
        <v/>
      </c>
    </row>
    <row r="1744">
      <c r="A1744">
        <f>Data_thang!A1744</f>
        <v/>
      </c>
      <c r="B1744">
        <f>Data_thang!B1744</f>
        <v/>
      </c>
      <c r="C1744">
        <f>Data_thang!D1744</f>
        <v/>
      </c>
      <c r="D1744">
        <f>Data_thang!E1744</f>
        <v/>
      </c>
      <c r="E1744">
        <f>Data_thang!F1744</f>
        <v/>
      </c>
      <c r="F1744">
        <f>Data_thang!G1744</f>
        <v/>
      </c>
      <c r="G1744" s="29">
        <f>Data_thang!J1744-Data_thang!K1744</f>
        <v/>
      </c>
      <c r="H1744" s="29">
        <f>Data_thang!N1744</f>
        <v/>
      </c>
      <c r="I1744" s="29">
        <f>H1744-G1744</f>
        <v/>
      </c>
      <c r="J1744" s="30">
        <f>IF(H1744=0,IF(I1744=0,0,1),I1744/ABS(H1744))</f>
        <v/>
      </c>
      <c r="K1744" s="29">
        <f>H1744-(Data_thang!O1744-Data_thang!K1744)</f>
        <v/>
      </c>
      <c r="L1744">
        <f>IF(AND(ABS(I1744)&gt;Dashboard!$G$6,ABS(J1744)&gt;Dashboard!$H$6),"⚠ Vượt","")</f>
        <v/>
      </c>
      <c r="M1744">
        <f>IF(AND(A1744=Dashboard!$D$6,OR(Dashboard!$C$6="*",F1744=Dashboard!$C$6),L1744&lt;&gt;""),ABS(I1744)+ROW()/1000000000,0)</f>
        <v/>
      </c>
    </row>
    <row r="1745">
      <c r="A1745">
        <f>Data_thang!A1745</f>
        <v/>
      </c>
      <c r="B1745">
        <f>Data_thang!B1745</f>
        <v/>
      </c>
      <c r="C1745">
        <f>Data_thang!D1745</f>
        <v/>
      </c>
      <c r="D1745">
        <f>Data_thang!E1745</f>
        <v/>
      </c>
      <c r="E1745">
        <f>Data_thang!F1745</f>
        <v/>
      </c>
      <c r="F1745">
        <f>Data_thang!G1745</f>
        <v/>
      </c>
      <c r="G1745" s="29">
        <f>Data_thang!J1745-Data_thang!K1745</f>
        <v/>
      </c>
      <c r="H1745" s="29">
        <f>Data_thang!N1745</f>
        <v/>
      </c>
      <c r="I1745" s="29">
        <f>H1745-G1745</f>
        <v/>
      </c>
      <c r="J1745" s="30">
        <f>IF(H1745=0,IF(I1745=0,0,1),I1745/ABS(H1745))</f>
        <v/>
      </c>
      <c r="K1745" s="29">
        <f>H1745-(Data_thang!O1745-Data_thang!K1745)</f>
        <v/>
      </c>
      <c r="L1745">
        <f>IF(AND(ABS(I1745)&gt;Dashboard!$G$6,ABS(J1745)&gt;Dashboard!$H$6),"⚠ Vượt","")</f>
        <v/>
      </c>
      <c r="M1745">
        <f>IF(AND(A1745=Dashboard!$D$6,OR(Dashboard!$C$6="*",F1745=Dashboard!$C$6),L1745&lt;&gt;""),ABS(I1745)+ROW()/1000000000,0)</f>
        <v/>
      </c>
    </row>
    <row r="1746">
      <c r="A1746">
        <f>Data_thang!A1746</f>
        <v/>
      </c>
      <c r="B1746">
        <f>Data_thang!B1746</f>
        <v/>
      </c>
      <c r="C1746">
        <f>Data_thang!D1746</f>
        <v/>
      </c>
      <c r="D1746">
        <f>Data_thang!E1746</f>
        <v/>
      </c>
      <c r="E1746">
        <f>Data_thang!F1746</f>
        <v/>
      </c>
      <c r="F1746">
        <f>Data_thang!G1746</f>
        <v/>
      </c>
      <c r="G1746" s="29">
        <f>Data_thang!J1746-Data_thang!K1746</f>
        <v/>
      </c>
      <c r="H1746" s="29">
        <f>Data_thang!N1746</f>
        <v/>
      </c>
      <c r="I1746" s="29">
        <f>H1746-G1746</f>
        <v/>
      </c>
      <c r="J1746" s="30">
        <f>IF(H1746=0,IF(I1746=0,0,1),I1746/ABS(H1746))</f>
        <v/>
      </c>
      <c r="K1746" s="29">
        <f>H1746-(Data_thang!O1746-Data_thang!K1746)</f>
        <v/>
      </c>
      <c r="L1746">
        <f>IF(AND(ABS(I1746)&gt;Dashboard!$G$6,ABS(J1746)&gt;Dashboard!$H$6),"⚠ Vượt","")</f>
        <v/>
      </c>
      <c r="M1746">
        <f>IF(AND(A1746=Dashboard!$D$6,OR(Dashboard!$C$6="*",F1746=Dashboard!$C$6),L1746&lt;&gt;""),ABS(I1746)+ROW()/1000000000,0)</f>
        <v/>
      </c>
    </row>
    <row r="1747">
      <c r="A1747">
        <f>Data_thang!A1747</f>
        <v/>
      </c>
      <c r="B1747">
        <f>Data_thang!B1747</f>
        <v/>
      </c>
      <c r="C1747">
        <f>Data_thang!D1747</f>
        <v/>
      </c>
      <c r="D1747">
        <f>Data_thang!E1747</f>
        <v/>
      </c>
      <c r="E1747">
        <f>Data_thang!F1747</f>
        <v/>
      </c>
      <c r="F1747">
        <f>Data_thang!G1747</f>
        <v/>
      </c>
      <c r="G1747" s="29">
        <f>Data_thang!J1747-Data_thang!K1747</f>
        <v/>
      </c>
      <c r="H1747" s="29">
        <f>Data_thang!N1747</f>
        <v/>
      </c>
      <c r="I1747" s="29">
        <f>H1747-G1747</f>
        <v/>
      </c>
      <c r="J1747" s="30">
        <f>IF(H1747=0,IF(I1747=0,0,1),I1747/ABS(H1747))</f>
        <v/>
      </c>
      <c r="K1747" s="29">
        <f>H1747-(Data_thang!O1747-Data_thang!K1747)</f>
        <v/>
      </c>
      <c r="L1747">
        <f>IF(AND(ABS(I1747)&gt;Dashboard!$G$6,ABS(J1747)&gt;Dashboard!$H$6),"⚠ Vượt","")</f>
        <v/>
      </c>
      <c r="M1747">
        <f>IF(AND(A1747=Dashboard!$D$6,OR(Dashboard!$C$6="*",F1747=Dashboard!$C$6),L1747&lt;&gt;""),ABS(I1747)+ROW()/1000000000,0)</f>
        <v/>
      </c>
    </row>
    <row r="1748">
      <c r="A1748">
        <f>Data_thang!A1748</f>
        <v/>
      </c>
      <c r="B1748">
        <f>Data_thang!B1748</f>
        <v/>
      </c>
      <c r="C1748">
        <f>Data_thang!D1748</f>
        <v/>
      </c>
      <c r="D1748">
        <f>Data_thang!E1748</f>
        <v/>
      </c>
      <c r="E1748">
        <f>Data_thang!F1748</f>
        <v/>
      </c>
      <c r="F1748">
        <f>Data_thang!G1748</f>
        <v/>
      </c>
      <c r="G1748" s="29">
        <f>Data_thang!J1748-Data_thang!K1748</f>
        <v/>
      </c>
      <c r="H1748" s="29">
        <f>Data_thang!N1748</f>
        <v/>
      </c>
      <c r="I1748" s="29">
        <f>H1748-G1748</f>
        <v/>
      </c>
      <c r="J1748" s="30">
        <f>IF(H1748=0,IF(I1748=0,0,1),I1748/ABS(H1748))</f>
        <v/>
      </c>
      <c r="K1748" s="29">
        <f>H1748-(Data_thang!O1748-Data_thang!K1748)</f>
        <v/>
      </c>
      <c r="L1748">
        <f>IF(AND(ABS(I1748)&gt;Dashboard!$G$6,ABS(J1748)&gt;Dashboard!$H$6),"⚠ Vượt","")</f>
        <v/>
      </c>
      <c r="M1748">
        <f>IF(AND(A1748=Dashboard!$D$6,OR(Dashboard!$C$6="*",F1748=Dashboard!$C$6),L1748&lt;&gt;""),ABS(I1748)+ROW()/1000000000,0)</f>
        <v/>
      </c>
    </row>
    <row r="1749">
      <c r="A1749">
        <f>Data_thang!A1749</f>
        <v/>
      </c>
      <c r="B1749">
        <f>Data_thang!B1749</f>
        <v/>
      </c>
      <c r="C1749">
        <f>Data_thang!D1749</f>
        <v/>
      </c>
      <c r="D1749">
        <f>Data_thang!E1749</f>
        <v/>
      </c>
      <c r="E1749">
        <f>Data_thang!F1749</f>
        <v/>
      </c>
      <c r="F1749">
        <f>Data_thang!G1749</f>
        <v/>
      </c>
      <c r="G1749" s="29">
        <f>Data_thang!J1749-Data_thang!K1749</f>
        <v/>
      </c>
      <c r="H1749" s="29">
        <f>Data_thang!N1749</f>
        <v/>
      </c>
      <c r="I1749" s="29">
        <f>H1749-G1749</f>
        <v/>
      </c>
      <c r="J1749" s="30">
        <f>IF(H1749=0,IF(I1749=0,0,1),I1749/ABS(H1749))</f>
        <v/>
      </c>
      <c r="K1749" s="29">
        <f>H1749-(Data_thang!O1749-Data_thang!K1749)</f>
        <v/>
      </c>
      <c r="L1749">
        <f>IF(AND(ABS(I1749)&gt;Dashboard!$G$6,ABS(J1749)&gt;Dashboard!$H$6),"⚠ Vượt","")</f>
        <v/>
      </c>
      <c r="M1749">
        <f>IF(AND(A1749=Dashboard!$D$6,OR(Dashboard!$C$6="*",F1749=Dashboard!$C$6),L1749&lt;&gt;""),ABS(I1749)+ROW()/1000000000,0)</f>
        <v/>
      </c>
    </row>
    <row r="1750">
      <c r="A1750">
        <f>Data_thang!A1750</f>
        <v/>
      </c>
      <c r="B1750">
        <f>Data_thang!B1750</f>
        <v/>
      </c>
      <c r="C1750">
        <f>Data_thang!D1750</f>
        <v/>
      </c>
      <c r="D1750">
        <f>Data_thang!E1750</f>
        <v/>
      </c>
      <c r="E1750">
        <f>Data_thang!F1750</f>
        <v/>
      </c>
      <c r="F1750">
        <f>Data_thang!G1750</f>
        <v/>
      </c>
      <c r="G1750" s="29">
        <f>Data_thang!J1750-Data_thang!K1750</f>
        <v/>
      </c>
      <c r="H1750" s="29">
        <f>Data_thang!N1750</f>
        <v/>
      </c>
      <c r="I1750" s="29">
        <f>H1750-G1750</f>
        <v/>
      </c>
      <c r="J1750" s="30">
        <f>IF(H1750=0,IF(I1750=0,0,1),I1750/ABS(H1750))</f>
        <v/>
      </c>
      <c r="K1750" s="29">
        <f>H1750-(Data_thang!O1750-Data_thang!K1750)</f>
        <v/>
      </c>
      <c r="L1750">
        <f>IF(AND(ABS(I1750)&gt;Dashboard!$G$6,ABS(J1750)&gt;Dashboard!$H$6),"⚠ Vượt","")</f>
        <v/>
      </c>
      <c r="M1750">
        <f>IF(AND(A1750=Dashboard!$D$6,OR(Dashboard!$C$6="*",F1750=Dashboard!$C$6),L1750&lt;&gt;""),ABS(I1750)+ROW()/1000000000,0)</f>
        <v/>
      </c>
    </row>
    <row r="1751">
      <c r="A1751">
        <f>Data_thang!A1751</f>
        <v/>
      </c>
      <c r="B1751">
        <f>Data_thang!B1751</f>
        <v/>
      </c>
      <c r="C1751">
        <f>Data_thang!D1751</f>
        <v/>
      </c>
      <c r="D1751">
        <f>Data_thang!E1751</f>
        <v/>
      </c>
      <c r="E1751">
        <f>Data_thang!F1751</f>
        <v/>
      </c>
      <c r="F1751">
        <f>Data_thang!G1751</f>
        <v/>
      </c>
      <c r="G1751" s="29">
        <f>Data_thang!J1751-Data_thang!K1751</f>
        <v/>
      </c>
      <c r="H1751" s="29">
        <f>Data_thang!N1751</f>
        <v/>
      </c>
      <c r="I1751" s="29">
        <f>H1751-G1751</f>
        <v/>
      </c>
      <c r="J1751" s="30">
        <f>IF(H1751=0,IF(I1751=0,0,1),I1751/ABS(H1751))</f>
        <v/>
      </c>
      <c r="K1751" s="29">
        <f>H1751-(Data_thang!O1751-Data_thang!K1751)</f>
        <v/>
      </c>
      <c r="L1751">
        <f>IF(AND(ABS(I1751)&gt;Dashboard!$G$6,ABS(J1751)&gt;Dashboard!$H$6),"⚠ Vượt","")</f>
        <v/>
      </c>
      <c r="M1751">
        <f>IF(AND(A1751=Dashboard!$D$6,OR(Dashboard!$C$6="*",F1751=Dashboard!$C$6),L1751&lt;&gt;""),ABS(I1751)+ROW()/1000000000,0)</f>
        <v/>
      </c>
    </row>
    <row r="1752">
      <c r="A1752">
        <f>Data_thang!A1752</f>
        <v/>
      </c>
      <c r="B1752">
        <f>Data_thang!B1752</f>
        <v/>
      </c>
      <c r="C1752">
        <f>Data_thang!D1752</f>
        <v/>
      </c>
      <c r="D1752">
        <f>Data_thang!E1752</f>
        <v/>
      </c>
      <c r="E1752">
        <f>Data_thang!F1752</f>
        <v/>
      </c>
      <c r="F1752">
        <f>Data_thang!G1752</f>
        <v/>
      </c>
      <c r="G1752" s="29">
        <f>Data_thang!J1752-Data_thang!K1752</f>
        <v/>
      </c>
      <c r="H1752" s="29">
        <f>Data_thang!N1752</f>
        <v/>
      </c>
      <c r="I1752" s="29">
        <f>H1752-G1752</f>
        <v/>
      </c>
      <c r="J1752" s="30">
        <f>IF(H1752=0,IF(I1752=0,0,1),I1752/ABS(H1752))</f>
        <v/>
      </c>
      <c r="K1752" s="29">
        <f>H1752-(Data_thang!O1752-Data_thang!K1752)</f>
        <v/>
      </c>
      <c r="L1752">
        <f>IF(AND(ABS(I1752)&gt;Dashboard!$G$6,ABS(J1752)&gt;Dashboard!$H$6),"⚠ Vượt","")</f>
        <v/>
      </c>
      <c r="M1752">
        <f>IF(AND(A1752=Dashboard!$D$6,OR(Dashboard!$C$6="*",F1752=Dashboard!$C$6),L1752&lt;&gt;""),ABS(I1752)+ROW()/1000000000,0)</f>
        <v/>
      </c>
    </row>
    <row r="1753">
      <c r="A1753">
        <f>Data_thang!A1753</f>
        <v/>
      </c>
      <c r="B1753">
        <f>Data_thang!B1753</f>
        <v/>
      </c>
      <c r="C1753">
        <f>Data_thang!D1753</f>
        <v/>
      </c>
      <c r="D1753">
        <f>Data_thang!E1753</f>
        <v/>
      </c>
      <c r="E1753">
        <f>Data_thang!F1753</f>
        <v/>
      </c>
      <c r="F1753">
        <f>Data_thang!G1753</f>
        <v/>
      </c>
      <c r="G1753" s="29">
        <f>Data_thang!J1753-Data_thang!K1753</f>
        <v/>
      </c>
      <c r="H1753" s="29">
        <f>Data_thang!N1753</f>
        <v/>
      </c>
      <c r="I1753" s="29">
        <f>H1753-G1753</f>
        <v/>
      </c>
      <c r="J1753" s="30">
        <f>IF(H1753=0,IF(I1753=0,0,1),I1753/ABS(H1753))</f>
        <v/>
      </c>
      <c r="K1753" s="29">
        <f>H1753-(Data_thang!O1753-Data_thang!K1753)</f>
        <v/>
      </c>
      <c r="L1753">
        <f>IF(AND(ABS(I1753)&gt;Dashboard!$G$6,ABS(J1753)&gt;Dashboard!$H$6),"⚠ Vượt","")</f>
        <v/>
      </c>
      <c r="M1753">
        <f>IF(AND(A1753=Dashboard!$D$6,OR(Dashboard!$C$6="*",F1753=Dashboard!$C$6),L1753&lt;&gt;""),ABS(I1753)+ROW()/1000000000,0)</f>
        <v/>
      </c>
    </row>
    <row r="1754">
      <c r="A1754">
        <f>Data_thang!A1754</f>
        <v/>
      </c>
      <c r="B1754">
        <f>Data_thang!B1754</f>
        <v/>
      </c>
      <c r="C1754">
        <f>Data_thang!D1754</f>
        <v/>
      </c>
      <c r="D1754">
        <f>Data_thang!E1754</f>
        <v/>
      </c>
      <c r="E1754">
        <f>Data_thang!F1754</f>
        <v/>
      </c>
      <c r="F1754">
        <f>Data_thang!G1754</f>
        <v/>
      </c>
      <c r="G1754" s="29">
        <f>Data_thang!J1754-Data_thang!K1754</f>
        <v/>
      </c>
      <c r="H1754" s="29">
        <f>Data_thang!N1754</f>
        <v/>
      </c>
      <c r="I1754" s="29">
        <f>H1754-G1754</f>
        <v/>
      </c>
      <c r="J1754" s="30">
        <f>IF(H1754=0,IF(I1754=0,0,1),I1754/ABS(H1754))</f>
        <v/>
      </c>
      <c r="K1754" s="29">
        <f>H1754-(Data_thang!O1754-Data_thang!K1754)</f>
        <v/>
      </c>
      <c r="L1754">
        <f>IF(AND(ABS(I1754)&gt;Dashboard!$G$6,ABS(J1754)&gt;Dashboard!$H$6),"⚠ Vượt","")</f>
        <v/>
      </c>
      <c r="M1754">
        <f>IF(AND(A1754=Dashboard!$D$6,OR(Dashboard!$C$6="*",F1754=Dashboard!$C$6),L1754&lt;&gt;""),ABS(I1754)+ROW()/1000000000,0)</f>
        <v/>
      </c>
    </row>
    <row r="1755">
      <c r="A1755">
        <f>Data_thang!A1755</f>
        <v/>
      </c>
      <c r="B1755">
        <f>Data_thang!B1755</f>
        <v/>
      </c>
      <c r="C1755">
        <f>Data_thang!D1755</f>
        <v/>
      </c>
      <c r="D1755">
        <f>Data_thang!E1755</f>
        <v/>
      </c>
      <c r="E1755">
        <f>Data_thang!F1755</f>
        <v/>
      </c>
      <c r="F1755">
        <f>Data_thang!G1755</f>
        <v/>
      </c>
      <c r="G1755" s="29">
        <f>Data_thang!J1755-Data_thang!K1755</f>
        <v/>
      </c>
      <c r="H1755" s="29">
        <f>Data_thang!N1755</f>
        <v/>
      </c>
      <c r="I1755" s="29">
        <f>H1755-G1755</f>
        <v/>
      </c>
      <c r="J1755" s="30">
        <f>IF(H1755=0,IF(I1755=0,0,1),I1755/ABS(H1755))</f>
        <v/>
      </c>
      <c r="K1755" s="29">
        <f>H1755-(Data_thang!O1755-Data_thang!K1755)</f>
        <v/>
      </c>
      <c r="L1755">
        <f>IF(AND(ABS(I1755)&gt;Dashboard!$G$6,ABS(J1755)&gt;Dashboard!$H$6),"⚠ Vượt","")</f>
        <v/>
      </c>
      <c r="M1755">
        <f>IF(AND(A1755=Dashboard!$D$6,OR(Dashboard!$C$6="*",F1755=Dashboard!$C$6),L1755&lt;&gt;""),ABS(I1755)+ROW()/1000000000,0)</f>
        <v/>
      </c>
    </row>
    <row r="1756">
      <c r="A1756">
        <f>Data_thang!A1756</f>
        <v/>
      </c>
      <c r="B1756">
        <f>Data_thang!B1756</f>
        <v/>
      </c>
      <c r="C1756">
        <f>Data_thang!D1756</f>
        <v/>
      </c>
      <c r="D1756">
        <f>Data_thang!E1756</f>
        <v/>
      </c>
      <c r="E1756">
        <f>Data_thang!F1756</f>
        <v/>
      </c>
      <c r="F1756">
        <f>Data_thang!G1756</f>
        <v/>
      </c>
      <c r="G1756" s="29">
        <f>Data_thang!J1756-Data_thang!K1756</f>
        <v/>
      </c>
      <c r="H1756" s="29">
        <f>Data_thang!N1756</f>
        <v/>
      </c>
      <c r="I1756" s="29">
        <f>H1756-G1756</f>
        <v/>
      </c>
      <c r="J1756" s="30">
        <f>IF(H1756=0,IF(I1756=0,0,1),I1756/ABS(H1756))</f>
        <v/>
      </c>
      <c r="K1756" s="29">
        <f>H1756-(Data_thang!O1756-Data_thang!K1756)</f>
        <v/>
      </c>
      <c r="L1756">
        <f>IF(AND(ABS(I1756)&gt;Dashboard!$G$6,ABS(J1756)&gt;Dashboard!$H$6),"⚠ Vượt","")</f>
        <v/>
      </c>
      <c r="M1756">
        <f>IF(AND(A1756=Dashboard!$D$6,OR(Dashboard!$C$6="*",F1756=Dashboard!$C$6),L1756&lt;&gt;""),ABS(I1756)+ROW()/1000000000,0)</f>
        <v/>
      </c>
    </row>
    <row r="1757">
      <c r="A1757">
        <f>Data_thang!A1757</f>
        <v/>
      </c>
      <c r="B1757">
        <f>Data_thang!B1757</f>
        <v/>
      </c>
      <c r="C1757">
        <f>Data_thang!D1757</f>
        <v/>
      </c>
      <c r="D1757">
        <f>Data_thang!E1757</f>
        <v/>
      </c>
      <c r="E1757">
        <f>Data_thang!F1757</f>
        <v/>
      </c>
      <c r="F1757">
        <f>Data_thang!G1757</f>
        <v/>
      </c>
      <c r="G1757" s="29">
        <f>Data_thang!J1757-Data_thang!K1757</f>
        <v/>
      </c>
      <c r="H1757" s="29">
        <f>Data_thang!N1757</f>
        <v/>
      </c>
      <c r="I1757" s="29">
        <f>H1757-G1757</f>
        <v/>
      </c>
      <c r="J1757" s="30">
        <f>IF(H1757=0,IF(I1757=0,0,1),I1757/ABS(H1757))</f>
        <v/>
      </c>
      <c r="K1757" s="29">
        <f>H1757-(Data_thang!O1757-Data_thang!K1757)</f>
        <v/>
      </c>
      <c r="L1757">
        <f>IF(AND(ABS(I1757)&gt;Dashboard!$G$6,ABS(J1757)&gt;Dashboard!$H$6),"⚠ Vượt","")</f>
        <v/>
      </c>
      <c r="M1757">
        <f>IF(AND(A1757=Dashboard!$D$6,OR(Dashboard!$C$6="*",F1757=Dashboard!$C$6),L1757&lt;&gt;""),ABS(I1757)+ROW()/1000000000,0)</f>
        <v/>
      </c>
    </row>
    <row r="1758">
      <c r="A1758">
        <f>Data_thang!A1758</f>
        <v/>
      </c>
      <c r="B1758">
        <f>Data_thang!B1758</f>
        <v/>
      </c>
      <c r="C1758">
        <f>Data_thang!D1758</f>
        <v/>
      </c>
      <c r="D1758">
        <f>Data_thang!E1758</f>
        <v/>
      </c>
      <c r="E1758">
        <f>Data_thang!F1758</f>
        <v/>
      </c>
      <c r="F1758">
        <f>Data_thang!G1758</f>
        <v/>
      </c>
      <c r="G1758" s="29">
        <f>Data_thang!J1758-Data_thang!K1758</f>
        <v/>
      </c>
      <c r="H1758" s="29">
        <f>Data_thang!N1758</f>
        <v/>
      </c>
      <c r="I1758" s="29">
        <f>H1758-G1758</f>
        <v/>
      </c>
      <c r="J1758" s="30">
        <f>IF(H1758=0,IF(I1758=0,0,1),I1758/ABS(H1758))</f>
        <v/>
      </c>
      <c r="K1758" s="29">
        <f>H1758-(Data_thang!O1758-Data_thang!K1758)</f>
        <v/>
      </c>
      <c r="L1758">
        <f>IF(AND(ABS(I1758)&gt;Dashboard!$G$6,ABS(J1758)&gt;Dashboard!$H$6),"⚠ Vượt","")</f>
        <v/>
      </c>
      <c r="M1758">
        <f>IF(AND(A1758=Dashboard!$D$6,OR(Dashboard!$C$6="*",F1758=Dashboard!$C$6),L1758&lt;&gt;""),ABS(I1758)+ROW()/1000000000,0)</f>
        <v/>
      </c>
    </row>
    <row r="1759">
      <c r="A1759">
        <f>Data_thang!A1759</f>
        <v/>
      </c>
      <c r="B1759">
        <f>Data_thang!B1759</f>
        <v/>
      </c>
      <c r="C1759">
        <f>Data_thang!D1759</f>
        <v/>
      </c>
      <c r="D1759">
        <f>Data_thang!E1759</f>
        <v/>
      </c>
      <c r="E1759">
        <f>Data_thang!F1759</f>
        <v/>
      </c>
      <c r="F1759">
        <f>Data_thang!G1759</f>
        <v/>
      </c>
      <c r="G1759" s="29">
        <f>Data_thang!J1759-Data_thang!K1759</f>
        <v/>
      </c>
      <c r="H1759" s="29">
        <f>Data_thang!N1759</f>
        <v/>
      </c>
      <c r="I1759" s="29">
        <f>H1759-G1759</f>
        <v/>
      </c>
      <c r="J1759" s="30">
        <f>IF(H1759=0,IF(I1759=0,0,1),I1759/ABS(H1759))</f>
        <v/>
      </c>
      <c r="K1759" s="29">
        <f>H1759-(Data_thang!O1759-Data_thang!K1759)</f>
        <v/>
      </c>
      <c r="L1759">
        <f>IF(AND(ABS(I1759)&gt;Dashboard!$G$6,ABS(J1759)&gt;Dashboard!$H$6),"⚠ Vượt","")</f>
        <v/>
      </c>
      <c r="M1759">
        <f>IF(AND(A1759=Dashboard!$D$6,OR(Dashboard!$C$6="*",F1759=Dashboard!$C$6),L1759&lt;&gt;""),ABS(I1759)+ROW()/1000000000,0)</f>
        <v/>
      </c>
    </row>
    <row r="1760">
      <c r="A1760">
        <f>Data_thang!A1760</f>
        <v/>
      </c>
      <c r="B1760">
        <f>Data_thang!B1760</f>
        <v/>
      </c>
      <c r="C1760">
        <f>Data_thang!D1760</f>
        <v/>
      </c>
      <c r="D1760">
        <f>Data_thang!E1760</f>
        <v/>
      </c>
      <c r="E1760">
        <f>Data_thang!F1760</f>
        <v/>
      </c>
      <c r="F1760">
        <f>Data_thang!G1760</f>
        <v/>
      </c>
      <c r="G1760" s="29">
        <f>Data_thang!J1760-Data_thang!K1760</f>
        <v/>
      </c>
      <c r="H1760" s="29">
        <f>Data_thang!N1760</f>
        <v/>
      </c>
      <c r="I1760" s="29">
        <f>H1760-G1760</f>
        <v/>
      </c>
      <c r="J1760" s="30">
        <f>IF(H1760=0,IF(I1760=0,0,1),I1760/ABS(H1760))</f>
        <v/>
      </c>
      <c r="K1760" s="29">
        <f>H1760-(Data_thang!O1760-Data_thang!K1760)</f>
        <v/>
      </c>
      <c r="L1760">
        <f>IF(AND(ABS(I1760)&gt;Dashboard!$G$6,ABS(J1760)&gt;Dashboard!$H$6),"⚠ Vượt","")</f>
        <v/>
      </c>
      <c r="M1760">
        <f>IF(AND(A1760=Dashboard!$D$6,OR(Dashboard!$C$6="*",F1760=Dashboard!$C$6),L1760&lt;&gt;""),ABS(I1760)+ROW()/1000000000,0)</f>
        <v/>
      </c>
    </row>
    <row r="1761">
      <c r="A1761">
        <f>Data_thang!A1761</f>
        <v/>
      </c>
      <c r="B1761">
        <f>Data_thang!B1761</f>
        <v/>
      </c>
      <c r="C1761">
        <f>Data_thang!D1761</f>
        <v/>
      </c>
      <c r="D1761">
        <f>Data_thang!E1761</f>
        <v/>
      </c>
      <c r="E1761">
        <f>Data_thang!F1761</f>
        <v/>
      </c>
      <c r="F1761">
        <f>Data_thang!G1761</f>
        <v/>
      </c>
      <c r="G1761" s="29">
        <f>Data_thang!J1761-Data_thang!K1761</f>
        <v/>
      </c>
      <c r="H1761" s="29">
        <f>Data_thang!N1761</f>
        <v/>
      </c>
      <c r="I1761" s="29">
        <f>H1761-G1761</f>
        <v/>
      </c>
      <c r="J1761" s="30">
        <f>IF(H1761=0,IF(I1761=0,0,1),I1761/ABS(H1761))</f>
        <v/>
      </c>
      <c r="K1761" s="29">
        <f>H1761-(Data_thang!O1761-Data_thang!K1761)</f>
        <v/>
      </c>
      <c r="L1761">
        <f>IF(AND(ABS(I1761)&gt;Dashboard!$G$6,ABS(J1761)&gt;Dashboard!$H$6),"⚠ Vượt","")</f>
        <v/>
      </c>
      <c r="M1761">
        <f>IF(AND(A1761=Dashboard!$D$6,OR(Dashboard!$C$6="*",F1761=Dashboard!$C$6),L1761&lt;&gt;""),ABS(I1761)+ROW()/1000000000,0)</f>
        <v/>
      </c>
    </row>
    <row r="1762">
      <c r="A1762">
        <f>Data_thang!A1762</f>
        <v/>
      </c>
      <c r="B1762">
        <f>Data_thang!B1762</f>
        <v/>
      </c>
      <c r="C1762">
        <f>Data_thang!D1762</f>
        <v/>
      </c>
      <c r="D1762">
        <f>Data_thang!E1762</f>
        <v/>
      </c>
      <c r="E1762">
        <f>Data_thang!F1762</f>
        <v/>
      </c>
      <c r="F1762">
        <f>Data_thang!G1762</f>
        <v/>
      </c>
      <c r="G1762" s="29">
        <f>Data_thang!J1762-Data_thang!K1762</f>
        <v/>
      </c>
      <c r="H1762" s="29">
        <f>Data_thang!N1762</f>
        <v/>
      </c>
      <c r="I1762" s="29">
        <f>H1762-G1762</f>
        <v/>
      </c>
      <c r="J1762" s="30">
        <f>IF(H1762=0,IF(I1762=0,0,1),I1762/ABS(H1762))</f>
        <v/>
      </c>
      <c r="K1762" s="29">
        <f>H1762-(Data_thang!O1762-Data_thang!K1762)</f>
        <v/>
      </c>
      <c r="L1762">
        <f>IF(AND(ABS(I1762)&gt;Dashboard!$G$6,ABS(J1762)&gt;Dashboard!$H$6),"⚠ Vượt","")</f>
        <v/>
      </c>
      <c r="M1762">
        <f>IF(AND(A1762=Dashboard!$D$6,OR(Dashboard!$C$6="*",F1762=Dashboard!$C$6),L1762&lt;&gt;""),ABS(I1762)+ROW()/1000000000,0)</f>
        <v/>
      </c>
    </row>
    <row r="1763">
      <c r="A1763">
        <f>Data_thang!A1763</f>
        <v/>
      </c>
      <c r="B1763">
        <f>Data_thang!B1763</f>
        <v/>
      </c>
      <c r="C1763">
        <f>Data_thang!D1763</f>
        <v/>
      </c>
      <c r="D1763">
        <f>Data_thang!E1763</f>
        <v/>
      </c>
      <c r="E1763">
        <f>Data_thang!F1763</f>
        <v/>
      </c>
      <c r="F1763">
        <f>Data_thang!G1763</f>
        <v/>
      </c>
      <c r="G1763" s="29">
        <f>Data_thang!J1763-Data_thang!K1763</f>
        <v/>
      </c>
      <c r="H1763" s="29">
        <f>Data_thang!N1763</f>
        <v/>
      </c>
      <c r="I1763" s="29">
        <f>H1763-G1763</f>
        <v/>
      </c>
      <c r="J1763" s="30">
        <f>IF(H1763=0,IF(I1763=0,0,1),I1763/ABS(H1763))</f>
        <v/>
      </c>
      <c r="K1763" s="29">
        <f>H1763-(Data_thang!O1763-Data_thang!K1763)</f>
        <v/>
      </c>
      <c r="L1763">
        <f>IF(AND(ABS(I1763)&gt;Dashboard!$G$6,ABS(J1763)&gt;Dashboard!$H$6),"⚠ Vượt","")</f>
        <v/>
      </c>
      <c r="M1763">
        <f>IF(AND(A1763=Dashboard!$D$6,OR(Dashboard!$C$6="*",F1763=Dashboard!$C$6),L1763&lt;&gt;""),ABS(I1763)+ROW()/1000000000,0)</f>
        <v/>
      </c>
    </row>
    <row r="1764">
      <c r="A1764">
        <f>Data_thang!A1764</f>
        <v/>
      </c>
      <c r="B1764">
        <f>Data_thang!B1764</f>
        <v/>
      </c>
      <c r="C1764">
        <f>Data_thang!D1764</f>
        <v/>
      </c>
      <c r="D1764">
        <f>Data_thang!E1764</f>
        <v/>
      </c>
      <c r="E1764">
        <f>Data_thang!F1764</f>
        <v/>
      </c>
      <c r="F1764">
        <f>Data_thang!G1764</f>
        <v/>
      </c>
      <c r="G1764" s="29">
        <f>Data_thang!J1764-Data_thang!K1764</f>
        <v/>
      </c>
      <c r="H1764" s="29">
        <f>Data_thang!N1764</f>
        <v/>
      </c>
      <c r="I1764" s="29">
        <f>H1764-G1764</f>
        <v/>
      </c>
      <c r="J1764" s="30">
        <f>IF(H1764=0,IF(I1764=0,0,1),I1764/ABS(H1764))</f>
        <v/>
      </c>
      <c r="K1764" s="29">
        <f>H1764-(Data_thang!O1764-Data_thang!K1764)</f>
        <v/>
      </c>
      <c r="L1764">
        <f>IF(AND(ABS(I1764)&gt;Dashboard!$G$6,ABS(J1764)&gt;Dashboard!$H$6),"⚠ Vượt","")</f>
        <v/>
      </c>
      <c r="M1764">
        <f>IF(AND(A1764=Dashboard!$D$6,OR(Dashboard!$C$6="*",F1764=Dashboard!$C$6),L1764&lt;&gt;""),ABS(I1764)+ROW()/1000000000,0)</f>
        <v/>
      </c>
    </row>
    <row r="1765">
      <c r="A1765">
        <f>Data_thang!A1765</f>
        <v/>
      </c>
      <c r="B1765">
        <f>Data_thang!B1765</f>
        <v/>
      </c>
      <c r="C1765">
        <f>Data_thang!D1765</f>
        <v/>
      </c>
      <c r="D1765">
        <f>Data_thang!E1765</f>
        <v/>
      </c>
      <c r="E1765">
        <f>Data_thang!F1765</f>
        <v/>
      </c>
      <c r="F1765">
        <f>Data_thang!G1765</f>
        <v/>
      </c>
      <c r="G1765" s="29">
        <f>Data_thang!J1765-Data_thang!K1765</f>
        <v/>
      </c>
      <c r="H1765" s="29">
        <f>Data_thang!N1765</f>
        <v/>
      </c>
      <c r="I1765" s="29">
        <f>H1765-G1765</f>
        <v/>
      </c>
      <c r="J1765" s="30">
        <f>IF(H1765=0,IF(I1765=0,0,1),I1765/ABS(H1765))</f>
        <v/>
      </c>
      <c r="K1765" s="29">
        <f>H1765-(Data_thang!O1765-Data_thang!K1765)</f>
        <v/>
      </c>
      <c r="L1765">
        <f>IF(AND(ABS(I1765)&gt;Dashboard!$G$6,ABS(J1765)&gt;Dashboard!$H$6),"⚠ Vượt","")</f>
        <v/>
      </c>
      <c r="M1765">
        <f>IF(AND(A1765=Dashboard!$D$6,OR(Dashboard!$C$6="*",F1765=Dashboard!$C$6),L1765&lt;&gt;""),ABS(I1765)+ROW()/1000000000,0)</f>
        <v/>
      </c>
    </row>
    <row r="1766">
      <c r="A1766">
        <f>Data_thang!A1766</f>
        <v/>
      </c>
      <c r="B1766">
        <f>Data_thang!B1766</f>
        <v/>
      </c>
      <c r="C1766">
        <f>Data_thang!D1766</f>
        <v/>
      </c>
      <c r="D1766">
        <f>Data_thang!E1766</f>
        <v/>
      </c>
      <c r="E1766">
        <f>Data_thang!F1766</f>
        <v/>
      </c>
      <c r="F1766">
        <f>Data_thang!G1766</f>
        <v/>
      </c>
      <c r="G1766" s="29">
        <f>Data_thang!J1766-Data_thang!K1766</f>
        <v/>
      </c>
      <c r="H1766" s="29">
        <f>Data_thang!N1766</f>
        <v/>
      </c>
      <c r="I1766" s="29">
        <f>H1766-G1766</f>
        <v/>
      </c>
      <c r="J1766" s="30">
        <f>IF(H1766=0,IF(I1766=0,0,1),I1766/ABS(H1766))</f>
        <v/>
      </c>
      <c r="K1766" s="29">
        <f>H1766-(Data_thang!O1766-Data_thang!K1766)</f>
        <v/>
      </c>
      <c r="L1766">
        <f>IF(AND(ABS(I1766)&gt;Dashboard!$G$6,ABS(J1766)&gt;Dashboard!$H$6),"⚠ Vượt","")</f>
        <v/>
      </c>
      <c r="M1766">
        <f>IF(AND(A1766=Dashboard!$D$6,OR(Dashboard!$C$6="*",F1766=Dashboard!$C$6),L1766&lt;&gt;""),ABS(I1766)+ROW()/1000000000,0)</f>
        <v/>
      </c>
    </row>
    <row r="1767">
      <c r="A1767">
        <f>Data_thang!A1767</f>
        <v/>
      </c>
      <c r="B1767">
        <f>Data_thang!B1767</f>
        <v/>
      </c>
      <c r="C1767">
        <f>Data_thang!D1767</f>
        <v/>
      </c>
      <c r="D1767">
        <f>Data_thang!E1767</f>
        <v/>
      </c>
      <c r="E1767">
        <f>Data_thang!F1767</f>
        <v/>
      </c>
      <c r="F1767">
        <f>Data_thang!G1767</f>
        <v/>
      </c>
      <c r="G1767" s="29">
        <f>Data_thang!J1767-Data_thang!K1767</f>
        <v/>
      </c>
      <c r="H1767" s="29">
        <f>Data_thang!N1767</f>
        <v/>
      </c>
      <c r="I1767" s="29">
        <f>H1767-G1767</f>
        <v/>
      </c>
      <c r="J1767" s="30">
        <f>IF(H1767=0,IF(I1767=0,0,1),I1767/ABS(H1767))</f>
        <v/>
      </c>
      <c r="K1767" s="29">
        <f>H1767-(Data_thang!O1767-Data_thang!K1767)</f>
        <v/>
      </c>
      <c r="L1767">
        <f>IF(AND(ABS(I1767)&gt;Dashboard!$G$6,ABS(J1767)&gt;Dashboard!$H$6),"⚠ Vượt","")</f>
        <v/>
      </c>
      <c r="M1767">
        <f>IF(AND(A1767=Dashboard!$D$6,OR(Dashboard!$C$6="*",F1767=Dashboard!$C$6),L1767&lt;&gt;""),ABS(I1767)+ROW()/1000000000,0)</f>
        <v/>
      </c>
    </row>
    <row r="1768">
      <c r="A1768">
        <f>Data_thang!A1768</f>
        <v/>
      </c>
      <c r="B1768">
        <f>Data_thang!B1768</f>
        <v/>
      </c>
      <c r="C1768">
        <f>Data_thang!D1768</f>
        <v/>
      </c>
      <c r="D1768">
        <f>Data_thang!E1768</f>
        <v/>
      </c>
      <c r="E1768">
        <f>Data_thang!F1768</f>
        <v/>
      </c>
      <c r="F1768">
        <f>Data_thang!G1768</f>
        <v/>
      </c>
      <c r="G1768" s="29">
        <f>Data_thang!J1768-Data_thang!K1768</f>
        <v/>
      </c>
      <c r="H1768" s="29">
        <f>Data_thang!N1768</f>
        <v/>
      </c>
      <c r="I1768" s="29">
        <f>H1768-G1768</f>
        <v/>
      </c>
      <c r="J1768" s="30">
        <f>IF(H1768=0,IF(I1768=0,0,1),I1768/ABS(H1768))</f>
        <v/>
      </c>
      <c r="K1768" s="29">
        <f>H1768-(Data_thang!O1768-Data_thang!K1768)</f>
        <v/>
      </c>
      <c r="L1768">
        <f>IF(AND(ABS(I1768)&gt;Dashboard!$G$6,ABS(J1768)&gt;Dashboard!$H$6),"⚠ Vượt","")</f>
        <v/>
      </c>
      <c r="M1768">
        <f>IF(AND(A1768=Dashboard!$D$6,OR(Dashboard!$C$6="*",F1768=Dashboard!$C$6),L1768&lt;&gt;""),ABS(I1768)+ROW()/1000000000,0)</f>
        <v/>
      </c>
    </row>
    <row r="1769">
      <c r="A1769">
        <f>Data_thang!A1769</f>
        <v/>
      </c>
      <c r="B1769">
        <f>Data_thang!B1769</f>
        <v/>
      </c>
      <c r="C1769">
        <f>Data_thang!D1769</f>
        <v/>
      </c>
      <c r="D1769">
        <f>Data_thang!E1769</f>
        <v/>
      </c>
      <c r="E1769">
        <f>Data_thang!F1769</f>
        <v/>
      </c>
      <c r="F1769">
        <f>Data_thang!G1769</f>
        <v/>
      </c>
      <c r="G1769" s="29">
        <f>Data_thang!J1769-Data_thang!K1769</f>
        <v/>
      </c>
      <c r="H1769" s="29">
        <f>Data_thang!N1769</f>
        <v/>
      </c>
      <c r="I1769" s="29">
        <f>H1769-G1769</f>
        <v/>
      </c>
      <c r="J1769" s="30">
        <f>IF(H1769=0,IF(I1769=0,0,1),I1769/ABS(H1769))</f>
        <v/>
      </c>
      <c r="K1769" s="29">
        <f>H1769-(Data_thang!O1769-Data_thang!K1769)</f>
        <v/>
      </c>
      <c r="L1769">
        <f>IF(AND(ABS(I1769)&gt;Dashboard!$G$6,ABS(J1769)&gt;Dashboard!$H$6),"⚠ Vượt","")</f>
        <v/>
      </c>
      <c r="M1769">
        <f>IF(AND(A1769=Dashboard!$D$6,OR(Dashboard!$C$6="*",F1769=Dashboard!$C$6),L1769&lt;&gt;""),ABS(I1769)+ROW()/1000000000,0)</f>
        <v/>
      </c>
    </row>
    <row r="1770">
      <c r="A1770">
        <f>Data_thang!A1770</f>
        <v/>
      </c>
      <c r="B1770">
        <f>Data_thang!B1770</f>
        <v/>
      </c>
      <c r="C1770">
        <f>Data_thang!D1770</f>
        <v/>
      </c>
      <c r="D1770">
        <f>Data_thang!E1770</f>
        <v/>
      </c>
      <c r="E1770">
        <f>Data_thang!F1770</f>
        <v/>
      </c>
      <c r="F1770">
        <f>Data_thang!G1770</f>
        <v/>
      </c>
      <c r="G1770" s="29">
        <f>Data_thang!J1770-Data_thang!K1770</f>
        <v/>
      </c>
      <c r="H1770" s="29">
        <f>Data_thang!N1770</f>
        <v/>
      </c>
      <c r="I1770" s="29">
        <f>H1770-G1770</f>
        <v/>
      </c>
      <c r="J1770" s="30">
        <f>IF(H1770=0,IF(I1770=0,0,1),I1770/ABS(H1770))</f>
        <v/>
      </c>
      <c r="K1770" s="29">
        <f>H1770-(Data_thang!O1770-Data_thang!K1770)</f>
        <v/>
      </c>
      <c r="L1770">
        <f>IF(AND(ABS(I1770)&gt;Dashboard!$G$6,ABS(J1770)&gt;Dashboard!$H$6),"⚠ Vượt","")</f>
        <v/>
      </c>
      <c r="M1770">
        <f>IF(AND(A1770=Dashboard!$D$6,OR(Dashboard!$C$6="*",F1770=Dashboard!$C$6),L1770&lt;&gt;""),ABS(I1770)+ROW()/1000000000,0)</f>
        <v/>
      </c>
    </row>
    <row r="1771">
      <c r="A1771">
        <f>Data_thang!A1771</f>
        <v/>
      </c>
      <c r="B1771">
        <f>Data_thang!B1771</f>
        <v/>
      </c>
      <c r="C1771">
        <f>Data_thang!D1771</f>
        <v/>
      </c>
      <c r="D1771">
        <f>Data_thang!E1771</f>
        <v/>
      </c>
      <c r="E1771">
        <f>Data_thang!F1771</f>
        <v/>
      </c>
      <c r="F1771">
        <f>Data_thang!G1771</f>
        <v/>
      </c>
      <c r="G1771" s="29">
        <f>Data_thang!J1771-Data_thang!K1771</f>
        <v/>
      </c>
      <c r="H1771" s="29">
        <f>Data_thang!N1771</f>
        <v/>
      </c>
      <c r="I1771" s="29">
        <f>H1771-G1771</f>
        <v/>
      </c>
      <c r="J1771" s="30">
        <f>IF(H1771=0,IF(I1771=0,0,1),I1771/ABS(H1771))</f>
        <v/>
      </c>
      <c r="K1771" s="29">
        <f>H1771-(Data_thang!O1771-Data_thang!K1771)</f>
        <v/>
      </c>
      <c r="L1771">
        <f>IF(AND(ABS(I1771)&gt;Dashboard!$G$6,ABS(J1771)&gt;Dashboard!$H$6),"⚠ Vượt","")</f>
        <v/>
      </c>
      <c r="M1771">
        <f>IF(AND(A1771=Dashboard!$D$6,OR(Dashboard!$C$6="*",F1771=Dashboard!$C$6),L1771&lt;&gt;""),ABS(I1771)+ROW()/1000000000,0)</f>
        <v/>
      </c>
    </row>
    <row r="1772">
      <c r="A1772">
        <f>Data_thang!A1772</f>
        <v/>
      </c>
      <c r="B1772">
        <f>Data_thang!B1772</f>
        <v/>
      </c>
      <c r="C1772">
        <f>Data_thang!D1772</f>
        <v/>
      </c>
      <c r="D1772">
        <f>Data_thang!E1772</f>
        <v/>
      </c>
      <c r="E1772">
        <f>Data_thang!F1772</f>
        <v/>
      </c>
      <c r="F1772">
        <f>Data_thang!G1772</f>
        <v/>
      </c>
      <c r="G1772" s="29">
        <f>Data_thang!J1772-Data_thang!K1772</f>
        <v/>
      </c>
      <c r="H1772" s="29">
        <f>Data_thang!N1772</f>
        <v/>
      </c>
      <c r="I1772" s="29">
        <f>H1772-G1772</f>
        <v/>
      </c>
      <c r="J1772" s="30">
        <f>IF(H1772=0,IF(I1772=0,0,1),I1772/ABS(H1772))</f>
        <v/>
      </c>
      <c r="K1772" s="29">
        <f>H1772-(Data_thang!O1772-Data_thang!K1772)</f>
        <v/>
      </c>
      <c r="L1772">
        <f>IF(AND(ABS(I1772)&gt;Dashboard!$G$6,ABS(J1772)&gt;Dashboard!$H$6),"⚠ Vượt","")</f>
        <v/>
      </c>
      <c r="M1772">
        <f>IF(AND(A1772=Dashboard!$D$6,OR(Dashboard!$C$6="*",F1772=Dashboard!$C$6),L1772&lt;&gt;""),ABS(I1772)+ROW()/1000000000,0)</f>
        <v/>
      </c>
    </row>
    <row r="1773">
      <c r="A1773">
        <f>Data_thang!A1773</f>
        <v/>
      </c>
      <c r="B1773">
        <f>Data_thang!B1773</f>
        <v/>
      </c>
      <c r="C1773">
        <f>Data_thang!D1773</f>
        <v/>
      </c>
      <c r="D1773">
        <f>Data_thang!E1773</f>
        <v/>
      </c>
      <c r="E1773">
        <f>Data_thang!F1773</f>
        <v/>
      </c>
      <c r="F1773">
        <f>Data_thang!G1773</f>
        <v/>
      </c>
      <c r="G1773" s="29">
        <f>Data_thang!J1773-Data_thang!K1773</f>
        <v/>
      </c>
      <c r="H1773" s="29">
        <f>Data_thang!N1773</f>
        <v/>
      </c>
      <c r="I1773" s="29">
        <f>H1773-G1773</f>
        <v/>
      </c>
      <c r="J1773" s="30">
        <f>IF(H1773=0,IF(I1773=0,0,1),I1773/ABS(H1773))</f>
        <v/>
      </c>
      <c r="K1773" s="29">
        <f>H1773-(Data_thang!O1773-Data_thang!K1773)</f>
        <v/>
      </c>
      <c r="L1773">
        <f>IF(AND(ABS(I1773)&gt;Dashboard!$G$6,ABS(J1773)&gt;Dashboard!$H$6),"⚠ Vượt","")</f>
        <v/>
      </c>
      <c r="M1773">
        <f>IF(AND(A1773=Dashboard!$D$6,OR(Dashboard!$C$6="*",F1773=Dashboard!$C$6),L1773&lt;&gt;""),ABS(I1773)+ROW()/1000000000,0)</f>
        <v/>
      </c>
    </row>
    <row r="1774">
      <c r="A1774">
        <f>Data_thang!A1774</f>
        <v/>
      </c>
      <c r="B1774">
        <f>Data_thang!B1774</f>
        <v/>
      </c>
      <c r="C1774">
        <f>Data_thang!D1774</f>
        <v/>
      </c>
      <c r="D1774">
        <f>Data_thang!E1774</f>
        <v/>
      </c>
      <c r="E1774">
        <f>Data_thang!F1774</f>
        <v/>
      </c>
      <c r="F1774">
        <f>Data_thang!G1774</f>
        <v/>
      </c>
      <c r="G1774" s="29">
        <f>Data_thang!J1774-Data_thang!K1774</f>
        <v/>
      </c>
      <c r="H1774" s="29">
        <f>Data_thang!N1774</f>
        <v/>
      </c>
      <c r="I1774" s="29">
        <f>H1774-G1774</f>
        <v/>
      </c>
      <c r="J1774" s="30">
        <f>IF(H1774=0,IF(I1774=0,0,1),I1774/ABS(H1774))</f>
        <v/>
      </c>
      <c r="K1774" s="29">
        <f>H1774-(Data_thang!O1774-Data_thang!K1774)</f>
        <v/>
      </c>
      <c r="L1774">
        <f>IF(AND(ABS(I1774)&gt;Dashboard!$G$6,ABS(J1774)&gt;Dashboard!$H$6),"⚠ Vượt","")</f>
        <v/>
      </c>
      <c r="M1774">
        <f>IF(AND(A1774=Dashboard!$D$6,OR(Dashboard!$C$6="*",F1774=Dashboard!$C$6),L1774&lt;&gt;""),ABS(I1774)+ROW()/1000000000,0)</f>
        <v/>
      </c>
    </row>
    <row r="1775">
      <c r="A1775">
        <f>Data_thang!A1775</f>
        <v/>
      </c>
      <c r="B1775">
        <f>Data_thang!B1775</f>
        <v/>
      </c>
      <c r="C1775">
        <f>Data_thang!D1775</f>
        <v/>
      </c>
      <c r="D1775">
        <f>Data_thang!E1775</f>
        <v/>
      </c>
      <c r="E1775">
        <f>Data_thang!F1775</f>
        <v/>
      </c>
      <c r="F1775">
        <f>Data_thang!G1775</f>
        <v/>
      </c>
      <c r="G1775" s="29">
        <f>Data_thang!J1775-Data_thang!K1775</f>
        <v/>
      </c>
      <c r="H1775" s="29">
        <f>Data_thang!N1775</f>
        <v/>
      </c>
      <c r="I1775" s="29">
        <f>H1775-G1775</f>
        <v/>
      </c>
      <c r="J1775" s="30">
        <f>IF(H1775=0,IF(I1775=0,0,1),I1775/ABS(H1775))</f>
        <v/>
      </c>
      <c r="K1775" s="29">
        <f>H1775-(Data_thang!O1775-Data_thang!K1775)</f>
        <v/>
      </c>
      <c r="L1775">
        <f>IF(AND(ABS(I1775)&gt;Dashboard!$G$6,ABS(J1775)&gt;Dashboard!$H$6),"⚠ Vượt","")</f>
        <v/>
      </c>
      <c r="M1775">
        <f>IF(AND(A1775=Dashboard!$D$6,OR(Dashboard!$C$6="*",F1775=Dashboard!$C$6),L1775&lt;&gt;""),ABS(I1775)+ROW()/1000000000,0)</f>
        <v/>
      </c>
    </row>
    <row r="1776">
      <c r="A1776">
        <f>Data_thang!A1776</f>
        <v/>
      </c>
      <c r="B1776">
        <f>Data_thang!B1776</f>
        <v/>
      </c>
      <c r="C1776">
        <f>Data_thang!D1776</f>
        <v/>
      </c>
      <c r="D1776">
        <f>Data_thang!E1776</f>
        <v/>
      </c>
      <c r="E1776">
        <f>Data_thang!F1776</f>
        <v/>
      </c>
      <c r="F1776">
        <f>Data_thang!G1776</f>
        <v/>
      </c>
      <c r="G1776" s="29">
        <f>Data_thang!J1776-Data_thang!K1776</f>
        <v/>
      </c>
      <c r="H1776" s="29">
        <f>Data_thang!N1776</f>
        <v/>
      </c>
      <c r="I1776" s="29">
        <f>H1776-G1776</f>
        <v/>
      </c>
      <c r="J1776" s="30">
        <f>IF(H1776=0,IF(I1776=0,0,1),I1776/ABS(H1776))</f>
        <v/>
      </c>
      <c r="K1776" s="29">
        <f>H1776-(Data_thang!O1776-Data_thang!K1776)</f>
        <v/>
      </c>
      <c r="L1776">
        <f>IF(AND(ABS(I1776)&gt;Dashboard!$G$6,ABS(J1776)&gt;Dashboard!$H$6),"⚠ Vượt","")</f>
        <v/>
      </c>
      <c r="M1776">
        <f>IF(AND(A1776=Dashboard!$D$6,OR(Dashboard!$C$6="*",F1776=Dashboard!$C$6),L1776&lt;&gt;""),ABS(I1776)+ROW()/1000000000,0)</f>
        <v/>
      </c>
    </row>
    <row r="1777">
      <c r="A1777">
        <f>Data_thang!A1777</f>
        <v/>
      </c>
      <c r="B1777">
        <f>Data_thang!B1777</f>
        <v/>
      </c>
      <c r="C1777">
        <f>Data_thang!D1777</f>
        <v/>
      </c>
      <c r="D1777">
        <f>Data_thang!E1777</f>
        <v/>
      </c>
      <c r="E1777">
        <f>Data_thang!F1777</f>
        <v/>
      </c>
      <c r="F1777">
        <f>Data_thang!G1777</f>
        <v/>
      </c>
      <c r="G1777" s="29">
        <f>Data_thang!J1777-Data_thang!K1777</f>
        <v/>
      </c>
      <c r="H1777" s="29">
        <f>Data_thang!N1777</f>
        <v/>
      </c>
      <c r="I1777" s="29">
        <f>H1777-G1777</f>
        <v/>
      </c>
      <c r="J1777" s="30">
        <f>IF(H1777=0,IF(I1777=0,0,1),I1777/ABS(H1777))</f>
        <v/>
      </c>
      <c r="K1777" s="29">
        <f>H1777-(Data_thang!O1777-Data_thang!K1777)</f>
        <v/>
      </c>
      <c r="L1777">
        <f>IF(AND(ABS(I1777)&gt;Dashboard!$G$6,ABS(J1777)&gt;Dashboard!$H$6),"⚠ Vượt","")</f>
        <v/>
      </c>
      <c r="M1777">
        <f>IF(AND(A1777=Dashboard!$D$6,OR(Dashboard!$C$6="*",F1777=Dashboard!$C$6),L1777&lt;&gt;""),ABS(I1777)+ROW()/1000000000,0)</f>
        <v/>
      </c>
    </row>
    <row r="1778">
      <c r="A1778">
        <f>Data_thang!A1778</f>
        <v/>
      </c>
      <c r="B1778">
        <f>Data_thang!B1778</f>
        <v/>
      </c>
      <c r="C1778">
        <f>Data_thang!D1778</f>
        <v/>
      </c>
      <c r="D1778">
        <f>Data_thang!E1778</f>
        <v/>
      </c>
      <c r="E1778">
        <f>Data_thang!F1778</f>
        <v/>
      </c>
      <c r="F1778">
        <f>Data_thang!G1778</f>
        <v/>
      </c>
      <c r="G1778" s="29">
        <f>Data_thang!J1778-Data_thang!K1778</f>
        <v/>
      </c>
      <c r="H1778" s="29">
        <f>Data_thang!N1778</f>
        <v/>
      </c>
      <c r="I1778" s="29">
        <f>H1778-G1778</f>
        <v/>
      </c>
      <c r="J1778" s="30">
        <f>IF(H1778=0,IF(I1778=0,0,1),I1778/ABS(H1778))</f>
        <v/>
      </c>
      <c r="K1778" s="29">
        <f>H1778-(Data_thang!O1778-Data_thang!K1778)</f>
        <v/>
      </c>
      <c r="L1778">
        <f>IF(AND(ABS(I1778)&gt;Dashboard!$G$6,ABS(J1778)&gt;Dashboard!$H$6),"⚠ Vượt","")</f>
        <v/>
      </c>
      <c r="M1778">
        <f>IF(AND(A1778=Dashboard!$D$6,OR(Dashboard!$C$6="*",F1778=Dashboard!$C$6),L1778&lt;&gt;""),ABS(I1778)+ROW()/1000000000,0)</f>
        <v/>
      </c>
    </row>
    <row r="1779">
      <c r="A1779">
        <f>Data_thang!A1779</f>
        <v/>
      </c>
      <c r="B1779">
        <f>Data_thang!B1779</f>
        <v/>
      </c>
      <c r="C1779">
        <f>Data_thang!D1779</f>
        <v/>
      </c>
      <c r="D1779">
        <f>Data_thang!E1779</f>
        <v/>
      </c>
      <c r="E1779">
        <f>Data_thang!F1779</f>
        <v/>
      </c>
      <c r="F1779">
        <f>Data_thang!G1779</f>
        <v/>
      </c>
      <c r="G1779" s="29">
        <f>Data_thang!J1779-Data_thang!K1779</f>
        <v/>
      </c>
      <c r="H1779" s="29">
        <f>Data_thang!N1779</f>
        <v/>
      </c>
      <c r="I1779" s="29">
        <f>H1779-G1779</f>
        <v/>
      </c>
      <c r="J1779" s="30">
        <f>IF(H1779=0,IF(I1779=0,0,1),I1779/ABS(H1779))</f>
        <v/>
      </c>
      <c r="K1779" s="29">
        <f>H1779-(Data_thang!O1779-Data_thang!K1779)</f>
        <v/>
      </c>
      <c r="L1779">
        <f>IF(AND(ABS(I1779)&gt;Dashboard!$G$6,ABS(J1779)&gt;Dashboard!$H$6),"⚠ Vượt","")</f>
        <v/>
      </c>
      <c r="M1779">
        <f>IF(AND(A1779=Dashboard!$D$6,OR(Dashboard!$C$6="*",F1779=Dashboard!$C$6),L1779&lt;&gt;""),ABS(I1779)+ROW()/1000000000,0)</f>
        <v/>
      </c>
    </row>
    <row r="1780">
      <c r="A1780">
        <f>Data_thang!A1780</f>
        <v/>
      </c>
      <c r="B1780">
        <f>Data_thang!B1780</f>
        <v/>
      </c>
      <c r="C1780">
        <f>Data_thang!D1780</f>
        <v/>
      </c>
      <c r="D1780">
        <f>Data_thang!E1780</f>
        <v/>
      </c>
      <c r="E1780">
        <f>Data_thang!F1780</f>
        <v/>
      </c>
      <c r="F1780">
        <f>Data_thang!G1780</f>
        <v/>
      </c>
      <c r="G1780" s="29">
        <f>Data_thang!J1780-Data_thang!K1780</f>
        <v/>
      </c>
      <c r="H1780" s="29">
        <f>Data_thang!N1780</f>
        <v/>
      </c>
      <c r="I1780" s="29">
        <f>H1780-G1780</f>
        <v/>
      </c>
      <c r="J1780" s="30">
        <f>IF(H1780=0,IF(I1780=0,0,1),I1780/ABS(H1780))</f>
        <v/>
      </c>
      <c r="K1780" s="29">
        <f>H1780-(Data_thang!O1780-Data_thang!K1780)</f>
        <v/>
      </c>
      <c r="L1780">
        <f>IF(AND(ABS(I1780)&gt;Dashboard!$G$6,ABS(J1780)&gt;Dashboard!$H$6),"⚠ Vượt","")</f>
        <v/>
      </c>
      <c r="M1780">
        <f>IF(AND(A1780=Dashboard!$D$6,OR(Dashboard!$C$6="*",F1780=Dashboard!$C$6),L1780&lt;&gt;""),ABS(I1780)+ROW()/1000000000,0)</f>
        <v/>
      </c>
    </row>
    <row r="1781">
      <c r="A1781">
        <f>Data_thang!A1781</f>
        <v/>
      </c>
      <c r="B1781">
        <f>Data_thang!B1781</f>
        <v/>
      </c>
      <c r="C1781">
        <f>Data_thang!D1781</f>
        <v/>
      </c>
      <c r="D1781">
        <f>Data_thang!E1781</f>
        <v/>
      </c>
      <c r="E1781">
        <f>Data_thang!F1781</f>
        <v/>
      </c>
      <c r="F1781">
        <f>Data_thang!G1781</f>
        <v/>
      </c>
      <c r="G1781" s="29">
        <f>Data_thang!J1781-Data_thang!K1781</f>
        <v/>
      </c>
      <c r="H1781" s="29">
        <f>Data_thang!N1781</f>
        <v/>
      </c>
      <c r="I1781" s="29">
        <f>H1781-G1781</f>
        <v/>
      </c>
      <c r="J1781" s="30">
        <f>IF(H1781=0,IF(I1781=0,0,1),I1781/ABS(H1781))</f>
        <v/>
      </c>
      <c r="K1781" s="29">
        <f>H1781-(Data_thang!O1781-Data_thang!K1781)</f>
        <v/>
      </c>
      <c r="L1781">
        <f>IF(AND(ABS(I1781)&gt;Dashboard!$G$6,ABS(J1781)&gt;Dashboard!$H$6),"⚠ Vượt","")</f>
        <v/>
      </c>
      <c r="M1781">
        <f>IF(AND(A1781=Dashboard!$D$6,OR(Dashboard!$C$6="*",F1781=Dashboard!$C$6),L1781&lt;&gt;""),ABS(I1781)+ROW()/1000000000,0)</f>
        <v/>
      </c>
    </row>
    <row r="1782">
      <c r="A1782">
        <f>Data_thang!A1782</f>
        <v/>
      </c>
      <c r="B1782">
        <f>Data_thang!B1782</f>
        <v/>
      </c>
      <c r="C1782">
        <f>Data_thang!D1782</f>
        <v/>
      </c>
      <c r="D1782">
        <f>Data_thang!E1782</f>
        <v/>
      </c>
      <c r="E1782">
        <f>Data_thang!F1782</f>
        <v/>
      </c>
      <c r="F1782">
        <f>Data_thang!G1782</f>
        <v/>
      </c>
      <c r="G1782" s="29">
        <f>Data_thang!J1782-Data_thang!K1782</f>
        <v/>
      </c>
      <c r="H1782" s="29">
        <f>Data_thang!N1782</f>
        <v/>
      </c>
      <c r="I1782" s="29">
        <f>H1782-G1782</f>
        <v/>
      </c>
      <c r="J1782" s="30">
        <f>IF(H1782=0,IF(I1782=0,0,1),I1782/ABS(H1782))</f>
        <v/>
      </c>
      <c r="K1782" s="29">
        <f>H1782-(Data_thang!O1782-Data_thang!K1782)</f>
        <v/>
      </c>
      <c r="L1782">
        <f>IF(AND(ABS(I1782)&gt;Dashboard!$G$6,ABS(J1782)&gt;Dashboard!$H$6),"⚠ Vượt","")</f>
        <v/>
      </c>
      <c r="M1782">
        <f>IF(AND(A1782=Dashboard!$D$6,OR(Dashboard!$C$6="*",F1782=Dashboard!$C$6),L1782&lt;&gt;""),ABS(I1782)+ROW()/1000000000,0)</f>
        <v/>
      </c>
    </row>
    <row r="1783">
      <c r="A1783">
        <f>Data_thang!A1783</f>
        <v/>
      </c>
      <c r="B1783">
        <f>Data_thang!B1783</f>
        <v/>
      </c>
      <c r="C1783">
        <f>Data_thang!D1783</f>
        <v/>
      </c>
      <c r="D1783">
        <f>Data_thang!E1783</f>
        <v/>
      </c>
      <c r="E1783">
        <f>Data_thang!F1783</f>
        <v/>
      </c>
      <c r="F1783">
        <f>Data_thang!G1783</f>
        <v/>
      </c>
      <c r="G1783" s="29">
        <f>Data_thang!J1783-Data_thang!K1783</f>
        <v/>
      </c>
      <c r="H1783" s="29">
        <f>Data_thang!N1783</f>
        <v/>
      </c>
      <c r="I1783" s="29">
        <f>H1783-G1783</f>
        <v/>
      </c>
      <c r="J1783" s="30">
        <f>IF(H1783=0,IF(I1783=0,0,1),I1783/ABS(H1783))</f>
        <v/>
      </c>
      <c r="K1783" s="29">
        <f>H1783-(Data_thang!O1783-Data_thang!K1783)</f>
        <v/>
      </c>
      <c r="L1783">
        <f>IF(AND(ABS(I1783)&gt;Dashboard!$G$6,ABS(J1783)&gt;Dashboard!$H$6),"⚠ Vượt","")</f>
        <v/>
      </c>
      <c r="M1783">
        <f>IF(AND(A1783=Dashboard!$D$6,OR(Dashboard!$C$6="*",F1783=Dashboard!$C$6),L1783&lt;&gt;""),ABS(I1783)+ROW()/1000000000,0)</f>
        <v/>
      </c>
    </row>
    <row r="1784">
      <c r="A1784">
        <f>Data_thang!A1784</f>
        <v/>
      </c>
      <c r="B1784">
        <f>Data_thang!B1784</f>
        <v/>
      </c>
      <c r="C1784">
        <f>Data_thang!D1784</f>
        <v/>
      </c>
      <c r="D1784">
        <f>Data_thang!E1784</f>
        <v/>
      </c>
      <c r="E1784">
        <f>Data_thang!F1784</f>
        <v/>
      </c>
      <c r="F1784">
        <f>Data_thang!G1784</f>
        <v/>
      </c>
      <c r="G1784" s="29">
        <f>Data_thang!J1784-Data_thang!K1784</f>
        <v/>
      </c>
      <c r="H1784" s="29">
        <f>Data_thang!N1784</f>
        <v/>
      </c>
      <c r="I1784" s="29">
        <f>H1784-G1784</f>
        <v/>
      </c>
      <c r="J1784" s="30">
        <f>IF(H1784=0,IF(I1784=0,0,1),I1784/ABS(H1784))</f>
        <v/>
      </c>
      <c r="K1784" s="29">
        <f>H1784-(Data_thang!O1784-Data_thang!K1784)</f>
        <v/>
      </c>
      <c r="L1784">
        <f>IF(AND(ABS(I1784)&gt;Dashboard!$G$6,ABS(J1784)&gt;Dashboard!$H$6),"⚠ Vượt","")</f>
        <v/>
      </c>
      <c r="M1784">
        <f>IF(AND(A1784=Dashboard!$D$6,OR(Dashboard!$C$6="*",F1784=Dashboard!$C$6),L1784&lt;&gt;""),ABS(I1784)+ROW()/1000000000,0)</f>
        <v/>
      </c>
    </row>
    <row r="1785">
      <c r="A1785">
        <f>Data_thang!A1785</f>
        <v/>
      </c>
      <c r="B1785">
        <f>Data_thang!B1785</f>
        <v/>
      </c>
      <c r="C1785">
        <f>Data_thang!D1785</f>
        <v/>
      </c>
      <c r="D1785">
        <f>Data_thang!E1785</f>
        <v/>
      </c>
      <c r="E1785">
        <f>Data_thang!F1785</f>
        <v/>
      </c>
      <c r="F1785">
        <f>Data_thang!G1785</f>
        <v/>
      </c>
      <c r="G1785" s="29">
        <f>Data_thang!J1785-Data_thang!K1785</f>
        <v/>
      </c>
      <c r="H1785" s="29">
        <f>Data_thang!N1785</f>
        <v/>
      </c>
      <c r="I1785" s="29">
        <f>H1785-G1785</f>
        <v/>
      </c>
      <c r="J1785" s="30">
        <f>IF(H1785=0,IF(I1785=0,0,1),I1785/ABS(H1785))</f>
        <v/>
      </c>
      <c r="K1785" s="29">
        <f>H1785-(Data_thang!O1785-Data_thang!K1785)</f>
        <v/>
      </c>
      <c r="L1785">
        <f>IF(AND(ABS(I1785)&gt;Dashboard!$G$6,ABS(J1785)&gt;Dashboard!$H$6),"⚠ Vượt","")</f>
        <v/>
      </c>
      <c r="M1785">
        <f>IF(AND(A1785=Dashboard!$D$6,OR(Dashboard!$C$6="*",F1785=Dashboard!$C$6),L1785&lt;&gt;""),ABS(I1785)+ROW()/1000000000,0)</f>
        <v/>
      </c>
    </row>
    <row r="1786">
      <c r="A1786">
        <f>Data_thang!A1786</f>
        <v/>
      </c>
      <c r="B1786">
        <f>Data_thang!B1786</f>
        <v/>
      </c>
      <c r="C1786">
        <f>Data_thang!D1786</f>
        <v/>
      </c>
      <c r="D1786">
        <f>Data_thang!E1786</f>
        <v/>
      </c>
      <c r="E1786">
        <f>Data_thang!F1786</f>
        <v/>
      </c>
      <c r="F1786">
        <f>Data_thang!G1786</f>
        <v/>
      </c>
      <c r="G1786" s="29">
        <f>Data_thang!J1786-Data_thang!K1786</f>
        <v/>
      </c>
      <c r="H1786" s="29">
        <f>Data_thang!N1786</f>
        <v/>
      </c>
      <c r="I1786" s="29">
        <f>H1786-G1786</f>
        <v/>
      </c>
      <c r="J1786" s="30">
        <f>IF(H1786=0,IF(I1786=0,0,1),I1786/ABS(H1786))</f>
        <v/>
      </c>
      <c r="K1786" s="29">
        <f>H1786-(Data_thang!O1786-Data_thang!K1786)</f>
        <v/>
      </c>
      <c r="L1786">
        <f>IF(AND(ABS(I1786)&gt;Dashboard!$G$6,ABS(J1786)&gt;Dashboard!$H$6),"⚠ Vượt","")</f>
        <v/>
      </c>
      <c r="M1786">
        <f>IF(AND(A1786=Dashboard!$D$6,OR(Dashboard!$C$6="*",F1786=Dashboard!$C$6),L1786&lt;&gt;""),ABS(I1786)+ROW()/1000000000,0)</f>
        <v/>
      </c>
    </row>
    <row r="1787">
      <c r="A1787">
        <f>Data_thang!A1787</f>
        <v/>
      </c>
      <c r="B1787">
        <f>Data_thang!B1787</f>
        <v/>
      </c>
      <c r="C1787">
        <f>Data_thang!D1787</f>
        <v/>
      </c>
      <c r="D1787">
        <f>Data_thang!E1787</f>
        <v/>
      </c>
      <c r="E1787">
        <f>Data_thang!F1787</f>
        <v/>
      </c>
      <c r="F1787">
        <f>Data_thang!G1787</f>
        <v/>
      </c>
      <c r="G1787" s="29">
        <f>Data_thang!J1787-Data_thang!K1787</f>
        <v/>
      </c>
      <c r="H1787" s="29">
        <f>Data_thang!N1787</f>
        <v/>
      </c>
      <c r="I1787" s="29">
        <f>H1787-G1787</f>
        <v/>
      </c>
      <c r="J1787" s="30">
        <f>IF(H1787=0,IF(I1787=0,0,1),I1787/ABS(H1787))</f>
        <v/>
      </c>
      <c r="K1787" s="29">
        <f>H1787-(Data_thang!O1787-Data_thang!K1787)</f>
        <v/>
      </c>
      <c r="L1787">
        <f>IF(AND(ABS(I1787)&gt;Dashboard!$G$6,ABS(J1787)&gt;Dashboard!$H$6),"⚠ Vượt","")</f>
        <v/>
      </c>
      <c r="M1787">
        <f>IF(AND(A1787=Dashboard!$D$6,OR(Dashboard!$C$6="*",F1787=Dashboard!$C$6),L1787&lt;&gt;""),ABS(I1787)+ROW()/1000000000,0)</f>
        <v/>
      </c>
    </row>
    <row r="1788">
      <c r="A1788">
        <f>Data_thang!A1788</f>
        <v/>
      </c>
      <c r="B1788">
        <f>Data_thang!B1788</f>
        <v/>
      </c>
      <c r="C1788">
        <f>Data_thang!D1788</f>
        <v/>
      </c>
      <c r="D1788">
        <f>Data_thang!E1788</f>
        <v/>
      </c>
      <c r="E1788">
        <f>Data_thang!F1788</f>
        <v/>
      </c>
      <c r="F1788">
        <f>Data_thang!G1788</f>
        <v/>
      </c>
      <c r="G1788" s="29">
        <f>Data_thang!J1788-Data_thang!K1788</f>
        <v/>
      </c>
      <c r="H1788" s="29">
        <f>Data_thang!N1788</f>
        <v/>
      </c>
      <c r="I1788" s="29">
        <f>H1788-G1788</f>
        <v/>
      </c>
      <c r="J1788" s="30">
        <f>IF(H1788=0,IF(I1788=0,0,1),I1788/ABS(H1788))</f>
        <v/>
      </c>
      <c r="K1788" s="29">
        <f>H1788-(Data_thang!O1788-Data_thang!K1788)</f>
        <v/>
      </c>
      <c r="L1788">
        <f>IF(AND(ABS(I1788)&gt;Dashboard!$G$6,ABS(J1788)&gt;Dashboard!$H$6),"⚠ Vượt","")</f>
        <v/>
      </c>
      <c r="M1788">
        <f>IF(AND(A1788=Dashboard!$D$6,OR(Dashboard!$C$6="*",F1788=Dashboard!$C$6),L1788&lt;&gt;""),ABS(I1788)+ROW()/1000000000,0)</f>
        <v/>
      </c>
    </row>
    <row r="1789">
      <c r="A1789">
        <f>Data_thang!A1789</f>
        <v/>
      </c>
      <c r="B1789">
        <f>Data_thang!B1789</f>
        <v/>
      </c>
      <c r="C1789">
        <f>Data_thang!D1789</f>
        <v/>
      </c>
      <c r="D1789">
        <f>Data_thang!E1789</f>
        <v/>
      </c>
      <c r="E1789">
        <f>Data_thang!F1789</f>
        <v/>
      </c>
      <c r="F1789">
        <f>Data_thang!G1789</f>
        <v/>
      </c>
      <c r="G1789" s="29">
        <f>Data_thang!J1789-Data_thang!K1789</f>
        <v/>
      </c>
      <c r="H1789" s="29">
        <f>Data_thang!N1789</f>
        <v/>
      </c>
      <c r="I1789" s="29">
        <f>H1789-G1789</f>
        <v/>
      </c>
      <c r="J1789" s="30">
        <f>IF(H1789=0,IF(I1789=0,0,1),I1789/ABS(H1789))</f>
        <v/>
      </c>
      <c r="K1789" s="29">
        <f>H1789-(Data_thang!O1789-Data_thang!K1789)</f>
        <v/>
      </c>
      <c r="L1789">
        <f>IF(AND(ABS(I1789)&gt;Dashboard!$G$6,ABS(J1789)&gt;Dashboard!$H$6),"⚠ Vượt","")</f>
        <v/>
      </c>
      <c r="M1789">
        <f>IF(AND(A1789=Dashboard!$D$6,OR(Dashboard!$C$6="*",F1789=Dashboard!$C$6),L1789&lt;&gt;""),ABS(I1789)+ROW()/1000000000,0)</f>
        <v/>
      </c>
    </row>
    <row r="1790">
      <c r="A1790">
        <f>Data_thang!A1790</f>
        <v/>
      </c>
      <c r="B1790">
        <f>Data_thang!B1790</f>
        <v/>
      </c>
      <c r="C1790">
        <f>Data_thang!D1790</f>
        <v/>
      </c>
      <c r="D1790">
        <f>Data_thang!E1790</f>
        <v/>
      </c>
      <c r="E1790">
        <f>Data_thang!F1790</f>
        <v/>
      </c>
      <c r="F1790">
        <f>Data_thang!G1790</f>
        <v/>
      </c>
      <c r="G1790" s="29">
        <f>Data_thang!J1790-Data_thang!K1790</f>
        <v/>
      </c>
      <c r="H1790" s="29">
        <f>Data_thang!N1790</f>
        <v/>
      </c>
      <c r="I1790" s="29">
        <f>H1790-G1790</f>
        <v/>
      </c>
      <c r="J1790" s="30">
        <f>IF(H1790=0,IF(I1790=0,0,1),I1790/ABS(H1790))</f>
        <v/>
      </c>
      <c r="K1790" s="29">
        <f>H1790-(Data_thang!O1790-Data_thang!K1790)</f>
        <v/>
      </c>
      <c r="L1790">
        <f>IF(AND(ABS(I1790)&gt;Dashboard!$G$6,ABS(J1790)&gt;Dashboard!$H$6),"⚠ Vượt","")</f>
        <v/>
      </c>
      <c r="M1790">
        <f>IF(AND(A1790=Dashboard!$D$6,OR(Dashboard!$C$6="*",F1790=Dashboard!$C$6),L1790&lt;&gt;""),ABS(I1790)+ROW()/1000000000,0)</f>
        <v/>
      </c>
    </row>
    <row r="1791">
      <c r="A1791">
        <f>Data_thang!A1791</f>
        <v/>
      </c>
      <c r="B1791">
        <f>Data_thang!B1791</f>
        <v/>
      </c>
      <c r="C1791">
        <f>Data_thang!D1791</f>
        <v/>
      </c>
      <c r="D1791">
        <f>Data_thang!E1791</f>
        <v/>
      </c>
      <c r="E1791">
        <f>Data_thang!F1791</f>
        <v/>
      </c>
      <c r="F1791">
        <f>Data_thang!G1791</f>
        <v/>
      </c>
      <c r="G1791" s="29">
        <f>Data_thang!J1791-Data_thang!K1791</f>
        <v/>
      </c>
      <c r="H1791" s="29">
        <f>Data_thang!N1791</f>
        <v/>
      </c>
      <c r="I1791" s="29">
        <f>H1791-G1791</f>
        <v/>
      </c>
      <c r="J1791" s="30">
        <f>IF(H1791=0,IF(I1791=0,0,1),I1791/ABS(H1791))</f>
        <v/>
      </c>
      <c r="K1791" s="29">
        <f>H1791-(Data_thang!O1791-Data_thang!K1791)</f>
        <v/>
      </c>
      <c r="L1791">
        <f>IF(AND(ABS(I1791)&gt;Dashboard!$G$6,ABS(J1791)&gt;Dashboard!$H$6),"⚠ Vượt","")</f>
        <v/>
      </c>
      <c r="M1791">
        <f>IF(AND(A1791=Dashboard!$D$6,OR(Dashboard!$C$6="*",F1791=Dashboard!$C$6),L1791&lt;&gt;""),ABS(I1791)+ROW()/1000000000,0)</f>
        <v/>
      </c>
    </row>
    <row r="1792">
      <c r="A1792">
        <f>Data_thang!A1792</f>
        <v/>
      </c>
      <c r="B1792">
        <f>Data_thang!B1792</f>
        <v/>
      </c>
      <c r="C1792">
        <f>Data_thang!D1792</f>
        <v/>
      </c>
      <c r="D1792">
        <f>Data_thang!E1792</f>
        <v/>
      </c>
      <c r="E1792">
        <f>Data_thang!F1792</f>
        <v/>
      </c>
      <c r="F1792">
        <f>Data_thang!G1792</f>
        <v/>
      </c>
      <c r="G1792" s="29">
        <f>Data_thang!J1792-Data_thang!K1792</f>
        <v/>
      </c>
      <c r="H1792" s="29">
        <f>Data_thang!N1792</f>
        <v/>
      </c>
      <c r="I1792" s="29">
        <f>H1792-G1792</f>
        <v/>
      </c>
      <c r="J1792" s="30">
        <f>IF(H1792=0,IF(I1792=0,0,1),I1792/ABS(H1792))</f>
        <v/>
      </c>
      <c r="K1792" s="29">
        <f>H1792-(Data_thang!O1792-Data_thang!K1792)</f>
        <v/>
      </c>
      <c r="L1792">
        <f>IF(AND(ABS(I1792)&gt;Dashboard!$G$6,ABS(J1792)&gt;Dashboard!$H$6),"⚠ Vượt","")</f>
        <v/>
      </c>
      <c r="M1792">
        <f>IF(AND(A1792=Dashboard!$D$6,OR(Dashboard!$C$6="*",F1792=Dashboard!$C$6),L1792&lt;&gt;""),ABS(I1792)+ROW()/1000000000,0)</f>
        <v/>
      </c>
    </row>
    <row r="1793">
      <c r="A1793">
        <f>Data_thang!A1793</f>
        <v/>
      </c>
      <c r="B1793">
        <f>Data_thang!B1793</f>
        <v/>
      </c>
      <c r="C1793">
        <f>Data_thang!D1793</f>
        <v/>
      </c>
      <c r="D1793">
        <f>Data_thang!E1793</f>
        <v/>
      </c>
      <c r="E1793">
        <f>Data_thang!F1793</f>
        <v/>
      </c>
      <c r="F1793">
        <f>Data_thang!G1793</f>
        <v/>
      </c>
      <c r="G1793" s="29">
        <f>Data_thang!J1793-Data_thang!K1793</f>
        <v/>
      </c>
      <c r="H1793" s="29">
        <f>Data_thang!N1793</f>
        <v/>
      </c>
      <c r="I1793" s="29">
        <f>H1793-G1793</f>
        <v/>
      </c>
      <c r="J1793" s="30">
        <f>IF(H1793=0,IF(I1793=0,0,1),I1793/ABS(H1793))</f>
        <v/>
      </c>
      <c r="K1793" s="29">
        <f>H1793-(Data_thang!O1793-Data_thang!K1793)</f>
        <v/>
      </c>
      <c r="L1793">
        <f>IF(AND(ABS(I1793)&gt;Dashboard!$G$6,ABS(J1793)&gt;Dashboard!$H$6),"⚠ Vượt","")</f>
        <v/>
      </c>
      <c r="M1793">
        <f>IF(AND(A1793=Dashboard!$D$6,OR(Dashboard!$C$6="*",F1793=Dashboard!$C$6),L1793&lt;&gt;""),ABS(I1793)+ROW()/1000000000,0)</f>
        <v/>
      </c>
    </row>
    <row r="1794">
      <c r="A1794">
        <f>Data_thang!A1794</f>
        <v/>
      </c>
      <c r="B1794">
        <f>Data_thang!B1794</f>
        <v/>
      </c>
      <c r="C1794">
        <f>Data_thang!D1794</f>
        <v/>
      </c>
      <c r="D1794">
        <f>Data_thang!E1794</f>
        <v/>
      </c>
      <c r="E1794">
        <f>Data_thang!F1794</f>
        <v/>
      </c>
      <c r="F1794">
        <f>Data_thang!G1794</f>
        <v/>
      </c>
      <c r="G1794" s="29">
        <f>Data_thang!J1794-Data_thang!K1794</f>
        <v/>
      </c>
      <c r="H1794" s="29">
        <f>Data_thang!N1794</f>
        <v/>
      </c>
      <c r="I1794" s="29">
        <f>H1794-G1794</f>
        <v/>
      </c>
      <c r="J1794" s="30">
        <f>IF(H1794=0,IF(I1794=0,0,1),I1794/ABS(H1794))</f>
        <v/>
      </c>
      <c r="K1794" s="29">
        <f>H1794-(Data_thang!O1794-Data_thang!K1794)</f>
        <v/>
      </c>
      <c r="L1794">
        <f>IF(AND(ABS(I1794)&gt;Dashboard!$G$6,ABS(J1794)&gt;Dashboard!$H$6),"⚠ Vượt","")</f>
        <v/>
      </c>
      <c r="M1794">
        <f>IF(AND(A1794=Dashboard!$D$6,OR(Dashboard!$C$6="*",F1794=Dashboard!$C$6),L1794&lt;&gt;""),ABS(I1794)+ROW()/1000000000,0)</f>
        <v/>
      </c>
    </row>
    <row r="1795">
      <c r="A1795">
        <f>Data_thang!A1795</f>
        <v/>
      </c>
      <c r="B1795">
        <f>Data_thang!B1795</f>
        <v/>
      </c>
      <c r="C1795">
        <f>Data_thang!D1795</f>
        <v/>
      </c>
      <c r="D1795">
        <f>Data_thang!E1795</f>
        <v/>
      </c>
      <c r="E1795">
        <f>Data_thang!F1795</f>
        <v/>
      </c>
      <c r="F1795">
        <f>Data_thang!G1795</f>
        <v/>
      </c>
      <c r="G1795" s="29">
        <f>Data_thang!J1795-Data_thang!K1795</f>
        <v/>
      </c>
      <c r="H1795" s="29">
        <f>Data_thang!N1795</f>
        <v/>
      </c>
      <c r="I1795" s="29">
        <f>H1795-G1795</f>
        <v/>
      </c>
      <c r="J1795" s="30">
        <f>IF(H1795=0,IF(I1795=0,0,1),I1795/ABS(H1795))</f>
        <v/>
      </c>
      <c r="K1795" s="29">
        <f>H1795-(Data_thang!O1795-Data_thang!K1795)</f>
        <v/>
      </c>
      <c r="L1795">
        <f>IF(AND(ABS(I1795)&gt;Dashboard!$G$6,ABS(J1795)&gt;Dashboard!$H$6),"⚠ Vượt","")</f>
        <v/>
      </c>
      <c r="M1795">
        <f>IF(AND(A1795=Dashboard!$D$6,OR(Dashboard!$C$6="*",F1795=Dashboard!$C$6),L1795&lt;&gt;""),ABS(I1795)+ROW()/1000000000,0)</f>
        <v/>
      </c>
    </row>
    <row r="1796">
      <c r="A1796">
        <f>Data_thang!A1796</f>
        <v/>
      </c>
      <c r="B1796">
        <f>Data_thang!B1796</f>
        <v/>
      </c>
      <c r="C1796">
        <f>Data_thang!D1796</f>
        <v/>
      </c>
      <c r="D1796">
        <f>Data_thang!E1796</f>
        <v/>
      </c>
      <c r="E1796">
        <f>Data_thang!F1796</f>
        <v/>
      </c>
      <c r="F1796">
        <f>Data_thang!G1796</f>
        <v/>
      </c>
      <c r="G1796" s="29">
        <f>Data_thang!J1796-Data_thang!K1796</f>
        <v/>
      </c>
      <c r="H1796" s="29">
        <f>Data_thang!N1796</f>
        <v/>
      </c>
      <c r="I1796" s="29">
        <f>H1796-G1796</f>
        <v/>
      </c>
      <c r="J1796" s="30">
        <f>IF(H1796=0,IF(I1796=0,0,1),I1796/ABS(H1796))</f>
        <v/>
      </c>
      <c r="K1796" s="29">
        <f>H1796-(Data_thang!O1796-Data_thang!K1796)</f>
        <v/>
      </c>
      <c r="L1796">
        <f>IF(AND(ABS(I1796)&gt;Dashboard!$G$6,ABS(J1796)&gt;Dashboard!$H$6),"⚠ Vượt","")</f>
        <v/>
      </c>
      <c r="M1796">
        <f>IF(AND(A1796=Dashboard!$D$6,OR(Dashboard!$C$6="*",F1796=Dashboard!$C$6),L1796&lt;&gt;""),ABS(I1796)+ROW()/1000000000,0)</f>
        <v/>
      </c>
    </row>
    <row r="1797">
      <c r="A1797">
        <f>Data_thang!A1797</f>
        <v/>
      </c>
      <c r="B1797">
        <f>Data_thang!B1797</f>
        <v/>
      </c>
      <c r="C1797">
        <f>Data_thang!D1797</f>
        <v/>
      </c>
      <c r="D1797">
        <f>Data_thang!E1797</f>
        <v/>
      </c>
      <c r="E1797">
        <f>Data_thang!F1797</f>
        <v/>
      </c>
      <c r="F1797">
        <f>Data_thang!G1797</f>
        <v/>
      </c>
      <c r="G1797" s="29">
        <f>Data_thang!J1797-Data_thang!K1797</f>
        <v/>
      </c>
      <c r="H1797" s="29">
        <f>Data_thang!N1797</f>
        <v/>
      </c>
      <c r="I1797" s="29">
        <f>H1797-G1797</f>
        <v/>
      </c>
      <c r="J1797" s="30">
        <f>IF(H1797=0,IF(I1797=0,0,1),I1797/ABS(H1797))</f>
        <v/>
      </c>
      <c r="K1797" s="29">
        <f>H1797-(Data_thang!O1797-Data_thang!K1797)</f>
        <v/>
      </c>
      <c r="L1797">
        <f>IF(AND(ABS(I1797)&gt;Dashboard!$G$6,ABS(J1797)&gt;Dashboard!$H$6),"⚠ Vượt","")</f>
        <v/>
      </c>
      <c r="M1797">
        <f>IF(AND(A1797=Dashboard!$D$6,OR(Dashboard!$C$6="*",F1797=Dashboard!$C$6),L1797&lt;&gt;""),ABS(I1797)+ROW()/1000000000,0)</f>
        <v/>
      </c>
    </row>
    <row r="1798">
      <c r="A1798">
        <f>Data_thang!A1798</f>
        <v/>
      </c>
      <c r="B1798">
        <f>Data_thang!B1798</f>
        <v/>
      </c>
      <c r="C1798">
        <f>Data_thang!D1798</f>
        <v/>
      </c>
      <c r="D1798">
        <f>Data_thang!E1798</f>
        <v/>
      </c>
      <c r="E1798">
        <f>Data_thang!F1798</f>
        <v/>
      </c>
      <c r="F1798">
        <f>Data_thang!G1798</f>
        <v/>
      </c>
      <c r="G1798" s="29">
        <f>Data_thang!J1798-Data_thang!K1798</f>
        <v/>
      </c>
      <c r="H1798" s="29">
        <f>Data_thang!N1798</f>
        <v/>
      </c>
      <c r="I1798" s="29">
        <f>H1798-G1798</f>
        <v/>
      </c>
      <c r="J1798" s="30">
        <f>IF(H1798=0,IF(I1798=0,0,1),I1798/ABS(H1798))</f>
        <v/>
      </c>
      <c r="K1798" s="29">
        <f>H1798-(Data_thang!O1798-Data_thang!K1798)</f>
        <v/>
      </c>
      <c r="L1798">
        <f>IF(AND(ABS(I1798)&gt;Dashboard!$G$6,ABS(J1798)&gt;Dashboard!$H$6),"⚠ Vượt","")</f>
        <v/>
      </c>
      <c r="M1798">
        <f>IF(AND(A1798=Dashboard!$D$6,OR(Dashboard!$C$6="*",F1798=Dashboard!$C$6),L1798&lt;&gt;""),ABS(I1798)+ROW()/1000000000,0)</f>
        <v/>
      </c>
    </row>
    <row r="1799">
      <c r="A1799">
        <f>Data_thang!A1799</f>
        <v/>
      </c>
      <c r="B1799">
        <f>Data_thang!B1799</f>
        <v/>
      </c>
      <c r="C1799">
        <f>Data_thang!D1799</f>
        <v/>
      </c>
      <c r="D1799">
        <f>Data_thang!E1799</f>
        <v/>
      </c>
      <c r="E1799">
        <f>Data_thang!F1799</f>
        <v/>
      </c>
      <c r="F1799">
        <f>Data_thang!G1799</f>
        <v/>
      </c>
      <c r="G1799" s="29">
        <f>Data_thang!J1799-Data_thang!K1799</f>
        <v/>
      </c>
      <c r="H1799" s="29">
        <f>Data_thang!N1799</f>
        <v/>
      </c>
      <c r="I1799" s="29">
        <f>H1799-G1799</f>
        <v/>
      </c>
      <c r="J1799" s="30">
        <f>IF(H1799=0,IF(I1799=0,0,1),I1799/ABS(H1799))</f>
        <v/>
      </c>
      <c r="K1799" s="29">
        <f>H1799-(Data_thang!O1799-Data_thang!K1799)</f>
        <v/>
      </c>
      <c r="L1799">
        <f>IF(AND(ABS(I1799)&gt;Dashboard!$G$6,ABS(J1799)&gt;Dashboard!$H$6),"⚠ Vượt","")</f>
        <v/>
      </c>
      <c r="M1799">
        <f>IF(AND(A1799=Dashboard!$D$6,OR(Dashboard!$C$6="*",F1799=Dashboard!$C$6),L1799&lt;&gt;""),ABS(I1799)+ROW()/1000000000,0)</f>
        <v/>
      </c>
    </row>
    <row r="1800">
      <c r="A1800">
        <f>Data_thang!A1800</f>
        <v/>
      </c>
      <c r="B1800">
        <f>Data_thang!B1800</f>
        <v/>
      </c>
      <c r="C1800">
        <f>Data_thang!D1800</f>
        <v/>
      </c>
      <c r="D1800">
        <f>Data_thang!E1800</f>
        <v/>
      </c>
      <c r="E1800">
        <f>Data_thang!F1800</f>
        <v/>
      </c>
      <c r="F1800">
        <f>Data_thang!G1800</f>
        <v/>
      </c>
      <c r="G1800" s="29">
        <f>Data_thang!J1800-Data_thang!K1800</f>
        <v/>
      </c>
      <c r="H1800" s="29">
        <f>Data_thang!N1800</f>
        <v/>
      </c>
      <c r="I1800" s="29">
        <f>H1800-G1800</f>
        <v/>
      </c>
      <c r="J1800" s="30">
        <f>IF(H1800=0,IF(I1800=0,0,1),I1800/ABS(H1800))</f>
        <v/>
      </c>
      <c r="K1800" s="29">
        <f>H1800-(Data_thang!O1800-Data_thang!K1800)</f>
        <v/>
      </c>
      <c r="L1800">
        <f>IF(AND(ABS(I1800)&gt;Dashboard!$G$6,ABS(J1800)&gt;Dashboard!$H$6),"⚠ Vượt","")</f>
        <v/>
      </c>
      <c r="M1800">
        <f>IF(AND(A1800=Dashboard!$D$6,OR(Dashboard!$C$6="*",F1800=Dashboard!$C$6),L1800&lt;&gt;""),ABS(I1800)+ROW()/1000000000,0)</f>
        <v/>
      </c>
    </row>
    <row r="1801">
      <c r="A1801">
        <f>Data_thang!A1801</f>
        <v/>
      </c>
      <c r="B1801">
        <f>Data_thang!B1801</f>
        <v/>
      </c>
      <c r="C1801">
        <f>Data_thang!D1801</f>
        <v/>
      </c>
      <c r="D1801">
        <f>Data_thang!E1801</f>
        <v/>
      </c>
      <c r="E1801">
        <f>Data_thang!F1801</f>
        <v/>
      </c>
      <c r="F1801">
        <f>Data_thang!G1801</f>
        <v/>
      </c>
      <c r="G1801" s="29">
        <f>Data_thang!J1801-Data_thang!K1801</f>
        <v/>
      </c>
      <c r="H1801" s="29">
        <f>Data_thang!N1801</f>
        <v/>
      </c>
      <c r="I1801" s="29">
        <f>H1801-G1801</f>
        <v/>
      </c>
      <c r="J1801" s="30">
        <f>IF(H1801=0,IF(I1801=0,0,1),I1801/ABS(H1801))</f>
        <v/>
      </c>
      <c r="K1801" s="29">
        <f>H1801-(Data_thang!O1801-Data_thang!K1801)</f>
        <v/>
      </c>
      <c r="L1801">
        <f>IF(AND(ABS(I1801)&gt;Dashboard!$G$6,ABS(J1801)&gt;Dashboard!$H$6),"⚠ Vượt","")</f>
        <v/>
      </c>
      <c r="M1801">
        <f>IF(AND(A1801=Dashboard!$D$6,OR(Dashboard!$C$6="*",F1801=Dashboard!$C$6),L1801&lt;&gt;""),ABS(I1801)+ROW()/1000000000,0)</f>
        <v/>
      </c>
    </row>
    <row r="1802">
      <c r="A1802">
        <f>Data_thang!A1802</f>
        <v/>
      </c>
      <c r="B1802">
        <f>Data_thang!B1802</f>
        <v/>
      </c>
      <c r="C1802">
        <f>Data_thang!D1802</f>
        <v/>
      </c>
      <c r="D1802">
        <f>Data_thang!E1802</f>
        <v/>
      </c>
      <c r="E1802">
        <f>Data_thang!F1802</f>
        <v/>
      </c>
      <c r="F1802">
        <f>Data_thang!G1802</f>
        <v/>
      </c>
      <c r="G1802" s="29">
        <f>Data_thang!J1802-Data_thang!K1802</f>
        <v/>
      </c>
      <c r="H1802" s="29">
        <f>Data_thang!N1802</f>
        <v/>
      </c>
      <c r="I1802" s="29">
        <f>H1802-G1802</f>
        <v/>
      </c>
      <c r="J1802" s="30">
        <f>IF(H1802=0,IF(I1802=0,0,1),I1802/ABS(H1802))</f>
        <v/>
      </c>
      <c r="K1802" s="29">
        <f>H1802-(Data_thang!O1802-Data_thang!K1802)</f>
        <v/>
      </c>
      <c r="L1802">
        <f>IF(AND(ABS(I1802)&gt;Dashboard!$G$6,ABS(J1802)&gt;Dashboard!$H$6),"⚠ Vượt","")</f>
        <v/>
      </c>
      <c r="M1802">
        <f>IF(AND(A1802=Dashboard!$D$6,OR(Dashboard!$C$6="*",F1802=Dashboard!$C$6),L1802&lt;&gt;""),ABS(I1802)+ROW()/1000000000,0)</f>
        <v/>
      </c>
    </row>
    <row r="1803">
      <c r="A1803">
        <f>Data_thang!A1803</f>
        <v/>
      </c>
      <c r="B1803">
        <f>Data_thang!B1803</f>
        <v/>
      </c>
      <c r="C1803">
        <f>Data_thang!D1803</f>
        <v/>
      </c>
      <c r="D1803">
        <f>Data_thang!E1803</f>
        <v/>
      </c>
      <c r="E1803">
        <f>Data_thang!F1803</f>
        <v/>
      </c>
      <c r="F1803">
        <f>Data_thang!G1803</f>
        <v/>
      </c>
      <c r="G1803" s="29">
        <f>Data_thang!J1803-Data_thang!K1803</f>
        <v/>
      </c>
      <c r="H1803" s="29">
        <f>Data_thang!N1803</f>
        <v/>
      </c>
      <c r="I1803" s="29">
        <f>H1803-G1803</f>
        <v/>
      </c>
      <c r="J1803" s="30">
        <f>IF(H1803=0,IF(I1803=0,0,1),I1803/ABS(H1803))</f>
        <v/>
      </c>
      <c r="K1803" s="29">
        <f>H1803-(Data_thang!O1803-Data_thang!K1803)</f>
        <v/>
      </c>
      <c r="L1803">
        <f>IF(AND(ABS(I1803)&gt;Dashboard!$G$6,ABS(J1803)&gt;Dashboard!$H$6),"⚠ Vượt","")</f>
        <v/>
      </c>
      <c r="M1803">
        <f>IF(AND(A1803=Dashboard!$D$6,OR(Dashboard!$C$6="*",F1803=Dashboard!$C$6),L1803&lt;&gt;""),ABS(I1803)+ROW()/1000000000,0)</f>
        <v/>
      </c>
    </row>
    <row r="1804">
      <c r="A1804">
        <f>Data_thang!A1804</f>
        <v/>
      </c>
      <c r="B1804">
        <f>Data_thang!B1804</f>
        <v/>
      </c>
      <c r="C1804">
        <f>Data_thang!D1804</f>
        <v/>
      </c>
      <c r="D1804">
        <f>Data_thang!E1804</f>
        <v/>
      </c>
      <c r="E1804">
        <f>Data_thang!F1804</f>
        <v/>
      </c>
      <c r="F1804">
        <f>Data_thang!G1804</f>
        <v/>
      </c>
      <c r="G1804" s="29">
        <f>Data_thang!J1804-Data_thang!K1804</f>
        <v/>
      </c>
      <c r="H1804" s="29">
        <f>Data_thang!N1804</f>
        <v/>
      </c>
      <c r="I1804" s="29">
        <f>H1804-G1804</f>
        <v/>
      </c>
      <c r="J1804" s="30">
        <f>IF(H1804=0,IF(I1804=0,0,1),I1804/ABS(H1804))</f>
        <v/>
      </c>
      <c r="K1804" s="29">
        <f>H1804-(Data_thang!O1804-Data_thang!K1804)</f>
        <v/>
      </c>
      <c r="L1804">
        <f>IF(AND(ABS(I1804)&gt;Dashboard!$G$6,ABS(J1804)&gt;Dashboard!$H$6),"⚠ Vượt","")</f>
        <v/>
      </c>
      <c r="M1804">
        <f>IF(AND(A1804=Dashboard!$D$6,OR(Dashboard!$C$6="*",F1804=Dashboard!$C$6),L1804&lt;&gt;""),ABS(I1804)+ROW()/1000000000,0)</f>
        <v/>
      </c>
    </row>
    <row r="1805">
      <c r="A1805">
        <f>Data_thang!A1805</f>
        <v/>
      </c>
      <c r="B1805">
        <f>Data_thang!B1805</f>
        <v/>
      </c>
      <c r="C1805">
        <f>Data_thang!D1805</f>
        <v/>
      </c>
      <c r="D1805">
        <f>Data_thang!E1805</f>
        <v/>
      </c>
      <c r="E1805">
        <f>Data_thang!F1805</f>
        <v/>
      </c>
      <c r="F1805">
        <f>Data_thang!G1805</f>
        <v/>
      </c>
      <c r="G1805" s="29">
        <f>Data_thang!J1805-Data_thang!K1805</f>
        <v/>
      </c>
      <c r="H1805" s="29">
        <f>Data_thang!N1805</f>
        <v/>
      </c>
      <c r="I1805" s="29">
        <f>H1805-G1805</f>
        <v/>
      </c>
      <c r="J1805" s="30">
        <f>IF(H1805=0,IF(I1805=0,0,1),I1805/ABS(H1805))</f>
        <v/>
      </c>
      <c r="K1805" s="29">
        <f>H1805-(Data_thang!O1805-Data_thang!K1805)</f>
        <v/>
      </c>
      <c r="L1805">
        <f>IF(AND(ABS(I1805)&gt;Dashboard!$G$6,ABS(J1805)&gt;Dashboard!$H$6),"⚠ Vượt","")</f>
        <v/>
      </c>
      <c r="M1805">
        <f>IF(AND(A1805=Dashboard!$D$6,OR(Dashboard!$C$6="*",F1805=Dashboard!$C$6),L1805&lt;&gt;""),ABS(I1805)+ROW()/1000000000,0)</f>
        <v/>
      </c>
    </row>
    <row r="1806">
      <c r="A1806">
        <f>Data_thang!A1806</f>
        <v/>
      </c>
      <c r="B1806">
        <f>Data_thang!B1806</f>
        <v/>
      </c>
      <c r="C1806">
        <f>Data_thang!D1806</f>
        <v/>
      </c>
      <c r="D1806">
        <f>Data_thang!E1806</f>
        <v/>
      </c>
      <c r="E1806">
        <f>Data_thang!F1806</f>
        <v/>
      </c>
      <c r="F1806">
        <f>Data_thang!G1806</f>
        <v/>
      </c>
      <c r="G1806" s="29">
        <f>Data_thang!J1806-Data_thang!K1806</f>
        <v/>
      </c>
      <c r="H1806" s="29">
        <f>Data_thang!N1806</f>
        <v/>
      </c>
      <c r="I1806" s="29">
        <f>H1806-G1806</f>
        <v/>
      </c>
      <c r="J1806" s="30">
        <f>IF(H1806=0,IF(I1806=0,0,1),I1806/ABS(H1806))</f>
        <v/>
      </c>
      <c r="K1806" s="29">
        <f>H1806-(Data_thang!O1806-Data_thang!K1806)</f>
        <v/>
      </c>
      <c r="L1806">
        <f>IF(AND(ABS(I1806)&gt;Dashboard!$G$6,ABS(J1806)&gt;Dashboard!$H$6),"⚠ Vượt","")</f>
        <v/>
      </c>
      <c r="M1806">
        <f>IF(AND(A1806=Dashboard!$D$6,OR(Dashboard!$C$6="*",F1806=Dashboard!$C$6),L1806&lt;&gt;""),ABS(I1806)+ROW()/1000000000,0)</f>
        <v/>
      </c>
    </row>
    <row r="1807">
      <c r="A1807">
        <f>Data_thang!A1807</f>
        <v/>
      </c>
      <c r="B1807">
        <f>Data_thang!B1807</f>
        <v/>
      </c>
      <c r="C1807">
        <f>Data_thang!D1807</f>
        <v/>
      </c>
      <c r="D1807">
        <f>Data_thang!E1807</f>
        <v/>
      </c>
      <c r="E1807">
        <f>Data_thang!F1807</f>
        <v/>
      </c>
      <c r="F1807">
        <f>Data_thang!G1807</f>
        <v/>
      </c>
      <c r="G1807" s="29">
        <f>Data_thang!J1807-Data_thang!K1807</f>
        <v/>
      </c>
      <c r="H1807" s="29">
        <f>Data_thang!N1807</f>
        <v/>
      </c>
      <c r="I1807" s="29">
        <f>H1807-G1807</f>
        <v/>
      </c>
      <c r="J1807" s="30">
        <f>IF(H1807=0,IF(I1807=0,0,1),I1807/ABS(H1807))</f>
        <v/>
      </c>
      <c r="K1807" s="29">
        <f>H1807-(Data_thang!O1807-Data_thang!K1807)</f>
        <v/>
      </c>
      <c r="L1807">
        <f>IF(AND(ABS(I1807)&gt;Dashboard!$G$6,ABS(J1807)&gt;Dashboard!$H$6),"⚠ Vượt","")</f>
        <v/>
      </c>
      <c r="M1807">
        <f>IF(AND(A1807=Dashboard!$D$6,OR(Dashboard!$C$6="*",F1807=Dashboard!$C$6),L1807&lt;&gt;""),ABS(I1807)+ROW()/1000000000,0)</f>
        <v/>
      </c>
    </row>
    <row r="1808">
      <c r="A1808">
        <f>Data_thang!A1808</f>
        <v/>
      </c>
      <c r="B1808">
        <f>Data_thang!B1808</f>
        <v/>
      </c>
      <c r="C1808">
        <f>Data_thang!D1808</f>
        <v/>
      </c>
      <c r="D1808">
        <f>Data_thang!E1808</f>
        <v/>
      </c>
      <c r="E1808">
        <f>Data_thang!F1808</f>
        <v/>
      </c>
      <c r="F1808">
        <f>Data_thang!G1808</f>
        <v/>
      </c>
      <c r="G1808" s="29">
        <f>Data_thang!J1808-Data_thang!K1808</f>
        <v/>
      </c>
      <c r="H1808" s="29">
        <f>Data_thang!N1808</f>
        <v/>
      </c>
      <c r="I1808" s="29">
        <f>H1808-G1808</f>
        <v/>
      </c>
      <c r="J1808" s="30">
        <f>IF(H1808=0,IF(I1808=0,0,1),I1808/ABS(H1808))</f>
        <v/>
      </c>
      <c r="K1808" s="29">
        <f>H1808-(Data_thang!O1808-Data_thang!K1808)</f>
        <v/>
      </c>
      <c r="L1808">
        <f>IF(AND(ABS(I1808)&gt;Dashboard!$G$6,ABS(J1808)&gt;Dashboard!$H$6),"⚠ Vượt","")</f>
        <v/>
      </c>
      <c r="M1808">
        <f>IF(AND(A1808=Dashboard!$D$6,OR(Dashboard!$C$6="*",F1808=Dashboard!$C$6),L1808&lt;&gt;""),ABS(I1808)+ROW()/1000000000,0)</f>
        <v/>
      </c>
    </row>
    <row r="1809">
      <c r="A1809">
        <f>Data_thang!A1809</f>
        <v/>
      </c>
      <c r="B1809">
        <f>Data_thang!B1809</f>
        <v/>
      </c>
      <c r="C1809">
        <f>Data_thang!D1809</f>
        <v/>
      </c>
      <c r="D1809">
        <f>Data_thang!E1809</f>
        <v/>
      </c>
      <c r="E1809">
        <f>Data_thang!F1809</f>
        <v/>
      </c>
      <c r="F1809">
        <f>Data_thang!G1809</f>
        <v/>
      </c>
      <c r="G1809" s="29">
        <f>Data_thang!J1809-Data_thang!K1809</f>
        <v/>
      </c>
      <c r="H1809" s="29">
        <f>Data_thang!N1809</f>
        <v/>
      </c>
      <c r="I1809" s="29">
        <f>H1809-G1809</f>
        <v/>
      </c>
      <c r="J1809" s="30">
        <f>IF(H1809=0,IF(I1809=0,0,1),I1809/ABS(H1809))</f>
        <v/>
      </c>
      <c r="K1809" s="29">
        <f>H1809-(Data_thang!O1809-Data_thang!K1809)</f>
        <v/>
      </c>
      <c r="L1809">
        <f>IF(AND(ABS(I1809)&gt;Dashboard!$G$6,ABS(J1809)&gt;Dashboard!$H$6),"⚠ Vượt","")</f>
        <v/>
      </c>
      <c r="M1809">
        <f>IF(AND(A1809=Dashboard!$D$6,OR(Dashboard!$C$6="*",F1809=Dashboard!$C$6),L1809&lt;&gt;""),ABS(I1809)+ROW()/1000000000,0)</f>
        <v/>
      </c>
    </row>
    <row r="1810">
      <c r="A1810">
        <f>Data_thang!A1810</f>
        <v/>
      </c>
      <c r="B1810">
        <f>Data_thang!B1810</f>
        <v/>
      </c>
      <c r="C1810">
        <f>Data_thang!D1810</f>
        <v/>
      </c>
      <c r="D1810">
        <f>Data_thang!E1810</f>
        <v/>
      </c>
      <c r="E1810">
        <f>Data_thang!F1810</f>
        <v/>
      </c>
      <c r="F1810">
        <f>Data_thang!G1810</f>
        <v/>
      </c>
      <c r="G1810" s="29">
        <f>Data_thang!J1810-Data_thang!K1810</f>
        <v/>
      </c>
      <c r="H1810" s="29">
        <f>Data_thang!N1810</f>
        <v/>
      </c>
      <c r="I1810" s="29">
        <f>H1810-G1810</f>
        <v/>
      </c>
      <c r="J1810" s="30">
        <f>IF(H1810=0,IF(I1810=0,0,1),I1810/ABS(H1810))</f>
        <v/>
      </c>
      <c r="K1810" s="29">
        <f>H1810-(Data_thang!O1810-Data_thang!K1810)</f>
        <v/>
      </c>
      <c r="L1810">
        <f>IF(AND(ABS(I1810)&gt;Dashboard!$G$6,ABS(J1810)&gt;Dashboard!$H$6),"⚠ Vượt","")</f>
        <v/>
      </c>
      <c r="M1810">
        <f>IF(AND(A1810=Dashboard!$D$6,OR(Dashboard!$C$6="*",F1810=Dashboard!$C$6),L1810&lt;&gt;""),ABS(I1810)+ROW()/1000000000,0)</f>
        <v/>
      </c>
    </row>
    <row r="1811">
      <c r="A1811">
        <f>Data_thang!A1811</f>
        <v/>
      </c>
      <c r="B1811">
        <f>Data_thang!B1811</f>
        <v/>
      </c>
      <c r="C1811">
        <f>Data_thang!D1811</f>
        <v/>
      </c>
      <c r="D1811">
        <f>Data_thang!E1811</f>
        <v/>
      </c>
      <c r="E1811">
        <f>Data_thang!F1811</f>
        <v/>
      </c>
      <c r="F1811">
        <f>Data_thang!G1811</f>
        <v/>
      </c>
      <c r="G1811" s="29">
        <f>Data_thang!J1811-Data_thang!K1811</f>
        <v/>
      </c>
      <c r="H1811" s="29">
        <f>Data_thang!N1811</f>
        <v/>
      </c>
      <c r="I1811" s="29">
        <f>H1811-G1811</f>
        <v/>
      </c>
      <c r="J1811" s="30">
        <f>IF(H1811=0,IF(I1811=0,0,1),I1811/ABS(H1811))</f>
        <v/>
      </c>
      <c r="K1811" s="29">
        <f>H1811-(Data_thang!O1811-Data_thang!K1811)</f>
        <v/>
      </c>
      <c r="L1811">
        <f>IF(AND(ABS(I1811)&gt;Dashboard!$G$6,ABS(J1811)&gt;Dashboard!$H$6),"⚠ Vượt","")</f>
        <v/>
      </c>
      <c r="M1811">
        <f>IF(AND(A1811=Dashboard!$D$6,OR(Dashboard!$C$6="*",F1811=Dashboard!$C$6),L1811&lt;&gt;""),ABS(I1811)+ROW()/1000000000,0)</f>
        <v/>
      </c>
    </row>
    <row r="1812">
      <c r="A1812">
        <f>Data_thang!A1812</f>
        <v/>
      </c>
      <c r="B1812">
        <f>Data_thang!B1812</f>
        <v/>
      </c>
      <c r="C1812">
        <f>Data_thang!D1812</f>
        <v/>
      </c>
      <c r="D1812">
        <f>Data_thang!E1812</f>
        <v/>
      </c>
      <c r="E1812">
        <f>Data_thang!F1812</f>
        <v/>
      </c>
      <c r="F1812">
        <f>Data_thang!G1812</f>
        <v/>
      </c>
      <c r="G1812" s="29">
        <f>Data_thang!J1812-Data_thang!K1812</f>
        <v/>
      </c>
      <c r="H1812" s="29">
        <f>Data_thang!N1812</f>
        <v/>
      </c>
      <c r="I1812" s="29">
        <f>H1812-G1812</f>
        <v/>
      </c>
      <c r="J1812" s="30">
        <f>IF(H1812=0,IF(I1812=0,0,1),I1812/ABS(H1812))</f>
        <v/>
      </c>
      <c r="K1812" s="29">
        <f>H1812-(Data_thang!O1812-Data_thang!K1812)</f>
        <v/>
      </c>
      <c r="L1812">
        <f>IF(AND(ABS(I1812)&gt;Dashboard!$G$6,ABS(J1812)&gt;Dashboard!$H$6),"⚠ Vượt","")</f>
        <v/>
      </c>
      <c r="M1812">
        <f>IF(AND(A1812=Dashboard!$D$6,OR(Dashboard!$C$6="*",F1812=Dashboard!$C$6),L1812&lt;&gt;""),ABS(I1812)+ROW()/1000000000,0)</f>
        <v/>
      </c>
    </row>
    <row r="1813">
      <c r="A1813">
        <f>Data_thang!A1813</f>
        <v/>
      </c>
      <c r="B1813">
        <f>Data_thang!B1813</f>
        <v/>
      </c>
      <c r="C1813">
        <f>Data_thang!D1813</f>
        <v/>
      </c>
      <c r="D1813">
        <f>Data_thang!E1813</f>
        <v/>
      </c>
      <c r="E1813">
        <f>Data_thang!F1813</f>
        <v/>
      </c>
      <c r="F1813">
        <f>Data_thang!G1813</f>
        <v/>
      </c>
      <c r="G1813" s="29">
        <f>Data_thang!J1813-Data_thang!K1813</f>
        <v/>
      </c>
      <c r="H1813" s="29">
        <f>Data_thang!N1813</f>
        <v/>
      </c>
      <c r="I1813" s="29">
        <f>H1813-G1813</f>
        <v/>
      </c>
      <c r="J1813" s="30">
        <f>IF(H1813=0,IF(I1813=0,0,1),I1813/ABS(H1813))</f>
        <v/>
      </c>
      <c r="K1813" s="29">
        <f>H1813-(Data_thang!O1813-Data_thang!K1813)</f>
        <v/>
      </c>
      <c r="L1813">
        <f>IF(AND(ABS(I1813)&gt;Dashboard!$G$6,ABS(J1813)&gt;Dashboard!$H$6),"⚠ Vượt","")</f>
        <v/>
      </c>
      <c r="M1813">
        <f>IF(AND(A1813=Dashboard!$D$6,OR(Dashboard!$C$6="*",F1813=Dashboard!$C$6),L1813&lt;&gt;""),ABS(I1813)+ROW()/1000000000,0)</f>
        <v/>
      </c>
    </row>
    <row r="1814">
      <c r="A1814">
        <f>Data_thang!A1814</f>
        <v/>
      </c>
      <c r="B1814">
        <f>Data_thang!B1814</f>
        <v/>
      </c>
      <c r="C1814">
        <f>Data_thang!D1814</f>
        <v/>
      </c>
      <c r="D1814">
        <f>Data_thang!E1814</f>
        <v/>
      </c>
      <c r="E1814">
        <f>Data_thang!F1814</f>
        <v/>
      </c>
      <c r="F1814">
        <f>Data_thang!G1814</f>
        <v/>
      </c>
      <c r="G1814" s="29">
        <f>Data_thang!J1814-Data_thang!K1814</f>
        <v/>
      </c>
      <c r="H1814" s="29">
        <f>Data_thang!N1814</f>
        <v/>
      </c>
      <c r="I1814" s="29">
        <f>H1814-G1814</f>
        <v/>
      </c>
      <c r="J1814" s="30">
        <f>IF(H1814=0,IF(I1814=0,0,1),I1814/ABS(H1814))</f>
        <v/>
      </c>
      <c r="K1814" s="29">
        <f>H1814-(Data_thang!O1814-Data_thang!K1814)</f>
        <v/>
      </c>
      <c r="L1814">
        <f>IF(AND(ABS(I1814)&gt;Dashboard!$G$6,ABS(J1814)&gt;Dashboard!$H$6),"⚠ Vượt","")</f>
        <v/>
      </c>
      <c r="M1814">
        <f>IF(AND(A1814=Dashboard!$D$6,OR(Dashboard!$C$6="*",F1814=Dashboard!$C$6),L1814&lt;&gt;""),ABS(I1814)+ROW()/1000000000,0)</f>
        <v/>
      </c>
    </row>
    <row r="1815">
      <c r="A1815">
        <f>Data_thang!A1815</f>
        <v/>
      </c>
      <c r="B1815">
        <f>Data_thang!B1815</f>
        <v/>
      </c>
      <c r="C1815">
        <f>Data_thang!D1815</f>
        <v/>
      </c>
      <c r="D1815">
        <f>Data_thang!E1815</f>
        <v/>
      </c>
      <c r="E1815">
        <f>Data_thang!F1815</f>
        <v/>
      </c>
      <c r="F1815">
        <f>Data_thang!G1815</f>
        <v/>
      </c>
      <c r="G1815" s="29">
        <f>Data_thang!J1815-Data_thang!K1815</f>
        <v/>
      </c>
      <c r="H1815" s="29">
        <f>Data_thang!N1815</f>
        <v/>
      </c>
      <c r="I1815" s="29">
        <f>H1815-G1815</f>
        <v/>
      </c>
      <c r="J1815" s="30">
        <f>IF(H1815=0,IF(I1815=0,0,1),I1815/ABS(H1815))</f>
        <v/>
      </c>
      <c r="K1815" s="29">
        <f>H1815-(Data_thang!O1815-Data_thang!K1815)</f>
        <v/>
      </c>
      <c r="L1815">
        <f>IF(AND(ABS(I1815)&gt;Dashboard!$G$6,ABS(J1815)&gt;Dashboard!$H$6),"⚠ Vượt","")</f>
        <v/>
      </c>
      <c r="M1815">
        <f>IF(AND(A1815=Dashboard!$D$6,OR(Dashboard!$C$6="*",F1815=Dashboard!$C$6),L1815&lt;&gt;""),ABS(I1815)+ROW()/1000000000,0)</f>
        <v/>
      </c>
    </row>
    <row r="1816">
      <c r="A1816">
        <f>Data_thang!A1816</f>
        <v/>
      </c>
      <c r="B1816">
        <f>Data_thang!B1816</f>
        <v/>
      </c>
      <c r="C1816">
        <f>Data_thang!D1816</f>
        <v/>
      </c>
      <c r="D1816">
        <f>Data_thang!E1816</f>
        <v/>
      </c>
      <c r="E1816">
        <f>Data_thang!F1816</f>
        <v/>
      </c>
      <c r="F1816">
        <f>Data_thang!G1816</f>
        <v/>
      </c>
      <c r="G1816" s="29">
        <f>Data_thang!J1816-Data_thang!K1816</f>
        <v/>
      </c>
      <c r="H1816" s="29">
        <f>Data_thang!N1816</f>
        <v/>
      </c>
      <c r="I1816" s="29">
        <f>H1816-G1816</f>
        <v/>
      </c>
      <c r="J1816" s="30">
        <f>IF(H1816=0,IF(I1816=0,0,1),I1816/ABS(H1816))</f>
        <v/>
      </c>
      <c r="K1816" s="29">
        <f>H1816-(Data_thang!O1816-Data_thang!K1816)</f>
        <v/>
      </c>
      <c r="L1816">
        <f>IF(AND(ABS(I1816)&gt;Dashboard!$G$6,ABS(J1816)&gt;Dashboard!$H$6),"⚠ Vượt","")</f>
        <v/>
      </c>
      <c r="M1816">
        <f>IF(AND(A1816=Dashboard!$D$6,OR(Dashboard!$C$6="*",F1816=Dashboard!$C$6),L1816&lt;&gt;""),ABS(I1816)+ROW()/1000000000,0)</f>
        <v/>
      </c>
    </row>
    <row r="1817">
      <c r="A1817">
        <f>Data_thang!A1817</f>
        <v/>
      </c>
      <c r="B1817">
        <f>Data_thang!B1817</f>
        <v/>
      </c>
      <c r="C1817">
        <f>Data_thang!D1817</f>
        <v/>
      </c>
      <c r="D1817">
        <f>Data_thang!E1817</f>
        <v/>
      </c>
      <c r="E1817">
        <f>Data_thang!F1817</f>
        <v/>
      </c>
      <c r="F1817">
        <f>Data_thang!G1817</f>
        <v/>
      </c>
      <c r="G1817" s="29">
        <f>Data_thang!J1817-Data_thang!K1817</f>
        <v/>
      </c>
      <c r="H1817" s="29">
        <f>Data_thang!N1817</f>
        <v/>
      </c>
      <c r="I1817" s="29">
        <f>H1817-G1817</f>
        <v/>
      </c>
      <c r="J1817" s="30">
        <f>IF(H1817=0,IF(I1817=0,0,1),I1817/ABS(H1817))</f>
        <v/>
      </c>
      <c r="K1817" s="29">
        <f>H1817-(Data_thang!O1817-Data_thang!K1817)</f>
        <v/>
      </c>
      <c r="L1817">
        <f>IF(AND(ABS(I1817)&gt;Dashboard!$G$6,ABS(J1817)&gt;Dashboard!$H$6),"⚠ Vượt","")</f>
        <v/>
      </c>
      <c r="M1817">
        <f>IF(AND(A1817=Dashboard!$D$6,OR(Dashboard!$C$6="*",F1817=Dashboard!$C$6),L1817&lt;&gt;""),ABS(I1817)+ROW()/1000000000,0)</f>
        <v/>
      </c>
    </row>
    <row r="1818">
      <c r="A1818">
        <f>Data_thang!A1818</f>
        <v/>
      </c>
      <c r="B1818">
        <f>Data_thang!B1818</f>
        <v/>
      </c>
      <c r="C1818">
        <f>Data_thang!D1818</f>
        <v/>
      </c>
      <c r="D1818">
        <f>Data_thang!E1818</f>
        <v/>
      </c>
      <c r="E1818">
        <f>Data_thang!F1818</f>
        <v/>
      </c>
      <c r="F1818">
        <f>Data_thang!G1818</f>
        <v/>
      </c>
      <c r="G1818" s="29">
        <f>Data_thang!J1818-Data_thang!K1818</f>
        <v/>
      </c>
      <c r="H1818" s="29">
        <f>Data_thang!N1818</f>
        <v/>
      </c>
      <c r="I1818" s="29">
        <f>H1818-G1818</f>
        <v/>
      </c>
      <c r="J1818" s="30">
        <f>IF(H1818=0,IF(I1818=0,0,1),I1818/ABS(H1818))</f>
        <v/>
      </c>
      <c r="K1818" s="29">
        <f>H1818-(Data_thang!O1818-Data_thang!K1818)</f>
        <v/>
      </c>
      <c r="L1818">
        <f>IF(AND(ABS(I1818)&gt;Dashboard!$G$6,ABS(J1818)&gt;Dashboard!$H$6),"⚠ Vượt","")</f>
        <v/>
      </c>
      <c r="M1818">
        <f>IF(AND(A1818=Dashboard!$D$6,OR(Dashboard!$C$6="*",F1818=Dashboard!$C$6),L1818&lt;&gt;""),ABS(I1818)+ROW()/1000000000,0)</f>
        <v/>
      </c>
    </row>
    <row r="1819">
      <c r="A1819">
        <f>Data_thang!A1819</f>
        <v/>
      </c>
      <c r="B1819">
        <f>Data_thang!B1819</f>
        <v/>
      </c>
      <c r="C1819">
        <f>Data_thang!D1819</f>
        <v/>
      </c>
      <c r="D1819">
        <f>Data_thang!E1819</f>
        <v/>
      </c>
      <c r="E1819">
        <f>Data_thang!F1819</f>
        <v/>
      </c>
      <c r="F1819">
        <f>Data_thang!G1819</f>
        <v/>
      </c>
      <c r="G1819" s="29">
        <f>Data_thang!J1819-Data_thang!K1819</f>
        <v/>
      </c>
      <c r="H1819" s="29">
        <f>Data_thang!N1819</f>
        <v/>
      </c>
      <c r="I1819" s="29">
        <f>H1819-G1819</f>
        <v/>
      </c>
      <c r="J1819" s="30">
        <f>IF(H1819=0,IF(I1819=0,0,1),I1819/ABS(H1819))</f>
        <v/>
      </c>
      <c r="K1819" s="29">
        <f>H1819-(Data_thang!O1819-Data_thang!K1819)</f>
        <v/>
      </c>
      <c r="L1819">
        <f>IF(AND(ABS(I1819)&gt;Dashboard!$G$6,ABS(J1819)&gt;Dashboard!$H$6),"⚠ Vượt","")</f>
        <v/>
      </c>
      <c r="M1819">
        <f>IF(AND(A1819=Dashboard!$D$6,OR(Dashboard!$C$6="*",F1819=Dashboard!$C$6),L1819&lt;&gt;""),ABS(I1819)+ROW()/1000000000,0)</f>
        <v/>
      </c>
    </row>
    <row r="1820">
      <c r="A1820">
        <f>Data_thang!A1820</f>
        <v/>
      </c>
      <c r="B1820">
        <f>Data_thang!B1820</f>
        <v/>
      </c>
      <c r="C1820">
        <f>Data_thang!D1820</f>
        <v/>
      </c>
      <c r="D1820">
        <f>Data_thang!E1820</f>
        <v/>
      </c>
      <c r="E1820">
        <f>Data_thang!F1820</f>
        <v/>
      </c>
      <c r="F1820">
        <f>Data_thang!G1820</f>
        <v/>
      </c>
      <c r="G1820" s="29">
        <f>Data_thang!J1820-Data_thang!K1820</f>
        <v/>
      </c>
      <c r="H1820" s="29">
        <f>Data_thang!N1820</f>
        <v/>
      </c>
      <c r="I1820" s="29">
        <f>H1820-G1820</f>
        <v/>
      </c>
      <c r="J1820" s="30">
        <f>IF(H1820=0,IF(I1820=0,0,1),I1820/ABS(H1820))</f>
        <v/>
      </c>
      <c r="K1820" s="29">
        <f>H1820-(Data_thang!O1820-Data_thang!K1820)</f>
        <v/>
      </c>
      <c r="L1820">
        <f>IF(AND(ABS(I1820)&gt;Dashboard!$G$6,ABS(J1820)&gt;Dashboard!$H$6),"⚠ Vượt","")</f>
        <v/>
      </c>
      <c r="M1820">
        <f>IF(AND(A1820=Dashboard!$D$6,OR(Dashboard!$C$6="*",F1820=Dashboard!$C$6),L1820&lt;&gt;""),ABS(I1820)+ROW()/1000000000,0)</f>
        <v/>
      </c>
    </row>
    <row r="1821">
      <c r="A1821">
        <f>Data_thang!A1821</f>
        <v/>
      </c>
      <c r="B1821">
        <f>Data_thang!B1821</f>
        <v/>
      </c>
      <c r="C1821">
        <f>Data_thang!D1821</f>
        <v/>
      </c>
      <c r="D1821">
        <f>Data_thang!E1821</f>
        <v/>
      </c>
      <c r="E1821">
        <f>Data_thang!F1821</f>
        <v/>
      </c>
      <c r="F1821">
        <f>Data_thang!G1821</f>
        <v/>
      </c>
      <c r="G1821" s="29">
        <f>Data_thang!J1821-Data_thang!K1821</f>
        <v/>
      </c>
      <c r="H1821" s="29">
        <f>Data_thang!N1821</f>
        <v/>
      </c>
      <c r="I1821" s="29">
        <f>H1821-G1821</f>
        <v/>
      </c>
      <c r="J1821" s="30">
        <f>IF(H1821=0,IF(I1821=0,0,1),I1821/ABS(H1821))</f>
        <v/>
      </c>
      <c r="K1821" s="29">
        <f>H1821-(Data_thang!O1821-Data_thang!K1821)</f>
        <v/>
      </c>
      <c r="L1821">
        <f>IF(AND(ABS(I1821)&gt;Dashboard!$G$6,ABS(J1821)&gt;Dashboard!$H$6),"⚠ Vượt","")</f>
        <v/>
      </c>
      <c r="M1821">
        <f>IF(AND(A1821=Dashboard!$D$6,OR(Dashboard!$C$6="*",F1821=Dashboard!$C$6),L1821&lt;&gt;""),ABS(I1821)+ROW()/1000000000,0)</f>
        <v/>
      </c>
    </row>
    <row r="1822">
      <c r="A1822">
        <f>Data_thang!A1822</f>
        <v/>
      </c>
      <c r="B1822">
        <f>Data_thang!B1822</f>
        <v/>
      </c>
      <c r="C1822">
        <f>Data_thang!D1822</f>
        <v/>
      </c>
      <c r="D1822">
        <f>Data_thang!E1822</f>
        <v/>
      </c>
      <c r="E1822">
        <f>Data_thang!F1822</f>
        <v/>
      </c>
      <c r="F1822">
        <f>Data_thang!G1822</f>
        <v/>
      </c>
      <c r="G1822" s="29">
        <f>Data_thang!J1822-Data_thang!K1822</f>
        <v/>
      </c>
      <c r="H1822" s="29">
        <f>Data_thang!N1822</f>
        <v/>
      </c>
      <c r="I1822" s="29">
        <f>H1822-G1822</f>
        <v/>
      </c>
      <c r="J1822" s="30">
        <f>IF(H1822=0,IF(I1822=0,0,1),I1822/ABS(H1822))</f>
        <v/>
      </c>
      <c r="K1822" s="29">
        <f>H1822-(Data_thang!O1822-Data_thang!K1822)</f>
        <v/>
      </c>
      <c r="L1822">
        <f>IF(AND(ABS(I1822)&gt;Dashboard!$G$6,ABS(J1822)&gt;Dashboard!$H$6),"⚠ Vượt","")</f>
        <v/>
      </c>
      <c r="M1822">
        <f>IF(AND(A1822=Dashboard!$D$6,OR(Dashboard!$C$6="*",F1822=Dashboard!$C$6),L1822&lt;&gt;""),ABS(I1822)+ROW()/1000000000,0)</f>
        <v/>
      </c>
    </row>
    <row r="1823">
      <c r="A1823">
        <f>Data_thang!A1823</f>
        <v/>
      </c>
      <c r="B1823">
        <f>Data_thang!B1823</f>
        <v/>
      </c>
      <c r="C1823">
        <f>Data_thang!D1823</f>
        <v/>
      </c>
      <c r="D1823">
        <f>Data_thang!E1823</f>
        <v/>
      </c>
      <c r="E1823">
        <f>Data_thang!F1823</f>
        <v/>
      </c>
      <c r="F1823">
        <f>Data_thang!G1823</f>
        <v/>
      </c>
      <c r="G1823" s="29">
        <f>Data_thang!J1823-Data_thang!K1823</f>
        <v/>
      </c>
      <c r="H1823" s="29">
        <f>Data_thang!N1823</f>
        <v/>
      </c>
      <c r="I1823" s="29">
        <f>H1823-G1823</f>
        <v/>
      </c>
      <c r="J1823" s="30">
        <f>IF(H1823=0,IF(I1823=0,0,1),I1823/ABS(H1823))</f>
        <v/>
      </c>
      <c r="K1823" s="29">
        <f>H1823-(Data_thang!O1823-Data_thang!K1823)</f>
        <v/>
      </c>
      <c r="L1823">
        <f>IF(AND(ABS(I1823)&gt;Dashboard!$G$6,ABS(J1823)&gt;Dashboard!$H$6),"⚠ Vượt","")</f>
        <v/>
      </c>
      <c r="M1823">
        <f>IF(AND(A1823=Dashboard!$D$6,OR(Dashboard!$C$6="*",F1823=Dashboard!$C$6),L1823&lt;&gt;""),ABS(I1823)+ROW()/1000000000,0)</f>
        <v/>
      </c>
    </row>
    <row r="1824">
      <c r="A1824">
        <f>Data_thang!A1824</f>
        <v/>
      </c>
      <c r="B1824">
        <f>Data_thang!B1824</f>
        <v/>
      </c>
      <c r="C1824">
        <f>Data_thang!D1824</f>
        <v/>
      </c>
      <c r="D1824">
        <f>Data_thang!E1824</f>
        <v/>
      </c>
      <c r="E1824">
        <f>Data_thang!F1824</f>
        <v/>
      </c>
      <c r="F1824">
        <f>Data_thang!G1824</f>
        <v/>
      </c>
      <c r="G1824" s="29">
        <f>Data_thang!J1824-Data_thang!K1824</f>
        <v/>
      </c>
      <c r="H1824" s="29">
        <f>Data_thang!N1824</f>
        <v/>
      </c>
      <c r="I1824" s="29">
        <f>H1824-G1824</f>
        <v/>
      </c>
      <c r="J1824" s="30">
        <f>IF(H1824=0,IF(I1824=0,0,1),I1824/ABS(H1824))</f>
        <v/>
      </c>
      <c r="K1824" s="29">
        <f>H1824-(Data_thang!O1824-Data_thang!K1824)</f>
        <v/>
      </c>
      <c r="L1824">
        <f>IF(AND(ABS(I1824)&gt;Dashboard!$G$6,ABS(J1824)&gt;Dashboard!$H$6),"⚠ Vượt","")</f>
        <v/>
      </c>
      <c r="M1824">
        <f>IF(AND(A1824=Dashboard!$D$6,OR(Dashboard!$C$6="*",F1824=Dashboard!$C$6),L1824&lt;&gt;""),ABS(I1824)+ROW()/1000000000,0)</f>
        <v/>
      </c>
    </row>
    <row r="1825">
      <c r="A1825">
        <f>Data_thang!A1825</f>
        <v/>
      </c>
      <c r="B1825">
        <f>Data_thang!B1825</f>
        <v/>
      </c>
      <c r="C1825">
        <f>Data_thang!D1825</f>
        <v/>
      </c>
      <c r="D1825">
        <f>Data_thang!E1825</f>
        <v/>
      </c>
      <c r="E1825">
        <f>Data_thang!F1825</f>
        <v/>
      </c>
      <c r="F1825">
        <f>Data_thang!G1825</f>
        <v/>
      </c>
      <c r="G1825" s="29">
        <f>Data_thang!J1825-Data_thang!K1825</f>
        <v/>
      </c>
      <c r="H1825" s="29">
        <f>Data_thang!N1825</f>
        <v/>
      </c>
      <c r="I1825" s="29">
        <f>H1825-G1825</f>
        <v/>
      </c>
      <c r="J1825" s="30">
        <f>IF(H1825=0,IF(I1825=0,0,1),I1825/ABS(H1825))</f>
        <v/>
      </c>
      <c r="K1825" s="29">
        <f>H1825-(Data_thang!O1825-Data_thang!K1825)</f>
        <v/>
      </c>
      <c r="L1825">
        <f>IF(AND(ABS(I1825)&gt;Dashboard!$G$6,ABS(J1825)&gt;Dashboard!$H$6),"⚠ Vượt","")</f>
        <v/>
      </c>
      <c r="M1825">
        <f>IF(AND(A1825=Dashboard!$D$6,OR(Dashboard!$C$6="*",F1825=Dashboard!$C$6),L1825&lt;&gt;""),ABS(I1825)+ROW()/1000000000,0)</f>
        <v/>
      </c>
    </row>
    <row r="1826">
      <c r="A1826">
        <f>Data_thang!A1826</f>
        <v/>
      </c>
      <c r="B1826">
        <f>Data_thang!B1826</f>
        <v/>
      </c>
      <c r="C1826">
        <f>Data_thang!D1826</f>
        <v/>
      </c>
      <c r="D1826">
        <f>Data_thang!E1826</f>
        <v/>
      </c>
      <c r="E1826">
        <f>Data_thang!F1826</f>
        <v/>
      </c>
      <c r="F1826">
        <f>Data_thang!G1826</f>
        <v/>
      </c>
      <c r="G1826" s="29">
        <f>Data_thang!J1826-Data_thang!K1826</f>
        <v/>
      </c>
      <c r="H1826" s="29">
        <f>Data_thang!N1826</f>
        <v/>
      </c>
      <c r="I1826" s="29">
        <f>H1826-G1826</f>
        <v/>
      </c>
      <c r="J1826" s="30">
        <f>IF(H1826=0,IF(I1826=0,0,1),I1826/ABS(H1826))</f>
        <v/>
      </c>
      <c r="K1826" s="29">
        <f>H1826-(Data_thang!O1826-Data_thang!K1826)</f>
        <v/>
      </c>
      <c r="L1826">
        <f>IF(AND(ABS(I1826)&gt;Dashboard!$G$6,ABS(J1826)&gt;Dashboard!$H$6),"⚠ Vượt","")</f>
        <v/>
      </c>
      <c r="M1826">
        <f>IF(AND(A1826=Dashboard!$D$6,OR(Dashboard!$C$6="*",F1826=Dashboard!$C$6),L1826&lt;&gt;""),ABS(I1826)+ROW()/1000000000,0)</f>
        <v/>
      </c>
    </row>
    <row r="1827">
      <c r="A1827">
        <f>Data_thang!A1827</f>
        <v/>
      </c>
      <c r="B1827">
        <f>Data_thang!B1827</f>
        <v/>
      </c>
      <c r="C1827">
        <f>Data_thang!D1827</f>
        <v/>
      </c>
      <c r="D1827">
        <f>Data_thang!E1827</f>
        <v/>
      </c>
      <c r="E1827">
        <f>Data_thang!F1827</f>
        <v/>
      </c>
      <c r="F1827">
        <f>Data_thang!G1827</f>
        <v/>
      </c>
      <c r="G1827" s="29">
        <f>Data_thang!J1827-Data_thang!K1827</f>
        <v/>
      </c>
      <c r="H1827" s="29">
        <f>Data_thang!N1827</f>
        <v/>
      </c>
      <c r="I1827" s="29">
        <f>H1827-G1827</f>
        <v/>
      </c>
      <c r="J1827" s="30">
        <f>IF(H1827=0,IF(I1827=0,0,1),I1827/ABS(H1827))</f>
        <v/>
      </c>
      <c r="K1827" s="29">
        <f>H1827-(Data_thang!O1827-Data_thang!K1827)</f>
        <v/>
      </c>
      <c r="L1827">
        <f>IF(AND(ABS(I1827)&gt;Dashboard!$G$6,ABS(J1827)&gt;Dashboard!$H$6),"⚠ Vượt","")</f>
        <v/>
      </c>
      <c r="M1827">
        <f>IF(AND(A1827=Dashboard!$D$6,OR(Dashboard!$C$6="*",F1827=Dashboard!$C$6),L1827&lt;&gt;""),ABS(I1827)+ROW()/1000000000,0)</f>
        <v/>
      </c>
    </row>
    <row r="1828">
      <c r="A1828">
        <f>Data_thang!A1828</f>
        <v/>
      </c>
      <c r="B1828">
        <f>Data_thang!B1828</f>
        <v/>
      </c>
      <c r="C1828">
        <f>Data_thang!D1828</f>
        <v/>
      </c>
      <c r="D1828">
        <f>Data_thang!E1828</f>
        <v/>
      </c>
      <c r="E1828">
        <f>Data_thang!F1828</f>
        <v/>
      </c>
      <c r="F1828">
        <f>Data_thang!G1828</f>
        <v/>
      </c>
      <c r="G1828" s="29">
        <f>Data_thang!J1828-Data_thang!K1828</f>
        <v/>
      </c>
      <c r="H1828" s="29">
        <f>Data_thang!N1828</f>
        <v/>
      </c>
      <c r="I1828" s="29">
        <f>H1828-G1828</f>
        <v/>
      </c>
      <c r="J1828" s="30">
        <f>IF(H1828=0,IF(I1828=0,0,1),I1828/ABS(H1828))</f>
        <v/>
      </c>
      <c r="K1828" s="29">
        <f>H1828-(Data_thang!O1828-Data_thang!K1828)</f>
        <v/>
      </c>
      <c r="L1828">
        <f>IF(AND(ABS(I1828)&gt;Dashboard!$G$6,ABS(J1828)&gt;Dashboard!$H$6),"⚠ Vượt","")</f>
        <v/>
      </c>
      <c r="M1828">
        <f>IF(AND(A1828=Dashboard!$D$6,OR(Dashboard!$C$6="*",F1828=Dashboard!$C$6),L1828&lt;&gt;""),ABS(I1828)+ROW()/1000000000,0)</f>
        <v/>
      </c>
    </row>
    <row r="1829">
      <c r="A1829">
        <f>Data_thang!A1829</f>
        <v/>
      </c>
      <c r="B1829">
        <f>Data_thang!B1829</f>
        <v/>
      </c>
      <c r="C1829">
        <f>Data_thang!D1829</f>
        <v/>
      </c>
      <c r="D1829">
        <f>Data_thang!E1829</f>
        <v/>
      </c>
      <c r="E1829">
        <f>Data_thang!F1829</f>
        <v/>
      </c>
      <c r="F1829">
        <f>Data_thang!G1829</f>
        <v/>
      </c>
      <c r="G1829" s="29">
        <f>Data_thang!J1829-Data_thang!K1829</f>
        <v/>
      </c>
      <c r="H1829" s="29">
        <f>Data_thang!N1829</f>
        <v/>
      </c>
      <c r="I1829" s="29">
        <f>H1829-G1829</f>
        <v/>
      </c>
      <c r="J1829" s="30">
        <f>IF(H1829=0,IF(I1829=0,0,1),I1829/ABS(H1829))</f>
        <v/>
      </c>
      <c r="K1829" s="29">
        <f>H1829-(Data_thang!O1829-Data_thang!K1829)</f>
        <v/>
      </c>
      <c r="L1829">
        <f>IF(AND(ABS(I1829)&gt;Dashboard!$G$6,ABS(J1829)&gt;Dashboard!$H$6),"⚠ Vượt","")</f>
        <v/>
      </c>
      <c r="M1829">
        <f>IF(AND(A1829=Dashboard!$D$6,OR(Dashboard!$C$6="*",F1829=Dashboard!$C$6),L1829&lt;&gt;""),ABS(I1829)+ROW()/1000000000,0)</f>
        <v/>
      </c>
    </row>
    <row r="1830">
      <c r="A1830">
        <f>Data_thang!A1830</f>
        <v/>
      </c>
      <c r="B1830">
        <f>Data_thang!B1830</f>
        <v/>
      </c>
      <c r="C1830">
        <f>Data_thang!D1830</f>
        <v/>
      </c>
      <c r="D1830">
        <f>Data_thang!E1830</f>
        <v/>
      </c>
      <c r="E1830">
        <f>Data_thang!F1830</f>
        <v/>
      </c>
      <c r="F1830">
        <f>Data_thang!G1830</f>
        <v/>
      </c>
      <c r="G1830" s="29">
        <f>Data_thang!J1830-Data_thang!K1830</f>
        <v/>
      </c>
      <c r="H1830" s="29">
        <f>Data_thang!N1830</f>
        <v/>
      </c>
      <c r="I1830" s="29">
        <f>H1830-G1830</f>
        <v/>
      </c>
      <c r="J1830" s="30">
        <f>IF(H1830=0,IF(I1830=0,0,1),I1830/ABS(H1830))</f>
        <v/>
      </c>
      <c r="K1830" s="29">
        <f>H1830-(Data_thang!O1830-Data_thang!K1830)</f>
        <v/>
      </c>
      <c r="L1830">
        <f>IF(AND(ABS(I1830)&gt;Dashboard!$G$6,ABS(J1830)&gt;Dashboard!$H$6),"⚠ Vượt","")</f>
        <v/>
      </c>
      <c r="M1830">
        <f>IF(AND(A1830=Dashboard!$D$6,OR(Dashboard!$C$6="*",F1830=Dashboard!$C$6),L1830&lt;&gt;""),ABS(I1830)+ROW()/1000000000,0)</f>
        <v/>
      </c>
    </row>
    <row r="1831">
      <c r="A1831">
        <f>Data_thang!A1831</f>
        <v/>
      </c>
      <c r="B1831">
        <f>Data_thang!B1831</f>
        <v/>
      </c>
      <c r="C1831">
        <f>Data_thang!D1831</f>
        <v/>
      </c>
      <c r="D1831">
        <f>Data_thang!E1831</f>
        <v/>
      </c>
      <c r="E1831">
        <f>Data_thang!F1831</f>
        <v/>
      </c>
      <c r="F1831">
        <f>Data_thang!G1831</f>
        <v/>
      </c>
      <c r="G1831" s="29">
        <f>Data_thang!J1831-Data_thang!K1831</f>
        <v/>
      </c>
      <c r="H1831" s="29">
        <f>Data_thang!N1831</f>
        <v/>
      </c>
      <c r="I1831" s="29">
        <f>H1831-G1831</f>
        <v/>
      </c>
      <c r="J1831" s="30">
        <f>IF(H1831=0,IF(I1831=0,0,1),I1831/ABS(H1831))</f>
        <v/>
      </c>
      <c r="K1831" s="29">
        <f>H1831-(Data_thang!O1831-Data_thang!K1831)</f>
        <v/>
      </c>
      <c r="L1831">
        <f>IF(AND(ABS(I1831)&gt;Dashboard!$G$6,ABS(J1831)&gt;Dashboard!$H$6),"⚠ Vượt","")</f>
        <v/>
      </c>
      <c r="M1831">
        <f>IF(AND(A1831=Dashboard!$D$6,OR(Dashboard!$C$6="*",F1831=Dashboard!$C$6),L1831&lt;&gt;""),ABS(I1831)+ROW()/1000000000,0)</f>
        <v/>
      </c>
    </row>
    <row r="1832">
      <c r="A1832">
        <f>Data_thang!A1832</f>
        <v/>
      </c>
      <c r="B1832">
        <f>Data_thang!B1832</f>
        <v/>
      </c>
      <c r="C1832">
        <f>Data_thang!D1832</f>
        <v/>
      </c>
      <c r="D1832">
        <f>Data_thang!E1832</f>
        <v/>
      </c>
      <c r="E1832">
        <f>Data_thang!F1832</f>
        <v/>
      </c>
      <c r="F1832">
        <f>Data_thang!G1832</f>
        <v/>
      </c>
      <c r="G1832" s="29">
        <f>Data_thang!J1832-Data_thang!K1832</f>
        <v/>
      </c>
      <c r="H1832" s="29">
        <f>Data_thang!N1832</f>
        <v/>
      </c>
      <c r="I1832" s="29">
        <f>H1832-G1832</f>
        <v/>
      </c>
      <c r="J1832" s="30">
        <f>IF(H1832=0,IF(I1832=0,0,1),I1832/ABS(H1832))</f>
        <v/>
      </c>
      <c r="K1832" s="29">
        <f>H1832-(Data_thang!O1832-Data_thang!K1832)</f>
        <v/>
      </c>
      <c r="L1832">
        <f>IF(AND(ABS(I1832)&gt;Dashboard!$G$6,ABS(J1832)&gt;Dashboard!$H$6),"⚠ Vượt","")</f>
        <v/>
      </c>
      <c r="M1832">
        <f>IF(AND(A1832=Dashboard!$D$6,OR(Dashboard!$C$6="*",F1832=Dashboard!$C$6),L1832&lt;&gt;""),ABS(I1832)+ROW()/1000000000,0)</f>
        <v/>
      </c>
    </row>
    <row r="1833">
      <c r="A1833">
        <f>Data_thang!A1833</f>
        <v/>
      </c>
      <c r="B1833">
        <f>Data_thang!B1833</f>
        <v/>
      </c>
      <c r="C1833">
        <f>Data_thang!D1833</f>
        <v/>
      </c>
      <c r="D1833">
        <f>Data_thang!E1833</f>
        <v/>
      </c>
      <c r="E1833">
        <f>Data_thang!F1833</f>
        <v/>
      </c>
      <c r="F1833">
        <f>Data_thang!G1833</f>
        <v/>
      </c>
      <c r="G1833" s="29">
        <f>Data_thang!J1833-Data_thang!K1833</f>
        <v/>
      </c>
      <c r="H1833" s="29">
        <f>Data_thang!N1833</f>
        <v/>
      </c>
      <c r="I1833" s="29">
        <f>H1833-G1833</f>
        <v/>
      </c>
      <c r="J1833" s="30">
        <f>IF(H1833=0,IF(I1833=0,0,1),I1833/ABS(H1833))</f>
        <v/>
      </c>
      <c r="K1833" s="29">
        <f>H1833-(Data_thang!O1833-Data_thang!K1833)</f>
        <v/>
      </c>
      <c r="L1833">
        <f>IF(AND(ABS(I1833)&gt;Dashboard!$G$6,ABS(J1833)&gt;Dashboard!$H$6),"⚠ Vượt","")</f>
        <v/>
      </c>
      <c r="M1833">
        <f>IF(AND(A1833=Dashboard!$D$6,OR(Dashboard!$C$6="*",F1833=Dashboard!$C$6),L1833&lt;&gt;""),ABS(I1833)+ROW()/1000000000,0)</f>
        <v/>
      </c>
    </row>
    <row r="1834">
      <c r="A1834">
        <f>Data_thang!A1834</f>
        <v/>
      </c>
      <c r="B1834">
        <f>Data_thang!B1834</f>
        <v/>
      </c>
      <c r="C1834">
        <f>Data_thang!D1834</f>
        <v/>
      </c>
      <c r="D1834">
        <f>Data_thang!E1834</f>
        <v/>
      </c>
      <c r="E1834">
        <f>Data_thang!F1834</f>
        <v/>
      </c>
      <c r="F1834">
        <f>Data_thang!G1834</f>
        <v/>
      </c>
      <c r="G1834" s="29">
        <f>Data_thang!J1834-Data_thang!K1834</f>
        <v/>
      </c>
      <c r="H1834" s="29">
        <f>Data_thang!N1834</f>
        <v/>
      </c>
      <c r="I1834" s="29">
        <f>H1834-G1834</f>
        <v/>
      </c>
      <c r="J1834" s="30">
        <f>IF(H1834=0,IF(I1834=0,0,1),I1834/ABS(H1834))</f>
        <v/>
      </c>
      <c r="K1834" s="29">
        <f>H1834-(Data_thang!O1834-Data_thang!K1834)</f>
        <v/>
      </c>
      <c r="L1834">
        <f>IF(AND(ABS(I1834)&gt;Dashboard!$G$6,ABS(J1834)&gt;Dashboard!$H$6),"⚠ Vượt","")</f>
        <v/>
      </c>
      <c r="M1834">
        <f>IF(AND(A1834=Dashboard!$D$6,OR(Dashboard!$C$6="*",F1834=Dashboard!$C$6),L1834&lt;&gt;""),ABS(I1834)+ROW()/1000000000,0)</f>
        <v/>
      </c>
    </row>
    <row r="1835">
      <c r="A1835">
        <f>Data_thang!A1835</f>
        <v/>
      </c>
      <c r="B1835">
        <f>Data_thang!B1835</f>
        <v/>
      </c>
      <c r="C1835">
        <f>Data_thang!D1835</f>
        <v/>
      </c>
      <c r="D1835">
        <f>Data_thang!E1835</f>
        <v/>
      </c>
      <c r="E1835">
        <f>Data_thang!F1835</f>
        <v/>
      </c>
      <c r="F1835">
        <f>Data_thang!G1835</f>
        <v/>
      </c>
      <c r="G1835" s="29">
        <f>Data_thang!J1835-Data_thang!K1835</f>
        <v/>
      </c>
      <c r="H1835" s="29">
        <f>Data_thang!N1835</f>
        <v/>
      </c>
      <c r="I1835" s="29">
        <f>H1835-G1835</f>
        <v/>
      </c>
      <c r="J1835" s="30">
        <f>IF(H1835=0,IF(I1835=0,0,1),I1835/ABS(H1835))</f>
        <v/>
      </c>
      <c r="K1835" s="29">
        <f>H1835-(Data_thang!O1835-Data_thang!K1835)</f>
        <v/>
      </c>
      <c r="L1835">
        <f>IF(AND(ABS(I1835)&gt;Dashboard!$G$6,ABS(J1835)&gt;Dashboard!$H$6),"⚠ Vượt","")</f>
        <v/>
      </c>
      <c r="M1835">
        <f>IF(AND(A1835=Dashboard!$D$6,OR(Dashboard!$C$6="*",F1835=Dashboard!$C$6),L1835&lt;&gt;""),ABS(I1835)+ROW()/1000000000,0)</f>
        <v/>
      </c>
    </row>
    <row r="1836">
      <c r="A1836">
        <f>Data_thang!A1836</f>
        <v/>
      </c>
      <c r="B1836">
        <f>Data_thang!B1836</f>
        <v/>
      </c>
      <c r="C1836">
        <f>Data_thang!D1836</f>
        <v/>
      </c>
      <c r="D1836">
        <f>Data_thang!E1836</f>
        <v/>
      </c>
      <c r="E1836">
        <f>Data_thang!F1836</f>
        <v/>
      </c>
      <c r="F1836">
        <f>Data_thang!G1836</f>
        <v/>
      </c>
      <c r="G1836" s="29">
        <f>Data_thang!J1836-Data_thang!K1836</f>
        <v/>
      </c>
      <c r="H1836" s="29">
        <f>Data_thang!N1836</f>
        <v/>
      </c>
      <c r="I1836" s="29">
        <f>H1836-G1836</f>
        <v/>
      </c>
      <c r="J1836" s="30">
        <f>IF(H1836=0,IF(I1836=0,0,1),I1836/ABS(H1836))</f>
        <v/>
      </c>
      <c r="K1836" s="29">
        <f>H1836-(Data_thang!O1836-Data_thang!K1836)</f>
        <v/>
      </c>
      <c r="L1836">
        <f>IF(AND(ABS(I1836)&gt;Dashboard!$G$6,ABS(J1836)&gt;Dashboard!$H$6),"⚠ Vượt","")</f>
        <v/>
      </c>
      <c r="M1836">
        <f>IF(AND(A1836=Dashboard!$D$6,OR(Dashboard!$C$6="*",F1836=Dashboard!$C$6),L1836&lt;&gt;""),ABS(I1836)+ROW()/1000000000,0)</f>
        <v/>
      </c>
    </row>
    <row r="1837">
      <c r="A1837">
        <f>Data_thang!A1837</f>
        <v/>
      </c>
      <c r="B1837">
        <f>Data_thang!B1837</f>
        <v/>
      </c>
      <c r="C1837">
        <f>Data_thang!D1837</f>
        <v/>
      </c>
      <c r="D1837">
        <f>Data_thang!E1837</f>
        <v/>
      </c>
      <c r="E1837">
        <f>Data_thang!F1837</f>
        <v/>
      </c>
      <c r="F1837">
        <f>Data_thang!G1837</f>
        <v/>
      </c>
      <c r="G1837" s="29">
        <f>Data_thang!J1837-Data_thang!K1837</f>
        <v/>
      </c>
      <c r="H1837" s="29">
        <f>Data_thang!N1837</f>
        <v/>
      </c>
      <c r="I1837" s="29">
        <f>H1837-G1837</f>
        <v/>
      </c>
      <c r="J1837" s="30">
        <f>IF(H1837=0,IF(I1837=0,0,1),I1837/ABS(H1837))</f>
        <v/>
      </c>
      <c r="K1837" s="29">
        <f>H1837-(Data_thang!O1837-Data_thang!K1837)</f>
        <v/>
      </c>
      <c r="L1837">
        <f>IF(AND(ABS(I1837)&gt;Dashboard!$G$6,ABS(J1837)&gt;Dashboard!$H$6),"⚠ Vượt","")</f>
        <v/>
      </c>
      <c r="M1837">
        <f>IF(AND(A1837=Dashboard!$D$6,OR(Dashboard!$C$6="*",F1837=Dashboard!$C$6),L1837&lt;&gt;""),ABS(I1837)+ROW()/1000000000,0)</f>
        <v/>
      </c>
    </row>
    <row r="1838">
      <c r="A1838">
        <f>Data_thang!A1838</f>
        <v/>
      </c>
      <c r="B1838">
        <f>Data_thang!B1838</f>
        <v/>
      </c>
      <c r="C1838">
        <f>Data_thang!D1838</f>
        <v/>
      </c>
      <c r="D1838">
        <f>Data_thang!E1838</f>
        <v/>
      </c>
      <c r="E1838">
        <f>Data_thang!F1838</f>
        <v/>
      </c>
      <c r="F1838">
        <f>Data_thang!G1838</f>
        <v/>
      </c>
      <c r="G1838" s="29">
        <f>Data_thang!J1838-Data_thang!K1838</f>
        <v/>
      </c>
      <c r="H1838" s="29">
        <f>Data_thang!N1838</f>
        <v/>
      </c>
      <c r="I1838" s="29">
        <f>H1838-G1838</f>
        <v/>
      </c>
      <c r="J1838" s="30">
        <f>IF(H1838=0,IF(I1838=0,0,1),I1838/ABS(H1838))</f>
        <v/>
      </c>
      <c r="K1838" s="29">
        <f>H1838-(Data_thang!O1838-Data_thang!K1838)</f>
        <v/>
      </c>
      <c r="L1838">
        <f>IF(AND(ABS(I1838)&gt;Dashboard!$G$6,ABS(J1838)&gt;Dashboard!$H$6),"⚠ Vượt","")</f>
        <v/>
      </c>
      <c r="M1838">
        <f>IF(AND(A1838=Dashboard!$D$6,OR(Dashboard!$C$6="*",F1838=Dashboard!$C$6),L1838&lt;&gt;""),ABS(I1838)+ROW()/1000000000,0)</f>
        <v/>
      </c>
    </row>
    <row r="1839">
      <c r="A1839">
        <f>Data_thang!A1839</f>
        <v/>
      </c>
      <c r="B1839">
        <f>Data_thang!B1839</f>
        <v/>
      </c>
      <c r="C1839">
        <f>Data_thang!D1839</f>
        <v/>
      </c>
      <c r="D1839">
        <f>Data_thang!E1839</f>
        <v/>
      </c>
      <c r="E1839">
        <f>Data_thang!F1839</f>
        <v/>
      </c>
      <c r="F1839">
        <f>Data_thang!G1839</f>
        <v/>
      </c>
      <c r="G1839" s="29">
        <f>Data_thang!J1839-Data_thang!K1839</f>
        <v/>
      </c>
      <c r="H1839" s="29">
        <f>Data_thang!N1839</f>
        <v/>
      </c>
      <c r="I1839" s="29">
        <f>H1839-G1839</f>
        <v/>
      </c>
      <c r="J1839" s="30">
        <f>IF(H1839=0,IF(I1839=0,0,1),I1839/ABS(H1839))</f>
        <v/>
      </c>
      <c r="K1839" s="29">
        <f>H1839-(Data_thang!O1839-Data_thang!K1839)</f>
        <v/>
      </c>
      <c r="L1839">
        <f>IF(AND(ABS(I1839)&gt;Dashboard!$G$6,ABS(J1839)&gt;Dashboard!$H$6),"⚠ Vượt","")</f>
        <v/>
      </c>
      <c r="M1839">
        <f>IF(AND(A1839=Dashboard!$D$6,OR(Dashboard!$C$6="*",F1839=Dashboard!$C$6),L1839&lt;&gt;""),ABS(I1839)+ROW()/1000000000,0)</f>
        <v/>
      </c>
    </row>
    <row r="1840">
      <c r="A1840">
        <f>Data_thang!A1840</f>
        <v/>
      </c>
      <c r="B1840">
        <f>Data_thang!B1840</f>
        <v/>
      </c>
      <c r="C1840">
        <f>Data_thang!D1840</f>
        <v/>
      </c>
      <c r="D1840">
        <f>Data_thang!E1840</f>
        <v/>
      </c>
      <c r="E1840">
        <f>Data_thang!F1840</f>
        <v/>
      </c>
      <c r="F1840">
        <f>Data_thang!G1840</f>
        <v/>
      </c>
      <c r="G1840" s="29">
        <f>Data_thang!J1840-Data_thang!K1840</f>
        <v/>
      </c>
      <c r="H1840" s="29">
        <f>Data_thang!N1840</f>
        <v/>
      </c>
      <c r="I1840" s="29">
        <f>H1840-G1840</f>
        <v/>
      </c>
      <c r="J1840" s="30">
        <f>IF(H1840=0,IF(I1840=0,0,1),I1840/ABS(H1840))</f>
        <v/>
      </c>
      <c r="K1840" s="29">
        <f>H1840-(Data_thang!O1840-Data_thang!K1840)</f>
        <v/>
      </c>
      <c r="L1840">
        <f>IF(AND(ABS(I1840)&gt;Dashboard!$G$6,ABS(J1840)&gt;Dashboard!$H$6),"⚠ Vượt","")</f>
        <v/>
      </c>
      <c r="M1840">
        <f>IF(AND(A1840=Dashboard!$D$6,OR(Dashboard!$C$6="*",F1840=Dashboard!$C$6),L1840&lt;&gt;""),ABS(I1840)+ROW()/1000000000,0)</f>
        <v/>
      </c>
    </row>
    <row r="1841">
      <c r="A1841">
        <f>Data_thang!A1841</f>
        <v/>
      </c>
      <c r="B1841">
        <f>Data_thang!B1841</f>
        <v/>
      </c>
      <c r="C1841">
        <f>Data_thang!D1841</f>
        <v/>
      </c>
      <c r="D1841">
        <f>Data_thang!E1841</f>
        <v/>
      </c>
      <c r="E1841">
        <f>Data_thang!F1841</f>
        <v/>
      </c>
      <c r="F1841">
        <f>Data_thang!G1841</f>
        <v/>
      </c>
      <c r="G1841" s="29">
        <f>Data_thang!J1841-Data_thang!K1841</f>
        <v/>
      </c>
      <c r="H1841" s="29">
        <f>Data_thang!N1841</f>
        <v/>
      </c>
      <c r="I1841" s="29">
        <f>H1841-G1841</f>
        <v/>
      </c>
      <c r="J1841" s="30">
        <f>IF(H1841=0,IF(I1841=0,0,1),I1841/ABS(H1841))</f>
        <v/>
      </c>
      <c r="K1841" s="29">
        <f>H1841-(Data_thang!O1841-Data_thang!K1841)</f>
        <v/>
      </c>
      <c r="L1841">
        <f>IF(AND(ABS(I1841)&gt;Dashboard!$G$6,ABS(J1841)&gt;Dashboard!$H$6),"⚠ Vượt","")</f>
        <v/>
      </c>
      <c r="M1841">
        <f>IF(AND(A1841=Dashboard!$D$6,OR(Dashboard!$C$6="*",F1841=Dashboard!$C$6),L1841&lt;&gt;""),ABS(I1841)+ROW()/1000000000,0)</f>
        <v/>
      </c>
    </row>
    <row r="1842">
      <c r="A1842">
        <f>Data_thang!A1842</f>
        <v/>
      </c>
      <c r="B1842">
        <f>Data_thang!B1842</f>
        <v/>
      </c>
      <c r="C1842">
        <f>Data_thang!D1842</f>
        <v/>
      </c>
      <c r="D1842">
        <f>Data_thang!E1842</f>
        <v/>
      </c>
      <c r="E1842">
        <f>Data_thang!F1842</f>
        <v/>
      </c>
      <c r="F1842">
        <f>Data_thang!G1842</f>
        <v/>
      </c>
      <c r="G1842" s="29">
        <f>Data_thang!J1842-Data_thang!K1842</f>
        <v/>
      </c>
      <c r="H1842" s="29">
        <f>Data_thang!N1842</f>
        <v/>
      </c>
      <c r="I1842" s="29">
        <f>H1842-G1842</f>
        <v/>
      </c>
      <c r="J1842" s="30">
        <f>IF(H1842=0,IF(I1842=0,0,1),I1842/ABS(H1842))</f>
        <v/>
      </c>
      <c r="K1842" s="29">
        <f>H1842-(Data_thang!O1842-Data_thang!K1842)</f>
        <v/>
      </c>
      <c r="L1842">
        <f>IF(AND(ABS(I1842)&gt;Dashboard!$G$6,ABS(J1842)&gt;Dashboard!$H$6),"⚠ Vượt","")</f>
        <v/>
      </c>
      <c r="M1842">
        <f>IF(AND(A1842=Dashboard!$D$6,OR(Dashboard!$C$6="*",F1842=Dashboard!$C$6),L1842&lt;&gt;""),ABS(I1842)+ROW()/1000000000,0)</f>
        <v/>
      </c>
    </row>
    <row r="1843">
      <c r="A1843">
        <f>Data_thang!A1843</f>
        <v/>
      </c>
      <c r="B1843">
        <f>Data_thang!B1843</f>
        <v/>
      </c>
      <c r="C1843">
        <f>Data_thang!D1843</f>
        <v/>
      </c>
      <c r="D1843">
        <f>Data_thang!E1843</f>
        <v/>
      </c>
      <c r="E1843">
        <f>Data_thang!F1843</f>
        <v/>
      </c>
      <c r="F1843">
        <f>Data_thang!G1843</f>
        <v/>
      </c>
      <c r="G1843" s="29">
        <f>Data_thang!J1843-Data_thang!K1843</f>
        <v/>
      </c>
      <c r="H1843" s="29">
        <f>Data_thang!N1843</f>
        <v/>
      </c>
      <c r="I1843" s="29">
        <f>H1843-G1843</f>
        <v/>
      </c>
      <c r="J1843" s="30">
        <f>IF(H1843=0,IF(I1843=0,0,1),I1843/ABS(H1843))</f>
        <v/>
      </c>
      <c r="K1843" s="29">
        <f>H1843-(Data_thang!O1843-Data_thang!K1843)</f>
        <v/>
      </c>
      <c r="L1843">
        <f>IF(AND(ABS(I1843)&gt;Dashboard!$G$6,ABS(J1843)&gt;Dashboard!$H$6),"⚠ Vượt","")</f>
        <v/>
      </c>
      <c r="M1843">
        <f>IF(AND(A1843=Dashboard!$D$6,OR(Dashboard!$C$6="*",F1843=Dashboard!$C$6),L1843&lt;&gt;""),ABS(I1843)+ROW()/1000000000,0)</f>
        <v/>
      </c>
    </row>
    <row r="1844">
      <c r="A1844">
        <f>Data_thang!A1844</f>
        <v/>
      </c>
      <c r="B1844">
        <f>Data_thang!B1844</f>
        <v/>
      </c>
      <c r="C1844">
        <f>Data_thang!D1844</f>
        <v/>
      </c>
      <c r="D1844">
        <f>Data_thang!E1844</f>
        <v/>
      </c>
      <c r="E1844">
        <f>Data_thang!F1844</f>
        <v/>
      </c>
      <c r="F1844">
        <f>Data_thang!G1844</f>
        <v/>
      </c>
      <c r="G1844" s="29">
        <f>Data_thang!J1844-Data_thang!K1844</f>
        <v/>
      </c>
      <c r="H1844" s="29">
        <f>Data_thang!N1844</f>
        <v/>
      </c>
      <c r="I1844" s="29">
        <f>H1844-G1844</f>
        <v/>
      </c>
      <c r="J1844" s="30">
        <f>IF(H1844=0,IF(I1844=0,0,1),I1844/ABS(H1844))</f>
        <v/>
      </c>
      <c r="K1844" s="29">
        <f>H1844-(Data_thang!O1844-Data_thang!K1844)</f>
        <v/>
      </c>
      <c r="L1844">
        <f>IF(AND(ABS(I1844)&gt;Dashboard!$G$6,ABS(J1844)&gt;Dashboard!$H$6),"⚠ Vượt","")</f>
        <v/>
      </c>
      <c r="M1844">
        <f>IF(AND(A1844=Dashboard!$D$6,OR(Dashboard!$C$6="*",F1844=Dashboard!$C$6),L1844&lt;&gt;""),ABS(I1844)+ROW()/1000000000,0)</f>
        <v/>
      </c>
    </row>
    <row r="1845">
      <c r="A1845">
        <f>Data_thang!A1845</f>
        <v/>
      </c>
      <c r="B1845">
        <f>Data_thang!B1845</f>
        <v/>
      </c>
      <c r="C1845">
        <f>Data_thang!D1845</f>
        <v/>
      </c>
      <c r="D1845">
        <f>Data_thang!E1845</f>
        <v/>
      </c>
      <c r="E1845">
        <f>Data_thang!F1845</f>
        <v/>
      </c>
      <c r="F1845">
        <f>Data_thang!G1845</f>
        <v/>
      </c>
      <c r="G1845" s="29">
        <f>Data_thang!J1845-Data_thang!K1845</f>
        <v/>
      </c>
      <c r="H1845" s="29">
        <f>Data_thang!N1845</f>
        <v/>
      </c>
      <c r="I1845" s="29">
        <f>H1845-G1845</f>
        <v/>
      </c>
      <c r="J1845" s="30">
        <f>IF(H1845=0,IF(I1845=0,0,1),I1845/ABS(H1845))</f>
        <v/>
      </c>
      <c r="K1845" s="29">
        <f>H1845-(Data_thang!O1845-Data_thang!K1845)</f>
        <v/>
      </c>
      <c r="L1845">
        <f>IF(AND(ABS(I1845)&gt;Dashboard!$G$6,ABS(J1845)&gt;Dashboard!$H$6),"⚠ Vượt","")</f>
        <v/>
      </c>
      <c r="M1845">
        <f>IF(AND(A1845=Dashboard!$D$6,OR(Dashboard!$C$6="*",F1845=Dashboard!$C$6),L1845&lt;&gt;""),ABS(I1845)+ROW()/1000000000,0)</f>
        <v/>
      </c>
    </row>
    <row r="1846">
      <c r="A1846">
        <f>Data_thang!A1846</f>
        <v/>
      </c>
      <c r="B1846">
        <f>Data_thang!B1846</f>
        <v/>
      </c>
      <c r="C1846">
        <f>Data_thang!D1846</f>
        <v/>
      </c>
      <c r="D1846">
        <f>Data_thang!E1846</f>
        <v/>
      </c>
      <c r="E1846">
        <f>Data_thang!F1846</f>
        <v/>
      </c>
      <c r="F1846">
        <f>Data_thang!G1846</f>
        <v/>
      </c>
      <c r="G1846" s="29">
        <f>Data_thang!J1846-Data_thang!K1846</f>
        <v/>
      </c>
      <c r="H1846" s="29">
        <f>Data_thang!N1846</f>
        <v/>
      </c>
      <c r="I1846" s="29">
        <f>H1846-G1846</f>
        <v/>
      </c>
      <c r="J1846" s="30">
        <f>IF(H1846=0,IF(I1846=0,0,1),I1846/ABS(H1846))</f>
        <v/>
      </c>
      <c r="K1846" s="29">
        <f>H1846-(Data_thang!O1846-Data_thang!K1846)</f>
        <v/>
      </c>
      <c r="L1846">
        <f>IF(AND(ABS(I1846)&gt;Dashboard!$G$6,ABS(J1846)&gt;Dashboard!$H$6),"⚠ Vượt","")</f>
        <v/>
      </c>
      <c r="M1846">
        <f>IF(AND(A1846=Dashboard!$D$6,OR(Dashboard!$C$6="*",F1846=Dashboard!$C$6),L1846&lt;&gt;""),ABS(I1846)+ROW()/1000000000,0)</f>
        <v/>
      </c>
    </row>
    <row r="1847">
      <c r="A1847">
        <f>Data_thang!A1847</f>
        <v/>
      </c>
      <c r="B1847">
        <f>Data_thang!B1847</f>
        <v/>
      </c>
      <c r="C1847">
        <f>Data_thang!D1847</f>
        <v/>
      </c>
      <c r="D1847">
        <f>Data_thang!E1847</f>
        <v/>
      </c>
      <c r="E1847">
        <f>Data_thang!F1847</f>
        <v/>
      </c>
      <c r="F1847">
        <f>Data_thang!G1847</f>
        <v/>
      </c>
      <c r="G1847" s="29">
        <f>Data_thang!J1847-Data_thang!K1847</f>
        <v/>
      </c>
      <c r="H1847" s="29">
        <f>Data_thang!N1847</f>
        <v/>
      </c>
      <c r="I1847" s="29">
        <f>H1847-G1847</f>
        <v/>
      </c>
      <c r="J1847" s="30">
        <f>IF(H1847=0,IF(I1847=0,0,1),I1847/ABS(H1847))</f>
        <v/>
      </c>
      <c r="K1847" s="29">
        <f>H1847-(Data_thang!O1847-Data_thang!K1847)</f>
        <v/>
      </c>
      <c r="L1847">
        <f>IF(AND(ABS(I1847)&gt;Dashboard!$G$6,ABS(J1847)&gt;Dashboard!$H$6),"⚠ Vượt","")</f>
        <v/>
      </c>
      <c r="M1847">
        <f>IF(AND(A1847=Dashboard!$D$6,OR(Dashboard!$C$6="*",F1847=Dashboard!$C$6),L1847&lt;&gt;""),ABS(I1847)+ROW()/1000000000,0)</f>
        <v/>
      </c>
    </row>
    <row r="1848">
      <c r="A1848">
        <f>Data_thang!A1848</f>
        <v/>
      </c>
      <c r="B1848">
        <f>Data_thang!B1848</f>
        <v/>
      </c>
      <c r="C1848">
        <f>Data_thang!D1848</f>
        <v/>
      </c>
      <c r="D1848">
        <f>Data_thang!E1848</f>
        <v/>
      </c>
      <c r="E1848">
        <f>Data_thang!F1848</f>
        <v/>
      </c>
      <c r="F1848">
        <f>Data_thang!G1848</f>
        <v/>
      </c>
      <c r="G1848" s="29">
        <f>Data_thang!J1848-Data_thang!K1848</f>
        <v/>
      </c>
      <c r="H1848" s="29">
        <f>Data_thang!N1848</f>
        <v/>
      </c>
      <c r="I1848" s="29">
        <f>H1848-G1848</f>
        <v/>
      </c>
      <c r="J1848" s="30">
        <f>IF(H1848=0,IF(I1848=0,0,1),I1848/ABS(H1848))</f>
        <v/>
      </c>
      <c r="K1848" s="29">
        <f>H1848-(Data_thang!O1848-Data_thang!K1848)</f>
        <v/>
      </c>
      <c r="L1848">
        <f>IF(AND(ABS(I1848)&gt;Dashboard!$G$6,ABS(J1848)&gt;Dashboard!$H$6),"⚠ Vượt","")</f>
        <v/>
      </c>
      <c r="M1848">
        <f>IF(AND(A1848=Dashboard!$D$6,OR(Dashboard!$C$6="*",F1848=Dashboard!$C$6),L1848&lt;&gt;""),ABS(I1848)+ROW()/1000000000,0)</f>
        <v/>
      </c>
    </row>
    <row r="1849">
      <c r="A1849">
        <f>Data_thang!A1849</f>
        <v/>
      </c>
      <c r="B1849">
        <f>Data_thang!B1849</f>
        <v/>
      </c>
      <c r="C1849">
        <f>Data_thang!D1849</f>
        <v/>
      </c>
      <c r="D1849">
        <f>Data_thang!E1849</f>
        <v/>
      </c>
      <c r="E1849">
        <f>Data_thang!F1849</f>
        <v/>
      </c>
      <c r="F1849">
        <f>Data_thang!G1849</f>
        <v/>
      </c>
      <c r="G1849" s="29">
        <f>Data_thang!J1849-Data_thang!K1849</f>
        <v/>
      </c>
      <c r="H1849" s="29">
        <f>Data_thang!N1849</f>
        <v/>
      </c>
      <c r="I1849" s="29">
        <f>H1849-G1849</f>
        <v/>
      </c>
      <c r="J1849" s="30">
        <f>IF(H1849=0,IF(I1849=0,0,1),I1849/ABS(H1849))</f>
        <v/>
      </c>
      <c r="K1849" s="29">
        <f>H1849-(Data_thang!O1849-Data_thang!K1849)</f>
        <v/>
      </c>
      <c r="L1849">
        <f>IF(AND(ABS(I1849)&gt;Dashboard!$G$6,ABS(J1849)&gt;Dashboard!$H$6),"⚠ Vượt","")</f>
        <v/>
      </c>
      <c r="M1849">
        <f>IF(AND(A1849=Dashboard!$D$6,OR(Dashboard!$C$6="*",F1849=Dashboard!$C$6),L1849&lt;&gt;""),ABS(I1849)+ROW()/1000000000,0)</f>
        <v/>
      </c>
    </row>
    <row r="1850">
      <c r="A1850">
        <f>Data_thang!A1850</f>
        <v/>
      </c>
      <c r="B1850">
        <f>Data_thang!B1850</f>
        <v/>
      </c>
      <c r="C1850">
        <f>Data_thang!D1850</f>
        <v/>
      </c>
      <c r="D1850">
        <f>Data_thang!E1850</f>
        <v/>
      </c>
      <c r="E1850">
        <f>Data_thang!F1850</f>
        <v/>
      </c>
      <c r="F1850">
        <f>Data_thang!G1850</f>
        <v/>
      </c>
      <c r="G1850" s="29">
        <f>Data_thang!J1850-Data_thang!K1850</f>
        <v/>
      </c>
      <c r="H1850" s="29">
        <f>Data_thang!N1850</f>
        <v/>
      </c>
      <c r="I1850" s="29">
        <f>H1850-G1850</f>
        <v/>
      </c>
      <c r="J1850" s="30">
        <f>IF(H1850=0,IF(I1850=0,0,1),I1850/ABS(H1850))</f>
        <v/>
      </c>
      <c r="K1850" s="29">
        <f>H1850-(Data_thang!O1850-Data_thang!K1850)</f>
        <v/>
      </c>
      <c r="L1850">
        <f>IF(AND(ABS(I1850)&gt;Dashboard!$G$6,ABS(J1850)&gt;Dashboard!$H$6),"⚠ Vượt","")</f>
        <v/>
      </c>
      <c r="M1850">
        <f>IF(AND(A1850=Dashboard!$D$6,OR(Dashboard!$C$6="*",F1850=Dashboard!$C$6),L1850&lt;&gt;""),ABS(I1850)+ROW()/1000000000,0)</f>
        <v/>
      </c>
    </row>
    <row r="1851">
      <c r="A1851">
        <f>Data_thang!A1851</f>
        <v/>
      </c>
      <c r="B1851">
        <f>Data_thang!B1851</f>
        <v/>
      </c>
      <c r="C1851">
        <f>Data_thang!D1851</f>
        <v/>
      </c>
      <c r="D1851">
        <f>Data_thang!E1851</f>
        <v/>
      </c>
      <c r="E1851">
        <f>Data_thang!F1851</f>
        <v/>
      </c>
      <c r="F1851">
        <f>Data_thang!G1851</f>
        <v/>
      </c>
      <c r="G1851" s="29">
        <f>Data_thang!J1851-Data_thang!K1851</f>
        <v/>
      </c>
      <c r="H1851" s="29">
        <f>Data_thang!N1851</f>
        <v/>
      </c>
      <c r="I1851" s="29">
        <f>H1851-G1851</f>
        <v/>
      </c>
      <c r="J1851" s="30">
        <f>IF(H1851=0,IF(I1851=0,0,1),I1851/ABS(H1851))</f>
        <v/>
      </c>
      <c r="K1851" s="29">
        <f>H1851-(Data_thang!O1851-Data_thang!K1851)</f>
        <v/>
      </c>
      <c r="L1851">
        <f>IF(AND(ABS(I1851)&gt;Dashboard!$G$6,ABS(J1851)&gt;Dashboard!$H$6),"⚠ Vượt","")</f>
        <v/>
      </c>
      <c r="M1851">
        <f>IF(AND(A1851=Dashboard!$D$6,OR(Dashboard!$C$6="*",F1851=Dashboard!$C$6),L1851&lt;&gt;""),ABS(I1851)+ROW()/1000000000,0)</f>
        <v/>
      </c>
    </row>
    <row r="1852">
      <c r="A1852">
        <f>Data_thang!A1852</f>
        <v/>
      </c>
      <c r="B1852">
        <f>Data_thang!B1852</f>
        <v/>
      </c>
      <c r="C1852">
        <f>Data_thang!D1852</f>
        <v/>
      </c>
      <c r="D1852">
        <f>Data_thang!E1852</f>
        <v/>
      </c>
      <c r="E1852">
        <f>Data_thang!F1852</f>
        <v/>
      </c>
      <c r="F1852">
        <f>Data_thang!G1852</f>
        <v/>
      </c>
      <c r="G1852" s="29">
        <f>Data_thang!J1852-Data_thang!K1852</f>
        <v/>
      </c>
      <c r="H1852" s="29">
        <f>Data_thang!N1852</f>
        <v/>
      </c>
      <c r="I1852" s="29">
        <f>H1852-G1852</f>
        <v/>
      </c>
      <c r="J1852" s="30">
        <f>IF(H1852=0,IF(I1852=0,0,1),I1852/ABS(H1852))</f>
        <v/>
      </c>
      <c r="K1852" s="29">
        <f>H1852-(Data_thang!O1852-Data_thang!K1852)</f>
        <v/>
      </c>
      <c r="L1852">
        <f>IF(AND(ABS(I1852)&gt;Dashboard!$G$6,ABS(J1852)&gt;Dashboard!$H$6),"⚠ Vượt","")</f>
        <v/>
      </c>
      <c r="M1852">
        <f>IF(AND(A1852=Dashboard!$D$6,OR(Dashboard!$C$6="*",F1852=Dashboard!$C$6),L1852&lt;&gt;""),ABS(I1852)+ROW()/1000000000,0)</f>
        <v/>
      </c>
    </row>
    <row r="1853">
      <c r="A1853">
        <f>Data_thang!A1853</f>
        <v/>
      </c>
      <c r="B1853">
        <f>Data_thang!B1853</f>
        <v/>
      </c>
      <c r="C1853">
        <f>Data_thang!D1853</f>
        <v/>
      </c>
      <c r="D1853">
        <f>Data_thang!E1853</f>
        <v/>
      </c>
      <c r="E1853">
        <f>Data_thang!F1853</f>
        <v/>
      </c>
      <c r="F1853">
        <f>Data_thang!G1853</f>
        <v/>
      </c>
      <c r="G1853" s="29">
        <f>Data_thang!J1853-Data_thang!K1853</f>
        <v/>
      </c>
      <c r="H1853" s="29">
        <f>Data_thang!N1853</f>
        <v/>
      </c>
      <c r="I1853" s="29">
        <f>H1853-G1853</f>
        <v/>
      </c>
      <c r="J1853" s="30">
        <f>IF(H1853=0,IF(I1853=0,0,1),I1853/ABS(H1853))</f>
        <v/>
      </c>
      <c r="K1853" s="29">
        <f>H1853-(Data_thang!O1853-Data_thang!K1853)</f>
        <v/>
      </c>
      <c r="L1853">
        <f>IF(AND(ABS(I1853)&gt;Dashboard!$G$6,ABS(J1853)&gt;Dashboard!$H$6),"⚠ Vượt","")</f>
        <v/>
      </c>
      <c r="M1853">
        <f>IF(AND(A1853=Dashboard!$D$6,OR(Dashboard!$C$6="*",F1853=Dashboard!$C$6),L1853&lt;&gt;""),ABS(I1853)+ROW()/1000000000,0)</f>
        <v/>
      </c>
    </row>
    <row r="1854">
      <c r="A1854">
        <f>Data_thang!A1854</f>
        <v/>
      </c>
      <c r="B1854">
        <f>Data_thang!B1854</f>
        <v/>
      </c>
      <c r="C1854">
        <f>Data_thang!D1854</f>
        <v/>
      </c>
      <c r="D1854">
        <f>Data_thang!E1854</f>
        <v/>
      </c>
      <c r="E1854">
        <f>Data_thang!F1854</f>
        <v/>
      </c>
      <c r="F1854">
        <f>Data_thang!G1854</f>
        <v/>
      </c>
      <c r="G1854" s="29">
        <f>Data_thang!J1854-Data_thang!K1854</f>
        <v/>
      </c>
      <c r="H1854" s="29">
        <f>Data_thang!N1854</f>
        <v/>
      </c>
      <c r="I1854" s="29">
        <f>H1854-G1854</f>
        <v/>
      </c>
      <c r="J1854" s="30">
        <f>IF(H1854=0,IF(I1854=0,0,1),I1854/ABS(H1854))</f>
        <v/>
      </c>
      <c r="K1854" s="29">
        <f>H1854-(Data_thang!O1854-Data_thang!K1854)</f>
        <v/>
      </c>
      <c r="L1854">
        <f>IF(AND(ABS(I1854)&gt;Dashboard!$G$6,ABS(J1854)&gt;Dashboard!$H$6),"⚠ Vượt","")</f>
        <v/>
      </c>
      <c r="M1854">
        <f>IF(AND(A1854=Dashboard!$D$6,OR(Dashboard!$C$6="*",F1854=Dashboard!$C$6),L1854&lt;&gt;""),ABS(I1854)+ROW()/1000000000,0)</f>
        <v/>
      </c>
    </row>
    <row r="1855">
      <c r="A1855">
        <f>Data_thang!A1855</f>
        <v/>
      </c>
      <c r="B1855">
        <f>Data_thang!B1855</f>
        <v/>
      </c>
      <c r="C1855">
        <f>Data_thang!D1855</f>
        <v/>
      </c>
      <c r="D1855">
        <f>Data_thang!E1855</f>
        <v/>
      </c>
      <c r="E1855">
        <f>Data_thang!F1855</f>
        <v/>
      </c>
      <c r="F1855">
        <f>Data_thang!G1855</f>
        <v/>
      </c>
      <c r="G1855" s="29">
        <f>Data_thang!J1855-Data_thang!K1855</f>
        <v/>
      </c>
      <c r="H1855" s="29">
        <f>Data_thang!N1855</f>
        <v/>
      </c>
      <c r="I1855" s="29">
        <f>H1855-G1855</f>
        <v/>
      </c>
      <c r="J1855" s="30">
        <f>IF(H1855=0,IF(I1855=0,0,1),I1855/ABS(H1855))</f>
        <v/>
      </c>
      <c r="K1855" s="29">
        <f>H1855-(Data_thang!O1855-Data_thang!K1855)</f>
        <v/>
      </c>
      <c r="L1855">
        <f>IF(AND(ABS(I1855)&gt;Dashboard!$G$6,ABS(J1855)&gt;Dashboard!$H$6),"⚠ Vượt","")</f>
        <v/>
      </c>
      <c r="M1855">
        <f>IF(AND(A1855=Dashboard!$D$6,OR(Dashboard!$C$6="*",F1855=Dashboard!$C$6),L1855&lt;&gt;""),ABS(I1855)+ROW()/1000000000,0)</f>
        <v/>
      </c>
    </row>
    <row r="1856">
      <c r="A1856">
        <f>Data_thang!A1856</f>
        <v/>
      </c>
      <c r="B1856">
        <f>Data_thang!B1856</f>
        <v/>
      </c>
      <c r="C1856">
        <f>Data_thang!D1856</f>
        <v/>
      </c>
      <c r="D1856">
        <f>Data_thang!E1856</f>
        <v/>
      </c>
      <c r="E1856">
        <f>Data_thang!F1856</f>
        <v/>
      </c>
      <c r="F1856">
        <f>Data_thang!G1856</f>
        <v/>
      </c>
      <c r="G1856" s="29">
        <f>Data_thang!J1856-Data_thang!K1856</f>
        <v/>
      </c>
      <c r="H1856" s="29">
        <f>Data_thang!N1856</f>
        <v/>
      </c>
      <c r="I1856" s="29">
        <f>H1856-G1856</f>
        <v/>
      </c>
      <c r="J1856" s="30">
        <f>IF(H1856=0,IF(I1856=0,0,1),I1856/ABS(H1856))</f>
        <v/>
      </c>
      <c r="K1856" s="29">
        <f>H1856-(Data_thang!O1856-Data_thang!K1856)</f>
        <v/>
      </c>
      <c r="L1856">
        <f>IF(AND(ABS(I1856)&gt;Dashboard!$G$6,ABS(J1856)&gt;Dashboard!$H$6),"⚠ Vượt","")</f>
        <v/>
      </c>
      <c r="M1856">
        <f>IF(AND(A1856=Dashboard!$D$6,OR(Dashboard!$C$6="*",F1856=Dashboard!$C$6),L1856&lt;&gt;""),ABS(I1856)+ROW()/1000000000,0)</f>
        <v/>
      </c>
    </row>
    <row r="1857">
      <c r="A1857">
        <f>Data_thang!A1857</f>
        <v/>
      </c>
      <c r="B1857">
        <f>Data_thang!B1857</f>
        <v/>
      </c>
      <c r="C1857">
        <f>Data_thang!D1857</f>
        <v/>
      </c>
      <c r="D1857">
        <f>Data_thang!E1857</f>
        <v/>
      </c>
      <c r="E1857">
        <f>Data_thang!F1857</f>
        <v/>
      </c>
      <c r="F1857">
        <f>Data_thang!G1857</f>
        <v/>
      </c>
      <c r="G1857" s="29">
        <f>Data_thang!J1857-Data_thang!K1857</f>
        <v/>
      </c>
      <c r="H1857" s="29">
        <f>Data_thang!N1857</f>
        <v/>
      </c>
      <c r="I1857" s="29">
        <f>H1857-G1857</f>
        <v/>
      </c>
      <c r="J1857" s="30">
        <f>IF(H1857=0,IF(I1857=0,0,1),I1857/ABS(H1857))</f>
        <v/>
      </c>
      <c r="K1857" s="29">
        <f>H1857-(Data_thang!O1857-Data_thang!K1857)</f>
        <v/>
      </c>
      <c r="L1857">
        <f>IF(AND(ABS(I1857)&gt;Dashboard!$G$6,ABS(J1857)&gt;Dashboard!$H$6),"⚠ Vượt","")</f>
        <v/>
      </c>
      <c r="M1857">
        <f>IF(AND(A1857=Dashboard!$D$6,OR(Dashboard!$C$6="*",F1857=Dashboard!$C$6),L1857&lt;&gt;""),ABS(I1857)+ROW()/1000000000,0)</f>
        <v/>
      </c>
    </row>
    <row r="1858">
      <c r="A1858">
        <f>Data_thang!A1858</f>
        <v/>
      </c>
      <c r="B1858">
        <f>Data_thang!B1858</f>
        <v/>
      </c>
      <c r="C1858">
        <f>Data_thang!D1858</f>
        <v/>
      </c>
      <c r="D1858">
        <f>Data_thang!E1858</f>
        <v/>
      </c>
      <c r="E1858">
        <f>Data_thang!F1858</f>
        <v/>
      </c>
      <c r="F1858">
        <f>Data_thang!G1858</f>
        <v/>
      </c>
      <c r="G1858" s="29">
        <f>Data_thang!J1858-Data_thang!K1858</f>
        <v/>
      </c>
      <c r="H1858" s="29">
        <f>Data_thang!N1858</f>
        <v/>
      </c>
      <c r="I1858" s="29">
        <f>H1858-G1858</f>
        <v/>
      </c>
      <c r="J1858" s="30">
        <f>IF(H1858=0,IF(I1858=0,0,1),I1858/ABS(H1858))</f>
        <v/>
      </c>
      <c r="K1858" s="29">
        <f>H1858-(Data_thang!O1858-Data_thang!K1858)</f>
        <v/>
      </c>
      <c r="L1858">
        <f>IF(AND(ABS(I1858)&gt;Dashboard!$G$6,ABS(J1858)&gt;Dashboard!$H$6),"⚠ Vượt","")</f>
        <v/>
      </c>
      <c r="M1858">
        <f>IF(AND(A1858=Dashboard!$D$6,OR(Dashboard!$C$6="*",F1858=Dashboard!$C$6),L1858&lt;&gt;""),ABS(I1858)+ROW()/1000000000,0)</f>
        <v/>
      </c>
    </row>
    <row r="1859">
      <c r="A1859">
        <f>Data_thang!A1859</f>
        <v/>
      </c>
      <c r="B1859">
        <f>Data_thang!B1859</f>
        <v/>
      </c>
      <c r="C1859">
        <f>Data_thang!D1859</f>
        <v/>
      </c>
      <c r="D1859">
        <f>Data_thang!E1859</f>
        <v/>
      </c>
      <c r="E1859">
        <f>Data_thang!F1859</f>
        <v/>
      </c>
      <c r="F1859">
        <f>Data_thang!G1859</f>
        <v/>
      </c>
      <c r="G1859" s="29">
        <f>Data_thang!J1859-Data_thang!K1859</f>
        <v/>
      </c>
      <c r="H1859" s="29">
        <f>Data_thang!N1859</f>
        <v/>
      </c>
      <c r="I1859" s="29">
        <f>H1859-G1859</f>
        <v/>
      </c>
      <c r="J1859" s="30">
        <f>IF(H1859=0,IF(I1859=0,0,1),I1859/ABS(H1859))</f>
        <v/>
      </c>
      <c r="K1859" s="29">
        <f>H1859-(Data_thang!O1859-Data_thang!K1859)</f>
        <v/>
      </c>
      <c r="L1859">
        <f>IF(AND(ABS(I1859)&gt;Dashboard!$G$6,ABS(J1859)&gt;Dashboard!$H$6),"⚠ Vượt","")</f>
        <v/>
      </c>
      <c r="M1859">
        <f>IF(AND(A1859=Dashboard!$D$6,OR(Dashboard!$C$6="*",F1859=Dashboard!$C$6),L1859&lt;&gt;""),ABS(I1859)+ROW()/1000000000,0)</f>
        <v/>
      </c>
    </row>
    <row r="1860">
      <c r="A1860">
        <f>Data_thang!A1860</f>
        <v/>
      </c>
      <c r="B1860">
        <f>Data_thang!B1860</f>
        <v/>
      </c>
      <c r="C1860">
        <f>Data_thang!D1860</f>
        <v/>
      </c>
      <c r="D1860">
        <f>Data_thang!E1860</f>
        <v/>
      </c>
      <c r="E1860">
        <f>Data_thang!F1860</f>
        <v/>
      </c>
      <c r="F1860">
        <f>Data_thang!G1860</f>
        <v/>
      </c>
      <c r="G1860" s="29">
        <f>Data_thang!J1860-Data_thang!K1860</f>
        <v/>
      </c>
      <c r="H1860" s="29">
        <f>Data_thang!N1860</f>
        <v/>
      </c>
      <c r="I1860" s="29">
        <f>H1860-G1860</f>
        <v/>
      </c>
      <c r="J1860" s="30">
        <f>IF(H1860=0,IF(I1860=0,0,1),I1860/ABS(H1860))</f>
        <v/>
      </c>
      <c r="K1860" s="29">
        <f>H1860-(Data_thang!O1860-Data_thang!K1860)</f>
        <v/>
      </c>
      <c r="L1860">
        <f>IF(AND(ABS(I1860)&gt;Dashboard!$G$6,ABS(J1860)&gt;Dashboard!$H$6),"⚠ Vượt","")</f>
        <v/>
      </c>
      <c r="M1860">
        <f>IF(AND(A1860=Dashboard!$D$6,OR(Dashboard!$C$6="*",F1860=Dashboard!$C$6),L1860&lt;&gt;""),ABS(I1860)+ROW()/1000000000,0)</f>
        <v/>
      </c>
    </row>
    <row r="1861">
      <c r="A1861">
        <f>Data_thang!A1861</f>
        <v/>
      </c>
      <c r="B1861">
        <f>Data_thang!B1861</f>
        <v/>
      </c>
      <c r="C1861">
        <f>Data_thang!D1861</f>
        <v/>
      </c>
      <c r="D1861">
        <f>Data_thang!E1861</f>
        <v/>
      </c>
      <c r="E1861">
        <f>Data_thang!F1861</f>
        <v/>
      </c>
      <c r="F1861">
        <f>Data_thang!G1861</f>
        <v/>
      </c>
      <c r="G1861" s="29">
        <f>Data_thang!J1861-Data_thang!K1861</f>
        <v/>
      </c>
      <c r="H1861" s="29">
        <f>Data_thang!N1861</f>
        <v/>
      </c>
      <c r="I1861" s="29">
        <f>H1861-G1861</f>
        <v/>
      </c>
      <c r="J1861" s="30">
        <f>IF(H1861=0,IF(I1861=0,0,1),I1861/ABS(H1861))</f>
        <v/>
      </c>
      <c r="K1861" s="29">
        <f>H1861-(Data_thang!O1861-Data_thang!K1861)</f>
        <v/>
      </c>
      <c r="L1861">
        <f>IF(AND(ABS(I1861)&gt;Dashboard!$G$6,ABS(J1861)&gt;Dashboard!$H$6),"⚠ Vượt","")</f>
        <v/>
      </c>
      <c r="M1861">
        <f>IF(AND(A1861=Dashboard!$D$6,OR(Dashboard!$C$6="*",F1861=Dashboard!$C$6),L1861&lt;&gt;""),ABS(I1861)+ROW()/1000000000,0)</f>
        <v/>
      </c>
    </row>
    <row r="1862">
      <c r="A1862">
        <f>Data_thang!A1862</f>
        <v/>
      </c>
      <c r="B1862">
        <f>Data_thang!B1862</f>
        <v/>
      </c>
      <c r="C1862">
        <f>Data_thang!D1862</f>
        <v/>
      </c>
      <c r="D1862">
        <f>Data_thang!E1862</f>
        <v/>
      </c>
      <c r="E1862">
        <f>Data_thang!F1862</f>
        <v/>
      </c>
      <c r="F1862">
        <f>Data_thang!G1862</f>
        <v/>
      </c>
      <c r="G1862" s="29">
        <f>Data_thang!J1862-Data_thang!K1862</f>
        <v/>
      </c>
      <c r="H1862" s="29">
        <f>Data_thang!N1862</f>
        <v/>
      </c>
      <c r="I1862" s="29">
        <f>H1862-G1862</f>
        <v/>
      </c>
      <c r="J1862" s="30">
        <f>IF(H1862=0,IF(I1862=0,0,1),I1862/ABS(H1862))</f>
        <v/>
      </c>
      <c r="K1862" s="29">
        <f>H1862-(Data_thang!O1862-Data_thang!K1862)</f>
        <v/>
      </c>
      <c r="L1862">
        <f>IF(AND(ABS(I1862)&gt;Dashboard!$G$6,ABS(J1862)&gt;Dashboard!$H$6),"⚠ Vượt","")</f>
        <v/>
      </c>
      <c r="M1862">
        <f>IF(AND(A1862=Dashboard!$D$6,OR(Dashboard!$C$6="*",F1862=Dashboard!$C$6),L1862&lt;&gt;""),ABS(I1862)+ROW()/1000000000,0)</f>
        <v/>
      </c>
    </row>
    <row r="1863">
      <c r="A1863">
        <f>Data_thang!A1863</f>
        <v/>
      </c>
      <c r="B1863">
        <f>Data_thang!B1863</f>
        <v/>
      </c>
      <c r="C1863">
        <f>Data_thang!D1863</f>
        <v/>
      </c>
      <c r="D1863">
        <f>Data_thang!E1863</f>
        <v/>
      </c>
      <c r="E1863">
        <f>Data_thang!F1863</f>
        <v/>
      </c>
      <c r="F1863">
        <f>Data_thang!G1863</f>
        <v/>
      </c>
      <c r="G1863" s="29">
        <f>Data_thang!J1863-Data_thang!K1863</f>
        <v/>
      </c>
      <c r="H1863" s="29">
        <f>Data_thang!N1863</f>
        <v/>
      </c>
      <c r="I1863" s="29">
        <f>H1863-G1863</f>
        <v/>
      </c>
      <c r="J1863" s="30">
        <f>IF(H1863=0,IF(I1863=0,0,1),I1863/ABS(H1863))</f>
        <v/>
      </c>
      <c r="K1863" s="29">
        <f>H1863-(Data_thang!O1863-Data_thang!K1863)</f>
        <v/>
      </c>
      <c r="L1863">
        <f>IF(AND(ABS(I1863)&gt;Dashboard!$G$6,ABS(J1863)&gt;Dashboard!$H$6),"⚠ Vượt","")</f>
        <v/>
      </c>
      <c r="M1863">
        <f>IF(AND(A1863=Dashboard!$D$6,OR(Dashboard!$C$6="*",F1863=Dashboard!$C$6),L1863&lt;&gt;""),ABS(I1863)+ROW()/1000000000,0)</f>
        <v/>
      </c>
    </row>
    <row r="1864">
      <c r="A1864">
        <f>Data_thang!A1864</f>
        <v/>
      </c>
      <c r="B1864">
        <f>Data_thang!B1864</f>
        <v/>
      </c>
      <c r="C1864">
        <f>Data_thang!D1864</f>
        <v/>
      </c>
      <c r="D1864">
        <f>Data_thang!E1864</f>
        <v/>
      </c>
      <c r="E1864">
        <f>Data_thang!F1864</f>
        <v/>
      </c>
      <c r="F1864">
        <f>Data_thang!G1864</f>
        <v/>
      </c>
      <c r="G1864" s="29">
        <f>Data_thang!J1864-Data_thang!K1864</f>
        <v/>
      </c>
      <c r="H1864" s="29">
        <f>Data_thang!N1864</f>
        <v/>
      </c>
      <c r="I1864" s="29">
        <f>H1864-G1864</f>
        <v/>
      </c>
      <c r="J1864" s="30">
        <f>IF(H1864=0,IF(I1864=0,0,1),I1864/ABS(H1864))</f>
        <v/>
      </c>
      <c r="K1864" s="29">
        <f>H1864-(Data_thang!O1864-Data_thang!K1864)</f>
        <v/>
      </c>
      <c r="L1864">
        <f>IF(AND(ABS(I1864)&gt;Dashboard!$G$6,ABS(J1864)&gt;Dashboard!$H$6),"⚠ Vượt","")</f>
        <v/>
      </c>
      <c r="M1864">
        <f>IF(AND(A1864=Dashboard!$D$6,OR(Dashboard!$C$6="*",F1864=Dashboard!$C$6),L1864&lt;&gt;""),ABS(I1864)+ROW()/1000000000,0)</f>
        <v/>
      </c>
    </row>
    <row r="1865">
      <c r="A1865">
        <f>Data_thang!A1865</f>
        <v/>
      </c>
      <c r="B1865">
        <f>Data_thang!B1865</f>
        <v/>
      </c>
      <c r="C1865">
        <f>Data_thang!D1865</f>
        <v/>
      </c>
      <c r="D1865">
        <f>Data_thang!E1865</f>
        <v/>
      </c>
      <c r="E1865">
        <f>Data_thang!F1865</f>
        <v/>
      </c>
      <c r="F1865">
        <f>Data_thang!G1865</f>
        <v/>
      </c>
      <c r="G1865" s="29">
        <f>Data_thang!J1865-Data_thang!K1865</f>
        <v/>
      </c>
      <c r="H1865" s="29">
        <f>Data_thang!N1865</f>
        <v/>
      </c>
      <c r="I1865" s="29">
        <f>H1865-G1865</f>
        <v/>
      </c>
      <c r="J1865" s="30">
        <f>IF(H1865=0,IF(I1865=0,0,1),I1865/ABS(H1865))</f>
        <v/>
      </c>
      <c r="K1865" s="29">
        <f>H1865-(Data_thang!O1865-Data_thang!K1865)</f>
        <v/>
      </c>
      <c r="L1865">
        <f>IF(AND(ABS(I1865)&gt;Dashboard!$G$6,ABS(J1865)&gt;Dashboard!$H$6),"⚠ Vượt","")</f>
        <v/>
      </c>
      <c r="M1865">
        <f>IF(AND(A1865=Dashboard!$D$6,OR(Dashboard!$C$6="*",F1865=Dashboard!$C$6),L1865&lt;&gt;""),ABS(I1865)+ROW()/1000000000,0)</f>
        <v/>
      </c>
    </row>
    <row r="1866">
      <c r="A1866">
        <f>Data_thang!A1866</f>
        <v/>
      </c>
      <c r="B1866">
        <f>Data_thang!B1866</f>
        <v/>
      </c>
      <c r="C1866">
        <f>Data_thang!D1866</f>
        <v/>
      </c>
      <c r="D1866">
        <f>Data_thang!E1866</f>
        <v/>
      </c>
      <c r="E1866">
        <f>Data_thang!F1866</f>
        <v/>
      </c>
      <c r="F1866">
        <f>Data_thang!G1866</f>
        <v/>
      </c>
      <c r="G1866" s="29">
        <f>Data_thang!J1866-Data_thang!K1866</f>
        <v/>
      </c>
      <c r="H1866" s="29">
        <f>Data_thang!N1866</f>
        <v/>
      </c>
      <c r="I1866" s="29">
        <f>H1866-G1866</f>
        <v/>
      </c>
      <c r="J1866" s="30">
        <f>IF(H1866=0,IF(I1866=0,0,1),I1866/ABS(H1866))</f>
        <v/>
      </c>
      <c r="K1866" s="29">
        <f>H1866-(Data_thang!O1866-Data_thang!K1866)</f>
        <v/>
      </c>
      <c r="L1866">
        <f>IF(AND(ABS(I1866)&gt;Dashboard!$G$6,ABS(J1866)&gt;Dashboard!$H$6),"⚠ Vượt","")</f>
        <v/>
      </c>
      <c r="M1866">
        <f>IF(AND(A1866=Dashboard!$D$6,OR(Dashboard!$C$6="*",F1866=Dashboard!$C$6),L1866&lt;&gt;""),ABS(I1866)+ROW()/1000000000,0)</f>
        <v/>
      </c>
    </row>
    <row r="1867">
      <c r="A1867">
        <f>Data_thang!A1867</f>
        <v/>
      </c>
      <c r="B1867">
        <f>Data_thang!B1867</f>
        <v/>
      </c>
      <c r="C1867">
        <f>Data_thang!D1867</f>
        <v/>
      </c>
      <c r="D1867">
        <f>Data_thang!E1867</f>
        <v/>
      </c>
      <c r="E1867">
        <f>Data_thang!F1867</f>
        <v/>
      </c>
      <c r="F1867">
        <f>Data_thang!G1867</f>
        <v/>
      </c>
      <c r="G1867" s="29">
        <f>Data_thang!J1867-Data_thang!K1867</f>
        <v/>
      </c>
      <c r="H1867" s="29">
        <f>Data_thang!N1867</f>
        <v/>
      </c>
      <c r="I1867" s="29">
        <f>H1867-G1867</f>
        <v/>
      </c>
      <c r="J1867" s="30">
        <f>IF(H1867=0,IF(I1867=0,0,1),I1867/ABS(H1867))</f>
        <v/>
      </c>
      <c r="K1867" s="29">
        <f>H1867-(Data_thang!O1867-Data_thang!K1867)</f>
        <v/>
      </c>
      <c r="L1867">
        <f>IF(AND(ABS(I1867)&gt;Dashboard!$G$6,ABS(J1867)&gt;Dashboard!$H$6),"⚠ Vượt","")</f>
        <v/>
      </c>
      <c r="M1867">
        <f>IF(AND(A1867=Dashboard!$D$6,OR(Dashboard!$C$6="*",F1867=Dashboard!$C$6),L1867&lt;&gt;""),ABS(I1867)+ROW()/1000000000,0)</f>
        <v/>
      </c>
    </row>
    <row r="1868">
      <c r="A1868">
        <f>Data_thang!A1868</f>
        <v/>
      </c>
      <c r="B1868">
        <f>Data_thang!B1868</f>
        <v/>
      </c>
      <c r="C1868">
        <f>Data_thang!D1868</f>
        <v/>
      </c>
      <c r="D1868">
        <f>Data_thang!E1868</f>
        <v/>
      </c>
      <c r="E1868">
        <f>Data_thang!F1868</f>
        <v/>
      </c>
      <c r="F1868">
        <f>Data_thang!G1868</f>
        <v/>
      </c>
      <c r="G1868" s="29">
        <f>Data_thang!J1868-Data_thang!K1868</f>
        <v/>
      </c>
      <c r="H1868" s="29">
        <f>Data_thang!N1868</f>
        <v/>
      </c>
      <c r="I1868" s="29">
        <f>H1868-G1868</f>
        <v/>
      </c>
      <c r="J1868" s="30">
        <f>IF(H1868=0,IF(I1868=0,0,1),I1868/ABS(H1868))</f>
        <v/>
      </c>
      <c r="K1868" s="29">
        <f>H1868-(Data_thang!O1868-Data_thang!K1868)</f>
        <v/>
      </c>
      <c r="L1868">
        <f>IF(AND(ABS(I1868)&gt;Dashboard!$G$6,ABS(J1868)&gt;Dashboard!$H$6),"⚠ Vượt","")</f>
        <v/>
      </c>
      <c r="M1868">
        <f>IF(AND(A1868=Dashboard!$D$6,OR(Dashboard!$C$6="*",F1868=Dashboard!$C$6),L1868&lt;&gt;""),ABS(I1868)+ROW()/1000000000,0)</f>
        <v/>
      </c>
    </row>
    <row r="1869">
      <c r="A1869">
        <f>Data_thang!A1869</f>
        <v/>
      </c>
      <c r="B1869">
        <f>Data_thang!B1869</f>
        <v/>
      </c>
      <c r="C1869">
        <f>Data_thang!D1869</f>
        <v/>
      </c>
      <c r="D1869">
        <f>Data_thang!E1869</f>
        <v/>
      </c>
      <c r="E1869">
        <f>Data_thang!F1869</f>
        <v/>
      </c>
      <c r="F1869">
        <f>Data_thang!G1869</f>
        <v/>
      </c>
      <c r="G1869" s="29">
        <f>Data_thang!J1869-Data_thang!K1869</f>
        <v/>
      </c>
      <c r="H1869" s="29">
        <f>Data_thang!N1869</f>
        <v/>
      </c>
      <c r="I1869" s="29">
        <f>H1869-G1869</f>
        <v/>
      </c>
      <c r="J1869" s="30">
        <f>IF(H1869=0,IF(I1869=0,0,1),I1869/ABS(H1869))</f>
        <v/>
      </c>
      <c r="K1869" s="29">
        <f>H1869-(Data_thang!O1869-Data_thang!K1869)</f>
        <v/>
      </c>
      <c r="L1869">
        <f>IF(AND(ABS(I1869)&gt;Dashboard!$G$6,ABS(J1869)&gt;Dashboard!$H$6),"⚠ Vượt","")</f>
        <v/>
      </c>
      <c r="M1869">
        <f>IF(AND(A1869=Dashboard!$D$6,OR(Dashboard!$C$6="*",F1869=Dashboard!$C$6),L1869&lt;&gt;""),ABS(I1869)+ROW()/1000000000,0)</f>
        <v/>
      </c>
    </row>
    <row r="1870">
      <c r="A1870">
        <f>Data_thang!A1870</f>
        <v/>
      </c>
      <c r="B1870">
        <f>Data_thang!B1870</f>
        <v/>
      </c>
      <c r="C1870">
        <f>Data_thang!D1870</f>
        <v/>
      </c>
      <c r="D1870">
        <f>Data_thang!E1870</f>
        <v/>
      </c>
      <c r="E1870">
        <f>Data_thang!F1870</f>
        <v/>
      </c>
      <c r="F1870">
        <f>Data_thang!G1870</f>
        <v/>
      </c>
      <c r="G1870" s="29">
        <f>Data_thang!J1870-Data_thang!K1870</f>
        <v/>
      </c>
      <c r="H1870" s="29">
        <f>Data_thang!N1870</f>
        <v/>
      </c>
      <c r="I1870" s="29">
        <f>H1870-G1870</f>
        <v/>
      </c>
      <c r="J1870" s="30">
        <f>IF(H1870=0,IF(I1870=0,0,1),I1870/ABS(H1870))</f>
        <v/>
      </c>
      <c r="K1870" s="29">
        <f>H1870-(Data_thang!O1870-Data_thang!K1870)</f>
        <v/>
      </c>
      <c r="L1870">
        <f>IF(AND(ABS(I1870)&gt;Dashboard!$G$6,ABS(J1870)&gt;Dashboard!$H$6),"⚠ Vượt","")</f>
        <v/>
      </c>
      <c r="M1870">
        <f>IF(AND(A1870=Dashboard!$D$6,OR(Dashboard!$C$6="*",F1870=Dashboard!$C$6),L1870&lt;&gt;""),ABS(I1870)+ROW()/1000000000,0)</f>
        <v/>
      </c>
    </row>
    <row r="1871">
      <c r="A1871">
        <f>Data_thang!A1871</f>
        <v/>
      </c>
      <c r="B1871">
        <f>Data_thang!B1871</f>
        <v/>
      </c>
      <c r="C1871">
        <f>Data_thang!D1871</f>
        <v/>
      </c>
      <c r="D1871">
        <f>Data_thang!E1871</f>
        <v/>
      </c>
      <c r="E1871">
        <f>Data_thang!F1871</f>
        <v/>
      </c>
      <c r="F1871">
        <f>Data_thang!G1871</f>
        <v/>
      </c>
      <c r="G1871" s="29">
        <f>Data_thang!J1871-Data_thang!K1871</f>
        <v/>
      </c>
      <c r="H1871" s="29">
        <f>Data_thang!N1871</f>
        <v/>
      </c>
      <c r="I1871" s="29">
        <f>H1871-G1871</f>
        <v/>
      </c>
      <c r="J1871" s="30">
        <f>IF(H1871=0,IF(I1871=0,0,1),I1871/ABS(H1871))</f>
        <v/>
      </c>
      <c r="K1871" s="29">
        <f>H1871-(Data_thang!O1871-Data_thang!K1871)</f>
        <v/>
      </c>
      <c r="L1871">
        <f>IF(AND(ABS(I1871)&gt;Dashboard!$G$6,ABS(J1871)&gt;Dashboard!$H$6),"⚠ Vượt","")</f>
        <v/>
      </c>
      <c r="M1871">
        <f>IF(AND(A1871=Dashboard!$D$6,OR(Dashboard!$C$6="*",F1871=Dashboard!$C$6),L1871&lt;&gt;""),ABS(I1871)+ROW()/1000000000,0)</f>
        <v/>
      </c>
    </row>
    <row r="1872">
      <c r="A1872">
        <f>Data_thang!A1872</f>
        <v/>
      </c>
      <c r="B1872">
        <f>Data_thang!B1872</f>
        <v/>
      </c>
      <c r="C1872">
        <f>Data_thang!D1872</f>
        <v/>
      </c>
      <c r="D1872">
        <f>Data_thang!E1872</f>
        <v/>
      </c>
      <c r="E1872">
        <f>Data_thang!F1872</f>
        <v/>
      </c>
      <c r="F1872">
        <f>Data_thang!G1872</f>
        <v/>
      </c>
      <c r="G1872" s="29">
        <f>Data_thang!J1872-Data_thang!K1872</f>
        <v/>
      </c>
      <c r="H1872" s="29">
        <f>Data_thang!N1872</f>
        <v/>
      </c>
      <c r="I1872" s="29">
        <f>H1872-G1872</f>
        <v/>
      </c>
      <c r="J1872" s="30">
        <f>IF(H1872=0,IF(I1872=0,0,1),I1872/ABS(H1872))</f>
        <v/>
      </c>
      <c r="K1872" s="29">
        <f>H1872-(Data_thang!O1872-Data_thang!K1872)</f>
        <v/>
      </c>
      <c r="L1872">
        <f>IF(AND(ABS(I1872)&gt;Dashboard!$G$6,ABS(J1872)&gt;Dashboard!$H$6),"⚠ Vượt","")</f>
        <v/>
      </c>
      <c r="M1872">
        <f>IF(AND(A1872=Dashboard!$D$6,OR(Dashboard!$C$6="*",F1872=Dashboard!$C$6),L1872&lt;&gt;""),ABS(I1872)+ROW()/1000000000,0)</f>
        <v/>
      </c>
    </row>
    <row r="1873">
      <c r="A1873">
        <f>Data_thang!A1873</f>
        <v/>
      </c>
      <c r="B1873">
        <f>Data_thang!B1873</f>
        <v/>
      </c>
      <c r="C1873">
        <f>Data_thang!D1873</f>
        <v/>
      </c>
      <c r="D1873">
        <f>Data_thang!E1873</f>
        <v/>
      </c>
      <c r="E1873">
        <f>Data_thang!F1873</f>
        <v/>
      </c>
      <c r="F1873">
        <f>Data_thang!G1873</f>
        <v/>
      </c>
      <c r="G1873" s="29">
        <f>Data_thang!J1873-Data_thang!K1873</f>
        <v/>
      </c>
      <c r="H1873" s="29">
        <f>Data_thang!N1873</f>
        <v/>
      </c>
      <c r="I1873" s="29">
        <f>H1873-G1873</f>
        <v/>
      </c>
      <c r="J1873" s="30">
        <f>IF(H1873=0,IF(I1873=0,0,1),I1873/ABS(H1873))</f>
        <v/>
      </c>
      <c r="K1873" s="29">
        <f>H1873-(Data_thang!O1873-Data_thang!K1873)</f>
        <v/>
      </c>
      <c r="L1873">
        <f>IF(AND(ABS(I1873)&gt;Dashboard!$G$6,ABS(J1873)&gt;Dashboard!$H$6),"⚠ Vượt","")</f>
        <v/>
      </c>
      <c r="M1873">
        <f>IF(AND(A1873=Dashboard!$D$6,OR(Dashboard!$C$6="*",F1873=Dashboard!$C$6),L1873&lt;&gt;""),ABS(I1873)+ROW()/1000000000,0)</f>
        <v/>
      </c>
    </row>
    <row r="1874">
      <c r="A1874">
        <f>Data_thang!A1874</f>
        <v/>
      </c>
      <c r="B1874">
        <f>Data_thang!B1874</f>
        <v/>
      </c>
      <c r="C1874">
        <f>Data_thang!D1874</f>
        <v/>
      </c>
      <c r="D1874">
        <f>Data_thang!E1874</f>
        <v/>
      </c>
      <c r="E1874">
        <f>Data_thang!F1874</f>
        <v/>
      </c>
      <c r="F1874">
        <f>Data_thang!G1874</f>
        <v/>
      </c>
      <c r="G1874" s="29">
        <f>Data_thang!J1874-Data_thang!K1874</f>
        <v/>
      </c>
      <c r="H1874" s="29">
        <f>Data_thang!N1874</f>
        <v/>
      </c>
      <c r="I1874" s="29">
        <f>H1874-G1874</f>
        <v/>
      </c>
      <c r="J1874" s="30">
        <f>IF(H1874=0,IF(I1874=0,0,1),I1874/ABS(H1874))</f>
        <v/>
      </c>
      <c r="K1874" s="29">
        <f>H1874-(Data_thang!O1874-Data_thang!K1874)</f>
        <v/>
      </c>
      <c r="L1874">
        <f>IF(AND(ABS(I1874)&gt;Dashboard!$G$6,ABS(J1874)&gt;Dashboard!$H$6),"⚠ Vượt","")</f>
        <v/>
      </c>
      <c r="M1874">
        <f>IF(AND(A1874=Dashboard!$D$6,OR(Dashboard!$C$6="*",F1874=Dashboard!$C$6),L1874&lt;&gt;""),ABS(I1874)+ROW()/1000000000,0)</f>
        <v/>
      </c>
    </row>
    <row r="1875">
      <c r="A1875">
        <f>Data_thang!A1875</f>
        <v/>
      </c>
      <c r="B1875">
        <f>Data_thang!B1875</f>
        <v/>
      </c>
      <c r="C1875">
        <f>Data_thang!D1875</f>
        <v/>
      </c>
      <c r="D1875">
        <f>Data_thang!E1875</f>
        <v/>
      </c>
      <c r="E1875">
        <f>Data_thang!F1875</f>
        <v/>
      </c>
      <c r="F1875">
        <f>Data_thang!G1875</f>
        <v/>
      </c>
      <c r="G1875" s="29">
        <f>Data_thang!J1875-Data_thang!K1875</f>
        <v/>
      </c>
      <c r="H1875" s="29">
        <f>Data_thang!N1875</f>
        <v/>
      </c>
      <c r="I1875" s="29">
        <f>H1875-G1875</f>
        <v/>
      </c>
      <c r="J1875" s="30">
        <f>IF(H1875=0,IF(I1875=0,0,1),I1875/ABS(H1875))</f>
        <v/>
      </c>
      <c r="K1875" s="29">
        <f>H1875-(Data_thang!O1875-Data_thang!K1875)</f>
        <v/>
      </c>
      <c r="L1875">
        <f>IF(AND(ABS(I1875)&gt;Dashboard!$G$6,ABS(J1875)&gt;Dashboard!$H$6),"⚠ Vượt","")</f>
        <v/>
      </c>
      <c r="M1875">
        <f>IF(AND(A1875=Dashboard!$D$6,OR(Dashboard!$C$6="*",F1875=Dashboard!$C$6),L1875&lt;&gt;""),ABS(I1875)+ROW()/1000000000,0)</f>
        <v/>
      </c>
    </row>
    <row r="1876">
      <c r="A1876">
        <f>Data_thang!A1876</f>
        <v/>
      </c>
      <c r="B1876">
        <f>Data_thang!B1876</f>
        <v/>
      </c>
      <c r="C1876">
        <f>Data_thang!D1876</f>
        <v/>
      </c>
      <c r="D1876">
        <f>Data_thang!E1876</f>
        <v/>
      </c>
      <c r="E1876">
        <f>Data_thang!F1876</f>
        <v/>
      </c>
      <c r="F1876">
        <f>Data_thang!G1876</f>
        <v/>
      </c>
      <c r="G1876" s="29">
        <f>Data_thang!J1876-Data_thang!K1876</f>
        <v/>
      </c>
      <c r="H1876" s="29">
        <f>Data_thang!N1876</f>
        <v/>
      </c>
      <c r="I1876" s="29">
        <f>H1876-G1876</f>
        <v/>
      </c>
      <c r="J1876" s="30">
        <f>IF(H1876=0,IF(I1876=0,0,1),I1876/ABS(H1876))</f>
        <v/>
      </c>
      <c r="K1876" s="29">
        <f>H1876-(Data_thang!O1876-Data_thang!K1876)</f>
        <v/>
      </c>
      <c r="L1876">
        <f>IF(AND(ABS(I1876)&gt;Dashboard!$G$6,ABS(J1876)&gt;Dashboard!$H$6),"⚠ Vượt","")</f>
        <v/>
      </c>
      <c r="M1876">
        <f>IF(AND(A1876=Dashboard!$D$6,OR(Dashboard!$C$6="*",F1876=Dashboard!$C$6),L1876&lt;&gt;""),ABS(I1876)+ROW()/1000000000,0)</f>
        <v/>
      </c>
    </row>
    <row r="1877">
      <c r="A1877">
        <f>Data_thang!A1877</f>
        <v/>
      </c>
      <c r="B1877">
        <f>Data_thang!B1877</f>
        <v/>
      </c>
      <c r="C1877">
        <f>Data_thang!D1877</f>
        <v/>
      </c>
      <c r="D1877">
        <f>Data_thang!E1877</f>
        <v/>
      </c>
      <c r="E1877">
        <f>Data_thang!F1877</f>
        <v/>
      </c>
      <c r="F1877">
        <f>Data_thang!G1877</f>
        <v/>
      </c>
      <c r="G1877" s="29">
        <f>Data_thang!J1877-Data_thang!K1877</f>
        <v/>
      </c>
      <c r="H1877" s="29">
        <f>Data_thang!N1877</f>
        <v/>
      </c>
      <c r="I1877" s="29">
        <f>H1877-G1877</f>
        <v/>
      </c>
      <c r="J1877" s="30">
        <f>IF(H1877=0,IF(I1877=0,0,1),I1877/ABS(H1877))</f>
        <v/>
      </c>
      <c r="K1877" s="29">
        <f>H1877-(Data_thang!O1877-Data_thang!K1877)</f>
        <v/>
      </c>
      <c r="L1877">
        <f>IF(AND(ABS(I1877)&gt;Dashboard!$G$6,ABS(J1877)&gt;Dashboard!$H$6),"⚠ Vượt","")</f>
        <v/>
      </c>
      <c r="M1877">
        <f>IF(AND(A1877=Dashboard!$D$6,OR(Dashboard!$C$6="*",F1877=Dashboard!$C$6),L1877&lt;&gt;""),ABS(I1877)+ROW()/1000000000,0)</f>
        <v/>
      </c>
    </row>
    <row r="1878">
      <c r="A1878">
        <f>Data_thang!A1878</f>
        <v/>
      </c>
      <c r="B1878">
        <f>Data_thang!B1878</f>
        <v/>
      </c>
      <c r="C1878">
        <f>Data_thang!D1878</f>
        <v/>
      </c>
      <c r="D1878">
        <f>Data_thang!E1878</f>
        <v/>
      </c>
      <c r="E1878">
        <f>Data_thang!F1878</f>
        <v/>
      </c>
      <c r="F1878">
        <f>Data_thang!G1878</f>
        <v/>
      </c>
      <c r="G1878" s="29">
        <f>Data_thang!J1878-Data_thang!K1878</f>
        <v/>
      </c>
      <c r="H1878" s="29">
        <f>Data_thang!N1878</f>
        <v/>
      </c>
      <c r="I1878" s="29">
        <f>H1878-G1878</f>
        <v/>
      </c>
      <c r="J1878" s="30">
        <f>IF(H1878=0,IF(I1878=0,0,1),I1878/ABS(H1878))</f>
        <v/>
      </c>
      <c r="K1878" s="29">
        <f>H1878-(Data_thang!O1878-Data_thang!K1878)</f>
        <v/>
      </c>
      <c r="L1878">
        <f>IF(AND(ABS(I1878)&gt;Dashboard!$G$6,ABS(J1878)&gt;Dashboard!$H$6),"⚠ Vượt","")</f>
        <v/>
      </c>
      <c r="M1878">
        <f>IF(AND(A1878=Dashboard!$D$6,OR(Dashboard!$C$6="*",F1878=Dashboard!$C$6),L1878&lt;&gt;""),ABS(I1878)+ROW()/1000000000,0)</f>
        <v/>
      </c>
    </row>
    <row r="1879">
      <c r="A1879">
        <f>Data_thang!A1879</f>
        <v/>
      </c>
      <c r="B1879">
        <f>Data_thang!B1879</f>
        <v/>
      </c>
      <c r="C1879">
        <f>Data_thang!D1879</f>
        <v/>
      </c>
      <c r="D1879">
        <f>Data_thang!E1879</f>
        <v/>
      </c>
      <c r="E1879">
        <f>Data_thang!F1879</f>
        <v/>
      </c>
      <c r="F1879">
        <f>Data_thang!G1879</f>
        <v/>
      </c>
      <c r="G1879" s="29">
        <f>Data_thang!J1879-Data_thang!K1879</f>
        <v/>
      </c>
      <c r="H1879" s="29">
        <f>Data_thang!N1879</f>
        <v/>
      </c>
      <c r="I1879" s="29">
        <f>H1879-G1879</f>
        <v/>
      </c>
      <c r="J1879" s="30">
        <f>IF(H1879=0,IF(I1879=0,0,1),I1879/ABS(H1879))</f>
        <v/>
      </c>
      <c r="K1879" s="29">
        <f>H1879-(Data_thang!O1879-Data_thang!K1879)</f>
        <v/>
      </c>
      <c r="L1879">
        <f>IF(AND(ABS(I1879)&gt;Dashboard!$G$6,ABS(J1879)&gt;Dashboard!$H$6),"⚠ Vượt","")</f>
        <v/>
      </c>
      <c r="M1879">
        <f>IF(AND(A1879=Dashboard!$D$6,OR(Dashboard!$C$6="*",F1879=Dashboard!$C$6),L1879&lt;&gt;""),ABS(I1879)+ROW()/1000000000,0)</f>
        <v/>
      </c>
    </row>
    <row r="1880">
      <c r="A1880">
        <f>Data_thang!A1880</f>
        <v/>
      </c>
      <c r="B1880">
        <f>Data_thang!B1880</f>
        <v/>
      </c>
      <c r="C1880">
        <f>Data_thang!D1880</f>
        <v/>
      </c>
      <c r="D1880">
        <f>Data_thang!E1880</f>
        <v/>
      </c>
      <c r="E1880">
        <f>Data_thang!F1880</f>
        <v/>
      </c>
      <c r="F1880">
        <f>Data_thang!G1880</f>
        <v/>
      </c>
      <c r="G1880" s="29">
        <f>Data_thang!J1880-Data_thang!K1880</f>
        <v/>
      </c>
      <c r="H1880" s="29">
        <f>Data_thang!N1880</f>
        <v/>
      </c>
      <c r="I1880" s="29">
        <f>H1880-G1880</f>
        <v/>
      </c>
      <c r="J1880" s="30">
        <f>IF(H1880=0,IF(I1880=0,0,1),I1880/ABS(H1880))</f>
        <v/>
      </c>
      <c r="K1880" s="29">
        <f>H1880-(Data_thang!O1880-Data_thang!K1880)</f>
        <v/>
      </c>
      <c r="L1880">
        <f>IF(AND(ABS(I1880)&gt;Dashboard!$G$6,ABS(J1880)&gt;Dashboard!$H$6),"⚠ Vượt","")</f>
        <v/>
      </c>
      <c r="M1880">
        <f>IF(AND(A1880=Dashboard!$D$6,OR(Dashboard!$C$6="*",F1880=Dashboard!$C$6),L1880&lt;&gt;""),ABS(I1880)+ROW()/1000000000,0)</f>
        <v/>
      </c>
    </row>
    <row r="1881">
      <c r="A1881">
        <f>Data_thang!A1881</f>
        <v/>
      </c>
      <c r="B1881">
        <f>Data_thang!B1881</f>
        <v/>
      </c>
      <c r="C1881">
        <f>Data_thang!D1881</f>
        <v/>
      </c>
      <c r="D1881">
        <f>Data_thang!E1881</f>
        <v/>
      </c>
      <c r="E1881">
        <f>Data_thang!F1881</f>
        <v/>
      </c>
      <c r="F1881">
        <f>Data_thang!G1881</f>
        <v/>
      </c>
      <c r="G1881" s="29">
        <f>Data_thang!J1881-Data_thang!K1881</f>
        <v/>
      </c>
      <c r="H1881" s="29">
        <f>Data_thang!N1881</f>
        <v/>
      </c>
      <c r="I1881" s="29">
        <f>H1881-G1881</f>
        <v/>
      </c>
      <c r="J1881" s="30">
        <f>IF(H1881=0,IF(I1881=0,0,1),I1881/ABS(H1881))</f>
        <v/>
      </c>
      <c r="K1881" s="29">
        <f>H1881-(Data_thang!O1881-Data_thang!K1881)</f>
        <v/>
      </c>
      <c r="L1881">
        <f>IF(AND(ABS(I1881)&gt;Dashboard!$G$6,ABS(J1881)&gt;Dashboard!$H$6),"⚠ Vượt","")</f>
        <v/>
      </c>
      <c r="M1881">
        <f>IF(AND(A1881=Dashboard!$D$6,OR(Dashboard!$C$6="*",F1881=Dashboard!$C$6),L1881&lt;&gt;""),ABS(I1881)+ROW()/1000000000,0)</f>
        <v/>
      </c>
    </row>
    <row r="1882">
      <c r="A1882">
        <f>Data_thang!A1882</f>
        <v/>
      </c>
      <c r="B1882">
        <f>Data_thang!B1882</f>
        <v/>
      </c>
      <c r="C1882">
        <f>Data_thang!D1882</f>
        <v/>
      </c>
      <c r="D1882">
        <f>Data_thang!E1882</f>
        <v/>
      </c>
      <c r="E1882">
        <f>Data_thang!F1882</f>
        <v/>
      </c>
      <c r="F1882">
        <f>Data_thang!G1882</f>
        <v/>
      </c>
      <c r="G1882" s="29">
        <f>Data_thang!J1882-Data_thang!K1882</f>
        <v/>
      </c>
      <c r="H1882" s="29">
        <f>Data_thang!N1882</f>
        <v/>
      </c>
      <c r="I1882" s="29">
        <f>H1882-G1882</f>
        <v/>
      </c>
      <c r="J1882" s="30">
        <f>IF(H1882=0,IF(I1882=0,0,1),I1882/ABS(H1882))</f>
        <v/>
      </c>
      <c r="K1882" s="29">
        <f>H1882-(Data_thang!O1882-Data_thang!K1882)</f>
        <v/>
      </c>
      <c r="L1882">
        <f>IF(AND(ABS(I1882)&gt;Dashboard!$G$6,ABS(J1882)&gt;Dashboard!$H$6),"⚠ Vượt","")</f>
        <v/>
      </c>
      <c r="M1882">
        <f>IF(AND(A1882=Dashboard!$D$6,OR(Dashboard!$C$6="*",F1882=Dashboard!$C$6),L1882&lt;&gt;""),ABS(I1882)+ROW()/1000000000,0)</f>
        <v/>
      </c>
    </row>
    <row r="1883">
      <c r="A1883">
        <f>Data_thang!A1883</f>
        <v/>
      </c>
      <c r="B1883">
        <f>Data_thang!B1883</f>
        <v/>
      </c>
      <c r="C1883">
        <f>Data_thang!D1883</f>
        <v/>
      </c>
      <c r="D1883">
        <f>Data_thang!E1883</f>
        <v/>
      </c>
      <c r="E1883">
        <f>Data_thang!F1883</f>
        <v/>
      </c>
      <c r="F1883">
        <f>Data_thang!G1883</f>
        <v/>
      </c>
      <c r="G1883" s="29">
        <f>Data_thang!J1883-Data_thang!K1883</f>
        <v/>
      </c>
      <c r="H1883" s="29">
        <f>Data_thang!N1883</f>
        <v/>
      </c>
      <c r="I1883" s="29">
        <f>H1883-G1883</f>
        <v/>
      </c>
      <c r="J1883" s="30">
        <f>IF(H1883=0,IF(I1883=0,0,1),I1883/ABS(H1883))</f>
        <v/>
      </c>
      <c r="K1883" s="29">
        <f>H1883-(Data_thang!O1883-Data_thang!K1883)</f>
        <v/>
      </c>
      <c r="L1883">
        <f>IF(AND(ABS(I1883)&gt;Dashboard!$G$6,ABS(J1883)&gt;Dashboard!$H$6),"⚠ Vượt","")</f>
        <v/>
      </c>
      <c r="M1883">
        <f>IF(AND(A1883=Dashboard!$D$6,OR(Dashboard!$C$6="*",F1883=Dashboard!$C$6),L1883&lt;&gt;""),ABS(I1883)+ROW()/1000000000,0)</f>
        <v/>
      </c>
    </row>
    <row r="1884">
      <c r="A1884">
        <f>Data_thang!A1884</f>
        <v/>
      </c>
      <c r="B1884">
        <f>Data_thang!B1884</f>
        <v/>
      </c>
      <c r="C1884">
        <f>Data_thang!D1884</f>
        <v/>
      </c>
      <c r="D1884">
        <f>Data_thang!E1884</f>
        <v/>
      </c>
      <c r="E1884">
        <f>Data_thang!F1884</f>
        <v/>
      </c>
      <c r="F1884">
        <f>Data_thang!G1884</f>
        <v/>
      </c>
      <c r="G1884" s="29">
        <f>Data_thang!J1884-Data_thang!K1884</f>
        <v/>
      </c>
      <c r="H1884" s="29">
        <f>Data_thang!N1884</f>
        <v/>
      </c>
      <c r="I1884" s="29">
        <f>H1884-G1884</f>
        <v/>
      </c>
      <c r="J1884" s="30">
        <f>IF(H1884=0,IF(I1884=0,0,1),I1884/ABS(H1884))</f>
        <v/>
      </c>
      <c r="K1884" s="29">
        <f>H1884-(Data_thang!O1884-Data_thang!K1884)</f>
        <v/>
      </c>
      <c r="L1884">
        <f>IF(AND(ABS(I1884)&gt;Dashboard!$G$6,ABS(J1884)&gt;Dashboard!$H$6),"⚠ Vượt","")</f>
        <v/>
      </c>
      <c r="M1884">
        <f>IF(AND(A1884=Dashboard!$D$6,OR(Dashboard!$C$6="*",F1884=Dashboard!$C$6),L1884&lt;&gt;""),ABS(I1884)+ROW()/1000000000,0)</f>
        <v/>
      </c>
    </row>
    <row r="1885">
      <c r="A1885">
        <f>Data_thang!A1885</f>
        <v/>
      </c>
      <c r="B1885">
        <f>Data_thang!B1885</f>
        <v/>
      </c>
      <c r="C1885">
        <f>Data_thang!D1885</f>
        <v/>
      </c>
      <c r="D1885">
        <f>Data_thang!E1885</f>
        <v/>
      </c>
      <c r="E1885">
        <f>Data_thang!F1885</f>
        <v/>
      </c>
      <c r="F1885">
        <f>Data_thang!G1885</f>
        <v/>
      </c>
      <c r="G1885" s="29">
        <f>Data_thang!J1885-Data_thang!K1885</f>
        <v/>
      </c>
      <c r="H1885" s="29">
        <f>Data_thang!N1885</f>
        <v/>
      </c>
      <c r="I1885" s="29">
        <f>H1885-G1885</f>
        <v/>
      </c>
      <c r="J1885" s="30">
        <f>IF(H1885=0,IF(I1885=0,0,1),I1885/ABS(H1885))</f>
        <v/>
      </c>
      <c r="K1885" s="29">
        <f>H1885-(Data_thang!O1885-Data_thang!K1885)</f>
        <v/>
      </c>
      <c r="L1885">
        <f>IF(AND(ABS(I1885)&gt;Dashboard!$G$6,ABS(J1885)&gt;Dashboard!$H$6),"⚠ Vượt","")</f>
        <v/>
      </c>
      <c r="M1885">
        <f>IF(AND(A1885=Dashboard!$D$6,OR(Dashboard!$C$6="*",F1885=Dashboard!$C$6),L1885&lt;&gt;""),ABS(I1885)+ROW()/1000000000,0)</f>
        <v/>
      </c>
    </row>
    <row r="1886">
      <c r="A1886">
        <f>Data_thang!A1886</f>
        <v/>
      </c>
      <c r="B1886">
        <f>Data_thang!B1886</f>
        <v/>
      </c>
      <c r="C1886">
        <f>Data_thang!D1886</f>
        <v/>
      </c>
      <c r="D1886">
        <f>Data_thang!E1886</f>
        <v/>
      </c>
      <c r="E1886">
        <f>Data_thang!F1886</f>
        <v/>
      </c>
      <c r="F1886">
        <f>Data_thang!G1886</f>
        <v/>
      </c>
      <c r="G1886" s="29">
        <f>Data_thang!J1886-Data_thang!K1886</f>
        <v/>
      </c>
      <c r="H1886" s="29">
        <f>Data_thang!N1886</f>
        <v/>
      </c>
      <c r="I1886" s="29">
        <f>H1886-G1886</f>
        <v/>
      </c>
      <c r="J1886" s="30">
        <f>IF(H1886=0,IF(I1886=0,0,1),I1886/ABS(H1886))</f>
        <v/>
      </c>
      <c r="K1886" s="29">
        <f>H1886-(Data_thang!O1886-Data_thang!K1886)</f>
        <v/>
      </c>
      <c r="L1886">
        <f>IF(AND(ABS(I1886)&gt;Dashboard!$G$6,ABS(J1886)&gt;Dashboard!$H$6),"⚠ Vượt","")</f>
        <v/>
      </c>
      <c r="M1886">
        <f>IF(AND(A1886=Dashboard!$D$6,OR(Dashboard!$C$6="*",F1886=Dashboard!$C$6),L1886&lt;&gt;""),ABS(I1886)+ROW()/1000000000,0)</f>
        <v/>
      </c>
    </row>
    <row r="1887">
      <c r="A1887">
        <f>Data_thang!A1887</f>
        <v/>
      </c>
      <c r="B1887">
        <f>Data_thang!B1887</f>
        <v/>
      </c>
      <c r="C1887">
        <f>Data_thang!D1887</f>
        <v/>
      </c>
      <c r="D1887">
        <f>Data_thang!E1887</f>
        <v/>
      </c>
      <c r="E1887">
        <f>Data_thang!F1887</f>
        <v/>
      </c>
      <c r="F1887">
        <f>Data_thang!G1887</f>
        <v/>
      </c>
      <c r="G1887" s="29">
        <f>Data_thang!J1887-Data_thang!K1887</f>
        <v/>
      </c>
      <c r="H1887" s="29">
        <f>Data_thang!N1887</f>
        <v/>
      </c>
      <c r="I1887" s="29">
        <f>H1887-G1887</f>
        <v/>
      </c>
      <c r="J1887" s="30">
        <f>IF(H1887=0,IF(I1887=0,0,1),I1887/ABS(H1887))</f>
        <v/>
      </c>
      <c r="K1887" s="29">
        <f>H1887-(Data_thang!O1887-Data_thang!K1887)</f>
        <v/>
      </c>
      <c r="L1887">
        <f>IF(AND(ABS(I1887)&gt;Dashboard!$G$6,ABS(J1887)&gt;Dashboard!$H$6),"⚠ Vượt","")</f>
        <v/>
      </c>
      <c r="M1887">
        <f>IF(AND(A1887=Dashboard!$D$6,OR(Dashboard!$C$6="*",F1887=Dashboard!$C$6),L1887&lt;&gt;""),ABS(I1887)+ROW()/1000000000,0)</f>
        <v/>
      </c>
    </row>
    <row r="1888">
      <c r="A1888">
        <f>Data_thang!A1888</f>
        <v/>
      </c>
      <c r="B1888">
        <f>Data_thang!B1888</f>
        <v/>
      </c>
      <c r="C1888">
        <f>Data_thang!D1888</f>
        <v/>
      </c>
      <c r="D1888">
        <f>Data_thang!E1888</f>
        <v/>
      </c>
      <c r="E1888">
        <f>Data_thang!F1888</f>
        <v/>
      </c>
      <c r="F1888">
        <f>Data_thang!G1888</f>
        <v/>
      </c>
      <c r="G1888" s="29">
        <f>Data_thang!J1888-Data_thang!K1888</f>
        <v/>
      </c>
      <c r="H1888" s="29">
        <f>Data_thang!N1888</f>
        <v/>
      </c>
      <c r="I1888" s="29">
        <f>H1888-G1888</f>
        <v/>
      </c>
      <c r="J1888" s="30">
        <f>IF(H1888=0,IF(I1888=0,0,1),I1888/ABS(H1888))</f>
        <v/>
      </c>
      <c r="K1888" s="29">
        <f>H1888-(Data_thang!O1888-Data_thang!K1888)</f>
        <v/>
      </c>
      <c r="L1888">
        <f>IF(AND(ABS(I1888)&gt;Dashboard!$G$6,ABS(J1888)&gt;Dashboard!$H$6),"⚠ Vượt","")</f>
        <v/>
      </c>
      <c r="M1888">
        <f>IF(AND(A1888=Dashboard!$D$6,OR(Dashboard!$C$6="*",F1888=Dashboard!$C$6),L1888&lt;&gt;""),ABS(I1888)+ROW()/1000000000,0)</f>
        <v/>
      </c>
    </row>
    <row r="1889">
      <c r="A1889">
        <f>Data_thang!A1889</f>
        <v/>
      </c>
      <c r="B1889">
        <f>Data_thang!B1889</f>
        <v/>
      </c>
      <c r="C1889">
        <f>Data_thang!D1889</f>
        <v/>
      </c>
      <c r="D1889">
        <f>Data_thang!E1889</f>
        <v/>
      </c>
      <c r="E1889">
        <f>Data_thang!F1889</f>
        <v/>
      </c>
      <c r="F1889">
        <f>Data_thang!G1889</f>
        <v/>
      </c>
      <c r="G1889" s="29">
        <f>Data_thang!J1889-Data_thang!K1889</f>
        <v/>
      </c>
      <c r="H1889" s="29">
        <f>Data_thang!N1889</f>
        <v/>
      </c>
      <c r="I1889" s="29">
        <f>H1889-G1889</f>
        <v/>
      </c>
      <c r="J1889" s="30">
        <f>IF(H1889=0,IF(I1889=0,0,1),I1889/ABS(H1889))</f>
        <v/>
      </c>
      <c r="K1889" s="29">
        <f>H1889-(Data_thang!O1889-Data_thang!K1889)</f>
        <v/>
      </c>
      <c r="L1889">
        <f>IF(AND(ABS(I1889)&gt;Dashboard!$G$6,ABS(J1889)&gt;Dashboard!$H$6),"⚠ Vượt","")</f>
        <v/>
      </c>
      <c r="M1889">
        <f>IF(AND(A1889=Dashboard!$D$6,OR(Dashboard!$C$6="*",F1889=Dashboard!$C$6),L1889&lt;&gt;""),ABS(I1889)+ROW()/1000000000,0)</f>
        <v/>
      </c>
    </row>
    <row r="1890">
      <c r="A1890">
        <f>Data_thang!A1890</f>
        <v/>
      </c>
      <c r="B1890">
        <f>Data_thang!B1890</f>
        <v/>
      </c>
      <c r="C1890">
        <f>Data_thang!D1890</f>
        <v/>
      </c>
      <c r="D1890">
        <f>Data_thang!E1890</f>
        <v/>
      </c>
      <c r="E1890">
        <f>Data_thang!F1890</f>
        <v/>
      </c>
      <c r="F1890">
        <f>Data_thang!G1890</f>
        <v/>
      </c>
      <c r="G1890" s="29">
        <f>Data_thang!J1890-Data_thang!K1890</f>
        <v/>
      </c>
      <c r="H1890" s="29">
        <f>Data_thang!N1890</f>
        <v/>
      </c>
      <c r="I1890" s="29">
        <f>H1890-G1890</f>
        <v/>
      </c>
      <c r="J1890" s="30">
        <f>IF(H1890=0,IF(I1890=0,0,1),I1890/ABS(H1890))</f>
        <v/>
      </c>
      <c r="K1890" s="29">
        <f>H1890-(Data_thang!O1890-Data_thang!K1890)</f>
        <v/>
      </c>
      <c r="L1890">
        <f>IF(AND(ABS(I1890)&gt;Dashboard!$G$6,ABS(J1890)&gt;Dashboard!$H$6),"⚠ Vượt","")</f>
        <v/>
      </c>
      <c r="M1890">
        <f>IF(AND(A1890=Dashboard!$D$6,OR(Dashboard!$C$6="*",F1890=Dashboard!$C$6),L1890&lt;&gt;""),ABS(I1890)+ROW()/1000000000,0)</f>
        <v/>
      </c>
    </row>
    <row r="1891">
      <c r="A1891">
        <f>Data_thang!A1891</f>
        <v/>
      </c>
      <c r="B1891">
        <f>Data_thang!B1891</f>
        <v/>
      </c>
      <c r="C1891">
        <f>Data_thang!D1891</f>
        <v/>
      </c>
      <c r="D1891">
        <f>Data_thang!E1891</f>
        <v/>
      </c>
      <c r="E1891">
        <f>Data_thang!F1891</f>
        <v/>
      </c>
      <c r="F1891">
        <f>Data_thang!G1891</f>
        <v/>
      </c>
      <c r="G1891" s="29">
        <f>Data_thang!J1891-Data_thang!K1891</f>
        <v/>
      </c>
      <c r="H1891" s="29">
        <f>Data_thang!N1891</f>
        <v/>
      </c>
      <c r="I1891" s="29">
        <f>H1891-G1891</f>
        <v/>
      </c>
      <c r="J1891" s="30">
        <f>IF(H1891=0,IF(I1891=0,0,1),I1891/ABS(H1891))</f>
        <v/>
      </c>
      <c r="K1891" s="29">
        <f>H1891-(Data_thang!O1891-Data_thang!K1891)</f>
        <v/>
      </c>
      <c r="L1891">
        <f>IF(AND(ABS(I1891)&gt;Dashboard!$G$6,ABS(J1891)&gt;Dashboard!$H$6),"⚠ Vượt","")</f>
        <v/>
      </c>
      <c r="M1891">
        <f>IF(AND(A1891=Dashboard!$D$6,OR(Dashboard!$C$6="*",F1891=Dashboard!$C$6),L1891&lt;&gt;""),ABS(I1891)+ROW()/1000000000,0)</f>
        <v/>
      </c>
    </row>
    <row r="1892">
      <c r="A1892">
        <f>Data_thang!A1892</f>
        <v/>
      </c>
      <c r="B1892">
        <f>Data_thang!B1892</f>
        <v/>
      </c>
      <c r="C1892">
        <f>Data_thang!D1892</f>
        <v/>
      </c>
      <c r="D1892">
        <f>Data_thang!E1892</f>
        <v/>
      </c>
      <c r="E1892">
        <f>Data_thang!F1892</f>
        <v/>
      </c>
      <c r="F1892">
        <f>Data_thang!G1892</f>
        <v/>
      </c>
      <c r="G1892" s="29">
        <f>Data_thang!J1892-Data_thang!K1892</f>
        <v/>
      </c>
      <c r="H1892" s="29">
        <f>Data_thang!N1892</f>
        <v/>
      </c>
      <c r="I1892" s="29">
        <f>H1892-G1892</f>
        <v/>
      </c>
      <c r="J1892" s="30">
        <f>IF(H1892=0,IF(I1892=0,0,1),I1892/ABS(H1892))</f>
        <v/>
      </c>
      <c r="K1892" s="29">
        <f>H1892-(Data_thang!O1892-Data_thang!K1892)</f>
        <v/>
      </c>
      <c r="L1892">
        <f>IF(AND(ABS(I1892)&gt;Dashboard!$G$6,ABS(J1892)&gt;Dashboard!$H$6),"⚠ Vượt","")</f>
        <v/>
      </c>
      <c r="M1892">
        <f>IF(AND(A1892=Dashboard!$D$6,OR(Dashboard!$C$6="*",F1892=Dashboard!$C$6),L1892&lt;&gt;""),ABS(I1892)+ROW()/1000000000,0)</f>
        <v/>
      </c>
    </row>
    <row r="1893">
      <c r="A1893">
        <f>Data_thang!A1893</f>
        <v/>
      </c>
      <c r="B1893">
        <f>Data_thang!B1893</f>
        <v/>
      </c>
      <c r="C1893">
        <f>Data_thang!D1893</f>
        <v/>
      </c>
      <c r="D1893">
        <f>Data_thang!E1893</f>
        <v/>
      </c>
      <c r="E1893">
        <f>Data_thang!F1893</f>
        <v/>
      </c>
      <c r="F1893">
        <f>Data_thang!G1893</f>
        <v/>
      </c>
      <c r="G1893" s="29">
        <f>Data_thang!J1893-Data_thang!K1893</f>
        <v/>
      </c>
      <c r="H1893" s="29">
        <f>Data_thang!N1893</f>
        <v/>
      </c>
      <c r="I1893" s="29">
        <f>H1893-G1893</f>
        <v/>
      </c>
      <c r="J1893" s="30">
        <f>IF(H1893=0,IF(I1893=0,0,1),I1893/ABS(H1893))</f>
        <v/>
      </c>
      <c r="K1893" s="29">
        <f>H1893-(Data_thang!O1893-Data_thang!K1893)</f>
        <v/>
      </c>
      <c r="L1893">
        <f>IF(AND(ABS(I1893)&gt;Dashboard!$G$6,ABS(J1893)&gt;Dashboard!$H$6),"⚠ Vượt","")</f>
        <v/>
      </c>
      <c r="M1893">
        <f>IF(AND(A1893=Dashboard!$D$6,OR(Dashboard!$C$6="*",F1893=Dashboard!$C$6),L1893&lt;&gt;""),ABS(I1893)+ROW()/1000000000,0)</f>
        <v/>
      </c>
    </row>
    <row r="1894">
      <c r="A1894">
        <f>Data_thang!A1894</f>
        <v/>
      </c>
      <c r="B1894">
        <f>Data_thang!B1894</f>
        <v/>
      </c>
      <c r="C1894">
        <f>Data_thang!D1894</f>
        <v/>
      </c>
      <c r="D1894">
        <f>Data_thang!E1894</f>
        <v/>
      </c>
      <c r="E1894">
        <f>Data_thang!F1894</f>
        <v/>
      </c>
      <c r="F1894">
        <f>Data_thang!G1894</f>
        <v/>
      </c>
      <c r="G1894" s="29">
        <f>Data_thang!J1894-Data_thang!K1894</f>
        <v/>
      </c>
      <c r="H1894" s="29">
        <f>Data_thang!N1894</f>
        <v/>
      </c>
      <c r="I1894" s="29">
        <f>H1894-G1894</f>
        <v/>
      </c>
      <c r="J1894" s="30">
        <f>IF(H1894=0,IF(I1894=0,0,1),I1894/ABS(H1894))</f>
        <v/>
      </c>
      <c r="K1894" s="29">
        <f>H1894-(Data_thang!O1894-Data_thang!K1894)</f>
        <v/>
      </c>
      <c r="L1894">
        <f>IF(AND(ABS(I1894)&gt;Dashboard!$G$6,ABS(J1894)&gt;Dashboard!$H$6),"⚠ Vượt","")</f>
        <v/>
      </c>
      <c r="M1894">
        <f>IF(AND(A1894=Dashboard!$D$6,OR(Dashboard!$C$6="*",F1894=Dashboard!$C$6),L1894&lt;&gt;""),ABS(I1894)+ROW()/1000000000,0)</f>
        <v/>
      </c>
    </row>
    <row r="1895">
      <c r="A1895">
        <f>Data_thang!A1895</f>
        <v/>
      </c>
      <c r="B1895">
        <f>Data_thang!B1895</f>
        <v/>
      </c>
      <c r="C1895">
        <f>Data_thang!D1895</f>
        <v/>
      </c>
      <c r="D1895">
        <f>Data_thang!E1895</f>
        <v/>
      </c>
      <c r="E1895">
        <f>Data_thang!F1895</f>
        <v/>
      </c>
      <c r="F1895">
        <f>Data_thang!G1895</f>
        <v/>
      </c>
      <c r="G1895" s="29">
        <f>Data_thang!J1895-Data_thang!K1895</f>
        <v/>
      </c>
      <c r="H1895" s="29">
        <f>Data_thang!N1895</f>
        <v/>
      </c>
      <c r="I1895" s="29">
        <f>H1895-G1895</f>
        <v/>
      </c>
      <c r="J1895" s="30">
        <f>IF(H1895=0,IF(I1895=0,0,1),I1895/ABS(H1895))</f>
        <v/>
      </c>
      <c r="K1895" s="29">
        <f>H1895-(Data_thang!O1895-Data_thang!K1895)</f>
        <v/>
      </c>
      <c r="L1895">
        <f>IF(AND(ABS(I1895)&gt;Dashboard!$G$6,ABS(J1895)&gt;Dashboard!$H$6),"⚠ Vượt","")</f>
        <v/>
      </c>
      <c r="M1895">
        <f>IF(AND(A1895=Dashboard!$D$6,OR(Dashboard!$C$6="*",F1895=Dashboard!$C$6),L1895&lt;&gt;""),ABS(I1895)+ROW()/1000000000,0)</f>
        <v/>
      </c>
    </row>
    <row r="1896">
      <c r="A1896">
        <f>Data_thang!A1896</f>
        <v/>
      </c>
      <c r="B1896">
        <f>Data_thang!B1896</f>
        <v/>
      </c>
      <c r="C1896">
        <f>Data_thang!D1896</f>
        <v/>
      </c>
      <c r="D1896">
        <f>Data_thang!E1896</f>
        <v/>
      </c>
      <c r="E1896">
        <f>Data_thang!F1896</f>
        <v/>
      </c>
      <c r="F1896">
        <f>Data_thang!G1896</f>
        <v/>
      </c>
      <c r="G1896" s="29">
        <f>Data_thang!J1896-Data_thang!K1896</f>
        <v/>
      </c>
      <c r="H1896" s="29">
        <f>Data_thang!N1896</f>
        <v/>
      </c>
      <c r="I1896" s="29">
        <f>H1896-G1896</f>
        <v/>
      </c>
      <c r="J1896" s="30">
        <f>IF(H1896=0,IF(I1896=0,0,1),I1896/ABS(H1896))</f>
        <v/>
      </c>
      <c r="K1896" s="29">
        <f>H1896-(Data_thang!O1896-Data_thang!K1896)</f>
        <v/>
      </c>
      <c r="L1896">
        <f>IF(AND(ABS(I1896)&gt;Dashboard!$G$6,ABS(J1896)&gt;Dashboard!$H$6),"⚠ Vượt","")</f>
        <v/>
      </c>
      <c r="M1896">
        <f>IF(AND(A1896=Dashboard!$D$6,OR(Dashboard!$C$6="*",F1896=Dashboard!$C$6),L1896&lt;&gt;""),ABS(I1896)+ROW()/1000000000,0)</f>
        <v/>
      </c>
    </row>
    <row r="1897">
      <c r="A1897">
        <f>Data_thang!A1897</f>
        <v/>
      </c>
      <c r="B1897">
        <f>Data_thang!B1897</f>
        <v/>
      </c>
      <c r="C1897">
        <f>Data_thang!D1897</f>
        <v/>
      </c>
      <c r="D1897">
        <f>Data_thang!E1897</f>
        <v/>
      </c>
      <c r="E1897">
        <f>Data_thang!F1897</f>
        <v/>
      </c>
      <c r="F1897">
        <f>Data_thang!G1897</f>
        <v/>
      </c>
      <c r="G1897" s="29">
        <f>Data_thang!J1897-Data_thang!K1897</f>
        <v/>
      </c>
      <c r="H1897" s="29">
        <f>Data_thang!N1897</f>
        <v/>
      </c>
      <c r="I1897" s="29">
        <f>H1897-G1897</f>
        <v/>
      </c>
      <c r="J1897" s="30">
        <f>IF(H1897=0,IF(I1897=0,0,1),I1897/ABS(H1897))</f>
        <v/>
      </c>
      <c r="K1897" s="29">
        <f>H1897-(Data_thang!O1897-Data_thang!K1897)</f>
        <v/>
      </c>
      <c r="L1897">
        <f>IF(AND(ABS(I1897)&gt;Dashboard!$G$6,ABS(J1897)&gt;Dashboard!$H$6),"⚠ Vượt","")</f>
        <v/>
      </c>
      <c r="M1897">
        <f>IF(AND(A1897=Dashboard!$D$6,OR(Dashboard!$C$6="*",F1897=Dashboard!$C$6),L1897&lt;&gt;""),ABS(I1897)+ROW()/1000000000,0)</f>
        <v/>
      </c>
    </row>
    <row r="1898">
      <c r="A1898">
        <f>Data_thang!A1898</f>
        <v/>
      </c>
      <c r="B1898">
        <f>Data_thang!B1898</f>
        <v/>
      </c>
      <c r="C1898">
        <f>Data_thang!D1898</f>
        <v/>
      </c>
      <c r="D1898">
        <f>Data_thang!E1898</f>
        <v/>
      </c>
      <c r="E1898">
        <f>Data_thang!F1898</f>
        <v/>
      </c>
      <c r="F1898">
        <f>Data_thang!G1898</f>
        <v/>
      </c>
      <c r="G1898" s="29">
        <f>Data_thang!J1898-Data_thang!K1898</f>
        <v/>
      </c>
      <c r="H1898" s="29">
        <f>Data_thang!N1898</f>
        <v/>
      </c>
      <c r="I1898" s="29">
        <f>H1898-G1898</f>
        <v/>
      </c>
      <c r="J1898" s="30">
        <f>IF(H1898=0,IF(I1898=0,0,1),I1898/ABS(H1898))</f>
        <v/>
      </c>
      <c r="K1898" s="29">
        <f>H1898-(Data_thang!O1898-Data_thang!K1898)</f>
        <v/>
      </c>
      <c r="L1898">
        <f>IF(AND(ABS(I1898)&gt;Dashboard!$G$6,ABS(J1898)&gt;Dashboard!$H$6),"⚠ Vượt","")</f>
        <v/>
      </c>
      <c r="M1898">
        <f>IF(AND(A1898=Dashboard!$D$6,OR(Dashboard!$C$6="*",F1898=Dashboard!$C$6),L1898&lt;&gt;""),ABS(I1898)+ROW()/1000000000,0)</f>
        <v/>
      </c>
    </row>
    <row r="1899">
      <c r="A1899">
        <f>Data_thang!A1899</f>
        <v/>
      </c>
      <c r="B1899">
        <f>Data_thang!B1899</f>
        <v/>
      </c>
      <c r="C1899">
        <f>Data_thang!D1899</f>
        <v/>
      </c>
      <c r="D1899">
        <f>Data_thang!E1899</f>
        <v/>
      </c>
      <c r="E1899">
        <f>Data_thang!F1899</f>
        <v/>
      </c>
      <c r="F1899">
        <f>Data_thang!G1899</f>
        <v/>
      </c>
      <c r="G1899" s="29">
        <f>Data_thang!J1899-Data_thang!K1899</f>
        <v/>
      </c>
      <c r="H1899" s="29">
        <f>Data_thang!N1899</f>
        <v/>
      </c>
      <c r="I1899" s="29">
        <f>H1899-G1899</f>
        <v/>
      </c>
      <c r="J1899" s="30">
        <f>IF(H1899=0,IF(I1899=0,0,1),I1899/ABS(H1899))</f>
        <v/>
      </c>
      <c r="K1899" s="29">
        <f>H1899-(Data_thang!O1899-Data_thang!K1899)</f>
        <v/>
      </c>
      <c r="L1899">
        <f>IF(AND(ABS(I1899)&gt;Dashboard!$G$6,ABS(J1899)&gt;Dashboard!$H$6),"⚠ Vượt","")</f>
        <v/>
      </c>
      <c r="M1899">
        <f>IF(AND(A1899=Dashboard!$D$6,OR(Dashboard!$C$6="*",F1899=Dashboard!$C$6),L1899&lt;&gt;""),ABS(I1899)+ROW()/1000000000,0)</f>
        <v/>
      </c>
    </row>
    <row r="1900">
      <c r="A1900">
        <f>Data_thang!A1900</f>
        <v/>
      </c>
      <c r="B1900">
        <f>Data_thang!B1900</f>
        <v/>
      </c>
      <c r="C1900">
        <f>Data_thang!D1900</f>
        <v/>
      </c>
      <c r="D1900">
        <f>Data_thang!E1900</f>
        <v/>
      </c>
      <c r="E1900">
        <f>Data_thang!F1900</f>
        <v/>
      </c>
      <c r="F1900">
        <f>Data_thang!G1900</f>
        <v/>
      </c>
      <c r="G1900" s="29">
        <f>Data_thang!J1900-Data_thang!K1900</f>
        <v/>
      </c>
      <c r="H1900" s="29">
        <f>Data_thang!N1900</f>
        <v/>
      </c>
      <c r="I1900" s="29">
        <f>H1900-G1900</f>
        <v/>
      </c>
      <c r="J1900" s="30">
        <f>IF(H1900=0,IF(I1900=0,0,1),I1900/ABS(H1900))</f>
        <v/>
      </c>
      <c r="K1900" s="29">
        <f>H1900-(Data_thang!O1900-Data_thang!K1900)</f>
        <v/>
      </c>
      <c r="L1900">
        <f>IF(AND(ABS(I1900)&gt;Dashboard!$G$6,ABS(J1900)&gt;Dashboard!$H$6),"⚠ Vượt","")</f>
        <v/>
      </c>
      <c r="M1900">
        <f>IF(AND(A1900=Dashboard!$D$6,OR(Dashboard!$C$6="*",F1900=Dashboard!$C$6),L1900&lt;&gt;""),ABS(I1900)+ROW()/1000000000,0)</f>
        <v/>
      </c>
    </row>
    <row r="1901">
      <c r="A1901">
        <f>Data_thang!A1901</f>
        <v/>
      </c>
      <c r="B1901">
        <f>Data_thang!B1901</f>
        <v/>
      </c>
      <c r="C1901">
        <f>Data_thang!D1901</f>
        <v/>
      </c>
      <c r="D1901">
        <f>Data_thang!E1901</f>
        <v/>
      </c>
      <c r="E1901">
        <f>Data_thang!F1901</f>
        <v/>
      </c>
      <c r="F1901">
        <f>Data_thang!G1901</f>
        <v/>
      </c>
      <c r="G1901" s="29">
        <f>Data_thang!J1901-Data_thang!K1901</f>
        <v/>
      </c>
      <c r="H1901" s="29">
        <f>Data_thang!N1901</f>
        <v/>
      </c>
      <c r="I1901" s="29">
        <f>H1901-G1901</f>
        <v/>
      </c>
      <c r="J1901" s="30">
        <f>IF(H1901=0,IF(I1901=0,0,1),I1901/ABS(H1901))</f>
        <v/>
      </c>
      <c r="K1901" s="29">
        <f>H1901-(Data_thang!O1901-Data_thang!K1901)</f>
        <v/>
      </c>
      <c r="L1901">
        <f>IF(AND(ABS(I1901)&gt;Dashboard!$G$6,ABS(J1901)&gt;Dashboard!$H$6),"⚠ Vượt","")</f>
        <v/>
      </c>
      <c r="M1901">
        <f>IF(AND(A1901=Dashboard!$D$6,OR(Dashboard!$C$6="*",F1901=Dashboard!$C$6),L1901&lt;&gt;""),ABS(I1901)+ROW()/1000000000,0)</f>
        <v/>
      </c>
    </row>
    <row r="1902">
      <c r="A1902">
        <f>Data_thang!A1902</f>
        <v/>
      </c>
      <c r="B1902">
        <f>Data_thang!B1902</f>
        <v/>
      </c>
      <c r="C1902">
        <f>Data_thang!D1902</f>
        <v/>
      </c>
      <c r="D1902">
        <f>Data_thang!E1902</f>
        <v/>
      </c>
      <c r="E1902">
        <f>Data_thang!F1902</f>
        <v/>
      </c>
      <c r="F1902">
        <f>Data_thang!G1902</f>
        <v/>
      </c>
      <c r="G1902" s="29">
        <f>Data_thang!J1902-Data_thang!K1902</f>
        <v/>
      </c>
      <c r="H1902" s="29">
        <f>Data_thang!N1902</f>
        <v/>
      </c>
      <c r="I1902" s="29">
        <f>H1902-G1902</f>
        <v/>
      </c>
      <c r="J1902" s="30">
        <f>IF(H1902=0,IF(I1902=0,0,1),I1902/ABS(H1902))</f>
        <v/>
      </c>
      <c r="K1902" s="29">
        <f>H1902-(Data_thang!O1902-Data_thang!K1902)</f>
        <v/>
      </c>
      <c r="L1902">
        <f>IF(AND(ABS(I1902)&gt;Dashboard!$G$6,ABS(J1902)&gt;Dashboard!$H$6),"⚠ Vượt","")</f>
        <v/>
      </c>
      <c r="M1902">
        <f>IF(AND(A1902=Dashboard!$D$6,OR(Dashboard!$C$6="*",F1902=Dashboard!$C$6),L1902&lt;&gt;""),ABS(I1902)+ROW()/1000000000,0)</f>
        <v/>
      </c>
    </row>
    <row r="1903">
      <c r="A1903">
        <f>Data_thang!A1903</f>
        <v/>
      </c>
      <c r="B1903">
        <f>Data_thang!B1903</f>
        <v/>
      </c>
      <c r="C1903">
        <f>Data_thang!D1903</f>
        <v/>
      </c>
      <c r="D1903">
        <f>Data_thang!E1903</f>
        <v/>
      </c>
      <c r="E1903">
        <f>Data_thang!F1903</f>
        <v/>
      </c>
      <c r="F1903">
        <f>Data_thang!G1903</f>
        <v/>
      </c>
      <c r="G1903" s="29">
        <f>Data_thang!J1903-Data_thang!K1903</f>
        <v/>
      </c>
      <c r="H1903" s="29">
        <f>Data_thang!N1903</f>
        <v/>
      </c>
      <c r="I1903" s="29">
        <f>H1903-G1903</f>
        <v/>
      </c>
      <c r="J1903" s="30">
        <f>IF(H1903=0,IF(I1903=0,0,1),I1903/ABS(H1903))</f>
        <v/>
      </c>
      <c r="K1903" s="29">
        <f>H1903-(Data_thang!O1903-Data_thang!K1903)</f>
        <v/>
      </c>
      <c r="L1903">
        <f>IF(AND(ABS(I1903)&gt;Dashboard!$G$6,ABS(J1903)&gt;Dashboard!$H$6),"⚠ Vượt","")</f>
        <v/>
      </c>
      <c r="M1903">
        <f>IF(AND(A1903=Dashboard!$D$6,OR(Dashboard!$C$6="*",F1903=Dashboard!$C$6),L1903&lt;&gt;""),ABS(I1903)+ROW()/1000000000,0)</f>
        <v/>
      </c>
    </row>
    <row r="1904">
      <c r="A1904">
        <f>Data_thang!A1904</f>
        <v/>
      </c>
      <c r="B1904">
        <f>Data_thang!B1904</f>
        <v/>
      </c>
      <c r="C1904">
        <f>Data_thang!D1904</f>
        <v/>
      </c>
      <c r="D1904">
        <f>Data_thang!E1904</f>
        <v/>
      </c>
      <c r="E1904">
        <f>Data_thang!F1904</f>
        <v/>
      </c>
      <c r="F1904">
        <f>Data_thang!G1904</f>
        <v/>
      </c>
      <c r="G1904" s="29">
        <f>Data_thang!J1904-Data_thang!K1904</f>
        <v/>
      </c>
      <c r="H1904" s="29">
        <f>Data_thang!N1904</f>
        <v/>
      </c>
      <c r="I1904" s="29">
        <f>H1904-G1904</f>
        <v/>
      </c>
      <c r="J1904" s="30">
        <f>IF(H1904=0,IF(I1904=0,0,1),I1904/ABS(H1904))</f>
        <v/>
      </c>
      <c r="K1904" s="29">
        <f>H1904-(Data_thang!O1904-Data_thang!K1904)</f>
        <v/>
      </c>
      <c r="L1904">
        <f>IF(AND(ABS(I1904)&gt;Dashboard!$G$6,ABS(J1904)&gt;Dashboard!$H$6),"⚠ Vượt","")</f>
        <v/>
      </c>
      <c r="M1904">
        <f>IF(AND(A1904=Dashboard!$D$6,OR(Dashboard!$C$6="*",F1904=Dashboard!$C$6),L1904&lt;&gt;""),ABS(I1904)+ROW()/1000000000,0)</f>
        <v/>
      </c>
    </row>
    <row r="1905">
      <c r="A1905">
        <f>Data_thang!A1905</f>
        <v/>
      </c>
      <c r="B1905">
        <f>Data_thang!B1905</f>
        <v/>
      </c>
      <c r="C1905">
        <f>Data_thang!D1905</f>
        <v/>
      </c>
      <c r="D1905">
        <f>Data_thang!E1905</f>
        <v/>
      </c>
      <c r="E1905">
        <f>Data_thang!F1905</f>
        <v/>
      </c>
      <c r="F1905">
        <f>Data_thang!G1905</f>
        <v/>
      </c>
      <c r="G1905" s="29">
        <f>Data_thang!J1905-Data_thang!K1905</f>
        <v/>
      </c>
      <c r="H1905" s="29">
        <f>Data_thang!N1905</f>
        <v/>
      </c>
      <c r="I1905" s="29">
        <f>H1905-G1905</f>
        <v/>
      </c>
      <c r="J1905" s="30">
        <f>IF(H1905=0,IF(I1905=0,0,1),I1905/ABS(H1905))</f>
        <v/>
      </c>
      <c r="K1905" s="29">
        <f>H1905-(Data_thang!O1905-Data_thang!K1905)</f>
        <v/>
      </c>
      <c r="L1905">
        <f>IF(AND(ABS(I1905)&gt;Dashboard!$G$6,ABS(J1905)&gt;Dashboard!$H$6),"⚠ Vượt","")</f>
        <v/>
      </c>
      <c r="M1905">
        <f>IF(AND(A1905=Dashboard!$D$6,OR(Dashboard!$C$6="*",F1905=Dashboard!$C$6),L1905&lt;&gt;""),ABS(I1905)+ROW()/1000000000,0)</f>
        <v/>
      </c>
    </row>
    <row r="1906">
      <c r="A1906">
        <f>Data_thang!A1906</f>
        <v/>
      </c>
      <c r="B1906">
        <f>Data_thang!B1906</f>
        <v/>
      </c>
      <c r="C1906">
        <f>Data_thang!D1906</f>
        <v/>
      </c>
      <c r="D1906">
        <f>Data_thang!E1906</f>
        <v/>
      </c>
      <c r="E1906">
        <f>Data_thang!F1906</f>
        <v/>
      </c>
      <c r="F1906">
        <f>Data_thang!G1906</f>
        <v/>
      </c>
      <c r="G1906" s="29">
        <f>Data_thang!J1906-Data_thang!K1906</f>
        <v/>
      </c>
      <c r="H1906" s="29">
        <f>Data_thang!N1906</f>
        <v/>
      </c>
      <c r="I1906" s="29">
        <f>H1906-G1906</f>
        <v/>
      </c>
      <c r="J1906" s="30">
        <f>IF(H1906=0,IF(I1906=0,0,1),I1906/ABS(H1906))</f>
        <v/>
      </c>
      <c r="K1906" s="29">
        <f>H1906-(Data_thang!O1906-Data_thang!K1906)</f>
        <v/>
      </c>
      <c r="L1906">
        <f>IF(AND(ABS(I1906)&gt;Dashboard!$G$6,ABS(J1906)&gt;Dashboard!$H$6),"⚠ Vượt","")</f>
        <v/>
      </c>
      <c r="M1906">
        <f>IF(AND(A1906=Dashboard!$D$6,OR(Dashboard!$C$6="*",F1906=Dashboard!$C$6),L1906&lt;&gt;""),ABS(I1906)+ROW()/1000000000,0)</f>
        <v/>
      </c>
    </row>
    <row r="1907">
      <c r="A1907">
        <f>Data_thang!A1907</f>
        <v/>
      </c>
      <c r="B1907">
        <f>Data_thang!B1907</f>
        <v/>
      </c>
      <c r="C1907">
        <f>Data_thang!D1907</f>
        <v/>
      </c>
      <c r="D1907">
        <f>Data_thang!E1907</f>
        <v/>
      </c>
      <c r="E1907">
        <f>Data_thang!F1907</f>
        <v/>
      </c>
      <c r="F1907">
        <f>Data_thang!G1907</f>
        <v/>
      </c>
      <c r="G1907" s="29">
        <f>Data_thang!J1907-Data_thang!K1907</f>
        <v/>
      </c>
      <c r="H1907" s="29">
        <f>Data_thang!N1907</f>
        <v/>
      </c>
      <c r="I1907" s="29">
        <f>H1907-G1907</f>
        <v/>
      </c>
      <c r="J1907" s="30">
        <f>IF(H1907=0,IF(I1907=0,0,1),I1907/ABS(H1907))</f>
        <v/>
      </c>
      <c r="K1907" s="29">
        <f>H1907-(Data_thang!O1907-Data_thang!K1907)</f>
        <v/>
      </c>
      <c r="L1907">
        <f>IF(AND(ABS(I1907)&gt;Dashboard!$G$6,ABS(J1907)&gt;Dashboard!$H$6),"⚠ Vượt","")</f>
        <v/>
      </c>
      <c r="M1907">
        <f>IF(AND(A1907=Dashboard!$D$6,OR(Dashboard!$C$6="*",F1907=Dashboard!$C$6),L1907&lt;&gt;""),ABS(I1907)+ROW()/1000000000,0)</f>
        <v/>
      </c>
    </row>
    <row r="1908">
      <c r="A1908">
        <f>Data_thang!A1908</f>
        <v/>
      </c>
      <c r="B1908">
        <f>Data_thang!B1908</f>
        <v/>
      </c>
      <c r="C1908">
        <f>Data_thang!D1908</f>
        <v/>
      </c>
      <c r="D1908">
        <f>Data_thang!E1908</f>
        <v/>
      </c>
      <c r="E1908">
        <f>Data_thang!F1908</f>
        <v/>
      </c>
      <c r="F1908">
        <f>Data_thang!G1908</f>
        <v/>
      </c>
      <c r="G1908" s="29">
        <f>Data_thang!J1908-Data_thang!K1908</f>
        <v/>
      </c>
      <c r="H1908" s="29">
        <f>Data_thang!N1908</f>
        <v/>
      </c>
      <c r="I1908" s="29">
        <f>H1908-G1908</f>
        <v/>
      </c>
      <c r="J1908" s="30">
        <f>IF(H1908=0,IF(I1908=0,0,1),I1908/ABS(H1908))</f>
        <v/>
      </c>
      <c r="K1908" s="29">
        <f>H1908-(Data_thang!O1908-Data_thang!K1908)</f>
        <v/>
      </c>
      <c r="L1908">
        <f>IF(AND(ABS(I1908)&gt;Dashboard!$G$6,ABS(J1908)&gt;Dashboard!$H$6),"⚠ Vượt","")</f>
        <v/>
      </c>
      <c r="M1908">
        <f>IF(AND(A1908=Dashboard!$D$6,OR(Dashboard!$C$6="*",F1908=Dashboard!$C$6),L1908&lt;&gt;""),ABS(I1908)+ROW()/1000000000,0)</f>
        <v/>
      </c>
    </row>
    <row r="1909">
      <c r="A1909">
        <f>Data_thang!A1909</f>
        <v/>
      </c>
      <c r="B1909">
        <f>Data_thang!B1909</f>
        <v/>
      </c>
      <c r="C1909">
        <f>Data_thang!D1909</f>
        <v/>
      </c>
      <c r="D1909">
        <f>Data_thang!E1909</f>
        <v/>
      </c>
      <c r="E1909">
        <f>Data_thang!F1909</f>
        <v/>
      </c>
      <c r="F1909">
        <f>Data_thang!G1909</f>
        <v/>
      </c>
      <c r="G1909" s="29">
        <f>Data_thang!J1909-Data_thang!K1909</f>
        <v/>
      </c>
      <c r="H1909" s="29">
        <f>Data_thang!N1909</f>
        <v/>
      </c>
      <c r="I1909" s="29">
        <f>H1909-G1909</f>
        <v/>
      </c>
      <c r="J1909" s="30">
        <f>IF(H1909=0,IF(I1909=0,0,1),I1909/ABS(H1909))</f>
        <v/>
      </c>
      <c r="K1909" s="29">
        <f>H1909-(Data_thang!O1909-Data_thang!K1909)</f>
        <v/>
      </c>
      <c r="L1909">
        <f>IF(AND(ABS(I1909)&gt;Dashboard!$G$6,ABS(J1909)&gt;Dashboard!$H$6),"⚠ Vượt","")</f>
        <v/>
      </c>
      <c r="M1909">
        <f>IF(AND(A1909=Dashboard!$D$6,OR(Dashboard!$C$6="*",F1909=Dashboard!$C$6),L1909&lt;&gt;""),ABS(I1909)+ROW()/1000000000,0)</f>
        <v/>
      </c>
    </row>
    <row r="1910">
      <c r="A1910">
        <f>Data_thang!A1910</f>
        <v/>
      </c>
      <c r="B1910">
        <f>Data_thang!B1910</f>
        <v/>
      </c>
      <c r="C1910">
        <f>Data_thang!D1910</f>
        <v/>
      </c>
      <c r="D1910">
        <f>Data_thang!E1910</f>
        <v/>
      </c>
      <c r="E1910">
        <f>Data_thang!F1910</f>
        <v/>
      </c>
      <c r="F1910">
        <f>Data_thang!G1910</f>
        <v/>
      </c>
      <c r="G1910" s="29">
        <f>Data_thang!J1910-Data_thang!K1910</f>
        <v/>
      </c>
      <c r="H1910" s="29">
        <f>Data_thang!N1910</f>
        <v/>
      </c>
      <c r="I1910" s="29">
        <f>H1910-G1910</f>
        <v/>
      </c>
      <c r="J1910" s="30">
        <f>IF(H1910=0,IF(I1910=0,0,1),I1910/ABS(H1910))</f>
        <v/>
      </c>
      <c r="K1910" s="29">
        <f>H1910-(Data_thang!O1910-Data_thang!K1910)</f>
        <v/>
      </c>
      <c r="L1910">
        <f>IF(AND(ABS(I1910)&gt;Dashboard!$G$6,ABS(J1910)&gt;Dashboard!$H$6),"⚠ Vượt","")</f>
        <v/>
      </c>
      <c r="M1910">
        <f>IF(AND(A1910=Dashboard!$D$6,OR(Dashboard!$C$6="*",F1910=Dashboard!$C$6),L1910&lt;&gt;""),ABS(I1910)+ROW()/1000000000,0)</f>
        <v/>
      </c>
    </row>
    <row r="1911">
      <c r="A1911">
        <f>Data_thang!A1911</f>
        <v/>
      </c>
      <c r="B1911">
        <f>Data_thang!B1911</f>
        <v/>
      </c>
      <c r="C1911">
        <f>Data_thang!D1911</f>
        <v/>
      </c>
      <c r="D1911">
        <f>Data_thang!E1911</f>
        <v/>
      </c>
      <c r="E1911">
        <f>Data_thang!F1911</f>
        <v/>
      </c>
      <c r="F1911">
        <f>Data_thang!G1911</f>
        <v/>
      </c>
      <c r="G1911" s="29">
        <f>Data_thang!J1911-Data_thang!K1911</f>
        <v/>
      </c>
      <c r="H1911" s="29">
        <f>Data_thang!N1911</f>
        <v/>
      </c>
      <c r="I1911" s="29">
        <f>H1911-G1911</f>
        <v/>
      </c>
      <c r="J1911" s="30">
        <f>IF(H1911=0,IF(I1911=0,0,1),I1911/ABS(H1911))</f>
        <v/>
      </c>
      <c r="K1911" s="29">
        <f>H1911-(Data_thang!O1911-Data_thang!K1911)</f>
        <v/>
      </c>
      <c r="L1911">
        <f>IF(AND(ABS(I1911)&gt;Dashboard!$G$6,ABS(J1911)&gt;Dashboard!$H$6),"⚠ Vượt","")</f>
        <v/>
      </c>
      <c r="M1911">
        <f>IF(AND(A1911=Dashboard!$D$6,OR(Dashboard!$C$6="*",F1911=Dashboard!$C$6),L1911&lt;&gt;""),ABS(I1911)+ROW()/1000000000,0)</f>
        <v/>
      </c>
    </row>
    <row r="1912">
      <c r="A1912">
        <f>Data_thang!A1912</f>
        <v/>
      </c>
      <c r="B1912">
        <f>Data_thang!B1912</f>
        <v/>
      </c>
      <c r="C1912">
        <f>Data_thang!D1912</f>
        <v/>
      </c>
      <c r="D1912">
        <f>Data_thang!E1912</f>
        <v/>
      </c>
      <c r="E1912">
        <f>Data_thang!F1912</f>
        <v/>
      </c>
      <c r="F1912">
        <f>Data_thang!G1912</f>
        <v/>
      </c>
      <c r="G1912" s="29">
        <f>Data_thang!J1912-Data_thang!K1912</f>
        <v/>
      </c>
      <c r="H1912" s="29">
        <f>Data_thang!N1912</f>
        <v/>
      </c>
      <c r="I1912" s="29">
        <f>H1912-G1912</f>
        <v/>
      </c>
      <c r="J1912" s="30">
        <f>IF(H1912=0,IF(I1912=0,0,1),I1912/ABS(H1912))</f>
        <v/>
      </c>
      <c r="K1912" s="29">
        <f>H1912-(Data_thang!O1912-Data_thang!K1912)</f>
        <v/>
      </c>
      <c r="L1912">
        <f>IF(AND(ABS(I1912)&gt;Dashboard!$G$6,ABS(J1912)&gt;Dashboard!$H$6),"⚠ Vượt","")</f>
        <v/>
      </c>
      <c r="M1912">
        <f>IF(AND(A1912=Dashboard!$D$6,OR(Dashboard!$C$6="*",F1912=Dashboard!$C$6),L1912&lt;&gt;""),ABS(I1912)+ROW()/1000000000,0)</f>
        <v/>
      </c>
    </row>
    <row r="1913">
      <c r="A1913">
        <f>Data_thang!A1913</f>
        <v/>
      </c>
      <c r="B1913">
        <f>Data_thang!B1913</f>
        <v/>
      </c>
      <c r="C1913">
        <f>Data_thang!D1913</f>
        <v/>
      </c>
      <c r="D1913">
        <f>Data_thang!E1913</f>
        <v/>
      </c>
      <c r="E1913">
        <f>Data_thang!F1913</f>
        <v/>
      </c>
      <c r="F1913">
        <f>Data_thang!G1913</f>
        <v/>
      </c>
      <c r="G1913" s="29">
        <f>Data_thang!J1913-Data_thang!K1913</f>
        <v/>
      </c>
      <c r="H1913" s="29">
        <f>Data_thang!N1913</f>
        <v/>
      </c>
      <c r="I1913" s="29">
        <f>H1913-G1913</f>
        <v/>
      </c>
      <c r="J1913" s="30">
        <f>IF(H1913=0,IF(I1913=0,0,1),I1913/ABS(H1913))</f>
        <v/>
      </c>
      <c r="K1913" s="29">
        <f>H1913-(Data_thang!O1913-Data_thang!K1913)</f>
        <v/>
      </c>
      <c r="L1913">
        <f>IF(AND(ABS(I1913)&gt;Dashboard!$G$6,ABS(J1913)&gt;Dashboard!$H$6),"⚠ Vượt","")</f>
        <v/>
      </c>
      <c r="M1913">
        <f>IF(AND(A1913=Dashboard!$D$6,OR(Dashboard!$C$6="*",F1913=Dashboard!$C$6),L1913&lt;&gt;""),ABS(I1913)+ROW()/1000000000,0)</f>
        <v/>
      </c>
    </row>
    <row r="1914">
      <c r="A1914">
        <f>Data_thang!A1914</f>
        <v/>
      </c>
      <c r="B1914">
        <f>Data_thang!B1914</f>
        <v/>
      </c>
      <c r="C1914">
        <f>Data_thang!D1914</f>
        <v/>
      </c>
      <c r="D1914">
        <f>Data_thang!E1914</f>
        <v/>
      </c>
      <c r="E1914">
        <f>Data_thang!F1914</f>
        <v/>
      </c>
      <c r="F1914">
        <f>Data_thang!G1914</f>
        <v/>
      </c>
      <c r="G1914" s="29">
        <f>Data_thang!J1914-Data_thang!K1914</f>
        <v/>
      </c>
      <c r="H1914" s="29">
        <f>Data_thang!N1914</f>
        <v/>
      </c>
      <c r="I1914" s="29">
        <f>H1914-G1914</f>
        <v/>
      </c>
      <c r="J1914" s="30">
        <f>IF(H1914=0,IF(I1914=0,0,1),I1914/ABS(H1914))</f>
        <v/>
      </c>
      <c r="K1914" s="29">
        <f>H1914-(Data_thang!O1914-Data_thang!K1914)</f>
        <v/>
      </c>
      <c r="L1914">
        <f>IF(AND(ABS(I1914)&gt;Dashboard!$G$6,ABS(J1914)&gt;Dashboard!$H$6),"⚠ Vượt","")</f>
        <v/>
      </c>
      <c r="M1914">
        <f>IF(AND(A1914=Dashboard!$D$6,OR(Dashboard!$C$6="*",F1914=Dashboard!$C$6),L1914&lt;&gt;""),ABS(I1914)+ROW()/1000000000,0)</f>
        <v/>
      </c>
    </row>
    <row r="1915">
      <c r="A1915">
        <f>Data_thang!A1915</f>
        <v/>
      </c>
      <c r="B1915">
        <f>Data_thang!B1915</f>
        <v/>
      </c>
      <c r="C1915">
        <f>Data_thang!D1915</f>
        <v/>
      </c>
      <c r="D1915">
        <f>Data_thang!E1915</f>
        <v/>
      </c>
      <c r="E1915">
        <f>Data_thang!F1915</f>
        <v/>
      </c>
      <c r="F1915">
        <f>Data_thang!G1915</f>
        <v/>
      </c>
      <c r="G1915" s="29">
        <f>Data_thang!J1915-Data_thang!K1915</f>
        <v/>
      </c>
      <c r="H1915" s="29">
        <f>Data_thang!N1915</f>
        <v/>
      </c>
      <c r="I1915" s="29">
        <f>H1915-G1915</f>
        <v/>
      </c>
      <c r="J1915" s="30">
        <f>IF(H1915=0,IF(I1915=0,0,1),I1915/ABS(H1915))</f>
        <v/>
      </c>
      <c r="K1915" s="29">
        <f>H1915-(Data_thang!O1915-Data_thang!K1915)</f>
        <v/>
      </c>
      <c r="L1915">
        <f>IF(AND(ABS(I1915)&gt;Dashboard!$G$6,ABS(J1915)&gt;Dashboard!$H$6),"⚠ Vượt","")</f>
        <v/>
      </c>
      <c r="M1915">
        <f>IF(AND(A1915=Dashboard!$D$6,OR(Dashboard!$C$6="*",F1915=Dashboard!$C$6),L1915&lt;&gt;""),ABS(I1915)+ROW()/1000000000,0)</f>
        <v/>
      </c>
    </row>
    <row r="1916">
      <c r="A1916">
        <f>Data_thang!A1916</f>
        <v/>
      </c>
      <c r="B1916">
        <f>Data_thang!B1916</f>
        <v/>
      </c>
      <c r="C1916">
        <f>Data_thang!D1916</f>
        <v/>
      </c>
      <c r="D1916">
        <f>Data_thang!E1916</f>
        <v/>
      </c>
      <c r="E1916">
        <f>Data_thang!F1916</f>
        <v/>
      </c>
      <c r="F1916">
        <f>Data_thang!G1916</f>
        <v/>
      </c>
      <c r="G1916" s="29">
        <f>Data_thang!J1916-Data_thang!K1916</f>
        <v/>
      </c>
      <c r="H1916" s="29">
        <f>Data_thang!N1916</f>
        <v/>
      </c>
      <c r="I1916" s="29">
        <f>H1916-G1916</f>
        <v/>
      </c>
      <c r="J1916" s="30">
        <f>IF(H1916=0,IF(I1916=0,0,1),I1916/ABS(H1916))</f>
        <v/>
      </c>
      <c r="K1916" s="29">
        <f>H1916-(Data_thang!O1916-Data_thang!K1916)</f>
        <v/>
      </c>
      <c r="L1916">
        <f>IF(AND(ABS(I1916)&gt;Dashboard!$G$6,ABS(J1916)&gt;Dashboard!$H$6),"⚠ Vượt","")</f>
        <v/>
      </c>
      <c r="M1916">
        <f>IF(AND(A1916=Dashboard!$D$6,OR(Dashboard!$C$6="*",F1916=Dashboard!$C$6),L1916&lt;&gt;""),ABS(I1916)+ROW()/1000000000,0)</f>
        <v/>
      </c>
    </row>
    <row r="1917">
      <c r="A1917">
        <f>Data_thang!A1917</f>
        <v/>
      </c>
      <c r="B1917">
        <f>Data_thang!B1917</f>
        <v/>
      </c>
      <c r="C1917">
        <f>Data_thang!D1917</f>
        <v/>
      </c>
      <c r="D1917">
        <f>Data_thang!E1917</f>
        <v/>
      </c>
      <c r="E1917">
        <f>Data_thang!F1917</f>
        <v/>
      </c>
      <c r="F1917">
        <f>Data_thang!G1917</f>
        <v/>
      </c>
      <c r="G1917" s="29">
        <f>Data_thang!J1917-Data_thang!K1917</f>
        <v/>
      </c>
      <c r="H1917" s="29">
        <f>Data_thang!N1917</f>
        <v/>
      </c>
      <c r="I1917" s="29">
        <f>H1917-G1917</f>
        <v/>
      </c>
      <c r="J1917" s="30">
        <f>IF(H1917=0,IF(I1917=0,0,1),I1917/ABS(H1917))</f>
        <v/>
      </c>
      <c r="K1917" s="29">
        <f>H1917-(Data_thang!O1917-Data_thang!K1917)</f>
        <v/>
      </c>
      <c r="L1917">
        <f>IF(AND(ABS(I1917)&gt;Dashboard!$G$6,ABS(J1917)&gt;Dashboard!$H$6),"⚠ Vượt","")</f>
        <v/>
      </c>
      <c r="M1917">
        <f>IF(AND(A1917=Dashboard!$D$6,OR(Dashboard!$C$6="*",F1917=Dashboard!$C$6),L1917&lt;&gt;""),ABS(I1917)+ROW()/1000000000,0)</f>
        <v/>
      </c>
    </row>
    <row r="1918">
      <c r="A1918">
        <f>Data_thang!A1918</f>
        <v/>
      </c>
      <c r="B1918">
        <f>Data_thang!B1918</f>
        <v/>
      </c>
      <c r="C1918">
        <f>Data_thang!D1918</f>
        <v/>
      </c>
      <c r="D1918">
        <f>Data_thang!E1918</f>
        <v/>
      </c>
      <c r="E1918">
        <f>Data_thang!F1918</f>
        <v/>
      </c>
      <c r="F1918">
        <f>Data_thang!G1918</f>
        <v/>
      </c>
      <c r="G1918" s="29">
        <f>Data_thang!J1918-Data_thang!K1918</f>
        <v/>
      </c>
      <c r="H1918" s="29">
        <f>Data_thang!N1918</f>
        <v/>
      </c>
      <c r="I1918" s="29">
        <f>H1918-G1918</f>
        <v/>
      </c>
      <c r="J1918" s="30">
        <f>IF(H1918=0,IF(I1918=0,0,1),I1918/ABS(H1918))</f>
        <v/>
      </c>
      <c r="K1918" s="29">
        <f>H1918-(Data_thang!O1918-Data_thang!K1918)</f>
        <v/>
      </c>
      <c r="L1918">
        <f>IF(AND(ABS(I1918)&gt;Dashboard!$G$6,ABS(J1918)&gt;Dashboard!$H$6),"⚠ Vượt","")</f>
        <v/>
      </c>
      <c r="M1918">
        <f>IF(AND(A1918=Dashboard!$D$6,OR(Dashboard!$C$6="*",F1918=Dashboard!$C$6),L1918&lt;&gt;""),ABS(I1918)+ROW()/1000000000,0)</f>
        <v/>
      </c>
    </row>
    <row r="1919">
      <c r="A1919">
        <f>Data_thang!A1919</f>
        <v/>
      </c>
      <c r="B1919">
        <f>Data_thang!B1919</f>
        <v/>
      </c>
      <c r="C1919">
        <f>Data_thang!D1919</f>
        <v/>
      </c>
      <c r="D1919">
        <f>Data_thang!E1919</f>
        <v/>
      </c>
      <c r="E1919">
        <f>Data_thang!F1919</f>
        <v/>
      </c>
      <c r="F1919">
        <f>Data_thang!G1919</f>
        <v/>
      </c>
      <c r="G1919" s="29">
        <f>Data_thang!J1919-Data_thang!K1919</f>
        <v/>
      </c>
      <c r="H1919" s="29">
        <f>Data_thang!N1919</f>
        <v/>
      </c>
      <c r="I1919" s="29">
        <f>H1919-G1919</f>
        <v/>
      </c>
      <c r="J1919" s="30">
        <f>IF(H1919=0,IF(I1919=0,0,1),I1919/ABS(H1919))</f>
        <v/>
      </c>
      <c r="K1919" s="29">
        <f>H1919-(Data_thang!O1919-Data_thang!K1919)</f>
        <v/>
      </c>
      <c r="L1919">
        <f>IF(AND(ABS(I1919)&gt;Dashboard!$G$6,ABS(J1919)&gt;Dashboard!$H$6),"⚠ Vượt","")</f>
        <v/>
      </c>
      <c r="M1919">
        <f>IF(AND(A1919=Dashboard!$D$6,OR(Dashboard!$C$6="*",F1919=Dashboard!$C$6),L1919&lt;&gt;""),ABS(I1919)+ROW()/1000000000,0)</f>
        <v/>
      </c>
    </row>
    <row r="1920">
      <c r="A1920">
        <f>Data_thang!A1920</f>
        <v/>
      </c>
      <c r="B1920">
        <f>Data_thang!B1920</f>
        <v/>
      </c>
      <c r="C1920">
        <f>Data_thang!D1920</f>
        <v/>
      </c>
      <c r="D1920">
        <f>Data_thang!E1920</f>
        <v/>
      </c>
      <c r="E1920">
        <f>Data_thang!F1920</f>
        <v/>
      </c>
      <c r="F1920">
        <f>Data_thang!G1920</f>
        <v/>
      </c>
      <c r="G1920" s="29">
        <f>Data_thang!J1920-Data_thang!K1920</f>
        <v/>
      </c>
      <c r="H1920" s="29">
        <f>Data_thang!N1920</f>
        <v/>
      </c>
      <c r="I1920" s="29">
        <f>H1920-G1920</f>
        <v/>
      </c>
      <c r="J1920" s="30">
        <f>IF(H1920=0,IF(I1920=0,0,1),I1920/ABS(H1920))</f>
        <v/>
      </c>
      <c r="K1920" s="29">
        <f>H1920-(Data_thang!O1920-Data_thang!K1920)</f>
        <v/>
      </c>
      <c r="L1920">
        <f>IF(AND(ABS(I1920)&gt;Dashboard!$G$6,ABS(J1920)&gt;Dashboard!$H$6),"⚠ Vượt","")</f>
        <v/>
      </c>
      <c r="M1920">
        <f>IF(AND(A1920=Dashboard!$D$6,OR(Dashboard!$C$6="*",F1920=Dashboard!$C$6),L1920&lt;&gt;""),ABS(I1920)+ROW()/1000000000,0)</f>
        <v/>
      </c>
    </row>
    <row r="1921">
      <c r="A1921">
        <f>Data_thang!A1921</f>
        <v/>
      </c>
      <c r="B1921">
        <f>Data_thang!B1921</f>
        <v/>
      </c>
      <c r="C1921">
        <f>Data_thang!D1921</f>
        <v/>
      </c>
      <c r="D1921">
        <f>Data_thang!E1921</f>
        <v/>
      </c>
      <c r="E1921">
        <f>Data_thang!F1921</f>
        <v/>
      </c>
      <c r="F1921">
        <f>Data_thang!G1921</f>
        <v/>
      </c>
      <c r="G1921" s="29">
        <f>Data_thang!J1921-Data_thang!K1921</f>
        <v/>
      </c>
      <c r="H1921" s="29">
        <f>Data_thang!N1921</f>
        <v/>
      </c>
      <c r="I1921" s="29">
        <f>H1921-G1921</f>
        <v/>
      </c>
      <c r="J1921" s="30">
        <f>IF(H1921=0,IF(I1921=0,0,1),I1921/ABS(H1921))</f>
        <v/>
      </c>
      <c r="K1921" s="29">
        <f>H1921-(Data_thang!O1921-Data_thang!K1921)</f>
        <v/>
      </c>
      <c r="L1921">
        <f>IF(AND(ABS(I1921)&gt;Dashboard!$G$6,ABS(J1921)&gt;Dashboard!$H$6),"⚠ Vượt","")</f>
        <v/>
      </c>
      <c r="M1921">
        <f>IF(AND(A1921=Dashboard!$D$6,OR(Dashboard!$C$6="*",F1921=Dashboard!$C$6),L1921&lt;&gt;""),ABS(I1921)+ROW()/1000000000,0)</f>
        <v/>
      </c>
    </row>
    <row r="1922">
      <c r="A1922">
        <f>Data_thang!A1922</f>
        <v/>
      </c>
      <c r="B1922">
        <f>Data_thang!B1922</f>
        <v/>
      </c>
      <c r="C1922">
        <f>Data_thang!D1922</f>
        <v/>
      </c>
      <c r="D1922">
        <f>Data_thang!E1922</f>
        <v/>
      </c>
      <c r="E1922">
        <f>Data_thang!F1922</f>
        <v/>
      </c>
      <c r="F1922">
        <f>Data_thang!G1922</f>
        <v/>
      </c>
      <c r="G1922" s="29">
        <f>Data_thang!J1922-Data_thang!K1922</f>
        <v/>
      </c>
      <c r="H1922" s="29">
        <f>Data_thang!N1922</f>
        <v/>
      </c>
      <c r="I1922" s="29">
        <f>H1922-G1922</f>
        <v/>
      </c>
      <c r="J1922" s="30">
        <f>IF(H1922=0,IF(I1922=0,0,1),I1922/ABS(H1922))</f>
        <v/>
      </c>
      <c r="K1922" s="29">
        <f>H1922-(Data_thang!O1922-Data_thang!K1922)</f>
        <v/>
      </c>
      <c r="L1922">
        <f>IF(AND(ABS(I1922)&gt;Dashboard!$G$6,ABS(J1922)&gt;Dashboard!$H$6),"⚠ Vượt","")</f>
        <v/>
      </c>
      <c r="M1922">
        <f>IF(AND(A1922=Dashboard!$D$6,OR(Dashboard!$C$6="*",F1922=Dashboard!$C$6),L1922&lt;&gt;""),ABS(I1922)+ROW()/1000000000,0)</f>
        <v/>
      </c>
    </row>
    <row r="1923">
      <c r="A1923">
        <f>Data_thang!A1923</f>
        <v/>
      </c>
      <c r="B1923">
        <f>Data_thang!B1923</f>
        <v/>
      </c>
      <c r="C1923">
        <f>Data_thang!D1923</f>
        <v/>
      </c>
      <c r="D1923">
        <f>Data_thang!E1923</f>
        <v/>
      </c>
      <c r="E1923">
        <f>Data_thang!F1923</f>
        <v/>
      </c>
      <c r="F1923">
        <f>Data_thang!G1923</f>
        <v/>
      </c>
      <c r="G1923" s="29">
        <f>Data_thang!J1923-Data_thang!K1923</f>
        <v/>
      </c>
      <c r="H1923" s="29">
        <f>Data_thang!N1923</f>
        <v/>
      </c>
      <c r="I1923" s="29">
        <f>H1923-G1923</f>
        <v/>
      </c>
      <c r="J1923" s="30">
        <f>IF(H1923=0,IF(I1923=0,0,1),I1923/ABS(H1923))</f>
        <v/>
      </c>
      <c r="K1923" s="29">
        <f>H1923-(Data_thang!O1923-Data_thang!K1923)</f>
        <v/>
      </c>
      <c r="L1923">
        <f>IF(AND(ABS(I1923)&gt;Dashboard!$G$6,ABS(J1923)&gt;Dashboard!$H$6),"⚠ Vượt","")</f>
        <v/>
      </c>
      <c r="M1923">
        <f>IF(AND(A1923=Dashboard!$D$6,OR(Dashboard!$C$6="*",F1923=Dashboard!$C$6),L1923&lt;&gt;""),ABS(I1923)+ROW()/1000000000,0)</f>
        <v/>
      </c>
    </row>
    <row r="1924">
      <c r="A1924">
        <f>Data_thang!A1924</f>
        <v/>
      </c>
      <c r="B1924">
        <f>Data_thang!B1924</f>
        <v/>
      </c>
      <c r="C1924">
        <f>Data_thang!D1924</f>
        <v/>
      </c>
      <c r="D1924">
        <f>Data_thang!E1924</f>
        <v/>
      </c>
      <c r="E1924">
        <f>Data_thang!F1924</f>
        <v/>
      </c>
      <c r="F1924">
        <f>Data_thang!G1924</f>
        <v/>
      </c>
      <c r="G1924" s="29">
        <f>Data_thang!J1924-Data_thang!K1924</f>
        <v/>
      </c>
      <c r="H1924" s="29">
        <f>Data_thang!N1924</f>
        <v/>
      </c>
      <c r="I1924" s="29">
        <f>H1924-G1924</f>
        <v/>
      </c>
      <c r="J1924" s="30">
        <f>IF(H1924=0,IF(I1924=0,0,1),I1924/ABS(H1924))</f>
        <v/>
      </c>
      <c r="K1924" s="29">
        <f>H1924-(Data_thang!O1924-Data_thang!K1924)</f>
        <v/>
      </c>
      <c r="L1924">
        <f>IF(AND(ABS(I1924)&gt;Dashboard!$G$6,ABS(J1924)&gt;Dashboard!$H$6),"⚠ Vượt","")</f>
        <v/>
      </c>
      <c r="M1924">
        <f>IF(AND(A1924=Dashboard!$D$6,OR(Dashboard!$C$6="*",F1924=Dashboard!$C$6),L1924&lt;&gt;""),ABS(I1924)+ROW()/1000000000,0)</f>
        <v/>
      </c>
    </row>
    <row r="1925">
      <c r="A1925">
        <f>Data_thang!A1925</f>
        <v/>
      </c>
      <c r="B1925">
        <f>Data_thang!B1925</f>
        <v/>
      </c>
      <c r="C1925">
        <f>Data_thang!D1925</f>
        <v/>
      </c>
      <c r="D1925">
        <f>Data_thang!E1925</f>
        <v/>
      </c>
      <c r="E1925">
        <f>Data_thang!F1925</f>
        <v/>
      </c>
      <c r="F1925">
        <f>Data_thang!G1925</f>
        <v/>
      </c>
      <c r="G1925" s="29">
        <f>Data_thang!J1925-Data_thang!K1925</f>
        <v/>
      </c>
      <c r="H1925" s="29">
        <f>Data_thang!N1925</f>
        <v/>
      </c>
      <c r="I1925" s="29">
        <f>H1925-G1925</f>
        <v/>
      </c>
      <c r="J1925" s="30">
        <f>IF(H1925=0,IF(I1925=0,0,1),I1925/ABS(H1925))</f>
        <v/>
      </c>
      <c r="K1925" s="29">
        <f>H1925-(Data_thang!O1925-Data_thang!K1925)</f>
        <v/>
      </c>
      <c r="L1925">
        <f>IF(AND(ABS(I1925)&gt;Dashboard!$G$6,ABS(J1925)&gt;Dashboard!$H$6),"⚠ Vượt","")</f>
        <v/>
      </c>
      <c r="M1925">
        <f>IF(AND(A1925=Dashboard!$D$6,OR(Dashboard!$C$6="*",F1925=Dashboard!$C$6),L1925&lt;&gt;""),ABS(I1925)+ROW()/1000000000,0)</f>
        <v/>
      </c>
    </row>
    <row r="1926">
      <c r="A1926">
        <f>Data_thang!A1926</f>
        <v/>
      </c>
      <c r="B1926">
        <f>Data_thang!B1926</f>
        <v/>
      </c>
      <c r="C1926">
        <f>Data_thang!D1926</f>
        <v/>
      </c>
      <c r="D1926">
        <f>Data_thang!E1926</f>
        <v/>
      </c>
      <c r="E1926">
        <f>Data_thang!F1926</f>
        <v/>
      </c>
      <c r="F1926">
        <f>Data_thang!G1926</f>
        <v/>
      </c>
      <c r="G1926" s="29">
        <f>Data_thang!J1926-Data_thang!K1926</f>
        <v/>
      </c>
      <c r="H1926" s="29">
        <f>Data_thang!N1926</f>
        <v/>
      </c>
      <c r="I1926" s="29">
        <f>H1926-G1926</f>
        <v/>
      </c>
      <c r="J1926" s="30">
        <f>IF(H1926=0,IF(I1926=0,0,1),I1926/ABS(H1926))</f>
        <v/>
      </c>
      <c r="K1926" s="29">
        <f>H1926-(Data_thang!O1926-Data_thang!K1926)</f>
        <v/>
      </c>
      <c r="L1926">
        <f>IF(AND(ABS(I1926)&gt;Dashboard!$G$6,ABS(J1926)&gt;Dashboard!$H$6),"⚠ Vượt","")</f>
        <v/>
      </c>
      <c r="M1926">
        <f>IF(AND(A1926=Dashboard!$D$6,OR(Dashboard!$C$6="*",F1926=Dashboard!$C$6),L1926&lt;&gt;""),ABS(I1926)+ROW()/1000000000,0)</f>
        <v/>
      </c>
    </row>
    <row r="1927">
      <c r="A1927">
        <f>Data_thang!A1927</f>
        <v/>
      </c>
      <c r="B1927">
        <f>Data_thang!B1927</f>
        <v/>
      </c>
      <c r="C1927">
        <f>Data_thang!D1927</f>
        <v/>
      </c>
      <c r="D1927">
        <f>Data_thang!E1927</f>
        <v/>
      </c>
      <c r="E1927">
        <f>Data_thang!F1927</f>
        <v/>
      </c>
      <c r="F1927">
        <f>Data_thang!G1927</f>
        <v/>
      </c>
      <c r="G1927" s="29">
        <f>Data_thang!J1927-Data_thang!K1927</f>
        <v/>
      </c>
      <c r="H1927" s="29">
        <f>Data_thang!N1927</f>
        <v/>
      </c>
      <c r="I1927" s="29">
        <f>H1927-G1927</f>
        <v/>
      </c>
      <c r="J1927" s="30">
        <f>IF(H1927=0,IF(I1927=0,0,1),I1927/ABS(H1927))</f>
        <v/>
      </c>
      <c r="K1927" s="29">
        <f>H1927-(Data_thang!O1927-Data_thang!K1927)</f>
        <v/>
      </c>
      <c r="L1927">
        <f>IF(AND(ABS(I1927)&gt;Dashboard!$G$6,ABS(J1927)&gt;Dashboard!$H$6),"⚠ Vượt","")</f>
        <v/>
      </c>
      <c r="M1927">
        <f>IF(AND(A1927=Dashboard!$D$6,OR(Dashboard!$C$6="*",F1927=Dashboard!$C$6),L1927&lt;&gt;""),ABS(I1927)+ROW()/1000000000,0)</f>
        <v/>
      </c>
    </row>
    <row r="1928">
      <c r="A1928">
        <f>Data_thang!A1928</f>
        <v/>
      </c>
      <c r="B1928">
        <f>Data_thang!B1928</f>
        <v/>
      </c>
      <c r="C1928">
        <f>Data_thang!D1928</f>
        <v/>
      </c>
      <c r="D1928">
        <f>Data_thang!E1928</f>
        <v/>
      </c>
      <c r="E1928">
        <f>Data_thang!F1928</f>
        <v/>
      </c>
      <c r="F1928">
        <f>Data_thang!G1928</f>
        <v/>
      </c>
      <c r="G1928" s="29">
        <f>Data_thang!J1928-Data_thang!K1928</f>
        <v/>
      </c>
      <c r="H1928" s="29">
        <f>Data_thang!N1928</f>
        <v/>
      </c>
      <c r="I1928" s="29">
        <f>H1928-G1928</f>
        <v/>
      </c>
      <c r="J1928" s="30">
        <f>IF(H1928=0,IF(I1928=0,0,1),I1928/ABS(H1928))</f>
        <v/>
      </c>
      <c r="K1928" s="29">
        <f>H1928-(Data_thang!O1928-Data_thang!K1928)</f>
        <v/>
      </c>
      <c r="L1928">
        <f>IF(AND(ABS(I1928)&gt;Dashboard!$G$6,ABS(J1928)&gt;Dashboard!$H$6),"⚠ Vượt","")</f>
        <v/>
      </c>
      <c r="M1928">
        <f>IF(AND(A1928=Dashboard!$D$6,OR(Dashboard!$C$6="*",F1928=Dashboard!$C$6),L1928&lt;&gt;""),ABS(I1928)+ROW()/1000000000,0)</f>
        <v/>
      </c>
    </row>
    <row r="1929">
      <c r="A1929">
        <f>Data_thang!A1929</f>
        <v/>
      </c>
      <c r="B1929">
        <f>Data_thang!B1929</f>
        <v/>
      </c>
      <c r="C1929">
        <f>Data_thang!D1929</f>
        <v/>
      </c>
      <c r="D1929">
        <f>Data_thang!E1929</f>
        <v/>
      </c>
      <c r="E1929">
        <f>Data_thang!F1929</f>
        <v/>
      </c>
      <c r="F1929">
        <f>Data_thang!G1929</f>
        <v/>
      </c>
      <c r="G1929" s="29">
        <f>Data_thang!J1929-Data_thang!K1929</f>
        <v/>
      </c>
      <c r="H1929" s="29">
        <f>Data_thang!N1929</f>
        <v/>
      </c>
      <c r="I1929" s="29">
        <f>H1929-G1929</f>
        <v/>
      </c>
      <c r="J1929" s="30">
        <f>IF(H1929=0,IF(I1929=0,0,1),I1929/ABS(H1929))</f>
        <v/>
      </c>
      <c r="K1929" s="29">
        <f>H1929-(Data_thang!O1929-Data_thang!K1929)</f>
        <v/>
      </c>
      <c r="L1929">
        <f>IF(AND(ABS(I1929)&gt;Dashboard!$G$6,ABS(J1929)&gt;Dashboard!$H$6),"⚠ Vượt","")</f>
        <v/>
      </c>
      <c r="M1929">
        <f>IF(AND(A1929=Dashboard!$D$6,OR(Dashboard!$C$6="*",F1929=Dashboard!$C$6),L1929&lt;&gt;""),ABS(I1929)+ROW()/1000000000,0)</f>
        <v/>
      </c>
    </row>
    <row r="1930">
      <c r="A1930">
        <f>Data_thang!A1930</f>
        <v/>
      </c>
      <c r="B1930">
        <f>Data_thang!B1930</f>
        <v/>
      </c>
      <c r="C1930">
        <f>Data_thang!D1930</f>
        <v/>
      </c>
      <c r="D1930">
        <f>Data_thang!E1930</f>
        <v/>
      </c>
      <c r="E1930">
        <f>Data_thang!F1930</f>
        <v/>
      </c>
      <c r="F1930">
        <f>Data_thang!G1930</f>
        <v/>
      </c>
      <c r="G1930" s="29">
        <f>Data_thang!J1930-Data_thang!K1930</f>
        <v/>
      </c>
      <c r="H1930" s="29">
        <f>Data_thang!N1930</f>
        <v/>
      </c>
      <c r="I1930" s="29">
        <f>H1930-G1930</f>
        <v/>
      </c>
      <c r="J1930" s="30">
        <f>IF(H1930=0,IF(I1930=0,0,1),I1930/ABS(H1930))</f>
        <v/>
      </c>
      <c r="K1930" s="29">
        <f>H1930-(Data_thang!O1930-Data_thang!K1930)</f>
        <v/>
      </c>
      <c r="L1930">
        <f>IF(AND(ABS(I1930)&gt;Dashboard!$G$6,ABS(J1930)&gt;Dashboard!$H$6),"⚠ Vượt","")</f>
        <v/>
      </c>
      <c r="M1930">
        <f>IF(AND(A1930=Dashboard!$D$6,OR(Dashboard!$C$6="*",F1930=Dashboard!$C$6),L1930&lt;&gt;""),ABS(I1930)+ROW()/1000000000,0)</f>
        <v/>
      </c>
    </row>
    <row r="1931">
      <c r="A1931">
        <f>Data_thang!A1931</f>
        <v/>
      </c>
      <c r="B1931">
        <f>Data_thang!B1931</f>
        <v/>
      </c>
      <c r="C1931">
        <f>Data_thang!D1931</f>
        <v/>
      </c>
      <c r="D1931">
        <f>Data_thang!E1931</f>
        <v/>
      </c>
      <c r="E1931">
        <f>Data_thang!F1931</f>
        <v/>
      </c>
      <c r="F1931">
        <f>Data_thang!G1931</f>
        <v/>
      </c>
      <c r="G1931" s="29">
        <f>Data_thang!J1931-Data_thang!K1931</f>
        <v/>
      </c>
      <c r="H1931" s="29">
        <f>Data_thang!N1931</f>
        <v/>
      </c>
      <c r="I1931" s="29">
        <f>H1931-G1931</f>
        <v/>
      </c>
      <c r="J1931" s="30">
        <f>IF(H1931=0,IF(I1931=0,0,1),I1931/ABS(H1931))</f>
        <v/>
      </c>
      <c r="K1931" s="29">
        <f>H1931-(Data_thang!O1931-Data_thang!K1931)</f>
        <v/>
      </c>
      <c r="L1931">
        <f>IF(AND(ABS(I1931)&gt;Dashboard!$G$6,ABS(J1931)&gt;Dashboard!$H$6),"⚠ Vượt","")</f>
        <v/>
      </c>
      <c r="M1931">
        <f>IF(AND(A1931=Dashboard!$D$6,OR(Dashboard!$C$6="*",F1931=Dashboard!$C$6),L1931&lt;&gt;""),ABS(I1931)+ROW()/1000000000,0)</f>
        <v/>
      </c>
    </row>
    <row r="1932">
      <c r="A1932">
        <f>Data_thang!A1932</f>
        <v/>
      </c>
      <c r="B1932">
        <f>Data_thang!B1932</f>
        <v/>
      </c>
      <c r="C1932">
        <f>Data_thang!D1932</f>
        <v/>
      </c>
      <c r="D1932">
        <f>Data_thang!E1932</f>
        <v/>
      </c>
      <c r="E1932">
        <f>Data_thang!F1932</f>
        <v/>
      </c>
      <c r="F1932">
        <f>Data_thang!G1932</f>
        <v/>
      </c>
      <c r="G1932" s="29">
        <f>Data_thang!J1932-Data_thang!K1932</f>
        <v/>
      </c>
      <c r="H1932" s="29">
        <f>Data_thang!N1932</f>
        <v/>
      </c>
      <c r="I1932" s="29">
        <f>H1932-G1932</f>
        <v/>
      </c>
      <c r="J1932" s="30">
        <f>IF(H1932=0,IF(I1932=0,0,1),I1932/ABS(H1932))</f>
        <v/>
      </c>
      <c r="K1932" s="29">
        <f>H1932-(Data_thang!O1932-Data_thang!K1932)</f>
        <v/>
      </c>
      <c r="L1932">
        <f>IF(AND(ABS(I1932)&gt;Dashboard!$G$6,ABS(J1932)&gt;Dashboard!$H$6),"⚠ Vượt","")</f>
        <v/>
      </c>
      <c r="M1932">
        <f>IF(AND(A1932=Dashboard!$D$6,OR(Dashboard!$C$6="*",F1932=Dashboard!$C$6),L1932&lt;&gt;""),ABS(I1932)+ROW()/1000000000,0)</f>
        <v/>
      </c>
    </row>
    <row r="1933">
      <c r="A1933">
        <f>Data_thang!A1933</f>
        <v/>
      </c>
      <c r="B1933">
        <f>Data_thang!B1933</f>
        <v/>
      </c>
      <c r="C1933">
        <f>Data_thang!D1933</f>
        <v/>
      </c>
      <c r="D1933">
        <f>Data_thang!E1933</f>
        <v/>
      </c>
      <c r="E1933">
        <f>Data_thang!F1933</f>
        <v/>
      </c>
      <c r="F1933">
        <f>Data_thang!G1933</f>
        <v/>
      </c>
      <c r="G1933" s="29">
        <f>Data_thang!J1933-Data_thang!K1933</f>
        <v/>
      </c>
      <c r="H1933" s="29">
        <f>Data_thang!N1933</f>
        <v/>
      </c>
      <c r="I1933" s="29">
        <f>H1933-G1933</f>
        <v/>
      </c>
      <c r="J1933" s="30">
        <f>IF(H1933=0,IF(I1933=0,0,1),I1933/ABS(H1933))</f>
        <v/>
      </c>
      <c r="K1933" s="29">
        <f>H1933-(Data_thang!O1933-Data_thang!K1933)</f>
        <v/>
      </c>
      <c r="L1933">
        <f>IF(AND(ABS(I1933)&gt;Dashboard!$G$6,ABS(J1933)&gt;Dashboard!$H$6),"⚠ Vượt","")</f>
        <v/>
      </c>
      <c r="M1933">
        <f>IF(AND(A1933=Dashboard!$D$6,OR(Dashboard!$C$6="*",F1933=Dashboard!$C$6),L1933&lt;&gt;""),ABS(I1933)+ROW()/1000000000,0)</f>
        <v/>
      </c>
    </row>
    <row r="1934">
      <c r="A1934">
        <f>Data_thang!A1934</f>
        <v/>
      </c>
      <c r="B1934">
        <f>Data_thang!B1934</f>
        <v/>
      </c>
      <c r="C1934">
        <f>Data_thang!D1934</f>
        <v/>
      </c>
      <c r="D1934">
        <f>Data_thang!E1934</f>
        <v/>
      </c>
      <c r="E1934">
        <f>Data_thang!F1934</f>
        <v/>
      </c>
      <c r="F1934">
        <f>Data_thang!G1934</f>
        <v/>
      </c>
      <c r="G1934" s="29">
        <f>Data_thang!J1934-Data_thang!K1934</f>
        <v/>
      </c>
      <c r="H1934" s="29">
        <f>Data_thang!N1934</f>
        <v/>
      </c>
      <c r="I1934" s="29">
        <f>H1934-G1934</f>
        <v/>
      </c>
      <c r="J1934" s="30">
        <f>IF(H1934=0,IF(I1934=0,0,1),I1934/ABS(H1934))</f>
        <v/>
      </c>
      <c r="K1934" s="29">
        <f>H1934-(Data_thang!O1934-Data_thang!K1934)</f>
        <v/>
      </c>
      <c r="L1934">
        <f>IF(AND(ABS(I1934)&gt;Dashboard!$G$6,ABS(J1934)&gt;Dashboard!$H$6),"⚠ Vượt","")</f>
        <v/>
      </c>
      <c r="M1934">
        <f>IF(AND(A1934=Dashboard!$D$6,OR(Dashboard!$C$6="*",F1934=Dashboard!$C$6),L1934&lt;&gt;""),ABS(I1934)+ROW()/1000000000,0)</f>
        <v/>
      </c>
    </row>
    <row r="1935">
      <c r="A1935">
        <f>Data_thang!A1935</f>
        <v/>
      </c>
      <c r="B1935">
        <f>Data_thang!B1935</f>
        <v/>
      </c>
      <c r="C1935">
        <f>Data_thang!D1935</f>
        <v/>
      </c>
      <c r="D1935">
        <f>Data_thang!E1935</f>
        <v/>
      </c>
      <c r="E1935">
        <f>Data_thang!F1935</f>
        <v/>
      </c>
      <c r="F1935">
        <f>Data_thang!G1935</f>
        <v/>
      </c>
      <c r="G1935" s="29">
        <f>Data_thang!J1935-Data_thang!K1935</f>
        <v/>
      </c>
      <c r="H1935" s="29">
        <f>Data_thang!N1935</f>
        <v/>
      </c>
      <c r="I1935" s="29">
        <f>H1935-G1935</f>
        <v/>
      </c>
      <c r="J1935" s="30">
        <f>IF(H1935=0,IF(I1935=0,0,1),I1935/ABS(H1935))</f>
        <v/>
      </c>
      <c r="K1935" s="29">
        <f>H1935-(Data_thang!O1935-Data_thang!K1935)</f>
        <v/>
      </c>
      <c r="L1935">
        <f>IF(AND(ABS(I1935)&gt;Dashboard!$G$6,ABS(J1935)&gt;Dashboard!$H$6),"⚠ Vượt","")</f>
        <v/>
      </c>
      <c r="M1935">
        <f>IF(AND(A1935=Dashboard!$D$6,OR(Dashboard!$C$6="*",F1935=Dashboard!$C$6),L1935&lt;&gt;""),ABS(I1935)+ROW()/1000000000,0)</f>
        <v/>
      </c>
    </row>
    <row r="1936">
      <c r="A1936">
        <f>Data_thang!A1936</f>
        <v/>
      </c>
      <c r="B1936">
        <f>Data_thang!B1936</f>
        <v/>
      </c>
      <c r="C1936">
        <f>Data_thang!D1936</f>
        <v/>
      </c>
      <c r="D1936">
        <f>Data_thang!E1936</f>
        <v/>
      </c>
      <c r="E1936">
        <f>Data_thang!F1936</f>
        <v/>
      </c>
      <c r="F1936">
        <f>Data_thang!G1936</f>
        <v/>
      </c>
      <c r="G1936" s="29">
        <f>Data_thang!J1936-Data_thang!K1936</f>
        <v/>
      </c>
      <c r="H1936" s="29">
        <f>Data_thang!N1936</f>
        <v/>
      </c>
      <c r="I1936" s="29">
        <f>H1936-G1936</f>
        <v/>
      </c>
      <c r="J1936" s="30">
        <f>IF(H1936=0,IF(I1936=0,0,1),I1936/ABS(H1936))</f>
        <v/>
      </c>
      <c r="K1936" s="29">
        <f>H1936-(Data_thang!O1936-Data_thang!K1936)</f>
        <v/>
      </c>
      <c r="L1936">
        <f>IF(AND(ABS(I1936)&gt;Dashboard!$G$6,ABS(J1936)&gt;Dashboard!$H$6),"⚠ Vượt","")</f>
        <v/>
      </c>
      <c r="M1936">
        <f>IF(AND(A1936=Dashboard!$D$6,OR(Dashboard!$C$6="*",F1936=Dashboard!$C$6),L1936&lt;&gt;""),ABS(I1936)+ROW()/1000000000,0)</f>
        <v/>
      </c>
    </row>
    <row r="1937">
      <c r="A1937">
        <f>Data_thang!A1937</f>
        <v/>
      </c>
      <c r="B1937">
        <f>Data_thang!B1937</f>
        <v/>
      </c>
      <c r="C1937">
        <f>Data_thang!D1937</f>
        <v/>
      </c>
      <c r="D1937">
        <f>Data_thang!E1937</f>
        <v/>
      </c>
      <c r="E1937">
        <f>Data_thang!F1937</f>
        <v/>
      </c>
      <c r="F1937">
        <f>Data_thang!G1937</f>
        <v/>
      </c>
      <c r="G1937" s="29">
        <f>Data_thang!J1937-Data_thang!K1937</f>
        <v/>
      </c>
      <c r="H1937" s="29">
        <f>Data_thang!N1937</f>
        <v/>
      </c>
      <c r="I1937" s="29">
        <f>H1937-G1937</f>
        <v/>
      </c>
      <c r="J1937" s="30">
        <f>IF(H1937=0,IF(I1937=0,0,1),I1937/ABS(H1937))</f>
        <v/>
      </c>
      <c r="K1937" s="29">
        <f>H1937-(Data_thang!O1937-Data_thang!K1937)</f>
        <v/>
      </c>
      <c r="L1937">
        <f>IF(AND(ABS(I1937)&gt;Dashboard!$G$6,ABS(J1937)&gt;Dashboard!$H$6),"⚠ Vượt","")</f>
        <v/>
      </c>
      <c r="M1937">
        <f>IF(AND(A1937=Dashboard!$D$6,OR(Dashboard!$C$6="*",F1937=Dashboard!$C$6),L1937&lt;&gt;""),ABS(I1937)+ROW()/1000000000,0)</f>
        <v/>
      </c>
    </row>
    <row r="1938">
      <c r="A1938">
        <f>Data_thang!A1938</f>
        <v/>
      </c>
      <c r="B1938">
        <f>Data_thang!B1938</f>
        <v/>
      </c>
      <c r="C1938">
        <f>Data_thang!D1938</f>
        <v/>
      </c>
      <c r="D1938">
        <f>Data_thang!E1938</f>
        <v/>
      </c>
      <c r="E1938">
        <f>Data_thang!F1938</f>
        <v/>
      </c>
      <c r="F1938">
        <f>Data_thang!G1938</f>
        <v/>
      </c>
      <c r="G1938" s="29">
        <f>Data_thang!J1938-Data_thang!K1938</f>
        <v/>
      </c>
      <c r="H1938" s="29">
        <f>Data_thang!N1938</f>
        <v/>
      </c>
      <c r="I1938" s="29">
        <f>H1938-G1938</f>
        <v/>
      </c>
      <c r="J1938" s="30">
        <f>IF(H1938=0,IF(I1938=0,0,1),I1938/ABS(H1938))</f>
        <v/>
      </c>
      <c r="K1938" s="29">
        <f>H1938-(Data_thang!O1938-Data_thang!K1938)</f>
        <v/>
      </c>
      <c r="L1938">
        <f>IF(AND(ABS(I1938)&gt;Dashboard!$G$6,ABS(J1938)&gt;Dashboard!$H$6),"⚠ Vượt","")</f>
        <v/>
      </c>
      <c r="M1938">
        <f>IF(AND(A1938=Dashboard!$D$6,OR(Dashboard!$C$6="*",F1938=Dashboard!$C$6),L1938&lt;&gt;""),ABS(I1938)+ROW()/1000000000,0)</f>
        <v/>
      </c>
    </row>
    <row r="1939">
      <c r="A1939">
        <f>Data_thang!A1939</f>
        <v/>
      </c>
      <c r="B1939">
        <f>Data_thang!B1939</f>
        <v/>
      </c>
      <c r="C1939">
        <f>Data_thang!D1939</f>
        <v/>
      </c>
      <c r="D1939">
        <f>Data_thang!E1939</f>
        <v/>
      </c>
      <c r="E1939">
        <f>Data_thang!F1939</f>
        <v/>
      </c>
      <c r="F1939">
        <f>Data_thang!G1939</f>
        <v/>
      </c>
      <c r="G1939" s="29">
        <f>Data_thang!J1939-Data_thang!K1939</f>
        <v/>
      </c>
      <c r="H1939" s="29">
        <f>Data_thang!N1939</f>
        <v/>
      </c>
      <c r="I1939" s="29">
        <f>H1939-G1939</f>
        <v/>
      </c>
      <c r="J1939" s="30">
        <f>IF(H1939=0,IF(I1939=0,0,1),I1939/ABS(H1939))</f>
        <v/>
      </c>
      <c r="K1939" s="29">
        <f>H1939-(Data_thang!O1939-Data_thang!K1939)</f>
        <v/>
      </c>
      <c r="L1939">
        <f>IF(AND(ABS(I1939)&gt;Dashboard!$G$6,ABS(J1939)&gt;Dashboard!$H$6),"⚠ Vượt","")</f>
        <v/>
      </c>
      <c r="M1939">
        <f>IF(AND(A1939=Dashboard!$D$6,OR(Dashboard!$C$6="*",F1939=Dashboard!$C$6),L1939&lt;&gt;""),ABS(I1939)+ROW()/1000000000,0)</f>
        <v/>
      </c>
    </row>
    <row r="1940">
      <c r="A1940">
        <f>Data_thang!A1940</f>
        <v/>
      </c>
      <c r="B1940">
        <f>Data_thang!B1940</f>
        <v/>
      </c>
      <c r="C1940">
        <f>Data_thang!D1940</f>
        <v/>
      </c>
      <c r="D1940">
        <f>Data_thang!E1940</f>
        <v/>
      </c>
      <c r="E1940">
        <f>Data_thang!F1940</f>
        <v/>
      </c>
      <c r="F1940">
        <f>Data_thang!G1940</f>
        <v/>
      </c>
      <c r="G1940" s="29">
        <f>Data_thang!J1940-Data_thang!K1940</f>
        <v/>
      </c>
      <c r="H1940" s="29">
        <f>Data_thang!N1940</f>
        <v/>
      </c>
      <c r="I1940" s="29">
        <f>H1940-G1940</f>
        <v/>
      </c>
      <c r="J1940" s="30">
        <f>IF(H1940=0,IF(I1940=0,0,1),I1940/ABS(H1940))</f>
        <v/>
      </c>
      <c r="K1940" s="29">
        <f>H1940-(Data_thang!O1940-Data_thang!K1940)</f>
        <v/>
      </c>
      <c r="L1940">
        <f>IF(AND(ABS(I1940)&gt;Dashboard!$G$6,ABS(J1940)&gt;Dashboard!$H$6),"⚠ Vượt","")</f>
        <v/>
      </c>
      <c r="M1940">
        <f>IF(AND(A1940=Dashboard!$D$6,OR(Dashboard!$C$6="*",F1940=Dashboard!$C$6),L1940&lt;&gt;""),ABS(I1940)+ROW()/1000000000,0)</f>
        <v/>
      </c>
    </row>
    <row r="1941">
      <c r="A1941">
        <f>Data_thang!A1941</f>
        <v/>
      </c>
      <c r="B1941">
        <f>Data_thang!B1941</f>
        <v/>
      </c>
      <c r="C1941">
        <f>Data_thang!D1941</f>
        <v/>
      </c>
      <c r="D1941">
        <f>Data_thang!E1941</f>
        <v/>
      </c>
      <c r="E1941">
        <f>Data_thang!F1941</f>
        <v/>
      </c>
      <c r="F1941">
        <f>Data_thang!G1941</f>
        <v/>
      </c>
      <c r="G1941" s="29">
        <f>Data_thang!J1941-Data_thang!K1941</f>
        <v/>
      </c>
      <c r="H1941" s="29">
        <f>Data_thang!N1941</f>
        <v/>
      </c>
      <c r="I1941" s="29">
        <f>H1941-G1941</f>
        <v/>
      </c>
      <c r="J1941" s="30">
        <f>IF(H1941=0,IF(I1941=0,0,1),I1941/ABS(H1941))</f>
        <v/>
      </c>
      <c r="K1941" s="29">
        <f>H1941-(Data_thang!O1941-Data_thang!K1941)</f>
        <v/>
      </c>
      <c r="L1941">
        <f>IF(AND(ABS(I1941)&gt;Dashboard!$G$6,ABS(J1941)&gt;Dashboard!$H$6),"⚠ Vượt","")</f>
        <v/>
      </c>
      <c r="M1941">
        <f>IF(AND(A1941=Dashboard!$D$6,OR(Dashboard!$C$6="*",F1941=Dashboard!$C$6),L1941&lt;&gt;""),ABS(I1941)+ROW()/1000000000,0)</f>
        <v/>
      </c>
    </row>
    <row r="1942">
      <c r="A1942">
        <f>Data_thang!A1942</f>
        <v/>
      </c>
      <c r="B1942">
        <f>Data_thang!B1942</f>
        <v/>
      </c>
      <c r="C1942">
        <f>Data_thang!D1942</f>
        <v/>
      </c>
      <c r="D1942">
        <f>Data_thang!E1942</f>
        <v/>
      </c>
      <c r="E1942">
        <f>Data_thang!F1942</f>
        <v/>
      </c>
      <c r="F1942">
        <f>Data_thang!G1942</f>
        <v/>
      </c>
      <c r="G1942" s="29">
        <f>Data_thang!J1942-Data_thang!K1942</f>
        <v/>
      </c>
      <c r="H1942" s="29">
        <f>Data_thang!N1942</f>
        <v/>
      </c>
      <c r="I1942" s="29">
        <f>H1942-G1942</f>
        <v/>
      </c>
      <c r="J1942" s="30">
        <f>IF(H1942=0,IF(I1942=0,0,1),I1942/ABS(H1942))</f>
        <v/>
      </c>
      <c r="K1942" s="29">
        <f>H1942-(Data_thang!O1942-Data_thang!K1942)</f>
        <v/>
      </c>
      <c r="L1942">
        <f>IF(AND(ABS(I1942)&gt;Dashboard!$G$6,ABS(J1942)&gt;Dashboard!$H$6),"⚠ Vượt","")</f>
        <v/>
      </c>
      <c r="M1942">
        <f>IF(AND(A1942=Dashboard!$D$6,OR(Dashboard!$C$6="*",F1942=Dashboard!$C$6),L1942&lt;&gt;""),ABS(I1942)+ROW()/1000000000,0)</f>
        <v/>
      </c>
    </row>
    <row r="1943">
      <c r="A1943">
        <f>Data_thang!A1943</f>
        <v/>
      </c>
      <c r="B1943">
        <f>Data_thang!B1943</f>
        <v/>
      </c>
      <c r="C1943">
        <f>Data_thang!D1943</f>
        <v/>
      </c>
      <c r="D1943">
        <f>Data_thang!E1943</f>
        <v/>
      </c>
      <c r="E1943">
        <f>Data_thang!F1943</f>
        <v/>
      </c>
      <c r="F1943">
        <f>Data_thang!G1943</f>
        <v/>
      </c>
      <c r="G1943" s="29">
        <f>Data_thang!J1943-Data_thang!K1943</f>
        <v/>
      </c>
      <c r="H1943" s="29">
        <f>Data_thang!N1943</f>
        <v/>
      </c>
      <c r="I1943" s="29">
        <f>H1943-G1943</f>
        <v/>
      </c>
      <c r="J1943" s="30">
        <f>IF(H1943=0,IF(I1943=0,0,1),I1943/ABS(H1943))</f>
        <v/>
      </c>
      <c r="K1943" s="29">
        <f>H1943-(Data_thang!O1943-Data_thang!K1943)</f>
        <v/>
      </c>
      <c r="L1943">
        <f>IF(AND(ABS(I1943)&gt;Dashboard!$G$6,ABS(J1943)&gt;Dashboard!$H$6),"⚠ Vượt","")</f>
        <v/>
      </c>
      <c r="M1943">
        <f>IF(AND(A1943=Dashboard!$D$6,OR(Dashboard!$C$6="*",F1943=Dashboard!$C$6),L1943&lt;&gt;""),ABS(I1943)+ROW()/1000000000,0)</f>
        <v/>
      </c>
    </row>
    <row r="1944">
      <c r="A1944">
        <f>Data_thang!A1944</f>
        <v/>
      </c>
      <c r="B1944">
        <f>Data_thang!B1944</f>
        <v/>
      </c>
      <c r="C1944">
        <f>Data_thang!D1944</f>
        <v/>
      </c>
      <c r="D1944">
        <f>Data_thang!E1944</f>
        <v/>
      </c>
      <c r="E1944">
        <f>Data_thang!F1944</f>
        <v/>
      </c>
      <c r="F1944">
        <f>Data_thang!G1944</f>
        <v/>
      </c>
      <c r="G1944" s="29">
        <f>Data_thang!J1944-Data_thang!K1944</f>
        <v/>
      </c>
      <c r="H1944" s="29">
        <f>Data_thang!N1944</f>
        <v/>
      </c>
      <c r="I1944" s="29">
        <f>H1944-G1944</f>
        <v/>
      </c>
      <c r="J1944" s="30">
        <f>IF(H1944=0,IF(I1944=0,0,1),I1944/ABS(H1944))</f>
        <v/>
      </c>
      <c r="K1944" s="29">
        <f>H1944-(Data_thang!O1944-Data_thang!K1944)</f>
        <v/>
      </c>
      <c r="L1944">
        <f>IF(AND(ABS(I1944)&gt;Dashboard!$G$6,ABS(J1944)&gt;Dashboard!$H$6),"⚠ Vượt","")</f>
        <v/>
      </c>
      <c r="M1944">
        <f>IF(AND(A1944=Dashboard!$D$6,OR(Dashboard!$C$6="*",F1944=Dashboard!$C$6),L1944&lt;&gt;""),ABS(I1944)+ROW()/1000000000,0)</f>
        <v/>
      </c>
    </row>
    <row r="1945">
      <c r="A1945">
        <f>Data_thang!A1945</f>
        <v/>
      </c>
      <c r="B1945">
        <f>Data_thang!B1945</f>
        <v/>
      </c>
      <c r="C1945">
        <f>Data_thang!D1945</f>
        <v/>
      </c>
      <c r="D1945">
        <f>Data_thang!E1945</f>
        <v/>
      </c>
      <c r="E1945">
        <f>Data_thang!F1945</f>
        <v/>
      </c>
      <c r="F1945">
        <f>Data_thang!G1945</f>
        <v/>
      </c>
      <c r="G1945" s="29">
        <f>Data_thang!J1945-Data_thang!K1945</f>
        <v/>
      </c>
      <c r="H1945" s="29">
        <f>Data_thang!N1945</f>
        <v/>
      </c>
      <c r="I1945" s="29">
        <f>H1945-G1945</f>
        <v/>
      </c>
      <c r="J1945" s="30">
        <f>IF(H1945=0,IF(I1945=0,0,1),I1945/ABS(H1945))</f>
        <v/>
      </c>
      <c r="K1945" s="29">
        <f>H1945-(Data_thang!O1945-Data_thang!K1945)</f>
        <v/>
      </c>
      <c r="L1945">
        <f>IF(AND(ABS(I1945)&gt;Dashboard!$G$6,ABS(J1945)&gt;Dashboard!$H$6),"⚠ Vượt","")</f>
        <v/>
      </c>
      <c r="M1945">
        <f>IF(AND(A1945=Dashboard!$D$6,OR(Dashboard!$C$6="*",F1945=Dashboard!$C$6),L1945&lt;&gt;""),ABS(I1945)+ROW()/1000000000,0)</f>
        <v/>
      </c>
    </row>
    <row r="1946">
      <c r="A1946">
        <f>Data_thang!A1946</f>
        <v/>
      </c>
      <c r="B1946">
        <f>Data_thang!B1946</f>
        <v/>
      </c>
      <c r="C1946">
        <f>Data_thang!D1946</f>
        <v/>
      </c>
      <c r="D1946">
        <f>Data_thang!E1946</f>
        <v/>
      </c>
      <c r="E1946">
        <f>Data_thang!F1946</f>
        <v/>
      </c>
      <c r="F1946">
        <f>Data_thang!G1946</f>
        <v/>
      </c>
      <c r="G1946" s="29">
        <f>Data_thang!J1946-Data_thang!K1946</f>
        <v/>
      </c>
      <c r="H1946" s="29">
        <f>Data_thang!N1946</f>
        <v/>
      </c>
      <c r="I1946" s="29">
        <f>H1946-G1946</f>
        <v/>
      </c>
      <c r="J1946" s="30">
        <f>IF(H1946=0,IF(I1946=0,0,1),I1946/ABS(H1946))</f>
        <v/>
      </c>
      <c r="K1946" s="29">
        <f>H1946-(Data_thang!O1946-Data_thang!K1946)</f>
        <v/>
      </c>
      <c r="L1946">
        <f>IF(AND(ABS(I1946)&gt;Dashboard!$G$6,ABS(J1946)&gt;Dashboard!$H$6),"⚠ Vượt","")</f>
        <v/>
      </c>
      <c r="M1946">
        <f>IF(AND(A1946=Dashboard!$D$6,OR(Dashboard!$C$6="*",F1946=Dashboard!$C$6),L1946&lt;&gt;""),ABS(I1946)+ROW()/1000000000,0)</f>
        <v/>
      </c>
    </row>
    <row r="1947">
      <c r="A1947">
        <f>Data_thang!A1947</f>
        <v/>
      </c>
      <c r="B1947">
        <f>Data_thang!B1947</f>
        <v/>
      </c>
      <c r="C1947">
        <f>Data_thang!D1947</f>
        <v/>
      </c>
      <c r="D1947">
        <f>Data_thang!E1947</f>
        <v/>
      </c>
      <c r="E1947">
        <f>Data_thang!F1947</f>
        <v/>
      </c>
      <c r="F1947">
        <f>Data_thang!G1947</f>
        <v/>
      </c>
      <c r="G1947" s="29">
        <f>Data_thang!J1947-Data_thang!K1947</f>
        <v/>
      </c>
      <c r="H1947" s="29">
        <f>Data_thang!N1947</f>
        <v/>
      </c>
      <c r="I1947" s="29">
        <f>H1947-G1947</f>
        <v/>
      </c>
      <c r="J1947" s="30">
        <f>IF(H1947=0,IF(I1947=0,0,1),I1947/ABS(H1947))</f>
        <v/>
      </c>
      <c r="K1947" s="29">
        <f>H1947-(Data_thang!O1947-Data_thang!K1947)</f>
        <v/>
      </c>
      <c r="L1947">
        <f>IF(AND(ABS(I1947)&gt;Dashboard!$G$6,ABS(J1947)&gt;Dashboard!$H$6),"⚠ Vượt","")</f>
        <v/>
      </c>
      <c r="M1947">
        <f>IF(AND(A1947=Dashboard!$D$6,OR(Dashboard!$C$6="*",F1947=Dashboard!$C$6),L1947&lt;&gt;""),ABS(I1947)+ROW()/1000000000,0)</f>
        <v/>
      </c>
    </row>
    <row r="1948">
      <c r="A1948">
        <f>Data_thang!A1948</f>
        <v/>
      </c>
      <c r="B1948">
        <f>Data_thang!B1948</f>
        <v/>
      </c>
      <c r="C1948">
        <f>Data_thang!D1948</f>
        <v/>
      </c>
      <c r="D1948">
        <f>Data_thang!E1948</f>
        <v/>
      </c>
      <c r="E1948">
        <f>Data_thang!F1948</f>
        <v/>
      </c>
      <c r="F1948">
        <f>Data_thang!G1948</f>
        <v/>
      </c>
      <c r="G1948" s="29">
        <f>Data_thang!J1948-Data_thang!K1948</f>
        <v/>
      </c>
      <c r="H1948" s="29">
        <f>Data_thang!N1948</f>
        <v/>
      </c>
      <c r="I1948" s="29">
        <f>H1948-G1948</f>
        <v/>
      </c>
      <c r="J1948" s="30">
        <f>IF(H1948=0,IF(I1948=0,0,1),I1948/ABS(H1948))</f>
        <v/>
      </c>
      <c r="K1948" s="29">
        <f>H1948-(Data_thang!O1948-Data_thang!K1948)</f>
        <v/>
      </c>
      <c r="L1948">
        <f>IF(AND(ABS(I1948)&gt;Dashboard!$G$6,ABS(J1948)&gt;Dashboard!$H$6),"⚠ Vượt","")</f>
        <v/>
      </c>
      <c r="M1948">
        <f>IF(AND(A1948=Dashboard!$D$6,OR(Dashboard!$C$6="*",F1948=Dashboard!$C$6),L1948&lt;&gt;""),ABS(I1948)+ROW()/1000000000,0)</f>
        <v/>
      </c>
    </row>
    <row r="1949">
      <c r="A1949">
        <f>Data_thang!A1949</f>
        <v/>
      </c>
      <c r="B1949">
        <f>Data_thang!B1949</f>
        <v/>
      </c>
      <c r="C1949">
        <f>Data_thang!D1949</f>
        <v/>
      </c>
      <c r="D1949">
        <f>Data_thang!E1949</f>
        <v/>
      </c>
      <c r="E1949">
        <f>Data_thang!F1949</f>
        <v/>
      </c>
      <c r="F1949">
        <f>Data_thang!G1949</f>
        <v/>
      </c>
      <c r="G1949" s="29">
        <f>Data_thang!J1949-Data_thang!K1949</f>
        <v/>
      </c>
      <c r="H1949" s="29">
        <f>Data_thang!N1949</f>
        <v/>
      </c>
      <c r="I1949" s="29">
        <f>H1949-G1949</f>
        <v/>
      </c>
      <c r="J1949" s="30">
        <f>IF(H1949=0,IF(I1949=0,0,1),I1949/ABS(H1949))</f>
        <v/>
      </c>
      <c r="K1949" s="29">
        <f>H1949-(Data_thang!O1949-Data_thang!K1949)</f>
        <v/>
      </c>
      <c r="L1949">
        <f>IF(AND(ABS(I1949)&gt;Dashboard!$G$6,ABS(J1949)&gt;Dashboard!$H$6),"⚠ Vượt","")</f>
        <v/>
      </c>
      <c r="M1949">
        <f>IF(AND(A1949=Dashboard!$D$6,OR(Dashboard!$C$6="*",F1949=Dashboard!$C$6),L1949&lt;&gt;""),ABS(I1949)+ROW()/1000000000,0)</f>
        <v/>
      </c>
    </row>
    <row r="1950">
      <c r="A1950">
        <f>Data_thang!A1950</f>
        <v/>
      </c>
      <c r="B1950">
        <f>Data_thang!B1950</f>
        <v/>
      </c>
      <c r="C1950">
        <f>Data_thang!D1950</f>
        <v/>
      </c>
      <c r="D1950">
        <f>Data_thang!E1950</f>
        <v/>
      </c>
      <c r="E1950">
        <f>Data_thang!F1950</f>
        <v/>
      </c>
      <c r="F1950">
        <f>Data_thang!G1950</f>
        <v/>
      </c>
      <c r="G1950" s="29">
        <f>Data_thang!J1950-Data_thang!K1950</f>
        <v/>
      </c>
      <c r="H1950" s="29">
        <f>Data_thang!N1950</f>
        <v/>
      </c>
      <c r="I1950" s="29">
        <f>H1950-G1950</f>
        <v/>
      </c>
      <c r="J1950" s="30">
        <f>IF(H1950=0,IF(I1950=0,0,1),I1950/ABS(H1950))</f>
        <v/>
      </c>
      <c r="K1950" s="29">
        <f>H1950-(Data_thang!O1950-Data_thang!K1950)</f>
        <v/>
      </c>
      <c r="L1950">
        <f>IF(AND(ABS(I1950)&gt;Dashboard!$G$6,ABS(J1950)&gt;Dashboard!$H$6),"⚠ Vượt","")</f>
        <v/>
      </c>
      <c r="M1950">
        <f>IF(AND(A1950=Dashboard!$D$6,OR(Dashboard!$C$6="*",F1950=Dashboard!$C$6),L1950&lt;&gt;""),ABS(I1950)+ROW()/1000000000,0)</f>
        <v/>
      </c>
    </row>
    <row r="1951">
      <c r="A1951">
        <f>Data_thang!A1951</f>
        <v/>
      </c>
      <c r="B1951">
        <f>Data_thang!B1951</f>
        <v/>
      </c>
      <c r="C1951">
        <f>Data_thang!D1951</f>
        <v/>
      </c>
      <c r="D1951">
        <f>Data_thang!E1951</f>
        <v/>
      </c>
      <c r="E1951">
        <f>Data_thang!F1951</f>
        <v/>
      </c>
      <c r="F1951">
        <f>Data_thang!G1951</f>
        <v/>
      </c>
      <c r="G1951" s="29">
        <f>Data_thang!J1951-Data_thang!K1951</f>
        <v/>
      </c>
      <c r="H1951" s="29">
        <f>Data_thang!N1951</f>
        <v/>
      </c>
      <c r="I1951" s="29">
        <f>H1951-G1951</f>
        <v/>
      </c>
      <c r="J1951" s="30">
        <f>IF(H1951=0,IF(I1951=0,0,1),I1951/ABS(H1951))</f>
        <v/>
      </c>
      <c r="K1951" s="29">
        <f>H1951-(Data_thang!O1951-Data_thang!K1951)</f>
        <v/>
      </c>
      <c r="L1951">
        <f>IF(AND(ABS(I1951)&gt;Dashboard!$G$6,ABS(J1951)&gt;Dashboard!$H$6),"⚠ Vượt","")</f>
        <v/>
      </c>
      <c r="M1951">
        <f>IF(AND(A1951=Dashboard!$D$6,OR(Dashboard!$C$6="*",F1951=Dashboard!$C$6),L1951&lt;&gt;""),ABS(I1951)+ROW()/1000000000,0)</f>
        <v/>
      </c>
    </row>
    <row r="1952">
      <c r="A1952">
        <f>Data_thang!A1952</f>
        <v/>
      </c>
      <c r="B1952">
        <f>Data_thang!B1952</f>
        <v/>
      </c>
      <c r="C1952">
        <f>Data_thang!D1952</f>
        <v/>
      </c>
      <c r="D1952">
        <f>Data_thang!E1952</f>
        <v/>
      </c>
      <c r="E1952">
        <f>Data_thang!F1952</f>
        <v/>
      </c>
      <c r="F1952">
        <f>Data_thang!G1952</f>
        <v/>
      </c>
      <c r="G1952" s="29">
        <f>Data_thang!J1952-Data_thang!K1952</f>
        <v/>
      </c>
      <c r="H1952" s="29">
        <f>Data_thang!N1952</f>
        <v/>
      </c>
      <c r="I1952" s="29">
        <f>H1952-G1952</f>
        <v/>
      </c>
      <c r="J1952" s="30">
        <f>IF(H1952=0,IF(I1952=0,0,1),I1952/ABS(H1952))</f>
        <v/>
      </c>
      <c r="K1952" s="29">
        <f>H1952-(Data_thang!O1952-Data_thang!K1952)</f>
        <v/>
      </c>
      <c r="L1952">
        <f>IF(AND(ABS(I1952)&gt;Dashboard!$G$6,ABS(J1952)&gt;Dashboard!$H$6),"⚠ Vượt","")</f>
        <v/>
      </c>
      <c r="M1952">
        <f>IF(AND(A1952=Dashboard!$D$6,OR(Dashboard!$C$6="*",F1952=Dashboard!$C$6),L1952&lt;&gt;""),ABS(I1952)+ROW()/1000000000,0)</f>
        <v/>
      </c>
    </row>
    <row r="1953">
      <c r="A1953">
        <f>Data_thang!A1953</f>
        <v/>
      </c>
      <c r="B1953">
        <f>Data_thang!B1953</f>
        <v/>
      </c>
      <c r="C1953">
        <f>Data_thang!D1953</f>
        <v/>
      </c>
      <c r="D1953">
        <f>Data_thang!E1953</f>
        <v/>
      </c>
      <c r="E1953">
        <f>Data_thang!F1953</f>
        <v/>
      </c>
      <c r="F1953">
        <f>Data_thang!G1953</f>
        <v/>
      </c>
      <c r="G1953" s="29">
        <f>Data_thang!J1953-Data_thang!K1953</f>
        <v/>
      </c>
      <c r="H1953" s="29">
        <f>Data_thang!N1953</f>
        <v/>
      </c>
      <c r="I1953" s="29">
        <f>H1953-G1953</f>
        <v/>
      </c>
      <c r="J1953" s="30">
        <f>IF(H1953=0,IF(I1953=0,0,1),I1953/ABS(H1953))</f>
        <v/>
      </c>
      <c r="K1953" s="29">
        <f>H1953-(Data_thang!O1953-Data_thang!K1953)</f>
        <v/>
      </c>
      <c r="L1953">
        <f>IF(AND(ABS(I1953)&gt;Dashboard!$G$6,ABS(J1953)&gt;Dashboard!$H$6),"⚠ Vượt","")</f>
        <v/>
      </c>
      <c r="M1953">
        <f>IF(AND(A1953=Dashboard!$D$6,OR(Dashboard!$C$6="*",F1953=Dashboard!$C$6),L1953&lt;&gt;""),ABS(I1953)+ROW()/1000000000,0)</f>
        <v/>
      </c>
    </row>
    <row r="1954">
      <c r="A1954">
        <f>Data_thang!A1954</f>
        <v/>
      </c>
      <c r="B1954">
        <f>Data_thang!B1954</f>
        <v/>
      </c>
      <c r="C1954">
        <f>Data_thang!D1954</f>
        <v/>
      </c>
      <c r="D1954">
        <f>Data_thang!E1954</f>
        <v/>
      </c>
      <c r="E1954">
        <f>Data_thang!F1954</f>
        <v/>
      </c>
      <c r="F1954">
        <f>Data_thang!G1954</f>
        <v/>
      </c>
      <c r="G1954" s="29">
        <f>Data_thang!J1954-Data_thang!K1954</f>
        <v/>
      </c>
      <c r="H1954" s="29">
        <f>Data_thang!N1954</f>
        <v/>
      </c>
      <c r="I1954" s="29">
        <f>H1954-G1954</f>
        <v/>
      </c>
      <c r="J1954" s="30">
        <f>IF(H1954=0,IF(I1954=0,0,1),I1954/ABS(H1954))</f>
        <v/>
      </c>
      <c r="K1954" s="29">
        <f>H1954-(Data_thang!O1954-Data_thang!K1954)</f>
        <v/>
      </c>
      <c r="L1954">
        <f>IF(AND(ABS(I1954)&gt;Dashboard!$G$6,ABS(J1954)&gt;Dashboard!$H$6),"⚠ Vượt","")</f>
        <v/>
      </c>
      <c r="M1954">
        <f>IF(AND(A1954=Dashboard!$D$6,OR(Dashboard!$C$6="*",F1954=Dashboard!$C$6),L1954&lt;&gt;""),ABS(I1954)+ROW()/1000000000,0)</f>
        <v/>
      </c>
    </row>
    <row r="1955">
      <c r="A1955">
        <f>Data_thang!A1955</f>
        <v/>
      </c>
      <c r="B1955">
        <f>Data_thang!B1955</f>
        <v/>
      </c>
      <c r="C1955">
        <f>Data_thang!D1955</f>
        <v/>
      </c>
      <c r="D1955">
        <f>Data_thang!E1955</f>
        <v/>
      </c>
      <c r="E1955">
        <f>Data_thang!F1955</f>
        <v/>
      </c>
      <c r="F1955">
        <f>Data_thang!G1955</f>
        <v/>
      </c>
      <c r="G1955" s="29">
        <f>Data_thang!J1955-Data_thang!K1955</f>
        <v/>
      </c>
      <c r="H1955" s="29">
        <f>Data_thang!N1955</f>
        <v/>
      </c>
      <c r="I1955" s="29">
        <f>H1955-G1955</f>
        <v/>
      </c>
      <c r="J1955" s="30">
        <f>IF(H1955=0,IF(I1955=0,0,1),I1955/ABS(H1955))</f>
        <v/>
      </c>
      <c r="K1955" s="29">
        <f>H1955-(Data_thang!O1955-Data_thang!K1955)</f>
        <v/>
      </c>
      <c r="L1955">
        <f>IF(AND(ABS(I1955)&gt;Dashboard!$G$6,ABS(J1955)&gt;Dashboard!$H$6),"⚠ Vượt","")</f>
        <v/>
      </c>
      <c r="M1955">
        <f>IF(AND(A1955=Dashboard!$D$6,OR(Dashboard!$C$6="*",F1955=Dashboard!$C$6),L1955&lt;&gt;""),ABS(I1955)+ROW()/1000000000,0)</f>
        <v/>
      </c>
    </row>
    <row r="1956">
      <c r="A1956">
        <f>Data_thang!A1956</f>
        <v/>
      </c>
      <c r="B1956">
        <f>Data_thang!B1956</f>
        <v/>
      </c>
      <c r="C1956">
        <f>Data_thang!D1956</f>
        <v/>
      </c>
      <c r="D1956">
        <f>Data_thang!E1956</f>
        <v/>
      </c>
      <c r="E1956">
        <f>Data_thang!F1956</f>
        <v/>
      </c>
      <c r="F1956">
        <f>Data_thang!G1956</f>
        <v/>
      </c>
      <c r="G1956" s="29">
        <f>Data_thang!J1956-Data_thang!K1956</f>
        <v/>
      </c>
      <c r="H1956" s="29">
        <f>Data_thang!N1956</f>
        <v/>
      </c>
      <c r="I1956" s="29">
        <f>H1956-G1956</f>
        <v/>
      </c>
      <c r="J1956" s="30">
        <f>IF(H1956=0,IF(I1956=0,0,1),I1956/ABS(H1956))</f>
        <v/>
      </c>
      <c r="K1956" s="29">
        <f>H1956-(Data_thang!O1956-Data_thang!K1956)</f>
        <v/>
      </c>
      <c r="L1956">
        <f>IF(AND(ABS(I1956)&gt;Dashboard!$G$6,ABS(J1956)&gt;Dashboard!$H$6),"⚠ Vượt","")</f>
        <v/>
      </c>
      <c r="M1956">
        <f>IF(AND(A1956=Dashboard!$D$6,OR(Dashboard!$C$6="*",F1956=Dashboard!$C$6),L1956&lt;&gt;""),ABS(I1956)+ROW()/1000000000,0)</f>
        <v/>
      </c>
    </row>
    <row r="1957">
      <c r="A1957">
        <f>Data_thang!A1957</f>
        <v/>
      </c>
      <c r="B1957">
        <f>Data_thang!B1957</f>
        <v/>
      </c>
      <c r="C1957">
        <f>Data_thang!D1957</f>
        <v/>
      </c>
      <c r="D1957">
        <f>Data_thang!E1957</f>
        <v/>
      </c>
      <c r="E1957">
        <f>Data_thang!F1957</f>
        <v/>
      </c>
      <c r="F1957">
        <f>Data_thang!G1957</f>
        <v/>
      </c>
      <c r="G1957" s="29">
        <f>Data_thang!J1957-Data_thang!K1957</f>
        <v/>
      </c>
      <c r="H1957" s="29">
        <f>Data_thang!N1957</f>
        <v/>
      </c>
      <c r="I1957" s="29">
        <f>H1957-G1957</f>
        <v/>
      </c>
      <c r="J1957" s="30">
        <f>IF(H1957=0,IF(I1957=0,0,1),I1957/ABS(H1957))</f>
        <v/>
      </c>
      <c r="K1957" s="29">
        <f>H1957-(Data_thang!O1957-Data_thang!K1957)</f>
        <v/>
      </c>
      <c r="L1957">
        <f>IF(AND(ABS(I1957)&gt;Dashboard!$G$6,ABS(J1957)&gt;Dashboard!$H$6),"⚠ Vượt","")</f>
        <v/>
      </c>
      <c r="M1957">
        <f>IF(AND(A1957=Dashboard!$D$6,OR(Dashboard!$C$6="*",F1957=Dashboard!$C$6),L1957&lt;&gt;""),ABS(I1957)+ROW()/1000000000,0)</f>
        <v/>
      </c>
    </row>
    <row r="1958">
      <c r="A1958">
        <f>Data_thang!A1958</f>
        <v/>
      </c>
      <c r="B1958">
        <f>Data_thang!B1958</f>
        <v/>
      </c>
      <c r="C1958">
        <f>Data_thang!D1958</f>
        <v/>
      </c>
      <c r="D1958">
        <f>Data_thang!E1958</f>
        <v/>
      </c>
      <c r="E1958">
        <f>Data_thang!F1958</f>
        <v/>
      </c>
      <c r="F1958">
        <f>Data_thang!G1958</f>
        <v/>
      </c>
      <c r="G1958" s="29">
        <f>Data_thang!J1958-Data_thang!K1958</f>
        <v/>
      </c>
      <c r="H1958" s="29">
        <f>Data_thang!N1958</f>
        <v/>
      </c>
      <c r="I1958" s="29">
        <f>H1958-G1958</f>
        <v/>
      </c>
      <c r="J1958" s="30">
        <f>IF(H1958=0,IF(I1958=0,0,1),I1958/ABS(H1958))</f>
        <v/>
      </c>
      <c r="K1958" s="29">
        <f>H1958-(Data_thang!O1958-Data_thang!K1958)</f>
        <v/>
      </c>
      <c r="L1958">
        <f>IF(AND(ABS(I1958)&gt;Dashboard!$G$6,ABS(J1958)&gt;Dashboard!$H$6),"⚠ Vượt","")</f>
        <v/>
      </c>
      <c r="M1958">
        <f>IF(AND(A1958=Dashboard!$D$6,OR(Dashboard!$C$6="*",F1958=Dashboard!$C$6),L1958&lt;&gt;""),ABS(I1958)+ROW()/1000000000,0)</f>
        <v/>
      </c>
    </row>
    <row r="1959">
      <c r="A1959">
        <f>Data_thang!A1959</f>
        <v/>
      </c>
      <c r="B1959">
        <f>Data_thang!B1959</f>
        <v/>
      </c>
      <c r="C1959">
        <f>Data_thang!D1959</f>
        <v/>
      </c>
      <c r="D1959">
        <f>Data_thang!E1959</f>
        <v/>
      </c>
      <c r="E1959">
        <f>Data_thang!F1959</f>
        <v/>
      </c>
      <c r="F1959">
        <f>Data_thang!G1959</f>
        <v/>
      </c>
      <c r="G1959" s="29">
        <f>Data_thang!J1959-Data_thang!K1959</f>
        <v/>
      </c>
      <c r="H1959" s="29">
        <f>Data_thang!N1959</f>
        <v/>
      </c>
      <c r="I1959" s="29">
        <f>H1959-G1959</f>
        <v/>
      </c>
      <c r="J1959" s="30">
        <f>IF(H1959=0,IF(I1959=0,0,1),I1959/ABS(H1959))</f>
        <v/>
      </c>
      <c r="K1959" s="29">
        <f>H1959-(Data_thang!O1959-Data_thang!K1959)</f>
        <v/>
      </c>
      <c r="L1959">
        <f>IF(AND(ABS(I1959)&gt;Dashboard!$G$6,ABS(J1959)&gt;Dashboard!$H$6),"⚠ Vượt","")</f>
        <v/>
      </c>
      <c r="M1959">
        <f>IF(AND(A1959=Dashboard!$D$6,OR(Dashboard!$C$6="*",F1959=Dashboard!$C$6),L1959&lt;&gt;""),ABS(I1959)+ROW()/1000000000,0)</f>
        <v/>
      </c>
    </row>
    <row r="1960">
      <c r="A1960">
        <f>Data_thang!A1960</f>
        <v/>
      </c>
      <c r="B1960">
        <f>Data_thang!B1960</f>
        <v/>
      </c>
      <c r="C1960">
        <f>Data_thang!D1960</f>
        <v/>
      </c>
      <c r="D1960">
        <f>Data_thang!E1960</f>
        <v/>
      </c>
      <c r="E1960">
        <f>Data_thang!F1960</f>
        <v/>
      </c>
      <c r="F1960">
        <f>Data_thang!G1960</f>
        <v/>
      </c>
      <c r="G1960" s="29">
        <f>Data_thang!J1960-Data_thang!K1960</f>
        <v/>
      </c>
      <c r="H1960" s="29">
        <f>Data_thang!N1960</f>
        <v/>
      </c>
      <c r="I1960" s="29">
        <f>H1960-G1960</f>
        <v/>
      </c>
      <c r="J1960" s="30">
        <f>IF(H1960=0,IF(I1960=0,0,1),I1960/ABS(H1960))</f>
        <v/>
      </c>
      <c r="K1960" s="29">
        <f>H1960-(Data_thang!O1960-Data_thang!K1960)</f>
        <v/>
      </c>
      <c r="L1960">
        <f>IF(AND(ABS(I1960)&gt;Dashboard!$G$6,ABS(J1960)&gt;Dashboard!$H$6),"⚠ Vượt","")</f>
        <v/>
      </c>
      <c r="M1960">
        <f>IF(AND(A1960=Dashboard!$D$6,OR(Dashboard!$C$6="*",F1960=Dashboard!$C$6),L1960&lt;&gt;""),ABS(I1960)+ROW()/1000000000,0)</f>
        <v/>
      </c>
    </row>
    <row r="1961">
      <c r="A1961">
        <f>Data_thang!A1961</f>
        <v/>
      </c>
      <c r="B1961">
        <f>Data_thang!B1961</f>
        <v/>
      </c>
      <c r="C1961">
        <f>Data_thang!D1961</f>
        <v/>
      </c>
      <c r="D1961">
        <f>Data_thang!E1961</f>
        <v/>
      </c>
      <c r="E1961">
        <f>Data_thang!F1961</f>
        <v/>
      </c>
      <c r="F1961">
        <f>Data_thang!G1961</f>
        <v/>
      </c>
      <c r="G1961" s="29">
        <f>Data_thang!J1961-Data_thang!K1961</f>
        <v/>
      </c>
      <c r="H1961" s="29">
        <f>Data_thang!N1961</f>
        <v/>
      </c>
      <c r="I1961" s="29">
        <f>H1961-G1961</f>
        <v/>
      </c>
      <c r="J1961" s="30">
        <f>IF(H1961=0,IF(I1961=0,0,1),I1961/ABS(H1961))</f>
        <v/>
      </c>
      <c r="K1961" s="29">
        <f>H1961-(Data_thang!O1961-Data_thang!K1961)</f>
        <v/>
      </c>
      <c r="L1961">
        <f>IF(AND(ABS(I1961)&gt;Dashboard!$G$6,ABS(J1961)&gt;Dashboard!$H$6),"⚠ Vượt","")</f>
        <v/>
      </c>
      <c r="M1961">
        <f>IF(AND(A1961=Dashboard!$D$6,OR(Dashboard!$C$6="*",F1961=Dashboard!$C$6),L1961&lt;&gt;""),ABS(I1961)+ROW()/1000000000,0)</f>
        <v/>
      </c>
    </row>
    <row r="1962">
      <c r="A1962">
        <f>Data_thang!A1962</f>
        <v/>
      </c>
      <c r="B1962">
        <f>Data_thang!B1962</f>
        <v/>
      </c>
      <c r="C1962">
        <f>Data_thang!D1962</f>
        <v/>
      </c>
      <c r="D1962">
        <f>Data_thang!E1962</f>
        <v/>
      </c>
      <c r="E1962">
        <f>Data_thang!F1962</f>
        <v/>
      </c>
      <c r="F1962">
        <f>Data_thang!G1962</f>
        <v/>
      </c>
      <c r="G1962" s="29">
        <f>Data_thang!J1962-Data_thang!K1962</f>
        <v/>
      </c>
      <c r="H1962" s="29">
        <f>Data_thang!N1962</f>
        <v/>
      </c>
      <c r="I1962" s="29">
        <f>H1962-G1962</f>
        <v/>
      </c>
      <c r="J1962" s="30">
        <f>IF(H1962=0,IF(I1962=0,0,1),I1962/ABS(H1962))</f>
        <v/>
      </c>
      <c r="K1962" s="29">
        <f>H1962-(Data_thang!O1962-Data_thang!K1962)</f>
        <v/>
      </c>
      <c r="L1962">
        <f>IF(AND(ABS(I1962)&gt;Dashboard!$G$6,ABS(J1962)&gt;Dashboard!$H$6),"⚠ Vượt","")</f>
        <v/>
      </c>
      <c r="M1962">
        <f>IF(AND(A1962=Dashboard!$D$6,OR(Dashboard!$C$6="*",F1962=Dashboard!$C$6),L1962&lt;&gt;""),ABS(I1962)+ROW()/1000000000,0)</f>
        <v/>
      </c>
    </row>
    <row r="1963">
      <c r="A1963">
        <f>Data_thang!A1963</f>
        <v/>
      </c>
      <c r="B1963">
        <f>Data_thang!B1963</f>
        <v/>
      </c>
      <c r="C1963">
        <f>Data_thang!D1963</f>
        <v/>
      </c>
      <c r="D1963">
        <f>Data_thang!E1963</f>
        <v/>
      </c>
      <c r="E1963">
        <f>Data_thang!F1963</f>
        <v/>
      </c>
      <c r="F1963">
        <f>Data_thang!G1963</f>
        <v/>
      </c>
      <c r="G1963" s="29">
        <f>Data_thang!J1963-Data_thang!K1963</f>
        <v/>
      </c>
      <c r="H1963" s="29">
        <f>Data_thang!N1963</f>
        <v/>
      </c>
      <c r="I1963" s="29">
        <f>H1963-G1963</f>
        <v/>
      </c>
      <c r="J1963" s="30">
        <f>IF(H1963=0,IF(I1963=0,0,1),I1963/ABS(H1963))</f>
        <v/>
      </c>
      <c r="K1963" s="29">
        <f>H1963-(Data_thang!O1963-Data_thang!K1963)</f>
        <v/>
      </c>
      <c r="L1963">
        <f>IF(AND(ABS(I1963)&gt;Dashboard!$G$6,ABS(J1963)&gt;Dashboard!$H$6),"⚠ Vượt","")</f>
        <v/>
      </c>
      <c r="M1963">
        <f>IF(AND(A1963=Dashboard!$D$6,OR(Dashboard!$C$6="*",F1963=Dashboard!$C$6),L1963&lt;&gt;""),ABS(I1963)+ROW()/1000000000,0)</f>
        <v/>
      </c>
    </row>
    <row r="1964">
      <c r="A1964">
        <f>Data_thang!A1964</f>
        <v/>
      </c>
      <c r="B1964">
        <f>Data_thang!B1964</f>
        <v/>
      </c>
      <c r="C1964">
        <f>Data_thang!D1964</f>
        <v/>
      </c>
      <c r="D1964">
        <f>Data_thang!E1964</f>
        <v/>
      </c>
      <c r="E1964">
        <f>Data_thang!F1964</f>
        <v/>
      </c>
      <c r="F1964">
        <f>Data_thang!G1964</f>
        <v/>
      </c>
      <c r="G1964" s="29">
        <f>Data_thang!J1964-Data_thang!K1964</f>
        <v/>
      </c>
      <c r="H1964" s="29">
        <f>Data_thang!N1964</f>
        <v/>
      </c>
      <c r="I1964" s="29">
        <f>H1964-G1964</f>
        <v/>
      </c>
      <c r="J1964" s="30">
        <f>IF(H1964=0,IF(I1964=0,0,1),I1964/ABS(H1964))</f>
        <v/>
      </c>
      <c r="K1964" s="29">
        <f>H1964-(Data_thang!O1964-Data_thang!K1964)</f>
        <v/>
      </c>
      <c r="L1964">
        <f>IF(AND(ABS(I1964)&gt;Dashboard!$G$6,ABS(J1964)&gt;Dashboard!$H$6),"⚠ Vượt","")</f>
        <v/>
      </c>
      <c r="M1964">
        <f>IF(AND(A1964=Dashboard!$D$6,OR(Dashboard!$C$6="*",F1964=Dashboard!$C$6),L1964&lt;&gt;""),ABS(I1964)+ROW()/1000000000,0)</f>
        <v/>
      </c>
    </row>
    <row r="1965">
      <c r="A1965">
        <f>Data_thang!A1965</f>
        <v/>
      </c>
      <c r="B1965">
        <f>Data_thang!B1965</f>
        <v/>
      </c>
      <c r="C1965">
        <f>Data_thang!D1965</f>
        <v/>
      </c>
      <c r="D1965">
        <f>Data_thang!E1965</f>
        <v/>
      </c>
      <c r="E1965">
        <f>Data_thang!F1965</f>
        <v/>
      </c>
      <c r="F1965">
        <f>Data_thang!G1965</f>
        <v/>
      </c>
      <c r="G1965" s="29">
        <f>Data_thang!J1965-Data_thang!K1965</f>
        <v/>
      </c>
      <c r="H1965" s="29">
        <f>Data_thang!N1965</f>
        <v/>
      </c>
      <c r="I1965" s="29">
        <f>H1965-G1965</f>
        <v/>
      </c>
      <c r="J1965" s="30">
        <f>IF(H1965=0,IF(I1965=0,0,1),I1965/ABS(H1965))</f>
        <v/>
      </c>
      <c r="K1965" s="29">
        <f>H1965-(Data_thang!O1965-Data_thang!K1965)</f>
        <v/>
      </c>
      <c r="L1965">
        <f>IF(AND(ABS(I1965)&gt;Dashboard!$G$6,ABS(J1965)&gt;Dashboard!$H$6),"⚠ Vượt","")</f>
        <v/>
      </c>
      <c r="M1965">
        <f>IF(AND(A1965=Dashboard!$D$6,OR(Dashboard!$C$6="*",F1965=Dashboard!$C$6),L1965&lt;&gt;""),ABS(I1965)+ROW()/1000000000,0)</f>
        <v/>
      </c>
    </row>
    <row r="1966">
      <c r="A1966">
        <f>Data_thang!A1966</f>
        <v/>
      </c>
      <c r="B1966">
        <f>Data_thang!B1966</f>
        <v/>
      </c>
      <c r="C1966">
        <f>Data_thang!D1966</f>
        <v/>
      </c>
      <c r="D1966">
        <f>Data_thang!E1966</f>
        <v/>
      </c>
      <c r="E1966">
        <f>Data_thang!F1966</f>
        <v/>
      </c>
      <c r="F1966">
        <f>Data_thang!G1966</f>
        <v/>
      </c>
      <c r="G1966" s="29">
        <f>Data_thang!J1966-Data_thang!K1966</f>
        <v/>
      </c>
      <c r="H1966" s="29">
        <f>Data_thang!N1966</f>
        <v/>
      </c>
      <c r="I1966" s="29">
        <f>H1966-G1966</f>
        <v/>
      </c>
      <c r="J1966" s="30">
        <f>IF(H1966=0,IF(I1966=0,0,1),I1966/ABS(H1966))</f>
        <v/>
      </c>
      <c r="K1966" s="29">
        <f>H1966-(Data_thang!O1966-Data_thang!K1966)</f>
        <v/>
      </c>
      <c r="L1966">
        <f>IF(AND(ABS(I1966)&gt;Dashboard!$G$6,ABS(J1966)&gt;Dashboard!$H$6),"⚠ Vượt","")</f>
        <v/>
      </c>
      <c r="M1966">
        <f>IF(AND(A1966=Dashboard!$D$6,OR(Dashboard!$C$6="*",F1966=Dashboard!$C$6),L1966&lt;&gt;""),ABS(I1966)+ROW()/1000000000,0)</f>
        <v/>
      </c>
    </row>
    <row r="1967">
      <c r="A1967">
        <f>Data_thang!A1967</f>
        <v/>
      </c>
      <c r="B1967">
        <f>Data_thang!B1967</f>
        <v/>
      </c>
      <c r="C1967">
        <f>Data_thang!D1967</f>
        <v/>
      </c>
      <c r="D1967">
        <f>Data_thang!E1967</f>
        <v/>
      </c>
      <c r="E1967">
        <f>Data_thang!F1967</f>
        <v/>
      </c>
      <c r="F1967">
        <f>Data_thang!G1967</f>
        <v/>
      </c>
      <c r="G1967" s="29">
        <f>Data_thang!J1967-Data_thang!K1967</f>
        <v/>
      </c>
      <c r="H1967" s="29">
        <f>Data_thang!N1967</f>
        <v/>
      </c>
      <c r="I1967" s="29">
        <f>H1967-G1967</f>
        <v/>
      </c>
      <c r="J1967" s="30">
        <f>IF(H1967=0,IF(I1967=0,0,1),I1967/ABS(H1967))</f>
        <v/>
      </c>
      <c r="K1967" s="29">
        <f>H1967-(Data_thang!O1967-Data_thang!K1967)</f>
        <v/>
      </c>
      <c r="L1967">
        <f>IF(AND(ABS(I1967)&gt;Dashboard!$G$6,ABS(J1967)&gt;Dashboard!$H$6),"⚠ Vượt","")</f>
        <v/>
      </c>
      <c r="M1967">
        <f>IF(AND(A1967=Dashboard!$D$6,OR(Dashboard!$C$6="*",F1967=Dashboard!$C$6),L1967&lt;&gt;""),ABS(I1967)+ROW()/1000000000,0)</f>
        <v/>
      </c>
    </row>
    <row r="1968">
      <c r="A1968">
        <f>Data_thang!A1968</f>
        <v/>
      </c>
      <c r="B1968">
        <f>Data_thang!B1968</f>
        <v/>
      </c>
      <c r="C1968">
        <f>Data_thang!D1968</f>
        <v/>
      </c>
      <c r="D1968">
        <f>Data_thang!E1968</f>
        <v/>
      </c>
      <c r="E1968">
        <f>Data_thang!F1968</f>
        <v/>
      </c>
      <c r="F1968">
        <f>Data_thang!G1968</f>
        <v/>
      </c>
      <c r="G1968" s="29">
        <f>Data_thang!J1968-Data_thang!K1968</f>
        <v/>
      </c>
      <c r="H1968" s="29">
        <f>Data_thang!N1968</f>
        <v/>
      </c>
      <c r="I1968" s="29">
        <f>H1968-G1968</f>
        <v/>
      </c>
      <c r="J1968" s="30">
        <f>IF(H1968=0,IF(I1968=0,0,1),I1968/ABS(H1968))</f>
        <v/>
      </c>
      <c r="K1968" s="29">
        <f>H1968-(Data_thang!O1968-Data_thang!K1968)</f>
        <v/>
      </c>
      <c r="L1968">
        <f>IF(AND(ABS(I1968)&gt;Dashboard!$G$6,ABS(J1968)&gt;Dashboard!$H$6),"⚠ Vượt","")</f>
        <v/>
      </c>
      <c r="M1968">
        <f>IF(AND(A1968=Dashboard!$D$6,OR(Dashboard!$C$6="*",F1968=Dashboard!$C$6),L1968&lt;&gt;""),ABS(I1968)+ROW()/1000000000,0)</f>
        <v/>
      </c>
    </row>
    <row r="1969">
      <c r="A1969">
        <f>Data_thang!A1969</f>
        <v/>
      </c>
      <c r="B1969">
        <f>Data_thang!B1969</f>
        <v/>
      </c>
      <c r="C1969">
        <f>Data_thang!D1969</f>
        <v/>
      </c>
      <c r="D1969">
        <f>Data_thang!E1969</f>
        <v/>
      </c>
      <c r="E1969">
        <f>Data_thang!F1969</f>
        <v/>
      </c>
      <c r="F1969">
        <f>Data_thang!G1969</f>
        <v/>
      </c>
      <c r="G1969" s="29">
        <f>Data_thang!J1969-Data_thang!K1969</f>
        <v/>
      </c>
      <c r="H1969" s="29">
        <f>Data_thang!N1969</f>
        <v/>
      </c>
      <c r="I1969" s="29">
        <f>H1969-G1969</f>
        <v/>
      </c>
      <c r="J1969" s="30">
        <f>IF(H1969=0,IF(I1969=0,0,1),I1969/ABS(H1969))</f>
        <v/>
      </c>
      <c r="K1969" s="29">
        <f>H1969-(Data_thang!O1969-Data_thang!K1969)</f>
        <v/>
      </c>
      <c r="L1969">
        <f>IF(AND(ABS(I1969)&gt;Dashboard!$G$6,ABS(J1969)&gt;Dashboard!$H$6),"⚠ Vượt","")</f>
        <v/>
      </c>
      <c r="M1969">
        <f>IF(AND(A1969=Dashboard!$D$6,OR(Dashboard!$C$6="*",F1969=Dashboard!$C$6),L1969&lt;&gt;""),ABS(I1969)+ROW()/1000000000,0)</f>
        <v/>
      </c>
    </row>
    <row r="1970">
      <c r="A1970">
        <f>Data_thang!A1970</f>
        <v/>
      </c>
      <c r="B1970">
        <f>Data_thang!B1970</f>
        <v/>
      </c>
      <c r="C1970">
        <f>Data_thang!D1970</f>
        <v/>
      </c>
      <c r="D1970">
        <f>Data_thang!E1970</f>
        <v/>
      </c>
      <c r="E1970">
        <f>Data_thang!F1970</f>
        <v/>
      </c>
      <c r="F1970">
        <f>Data_thang!G1970</f>
        <v/>
      </c>
      <c r="G1970" s="29">
        <f>Data_thang!J1970-Data_thang!K1970</f>
        <v/>
      </c>
      <c r="H1970" s="29">
        <f>Data_thang!N1970</f>
        <v/>
      </c>
      <c r="I1970" s="29">
        <f>H1970-G1970</f>
        <v/>
      </c>
      <c r="J1970" s="30">
        <f>IF(H1970=0,IF(I1970=0,0,1),I1970/ABS(H1970))</f>
        <v/>
      </c>
      <c r="K1970" s="29">
        <f>H1970-(Data_thang!O1970-Data_thang!K1970)</f>
        <v/>
      </c>
      <c r="L1970">
        <f>IF(AND(ABS(I1970)&gt;Dashboard!$G$6,ABS(J1970)&gt;Dashboard!$H$6),"⚠ Vượt","")</f>
        <v/>
      </c>
      <c r="M1970">
        <f>IF(AND(A1970=Dashboard!$D$6,OR(Dashboard!$C$6="*",F1970=Dashboard!$C$6),L1970&lt;&gt;""),ABS(I1970)+ROW()/1000000000,0)</f>
        <v/>
      </c>
    </row>
    <row r="1971">
      <c r="A1971">
        <f>Data_thang!A1971</f>
        <v/>
      </c>
      <c r="B1971">
        <f>Data_thang!B1971</f>
        <v/>
      </c>
      <c r="C1971">
        <f>Data_thang!D1971</f>
        <v/>
      </c>
      <c r="D1971">
        <f>Data_thang!E1971</f>
        <v/>
      </c>
      <c r="E1971">
        <f>Data_thang!F1971</f>
        <v/>
      </c>
      <c r="F1971">
        <f>Data_thang!G1971</f>
        <v/>
      </c>
      <c r="G1971" s="29">
        <f>Data_thang!J1971-Data_thang!K1971</f>
        <v/>
      </c>
      <c r="H1971" s="29">
        <f>Data_thang!N1971</f>
        <v/>
      </c>
      <c r="I1971" s="29">
        <f>H1971-G1971</f>
        <v/>
      </c>
      <c r="J1971" s="30">
        <f>IF(H1971=0,IF(I1971=0,0,1),I1971/ABS(H1971))</f>
        <v/>
      </c>
      <c r="K1971" s="29">
        <f>H1971-(Data_thang!O1971-Data_thang!K1971)</f>
        <v/>
      </c>
      <c r="L1971">
        <f>IF(AND(ABS(I1971)&gt;Dashboard!$G$6,ABS(J1971)&gt;Dashboard!$H$6),"⚠ Vượt","")</f>
        <v/>
      </c>
      <c r="M1971">
        <f>IF(AND(A1971=Dashboard!$D$6,OR(Dashboard!$C$6="*",F1971=Dashboard!$C$6),L1971&lt;&gt;""),ABS(I1971)+ROW()/1000000000,0)</f>
        <v/>
      </c>
    </row>
    <row r="1972">
      <c r="A1972">
        <f>Data_thang!A1972</f>
        <v/>
      </c>
      <c r="B1972">
        <f>Data_thang!B1972</f>
        <v/>
      </c>
      <c r="C1972">
        <f>Data_thang!D1972</f>
        <v/>
      </c>
      <c r="D1972">
        <f>Data_thang!E1972</f>
        <v/>
      </c>
      <c r="E1972">
        <f>Data_thang!F1972</f>
        <v/>
      </c>
      <c r="F1972">
        <f>Data_thang!G1972</f>
        <v/>
      </c>
      <c r="G1972" s="29">
        <f>Data_thang!J1972-Data_thang!K1972</f>
        <v/>
      </c>
      <c r="H1972" s="29">
        <f>Data_thang!N1972</f>
        <v/>
      </c>
      <c r="I1972" s="29">
        <f>H1972-G1972</f>
        <v/>
      </c>
      <c r="J1972" s="30">
        <f>IF(H1972=0,IF(I1972=0,0,1),I1972/ABS(H1972))</f>
        <v/>
      </c>
      <c r="K1972" s="29">
        <f>H1972-(Data_thang!O1972-Data_thang!K1972)</f>
        <v/>
      </c>
      <c r="L1972">
        <f>IF(AND(ABS(I1972)&gt;Dashboard!$G$6,ABS(J1972)&gt;Dashboard!$H$6),"⚠ Vượt","")</f>
        <v/>
      </c>
      <c r="M1972">
        <f>IF(AND(A1972=Dashboard!$D$6,OR(Dashboard!$C$6="*",F1972=Dashboard!$C$6),L1972&lt;&gt;""),ABS(I1972)+ROW()/1000000000,0)</f>
        <v/>
      </c>
    </row>
    <row r="1973">
      <c r="A1973">
        <f>Data_thang!A1973</f>
        <v/>
      </c>
      <c r="B1973">
        <f>Data_thang!B1973</f>
        <v/>
      </c>
      <c r="C1973">
        <f>Data_thang!D1973</f>
        <v/>
      </c>
      <c r="D1973">
        <f>Data_thang!E1973</f>
        <v/>
      </c>
      <c r="E1973">
        <f>Data_thang!F1973</f>
        <v/>
      </c>
      <c r="F1973">
        <f>Data_thang!G1973</f>
        <v/>
      </c>
      <c r="G1973" s="29">
        <f>Data_thang!J1973-Data_thang!K1973</f>
        <v/>
      </c>
      <c r="H1973" s="29">
        <f>Data_thang!N1973</f>
        <v/>
      </c>
      <c r="I1973" s="29">
        <f>H1973-G1973</f>
        <v/>
      </c>
      <c r="J1973" s="30">
        <f>IF(H1973=0,IF(I1973=0,0,1),I1973/ABS(H1973))</f>
        <v/>
      </c>
      <c r="K1973" s="29">
        <f>H1973-(Data_thang!O1973-Data_thang!K1973)</f>
        <v/>
      </c>
      <c r="L1973">
        <f>IF(AND(ABS(I1973)&gt;Dashboard!$G$6,ABS(J1973)&gt;Dashboard!$H$6),"⚠ Vượt","")</f>
        <v/>
      </c>
      <c r="M1973">
        <f>IF(AND(A1973=Dashboard!$D$6,OR(Dashboard!$C$6="*",F1973=Dashboard!$C$6),L1973&lt;&gt;""),ABS(I1973)+ROW()/1000000000,0)</f>
        <v/>
      </c>
    </row>
    <row r="1974">
      <c r="A1974">
        <f>Data_thang!A1974</f>
        <v/>
      </c>
      <c r="B1974">
        <f>Data_thang!B1974</f>
        <v/>
      </c>
      <c r="C1974">
        <f>Data_thang!D1974</f>
        <v/>
      </c>
      <c r="D1974">
        <f>Data_thang!E1974</f>
        <v/>
      </c>
      <c r="E1974">
        <f>Data_thang!F1974</f>
        <v/>
      </c>
      <c r="F1974">
        <f>Data_thang!G1974</f>
        <v/>
      </c>
      <c r="G1974" s="29">
        <f>Data_thang!J1974-Data_thang!K1974</f>
        <v/>
      </c>
      <c r="H1974" s="29">
        <f>Data_thang!N1974</f>
        <v/>
      </c>
      <c r="I1974" s="29">
        <f>H1974-G1974</f>
        <v/>
      </c>
      <c r="J1974" s="30">
        <f>IF(H1974=0,IF(I1974=0,0,1),I1974/ABS(H1974))</f>
        <v/>
      </c>
      <c r="K1974" s="29">
        <f>H1974-(Data_thang!O1974-Data_thang!K1974)</f>
        <v/>
      </c>
      <c r="L1974">
        <f>IF(AND(ABS(I1974)&gt;Dashboard!$G$6,ABS(J1974)&gt;Dashboard!$H$6),"⚠ Vượt","")</f>
        <v/>
      </c>
      <c r="M1974">
        <f>IF(AND(A1974=Dashboard!$D$6,OR(Dashboard!$C$6="*",F1974=Dashboard!$C$6),L1974&lt;&gt;""),ABS(I1974)+ROW()/1000000000,0)</f>
        <v/>
      </c>
    </row>
    <row r="1975">
      <c r="A1975">
        <f>Data_thang!A1975</f>
        <v/>
      </c>
      <c r="B1975">
        <f>Data_thang!B1975</f>
        <v/>
      </c>
      <c r="C1975">
        <f>Data_thang!D1975</f>
        <v/>
      </c>
      <c r="D1975">
        <f>Data_thang!E1975</f>
        <v/>
      </c>
      <c r="E1975">
        <f>Data_thang!F1975</f>
        <v/>
      </c>
      <c r="F1975">
        <f>Data_thang!G1975</f>
        <v/>
      </c>
      <c r="G1975" s="29">
        <f>Data_thang!J1975-Data_thang!K1975</f>
        <v/>
      </c>
      <c r="H1975" s="29">
        <f>Data_thang!N1975</f>
        <v/>
      </c>
      <c r="I1975" s="29">
        <f>H1975-G1975</f>
        <v/>
      </c>
      <c r="J1975" s="30">
        <f>IF(H1975=0,IF(I1975=0,0,1),I1975/ABS(H1975))</f>
        <v/>
      </c>
      <c r="K1975" s="29">
        <f>H1975-(Data_thang!O1975-Data_thang!K1975)</f>
        <v/>
      </c>
      <c r="L1975">
        <f>IF(AND(ABS(I1975)&gt;Dashboard!$G$6,ABS(J1975)&gt;Dashboard!$H$6),"⚠ Vượt","")</f>
        <v/>
      </c>
      <c r="M1975">
        <f>IF(AND(A1975=Dashboard!$D$6,OR(Dashboard!$C$6="*",F1975=Dashboard!$C$6),L1975&lt;&gt;""),ABS(I1975)+ROW()/1000000000,0)</f>
        <v/>
      </c>
    </row>
    <row r="1976">
      <c r="A1976">
        <f>Data_thang!A1976</f>
        <v/>
      </c>
      <c r="B1976">
        <f>Data_thang!B1976</f>
        <v/>
      </c>
      <c r="C1976">
        <f>Data_thang!D1976</f>
        <v/>
      </c>
      <c r="D1976">
        <f>Data_thang!E1976</f>
        <v/>
      </c>
      <c r="E1976">
        <f>Data_thang!F1976</f>
        <v/>
      </c>
      <c r="F1976">
        <f>Data_thang!G1976</f>
        <v/>
      </c>
      <c r="G1976" s="29">
        <f>Data_thang!J1976-Data_thang!K1976</f>
        <v/>
      </c>
      <c r="H1976" s="29">
        <f>Data_thang!N1976</f>
        <v/>
      </c>
      <c r="I1976" s="29">
        <f>H1976-G1976</f>
        <v/>
      </c>
      <c r="J1976" s="30">
        <f>IF(H1976=0,IF(I1976=0,0,1),I1976/ABS(H1976))</f>
        <v/>
      </c>
      <c r="K1976" s="29">
        <f>H1976-(Data_thang!O1976-Data_thang!K1976)</f>
        <v/>
      </c>
      <c r="L1976">
        <f>IF(AND(ABS(I1976)&gt;Dashboard!$G$6,ABS(J1976)&gt;Dashboard!$H$6),"⚠ Vượt","")</f>
        <v/>
      </c>
      <c r="M1976">
        <f>IF(AND(A1976=Dashboard!$D$6,OR(Dashboard!$C$6="*",F1976=Dashboard!$C$6),L1976&lt;&gt;""),ABS(I1976)+ROW()/1000000000,0)</f>
        <v/>
      </c>
    </row>
    <row r="1977">
      <c r="A1977">
        <f>Data_thang!A1977</f>
        <v/>
      </c>
      <c r="B1977">
        <f>Data_thang!B1977</f>
        <v/>
      </c>
      <c r="C1977">
        <f>Data_thang!D1977</f>
        <v/>
      </c>
      <c r="D1977">
        <f>Data_thang!E1977</f>
        <v/>
      </c>
      <c r="E1977">
        <f>Data_thang!F1977</f>
        <v/>
      </c>
      <c r="F1977">
        <f>Data_thang!G1977</f>
        <v/>
      </c>
      <c r="G1977" s="29">
        <f>Data_thang!J1977-Data_thang!K1977</f>
        <v/>
      </c>
      <c r="H1977" s="29">
        <f>Data_thang!N1977</f>
        <v/>
      </c>
      <c r="I1977" s="29">
        <f>H1977-G1977</f>
        <v/>
      </c>
      <c r="J1977" s="30">
        <f>IF(H1977=0,IF(I1977=0,0,1),I1977/ABS(H1977))</f>
        <v/>
      </c>
      <c r="K1977" s="29">
        <f>H1977-(Data_thang!O1977-Data_thang!K1977)</f>
        <v/>
      </c>
      <c r="L1977">
        <f>IF(AND(ABS(I1977)&gt;Dashboard!$G$6,ABS(J1977)&gt;Dashboard!$H$6),"⚠ Vượt","")</f>
        <v/>
      </c>
      <c r="M1977">
        <f>IF(AND(A1977=Dashboard!$D$6,OR(Dashboard!$C$6="*",F1977=Dashboard!$C$6),L1977&lt;&gt;""),ABS(I1977)+ROW()/1000000000,0)</f>
        <v/>
      </c>
    </row>
    <row r="1978">
      <c r="A1978">
        <f>Data_thang!A1978</f>
        <v/>
      </c>
      <c r="B1978">
        <f>Data_thang!B1978</f>
        <v/>
      </c>
      <c r="C1978">
        <f>Data_thang!D1978</f>
        <v/>
      </c>
      <c r="D1978">
        <f>Data_thang!E1978</f>
        <v/>
      </c>
      <c r="E1978">
        <f>Data_thang!F1978</f>
        <v/>
      </c>
      <c r="F1978">
        <f>Data_thang!G1978</f>
        <v/>
      </c>
      <c r="G1978" s="29">
        <f>Data_thang!J1978-Data_thang!K1978</f>
        <v/>
      </c>
      <c r="H1978" s="29">
        <f>Data_thang!N1978</f>
        <v/>
      </c>
      <c r="I1978" s="29">
        <f>H1978-G1978</f>
        <v/>
      </c>
      <c r="J1978" s="30">
        <f>IF(H1978=0,IF(I1978=0,0,1),I1978/ABS(H1978))</f>
        <v/>
      </c>
      <c r="K1978" s="29">
        <f>H1978-(Data_thang!O1978-Data_thang!K1978)</f>
        <v/>
      </c>
      <c r="L1978">
        <f>IF(AND(ABS(I1978)&gt;Dashboard!$G$6,ABS(J1978)&gt;Dashboard!$H$6),"⚠ Vượt","")</f>
        <v/>
      </c>
      <c r="M1978">
        <f>IF(AND(A1978=Dashboard!$D$6,OR(Dashboard!$C$6="*",F1978=Dashboard!$C$6),L1978&lt;&gt;""),ABS(I1978)+ROW()/1000000000,0)</f>
        <v/>
      </c>
    </row>
    <row r="1979">
      <c r="A1979">
        <f>Data_thang!A1979</f>
        <v/>
      </c>
      <c r="B1979">
        <f>Data_thang!B1979</f>
        <v/>
      </c>
      <c r="C1979">
        <f>Data_thang!D1979</f>
        <v/>
      </c>
      <c r="D1979">
        <f>Data_thang!E1979</f>
        <v/>
      </c>
      <c r="E1979">
        <f>Data_thang!F1979</f>
        <v/>
      </c>
      <c r="F1979">
        <f>Data_thang!G1979</f>
        <v/>
      </c>
      <c r="G1979" s="29">
        <f>Data_thang!J1979-Data_thang!K1979</f>
        <v/>
      </c>
      <c r="H1979" s="29">
        <f>Data_thang!N1979</f>
        <v/>
      </c>
      <c r="I1979" s="29">
        <f>H1979-G1979</f>
        <v/>
      </c>
      <c r="J1979" s="30">
        <f>IF(H1979=0,IF(I1979=0,0,1),I1979/ABS(H1979))</f>
        <v/>
      </c>
      <c r="K1979" s="29">
        <f>H1979-(Data_thang!O1979-Data_thang!K1979)</f>
        <v/>
      </c>
      <c r="L1979">
        <f>IF(AND(ABS(I1979)&gt;Dashboard!$G$6,ABS(J1979)&gt;Dashboard!$H$6),"⚠ Vượt","")</f>
        <v/>
      </c>
      <c r="M1979">
        <f>IF(AND(A1979=Dashboard!$D$6,OR(Dashboard!$C$6="*",F1979=Dashboard!$C$6),L1979&lt;&gt;""),ABS(I1979)+ROW()/1000000000,0)</f>
        <v/>
      </c>
    </row>
    <row r="1980">
      <c r="A1980">
        <f>Data_thang!A1980</f>
        <v/>
      </c>
      <c r="B1980">
        <f>Data_thang!B1980</f>
        <v/>
      </c>
      <c r="C1980">
        <f>Data_thang!D1980</f>
        <v/>
      </c>
      <c r="D1980">
        <f>Data_thang!E1980</f>
        <v/>
      </c>
      <c r="E1980">
        <f>Data_thang!F1980</f>
        <v/>
      </c>
      <c r="F1980">
        <f>Data_thang!G1980</f>
        <v/>
      </c>
      <c r="G1980" s="29">
        <f>Data_thang!J1980-Data_thang!K1980</f>
        <v/>
      </c>
      <c r="H1980" s="29">
        <f>Data_thang!N1980</f>
        <v/>
      </c>
      <c r="I1980" s="29">
        <f>H1980-G1980</f>
        <v/>
      </c>
      <c r="J1980" s="30">
        <f>IF(H1980=0,IF(I1980=0,0,1),I1980/ABS(H1980))</f>
        <v/>
      </c>
      <c r="K1980" s="29">
        <f>H1980-(Data_thang!O1980-Data_thang!K1980)</f>
        <v/>
      </c>
      <c r="L1980">
        <f>IF(AND(ABS(I1980)&gt;Dashboard!$G$6,ABS(J1980)&gt;Dashboard!$H$6),"⚠ Vượt","")</f>
        <v/>
      </c>
      <c r="M1980">
        <f>IF(AND(A1980=Dashboard!$D$6,OR(Dashboard!$C$6="*",F1980=Dashboard!$C$6),L1980&lt;&gt;""),ABS(I1980)+ROW()/1000000000,0)</f>
        <v/>
      </c>
    </row>
    <row r="1981">
      <c r="A1981">
        <f>Data_thang!A1981</f>
        <v/>
      </c>
      <c r="B1981">
        <f>Data_thang!B1981</f>
        <v/>
      </c>
      <c r="C1981">
        <f>Data_thang!D1981</f>
        <v/>
      </c>
      <c r="D1981">
        <f>Data_thang!E1981</f>
        <v/>
      </c>
      <c r="E1981">
        <f>Data_thang!F1981</f>
        <v/>
      </c>
      <c r="F1981">
        <f>Data_thang!G1981</f>
        <v/>
      </c>
      <c r="G1981" s="29">
        <f>Data_thang!J1981-Data_thang!K1981</f>
        <v/>
      </c>
      <c r="H1981" s="29">
        <f>Data_thang!N1981</f>
        <v/>
      </c>
      <c r="I1981" s="29">
        <f>H1981-G1981</f>
        <v/>
      </c>
      <c r="J1981" s="30">
        <f>IF(H1981=0,IF(I1981=0,0,1),I1981/ABS(H1981))</f>
        <v/>
      </c>
      <c r="K1981" s="29">
        <f>H1981-(Data_thang!O1981-Data_thang!K1981)</f>
        <v/>
      </c>
      <c r="L1981">
        <f>IF(AND(ABS(I1981)&gt;Dashboard!$G$6,ABS(J1981)&gt;Dashboard!$H$6),"⚠ Vượt","")</f>
        <v/>
      </c>
      <c r="M1981">
        <f>IF(AND(A1981=Dashboard!$D$6,OR(Dashboard!$C$6="*",F1981=Dashboard!$C$6),L1981&lt;&gt;""),ABS(I1981)+ROW()/1000000000,0)</f>
        <v/>
      </c>
    </row>
    <row r="1982">
      <c r="A1982">
        <f>Data_thang!A1982</f>
        <v/>
      </c>
      <c r="B1982">
        <f>Data_thang!B1982</f>
        <v/>
      </c>
      <c r="C1982">
        <f>Data_thang!D1982</f>
        <v/>
      </c>
      <c r="D1982">
        <f>Data_thang!E1982</f>
        <v/>
      </c>
      <c r="E1982">
        <f>Data_thang!F1982</f>
        <v/>
      </c>
      <c r="F1982">
        <f>Data_thang!G1982</f>
        <v/>
      </c>
      <c r="G1982" s="29">
        <f>Data_thang!J1982-Data_thang!K1982</f>
        <v/>
      </c>
      <c r="H1982" s="29">
        <f>Data_thang!N1982</f>
        <v/>
      </c>
      <c r="I1982" s="29">
        <f>H1982-G1982</f>
        <v/>
      </c>
      <c r="J1982" s="30">
        <f>IF(H1982=0,IF(I1982=0,0,1),I1982/ABS(H1982))</f>
        <v/>
      </c>
      <c r="K1982" s="29">
        <f>H1982-(Data_thang!O1982-Data_thang!K1982)</f>
        <v/>
      </c>
      <c r="L1982">
        <f>IF(AND(ABS(I1982)&gt;Dashboard!$G$6,ABS(J1982)&gt;Dashboard!$H$6),"⚠ Vượt","")</f>
        <v/>
      </c>
      <c r="M1982">
        <f>IF(AND(A1982=Dashboard!$D$6,OR(Dashboard!$C$6="*",F1982=Dashboard!$C$6),L1982&lt;&gt;""),ABS(I1982)+ROW()/1000000000,0)</f>
        <v/>
      </c>
    </row>
    <row r="1983">
      <c r="A1983">
        <f>Data_thang!A1983</f>
        <v/>
      </c>
      <c r="B1983">
        <f>Data_thang!B1983</f>
        <v/>
      </c>
      <c r="C1983">
        <f>Data_thang!D1983</f>
        <v/>
      </c>
      <c r="D1983">
        <f>Data_thang!E1983</f>
        <v/>
      </c>
      <c r="E1983">
        <f>Data_thang!F1983</f>
        <v/>
      </c>
      <c r="F1983">
        <f>Data_thang!G1983</f>
        <v/>
      </c>
      <c r="G1983" s="29">
        <f>Data_thang!J1983-Data_thang!K1983</f>
        <v/>
      </c>
      <c r="H1983" s="29">
        <f>Data_thang!N1983</f>
        <v/>
      </c>
      <c r="I1983" s="29">
        <f>H1983-G1983</f>
        <v/>
      </c>
      <c r="J1983" s="30">
        <f>IF(H1983=0,IF(I1983=0,0,1),I1983/ABS(H1983))</f>
        <v/>
      </c>
      <c r="K1983" s="29">
        <f>H1983-(Data_thang!O1983-Data_thang!K1983)</f>
        <v/>
      </c>
      <c r="L1983">
        <f>IF(AND(ABS(I1983)&gt;Dashboard!$G$6,ABS(J1983)&gt;Dashboard!$H$6),"⚠ Vượt","")</f>
        <v/>
      </c>
      <c r="M1983">
        <f>IF(AND(A1983=Dashboard!$D$6,OR(Dashboard!$C$6="*",F1983=Dashboard!$C$6),L1983&lt;&gt;""),ABS(I1983)+ROW()/1000000000,0)</f>
        <v/>
      </c>
    </row>
    <row r="1984">
      <c r="A1984">
        <f>Data_thang!A1984</f>
        <v/>
      </c>
      <c r="B1984">
        <f>Data_thang!B1984</f>
        <v/>
      </c>
      <c r="C1984">
        <f>Data_thang!D1984</f>
        <v/>
      </c>
      <c r="D1984">
        <f>Data_thang!E1984</f>
        <v/>
      </c>
      <c r="E1984">
        <f>Data_thang!F1984</f>
        <v/>
      </c>
      <c r="F1984">
        <f>Data_thang!G1984</f>
        <v/>
      </c>
      <c r="G1984" s="29">
        <f>Data_thang!J1984-Data_thang!K1984</f>
        <v/>
      </c>
      <c r="H1984" s="29">
        <f>Data_thang!N1984</f>
        <v/>
      </c>
      <c r="I1984" s="29">
        <f>H1984-G1984</f>
        <v/>
      </c>
      <c r="J1984" s="30">
        <f>IF(H1984=0,IF(I1984=0,0,1),I1984/ABS(H1984))</f>
        <v/>
      </c>
      <c r="K1984" s="29">
        <f>H1984-(Data_thang!O1984-Data_thang!K1984)</f>
        <v/>
      </c>
      <c r="L1984">
        <f>IF(AND(ABS(I1984)&gt;Dashboard!$G$6,ABS(J1984)&gt;Dashboard!$H$6),"⚠ Vượt","")</f>
        <v/>
      </c>
      <c r="M1984">
        <f>IF(AND(A1984=Dashboard!$D$6,OR(Dashboard!$C$6="*",F1984=Dashboard!$C$6),L1984&lt;&gt;""),ABS(I1984)+ROW()/1000000000,0)</f>
        <v/>
      </c>
    </row>
    <row r="1985">
      <c r="A1985">
        <f>Data_thang!A1985</f>
        <v/>
      </c>
      <c r="B1985">
        <f>Data_thang!B1985</f>
        <v/>
      </c>
      <c r="C1985">
        <f>Data_thang!D1985</f>
        <v/>
      </c>
      <c r="D1985">
        <f>Data_thang!E1985</f>
        <v/>
      </c>
      <c r="E1985">
        <f>Data_thang!F1985</f>
        <v/>
      </c>
      <c r="F1985">
        <f>Data_thang!G1985</f>
        <v/>
      </c>
      <c r="G1985" s="29">
        <f>Data_thang!J1985-Data_thang!K1985</f>
        <v/>
      </c>
      <c r="H1985" s="29">
        <f>Data_thang!N1985</f>
        <v/>
      </c>
      <c r="I1985" s="29">
        <f>H1985-G1985</f>
        <v/>
      </c>
      <c r="J1985" s="30">
        <f>IF(H1985=0,IF(I1985=0,0,1),I1985/ABS(H1985))</f>
        <v/>
      </c>
      <c r="K1985" s="29">
        <f>H1985-(Data_thang!O1985-Data_thang!K1985)</f>
        <v/>
      </c>
      <c r="L1985">
        <f>IF(AND(ABS(I1985)&gt;Dashboard!$G$6,ABS(J1985)&gt;Dashboard!$H$6),"⚠ Vượt","")</f>
        <v/>
      </c>
      <c r="M1985">
        <f>IF(AND(A1985=Dashboard!$D$6,OR(Dashboard!$C$6="*",F1985=Dashboard!$C$6),L1985&lt;&gt;""),ABS(I1985)+ROW()/1000000000,0)</f>
        <v/>
      </c>
    </row>
    <row r="1986">
      <c r="A1986">
        <f>Data_thang!A1986</f>
        <v/>
      </c>
      <c r="B1986">
        <f>Data_thang!B1986</f>
        <v/>
      </c>
      <c r="C1986">
        <f>Data_thang!D1986</f>
        <v/>
      </c>
      <c r="D1986">
        <f>Data_thang!E1986</f>
        <v/>
      </c>
      <c r="E1986">
        <f>Data_thang!F1986</f>
        <v/>
      </c>
      <c r="F1986">
        <f>Data_thang!G1986</f>
        <v/>
      </c>
      <c r="G1986" s="29">
        <f>Data_thang!J1986-Data_thang!K1986</f>
        <v/>
      </c>
      <c r="H1986" s="29">
        <f>Data_thang!N1986</f>
        <v/>
      </c>
      <c r="I1986" s="29">
        <f>H1986-G1986</f>
        <v/>
      </c>
      <c r="J1986" s="30">
        <f>IF(H1986=0,IF(I1986=0,0,1),I1986/ABS(H1986))</f>
        <v/>
      </c>
      <c r="K1986" s="29">
        <f>H1986-(Data_thang!O1986-Data_thang!K1986)</f>
        <v/>
      </c>
      <c r="L1986">
        <f>IF(AND(ABS(I1986)&gt;Dashboard!$G$6,ABS(J1986)&gt;Dashboard!$H$6),"⚠ Vượt","")</f>
        <v/>
      </c>
      <c r="M1986">
        <f>IF(AND(A1986=Dashboard!$D$6,OR(Dashboard!$C$6="*",F1986=Dashboard!$C$6),L1986&lt;&gt;""),ABS(I1986)+ROW()/1000000000,0)</f>
        <v/>
      </c>
    </row>
    <row r="1987">
      <c r="A1987">
        <f>Data_thang!A1987</f>
        <v/>
      </c>
      <c r="B1987">
        <f>Data_thang!B1987</f>
        <v/>
      </c>
      <c r="C1987">
        <f>Data_thang!D1987</f>
        <v/>
      </c>
      <c r="D1987">
        <f>Data_thang!E1987</f>
        <v/>
      </c>
      <c r="E1987">
        <f>Data_thang!F1987</f>
        <v/>
      </c>
      <c r="F1987">
        <f>Data_thang!G1987</f>
        <v/>
      </c>
      <c r="G1987" s="29">
        <f>Data_thang!J1987-Data_thang!K1987</f>
        <v/>
      </c>
      <c r="H1987" s="29">
        <f>Data_thang!N1987</f>
        <v/>
      </c>
      <c r="I1987" s="29">
        <f>H1987-G1987</f>
        <v/>
      </c>
      <c r="J1987" s="30">
        <f>IF(H1987=0,IF(I1987=0,0,1),I1987/ABS(H1987))</f>
        <v/>
      </c>
      <c r="K1987" s="29">
        <f>H1987-(Data_thang!O1987-Data_thang!K1987)</f>
        <v/>
      </c>
      <c r="L1987">
        <f>IF(AND(ABS(I1987)&gt;Dashboard!$G$6,ABS(J1987)&gt;Dashboard!$H$6),"⚠ Vượt","")</f>
        <v/>
      </c>
      <c r="M1987">
        <f>IF(AND(A1987=Dashboard!$D$6,OR(Dashboard!$C$6="*",F1987=Dashboard!$C$6),L1987&lt;&gt;""),ABS(I1987)+ROW()/1000000000,0)</f>
        <v/>
      </c>
    </row>
    <row r="1988">
      <c r="A1988">
        <f>Data_thang!A1988</f>
        <v/>
      </c>
      <c r="B1988">
        <f>Data_thang!B1988</f>
        <v/>
      </c>
      <c r="C1988">
        <f>Data_thang!D1988</f>
        <v/>
      </c>
      <c r="D1988">
        <f>Data_thang!E1988</f>
        <v/>
      </c>
      <c r="E1988">
        <f>Data_thang!F1988</f>
        <v/>
      </c>
      <c r="F1988">
        <f>Data_thang!G1988</f>
        <v/>
      </c>
      <c r="G1988" s="29">
        <f>Data_thang!J1988-Data_thang!K1988</f>
        <v/>
      </c>
      <c r="H1988" s="29">
        <f>Data_thang!N1988</f>
        <v/>
      </c>
      <c r="I1988" s="29">
        <f>H1988-G1988</f>
        <v/>
      </c>
      <c r="J1988" s="30">
        <f>IF(H1988=0,IF(I1988=0,0,1),I1988/ABS(H1988))</f>
        <v/>
      </c>
      <c r="K1988" s="29">
        <f>H1988-(Data_thang!O1988-Data_thang!K1988)</f>
        <v/>
      </c>
      <c r="L1988">
        <f>IF(AND(ABS(I1988)&gt;Dashboard!$G$6,ABS(J1988)&gt;Dashboard!$H$6),"⚠ Vượt","")</f>
        <v/>
      </c>
      <c r="M1988">
        <f>IF(AND(A1988=Dashboard!$D$6,OR(Dashboard!$C$6="*",F1988=Dashboard!$C$6),L1988&lt;&gt;""),ABS(I1988)+ROW()/1000000000,0)</f>
        <v/>
      </c>
    </row>
    <row r="1989">
      <c r="A1989">
        <f>Data_thang!A1989</f>
        <v/>
      </c>
      <c r="B1989">
        <f>Data_thang!B1989</f>
        <v/>
      </c>
      <c r="C1989">
        <f>Data_thang!D1989</f>
        <v/>
      </c>
      <c r="D1989">
        <f>Data_thang!E1989</f>
        <v/>
      </c>
      <c r="E1989">
        <f>Data_thang!F1989</f>
        <v/>
      </c>
      <c r="F1989">
        <f>Data_thang!G1989</f>
        <v/>
      </c>
      <c r="G1989" s="29">
        <f>Data_thang!J1989-Data_thang!K1989</f>
        <v/>
      </c>
      <c r="H1989" s="29">
        <f>Data_thang!N1989</f>
        <v/>
      </c>
      <c r="I1989" s="29">
        <f>H1989-G1989</f>
        <v/>
      </c>
      <c r="J1989" s="30">
        <f>IF(H1989=0,IF(I1989=0,0,1),I1989/ABS(H1989))</f>
        <v/>
      </c>
      <c r="K1989" s="29">
        <f>H1989-(Data_thang!O1989-Data_thang!K1989)</f>
        <v/>
      </c>
      <c r="L1989">
        <f>IF(AND(ABS(I1989)&gt;Dashboard!$G$6,ABS(J1989)&gt;Dashboard!$H$6),"⚠ Vượt","")</f>
        <v/>
      </c>
      <c r="M1989">
        <f>IF(AND(A1989=Dashboard!$D$6,OR(Dashboard!$C$6="*",F1989=Dashboard!$C$6),L1989&lt;&gt;""),ABS(I1989)+ROW()/1000000000,0)</f>
        <v/>
      </c>
    </row>
    <row r="1990">
      <c r="A1990">
        <f>Data_thang!A1990</f>
        <v/>
      </c>
      <c r="B1990">
        <f>Data_thang!B1990</f>
        <v/>
      </c>
      <c r="C1990">
        <f>Data_thang!D1990</f>
        <v/>
      </c>
      <c r="D1990">
        <f>Data_thang!E1990</f>
        <v/>
      </c>
      <c r="E1990">
        <f>Data_thang!F1990</f>
        <v/>
      </c>
      <c r="F1990">
        <f>Data_thang!G1990</f>
        <v/>
      </c>
      <c r="G1990" s="29">
        <f>Data_thang!J1990-Data_thang!K1990</f>
        <v/>
      </c>
      <c r="H1990" s="29">
        <f>Data_thang!N1990</f>
        <v/>
      </c>
      <c r="I1990" s="29">
        <f>H1990-G1990</f>
        <v/>
      </c>
      <c r="J1990" s="30">
        <f>IF(H1990=0,IF(I1990=0,0,1),I1990/ABS(H1990))</f>
        <v/>
      </c>
      <c r="K1990" s="29">
        <f>H1990-(Data_thang!O1990-Data_thang!K1990)</f>
        <v/>
      </c>
      <c r="L1990">
        <f>IF(AND(ABS(I1990)&gt;Dashboard!$G$6,ABS(J1990)&gt;Dashboard!$H$6),"⚠ Vượt","")</f>
        <v/>
      </c>
      <c r="M1990">
        <f>IF(AND(A1990=Dashboard!$D$6,OR(Dashboard!$C$6="*",F1990=Dashboard!$C$6),L1990&lt;&gt;""),ABS(I1990)+ROW()/1000000000,0)</f>
        <v/>
      </c>
    </row>
    <row r="1991">
      <c r="A1991">
        <f>Data_thang!A1991</f>
        <v/>
      </c>
      <c r="B1991">
        <f>Data_thang!B1991</f>
        <v/>
      </c>
      <c r="C1991">
        <f>Data_thang!D1991</f>
        <v/>
      </c>
      <c r="D1991">
        <f>Data_thang!E1991</f>
        <v/>
      </c>
      <c r="E1991">
        <f>Data_thang!F1991</f>
        <v/>
      </c>
      <c r="F1991">
        <f>Data_thang!G1991</f>
        <v/>
      </c>
      <c r="G1991" s="29">
        <f>Data_thang!J1991-Data_thang!K1991</f>
        <v/>
      </c>
      <c r="H1991" s="29">
        <f>Data_thang!N1991</f>
        <v/>
      </c>
      <c r="I1991" s="29">
        <f>H1991-G1991</f>
        <v/>
      </c>
      <c r="J1991" s="30">
        <f>IF(H1991=0,IF(I1991=0,0,1),I1991/ABS(H1991))</f>
        <v/>
      </c>
      <c r="K1991" s="29">
        <f>H1991-(Data_thang!O1991-Data_thang!K1991)</f>
        <v/>
      </c>
      <c r="L1991">
        <f>IF(AND(ABS(I1991)&gt;Dashboard!$G$6,ABS(J1991)&gt;Dashboard!$H$6),"⚠ Vượt","")</f>
        <v/>
      </c>
      <c r="M1991">
        <f>IF(AND(A1991=Dashboard!$D$6,OR(Dashboard!$C$6="*",F1991=Dashboard!$C$6),L1991&lt;&gt;""),ABS(I1991)+ROW()/1000000000,0)</f>
        <v/>
      </c>
    </row>
    <row r="1992">
      <c r="A1992">
        <f>Data_thang!A1992</f>
        <v/>
      </c>
      <c r="B1992">
        <f>Data_thang!B1992</f>
        <v/>
      </c>
      <c r="C1992">
        <f>Data_thang!D1992</f>
        <v/>
      </c>
      <c r="D1992">
        <f>Data_thang!E1992</f>
        <v/>
      </c>
      <c r="E1992">
        <f>Data_thang!F1992</f>
        <v/>
      </c>
      <c r="F1992">
        <f>Data_thang!G1992</f>
        <v/>
      </c>
      <c r="G1992" s="29">
        <f>Data_thang!J1992-Data_thang!K1992</f>
        <v/>
      </c>
      <c r="H1992" s="29">
        <f>Data_thang!N1992</f>
        <v/>
      </c>
      <c r="I1992" s="29">
        <f>H1992-G1992</f>
        <v/>
      </c>
      <c r="J1992" s="30">
        <f>IF(H1992=0,IF(I1992=0,0,1),I1992/ABS(H1992))</f>
        <v/>
      </c>
      <c r="K1992" s="29">
        <f>H1992-(Data_thang!O1992-Data_thang!K1992)</f>
        <v/>
      </c>
      <c r="L1992">
        <f>IF(AND(ABS(I1992)&gt;Dashboard!$G$6,ABS(J1992)&gt;Dashboard!$H$6),"⚠ Vượt","")</f>
        <v/>
      </c>
      <c r="M1992">
        <f>IF(AND(A1992=Dashboard!$D$6,OR(Dashboard!$C$6="*",F1992=Dashboard!$C$6),L1992&lt;&gt;""),ABS(I1992)+ROW()/1000000000,0)</f>
        <v/>
      </c>
    </row>
    <row r="1993">
      <c r="A1993">
        <f>Data_thang!A1993</f>
        <v/>
      </c>
      <c r="B1993">
        <f>Data_thang!B1993</f>
        <v/>
      </c>
      <c r="C1993">
        <f>Data_thang!D1993</f>
        <v/>
      </c>
      <c r="D1993">
        <f>Data_thang!E1993</f>
        <v/>
      </c>
      <c r="E1993">
        <f>Data_thang!F1993</f>
        <v/>
      </c>
      <c r="F1993">
        <f>Data_thang!G1993</f>
        <v/>
      </c>
      <c r="G1993" s="29">
        <f>Data_thang!J1993-Data_thang!K1993</f>
        <v/>
      </c>
      <c r="H1993" s="29">
        <f>Data_thang!N1993</f>
        <v/>
      </c>
      <c r="I1993" s="29">
        <f>H1993-G1993</f>
        <v/>
      </c>
      <c r="J1993" s="30">
        <f>IF(H1993=0,IF(I1993=0,0,1),I1993/ABS(H1993))</f>
        <v/>
      </c>
      <c r="K1993" s="29">
        <f>H1993-(Data_thang!O1993-Data_thang!K1993)</f>
        <v/>
      </c>
      <c r="L1993">
        <f>IF(AND(ABS(I1993)&gt;Dashboard!$G$6,ABS(J1993)&gt;Dashboard!$H$6),"⚠ Vượt","")</f>
        <v/>
      </c>
      <c r="M1993">
        <f>IF(AND(A1993=Dashboard!$D$6,OR(Dashboard!$C$6="*",F1993=Dashboard!$C$6),L1993&lt;&gt;""),ABS(I1993)+ROW()/1000000000,0)</f>
        <v/>
      </c>
    </row>
    <row r="1994">
      <c r="A1994">
        <f>Data_thang!A1994</f>
        <v/>
      </c>
      <c r="B1994">
        <f>Data_thang!B1994</f>
        <v/>
      </c>
      <c r="C1994">
        <f>Data_thang!D1994</f>
        <v/>
      </c>
      <c r="D1994">
        <f>Data_thang!E1994</f>
        <v/>
      </c>
      <c r="E1994">
        <f>Data_thang!F1994</f>
        <v/>
      </c>
      <c r="F1994">
        <f>Data_thang!G1994</f>
        <v/>
      </c>
      <c r="G1994" s="29">
        <f>Data_thang!J1994-Data_thang!K1994</f>
        <v/>
      </c>
      <c r="H1994" s="29">
        <f>Data_thang!N1994</f>
        <v/>
      </c>
      <c r="I1994" s="29">
        <f>H1994-G1994</f>
        <v/>
      </c>
      <c r="J1994" s="30">
        <f>IF(H1994=0,IF(I1994=0,0,1),I1994/ABS(H1994))</f>
        <v/>
      </c>
      <c r="K1994" s="29">
        <f>H1994-(Data_thang!O1994-Data_thang!K1994)</f>
        <v/>
      </c>
      <c r="L1994">
        <f>IF(AND(ABS(I1994)&gt;Dashboard!$G$6,ABS(J1994)&gt;Dashboard!$H$6),"⚠ Vượt","")</f>
        <v/>
      </c>
      <c r="M1994">
        <f>IF(AND(A1994=Dashboard!$D$6,OR(Dashboard!$C$6="*",F1994=Dashboard!$C$6),L1994&lt;&gt;""),ABS(I1994)+ROW()/1000000000,0)</f>
        <v/>
      </c>
    </row>
    <row r="1995">
      <c r="A1995">
        <f>Data_thang!A1995</f>
        <v/>
      </c>
      <c r="B1995">
        <f>Data_thang!B1995</f>
        <v/>
      </c>
      <c r="C1995">
        <f>Data_thang!D1995</f>
        <v/>
      </c>
      <c r="D1995">
        <f>Data_thang!E1995</f>
        <v/>
      </c>
      <c r="E1995">
        <f>Data_thang!F1995</f>
        <v/>
      </c>
      <c r="F1995">
        <f>Data_thang!G1995</f>
        <v/>
      </c>
      <c r="G1995" s="29">
        <f>Data_thang!J1995-Data_thang!K1995</f>
        <v/>
      </c>
      <c r="H1995" s="29">
        <f>Data_thang!N1995</f>
        <v/>
      </c>
      <c r="I1995" s="29">
        <f>H1995-G1995</f>
        <v/>
      </c>
      <c r="J1995" s="30">
        <f>IF(H1995=0,IF(I1995=0,0,1),I1995/ABS(H1995))</f>
        <v/>
      </c>
      <c r="K1995" s="29">
        <f>H1995-(Data_thang!O1995-Data_thang!K1995)</f>
        <v/>
      </c>
      <c r="L1995">
        <f>IF(AND(ABS(I1995)&gt;Dashboard!$G$6,ABS(J1995)&gt;Dashboard!$H$6),"⚠ Vượt","")</f>
        <v/>
      </c>
      <c r="M1995">
        <f>IF(AND(A1995=Dashboard!$D$6,OR(Dashboard!$C$6="*",F1995=Dashboard!$C$6),L1995&lt;&gt;""),ABS(I1995)+ROW()/1000000000,0)</f>
        <v/>
      </c>
    </row>
    <row r="1996">
      <c r="A1996">
        <f>Data_thang!A1996</f>
        <v/>
      </c>
      <c r="B1996">
        <f>Data_thang!B1996</f>
        <v/>
      </c>
      <c r="C1996">
        <f>Data_thang!D1996</f>
        <v/>
      </c>
      <c r="D1996">
        <f>Data_thang!E1996</f>
        <v/>
      </c>
      <c r="E1996">
        <f>Data_thang!F1996</f>
        <v/>
      </c>
      <c r="F1996">
        <f>Data_thang!G1996</f>
        <v/>
      </c>
      <c r="G1996" s="29">
        <f>Data_thang!J1996-Data_thang!K1996</f>
        <v/>
      </c>
      <c r="H1996" s="29">
        <f>Data_thang!N1996</f>
        <v/>
      </c>
      <c r="I1996" s="29">
        <f>H1996-G1996</f>
        <v/>
      </c>
      <c r="J1996" s="30">
        <f>IF(H1996=0,IF(I1996=0,0,1),I1996/ABS(H1996))</f>
        <v/>
      </c>
      <c r="K1996" s="29">
        <f>H1996-(Data_thang!O1996-Data_thang!K1996)</f>
        <v/>
      </c>
      <c r="L1996">
        <f>IF(AND(ABS(I1996)&gt;Dashboard!$G$6,ABS(J1996)&gt;Dashboard!$H$6),"⚠ Vượt","")</f>
        <v/>
      </c>
      <c r="M1996">
        <f>IF(AND(A1996=Dashboard!$D$6,OR(Dashboard!$C$6="*",F1996=Dashboard!$C$6),L1996&lt;&gt;""),ABS(I1996)+ROW()/1000000000,0)</f>
        <v/>
      </c>
    </row>
    <row r="1997">
      <c r="A1997">
        <f>Data_thang!A1997</f>
        <v/>
      </c>
      <c r="B1997">
        <f>Data_thang!B1997</f>
        <v/>
      </c>
      <c r="C1997">
        <f>Data_thang!D1997</f>
        <v/>
      </c>
      <c r="D1997">
        <f>Data_thang!E1997</f>
        <v/>
      </c>
      <c r="E1997">
        <f>Data_thang!F1997</f>
        <v/>
      </c>
      <c r="F1997">
        <f>Data_thang!G1997</f>
        <v/>
      </c>
      <c r="G1997" s="29">
        <f>Data_thang!J1997-Data_thang!K1997</f>
        <v/>
      </c>
      <c r="H1997" s="29">
        <f>Data_thang!N1997</f>
        <v/>
      </c>
      <c r="I1997" s="29">
        <f>H1997-G1997</f>
        <v/>
      </c>
      <c r="J1997" s="30">
        <f>IF(H1997=0,IF(I1997=0,0,1),I1997/ABS(H1997))</f>
        <v/>
      </c>
      <c r="K1997" s="29">
        <f>H1997-(Data_thang!O1997-Data_thang!K1997)</f>
        <v/>
      </c>
      <c r="L1997">
        <f>IF(AND(ABS(I1997)&gt;Dashboard!$G$6,ABS(J1997)&gt;Dashboard!$H$6),"⚠ Vượt","")</f>
        <v/>
      </c>
      <c r="M1997">
        <f>IF(AND(A1997=Dashboard!$D$6,OR(Dashboard!$C$6="*",F1997=Dashboard!$C$6),L1997&lt;&gt;""),ABS(I1997)+ROW()/1000000000,0)</f>
        <v/>
      </c>
    </row>
    <row r="1998">
      <c r="A1998">
        <f>Data_thang!A1998</f>
        <v/>
      </c>
      <c r="B1998">
        <f>Data_thang!B1998</f>
        <v/>
      </c>
      <c r="C1998">
        <f>Data_thang!D1998</f>
        <v/>
      </c>
      <c r="D1998">
        <f>Data_thang!E1998</f>
        <v/>
      </c>
      <c r="E1998">
        <f>Data_thang!F1998</f>
        <v/>
      </c>
      <c r="F1998">
        <f>Data_thang!G1998</f>
        <v/>
      </c>
      <c r="G1998" s="29">
        <f>Data_thang!J1998-Data_thang!K1998</f>
        <v/>
      </c>
      <c r="H1998" s="29">
        <f>Data_thang!N1998</f>
        <v/>
      </c>
      <c r="I1998" s="29">
        <f>H1998-G1998</f>
        <v/>
      </c>
      <c r="J1998" s="30">
        <f>IF(H1998=0,IF(I1998=0,0,1),I1998/ABS(H1998))</f>
        <v/>
      </c>
      <c r="K1998" s="29">
        <f>H1998-(Data_thang!O1998-Data_thang!K1998)</f>
        <v/>
      </c>
      <c r="L1998">
        <f>IF(AND(ABS(I1998)&gt;Dashboard!$G$6,ABS(J1998)&gt;Dashboard!$H$6),"⚠ Vượt","")</f>
        <v/>
      </c>
      <c r="M1998">
        <f>IF(AND(A1998=Dashboard!$D$6,OR(Dashboard!$C$6="*",F1998=Dashboard!$C$6),L1998&lt;&gt;""),ABS(I1998)+ROW()/1000000000,0)</f>
        <v/>
      </c>
    </row>
    <row r="1999">
      <c r="A1999">
        <f>Data_thang!A1999</f>
        <v/>
      </c>
      <c r="B1999">
        <f>Data_thang!B1999</f>
        <v/>
      </c>
      <c r="C1999">
        <f>Data_thang!D1999</f>
        <v/>
      </c>
      <c r="D1999">
        <f>Data_thang!E1999</f>
        <v/>
      </c>
      <c r="E1999">
        <f>Data_thang!F1999</f>
        <v/>
      </c>
      <c r="F1999">
        <f>Data_thang!G1999</f>
        <v/>
      </c>
      <c r="G1999" s="29">
        <f>Data_thang!J1999-Data_thang!K1999</f>
        <v/>
      </c>
      <c r="H1999" s="29">
        <f>Data_thang!N1999</f>
        <v/>
      </c>
      <c r="I1999" s="29">
        <f>H1999-G1999</f>
        <v/>
      </c>
      <c r="J1999" s="30">
        <f>IF(H1999=0,IF(I1999=0,0,1),I1999/ABS(H1999))</f>
        <v/>
      </c>
      <c r="K1999" s="29">
        <f>H1999-(Data_thang!O1999-Data_thang!K1999)</f>
        <v/>
      </c>
      <c r="L1999">
        <f>IF(AND(ABS(I1999)&gt;Dashboard!$G$6,ABS(J1999)&gt;Dashboard!$H$6),"⚠ Vượt","")</f>
        <v/>
      </c>
      <c r="M1999">
        <f>IF(AND(A1999=Dashboard!$D$6,OR(Dashboard!$C$6="*",F1999=Dashboard!$C$6),L1999&lt;&gt;""),ABS(I1999)+ROW()/1000000000,0)</f>
        <v/>
      </c>
    </row>
    <row r="2000">
      <c r="A2000">
        <f>Data_thang!A2000</f>
        <v/>
      </c>
      <c r="B2000">
        <f>Data_thang!B2000</f>
        <v/>
      </c>
      <c r="C2000">
        <f>Data_thang!D2000</f>
        <v/>
      </c>
      <c r="D2000">
        <f>Data_thang!E2000</f>
        <v/>
      </c>
      <c r="E2000">
        <f>Data_thang!F2000</f>
        <v/>
      </c>
      <c r="F2000">
        <f>Data_thang!G2000</f>
        <v/>
      </c>
      <c r="G2000" s="29">
        <f>Data_thang!J2000-Data_thang!K2000</f>
        <v/>
      </c>
      <c r="H2000" s="29">
        <f>Data_thang!N2000</f>
        <v/>
      </c>
      <c r="I2000" s="29">
        <f>H2000-G2000</f>
        <v/>
      </c>
      <c r="J2000" s="30">
        <f>IF(H2000=0,IF(I2000=0,0,1),I2000/ABS(H2000))</f>
        <v/>
      </c>
      <c r="K2000" s="29">
        <f>H2000-(Data_thang!O2000-Data_thang!K2000)</f>
        <v/>
      </c>
      <c r="L2000">
        <f>IF(AND(ABS(I2000)&gt;Dashboard!$G$6,ABS(J2000)&gt;Dashboard!$H$6),"⚠ Vượt","")</f>
        <v/>
      </c>
      <c r="M2000">
        <f>IF(AND(A2000=Dashboard!$D$6,OR(Dashboard!$C$6="*",F2000=Dashboard!$C$6),L2000&lt;&gt;""),ABS(I2000)+ROW()/1000000000,0)</f>
        <v/>
      </c>
    </row>
    <row r="2001">
      <c r="A2001">
        <f>Data_thang!A2001</f>
        <v/>
      </c>
      <c r="B2001">
        <f>Data_thang!B2001</f>
        <v/>
      </c>
      <c r="C2001">
        <f>Data_thang!D2001</f>
        <v/>
      </c>
      <c r="D2001">
        <f>Data_thang!E2001</f>
        <v/>
      </c>
      <c r="E2001">
        <f>Data_thang!F2001</f>
        <v/>
      </c>
      <c r="F2001">
        <f>Data_thang!G2001</f>
        <v/>
      </c>
      <c r="G2001" s="29">
        <f>Data_thang!J2001-Data_thang!K2001</f>
        <v/>
      </c>
      <c r="H2001" s="29">
        <f>Data_thang!N2001</f>
        <v/>
      </c>
      <c r="I2001" s="29">
        <f>H2001-G2001</f>
        <v/>
      </c>
      <c r="J2001" s="30">
        <f>IF(H2001=0,IF(I2001=0,0,1),I2001/ABS(H2001))</f>
        <v/>
      </c>
      <c r="K2001" s="29">
        <f>H2001-(Data_thang!O2001-Data_thang!K2001)</f>
        <v/>
      </c>
      <c r="L2001">
        <f>IF(AND(ABS(I2001)&gt;Dashboard!$G$6,ABS(J2001)&gt;Dashboard!$H$6),"⚠ Vượt","")</f>
        <v/>
      </c>
      <c r="M2001">
        <f>IF(AND(A2001=Dashboard!$D$6,OR(Dashboard!$C$6="*",F2001=Dashboard!$C$6),L2001&lt;&gt;""),ABS(I2001)+ROW()/1000000000,0)</f>
        <v/>
      </c>
    </row>
    <row r="2002">
      <c r="A2002">
        <f>Data_thang!A2002</f>
        <v/>
      </c>
      <c r="B2002">
        <f>Data_thang!B2002</f>
        <v/>
      </c>
      <c r="C2002">
        <f>Data_thang!D2002</f>
        <v/>
      </c>
      <c r="D2002">
        <f>Data_thang!E2002</f>
        <v/>
      </c>
      <c r="E2002">
        <f>Data_thang!F2002</f>
        <v/>
      </c>
      <c r="F2002">
        <f>Data_thang!G2002</f>
        <v/>
      </c>
      <c r="G2002" s="29">
        <f>Data_thang!J2002-Data_thang!K2002</f>
        <v/>
      </c>
      <c r="H2002" s="29">
        <f>Data_thang!N2002</f>
        <v/>
      </c>
      <c r="I2002" s="29">
        <f>H2002-G2002</f>
        <v/>
      </c>
      <c r="J2002" s="30">
        <f>IF(H2002=0,IF(I2002=0,0,1),I2002/ABS(H2002))</f>
        <v/>
      </c>
      <c r="K2002" s="29">
        <f>H2002-(Data_thang!O2002-Data_thang!K2002)</f>
        <v/>
      </c>
      <c r="L2002">
        <f>IF(AND(ABS(I2002)&gt;Dashboard!$G$6,ABS(J2002)&gt;Dashboard!$H$6),"⚠ Vượt","")</f>
        <v/>
      </c>
      <c r="M2002">
        <f>IF(AND(A2002=Dashboard!$D$6,OR(Dashboard!$C$6="*",F2002=Dashboard!$C$6),L2002&lt;&gt;""),ABS(I2002)+ROW()/1000000000,0)</f>
        <v/>
      </c>
    </row>
    <row r="2003">
      <c r="A2003">
        <f>Data_thang!A2003</f>
        <v/>
      </c>
      <c r="B2003">
        <f>Data_thang!B2003</f>
        <v/>
      </c>
      <c r="C2003">
        <f>Data_thang!D2003</f>
        <v/>
      </c>
      <c r="D2003">
        <f>Data_thang!E2003</f>
        <v/>
      </c>
      <c r="E2003">
        <f>Data_thang!F2003</f>
        <v/>
      </c>
      <c r="F2003">
        <f>Data_thang!G2003</f>
        <v/>
      </c>
      <c r="G2003" s="29">
        <f>Data_thang!J2003-Data_thang!K2003</f>
        <v/>
      </c>
      <c r="H2003" s="29">
        <f>Data_thang!N2003</f>
        <v/>
      </c>
      <c r="I2003" s="29">
        <f>H2003-G2003</f>
        <v/>
      </c>
      <c r="J2003" s="30">
        <f>IF(H2003=0,IF(I2003=0,0,1),I2003/ABS(H2003))</f>
        <v/>
      </c>
      <c r="K2003" s="29">
        <f>H2003-(Data_thang!O2003-Data_thang!K2003)</f>
        <v/>
      </c>
      <c r="L2003">
        <f>IF(AND(ABS(I2003)&gt;Dashboard!$G$6,ABS(J2003)&gt;Dashboard!$H$6),"⚠ Vượt","")</f>
        <v/>
      </c>
      <c r="M2003">
        <f>IF(AND(A2003=Dashboard!$D$6,OR(Dashboard!$C$6="*",F2003=Dashboard!$C$6),L2003&lt;&gt;""),ABS(I2003)+ROW()/1000000000,0)</f>
        <v/>
      </c>
    </row>
    <row r="2004">
      <c r="A2004">
        <f>Data_thang!A2004</f>
        <v/>
      </c>
      <c r="B2004">
        <f>Data_thang!B2004</f>
        <v/>
      </c>
      <c r="C2004">
        <f>Data_thang!D2004</f>
        <v/>
      </c>
      <c r="D2004">
        <f>Data_thang!E2004</f>
        <v/>
      </c>
      <c r="E2004">
        <f>Data_thang!F2004</f>
        <v/>
      </c>
      <c r="F2004">
        <f>Data_thang!G2004</f>
        <v/>
      </c>
      <c r="G2004" s="29">
        <f>Data_thang!J2004-Data_thang!K2004</f>
        <v/>
      </c>
      <c r="H2004" s="29">
        <f>Data_thang!N2004</f>
        <v/>
      </c>
      <c r="I2004" s="29">
        <f>H2004-G2004</f>
        <v/>
      </c>
      <c r="J2004" s="30">
        <f>IF(H2004=0,IF(I2004=0,0,1),I2004/ABS(H2004))</f>
        <v/>
      </c>
      <c r="K2004" s="29">
        <f>H2004-(Data_thang!O2004-Data_thang!K2004)</f>
        <v/>
      </c>
      <c r="L2004">
        <f>IF(AND(ABS(I2004)&gt;Dashboard!$G$6,ABS(J2004)&gt;Dashboard!$H$6),"⚠ Vượt","")</f>
        <v/>
      </c>
      <c r="M2004">
        <f>IF(AND(A2004=Dashboard!$D$6,OR(Dashboard!$C$6="*",F2004=Dashboard!$C$6),L2004&lt;&gt;""),ABS(I2004)+ROW()/1000000000,0)</f>
        <v/>
      </c>
    </row>
    <row r="2005">
      <c r="A2005">
        <f>Data_thang!A2005</f>
        <v/>
      </c>
      <c r="B2005">
        <f>Data_thang!B2005</f>
        <v/>
      </c>
      <c r="C2005">
        <f>Data_thang!D2005</f>
        <v/>
      </c>
      <c r="D2005">
        <f>Data_thang!E2005</f>
        <v/>
      </c>
      <c r="E2005">
        <f>Data_thang!F2005</f>
        <v/>
      </c>
      <c r="F2005">
        <f>Data_thang!G2005</f>
        <v/>
      </c>
      <c r="G2005" s="29">
        <f>Data_thang!J2005-Data_thang!K2005</f>
        <v/>
      </c>
      <c r="H2005" s="29">
        <f>Data_thang!N2005</f>
        <v/>
      </c>
      <c r="I2005" s="29">
        <f>H2005-G2005</f>
        <v/>
      </c>
      <c r="J2005" s="30">
        <f>IF(H2005=0,IF(I2005=0,0,1),I2005/ABS(H2005))</f>
        <v/>
      </c>
      <c r="K2005" s="29">
        <f>H2005-(Data_thang!O2005-Data_thang!K2005)</f>
        <v/>
      </c>
      <c r="L2005">
        <f>IF(AND(ABS(I2005)&gt;Dashboard!$G$6,ABS(J2005)&gt;Dashboard!$H$6),"⚠ Vượt","")</f>
        <v/>
      </c>
      <c r="M2005">
        <f>IF(AND(A2005=Dashboard!$D$6,OR(Dashboard!$C$6="*",F2005=Dashboard!$C$6),L2005&lt;&gt;""),ABS(I2005)+ROW()/1000000000,0)</f>
        <v/>
      </c>
    </row>
    <row r="2006">
      <c r="A2006">
        <f>Data_thang!A2006</f>
        <v/>
      </c>
      <c r="B2006">
        <f>Data_thang!B2006</f>
        <v/>
      </c>
      <c r="C2006">
        <f>Data_thang!D2006</f>
        <v/>
      </c>
      <c r="D2006">
        <f>Data_thang!E2006</f>
        <v/>
      </c>
      <c r="E2006">
        <f>Data_thang!F2006</f>
        <v/>
      </c>
      <c r="F2006">
        <f>Data_thang!G2006</f>
        <v/>
      </c>
      <c r="G2006" s="29">
        <f>Data_thang!J2006-Data_thang!K2006</f>
        <v/>
      </c>
      <c r="H2006" s="29">
        <f>Data_thang!N2006</f>
        <v/>
      </c>
      <c r="I2006" s="29">
        <f>H2006-G2006</f>
        <v/>
      </c>
      <c r="J2006" s="30">
        <f>IF(H2006=0,IF(I2006=0,0,1),I2006/ABS(H2006))</f>
        <v/>
      </c>
      <c r="K2006" s="29">
        <f>H2006-(Data_thang!O2006-Data_thang!K2006)</f>
        <v/>
      </c>
      <c r="L2006">
        <f>IF(AND(ABS(I2006)&gt;Dashboard!$G$6,ABS(J2006)&gt;Dashboard!$H$6),"⚠ Vượt","")</f>
        <v/>
      </c>
      <c r="M2006">
        <f>IF(AND(A2006=Dashboard!$D$6,OR(Dashboard!$C$6="*",F2006=Dashboard!$C$6),L2006&lt;&gt;""),ABS(I2006)+ROW()/1000000000,0)</f>
        <v/>
      </c>
    </row>
    <row r="2007">
      <c r="A2007">
        <f>Data_thang!A2007</f>
        <v/>
      </c>
      <c r="B2007">
        <f>Data_thang!B2007</f>
        <v/>
      </c>
      <c r="C2007">
        <f>Data_thang!D2007</f>
        <v/>
      </c>
      <c r="D2007">
        <f>Data_thang!E2007</f>
        <v/>
      </c>
      <c r="E2007">
        <f>Data_thang!F2007</f>
        <v/>
      </c>
      <c r="F2007">
        <f>Data_thang!G2007</f>
        <v/>
      </c>
      <c r="G2007" s="29">
        <f>Data_thang!J2007-Data_thang!K2007</f>
        <v/>
      </c>
      <c r="H2007" s="29">
        <f>Data_thang!N2007</f>
        <v/>
      </c>
      <c r="I2007" s="29">
        <f>H2007-G2007</f>
        <v/>
      </c>
      <c r="J2007" s="30">
        <f>IF(H2007=0,IF(I2007=0,0,1),I2007/ABS(H2007))</f>
        <v/>
      </c>
      <c r="K2007" s="29">
        <f>H2007-(Data_thang!O2007-Data_thang!K2007)</f>
        <v/>
      </c>
      <c r="L2007">
        <f>IF(AND(ABS(I2007)&gt;Dashboard!$G$6,ABS(J2007)&gt;Dashboard!$H$6),"⚠ Vượt","")</f>
        <v/>
      </c>
      <c r="M2007">
        <f>IF(AND(A2007=Dashboard!$D$6,OR(Dashboard!$C$6="*",F2007=Dashboard!$C$6),L2007&lt;&gt;""),ABS(I2007)+ROW()/1000000000,0)</f>
        <v/>
      </c>
    </row>
    <row r="2008">
      <c r="A2008">
        <f>Data_thang!A2008</f>
        <v/>
      </c>
      <c r="B2008">
        <f>Data_thang!B2008</f>
        <v/>
      </c>
      <c r="C2008">
        <f>Data_thang!D2008</f>
        <v/>
      </c>
      <c r="D2008">
        <f>Data_thang!E2008</f>
        <v/>
      </c>
      <c r="E2008">
        <f>Data_thang!F2008</f>
        <v/>
      </c>
      <c r="F2008">
        <f>Data_thang!G2008</f>
        <v/>
      </c>
      <c r="G2008" s="29">
        <f>Data_thang!J2008-Data_thang!K2008</f>
        <v/>
      </c>
      <c r="H2008" s="29">
        <f>Data_thang!N2008</f>
        <v/>
      </c>
      <c r="I2008" s="29">
        <f>H2008-G2008</f>
        <v/>
      </c>
      <c r="J2008" s="30">
        <f>IF(H2008=0,IF(I2008=0,0,1),I2008/ABS(H2008))</f>
        <v/>
      </c>
      <c r="K2008" s="29">
        <f>H2008-(Data_thang!O2008-Data_thang!K2008)</f>
        <v/>
      </c>
      <c r="L2008">
        <f>IF(AND(ABS(I2008)&gt;Dashboard!$G$6,ABS(J2008)&gt;Dashboard!$H$6),"⚠ Vượt","")</f>
        <v/>
      </c>
      <c r="M2008">
        <f>IF(AND(A2008=Dashboard!$D$6,OR(Dashboard!$C$6="*",F2008=Dashboard!$C$6),L2008&lt;&gt;""),ABS(I2008)+ROW()/1000000000,0)</f>
        <v/>
      </c>
    </row>
    <row r="2009">
      <c r="A2009">
        <f>Data_thang!A2009</f>
        <v/>
      </c>
      <c r="B2009">
        <f>Data_thang!B2009</f>
        <v/>
      </c>
      <c r="C2009">
        <f>Data_thang!D2009</f>
        <v/>
      </c>
      <c r="D2009">
        <f>Data_thang!E2009</f>
        <v/>
      </c>
      <c r="E2009">
        <f>Data_thang!F2009</f>
        <v/>
      </c>
      <c r="F2009">
        <f>Data_thang!G2009</f>
        <v/>
      </c>
      <c r="G2009" s="29">
        <f>Data_thang!J2009-Data_thang!K2009</f>
        <v/>
      </c>
      <c r="H2009" s="29">
        <f>Data_thang!N2009</f>
        <v/>
      </c>
      <c r="I2009" s="29">
        <f>H2009-G2009</f>
        <v/>
      </c>
      <c r="J2009" s="30">
        <f>IF(H2009=0,IF(I2009=0,0,1),I2009/ABS(H2009))</f>
        <v/>
      </c>
      <c r="K2009" s="29">
        <f>H2009-(Data_thang!O2009-Data_thang!K2009)</f>
        <v/>
      </c>
      <c r="L2009">
        <f>IF(AND(ABS(I2009)&gt;Dashboard!$G$6,ABS(J2009)&gt;Dashboard!$H$6),"⚠ Vượt","")</f>
        <v/>
      </c>
      <c r="M2009">
        <f>IF(AND(A2009=Dashboard!$D$6,OR(Dashboard!$C$6="*",F2009=Dashboard!$C$6),L2009&lt;&gt;""),ABS(I2009)+ROW()/1000000000,0)</f>
        <v/>
      </c>
    </row>
    <row r="2010">
      <c r="A2010">
        <f>Data_thang!A2010</f>
        <v/>
      </c>
      <c r="B2010">
        <f>Data_thang!B2010</f>
        <v/>
      </c>
      <c r="C2010">
        <f>Data_thang!D2010</f>
        <v/>
      </c>
      <c r="D2010">
        <f>Data_thang!E2010</f>
        <v/>
      </c>
      <c r="E2010">
        <f>Data_thang!F2010</f>
        <v/>
      </c>
      <c r="F2010">
        <f>Data_thang!G2010</f>
        <v/>
      </c>
      <c r="G2010" s="29">
        <f>Data_thang!J2010-Data_thang!K2010</f>
        <v/>
      </c>
      <c r="H2010" s="29">
        <f>Data_thang!N2010</f>
        <v/>
      </c>
      <c r="I2010" s="29">
        <f>H2010-G2010</f>
        <v/>
      </c>
      <c r="J2010" s="30">
        <f>IF(H2010=0,IF(I2010=0,0,1),I2010/ABS(H2010))</f>
        <v/>
      </c>
      <c r="K2010" s="29">
        <f>H2010-(Data_thang!O2010-Data_thang!K2010)</f>
        <v/>
      </c>
      <c r="L2010">
        <f>IF(AND(ABS(I2010)&gt;Dashboard!$G$6,ABS(J2010)&gt;Dashboard!$H$6),"⚠ Vượt","")</f>
        <v/>
      </c>
      <c r="M2010">
        <f>IF(AND(A2010=Dashboard!$D$6,OR(Dashboard!$C$6="*",F2010=Dashboard!$C$6),L2010&lt;&gt;""),ABS(I2010)+ROW()/1000000000,0)</f>
        <v/>
      </c>
    </row>
    <row r="2011">
      <c r="A2011">
        <f>Data_thang!A2011</f>
        <v/>
      </c>
      <c r="B2011">
        <f>Data_thang!B2011</f>
        <v/>
      </c>
      <c r="C2011">
        <f>Data_thang!D2011</f>
        <v/>
      </c>
      <c r="D2011">
        <f>Data_thang!E2011</f>
        <v/>
      </c>
      <c r="E2011">
        <f>Data_thang!F2011</f>
        <v/>
      </c>
      <c r="F2011">
        <f>Data_thang!G2011</f>
        <v/>
      </c>
      <c r="G2011" s="29">
        <f>Data_thang!J2011-Data_thang!K2011</f>
        <v/>
      </c>
      <c r="H2011" s="29">
        <f>Data_thang!N2011</f>
        <v/>
      </c>
      <c r="I2011" s="29">
        <f>H2011-G2011</f>
        <v/>
      </c>
      <c r="J2011" s="30">
        <f>IF(H2011=0,IF(I2011=0,0,1),I2011/ABS(H2011))</f>
        <v/>
      </c>
      <c r="K2011" s="29">
        <f>H2011-(Data_thang!O2011-Data_thang!K2011)</f>
        <v/>
      </c>
      <c r="L2011">
        <f>IF(AND(ABS(I2011)&gt;Dashboard!$G$6,ABS(J2011)&gt;Dashboard!$H$6),"⚠ Vượt","")</f>
        <v/>
      </c>
      <c r="M2011">
        <f>IF(AND(A2011=Dashboard!$D$6,OR(Dashboard!$C$6="*",F2011=Dashboard!$C$6),L2011&lt;&gt;""),ABS(I2011)+ROW()/1000000000,0)</f>
        <v/>
      </c>
    </row>
    <row r="2012">
      <c r="A2012">
        <f>Data_thang!A2012</f>
        <v/>
      </c>
      <c r="B2012">
        <f>Data_thang!B2012</f>
        <v/>
      </c>
      <c r="C2012">
        <f>Data_thang!D2012</f>
        <v/>
      </c>
      <c r="D2012">
        <f>Data_thang!E2012</f>
        <v/>
      </c>
      <c r="E2012">
        <f>Data_thang!F2012</f>
        <v/>
      </c>
      <c r="F2012">
        <f>Data_thang!G2012</f>
        <v/>
      </c>
      <c r="G2012" s="29">
        <f>Data_thang!J2012-Data_thang!K2012</f>
        <v/>
      </c>
      <c r="H2012" s="29">
        <f>Data_thang!N2012</f>
        <v/>
      </c>
      <c r="I2012" s="29">
        <f>H2012-G2012</f>
        <v/>
      </c>
      <c r="J2012" s="30">
        <f>IF(H2012=0,IF(I2012=0,0,1),I2012/ABS(H2012))</f>
        <v/>
      </c>
      <c r="K2012" s="29">
        <f>H2012-(Data_thang!O2012-Data_thang!K2012)</f>
        <v/>
      </c>
      <c r="L2012">
        <f>IF(AND(ABS(I2012)&gt;Dashboard!$G$6,ABS(J2012)&gt;Dashboard!$H$6),"⚠ Vượt","")</f>
        <v/>
      </c>
      <c r="M2012">
        <f>IF(AND(A2012=Dashboard!$D$6,OR(Dashboard!$C$6="*",F2012=Dashboard!$C$6),L2012&lt;&gt;""),ABS(I2012)+ROW()/1000000000,0)</f>
        <v/>
      </c>
    </row>
    <row r="2013">
      <c r="A2013">
        <f>Data_thang!A2013</f>
        <v/>
      </c>
      <c r="B2013">
        <f>Data_thang!B2013</f>
        <v/>
      </c>
      <c r="C2013">
        <f>Data_thang!D2013</f>
        <v/>
      </c>
      <c r="D2013">
        <f>Data_thang!E2013</f>
        <v/>
      </c>
      <c r="E2013">
        <f>Data_thang!F2013</f>
        <v/>
      </c>
      <c r="F2013">
        <f>Data_thang!G2013</f>
        <v/>
      </c>
      <c r="G2013" s="29">
        <f>Data_thang!J2013-Data_thang!K2013</f>
        <v/>
      </c>
      <c r="H2013" s="29">
        <f>Data_thang!N2013</f>
        <v/>
      </c>
      <c r="I2013" s="29">
        <f>H2013-G2013</f>
        <v/>
      </c>
      <c r="J2013" s="30">
        <f>IF(H2013=0,IF(I2013=0,0,1),I2013/ABS(H2013))</f>
        <v/>
      </c>
      <c r="K2013" s="29">
        <f>H2013-(Data_thang!O2013-Data_thang!K2013)</f>
        <v/>
      </c>
      <c r="L2013">
        <f>IF(AND(ABS(I2013)&gt;Dashboard!$G$6,ABS(J2013)&gt;Dashboard!$H$6),"⚠ Vượt","")</f>
        <v/>
      </c>
      <c r="M2013">
        <f>IF(AND(A2013=Dashboard!$D$6,OR(Dashboard!$C$6="*",F2013=Dashboard!$C$6),L2013&lt;&gt;""),ABS(I2013)+ROW()/1000000000,0)</f>
        <v/>
      </c>
    </row>
    <row r="2014">
      <c r="A2014">
        <f>Data_thang!A2014</f>
        <v/>
      </c>
      <c r="B2014">
        <f>Data_thang!B2014</f>
        <v/>
      </c>
      <c r="C2014">
        <f>Data_thang!D2014</f>
        <v/>
      </c>
      <c r="D2014">
        <f>Data_thang!E2014</f>
        <v/>
      </c>
      <c r="E2014">
        <f>Data_thang!F2014</f>
        <v/>
      </c>
      <c r="F2014">
        <f>Data_thang!G2014</f>
        <v/>
      </c>
      <c r="G2014" s="29">
        <f>Data_thang!J2014-Data_thang!K2014</f>
        <v/>
      </c>
      <c r="H2014" s="29">
        <f>Data_thang!N2014</f>
        <v/>
      </c>
      <c r="I2014" s="29">
        <f>H2014-G2014</f>
        <v/>
      </c>
      <c r="J2014" s="30">
        <f>IF(H2014=0,IF(I2014=0,0,1),I2014/ABS(H2014))</f>
        <v/>
      </c>
      <c r="K2014" s="29">
        <f>H2014-(Data_thang!O2014-Data_thang!K2014)</f>
        <v/>
      </c>
      <c r="L2014">
        <f>IF(AND(ABS(I2014)&gt;Dashboard!$G$6,ABS(J2014)&gt;Dashboard!$H$6),"⚠ Vượt","")</f>
        <v/>
      </c>
      <c r="M2014">
        <f>IF(AND(A2014=Dashboard!$D$6,OR(Dashboard!$C$6="*",F2014=Dashboard!$C$6),L2014&lt;&gt;""),ABS(I2014)+ROW()/1000000000,0)</f>
        <v/>
      </c>
    </row>
    <row r="2015">
      <c r="A2015">
        <f>Data_thang!A2015</f>
        <v/>
      </c>
      <c r="B2015">
        <f>Data_thang!B2015</f>
        <v/>
      </c>
      <c r="C2015">
        <f>Data_thang!D2015</f>
        <v/>
      </c>
      <c r="D2015">
        <f>Data_thang!E2015</f>
        <v/>
      </c>
      <c r="E2015">
        <f>Data_thang!F2015</f>
        <v/>
      </c>
      <c r="F2015">
        <f>Data_thang!G2015</f>
        <v/>
      </c>
      <c r="G2015" s="29">
        <f>Data_thang!J2015-Data_thang!K2015</f>
        <v/>
      </c>
      <c r="H2015" s="29">
        <f>Data_thang!N2015</f>
        <v/>
      </c>
      <c r="I2015" s="29">
        <f>H2015-G2015</f>
        <v/>
      </c>
      <c r="J2015" s="30">
        <f>IF(H2015=0,IF(I2015=0,0,1),I2015/ABS(H2015))</f>
        <v/>
      </c>
      <c r="K2015" s="29">
        <f>H2015-(Data_thang!O2015-Data_thang!K2015)</f>
        <v/>
      </c>
      <c r="L2015">
        <f>IF(AND(ABS(I2015)&gt;Dashboard!$G$6,ABS(J2015)&gt;Dashboard!$H$6),"⚠ Vượt","")</f>
        <v/>
      </c>
      <c r="M2015">
        <f>IF(AND(A2015=Dashboard!$D$6,OR(Dashboard!$C$6="*",F2015=Dashboard!$C$6),L2015&lt;&gt;""),ABS(I2015)+ROW()/1000000000,0)</f>
        <v/>
      </c>
    </row>
    <row r="2016">
      <c r="A2016">
        <f>Data_thang!A2016</f>
        <v/>
      </c>
      <c r="B2016">
        <f>Data_thang!B2016</f>
        <v/>
      </c>
      <c r="C2016">
        <f>Data_thang!D2016</f>
        <v/>
      </c>
      <c r="D2016">
        <f>Data_thang!E2016</f>
        <v/>
      </c>
      <c r="E2016">
        <f>Data_thang!F2016</f>
        <v/>
      </c>
      <c r="F2016">
        <f>Data_thang!G2016</f>
        <v/>
      </c>
      <c r="G2016" s="29">
        <f>Data_thang!J2016-Data_thang!K2016</f>
        <v/>
      </c>
      <c r="H2016" s="29">
        <f>Data_thang!N2016</f>
        <v/>
      </c>
      <c r="I2016" s="29">
        <f>H2016-G2016</f>
        <v/>
      </c>
      <c r="J2016" s="30">
        <f>IF(H2016=0,IF(I2016=0,0,1),I2016/ABS(H2016))</f>
        <v/>
      </c>
      <c r="K2016" s="29">
        <f>H2016-(Data_thang!O2016-Data_thang!K2016)</f>
        <v/>
      </c>
      <c r="L2016">
        <f>IF(AND(ABS(I2016)&gt;Dashboard!$G$6,ABS(J2016)&gt;Dashboard!$H$6),"⚠ Vượt","")</f>
        <v/>
      </c>
      <c r="M2016">
        <f>IF(AND(A2016=Dashboard!$D$6,OR(Dashboard!$C$6="*",F2016=Dashboard!$C$6),L2016&lt;&gt;""),ABS(I2016)+ROW()/1000000000,0)</f>
        <v/>
      </c>
    </row>
    <row r="2017">
      <c r="A2017">
        <f>Data_thang!A2017</f>
        <v/>
      </c>
      <c r="B2017">
        <f>Data_thang!B2017</f>
        <v/>
      </c>
      <c r="C2017">
        <f>Data_thang!D2017</f>
        <v/>
      </c>
      <c r="D2017">
        <f>Data_thang!E2017</f>
        <v/>
      </c>
      <c r="E2017">
        <f>Data_thang!F2017</f>
        <v/>
      </c>
      <c r="F2017">
        <f>Data_thang!G2017</f>
        <v/>
      </c>
      <c r="G2017" s="29">
        <f>Data_thang!J2017-Data_thang!K2017</f>
        <v/>
      </c>
      <c r="H2017" s="29">
        <f>Data_thang!N2017</f>
        <v/>
      </c>
      <c r="I2017" s="29">
        <f>H2017-G2017</f>
        <v/>
      </c>
      <c r="J2017" s="30">
        <f>IF(H2017=0,IF(I2017=0,0,1),I2017/ABS(H2017))</f>
        <v/>
      </c>
      <c r="K2017" s="29">
        <f>H2017-(Data_thang!O2017-Data_thang!K2017)</f>
        <v/>
      </c>
      <c r="L2017">
        <f>IF(AND(ABS(I2017)&gt;Dashboard!$G$6,ABS(J2017)&gt;Dashboard!$H$6),"⚠ Vượt","")</f>
        <v/>
      </c>
      <c r="M2017">
        <f>IF(AND(A2017=Dashboard!$D$6,OR(Dashboard!$C$6="*",F2017=Dashboard!$C$6),L2017&lt;&gt;""),ABS(I2017)+ROW()/1000000000,0)</f>
        <v/>
      </c>
    </row>
    <row r="2018">
      <c r="A2018">
        <f>Data_thang!A2018</f>
        <v/>
      </c>
      <c r="B2018">
        <f>Data_thang!B2018</f>
        <v/>
      </c>
      <c r="C2018">
        <f>Data_thang!D2018</f>
        <v/>
      </c>
      <c r="D2018">
        <f>Data_thang!E2018</f>
        <v/>
      </c>
      <c r="E2018">
        <f>Data_thang!F2018</f>
        <v/>
      </c>
      <c r="F2018">
        <f>Data_thang!G2018</f>
        <v/>
      </c>
      <c r="G2018" s="29">
        <f>Data_thang!J2018-Data_thang!K2018</f>
        <v/>
      </c>
      <c r="H2018" s="29">
        <f>Data_thang!N2018</f>
        <v/>
      </c>
      <c r="I2018" s="29">
        <f>H2018-G2018</f>
        <v/>
      </c>
      <c r="J2018" s="30">
        <f>IF(H2018=0,IF(I2018=0,0,1),I2018/ABS(H2018))</f>
        <v/>
      </c>
      <c r="K2018" s="29">
        <f>H2018-(Data_thang!O2018-Data_thang!K2018)</f>
        <v/>
      </c>
      <c r="L2018">
        <f>IF(AND(ABS(I2018)&gt;Dashboard!$G$6,ABS(J2018)&gt;Dashboard!$H$6),"⚠ Vượt","")</f>
        <v/>
      </c>
      <c r="M2018">
        <f>IF(AND(A2018=Dashboard!$D$6,OR(Dashboard!$C$6="*",F2018=Dashboard!$C$6),L2018&lt;&gt;""),ABS(I2018)+ROW()/1000000000,0)</f>
        <v/>
      </c>
    </row>
    <row r="2019">
      <c r="A2019">
        <f>Data_thang!A2019</f>
        <v/>
      </c>
      <c r="B2019">
        <f>Data_thang!B2019</f>
        <v/>
      </c>
      <c r="C2019">
        <f>Data_thang!D2019</f>
        <v/>
      </c>
      <c r="D2019">
        <f>Data_thang!E2019</f>
        <v/>
      </c>
      <c r="E2019">
        <f>Data_thang!F2019</f>
        <v/>
      </c>
      <c r="F2019">
        <f>Data_thang!G2019</f>
        <v/>
      </c>
      <c r="G2019" s="29">
        <f>Data_thang!J2019-Data_thang!K2019</f>
        <v/>
      </c>
      <c r="H2019" s="29">
        <f>Data_thang!N2019</f>
        <v/>
      </c>
      <c r="I2019" s="29">
        <f>H2019-G2019</f>
        <v/>
      </c>
      <c r="J2019" s="30">
        <f>IF(H2019=0,IF(I2019=0,0,1),I2019/ABS(H2019))</f>
        <v/>
      </c>
      <c r="K2019" s="29">
        <f>H2019-(Data_thang!O2019-Data_thang!K2019)</f>
        <v/>
      </c>
      <c r="L2019">
        <f>IF(AND(ABS(I2019)&gt;Dashboard!$G$6,ABS(J2019)&gt;Dashboard!$H$6),"⚠ Vượt","")</f>
        <v/>
      </c>
      <c r="M2019">
        <f>IF(AND(A2019=Dashboard!$D$6,OR(Dashboard!$C$6="*",F2019=Dashboard!$C$6),L2019&lt;&gt;""),ABS(I2019)+ROW()/1000000000,0)</f>
        <v/>
      </c>
    </row>
    <row r="2020">
      <c r="A2020">
        <f>Data_thang!A2020</f>
        <v/>
      </c>
      <c r="B2020">
        <f>Data_thang!B2020</f>
        <v/>
      </c>
      <c r="C2020">
        <f>Data_thang!D2020</f>
        <v/>
      </c>
      <c r="D2020">
        <f>Data_thang!E2020</f>
        <v/>
      </c>
      <c r="E2020">
        <f>Data_thang!F2020</f>
        <v/>
      </c>
      <c r="F2020">
        <f>Data_thang!G2020</f>
        <v/>
      </c>
      <c r="G2020" s="29">
        <f>Data_thang!J2020-Data_thang!K2020</f>
        <v/>
      </c>
      <c r="H2020" s="29">
        <f>Data_thang!N2020</f>
        <v/>
      </c>
      <c r="I2020" s="29">
        <f>H2020-G2020</f>
        <v/>
      </c>
      <c r="J2020" s="30">
        <f>IF(H2020=0,IF(I2020=0,0,1),I2020/ABS(H2020))</f>
        <v/>
      </c>
      <c r="K2020" s="29">
        <f>H2020-(Data_thang!O2020-Data_thang!K2020)</f>
        <v/>
      </c>
      <c r="L2020">
        <f>IF(AND(ABS(I2020)&gt;Dashboard!$G$6,ABS(J2020)&gt;Dashboard!$H$6),"⚠ Vượt","")</f>
        <v/>
      </c>
      <c r="M2020">
        <f>IF(AND(A2020=Dashboard!$D$6,OR(Dashboard!$C$6="*",F2020=Dashboard!$C$6),L2020&lt;&gt;""),ABS(I2020)+ROW()/1000000000,0)</f>
        <v/>
      </c>
    </row>
    <row r="2021">
      <c r="A2021">
        <f>Data_thang!A2021</f>
        <v/>
      </c>
      <c r="B2021">
        <f>Data_thang!B2021</f>
        <v/>
      </c>
      <c r="C2021">
        <f>Data_thang!D2021</f>
        <v/>
      </c>
      <c r="D2021">
        <f>Data_thang!E2021</f>
        <v/>
      </c>
      <c r="E2021">
        <f>Data_thang!F2021</f>
        <v/>
      </c>
      <c r="F2021">
        <f>Data_thang!G2021</f>
        <v/>
      </c>
      <c r="G2021" s="29">
        <f>Data_thang!J2021-Data_thang!K2021</f>
        <v/>
      </c>
      <c r="H2021" s="29">
        <f>Data_thang!N2021</f>
        <v/>
      </c>
      <c r="I2021" s="29">
        <f>H2021-G2021</f>
        <v/>
      </c>
      <c r="J2021" s="30">
        <f>IF(H2021=0,IF(I2021=0,0,1),I2021/ABS(H2021))</f>
        <v/>
      </c>
      <c r="K2021" s="29">
        <f>H2021-(Data_thang!O2021-Data_thang!K2021)</f>
        <v/>
      </c>
      <c r="L2021">
        <f>IF(AND(ABS(I2021)&gt;Dashboard!$G$6,ABS(J2021)&gt;Dashboard!$H$6),"⚠ Vượt","")</f>
        <v/>
      </c>
      <c r="M2021">
        <f>IF(AND(A2021=Dashboard!$D$6,OR(Dashboard!$C$6="*",F2021=Dashboard!$C$6),L2021&lt;&gt;""),ABS(I2021)+ROW()/1000000000,0)</f>
        <v/>
      </c>
    </row>
    <row r="2022">
      <c r="A2022">
        <f>Data_thang!A2022</f>
        <v/>
      </c>
      <c r="B2022">
        <f>Data_thang!B2022</f>
        <v/>
      </c>
      <c r="C2022">
        <f>Data_thang!D2022</f>
        <v/>
      </c>
      <c r="D2022">
        <f>Data_thang!E2022</f>
        <v/>
      </c>
      <c r="E2022">
        <f>Data_thang!F2022</f>
        <v/>
      </c>
      <c r="F2022">
        <f>Data_thang!G2022</f>
        <v/>
      </c>
      <c r="G2022" s="29">
        <f>Data_thang!J2022-Data_thang!K2022</f>
        <v/>
      </c>
      <c r="H2022" s="29">
        <f>Data_thang!N2022</f>
        <v/>
      </c>
      <c r="I2022" s="29">
        <f>H2022-G2022</f>
        <v/>
      </c>
      <c r="J2022" s="30">
        <f>IF(H2022=0,IF(I2022=0,0,1),I2022/ABS(H2022))</f>
        <v/>
      </c>
      <c r="K2022" s="29">
        <f>H2022-(Data_thang!O2022-Data_thang!K2022)</f>
        <v/>
      </c>
      <c r="L2022">
        <f>IF(AND(ABS(I2022)&gt;Dashboard!$G$6,ABS(J2022)&gt;Dashboard!$H$6),"⚠ Vượt","")</f>
        <v/>
      </c>
      <c r="M2022">
        <f>IF(AND(A2022=Dashboard!$D$6,OR(Dashboard!$C$6="*",F2022=Dashboard!$C$6),L2022&lt;&gt;""),ABS(I2022)+ROW()/1000000000,0)</f>
        <v/>
      </c>
    </row>
    <row r="2023">
      <c r="A2023">
        <f>Data_thang!A2023</f>
        <v/>
      </c>
      <c r="B2023">
        <f>Data_thang!B2023</f>
        <v/>
      </c>
      <c r="C2023">
        <f>Data_thang!D2023</f>
        <v/>
      </c>
      <c r="D2023">
        <f>Data_thang!E2023</f>
        <v/>
      </c>
      <c r="E2023">
        <f>Data_thang!F2023</f>
        <v/>
      </c>
      <c r="F2023">
        <f>Data_thang!G2023</f>
        <v/>
      </c>
      <c r="G2023" s="29">
        <f>Data_thang!J2023-Data_thang!K2023</f>
        <v/>
      </c>
      <c r="H2023" s="29">
        <f>Data_thang!N2023</f>
        <v/>
      </c>
      <c r="I2023" s="29">
        <f>H2023-G2023</f>
        <v/>
      </c>
      <c r="J2023" s="30">
        <f>IF(H2023=0,IF(I2023=0,0,1),I2023/ABS(H2023))</f>
        <v/>
      </c>
      <c r="K2023" s="29">
        <f>H2023-(Data_thang!O2023-Data_thang!K2023)</f>
        <v/>
      </c>
      <c r="L2023">
        <f>IF(AND(ABS(I2023)&gt;Dashboard!$G$6,ABS(J2023)&gt;Dashboard!$H$6),"⚠ Vượt","")</f>
        <v/>
      </c>
      <c r="M2023">
        <f>IF(AND(A2023=Dashboard!$D$6,OR(Dashboard!$C$6="*",F2023=Dashboard!$C$6),L2023&lt;&gt;""),ABS(I2023)+ROW()/1000000000,0)</f>
        <v/>
      </c>
    </row>
    <row r="2024">
      <c r="A2024">
        <f>Data_thang!A2024</f>
        <v/>
      </c>
      <c r="B2024">
        <f>Data_thang!B2024</f>
        <v/>
      </c>
      <c r="C2024">
        <f>Data_thang!D2024</f>
        <v/>
      </c>
      <c r="D2024">
        <f>Data_thang!E2024</f>
        <v/>
      </c>
      <c r="E2024">
        <f>Data_thang!F2024</f>
        <v/>
      </c>
      <c r="F2024">
        <f>Data_thang!G2024</f>
        <v/>
      </c>
      <c r="G2024" s="29">
        <f>Data_thang!J2024-Data_thang!K2024</f>
        <v/>
      </c>
      <c r="H2024" s="29">
        <f>Data_thang!N2024</f>
        <v/>
      </c>
      <c r="I2024" s="29">
        <f>H2024-G2024</f>
        <v/>
      </c>
      <c r="J2024" s="30">
        <f>IF(H2024=0,IF(I2024=0,0,1),I2024/ABS(H2024))</f>
        <v/>
      </c>
      <c r="K2024" s="29">
        <f>H2024-(Data_thang!O2024-Data_thang!K2024)</f>
        <v/>
      </c>
      <c r="L2024">
        <f>IF(AND(ABS(I2024)&gt;Dashboard!$G$6,ABS(J2024)&gt;Dashboard!$H$6),"⚠ Vượt","")</f>
        <v/>
      </c>
      <c r="M2024">
        <f>IF(AND(A2024=Dashboard!$D$6,OR(Dashboard!$C$6="*",F2024=Dashboard!$C$6),L2024&lt;&gt;""),ABS(I2024)+ROW()/1000000000,0)</f>
        <v/>
      </c>
    </row>
    <row r="2025">
      <c r="A2025">
        <f>Data_thang!A2025</f>
        <v/>
      </c>
      <c r="B2025">
        <f>Data_thang!B2025</f>
        <v/>
      </c>
      <c r="C2025">
        <f>Data_thang!D2025</f>
        <v/>
      </c>
      <c r="D2025">
        <f>Data_thang!E2025</f>
        <v/>
      </c>
      <c r="E2025">
        <f>Data_thang!F2025</f>
        <v/>
      </c>
      <c r="F2025">
        <f>Data_thang!G2025</f>
        <v/>
      </c>
      <c r="G2025" s="29">
        <f>Data_thang!J2025-Data_thang!K2025</f>
        <v/>
      </c>
      <c r="H2025" s="29">
        <f>Data_thang!N2025</f>
        <v/>
      </c>
      <c r="I2025" s="29">
        <f>H2025-G2025</f>
        <v/>
      </c>
      <c r="J2025" s="30">
        <f>IF(H2025=0,IF(I2025=0,0,1),I2025/ABS(H2025))</f>
        <v/>
      </c>
      <c r="K2025" s="29">
        <f>H2025-(Data_thang!O2025-Data_thang!K2025)</f>
        <v/>
      </c>
      <c r="L2025">
        <f>IF(AND(ABS(I2025)&gt;Dashboard!$G$6,ABS(J2025)&gt;Dashboard!$H$6),"⚠ Vượt","")</f>
        <v/>
      </c>
      <c r="M2025">
        <f>IF(AND(A2025=Dashboard!$D$6,OR(Dashboard!$C$6="*",F2025=Dashboard!$C$6),L2025&lt;&gt;""),ABS(I2025)+ROW()/1000000000,0)</f>
        <v/>
      </c>
    </row>
    <row r="2026">
      <c r="A2026">
        <f>Data_thang!A2026</f>
        <v/>
      </c>
      <c r="B2026">
        <f>Data_thang!B2026</f>
        <v/>
      </c>
      <c r="C2026">
        <f>Data_thang!D2026</f>
        <v/>
      </c>
      <c r="D2026">
        <f>Data_thang!E2026</f>
        <v/>
      </c>
      <c r="E2026">
        <f>Data_thang!F2026</f>
        <v/>
      </c>
      <c r="F2026">
        <f>Data_thang!G2026</f>
        <v/>
      </c>
      <c r="G2026" s="29">
        <f>Data_thang!J2026-Data_thang!K2026</f>
        <v/>
      </c>
      <c r="H2026" s="29">
        <f>Data_thang!N2026</f>
        <v/>
      </c>
      <c r="I2026" s="29">
        <f>H2026-G2026</f>
        <v/>
      </c>
      <c r="J2026" s="30">
        <f>IF(H2026=0,IF(I2026=0,0,1),I2026/ABS(H2026))</f>
        <v/>
      </c>
      <c r="K2026" s="29">
        <f>H2026-(Data_thang!O2026-Data_thang!K2026)</f>
        <v/>
      </c>
      <c r="L2026">
        <f>IF(AND(ABS(I2026)&gt;Dashboard!$G$6,ABS(J2026)&gt;Dashboard!$H$6),"⚠ Vượt","")</f>
        <v/>
      </c>
      <c r="M2026">
        <f>IF(AND(A2026=Dashboard!$D$6,OR(Dashboard!$C$6="*",F2026=Dashboard!$C$6),L2026&lt;&gt;""),ABS(I2026)+ROW()/1000000000,0)</f>
        <v/>
      </c>
    </row>
    <row r="2027">
      <c r="A2027">
        <f>Data_thang!A2027</f>
        <v/>
      </c>
      <c r="B2027">
        <f>Data_thang!B2027</f>
        <v/>
      </c>
      <c r="C2027">
        <f>Data_thang!D2027</f>
        <v/>
      </c>
      <c r="D2027">
        <f>Data_thang!E2027</f>
        <v/>
      </c>
      <c r="E2027">
        <f>Data_thang!F2027</f>
        <v/>
      </c>
      <c r="F2027">
        <f>Data_thang!G2027</f>
        <v/>
      </c>
      <c r="G2027" s="29">
        <f>Data_thang!J2027-Data_thang!K2027</f>
        <v/>
      </c>
      <c r="H2027" s="29">
        <f>Data_thang!N2027</f>
        <v/>
      </c>
      <c r="I2027" s="29">
        <f>H2027-G2027</f>
        <v/>
      </c>
      <c r="J2027" s="30">
        <f>IF(H2027=0,IF(I2027=0,0,1),I2027/ABS(H2027))</f>
        <v/>
      </c>
      <c r="K2027" s="29">
        <f>H2027-(Data_thang!O2027-Data_thang!K2027)</f>
        <v/>
      </c>
      <c r="L2027">
        <f>IF(AND(ABS(I2027)&gt;Dashboard!$G$6,ABS(J2027)&gt;Dashboard!$H$6),"⚠ Vượt","")</f>
        <v/>
      </c>
      <c r="M2027">
        <f>IF(AND(A2027=Dashboard!$D$6,OR(Dashboard!$C$6="*",F2027=Dashboard!$C$6),L2027&lt;&gt;""),ABS(I2027)+ROW()/1000000000,0)</f>
        <v/>
      </c>
    </row>
    <row r="2028">
      <c r="A2028">
        <f>Data_thang!A2028</f>
        <v/>
      </c>
      <c r="B2028">
        <f>Data_thang!B2028</f>
        <v/>
      </c>
      <c r="C2028">
        <f>Data_thang!D2028</f>
        <v/>
      </c>
      <c r="D2028">
        <f>Data_thang!E2028</f>
        <v/>
      </c>
      <c r="E2028">
        <f>Data_thang!F2028</f>
        <v/>
      </c>
      <c r="F2028">
        <f>Data_thang!G2028</f>
        <v/>
      </c>
      <c r="G2028" s="29">
        <f>Data_thang!J2028-Data_thang!K2028</f>
        <v/>
      </c>
      <c r="H2028" s="29">
        <f>Data_thang!N2028</f>
        <v/>
      </c>
      <c r="I2028" s="29">
        <f>H2028-G2028</f>
        <v/>
      </c>
      <c r="J2028" s="30">
        <f>IF(H2028=0,IF(I2028=0,0,1),I2028/ABS(H2028))</f>
        <v/>
      </c>
      <c r="K2028" s="29">
        <f>H2028-(Data_thang!O2028-Data_thang!K2028)</f>
        <v/>
      </c>
      <c r="L2028">
        <f>IF(AND(ABS(I2028)&gt;Dashboard!$G$6,ABS(J2028)&gt;Dashboard!$H$6),"⚠ Vượt","")</f>
        <v/>
      </c>
      <c r="M2028">
        <f>IF(AND(A2028=Dashboard!$D$6,OR(Dashboard!$C$6="*",F2028=Dashboard!$C$6),L2028&lt;&gt;""),ABS(I2028)+ROW()/1000000000,0)</f>
        <v/>
      </c>
    </row>
    <row r="2029">
      <c r="A2029">
        <f>Data_thang!A2029</f>
        <v/>
      </c>
      <c r="B2029">
        <f>Data_thang!B2029</f>
        <v/>
      </c>
      <c r="C2029">
        <f>Data_thang!D2029</f>
        <v/>
      </c>
      <c r="D2029">
        <f>Data_thang!E2029</f>
        <v/>
      </c>
      <c r="E2029">
        <f>Data_thang!F2029</f>
        <v/>
      </c>
      <c r="F2029">
        <f>Data_thang!G2029</f>
        <v/>
      </c>
      <c r="G2029" s="29">
        <f>Data_thang!J2029-Data_thang!K2029</f>
        <v/>
      </c>
      <c r="H2029" s="29">
        <f>Data_thang!N2029</f>
        <v/>
      </c>
      <c r="I2029" s="29">
        <f>H2029-G2029</f>
        <v/>
      </c>
      <c r="J2029" s="30">
        <f>IF(H2029=0,IF(I2029=0,0,1),I2029/ABS(H2029))</f>
        <v/>
      </c>
      <c r="K2029" s="29">
        <f>H2029-(Data_thang!O2029-Data_thang!K2029)</f>
        <v/>
      </c>
      <c r="L2029">
        <f>IF(AND(ABS(I2029)&gt;Dashboard!$G$6,ABS(J2029)&gt;Dashboard!$H$6),"⚠ Vượt","")</f>
        <v/>
      </c>
      <c r="M2029">
        <f>IF(AND(A2029=Dashboard!$D$6,OR(Dashboard!$C$6="*",F2029=Dashboard!$C$6),L2029&lt;&gt;""),ABS(I2029)+ROW()/1000000000,0)</f>
        <v/>
      </c>
    </row>
    <row r="2030">
      <c r="A2030">
        <f>Data_thang!A2030</f>
        <v/>
      </c>
      <c r="B2030">
        <f>Data_thang!B2030</f>
        <v/>
      </c>
      <c r="C2030">
        <f>Data_thang!D2030</f>
        <v/>
      </c>
      <c r="D2030">
        <f>Data_thang!E2030</f>
        <v/>
      </c>
      <c r="E2030">
        <f>Data_thang!F2030</f>
        <v/>
      </c>
      <c r="F2030">
        <f>Data_thang!G2030</f>
        <v/>
      </c>
      <c r="G2030" s="29">
        <f>Data_thang!J2030-Data_thang!K2030</f>
        <v/>
      </c>
      <c r="H2030" s="29">
        <f>Data_thang!N2030</f>
        <v/>
      </c>
      <c r="I2030" s="29">
        <f>H2030-G2030</f>
        <v/>
      </c>
      <c r="J2030" s="30">
        <f>IF(H2030=0,IF(I2030=0,0,1),I2030/ABS(H2030))</f>
        <v/>
      </c>
      <c r="K2030" s="29">
        <f>H2030-(Data_thang!O2030-Data_thang!K2030)</f>
        <v/>
      </c>
      <c r="L2030">
        <f>IF(AND(ABS(I2030)&gt;Dashboard!$G$6,ABS(J2030)&gt;Dashboard!$H$6),"⚠ Vượt","")</f>
        <v/>
      </c>
      <c r="M2030">
        <f>IF(AND(A2030=Dashboard!$D$6,OR(Dashboard!$C$6="*",F2030=Dashboard!$C$6),L2030&lt;&gt;""),ABS(I2030)+ROW()/1000000000,0)</f>
        <v/>
      </c>
    </row>
    <row r="2031">
      <c r="A2031">
        <f>Data_thang!A2031</f>
        <v/>
      </c>
      <c r="B2031">
        <f>Data_thang!B2031</f>
        <v/>
      </c>
      <c r="C2031">
        <f>Data_thang!D2031</f>
        <v/>
      </c>
      <c r="D2031">
        <f>Data_thang!E2031</f>
        <v/>
      </c>
      <c r="E2031">
        <f>Data_thang!F2031</f>
        <v/>
      </c>
      <c r="F2031">
        <f>Data_thang!G2031</f>
        <v/>
      </c>
      <c r="G2031" s="29">
        <f>Data_thang!J2031-Data_thang!K2031</f>
        <v/>
      </c>
      <c r="H2031" s="29">
        <f>Data_thang!N2031</f>
        <v/>
      </c>
      <c r="I2031" s="29">
        <f>H2031-G2031</f>
        <v/>
      </c>
      <c r="J2031" s="30">
        <f>IF(H2031=0,IF(I2031=0,0,1),I2031/ABS(H2031))</f>
        <v/>
      </c>
      <c r="K2031" s="29">
        <f>H2031-(Data_thang!O2031-Data_thang!K2031)</f>
        <v/>
      </c>
      <c r="L2031">
        <f>IF(AND(ABS(I2031)&gt;Dashboard!$G$6,ABS(J2031)&gt;Dashboard!$H$6),"⚠ Vượt","")</f>
        <v/>
      </c>
      <c r="M2031">
        <f>IF(AND(A2031=Dashboard!$D$6,OR(Dashboard!$C$6="*",F2031=Dashboard!$C$6),L2031&lt;&gt;""),ABS(I2031)+ROW()/1000000000,0)</f>
        <v/>
      </c>
    </row>
    <row r="2032">
      <c r="A2032">
        <f>Data_thang!A2032</f>
        <v/>
      </c>
      <c r="B2032">
        <f>Data_thang!B2032</f>
        <v/>
      </c>
      <c r="C2032">
        <f>Data_thang!D2032</f>
        <v/>
      </c>
      <c r="D2032">
        <f>Data_thang!E2032</f>
        <v/>
      </c>
      <c r="E2032">
        <f>Data_thang!F2032</f>
        <v/>
      </c>
      <c r="F2032">
        <f>Data_thang!G2032</f>
        <v/>
      </c>
      <c r="G2032" s="29">
        <f>Data_thang!J2032-Data_thang!K2032</f>
        <v/>
      </c>
      <c r="H2032" s="29">
        <f>Data_thang!N2032</f>
        <v/>
      </c>
      <c r="I2032" s="29">
        <f>H2032-G2032</f>
        <v/>
      </c>
      <c r="J2032" s="30">
        <f>IF(H2032=0,IF(I2032=0,0,1),I2032/ABS(H2032))</f>
        <v/>
      </c>
      <c r="K2032" s="29">
        <f>H2032-(Data_thang!O2032-Data_thang!K2032)</f>
        <v/>
      </c>
      <c r="L2032">
        <f>IF(AND(ABS(I2032)&gt;Dashboard!$G$6,ABS(J2032)&gt;Dashboard!$H$6),"⚠ Vượt","")</f>
        <v/>
      </c>
      <c r="M2032">
        <f>IF(AND(A2032=Dashboard!$D$6,OR(Dashboard!$C$6="*",F2032=Dashboard!$C$6),L2032&lt;&gt;""),ABS(I2032)+ROW()/1000000000,0)</f>
        <v/>
      </c>
    </row>
    <row r="2033">
      <c r="A2033">
        <f>Data_thang!A2033</f>
        <v/>
      </c>
      <c r="B2033">
        <f>Data_thang!B2033</f>
        <v/>
      </c>
      <c r="C2033">
        <f>Data_thang!D2033</f>
        <v/>
      </c>
      <c r="D2033">
        <f>Data_thang!E2033</f>
        <v/>
      </c>
      <c r="E2033">
        <f>Data_thang!F2033</f>
        <v/>
      </c>
      <c r="F2033">
        <f>Data_thang!G2033</f>
        <v/>
      </c>
      <c r="G2033" s="29">
        <f>Data_thang!J2033-Data_thang!K2033</f>
        <v/>
      </c>
      <c r="H2033" s="29">
        <f>Data_thang!N2033</f>
        <v/>
      </c>
      <c r="I2033" s="29">
        <f>H2033-G2033</f>
        <v/>
      </c>
      <c r="J2033" s="30">
        <f>IF(H2033=0,IF(I2033=0,0,1),I2033/ABS(H2033))</f>
        <v/>
      </c>
      <c r="K2033" s="29">
        <f>H2033-(Data_thang!O2033-Data_thang!K2033)</f>
        <v/>
      </c>
      <c r="L2033">
        <f>IF(AND(ABS(I2033)&gt;Dashboard!$G$6,ABS(J2033)&gt;Dashboard!$H$6),"⚠ Vượt","")</f>
        <v/>
      </c>
      <c r="M2033">
        <f>IF(AND(A2033=Dashboard!$D$6,OR(Dashboard!$C$6="*",F2033=Dashboard!$C$6),L2033&lt;&gt;""),ABS(I2033)+ROW()/1000000000,0)</f>
        <v/>
      </c>
    </row>
    <row r="2034">
      <c r="A2034">
        <f>Data_thang!A2034</f>
        <v/>
      </c>
      <c r="B2034">
        <f>Data_thang!B2034</f>
        <v/>
      </c>
      <c r="C2034">
        <f>Data_thang!D2034</f>
        <v/>
      </c>
      <c r="D2034">
        <f>Data_thang!E2034</f>
        <v/>
      </c>
      <c r="E2034">
        <f>Data_thang!F2034</f>
        <v/>
      </c>
      <c r="F2034">
        <f>Data_thang!G2034</f>
        <v/>
      </c>
      <c r="G2034" s="29">
        <f>Data_thang!J2034-Data_thang!K2034</f>
        <v/>
      </c>
      <c r="H2034" s="29">
        <f>Data_thang!N2034</f>
        <v/>
      </c>
      <c r="I2034" s="29">
        <f>H2034-G2034</f>
        <v/>
      </c>
      <c r="J2034" s="30">
        <f>IF(H2034=0,IF(I2034=0,0,1),I2034/ABS(H2034))</f>
        <v/>
      </c>
      <c r="K2034" s="29">
        <f>H2034-(Data_thang!O2034-Data_thang!K2034)</f>
        <v/>
      </c>
      <c r="L2034">
        <f>IF(AND(ABS(I2034)&gt;Dashboard!$G$6,ABS(J2034)&gt;Dashboard!$H$6),"⚠ Vượt","")</f>
        <v/>
      </c>
      <c r="M2034">
        <f>IF(AND(A2034=Dashboard!$D$6,OR(Dashboard!$C$6="*",F2034=Dashboard!$C$6),L2034&lt;&gt;""),ABS(I2034)+ROW()/1000000000,0)</f>
        <v/>
      </c>
    </row>
    <row r="2035">
      <c r="A2035">
        <f>Data_thang!A2035</f>
        <v/>
      </c>
      <c r="B2035">
        <f>Data_thang!B2035</f>
        <v/>
      </c>
      <c r="C2035">
        <f>Data_thang!D2035</f>
        <v/>
      </c>
      <c r="D2035">
        <f>Data_thang!E2035</f>
        <v/>
      </c>
      <c r="E2035">
        <f>Data_thang!F2035</f>
        <v/>
      </c>
      <c r="F2035">
        <f>Data_thang!G2035</f>
        <v/>
      </c>
      <c r="G2035" s="29">
        <f>Data_thang!J2035-Data_thang!K2035</f>
        <v/>
      </c>
      <c r="H2035" s="29">
        <f>Data_thang!N2035</f>
        <v/>
      </c>
      <c r="I2035" s="29">
        <f>H2035-G2035</f>
        <v/>
      </c>
      <c r="J2035" s="30">
        <f>IF(H2035=0,IF(I2035=0,0,1),I2035/ABS(H2035))</f>
        <v/>
      </c>
      <c r="K2035" s="29">
        <f>H2035-(Data_thang!O2035-Data_thang!K2035)</f>
        <v/>
      </c>
      <c r="L2035">
        <f>IF(AND(ABS(I2035)&gt;Dashboard!$G$6,ABS(J2035)&gt;Dashboard!$H$6),"⚠ Vượt","")</f>
        <v/>
      </c>
      <c r="M2035">
        <f>IF(AND(A2035=Dashboard!$D$6,OR(Dashboard!$C$6="*",F2035=Dashboard!$C$6),L2035&lt;&gt;""),ABS(I2035)+ROW()/1000000000,0)</f>
        <v/>
      </c>
    </row>
    <row r="2036">
      <c r="A2036">
        <f>Data_thang!A2036</f>
        <v/>
      </c>
      <c r="B2036">
        <f>Data_thang!B2036</f>
        <v/>
      </c>
      <c r="C2036">
        <f>Data_thang!D2036</f>
        <v/>
      </c>
      <c r="D2036">
        <f>Data_thang!E2036</f>
        <v/>
      </c>
      <c r="E2036">
        <f>Data_thang!F2036</f>
        <v/>
      </c>
      <c r="F2036">
        <f>Data_thang!G2036</f>
        <v/>
      </c>
      <c r="G2036" s="29">
        <f>Data_thang!J2036-Data_thang!K2036</f>
        <v/>
      </c>
      <c r="H2036" s="29">
        <f>Data_thang!N2036</f>
        <v/>
      </c>
      <c r="I2036" s="29">
        <f>H2036-G2036</f>
        <v/>
      </c>
      <c r="J2036" s="30">
        <f>IF(H2036=0,IF(I2036=0,0,1),I2036/ABS(H2036))</f>
        <v/>
      </c>
      <c r="K2036" s="29">
        <f>H2036-(Data_thang!O2036-Data_thang!K2036)</f>
        <v/>
      </c>
      <c r="L2036">
        <f>IF(AND(ABS(I2036)&gt;Dashboard!$G$6,ABS(J2036)&gt;Dashboard!$H$6),"⚠ Vượt","")</f>
        <v/>
      </c>
      <c r="M2036">
        <f>IF(AND(A2036=Dashboard!$D$6,OR(Dashboard!$C$6="*",F2036=Dashboard!$C$6),L2036&lt;&gt;""),ABS(I2036)+ROW()/1000000000,0)</f>
        <v/>
      </c>
    </row>
    <row r="2037">
      <c r="A2037">
        <f>Data_thang!A2037</f>
        <v/>
      </c>
      <c r="B2037">
        <f>Data_thang!B2037</f>
        <v/>
      </c>
      <c r="C2037">
        <f>Data_thang!D2037</f>
        <v/>
      </c>
      <c r="D2037">
        <f>Data_thang!E2037</f>
        <v/>
      </c>
      <c r="E2037">
        <f>Data_thang!F2037</f>
        <v/>
      </c>
      <c r="F2037">
        <f>Data_thang!G2037</f>
        <v/>
      </c>
      <c r="G2037" s="29">
        <f>Data_thang!J2037-Data_thang!K2037</f>
        <v/>
      </c>
      <c r="H2037" s="29">
        <f>Data_thang!N2037</f>
        <v/>
      </c>
      <c r="I2037" s="29">
        <f>H2037-G2037</f>
        <v/>
      </c>
      <c r="J2037" s="30">
        <f>IF(H2037=0,IF(I2037=0,0,1),I2037/ABS(H2037))</f>
        <v/>
      </c>
      <c r="K2037" s="29">
        <f>H2037-(Data_thang!O2037-Data_thang!K2037)</f>
        <v/>
      </c>
      <c r="L2037">
        <f>IF(AND(ABS(I2037)&gt;Dashboard!$G$6,ABS(J2037)&gt;Dashboard!$H$6),"⚠ Vượt","")</f>
        <v/>
      </c>
      <c r="M2037">
        <f>IF(AND(A2037=Dashboard!$D$6,OR(Dashboard!$C$6="*",F2037=Dashboard!$C$6),L2037&lt;&gt;""),ABS(I2037)+ROW()/1000000000,0)</f>
        <v/>
      </c>
    </row>
    <row r="2038">
      <c r="A2038">
        <f>Data_thang!A2038</f>
        <v/>
      </c>
      <c r="B2038">
        <f>Data_thang!B2038</f>
        <v/>
      </c>
      <c r="C2038">
        <f>Data_thang!D2038</f>
        <v/>
      </c>
      <c r="D2038">
        <f>Data_thang!E2038</f>
        <v/>
      </c>
      <c r="E2038">
        <f>Data_thang!F2038</f>
        <v/>
      </c>
      <c r="F2038">
        <f>Data_thang!G2038</f>
        <v/>
      </c>
      <c r="G2038" s="29">
        <f>Data_thang!J2038-Data_thang!K2038</f>
        <v/>
      </c>
      <c r="H2038" s="29">
        <f>Data_thang!N2038</f>
        <v/>
      </c>
      <c r="I2038" s="29">
        <f>H2038-G2038</f>
        <v/>
      </c>
      <c r="J2038" s="30">
        <f>IF(H2038=0,IF(I2038=0,0,1),I2038/ABS(H2038))</f>
        <v/>
      </c>
      <c r="K2038" s="29">
        <f>H2038-(Data_thang!O2038-Data_thang!K2038)</f>
        <v/>
      </c>
      <c r="L2038">
        <f>IF(AND(ABS(I2038)&gt;Dashboard!$G$6,ABS(J2038)&gt;Dashboard!$H$6),"⚠ Vượt","")</f>
        <v/>
      </c>
      <c r="M2038">
        <f>IF(AND(A2038=Dashboard!$D$6,OR(Dashboard!$C$6="*",F2038=Dashboard!$C$6),L2038&lt;&gt;""),ABS(I2038)+ROW()/1000000000,0)</f>
        <v/>
      </c>
    </row>
    <row r="2039">
      <c r="A2039">
        <f>Data_thang!A2039</f>
        <v/>
      </c>
      <c r="B2039">
        <f>Data_thang!B2039</f>
        <v/>
      </c>
      <c r="C2039">
        <f>Data_thang!D2039</f>
        <v/>
      </c>
      <c r="D2039">
        <f>Data_thang!E2039</f>
        <v/>
      </c>
      <c r="E2039">
        <f>Data_thang!F2039</f>
        <v/>
      </c>
      <c r="F2039">
        <f>Data_thang!G2039</f>
        <v/>
      </c>
      <c r="G2039" s="29">
        <f>Data_thang!J2039-Data_thang!K2039</f>
        <v/>
      </c>
      <c r="H2039" s="29">
        <f>Data_thang!N2039</f>
        <v/>
      </c>
      <c r="I2039" s="29">
        <f>H2039-G2039</f>
        <v/>
      </c>
      <c r="J2039" s="30">
        <f>IF(H2039=0,IF(I2039=0,0,1),I2039/ABS(H2039))</f>
        <v/>
      </c>
      <c r="K2039" s="29">
        <f>H2039-(Data_thang!O2039-Data_thang!K2039)</f>
        <v/>
      </c>
      <c r="L2039">
        <f>IF(AND(ABS(I2039)&gt;Dashboard!$G$6,ABS(J2039)&gt;Dashboard!$H$6),"⚠ Vượt","")</f>
        <v/>
      </c>
      <c r="M2039">
        <f>IF(AND(A2039=Dashboard!$D$6,OR(Dashboard!$C$6="*",F2039=Dashboard!$C$6),L2039&lt;&gt;""),ABS(I2039)+ROW()/1000000000,0)</f>
        <v/>
      </c>
    </row>
    <row r="2040">
      <c r="A2040">
        <f>Data_thang!A2040</f>
        <v/>
      </c>
      <c r="B2040">
        <f>Data_thang!B2040</f>
        <v/>
      </c>
      <c r="C2040">
        <f>Data_thang!D2040</f>
        <v/>
      </c>
      <c r="D2040">
        <f>Data_thang!E2040</f>
        <v/>
      </c>
      <c r="E2040">
        <f>Data_thang!F2040</f>
        <v/>
      </c>
      <c r="F2040">
        <f>Data_thang!G2040</f>
        <v/>
      </c>
      <c r="G2040" s="29">
        <f>Data_thang!J2040-Data_thang!K2040</f>
        <v/>
      </c>
      <c r="H2040" s="29">
        <f>Data_thang!N2040</f>
        <v/>
      </c>
      <c r="I2040" s="29">
        <f>H2040-G2040</f>
        <v/>
      </c>
      <c r="J2040" s="30">
        <f>IF(H2040=0,IF(I2040=0,0,1),I2040/ABS(H2040))</f>
        <v/>
      </c>
      <c r="K2040" s="29">
        <f>H2040-(Data_thang!O2040-Data_thang!K2040)</f>
        <v/>
      </c>
      <c r="L2040">
        <f>IF(AND(ABS(I2040)&gt;Dashboard!$G$6,ABS(J2040)&gt;Dashboard!$H$6),"⚠ Vượt","")</f>
        <v/>
      </c>
      <c r="M2040">
        <f>IF(AND(A2040=Dashboard!$D$6,OR(Dashboard!$C$6="*",F2040=Dashboard!$C$6),L2040&lt;&gt;""),ABS(I2040)+ROW()/1000000000,0)</f>
        <v/>
      </c>
    </row>
    <row r="2041">
      <c r="A2041">
        <f>Data_thang!A2041</f>
        <v/>
      </c>
      <c r="B2041">
        <f>Data_thang!B2041</f>
        <v/>
      </c>
      <c r="C2041">
        <f>Data_thang!D2041</f>
        <v/>
      </c>
      <c r="D2041">
        <f>Data_thang!E2041</f>
        <v/>
      </c>
      <c r="E2041">
        <f>Data_thang!F2041</f>
        <v/>
      </c>
      <c r="F2041">
        <f>Data_thang!G2041</f>
        <v/>
      </c>
      <c r="G2041" s="29">
        <f>Data_thang!J2041-Data_thang!K2041</f>
        <v/>
      </c>
      <c r="H2041" s="29">
        <f>Data_thang!N2041</f>
        <v/>
      </c>
      <c r="I2041" s="29">
        <f>H2041-G2041</f>
        <v/>
      </c>
      <c r="J2041" s="30">
        <f>IF(H2041=0,IF(I2041=0,0,1),I2041/ABS(H2041))</f>
        <v/>
      </c>
      <c r="K2041" s="29">
        <f>H2041-(Data_thang!O2041-Data_thang!K2041)</f>
        <v/>
      </c>
      <c r="L2041">
        <f>IF(AND(ABS(I2041)&gt;Dashboard!$G$6,ABS(J2041)&gt;Dashboard!$H$6),"⚠ Vượt","")</f>
        <v/>
      </c>
      <c r="M2041">
        <f>IF(AND(A2041=Dashboard!$D$6,OR(Dashboard!$C$6="*",F2041=Dashboard!$C$6),L2041&lt;&gt;""),ABS(I2041)+ROW()/1000000000,0)</f>
        <v/>
      </c>
    </row>
    <row r="2042">
      <c r="A2042">
        <f>Data_thang!A2042</f>
        <v/>
      </c>
      <c r="B2042">
        <f>Data_thang!B2042</f>
        <v/>
      </c>
      <c r="C2042">
        <f>Data_thang!D2042</f>
        <v/>
      </c>
      <c r="D2042">
        <f>Data_thang!E2042</f>
        <v/>
      </c>
      <c r="E2042">
        <f>Data_thang!F2042</f>
        <v/>
      </c>
      <c r="F2042">
        <f>Data_thang!G2042</f>
        <v/>
      </c>
      <c r="G2042" s="29">
        <f>Data_thang!J2042-Data_thang!K2042</f>
        <v/>
      </c>
      <c r="H2042" s="29">
        <f>Data_thang!N2042</f>
        <v/>
      </c>
      <c r="I2042" s="29">
        <f>H2042-G2042</f>
        <v/>
      </c>
      <c r="J2042" s="30">
        <f>IF(H2042=0,IF(I2042=0,0,1),I2042/ABS(H2042))</f>
        <v/>
      </c>
      <c r="K2042" s="29">
        <f>H2042-(Data_thang!O2042-Data_thang!K2042)</f>
        <v/>
      </c>
      <c r="L2042">
        <f>IF(AND(ABS(I2042)&gt;Dashboard!$G$6,ABS(J2042)&gt;Dashboard!$H$6),"⚠ Vượt","")</f>
        <v/>
      </c>
      <c r="M2042">
        <f>IF(AND(A2042=Dashboard!$D$6,OR(Dashboard!$C$6="*",F2042=Dashboard!$C$6),L2042&lt;&gt;""),ABS(I2042)+ROW()/1000000000,0)</f>
        <v/>
      </c>
    </row>
    <row r="2043">
      <c r="A2043">
        <f>Data_thang!A2043</f>
        <v/>
      </c>
      <c r="B2043">
        <f>Data_thang!B2043</f>
        <v/>
      </c>
      <c r="C2043">
        <f>Data_thang!D2043</f>
        <v/>
      </c>
      <c r="D2043">
        <f>Data_thang!E2043</f>
        <v/>
      </c>
      <c r="E2043">
        <f>Data_thang!F2043</f>
        <v/>
      </c>
      <c r="F2043">
        <f>Data_thang!G2043</f>
        <v/>
      </c>
      <c r="G2043" s="29">
        <f>Data_thang!J2043-Data_thang!K2043</f>
        <v/>
      </c>
      <c r="H2043" s="29">
        <f>Data_thang!N2043</f>
        <v/>
      </c>
      <c r="I2043" s="29">
        <f>H2043-G2043</f>
        <v/>
      </c>
      <c r="J2043" s="30">
        <f>IF(H2043=0,IF(I2043=0,0,1),I2043/ABS(H2043))</f>
        <v/>
      </c>
      <c r="K2043" s="29">
        <f>H2043-(Data_thang!O2043-Data_thang!K2043)</f>
        <v/>
      </c>
      <c r="L2043">
        <f>IF(AND(ABS(I2043)&gt;Dashboard!$G$6,ABS(J2043)&gt;Dashboard!$H$6),"⚠ Vượt","")</f>
        <v/>
      </c>
      <c r="M2043">
        <f>IF(AND(A2043=Dashboard!$D$6,OR(Dashboard!$C$6="*",F2043=Dashboard!$C$6),L2043&lt;&gt;""),ABS(I2043)+ROW()/1000000000,0)</f>
        <v/>
      </c>
    </row>
    <row r="2044">
      <c r="A2044">
        <f>Data_thang!A2044</f>
        <v/>
      </c>
      <c r="B2044">
        <f>Data_thang!B2044</f>
        <v/>
      </c>
      <c r="C2044">
        <f>Data_thang!D2044</f>
        <v/>
      </c>
      <c r="D2044">
        <f>Data_thang!E2044</f>
        <v/>
      </c>
      <c r="E2044">
        <f>Data_thang!F2044</f>
        <v/>
      </c>
      <c r="F2044">
        <f>Data_thang!G2044</f>
        <v/>
      </c>
      <c r="G2044" s="29">
        <f>Data_thang!J2044-Data_thang!K2044</f>
        <v/>
      </c>
      <c r="H2044" s="29">
        <f>Data_thang!N2044</f>
        <v/>
      </c>
      <c r="I2044" s="29">
        <f>H2044-G2044</f>
        <v/>
      </c>
      <c r="J2044" s="30">
        <f>IF(H2044=0,IF(I2044=0,0,1),I2044/ABS(H2044))</f>
        <v/>
      </c>
      <c r="K2044" s="29">
        <f>H2044-(Data_thang!O2044-Data_thang!K2044)</f>
        <v/>
      </c>
      <c r="L2044">
        <f>IF(AND(ABS(I2044)&gt;Dashboard!$G$6,ABS(J2044)&gt;Dashboard!$H$6),"⚠ Vượt","")</f>
        <v/>
      </c>
      <c r="M2044">
        <f>IF(AND(A2044=Dashboard!$D$6,OR(Dashboard!$C$6="*",F2044=Dashboard!$C$6),L2044&lt;&gt;""),ABS(I2044)+ROW()/1000000000,0)</f>
        <v/>
      </c>
    </row>
    <row r="2045">
      <c r="A2045">
        <f>Data_thang!A2045</f>
        <v/>
      </c>
      <c r="B2045">
        <f>Data_thang!B2045</f>
        <v/>
      </c>
      <c r="C2045">
        <f>Data_thang!D2045</f>
        <v/>
      </c>
      <c r="D2045">
        <f>Data_thang!E2045</f>
        <v/>
      </c>
      <c r="E2045">
        <f>Data_thang!F2045</f>
        <v/>
      </c>
      <c r="F2045">
        <f>Data_thang!G2045</f>
        <v/>
      </c>
      <c r="G2045" s="29">
        <f>Data_thang!J2045-Data_thang!K2045</f>
        <v/>
      </c>
      <c r="H2045" s="29">
        <f>Data_thang!N2045</f>
        <v/>
      </c>
      <c r="I2045" s="29">
        <f>H2045-G2045</f>
        <v/>
      </c>
      <c r="J2045" s="30">
        <f>IF(H2045=0,IF(I2045=0,0,1),I2045/ABS(H2045))</f>
        <v/>
      </c>
      <c r="K2045" s="29">
        <f>H2045-(Data_thang!O2045-Data_thang!K2045)</f>
        <v/>
      </c>
      <c r="L2045">
        <f>IF(AND(ABS(I2045)&gt;Dashboard!$G$6,ABS(J2045)&gt;Dashboard!$H$6),"⚠ Vượt","")</f>
        <v/>
      </c>
      <c r="M2045">
        <f>IF(AND(A2045=Dashboard!$D$6,OR(Dashboard!$C$6="*",F2045=Dashboard!$C$6),L2045&lt;&gt;""),ABS(I2045)+ROW()/1000000000,0)</f>
        <v/>
      </c>
    </row>
    <row r="2046">
      <c r="A2046">
        <f>Data_thang!A2046</f>
        <v/>
      </c>
      <c r="B2046">
        <f>Data_thang!B2046</f>
        <v/>
      </c>
      <c r="C2046">
        <f>Data_thang!D2046</f>
        <v/>
      </c>
      <c r="D2046">
        <f>Data_thang!E2046</f>
        <v/>
      </c>
      <c r="E2046">
        <f>Data_thang!F2046</f>
        <v/>
      </c>
      <c r="F2046">
        <f>Data_thang!G2046</f>
        <v/>
      </c>
      <c r="G2046" s="29">
        <f>Data_thang!J2046-Data_thang!K2046</f>
        <v/>
      </c>
      <c r="H2046" s="29">
        <f>Data_thang!N2046</f>
        <v/>
      </c>
      <c r="I2046" s="29">
        <f>H2046-G2046</f>
        <v/>
      </c>
      <c r="J2046" s="30">
        <f>IF(H2046=0,IF(I2046=0,0,1),I2046/ABS(H2046))</f>
        <v/>
      </c>
      <c r="K2046" s="29">
        <f>H2046-(Data_thang!O2046-Data_thang!K2046)</f>
        <v/>
      </c>
      <c r="L2046">
        <f>IF(AND(ABS(I2046)&gt;Dashboard!$G$6,ABS(J2046)&gt;Dashboard!$H$6),"⚠ Vượt","")</f>
        <v/>
      </c>
      <c r="M2046">
        <f>IF(AND(A2046=Dashboard!$D$6,OR(Dashboard!$C$6="*",F2046=Dashboard!$C$6),L2046&lt;&gt;""),ABS(I2046)+ROW()/1000000000,0)</f>
        <v/>
      </c>
    </row>
    <row r="2047">
      <c r="A2047">
        <f>Data_thang!A2047</f>
        <v/>
      </c>
      <c r="B2047">
        <f>Data_thang!B2047</f>
        <v/>
      </c>
      <c r="C2047">
        <f>Data_thang!D2047</f>
        <v/>
      </c>
      <c r="D2047">
        <f>Data_thang!E2047</f>
        <v/>
      </c>
      <c r="E2047">
        <f>Data_thang!F2047</f>
        <v/>
      </c>
      <c r="F2047">
        <f>Data_thang!G2047</f>
        <v/>
      </c>
      <c r="G2047" s="29">
        <f>Data_thang!J2047-Data_thang!K2047</f>
        <v/>
      </c>
      <c r="H2047" s="29">
        <f>Data_thang!N2047</f>
        <v/>
      </c>
      <c r="I2047" s="29">
        <f>H2047-G2047</f>
        <v/>
      </c>
      <c r="J2047" s="30">
        <f>IF(H2047=0,IF(I2047=0,0,1),I2047/ABS(H2047))</f>
        <v/>
      </c>
      <c r="K2047" s="29">
        <f>H2047-(Data_thang!O2047-Data_thang!K2047)</f>
        <v/>
      </c>
      <c r="L2047">
        <f>IF(AND(ABS(I2047)&gt;Dashboard!$G$6,ABS(J2047)&gt;Dashboard!$H$6),"⚠ Vượt","")</f>
        <v/>
      </c>
      <c r="M2047">
        <f>IF(AND(A2047=Dashboard!$D$6,OR(Dashboard!$C$6="*",F2047=Dashboard!$C$6),L2047&lt;&gt;""),ABS(I2047)+ROW()/1000000000,0)</f>
        <v/>
      </c>
    </row>
    <row r="2048">
      <c r="A2048">
        <f>Data_thang!A2048</f>
        <v/>
      </c>
      <c r="B2048">
        <f>Data_thang!B2048</f>
        <v/>
      </c>
      <c r="C2048">
        <f>Data_thang!D2048</f>
        <v/>
      </c>
      <c r="D2048">
        <f>Data_thang!E2048</f>
        <v/>
      </c>
      <c r="E2048">
        <f>Data_thang!F2048</f>
        <v/>
      </c>
      <c r="F2048">
        <f>Data_thang!G2048</f>
        <v/>
      </c>
      <c r="G2048" s="29">
        <f>Data_thang!J2048-Data_thang!K2048</f>
        <v/>
      </c>
      <c r="H2048" s="29">
        <f>Data_thang!N2048</f>
        <v/>
      </c>
      <c r="I2048" s="29">
        <f>H2048-G2048</f>
        <v/>
      </c>
      <c r="J2048" s="30">
        <f>IF(H2048=0,IF(I2048=0,0,1),I2048/ABS(H2048))</f>
        <v/>
      </c>
      <c r="K2048" s="29">
        <f>H2048-(Data_thang!O2048-Data_thang!K2048)</f>
        <v/>
      </c>
      <c r="L2048">
        <f>IF(AND(ABS(I2048)&gt;Dashboard!$G$6,ABS(J2048)&gt;Dashboard!$H$6),"⚠ Vượt","")</f>
        <v/>
      </c>
      <c r="M2048">
        <f>IF(AND(A2048=Dashboard!$D$6,OR(Dashboard!$C$6="*",F2048=Dashboard!$C$6),L2048&lt;&gt;""),ABS(I2048)+ROW()/1000000000,0)</f>
        <v/>
      </c>
    </row>
    <row r="2049">
      <c r="A2049">
        <f>Data_thang!A2049</f>
        <v/>
      </c>
      <c r="B2049">
        <f>Data_thang!B2049</f>
        <v/>
      </c>
      <c r="C2049">
        <f>Data_thang!D2049</f>
        <v/>
      </c>
      <c r="D2049">
        <f>Data_thang!E2049</f>
        <v/>
      </c>
      <c r="E2049">
        <f>Data_thang!F2049</f>
        <v/>
      </c>
      <c r="F2049">
        <f>Data_thang!G2049</f>
        <v/>
      </c>
      <c r="G2049" s="29">
        <f>Data_thang!J2049-Data_thang!K2049</f>
        <v/>
      </c>
      <c r="H2049" s="29">
        <f>Data_thang!N2049</f>
        <v/>
      </c>
      <c r="I2049" s="29">
        <f>H2049-G2049</f>
        <v/>
      </c>
      <c r="J2049" s="30">
        <f>IF(H2049=0,IF(I2049=0,0,1),I2049/ABS(H2049))</f>
        <v/>
      </c>
      <c r="K2049" s="29">
        <f>H2049-(Data_thang!O2049-Data_thang!K2049)</f>
        <v/>
      </c>
      <c r="L2049">
        <f>IF(AND(ABS(I2049)&gt;Dashboard!$G$6,ABS(J2049)&gt;Dashboard!$H$6),"⚠ Vượt","")</f>
        <v/>
      </c>
      <c r="M2049">
        <f>IF(AND(A2049=Dashboard!$D$6,OR(Dashboard!$C$6="*",F2049=Dashboard!$C$6),L2049&lt;&gt;""),ABS(I2049)+ROW()/1000000000,0)</f>
        <v/>
      </c>
    </row>
    <row r="2050">
      <c r="A2050">
        <f>Data_thang!A2050</f>
        <v/>
      </c>
      <c r="B2050">
        <f>Data_thang!B2050</f>
        <v/>
      </c>
      <c r="C2050">
        <f>Data_thang!D2050</f>
        <v/>
      </c>
      <c r="D2050">
        <f>Data_thang!E2050</f>
        <v/>
      </c>
      <c r="E2050">
        <f>Data_thang!F2050</f>
        <v/>
      </c>
      <c r="F2050">
        <f>Data_thang!G2050</f>
        <v/>
      </c>
      <c r="G2050" s="29">
        <f>Data_thang!J2050-Data_thang!K2050</f>
        <v/>
      </c>
      <c r="H2050" s="29">
        <f>Data_thang!N2050</f>
        <v/>
      </c>
      <c r="I2050" s="29">
        <f>H2050-G2050</f>
        <v/>
      </c>
      <c r="J2050" s="30">
        <f>IF(H2050=0,IF(I2050=0,0,1),I2050/ABS(H2050))</f>
        <v/>
      </c>
      <c r="K2050" s="29">
        <f>H2050-(Data_thang!O2050-Data_thang!K2050)</f>
        <v/>
      </c>
      <c r="L2050">
        <f>IF(AND(ABS(I2050)&gt;Dashboard!$G$6,ABS(J2050)&gt;Dashboard!$H$6),"⚠ Vượt","")</f>
        <v/>
      </c>
      <c r="M2050">
        <f>IF(AND(A2050=Dashboard!$D$6,OR(Dashboard!$C$6="*",F2050=Dashboard!$C$6),L2050&lt;&gt;""),ABS(I2050)+ROW()/1000000000,0)</f>
        <v/>
      </c>
    </row>
    <row r="2051">
      <c r="A2051">
        <f>Data_thang!A2051</f>
        <v/>
      </c>
      <c r="B2051">
        <f>Data_thang!B2051</f>
        <v/>
      </c>
      <c r="C2051">
        <f>Data_thang!D2051</f>
        <v/>
      </c>
      <c r="D2051">
        <f>Data_thang!E2051</f>
        <v/>
      </c>
      <c r="E2051">
        <f>Data_thang!F2051</f>
        <v/>
      </c>
      <c r="F2051">
        <f>Data_thang!G2051</f>
        <v/>
      </c>
      <c r="G2051" s="29">
        <f>Data_thang!J2051-Data_thang!K2051</f>
        <v/>
      </c>
      <c r="H2051" s="29">
        <f>Data_thang!N2051</f>
        <v/>
      </c>
      <c r="I2051" s="29">
        <f>H2051-G2051</f>
        <v/>
      </c>
      <c r="J2051" s="30">
        <f>IF(H2051=0,IF(I2051=0,0,1),I2051/ABS(H2051))</f>
        <v/>
      </c>
      <c r="K2051" s="29">
        <f>H2051-(Data_thang!O2051-Data_thang!K2051)</f>
        <v/>
      </c>
      <c r="L2051">
        <f>IF(AND(ABS(I2051)&gt;Dashboard!$G$6,ABS(J2051)&gt;Dashboard!$H$6),"⚠ Vượt","")</f>
        <v/>
      </c>
      <c r="M2051">
        <f>IF(AND(A2051=Dashboard!$D$6,OR(Dashboard!$C$6="*",F2051=Dashboard!$C$6),L2051&lt;&gt;""),ABS(I2051)+ROW()/1000000000,0)</f>
        <v/>
      </c>
    </row>
    <row r="2052">
      <c r="A2052">
        <f>Data_thang!A2052</f>
        <v/>
      </c>
      <c r="B2052">
        <f>Data_thang!B2052</f>
        <v/>
      </c>
      <c r="C2052">
        <f>Data_thang!D2052</f>
        <v/>
      </c>
      <c r="D2052">
        <f>Data_thang!E2052</f>
        <v/>
      </c>
      <c r="E2052">
        <f>Data_thang!F2052</f>
        <v/>
      </c>
      <c r="F2052">
        <f>Data_thang!G2052</f>
        <v/>
      </c>
      <c r="G2052" s="29">
        <f>Data_thang!J2052-Data_thang!K2052</f>
        <v/>
      </c>
      <c r="H2052" s="29">
        <f>Data_thang!N2052</f>
        <v/>
      </c>
      <c r="I2052" s="29">
        <f>H2052-G2052</f>
        <v/>
      </c>
      <c r="J2052" s="30">
        <f>IF(H2052=0,IF(I2052=0,0,1),I2052/ABS(H2052))</f>
        <v/>
      </c>
      <c r="K2052" s="29">
        <f>H2052-(Data_thang!O2052-Data_thang!K2052)</f>
        <v/>
      </c>
      <c r="L2052">
        <f>IF(AND(ABS(I2052)&gt;Dashboard!$G$6,ABS(J2052)&gt;Dashboard!$H$6),"⚠ Vượt","")</f>
        <v/>
      </c>
      <c r="M2052">
        <f>IF(AND(A2052=Dashboard!$D$6,OR(Dashboard!$C$6="*",F2052=Dashboard!$C$6),L2052&lt;&gt;""),ABS(I2052)+ROW()/1000000000,0)</f>
        <v/>
      </c>
    </row>
    <row r="2053">
      <c r="A2053">
        <f>Data_thang!A2053</f>
        <v/>
      </c>
      <c r="B2053">
        <f>Data_thang!B2053</f>
        <v/>
      </c>
      <c r="C2053">
        <f>Data_thang!D2053</f>
        <v/>
      </c>
      <c r="D2053">
        <f>Data_thang!E2053</f>
        <v/>
      </c>
      <c r="E2053">
        <f>Data_thang!F2053</f>
        <v/>
      </c>
      <c r="F2053">
        <f>Data_thang!G2053</f>
        <v/>
      </c>
      <c r="G2053" s="29">
        <f>Data_thang!J2053-Data_thang!K2053</f>
        <v/>
      </c>
      <c r="H2053" s="29">
        <f>Data_thang!N2053</f>
        <v/>
      </c>
      <c r="I2053" s="29">
        <f>H2053-G2053</f>
        <v/>
      </c>
      <c r="J2053" s="30">
        <f>IF(H2053=0,IF(I2053=0,0,1),I2053/ABS(H2053))</f>
        <v/>
      </c>
      <c r="K2053" s="29">
        <f>H2053-(Data_thang!O2053-Data_thang!K2053)</f>
        <v/>
      </c>
      <c r="L2053">
        <f>IF(AND(ABS(I2053)&gt;Dashboard!$G$6,ABS(J2053)&gt;Dashboard!$H$6),"⚠ Vượt","")</f>
        <v/>
      </c>
      <c r="M2053">
        <f>IF(AND(A2053=Dashboard!$D$6,OR(Dashboard!$C$6="*",F2053=Dashboard!$C$6),L2053&lt;&gt;""),ABS(I2053)+ROW()/1000000000,0)</f>
        <v/>
      </c>
    </row>
    <row r="2054">
      <c r="A2054">
        <f>Data_thang!A2054</f>
        <v/>
      </c>
      <c r="B2054">
        <f>Data_thang!B2054</f>
        <v/>
      </c>
      <c r="C2054">
        <f>Data_thang!D2054</f>
        <v/>
      </c>
      <c r="D2054">
        <f>Data_thang!E2054</f>
        <v/>
      </c>
      <c r="E2054">
        <f>Data_thang!F2054</f>
        <v/>
      </c>
      <c r="F2054">
        <f>Data_thang!G2054</f>
        <v/>
      </c>
      <c r="G2054" s="29">
        <f>Data_thang!J2054-Data_thang!K2054</f>
        <v/>
      </c>
      <c r="H2054" s="29">
        <f>Data_thang!N2054</f>
        <v/>
      </c>
      <c r="I2054" s="29">
        <f>H2054-G2054</f>
        <v/>
      </c>
      <c r="J2054" s="30">
        <f>IF(H2054=0,IF(I2054=0,0,1),I2054/ABS(H2054))</f>
        <v/>
      </c>
      <c r="K2054" s="29">
        <f>H2054-(Data_thang!O2054-Data_thang!K2054)</f>
        <v/>
      </c>
      <c r="L2054">
        <f>IF(AND(ABS(I2054)&gt;Dashboard!$G$6,ABS(J2054)&gt;Dashboard!$H$6),"⚠ Vượt","")</f>
        <v/>
      </c>
      <c r="M2054">
        <f>IF(AND(A2054=Dashboard!$D$6,OR(Dashboard!$C$6="*",F2054=Dashboard!$C$6),L2054&lt;&gt;""),ABS(I2054)+ROW()/1000000000,0)</f>
        <v/>
      </c>
    </row>
    <row r="2055">
      <c r="A2055">
        <f>Data_thang!A2055</f>
        <v/>
      </c>
      <c r="B2055">
        <f>Data_thang!B2055</f>
        <v/>
      </c>
      <c r="C2055">
        <f>Data_thang!D2055</f>
        <v/>
      </c>
      <c r="D2055">
        <f>Data_thang!E2055</f>
        <v/>
      </c>
      <c r="E2055">
        <f>Data_thang!F2055</f>
        <v/>
      </c>
      <c r="F2055">
        <f>Data_thang!G2055</f>
        <v/>
      </c>
      <c r="G2055" s="29">
        <f>Data_thang!J2055-Data_thang!K2055</f>
        <v/>
      </c>
      <c r="H2055" s="29">
        <f>Data_thang!N2055</f>
        <v/>
      </c>
      <c r="I2055" s="29">
        <f>H2055-G2055</f>
        <v/>
      </c>
      <c r="J2055" s="30">
        <f>IF(H2055=0,IF(I2055=0,0,1),I2055/ABS(H2055))</f>
        <v/>
      </c>
      <c r="K2055" s="29">
        <f>H2055-(Data_thang!O2055-Data_thang!K2055)</f>
        <v/>
      </c>
      <c r="L2055">
        <f>IF(AND(ABS(I2055)&gt;Dashboard!$G$6,ABS(J2055)&gt;Dashboard!$H$6),"⚠ Vượt","")</f>
        <v/>
      </c>
      <c r="M2055">
        <f>IF(AND(A2055=Dashboard!$D$6,OR(Dashboard!$C$6="*",F2055=Dashboard!$C$6),L2055&lt;&gt;""),ABS(I2055)+ROW()/1000000000,0)</f>
        <v/>
      </c>
    </row>
    <row r="2056">
      <c r="A2056">
        <f>Data_thang!A2056</f>
        <v/>
      </c>
      <c r="B2056">
        <f>Data_thang!B2056</f>
        <v/>
      </c>
      <c r="C2056">
        <f>Data_thang!D2056</f>
        <v/>
      </c>
      <c r="D2056">
        <f>Data_thang!E2056</f>
        <v/>
      </c>
      <c r="E2056">
        <f>Data_thang!F2056</f>
        <v/>
      </c>
      <c r="F2056">
        <f>Data_thang!G2056</f>
        <v/>
      </c>
      <c r="G2056" s="29">
        <f>Data_thang!J2056-Data_thang!K2056</f>
        <v/>
      </c>
      <c r="H2056" s="29">
        <f>Data_thang!N2056</f>
        <v/>
      </c>
      <c r="I2056" s="29">
        <f>H2056-G2056</f>
        <v/>
      </c>
      <c r="J2056" s="30">
        <f>IF(H2056=0,IF(I2056=0,0,1),I2056/ABS(H2056))</f>
        <v/>
      </c>
      <c r="K2056" s="29">
        <f>H2056-(Data_thang!O2056-Data_thang!K2056)</f>
        <v/>
      </c>
      <c r="L2056">
        <f>IF(AND(ABS(I2056)&gt;Dashboard!$G$6,ABS(J2056)&gt;Dashboard!$H$6),"⚠ Vượt","")</f>
        <v/>
      </c>
      <c r="M2056">
        <f>IF(AND(A2056=Dashboard!$D$6,OR(Dashboard!$C$6="*",F2056=Dashboard!$C$6),L2056&lt;&gt;""),ABS(I2056)+ROW()/1000000000,0)</f>
        <v/>
      </c>
    </row>
    <row r="2057">
      <c r="A2057">
        <f>Data_thang!A2057</f>
        <v/>
      </c>
      <c r="B2057">
        <f>Data_thang!B2057</f>
        <v/>
      </c>
      <c r="C2057">
        <f>Data_thang!D2057</f>
        <v/>
      </c>
      <c r="D2057">
        <f>Data_thang!E2057</f>
        <v/>
      </c>
      <c r="E2057">
        <f>Data_thang!F2057</f>
        <v/>
      </c>
      <c r="F2057">
        <f>Data_thang!G2057</f>
        <v/>
      </c>
      <c r="G2057" s="29">
        <f>Data_thang!J2057-Data_thang!K2057</f>
        <v/>
      </c>
      <c r="H2057" s="29">
        <f>Data_thang!N2057</f>
        <v/>
      </c>
      <c r="I2057" s="29">
        <f>H2057-G2057</f>
        <v/>
      </c>
      <c r="J2057" s="30">
        <f>IF(H2057=0,IF(I2057=0,0,1),I2057/ABS(H2057))</f>
        <v/>
      </c>
      <c r="K2057" s="29">
        <f>H2057-(Data_thang!O2057-Data_thang!K2057)</f>
        <v/>
      </c>
      <c r="L2057">
        <f>IF(AND(ABS(I2057)&gt;Dashboard!$G$6,ABS(J2057)&gt;Dashboard!$H$6),"⚠ Vượt","")</f>
        <v/>
      </c>
      <c r="M2057">
        <f>IF(AND(A2057=Dashboard!$D$6,OR(Dashboard!$C$6="*",F2057=Dashboard!$C$6),L2057&lt;&gt;""),ABS(I2057)+ROW()/1000000000,0)</f>
        <v/>
      </c>
    </row>
    <row r="2058">
      <c r="A2058">
        <f>Data_thang!A2058</f>
        <v/>
      </c>
      <c r="B2058">
        <f>Data_thang!B2058</f>
        <v/>
      </c>
      <c r="C2058">
        <f>Data_thang!D2058</f>
        <v/>
      </c>
      <c r="D2058">
        <f>Data_thang!E2058</f>
        <v/>
      </c>
      <c r="E2058">
        <f>Data_thang!F2058</f>
        <v/>
      </c>
      <c r="F2058">
        <f>Data_thang!G2058</f>
        <v/>
      </c>
      <c r="G2058" s="29">
        <f>Data_thang!J2058-Data_thang!K2058</f>
        <v/>
      </c>
      <c r="H2058" s="29">
        <f>Data_thang!N2058</f>
        <v/>
      </c>
      <c r="I2058" s="29">
        <f>H2058-G2058</f>
        <v/>
      </c>
      <c r="J2058" s="30">
        <f>IF(H2058=0,IF(I2058=0,0,1),I2058/ABS(H2058))</f>
        <v/>
      </c>
      <c r="K2058" s="29">
        <f>H2058-(Data_thang!O2058-Data_thang!K2058)</f>
        <v/>
      </c>
      <c r="L2058">
        <f>IF(AND(ABS(I2058)&gt;Dashboard!$G$6,ABS(J2058)&gt;Dashboard!$H$6),"⚠ Vượt","")</f>
        <v/>
      </c>
      <c r="M2058">
        <f>IF(AND(A2058=Dashboard!$D$6,OR(Dashboard!$C$6="*",F2058=Dashboard!$C$6),L2058&lt;&gt;""),ABS(I2058)+ROW()/1000000000,0)</f>
        <v/>
      </c>
    </row>
    <row r="2059">
      <c r="A2059">
        <f>Data_thang!A2059</f>
        <v/>
      </c>
      <c r="B2059">
        <f>Data_thang!B2059</f>
        <v/>
      </c>
      <c r="C2059">
        <f>Data_thang!D2059</f>
        <v/>
      </c>
      <c r="D2059">
        <f>Data_thang!E2059</f>
        <v/>
      </c>
      <c r="E2059">
        <f>Data_thang!F2059</f>
        <v/>
      </c>
      <c r="F2059">
        <f>Data_thang!G2059</f>
        <v/>
      </c>
      <c r="G2059" s="29">
        <f>Data_thang!J2059-Data_thang!K2059</f>
        <v/>
      </c>
      <c r="H2059" s="29">
        <f>Data_thang!N2059</f>
        <v/>
      </c>
      <c r="I2059" s="29">
        <f>H2059-G2059</f>
        <v/>
      </c>
      <c r="J2059" s="30">
        <f>IF(H2059=0,IF(I2059=0,0,1),I2059/ABS(H2059))</f>
        <v/>
      </c>
      <c r="K2059" s="29">
        <f>H2059-(Data_thang!O2059-Data_thang!K2059)</f>
        <v/>
      </c>
      <c r="L2059">
        <f>IF(AND(ABS(I2059)&gt;Dashboard!$G$6,ABS(J2059)&gt;Dashboard!$H$6),"⚠ Vượt","")</f>
        <v/>
      </c>
      <c r="M2059">
        <f>IF(AND(A2059=Dashboard!$D$6,OR(Dashboard!$C$6="*",F2059=Dashboard!$C$6),L2059&lt;&gt;""),ABS(I2059)+ROW()/1000000000,0)</f>
        <v/>
      </c>
    </row>
    <row r="2060">
      <c r="A2060">
        <f>Data_thang!A2060</f>
        <v/>
      </c>
      <c r="B2060">
        <f>Data_thang!B2060</f>
        <v/>
      </c>
      <c r="C2060">
        <f>Data_thang!D2060</f>
        <v/>
      </c>
      <c r="D2060">
        <f>Data_thang!E2060</f>
        <v/>
      </c>
      <c r="E2060">
        <f>Data_thang!F2060</f>
        <v/>
      </c>
      <c r="F2060">
        <f>Data_thang!G2060</f>
        <v/>
      </c>
      <c r="G2060" s="29">
        <f>Data_thang!J2060-Data_thang!K2060</f>
        <v/>
      </c>
      <c r="H2060" s="29">
        <f>Data_thang!N2060</f>
        <v/>
      </c>
      <c r="I2060" s="29">
        <f>H2060-G2060</f>
        <v/>
      </c>
      <c r="J2060" s="30">
        <f>IF(H2060=0,IF(I2060=0,0,1),I2060/ABS(H2060))</f>
        <v/>
      </c>
      <c r="K2060" s="29">
        <f>H2060-(Data_thang!O2060-Data_thang!K2060)</f>
        <v/>
      </c>
      <c r="L2060">
        <f>IF(AND(ABS(I2060)&gt;Dashboard!$G$6,ABS(J2060)&gt;Dashboard!$H$6),"⚠ Vượt","")</f>
        <v/>
      </c>
      <c r="M2060">
        <f>IF(AND(A2060=Dashboard!$D$6,OR(Dashboard!$C$6="*",F2060=Dashboard!$C$6),L2060&lt;&gt;""),ABS(I2060)+ROW()/1000000000,0)</f>
        <v/>
      </c>
    </row>
    <row r="2061">
      <c r="A2061">
        <f>Data_thang!A2061</f>
        <v/>
      </c>
      <c r="B2061">
        <f>Data_thang!B2061</f>
        <v/>
      </c>
      <c r="C2061">
        <f>Data_thang!D2061</f>
        <v/>
      </c>
      <c r="D2061">
        <f>Data_thang!E2061</f>
        <v/>
      </c>
      <c r="E2061">
        <f>Data_thang!F2061</f>
        <v/>
      </c>
      <c r="F2061">
        <f>Data_thang!G2061</f>
        <v/>
      </c>
      <c r="G2061" s="29">
        <f>Data_thang!J2061-Data_thang!K2061</f>
        <v/>
      </c>
      <c r="H2061" s="29">
        <f>Data_thang!N2061</f>
        <v/>
      </c>
      <c r="I2061" s="29">
        <f>H2061-G2061</f>
        <v/>
      </c>
      <c r="J2061" s="30">
        <f>IF(H2061=0,IF(I2061=0,0,1),I2061/ABS(H2061))</f>
        <v/>
      </c>
      <c r="K2061" s="29">
        <f>H2061-(Data_thang!O2061-Data_thang!K2061)</f>
        <v/>
      </c>
      <c r="L2061">
        <f>IF(AND(ABS(I2061)&gt;Dashboard!$G$6,ABS(J2061)&gt;Dashboard!$H$6),"⚠ Vượt","")</f>
        <v/>
      </c>
      <c r="M2061">
        <f>IF(AND(A2061=Dashboard!$D$6,OR(Dashboard!$C$6="*",F2061=Dashboard!$C$6),L2061&lt;&gt;""),ABS(I2061)+ROW()/1000000000,0)</f>
        <v/>
      </c>
    </row>
    <row r="2062">
      <c r="A2062">
        <f>Data_thang!A2062</f>
        <v/>
      </c>
      <c r="B2062">
        <f>Data_thang!B2062</f>
        <v/>
      </c>
      <c r="C2062">
        <f>Data_thang!D2062</f>
        <v/>
      </c>
      <c r="D2062">
        <f>Data_thang!E2062</f>
        <v/>
      </c>
      <c r="E2062">
        <f>Data_thang!F2062</f>
        <v/>
      </c>
      <c r="F2062">
        <f>Data_thang!G2062</f>
        <v/>
      </c>
      <c r="G2062" s="29">
        <f>Data_thang!J2062-Data_thang!K2062</f>
        <v/>
      </c>
      <c r="H2062" s="29">
        <f>Data_thang!N2062</f>
        <v/>
      </c>
      <c r="I2062" s="29">
        <f>H2062-G2062</f>
        <v/>
      </c>
      <c r="J2062" s="30">
        <f>IF(H2062=0,IF(I2062=0,0,1),I2062/ABS(H2062))</f>
        <v/>
      </c>
      <c r="K2062" s="29">
        <f>H2062-(Data_thang!O2062-Data_thang!K2062)</f>
        <v/>
      </c>
      <c r="L2062">
        <f>IF(AND(ABS(I2062)&gt;Dashboard!$G$6,ABS(J2062)&gt;Dashboard!$H$6),"⚠ Vượt","")</f>
        <v/>
      </c>
      <c r="M2062">
        <f>IF(AND(A2062=Dashboard!$D$6,OR(Dashboard!$C$6="*",F2062=Dashboard!$C$6),L2062&lt;&gt;""),ABS(I2062)+ROW()/1000000000,0)</f>
        <v/>
      </c>
    </row>
    <row r="2063">
      <c r="A2063">
        <f>Data_thang!A2063</f>
        <v/>
      </c>
      <c r="B2063">
        <f>Data_thang!B2063</f>
        <v/>
      </c>
      <c r="C2063">
        <f>Data_thang!D2063</f>
        <v/>
      </c>
      <c r="D2063">
        <f>Data_thang!E2063</f>
        <v/>
      </c>
      <c r="E2063">
        <f>Data_thang!F2063</f>
        <v/>
      </c>
      <c r="F2063">
        <f>Data_thang!G2063</f>
        <v/>
      </c>
      <c r="G2063" s="29">
        <f>Data_thang!J2063-Data_thang!K2063</f>
        <v/>
      </c>
      <c r="H2063" s="29">
        <f>Data_thang!N2063</f>
        <v/>
      </c>
      <c r="I2063" s="29">
        <f>H2063-G2063</f>
        <v/>
      </c>
      <c r="J2063" s="30">
        <f>IF(H2063=0,IF(I2063=0,0,1),I2063/ABS(H2063))</f>
        <v/>
      </c>
      <c r="K2063" s="29">
        <f>H2063-(Data_thang!O2063-Data_thang!K2063)</f>
        <v/>
      </c>
      <c r="L2063">
        <f>IF(AND(ABS(I2063)&gt;Dashboard!$G$6,ABS(J2063)&gt;Dashboard!$H$6),"⚠ Vượt","")</f>
        <v/>
      </c>
      <c r="M2063">
        <f>IF(AND(A2063=Dashboard!$D$6,OR(Dashboard!$C$6="*",F2063=Dashboard!$C$6),L2063&lt;&gt;""),ABS(I2063)+ROW()/1000000000,0)</f>
        <v/>
      </c>
    </row>
    <row r="2064">
      <c r="A2064">
        <f>Data_thang!A2064</f>
        <v/>
      </c>
      <c r="B2064">
        <f>Data_thang!B2064</f>
        <v/>
      </c>
      <c r="C2064">
        <f>Data_thang!D2064</f>
        <v/>
      </c>
      <c r="D2064">
        <f>Data_thang!E2064</f>
        <v/>
      </c>
      <c r="E2064">
        <f>Data_thang!F2064</f>
        <v/>
      </c>
      <c r="F2064">
        <f>Data_thang!G2064</f>
        <v/>
      </c>
      <c r="G2064" s="29">
        <f>Data_thang!J2064-Data_thang!K2064</f>
        <v/>
      </c>
      <c r="H2064" s="29">
        <f>Data_thang!N2064</f>
        <v/>
      </c>
      <c r="I2064" s="29">
        <f>H2064-G2064</f>
        <v/>
      </c>
      <c r="J2064" s="30">
        <f>IF(H2064=0,IF(I2064=0,0,1),I2064/ABS(H2064))</f>
        <v/>
      </c>
      <c r="K2064" s="29">
        <f>H2064-(Data_thang!O2064-Data_thang!K2064)</f>
        <v/>
      </c>
      <c r="L2064">
        <f>IF(AND(ABS(I2064)&gt;Dashboard!$G$6,ABS(J2064)&gt;Dashboard!$H$6),"⚠ Vượt","")</f>
        <v/>
      </c>
      <c r="M2064">
        <f>IF(AND(A2064=Dashboard!$D$6,OR(Dashboard!$C$6="*",F2064=Dashboard!$C$6),L2064&lt;&gt;""),ABS(I2064)+ROW()/1000000000,0)</f>
        <v/>
      </c>
    </row>
    <row r="2065">
      <c r="A2065">
        <f>Data_thang!A2065</f>
        <v/>
      </c>
      <c r="B2065">
        <f>Data_thang!B2065</f>
        <v/>
      </c>
      <c r="C2065">
        <f>Data_thang!D2065</f>
        <v/>
      </c>
      <c r="D2065">
        <f>Data_thang!E2065</f>
        <v/>
      </c>
      <c r="E2065">
        <f>Data_thang!F2065</f>
        <v/>
      </c>
      <c r="F2065">
        <f>Data_thang!G2065</f>
        <v/>
      </c>
      <c r="G2065" s="29">
        <f>Data_thang!J2065-Data_thang!K2065</f>
        <v/>
      </c>
      <c r="H2065" s="29">
        <f>Data_thang!N2065</f>
        <v/>
      </c>
      <c r="I2065" s="29">
        <f>H2065-G2065</f>
        <v/>
      </c>
      <c r="J2065" s="30">
        <f>IF(H2065=0,IF(I2065=0,0,1),I2065/ABS(H2065))</f>
        <v/>
      </c>
      <c r="K2065" s="29">
        <f>H2065-(Data_thang!O2065-Data_thang!K2065)</f>
        <v/>
      </c>
      <c r="L2065">
        <f>IF(AND(ABS(I2065)&gt;Dashboard!$G$6,ABS(J2065)&gt;Dashboard!$H$6),"⚠ Vượt","")</f>
        <v/>
      </c>
      <c r="M2065">
        <f>IF(AND(A2065=Dashboard!$D$6,OR(Dashboard!$C$6="*",F2065=Dashboard!$C$6),L2065&lt;&gt;""),ABS(I2065)+ROW()/1000000000,0)</f>
        <v/>
      </c>
    </row>
    <row r="2066">
      <c r="A2066">
        <f>Data_thang!A2066</f>
        <v/>
      </c>
      <c r="B2066">
        <f>Data_thang!B2066</f>
        <v/>
      </c>
      <c r="C2066">
        <f>Data_thang!D2066</f>
        <v/>
      </c>
      <c r="D2066">
        <f>Data_thang!E2066</f>
        <v/>
      </c>
      <c r="E2066">
        <f>Data_thang!F2066</f>
        <v/>
      </c>
      <c r="F2066">
        <f>Data_thang!G2066</f>
        <v/>
      </c>
      <c r="G2066" s="29">
        <f>Data_thang!J2066-Data_thang!K2066</f>
        <v/>
      </c>
      <c r="H2066" s="29">
        <f>Data_thang!N2066</f>
        <v/>
      </c>
      <c r="I2066" s="29">
        <f>H2066-G2066</f>
        <v/>
      </c>
      <c r="J2066" s="30">
        <f>IF(H2066=0,IF(I2066=0,0,1),I2066/ABS(H2066))</f>
        <v/>
      </c>
      <c r="K2066" s="29">
        <f>H2066-(Data_thang!O2066-Data_thang!K2066)</f>
        <v/>
      </c>
      <c r="L2066">
        <f>IF(AND(ABS(I2066)&gt;Dashboard!$G$6,ABS(J2066)&gt;Dashboard!$H$6),"⚠ Vượt","")</f>
        <v/>
      </c>
      <c r="M2066">
        <f>IF(AND(A2066=Dashboard!$D$6,OR(Dashboard!$C$6="*",F2066=Dashboard!$C$6),L2066&lt;&gt;""),ABS(I2066)+ROW()/1000000000,0)</f>
        <v/>
      </c>
    </row>
    <row r="2067">
      <c r="A2067">
        <f>Data_thang!A2067</f>
        <v/>
      </c>
      <c r="B2067">
        <f>Data_thang!B2067</f>
        <v/>
      </c>
      <c r="C2067">
        <f>Data_thang!D2067</f>
        <v/>
      </c>
      <c r="D2067">
        <f>Data_thang!E2067</f>
        <v/>
      </c>
      <c r="E2067">
        <f>Data_thang!F2067</f>
        <v/>
      </c>
      <c r="F2067">
        <f>Data_thang!G2067</f>
        <v/>
      </c>
      <c r="G2067" s="29">
        <f>Data_thang!J2067-Data_thang!K2067</f>
        <v/>
      </c>
      <c r="H2067" s="29">
        <f>Data_thang!N2067</f>
        <v/>
      </c>
      <c r="I2067" s="29">
        <f>H2067-G2067</f>
        <v/>
      </c>
      <c r="J2067" s="30">
        <f>IF(H2067=0,IF(I2067=0,0,1),I2067/ABS(H2067))</f>
        <v/>
      </c>
      <c r="K2067" s="29">
        <f>H2067-(Data_thang!O2067-Data_thang!K2067)</f>
        <v/>
      </c>
      <c r="L2067">
        <f>IF(AND(ABS(I2067)&gt;Dashboard!$G$6,ABS(J2067)&gt;Dashboard!$H$6),"⚠ Vượt","")</f>
        <v/>
      </c>
      <c r="M2067">
        <f>IF(AND(A2067=Dashboard!$D$6,OR(Dashboard!$C$6="*",F2067=Dashboard!$C$6),L2067&lt;&gt;""),ABS(I2067)+ROW()/1000000000,0)</f>
        <v/>
      </c>
    </row>
    <row r="2068">
      <c r="A2068">
        <f>Data_thang!A2068</f>
        <v/>
      </c>
      <c r="B2068">
        <f>Data_thang!B2068</f>
        <v/>
      </c>
      <c r="C2068">
        <f>Data_thang!D2068</f>
        <v/>
      </c>
      <c r="D2068">
        <f>Data_thang!E2068</f>
        <v/>
      </c>
      <c r="E2068">
        <f>Data_thang!F2068</f>
        <v/>
      </c>
      <c r="F2068">
        <f>Data_thang!G2068</f>
        <v/>
      </c>
      <c r="G2068" s="29">
        <f>Data_thang!J2068-Data_thang!K2068</f>
        <v/>
      </c>
      <c r="H2068" s="29">
        <f>Data_thang!N2068</f>
        <v/>
      </c>
      <c r="I2068" s="29">
        <f>H2068-G2068</f>
        <v/>
      </c>
      <c r="J2068" s="30">
        <f>IF(H2068=0,IF(I2068=0,0,1),I2068/ABS(H2068))</f>
        <v/>
      </c>
      <c r="K2068" s="29">
        <f>H2068-(Data_thang!O2068-Data_thang!K2068)</f>
        <v/>
      </c>
      <c r="L2068">
        <f>IF(AND(ABS(I2068)&gt;Dashboard!$G$6,ABS(J2068)&gt;Dashboard!$H$6),"⚠ Vượt","")</f>
        <v/>
      </c>
      <c r="M2068">
        <f>IF(AND(A2068=Dashboard!$D$6,OR(Dashboard!$C$6="*",F2068=Dashboard!$C$6),L2068&lt;&gt;""),ABS(I2068)+ROW()/1000000000,0)</f>
        <v/>
      </c>
    </row>
    <row r="2069">
      <c r="A2069">
        <f>Data_thang!A2069</f>
        <v/>
      </c>
      <c r="B2069">
        <f>Data_thang!B2069</f>
        <v/>
      </c>
      <c r="C2069">
        <f>Data_thang!D2069</f>
        <v/>
      </c>
      <c r="D2069">
        <f>Data_thang!E2069</f>
        <v/>
      </c>
      <c r="E2069">
        <f>Data_thang!F2069</f>
        <v/>
      </c>
      <c r="F2069">
        <f>Data_thang!G2069</f>
        <v/>
      </c>
      <c r="G2069" s="29">
        <f>Data_thang!J2069-Data_thang!K2069</f>
        <v/>
      </c>
      <c r="H2069" s="29">
        <f>Data_thang!N2069</f>
        <v/>
      </c>
      <c r="I2069" s="29">
        <f>H2069-G2069</f>
        <v/>
      </c>
      <c r="J2069" s="30">
        <f>IF(H2069=0,IF(I2069=0,0,1),I2069/ABS(H2069))</f>
        <v/>
      </c>
      <c r="K2069" s="29">
        <f>H2069-(Data_thang!O2069-Data_thang!K2069)</f>
        <v/>
      </c>
      <c r="L2069">
        <f>IF(AND(ABS(I2069)&gt;Dashboard!$G$6,ABS(J2069)&gt;Dashboard!$H$6),"⚠ Vượt","")</f>
        <v/>
      </c>
      <c r="M2069">
        <f>IF(AND(A2069=Dashboard!$D$6,OR(Dashboard!$C$6="*",F2069=Dashboard!$C$6),L2069&lt;&gt;""),ABS(I2069)+ROW()/1000000000,0)</f>
        <v/>
      </c>
    </row>
    <row r="2070">
      <c r="A2070">
        <f>Data_thang!A2070</f>
        <v/>
      </c>
      <c r="B2070">
        <f>Data_thang!B2070</f>
        <v/>
      </c>
      <c r="C2070">
        <f>Data_thang!D2070</f>
        <v/>
      </c>
      <c r="D2070">
        <f>Data_thang!E2070</f>
        <v/>
      </c>
      <c r="E2070">
        <f>Data_thang!F2070</f>
        <v/>
      </c>
      <c r="F2070">
        <f>Data_thang!G2070</f>
        <v/>
      </c>
      <c r="G2070" s="29">
        <f>Data_thang!J2070-Data_thang!K2070</f>
        <v/>
      </c>
      <c r="H2070" s="29">
        <f>Data_thang!N2070</f>
        <v/>
      </c>
      <c r="I2070" s="29">
        <f>H2070-G2070</f>
        <v/>
      </c>
      <c r="J2070" s="30">
        <f>IF(H2070=0,IF(I2070=0,0,1),I2070/ABS(H2070))</f>
        <v/>
      </c>
      <c r="K2070" s="29">
        <f>H2070-(Data_thang!O2070-Data_thang!K2070)</f>
        <v/>
      </c>
      <c r="L2070">
        <f>IF(AND(ABS(I2070)&gt;Dashboard!$G$6,ABS(J2070)&gt;Dashboard!$H$6),"⚠ Vượt","")</f>
        <v/>
      </c>
      <c r="M2070">
        <f>IF(AND(A2070=Dashboard!$D$6,OR(Dashboard!$C$6="*",F2070=Dashboard!$C$6),L2070&lt;&gt;""),ABS(I2070)+ROW()/1000000000,0)</f>
        <v/>
      </c>
    </row>
    <row r="2071">
      <c r="A2071">
        <f>Data_thang!A2071</f>
        <v/>
      </c>
      <c r="B2071">
        <f>Data_thang!B2071</f>
        <v/>
      </c>
      <c r="C2071">
        <f>Data_thang!D2071</f>
        <v/>
      </c>
      <c r="D2071">
        <f>Data_thang!E2071</f>
        <v/>
      </c>
      <c r="E2071">
        <f>Data_thang!F2071</f>
        <v/>
      </c>
      <c r="F2071">
        <f>Data_thang!G2071</f>
        <v/>
      </c>
      <c r="G2071" s="29">
        <f>Data_thang!J2071-Data_thang!K2071</f>
        <v/>
      </c>
      <c r="H2071" s="29">
        <f>Data_thang!N2071</f>
        <v/>
      </c>
      <c r="I2071" s="29">
        <f>H2071-G2071</f>
        <v/>
      </c>
      <c r="J2071" s="30">
        <f>IF(H2071=0,IF(I2071=0,0,1),I2071/ABS(H2071))</f>
        <v/>
      </c>
      <c r="K2071" s="29">
        <f>H2071-(Data_thang!O2071-Data_thang!K2071)</f>
        <v/>
      </c>
      <c r="L2071">
        <f>IF(AND(ABS(I2071)&gt;Dashboard!$G$6,ABS(J2071)&gt;Dashboard!$H$6),"⚠ Vượt","")</f>
        <v/>
      </c>
      <c r="M2071">
        <f>IF(AND(A2071=Dashboard!$D$6,OR(Dashboard!$C$6="*",F2071=Dashboard!$C$6),L2071&lt;&gt;""),ABS(I2071)+ROW()/1000000000,0)</f>
        <v/>
      </c>
    </row>
    <row r="2072">
      <c r="A2072">
        <f>Data_thang!A2072</f>
        <v/>
      </c>
      <c r="B2072">
        <f>Data_thang!B2072</f>
        <v/>
      </c>
      <c r="C2072">
        <f>Data_thang!D2072</f>
        <v/>
      </c>
      <c r="D2072">
        <f>Data_thang!E2072</f>
        <v/>
      </c>
      <c r="E2072">
        <f>Data_thang!F2072</f>
        <v/>
      </c>
      <c r="F2072">
        <f>Data_thang!G2072</f>
        <v/>
      </c>
      <c r="G2072" s="29">
        <f>Data_thang!J2072-Data_thang!K2072</f>
        <v/>
      </c>
      <c r="H2072" s="29">
        <f>Data_thang!N2072</f>
        <v/>
      </c>
      <c r="I2072" s="29">
        <f>H2072-G2072</f>
        <v/>
      </c>
      <c r="J2072" s="30">
        <f>IF(H2072=0,IF(I2072=0,0,1),I2072/ABS(H2072))</f>
        <v/>
      </c>
      <c r="K2072" s="29">
        <f>H2072-(Data_thang!O2072-Data_thang!K2072)</f>
        <v/>
      </c>
      <c r="L2072">
        <f>IF(AND(ABS(I2072)&gt;Dashboard!$G$6,ABS(J2072)&gt;Dashboard!$H$6),"⚠ Vượt","")</f>
        <v/>
      </c>
      <c r="M2072">
        <f>IF(AND(A2072=Dashboard!$D$6,OR(Dashboard!$C$6="*",F2072=Dashboard!$C$6),L2072&lt;&gt;""),ABS(I2072)+ROW()/1000000000,0)</f>
        <v/>
      </c>
    </row>
    <row r="2073">
      <c r="A2073">
        <f>Data_thang!A2073</f>
        <v/>
      </c>
      <c r="B2073">
        <f>Data_thang!B2073</f>
        <v/>
      </c>
      <c r="C2073">
        <f>Data_thang!D2073</f>
        <v/>
      </c>
      <c r="D2073">
        <f>Data_thang!E2073</f>
        <v/>
      </c>
      <c r="E2073">
        <f>Data_thang!F2073</f>
        <v/>
      </c>
      <c r="F2073">
        <f>Data_thang!G2073</f>
        <v/>
      </c>
      <c r="G2073" s="29">
        <f>Data_thang!J2073-Data_thang!K2073</f>
        <v/>
      </c>
      <c r="H2073" s="29">
        <f>Data_thang!N2073</f>
        <v/>
      </c>
      <c r="I2073" s="29">
        <f>H2073-G2073</f>
        <v/>
      </c>
      <c r="J2073" s="30">
        <f>IF(H2073=0,IF(I2073=0,0,1),I2073/ABS(H2073))</f>
        <v/>
      </c>
      <c r="K2073" s="29">
        <f>H2073-(Data_thang!O2073-Data_thang!K2073)</f>
        <v/>
      </c>
      <c r="L2073">
        <f>IF(AND(ABS(I2073)&gt;Dashboard!$G$6,ABS(J2073)&gt;Dashboard!$H$6),"⚠ Vượt","")</f>
        <v/>
      </c>
      <c r="M2073">
        <f>IF(AND(A2073=Dashboard!$D$6,OR(Dashboard!$C$6="*",F2073=Dashboard!$C$6),L2073&lt;&gt;""),ABS(I2073)+ROW()/1000000000,0)</f>
        <v/>
      </c>
    </row>
    <row r="2074">
      <c r="A2074">
        <f>Data_thang!A2074</f>
        <v/>
      </c>
      <c r="B2074">
        <f>Data_thang!B2074</f>
        <v/>
      </c>
      <c r="C2074">
        <f>Data_thang!D2074</f>
        <v/>
      </c>
      <c r="D2074">
        <f>Data_thang!E2074</f>
        <v/>
      </c>
      <c r="E2074">
        <f>Data_thang!F2074</f>
        <v/>
      </c>
      <c r="F2074">
        <f>Data_thang!G2074</f>
        <v/>
      </c>
      <c r="G2074" s="29">
        <f>Data_thang!J2074-Data_thang!K2074</f>
        <v/>
      </c>
      <c r="H2074" s="29">
        <f>Data_thang!N2074</f>
        <v/>
      </c>
      <c r="I2074" s="29">
        <f>H2074-G2074</f>
        <v/>
      </c>
      <c r="J2074" s="30">
        <f>IF(H2074=0,IF(I2074=0,0,1),I2074/ABS(H2074))</f>
        <v/>
      </c>
      <c r="K2074" s="29">
        <f>H2074-(Data_thang!O2074-Data_thang!K2074)</f>
        <v/>
      </c>
      <c r="L2074">
        <f>IF(AND(ABS(I2074)&gt;Dashboard!$G$6,ABS(J2074)&gt;Dashboard!$H$6),"⚠ Vượt","")</f>
        <v/>
      </c>
      <c r="M2074">
        <f>IF(AND(A2074=Dashboard!$D$6,OR(Dashboard!$C$6="*",F2074=Dashboard!$C$6),L2074&lt;&gt;""),ABS(I2074)+ROW()/1000000000,0)</f>
        <v/>
      </c>
    </row>
    <row r="2075">
      <c r="A2075">
        <f>Data_thang!A2075</f>
        <v/>
      </c>
      <c r="B2075">
        <f>Data_thang!B2075</f>
        <v/>
      </c>
      <c r="C2075">
        <f>Data_thang!D2075</f>
        <v/>
      </c>
      <c r="D2075">
        <f>Data_thang!E2075</f>
        <v/>
      </c>
      <c r="E2075">
        <f>Data_thang!F2075</f>
        <v/>
      </c>
      <c r="F2075">
        <f>Data_thang!G2075</f>
        <v/>
      </c>
      <c r="G2075" s="29">
        <f>Data_thang!J2075-Data_thang!K2075</f>
        <v/>
      </c>
      <c r="H2075" s="29">
        <f>Data_thang!N2075</f>
        <v/>
      </c>
      <c r="I2075" s="29">
        <f>H2075-G2075</f>
        <v/>
      </c>
      <c r="J2075" s="30">
        <f>IF(H2075=0,IF(I2075=0,0,1),I2075/ABS(H2075))</f>
        <v/>
      </c>
      <c r="K2075" s="29">
        <f>H2075-(Data_thang!O2075-Data_thang!K2075)</f>
        <v/>
      </c>
      <c r="L2075">
        <f>IF(AND(ABS(I2075)&gt;Dashboard!$G$6,ABS(J2075)&gt;Dashboard!$H$6),"⚠ Vượt","")</f>
        <v/>
      </c>
      <c r="M2075">
        <f>IF(AND(A2075=Dashboard!$D$6,OR(Dashboard!$C$6="*",F2075=Dashboard!$C$6),L2075&lt;&gt;""),ABS(I2075)+ROW()/1000000000,0)</f>
        <v/>
      </c>
    </row>
    <row r="2076">
      <c r="A2076">
        <f>Data_thang!A2076</f>
        <v/>
      </c>
      <c r="B2076">
        <f>Data_thang!B2076</f>
        <v/>
      </c>
      <c r="C2076">
        <f>Data_thang!D2076</f>
        <v/>
      </c>
      <c r="D2076">
        <f>Data_thang!E2076</f>
        <v/>
      </c>
      <c r="E2076">
        <f>Data_thang!F2076</f>
        <v/>
      </c>
      <c r="F2076">
        <f>Data_thang!G2076</f>
        <v/>
      </c>
      <c r="G2076" s="29">
        <f>Data_thang!J2076-Data_thang!K2076</f>
        <v/>
      </c>
      <c r="H2076" s="29">
        <f>Data_thang!N2076</f>
        <v/>
      </c>
      <c r="I2076" s="29">
        <f>H2076-G2076</f>
        <v/>
      </c>
      <c r="J2076" s="30">
        <f>IF(H2076=0,IF(I2076=0,0,1),I2076/ABS(H2076))</f>
        <v/>
      </c>
      <c r="K2076" s="29">
        <f>H2076-(Data_thang!O2076-Data_thang!K2076)</f>
        <v/>
      </c>
      <c r="L2076">
        <f>IF(AND(ABS(I2076)&gt;Dashboard!$G$6,ABS(J2076)&gt;Dashboard!$H$6),"⚠ Vượt","")</f>
        <v/>
      </c>
      <c r="M2076">
        <f>IF(AND(A2076=Dashboard!$D$6,OR(Dashboard!$C$6="*",F2076=Dashboard!$C$6),L2076&lt;&gt;""),ABS(I2076)+ROW()/1000000000,0)</f>
        <v/>
      </c>
    </row>
    <row r="2077">
      <c r="A2077">
        <f>Data_thang!A2077</f>
        <v/>
      </c>
      <c r="B2077">
        <f>Data_thang!B2077</f>
        <v/>
      </c>
      <c r="C2077">
        <f>Data_thang!D2077</f>
        <v/>
      </c>
      <c r="D2077">
        <f>Data_thang!E2077</f>
        <v/>
      </c>
      <c r="E2077">
        <f>Data_thang!F2077</f>
        <v/>
      </c>
      <c r="F2077">
        <f>Data_thang!G2077</f>
        <v/>
      </c>
      <c r="G2077" s="29">
        <f>Data_thang!J2077-Data_thang!K2077</f>
        <v/>
      </c>
      <c r="H2077" s="29">
        <f>Data_thang!N2077</f>
        <v/>
      </c>
      <c r="I2077" s="29">
        <f>H2077-G2077</f>
        <v/>
      </c>
      <c r="J2077" s="30">
        <f>IF(H2077=0,IF(I2077=0,0,1),I2077/ABS(H2077))</f>
        <v/>
      </c>
      <c r="K2077" s="29">
        <f>H2077-(Data_thang!O2077-Data_thang!K2077)</f>
        <v/>
      </c>
      <c r="L2077">
        <f>IF(AND(ABS(I2077)&gt;Dashboard!$G$6,ABS(J2077)&gt;Dashboard!$H$6),"⚠ Vượt","")</f>
        <v/>
      </c>
      <c r="M2077">
        <f>IF(AND(A2077=Dashboard!$D$6,OR(Dashboard!$C$6="*",F2077=Dashboard!$C$6),L2077&lt;&gt;""),ABS(I2077)+ROW()/1000000000,0)</f>
        <v/>
      </c>
    </row>
    <row r="2078">
      <c r="A2078">
        <f>Data_thang!A2078</f>
        <v/>
      </c>
      <c r="B2078">
        <f>Data_thang!B2078</f>
        <v/>
      </c>
      <c r="C2078">
        <f>Data_thang!D2078</f>
        <v/>
      </c>
      <c r="D2078">
        <f>Data_thang!E2078</f>
        <v/>
      </c>
      <c r="E2078">
        <f>Data_thang!F2078</f>
        <v/>
      </c>
      <c r="F2078">
        <f>Data_thang!G2078</f>
        <v/>
      </c>
      <c r="G2078" s="29">
        <f>Data_thang!J2078-Data_thang!K2078</f>
        <v/>
      </c>
      <c r="H2078" s="29">
        <f>Data_thang!N2078</f>
        <v/>
      </c>
      <c r="I2078" s="29">
        <f>H2078-G2078</f>
        <v/>
      </c>
      <c r="J2078" s="30">
        <f>IF(H2078=0,IF(I2078=0,0,1),I2078/ABS(H2078))</f>
        <v/>
      </c>
      <c r="K2078" s="29">
        <f>H2078-(Data_thang!O2078-Data_thang!K2078)</f>
        <v/>
      </c>
      <c r="L2078">
        <f>IF(AND(ABS(I2078)&gt;Dashboard!$G$6,ABS(J2078)&gt;Dashboard!$H$6),"⚠ Vượt","")</f>
        <v/>
      </c>
      <c r="M2078">
        <f>IF(AND(A2078=Dashboard!$D$6,OR(Dashboard!$C$6="*",F2078=Dashboard!$C$6),L2078&lt;&gt;""),ABS(I2078)+ROW()/1000000000,0)</f>
        <v/>
      </c>
    </row>
    <row r="2079">
      <c r="A2079">
        <f>Data_thang!A2079</f>
        <v/>
      </c>
      <c r="B2079">
        <f>Data_thang!B2079</f>
        <v/>
      </c>
      <c r="C2079">
        <f>Data_thang!D2079</f>
        <v/>
      </c>
      <c r="D2079">
        <f>Data_thang!E2079</f>
        <v/>
      </c>
      <c r="E2079">
        <f>Data_thang!F2079</f>
        <v/>
      </c>
      <c r="F2079">
        <f>Data_thang!G2079</f>
        <v/>
      </c>
      <c r="G2079" s="29">
        <f>Data_thang!J2079-Data_thang!K2079</f>
        <v/>
      </c>
      <c r="H2079" s="29">
        <f>Data_thang!N2079</f>
        <v/>
      </c>
      <c r="I2079" s="29">
        <f>H2079-G2079</f>
        <v/>
      </c>
      <c r="J2079" s="30">
        <f>IF(H2079=0,IF(I2079=0,0,1),I2079/ABS(H2079))</f>
        <v/>
      </c>
      <c r="K2079" s="29">
        <f>H2079-(Data_thang!O2079-Data_thang!K2079)</f>
        <v/>
      </c>
      <c r="L2079">
        <f>IF(AND(ABS(I2079)&gt;Dashboard!$G$6,ABS(J2079)&gt;Dashboard!$H$6),"⚠ Vượt","")</f>
        <v/>
      </c>
      <c r="M2079">
        <f>IF(AND(A2079=Dashboard!$D$6,OR(Dashboard!$C$6="*",F2079=Dashboard!$C$6),L2079&lt;&gt;""),ABS(I2079)+ROW()/1000000000,0)</f>
        <v/>
      </c>
    </row>
    <row r="2080">
      <c r="A2080">
        <f>Data_thang!A2080</f>
        <v/>
      </c>
      <c r="B2080">
        <f>Data_thang!B2080</f>
        <v/>
      </c>
      <c r="C2080">
        <f>Data_thang!D2080</f>
        <v/>
      </c>
      <c r="D2080">
        <f>Data_thang!E2080</f>
        <v/>
      </c>
      <c r="E2080">
        <f>Data_thang!F2080</f>
        <v/>
      </c>
      <c r="F2080">
        <f>Data_thang!G2080</f>
        <v/>
      </c>
      <c r="G2080" s="29">
        <f>Data_thang!J2080-Data_thang!K2080</f>
        <v/>
      </c>
      <c r="H2080" s="29">
        <f>Data_thang!N2080</f>
        <v/>
      </c>
      <c r="I2080" s="29">
        <f>H2080-G2080</f>
        <v/>
      </c>
      <c r="J2080" s="30">
        <f>IF(H2080=0,IF(I2080=0,0,1),I2080/ABS(H2080))</f>
        <v/>
      </c>
      <c r="K2080" s="29">
        <f>H2080-(Data_thang!O2080-Data_thang!K2080)</f>
        <v/>
      </c>
      <c r="L2080">
        <f>IF(AND(ABS(I2080)&gt;Dashboard!$G$6,ABS(J2080)&gt;Dashboard!$H$6),"⚠ Vượt","")</f>
        <v/>
      </c>
      <c r="M2080">
        <f>IF(AND(A2080=Dashboard!$D$6,OR(Dashboard!$C$6="*",F2080=Dashboard!$C$6),L2080&lt;&gt;""),ABS(I2080)+ROW()/1000000000,0)</f>
        <v/>
      </c>
    </row>
    <row r="2081">
      <c r="A2081">
        <f>Data_thang!A2081</f>
        <v/>
      </c>
      <c r="B2081">
        <f>Data_thang!B2081</f>
        <v/>
      </c>
      <c r="C2081">
        <f>Data_thang!D2081</f>
        <v/>
      </c>
      <c r="D2081">
        <f>Data_thang!E2081</f>
        <v/>
      </c>
      <c r="E2081">
        <f>Data_thang!F2081</f>
        <v/>
      </c>
      <c r="F2081">
        <f>Data_thang!G2081</f>
        <v/>
      </c>
      <c r="G2081" s="29">
        <f>Data_thang!J2081-Data_thang!K2081</f>
        <v/>
      </c>
      <c r="H2081" s="29">
        <f>Data_thang!N2081</f>
        <v/>
      </c>
      <c r="I2081" s="29">
        <f>H2081-G2081</f>
        <v/>
      </c>
      <c r="J2081" s="30">
        <f>IF(H2081=0,IF(I2081=0,0,1),I2081/ABS(H2081))</f>
        <v/>
      </c>
      <c r="K2081" s="29">
        <f>H2081-(Data_thang!O2081-Data_thang!K2081)</f>
        <v/>
      </c>
      <c r="L2081">
        <f>IF(AND(ABS(I2081)&gt;Dashboard!$G$6,ABS(J2081)&gt;Dashboard!$H$6),"⚠ Vượt","")</f>
        <v/>
      </c>
      <c r="M2081">
        <f>IF(AND(A2081=Dashboard!$D$6,OR(Dashboard!$C$6="*",F2081=Dashboard!$C$6),L2081&lt;&gt;""),ABS(I2081)+ROW()/1000000000,0)</f>
        <v/>
      </c>
    </row>
    <row r="2082">
      <c r="A2082">
        <f>Data_thang!A2082</f>
        <v/>
      </c>
      <c r="B2082">
        <f>Data_thang!B2082</f>
        <v/>
      </c>
      <c r="C2082">
        <f>Data_thang!D2082</f>
        <v/>
      </c>
      <c r="D2082">
        <f>Data_thang!E2082</f>
        <v/>
      </c>
      <c r="E2082">
        <f>Data_thang!F2082</f>
        <v/>
      </c>
      <c r="F2082">
        <f>Data_thang!G2082</f>
        <v/>
      </c>
      <c r="G2082" s="29">
        <f>Data_thang!J2082-Data_thang!K2082</f>
        <v/>
      </c>
      <c r="H2082" s="29">
        <f>Data_thang!N2082</f>
        <v/>
      </c>
      <c r="I2082" s="29">
        <f>H2082-G2082</f>
        <v/>
      </c>
      <c r="J2082" s="30">
        <f>IF(H2082=0,IF(I2082=0,0,1),I2082/ABS(H2082))</f>
        <v/>
      </c>
      <c r="K2082" s="29">
        <f>H2082-(Data_thang!O2082-Data_thang!K2082)</f>
        <v/>
      </c>
      <c r="L2082">
        <f>IF(AND(ABS(I2082)&gt;Dashboard!$G$6,ABS(J2082)&gt;Dashboard!$H$6),"⚠ Vượt","")</f>
        <v/>
      </c>
      <c r="M2082">
        <f>IF(AND(A2082=Dashboard!$D$6,OR(Dashboard!$C$6="*",F2082=Dashboard!$C$6),L2082&lt;&gt;""),ABS(I2082)+ROW()/1000000000,0)</f>
        <v/>
      </c>
    </row>
    <row r="2083">
      <c r="A2083">
        <f>Data_thang!A2083</f>
        <v/>
      </c>
      <c r="B2083">
        <f>Data_thang!B2083</f>
        <v/>
      </c>
      <c r="C2083">
        <f>Data_thang!D2083</f>
        <v/>
      </c>
      <c r="D2083">
        <f>Data_thang!E2083</f>
        <v/>
      </c>
      <c r="E2083">
        <f>Data_thang!F2083</f>
        <v/>
      </c>
      <c r="F2083">
        <f>Data_thang!G2083</f>
        <v/>
      </c>
      <c r="G2083" s="29">
        <f>Data_thang!J2083-Data_thang!K2083</f>
        <v/>
      </c>
      <c r="H2083" s="29">
        <f>Data_thang!N2083</f>
        <v/>
      </c>
      <c r="I2083" s="29">
        <f>H2083-G2083</f>
        <v/>
      </c>
      <c r="J2083" s="30">
        <f>IF(H2083=0,IF(I2083=0,0,1),I2083/ABS(H2083))</f>
        <v/>
      </c>
      <c r="K2083" s="29">
        <f>H2083-(Data_thang!O2083-Data_thang!K2083)</f>
        <v/>
      </c>
      <c r="L2083">
        <f>IF(AND(ABS(I2083)&gt;Dashboard!$G$6,ABS(J2083)&gt;Dashboard!$H$6),"⚠ Vượt","")</f>
        <v/>
      </c>
      <c r="M2083">
        <f>IF(AND(A2083=Dashboard!$D$6,OR(Dashboard!$C$6="*",F2083=Dashboard!$C$6),L2083&lt;&gt;""),ABS(I2083)+ROW()/1000000000,0)</f>
        <v/>
      </c>
    </row>
    <row r="2084">
      <c r="A2084">
        <f>Data_thang!A2084</f>
        <v/>
      </c>
      <c r="B2084">
        <f>Data_thang!B2084</f>
        <v/>
      </c>
      <c r="C2084">
        <f>Data_thang!D2084</f>
        <v/>
      </c>
      <c r="D2084">
        <f>Data_thang!E2084</f>
        <v/>
      </c>
      <c r="E2084">
        <f>Data_thang!F2084</f>
        <v/>
      </c>
      <c r="F2084">
        <f>Data_thang!G2084</f>
        <v/>
      </c>
      <c r="G2084" s="29">
        <f>Data_thang!J2084-Data_thang!K2084</f>
        <v/>
      </c>
      <c r="H2084" s="29">
        <f>Data_thang!N2084</f>
        <v/>
      </c>
      <c r="I2084" s="29">
        <f>H2084-G2084</f>
        <v/>
      </c>
      <c r="J2084" s="30">
        <f>IF(H2084=0,IF(I2084=0,0,1),I2084/ABS(H2084))</f>
        <v/>
      </c>
      <c r="K2084" s="29">
        <f>H2084-(Data_thang!O2084-Data_thang!K2084)</f>
        <v/>
      </c>
      <c r="L2084">
        <f>IF(AND(ABS(I2084)&gt;Dashboard!$G$6,ABS(J2084)&gt;Dashboard!$H$6),"⚠ Vượt","")</f>
        <v/>
      </c>
      <c r="M2084">
        <f>IF(AND(A2084=Dashboard!$D$6,OR(Dashboard!$C$6="*",F2084=Dashboard!$C$6),L2084&lt;&gt;""),ABS(I2084)+ROW()/1000000000,0)</f>
        <v/>
      </c>
    </row>
    <row r="2085">
      <c r="A2085">
        <f>Data_thang!A2085</f>
        <v/>
      </c>
      <c r="B2085">
        <f>Data_thang!B2085</f>
        <v/>
      </c>
      <c r="C2085">
        <f>Data_thang!D2085</f>
        <v/>
      </c>
      <c r="D2085">
        <f>Data_thang!E2085</f>
        <v/>
      </c>
      <c r="E2085">
        <f>Data_thang!F2085</f>
        <v/>
      </c>
      <c r="F2085">
        <f>Data_thang!G2085</f>
        <v/>
      </c>
      <c r="G2085" s="29">
        <f>Data_thang!J2085-Data_thang!K2085</f>
        <v/>
      </c>
      <c r="H2085" s="29">
        <f>Data_thang!N2085</f>
        <v/>
      </c>
      <c r="I2085" s="29">
        <f>H2085-G2085</f>
        <v/>
      </c>
      <c r="J2085" s="30">
        <f>IF(H2085=0,IF(I2085=0,0,1),I2085/ABS(H2085))</f>
        <v/>
      </c>
      <c r="K2085" s="29">
        <f>H2085-(Data_thang!O2085-Data_thang!K2085)</f>
        <v/>
      </c>
      <c r="L2085">
        <f>IF(AND(ABS(I2085)&gt;Dashboard!$G$6,ABS(J2085)&gt;Dashboard!$H$6),"⚠ Vượt","")</f>
        <v/>
      </c>
      <c r="M2085">
        <f>IF(AND(A2085=Dashboard!$D$6,OR(Dashboard!$C$6="*",F2085=Dashboard!$C$6),L2085&lt;&gt;""),ABS(I2085)+ROW()/1000000000,0)</f>
        <v/>
      </c>
    </row>
    <row r="2086">
      <c r="A2086">
        <f>Data_thang!A2086</f>
        <v/>
      </c>
      <c r="B2086">
        <f>Data_thang!B2086</f>
        <v/>
      </c>
      <c r="C2086">
        <f>Data_thang!D2086</f>
        <v/>
      </c>
      <c r="D2086">
        <f>Data_thang!E2086</f>
        <v/>
      </c>
      <c r="E2086">
        <f>Data_thang!F2086</f>
        <v/>
      </c>
      <c r="F2086">
        <f>Data_thang!G2086</f>
        <v/>
      </c>
      <c r="G2086" s="29">
        <f>Data_thang!J2086-Data_thang!K2086</f>
        <v/>
      </c>
      <c r="H2086" s="29">
        <f>Data_thang!N2086</f>
        <v/>
      </c>
      <c r="I2086" s="29">
        <f>H2086-G2086</f>
        <v/>
      </c>
      <c r="J2086" s="30">
        <f>IF(H2086=0,IF(I2086=0,0,1),I2086/ABS(H2086))</f>
        <v/>
      </c>
      <c r="K2086" s="29">
        <f>H2086-(Data_thang!O2086-Data_thang!K2086)</f>
        <v/>
      </c>
      <c r="L2086">
        <f>IF(AND(ABS(I2086)&gt;Dashboard!$G$6,ABS(J2086)&gt;Dashboard!$H$6),"⚠ Vượt","")</f>
        <v/>
      </c>
      <c r="M2086">
        <f>IF(AND(A2086=Dashboard!$D$6,OR(Dashboard!$C$6="*",F2086=Dashboard!$C$6),L2086&lt;&gt;""),ABS(I2086)+ROW()/1000000000,0)</f>
        <v/>
      </c>
    </row>
    <row r="2087">
      <c r="A2087">
        <f>Data_thang!A2087</f>
        <v/>
      </c>
      <c r="B2087">
        <f>Data_thang!B2087</f>
        <v/>
      </c>
      <c r="C2087">
        <f>Data_thang!D2087</f>
        <v/>
      </c>
      <c r="D2087">
        <f>Data_thang!E2087</f>
        <v/>
      </c>
      <c r="E2087">
        <f>Data_thang!F2087</f>
        <v/>
      </c>
      <c r="F2087">
        <f>Data_thang!G2087</f>
        <v/>
      </c>
      <c r="G2087" s="29">
        <f>Data_thang!J2087-Data_thang!K2087</f>
        <v/>
      </c>
      <c r="H2087" s="29">
        <f>Data_thang!N2087</f>
        <v/>
      </c>
      <c r="I2087" s="29">
        <f>H2087-G2087</f>
        <v/>
      </c>
      <c r="J2087" s="30">
        <f>IF(H2087=0,IF(I2087=0,0,1),I2087/ABS(H2087))</f>
        <v/>
      </c>
      <c r="K2087" s="29">
        <f>H2087-(Data_thang!O2087-Data_thang!K2087)</f>
        <v/>
      </c>
      <c r="L2087">
        <f>IF(AND(ABS(I2087)&gt;Dashboard!$G$6,ABS(J2087)&gt;Dashboard!$H$6),"⚠ Vượt","")</f>
        <v/>
      </c>
      <c r="M2087">
        <f>IF(AND(A2087=Dashboard!$D$6,OR(Dashboard!$C$6="*",F2087=Dashboard!$C$6),L2087&lt;&gt;""),ABS(I2087)+ROW()/1000000000,0)</f>
        <v/>
      </c>
    </row>
    <row r="2088">
      <c r="A2088">
        <f>Data_thang!A2088</f>
        <v/>
      </c>
      <c r="B2088">
        <f>Data_thang!B2088</f>
        <v/>
      </c>
      <c r="C2088">
        <f>Data_thang!D2088</f>
        <v/>
      </c>
      <c r="D2088">
        <f>Data_thang!E2088</f>
        <v/>
      </c>
      <c r="E2088">
        <f>Data_thang!F2088</f>
        <v/>
      </c>
      <c r="F2088">
        <f>Data_thang!G2088</f>
        <v/>
      </c>
      <c r="G2088" s="29">
        <f>Data_thang!J2088-Data_thang!K2088</f>
        <v/>
      </c>
      <c r="H2088" s="29">
        <f>Data_thang!N2088</f>
        <v/>
      </c>
      <c r="I2088" s="29">
        <f>H2088-G2088</f>
        <v/>
      </c>
      <c r="J2088" s="30">
        <f>IF(H2088=0,IF(I2088=0,0,1),I2088/ABS(H2088))</f>
        <v/>
      </c>
      <c r="K2088" s="29">
        <f>H2088-(Data_thang!O2088-Data_thang!K2088)</f>
        <v/>
      </c>
      <c r="L2088">
        <f>IF(AND(ABS(I2088)&gt;Dashboard!$G$6,ABS(J2088)&gt;Dashboard!$H$6),"⚠ Vượt","")</f>
        <v/>
      </c>
      <c r="M2088">
        <f>IF(AND(A2088=Dashboard!$D$6,OR(Dashboard!$C$6="*",F2088=Dashboard!$C$6),L2088&lt;&gt;""),ABS(I2088)+ROW()/1000000000,0)</f>
        <v/>
      </c>
    </row>
    <row r="2089">
      <c r="A2089">
        <f>Data_thang!A2089</f>
        <v/>
      </c>
      <c r="B2089">
        <f>Data_thang!B2089</f>
        <v/>
      </c>
      <c r="C2089">
        <f>Data_thang!D2089</f>
        <v/>
      </c>
      <c r="D2089">
        <f>Data_thang!E2089</f>
        <v/>
      </c>
      <c r="E2089">
        <f>Data_thang!F2089</f>
        <v/>
      </c>
      <c r="F2089">
        <f>Data_thang!G2089</f>
        <v/>
      </c>
      <c r="G2089" s="29">
        <f>Data_thang!J2089-Data_thang!K2089</f>
        <v/>
      </c>
      <c r="H2089" s="29">
        <f>Data_thang!N2089</f>
        <v/>
      </c>
      <c r="I2089" s="29">
        <f>H2089-G2089</f>
        <v/>
      </c>
      <c r="J2089" s="30">
        <f>IF(H2089=0,IF(I2089=0,0,1),I2089/ABS(H2089))</f>
        <v/>
      </c>
      <c r="K2089" s="29">
        <f>H2089-(Data_thang!O2089-Data_thang!K2089)</f>
        <v/>
      </c>
      <c r="L2089">
        <f>IF(AND(ABS(I2089)&gt;Dashboard!$G$6,ABS(J2089)&gt;Dashboard!$H$6),"⚠ Vượt","")</f>
        <v/>
      </c>
      <c r="M2089">
        <f>IF(AND(A2089=Dashboard!$D$6,OR(Dashboard!$C$6="*",F2089=Dashboard!$C$6),L2089&lt;&gt;""),ABS(I2089)+ROW()/1000000000,0)</f>
        <v/>
      </c>
    </row>
    <row r="2090">
      <c r="A2090">
        <f>Data_thang!A2090</f>
        <v/>
      </c>
      <c r="B2090">
        <f>Data_thang!B2090</f>
        <v/>
      </c>
      <c r="C2090">
        <f>Data_thang!D2090</f>
        <v/>
      </c>
      <c r="D2090">
        <f>Data_thang!E2090</f>
        <v/>
      </c>
      <c r="E2090">
        <f>Data_thang!F2090</f>
        <v/>
      </c>
      <c r="F2090">
        <f>Data_thang!G2090</f>
        <v/>
      </c>
      <c r="G2090" s="29">
        <f>Data_thang!J2090-Data_thang!K2090</f>
        <v/>
      </c>
      <c r="H2090" s="29">
        <f>Data_thang!N2090</f>
        <v/>
      </c>
      <c r="I2090" s="29">
        <f>H2090-G2090</f>
        <v/>
      </c>
      <c r="J2090" s="30">
        <f>IF(H2090=0,IF(I2090=0,0,1),I2090/ABS(H2090))</f>
        <v/>
      </c>
      <c r="K2090" s="29">
        <f>H2090-(Data_thang!O2090-Data_thang!K2090)</f>
        <v/>
      </c>
      <c r="L2090">
        <f>IF(AND(ABS(I2090)&gt;Dashboard!$G$6,ABS(J2090)&gt;Dashboard!$H$6),"⚠ Vượt","")</f>
        <v/>
      </c>
      <c r="M2090">
        <f>IF(AND(A2090=Dashboard!$D$6,OR(Dashboard!$C$6="*",F2090=Dashboard!$C$6),L2090&lt;&gt;""),ABS(I2090)+ROW()/1000000000,0)</f>
        <v/>
      </c>
    </row>
    <row r="2091">
      <c r="A2091">
        <f>Data_thang!A2091</f>
        <v/>
      </c>
      <c r="B2091">
        <f>Data_thang!B2091</f>
        <v/>
      </c>
      <c r="C2091">
        <f>Data_thang!D2091</f>
        <v/>
      </c>
      <c r="D2091">
        <f>Data_thang!E2091</f>
        <v/>
      </c>
      <c r="E2091">
        <f>Data_thang!F2091</f>
        <v/>
      </c>
      <c r="F2091">
        <f>Data_thang!G2091</f>
        <v/>
      </c>
      <c r="G2091" s="29">
        <f>Data_thang!J2091-Data_thang!K2091</f>
        <v/>
      </c>
      <c r="H2091" s="29">
        <f>Data_thang!N2091</f>
        <v/>
      </c>
      <c r="I2091" s="29">
        <f>H2091-G2091</f>
        <v/>
      </c>
      <c r="J2091" s="30">
        <f>IF(H2091=0,IF(I2091=0,0,1),I2091/ABS(H2091))</f>
        <v/>
      </c>
      <c r="K2091" s="29">
        <f>H2091-(Data_thang!O2091-Data_thang!K2091)</f>
        <v/>
      </c>
      <c r="L2091">
        <f>IF(AND(ABS(I2091)&gt;Dashboard!$G$6,ABS(J2091)&gt;Dashboard!$H$6),"⚠ Vượt","")</f>
        <v/>
      </c>
      <c r="M2091">
        <f>IF(AND(A2091=Dashboard!$D$6,OR(Dashboard!$C$6="*",F2091=Dashboard!$C$6),L2091&lt;&gt;""),ABS(I2091)+ROW()/1000000000,0)</f>
        <v/>
      </c>
    </row>
    <row r="2092">
      <c r="A2092">
        <f>Data_thang!A2092</f>
        <v/>
      </c>
      <c r="B2092">
        <f>Data_thang!B2092</f>
        <v/>
      </c>
      <c r="C2092">
        <f>Data_thang!D2092</f>
        <v/>
      </c>
      <c r="D2092">
        <f>Data_thang!E2092</f>
        <v/>
      </c>
      <c r="E2092">
        <f>Data_thang!F2092</f>
        <v/>
      </c>
      <c r="F2092">
        <f>Data_thang!G2092</f>
        <v/>
      </c>
      <c r="G2092" s="29">
        <f>Data_thang!J2092-Data_thang!K2092</f>
        <v/>
      </c>
      <c r="H2092" s="29">
        <f>Data_thang!N2092</f>
        <v/>
      </c>
      <c r="I2092" s="29">
        <f>H2092-G2092</f>
        <v/>
      </c>
      <c r="J2092" s="30">
        <f>IF(H2092=0,IF(I2092=0,0,1),I2092/ABS(H2092))</f>
        <v/>
      </c>
      <c r="K2092" s="29">
        <f>H2092-(Data_thang!O2092-Data_thang!K2092)</f>
        <v/>
      </c>
      <c r="L2092">
        <f>IF(AND(ABS(I2092)&gt;Dashboard!$G$6,ABS(J2092)&gt;Dashboard!$H$6),"⚠ Vượt","")</f>
        <v/>
      </c>
      <c r="M2092">
        <f>IF(AND(A2092=Dashboard!$D$6,OR(Dashboard!$C$6="*",F2092=Dashboard!$C$6),L2092&lt;&gt;""),ABS(I2092)+ROW()/1000000000,0)</f>
        <v/>
      </c>
    </row>
    <row r="2093">
      <c r="A2093">
        <f>Data_thang!A2093</f>
        <v/>
      </c>
      <c r="B2093">
        <f>Data_thang!B2093</f>
        <v/>
      </c>
      <c r="C2093">
        <f>Data_thang!D2093</f>
        <v/>
      </c>
      <c r="D2093">
        <f>Data_thang!E2093</f>
        <v/>
      </c>
      <c r="E2093">
        <f>Data_thang!F2093</f>
        <v/>
      </c>
      <c r="F2093">
        <f>Data_thang!G2093</f>
        <v/>
      </c>
      <c r="G2093" s="29">
        <f>Data_thang!J2093-Data_thang!K2093</f>
        <v/>
      </c>
      <c r="H2093" s="29">
        <f>Data_thang!N2093</f>
        <v/>
      </c>
      <c r="I2093" s="29">
        <f>H2093-G2093</f>
        <v/>
      </c>
      <c r="J2093" s="30">
        <f>IF(H2093=0,IF(I2093=0,0,1),I2093/ABS(H2093))</f>
        <v/>
      </c>
      <c r="K2093" s="29">
        <f>H2093-(Data_thang!O2093-Data_thang!K2093)</f>
        <v/>
      </c>
      <c r="L2093">
        <f>IF(AND(ABS(I2093)&gt;Dashboard!$G$6,ABS(J2093)&gt;Dashboard!$H$6),"⚠ Vượt","")</f>
        <v/>
      </c>
      <c r="M2093">
        <f>IF(AND(A2093=Dashboard!$D$6,OR(Dashboard!$C$6="*",F2093=Dashboard!$C$6),L2093&lt;&gt;""),ABS(I2093)+ROW()/1000000000,0)</f>
        <v/>
      </c>
    </row>
    <row r="2094">
      <c r="A2094">
        <f>Data_thang!A2094</f>
        <v/>
      </c>
      <c r="B2094">
        <f>Data_thang!B2094</f>
        <v/>
      </c>
      <c r="C2094">
        <f>Data_thang!D2094</f>
        <v/>
      </c>
      <c r="D2094">
        <f>Data_thang!E2094</f>
        <v/>
      </c>
      <c r="E2094">
        <f>Data_thang!F2094</f>
        <v/>
      </c>
      <c r="F2094">
        <f>Data_thang!G2094</f>
        <v/>
      </c>
      <c r="G2094" s="29">
        <f>Data_thang!J2094-Data_thang!K2094</f>
        <v/>
      </c>
      <c r="H2094" s="29">
        <f>Data_thang!N2094</f>
        <v/>
      </c>
      <c r="I2094" s="29">
        <f>H2094-G2094</f>
        <v/>
      </c>
      <c r="J2094" s="30">
        <f>IF(H2094=0,IF(I2094=0,0,1),I2094/ABS(H2094))</f>
        <v/>
      </c>
      <c r="K2094" s="29">
        <f>H2094-(Data_thang!O2094-Data_thang!K2094)</f>
        <v/>
      </c>
      <c r="L2094">
        <f>IF(AND(ABS(I2094)&gt;Dashboard!$G$6,ABS(J2094)&gt;Dashboard!$H$6),"⚠ Vượt","")</f>
        <v/>
      </c>
      <c r="M2094">
        <f>IF(AND(A2094=Dashboard!$D$6,OR(Dashboard!$C$6="*",F2094=Dashboard!$C$6),L2094&lt;&gt;""),ABS(I2094)+ROW()/1000000000,0)</f>
        <v/>
      </c>
    </row>
    <row r="2095">
      <c r="A2095">
        <f>Data_thang!A2095</f>
        <v/>
      </c>
      <c r="B2095">
        <f>Data_thang!B2095</f>
        <v/>
      </c>
      <c r="C2095">
        <f>Data_thang!D2095</f>
        <v/>
      </c>
      <c r="D2095">
        <f>Data_thang!E2095</f>
        <v/>
      </c>
      <c r="E2095">
        <f>Data_thang!F2095</f>
        <v/>
      </c>
      <c r="F2095">
        <f>Data_thang!G2095</f>
        <v/>
      </c>
      <c r="G2095" s="29">
        <f>Data_thang!J2095-Data_thang!K2095</f>
        <v/>
      </c>
      <c r="H2095" s="29">
        <f>Data_thang!N2095</f>
        <v/>
      </c>
      <c r="I2095" s="29">
        <f>H2095-G2095</f>
        <v/>
      </c>
      <c r="J2095" s="30">
        <f>IF(H2095=0,IF(I2095=0,0,1),I2095/ABS(H2095))</f>
        <v/>
      </c>
      <c r="K2095" s="29">
        <f>H2095-(Data_thang!O2095-Data_thang!K2095)</f>
        <v/>
      </c>
      <c r="L2095">
        <f>IF(AND(ABS(I2095)&gt;Dashboard!$G$6,ABS(J2095)&gt;Dashboard!$H$6),"⚠ Vượt","")</f>
        <v/>
      </c>
      <c r="M2095">
        <f>IF(AND(A2095=Dashboard!$D$6,OR(Dashboard!$C$6="*",F2095=Dashboard!$C$6),L2095&lt;&gt;""),ABS(I2095)+ROW()/1000000000,0)</f>
        <v/>
      </c>
    </row>
    <row r="2096">
      <c r="A2096">
        <f>Data_thang!A2096</f>
        <v/>
      </c>
      <c r="B2096">
        <f>Data_thang!B2096</f>
        <v/>
      </c>
      <c r="C2096">
        <f>Data_thang!D2096</f>
        <v/>
      </c>
      <c r="D2096">
        <f>Data_thang!E2096</f>
        <v/>
      </c>
      <c r="E2096">
        <f>Data_thang!F2096</f>
        <v/>
      </c>
      <c r="F2096">
        <f>Data_thang!G2096</f>
        <v/>
      </c>
      <c r="G2096" s="29">
        <f>Data_thang!J2096-Data_thang!K2096</f>
        <v/>
      </c>
      <c r="H2096" s="29">
        <f>Data_thang!N2096</f>
        <v/>
      </c>
      <c r="I2096" s="29">
        <f>H2096-G2096</f>
        <v/>
      </c>
      <c r="J2096" s="30">
        <f>IF(H2096=0,IF(I2096=0,0,1),I2096/ABS(H2096))</f>
        <v/>
      </c>
      <c r="K2096" s="29">
        <f>H2096-(Data_thang!O2096-Data_thang!K2096)</f>
        <v/>
      </c>
      <c r="L2096">
        <f>IF(AND(ABS(I2096)&gt;Dashboard!$G$6,ABS(J2096)&gt;Dashboard!$H$6),"⚠ Vượt","")</f>
        <v/>
      </c>
      <c r="M2096">
        <f>IF(AND(A2096=Dashboard!$D$6,OR(Dashboard!$C$6="*",F2096=Dashboard!$C$6),L2096&lt;&gt;""),ABS(I2096)+ROW()/1000000000,0)</f>
        <v/>
      </c>
    </row>
    <row r="2097">
      <c r="A2097">
        <f>Data_thang!A2097</f>
        <v/>
      </c>
      <c r="B2097">
        <f>Data_thang!B2097</f>
        <v/>
      </c>
      <c r="C2097">
        <f>Data_thang!D2097</f>
        <v/>
      </c>
      <c r="D2097">
        <f>Data_thang!E2097</f>
        <v/>
      </c>
      <c r="E2097">
        <f>Data_thang!F2097</f>
        <v/>
      </c>
      <c r="F2097">
        <f>Data_thang!G2097</f>
        <v/>
      </c>
      <c r="G2097" s="29">
        <f>Data_thang!J2097-Data_thang!K2097</f>
        <v/>
      </c>
      <c r="H2097" s="29">
        <f>Data_thang!N2097</f>
        <v/>
      </c>
      <c r="I2097" s="29">
        <f>H2097-G2097</f>
        <v/>
      </c>
      <c r="J2097" s="30">
        <f>IF(H2097=0,IF(I2097=0,0,1),I2097/ABS(H2097))</f>
        <v/>
      </c>
      <c r="K2097" s="29">
        <f>H2097-(Data_thang!O2097-Data_thang!K2097)</f>
        <v/>
      </c>
      <c r="L2097">
        <f>IF(AND(ABS(I2097)&gt;Dashboard!$G$6,ABS(J2097)&gt;Dashboard!$H$6),"⚠ Vượt","")</f>
        <v/>
      </c>
      <c r="M2097">
        <f>IF(AND(A2097=Dashboard!$D$6,OR(Dashboard!$C$6="*",F2097=Dashboard!$C$6),L2097&lt;&gt;""),ABS(I2097)+ROW()/1000000000,0)</f>
        <v/>
      </c>
    </row>
    <row r="2098">
      <c r="A2098">
        <f>Data_thang!A2098</f>
        <v/>
      </c>
      <c r="B2098">
        <f>Data_thang!B2098</f>
        <v/>
      </c>
      <c r="C2098">
        <f>Data_thang!D2098</f>
        <v/>
      </c>
      <c r="D2098">
        <f>Data_thang!E2098</f>
        <v/>
      </c>
      <c r="E2098">
        <f>Data_thang!F2098</f>
        <v/>
      </c>
      <c r="F2098">
        <f>Data_thang!G2098</f>
        <v/>
      </c>
      <c r="G2098" s="29">
        <f>Data_thang!J2098-Data_thang!K2098</f>
        <v/>
      </c>
      <c r="H2098" s="29">
        <f>Data_thang!N2098</f>
        <v/>
      </c>
      <c r="I2098" s="29">
        <f>H2098-G2098</f>
        <v/>
      </c>
      <c r="J2098" s="30">
        <f>IF(H2098=0,IF(I2098=0,0,1),I2098/ABS(H2098))</f>
        <v/>
      </c>
      <c r="K2098" s="29">
        <f>H2098-(Data_thang!O2098-Data_thang!K2098)</f>
        <v/>
      </c>
      <c r="L2098">
        <f>IF(AND(ABS(I2098)&gt;Dashboard!$G$6,ABS(J2098)&gt;Dashboard!$H$6),"⚠ Vượt","")</f>
        <v/>
      </c>
      <c r="M2098">
        <f>IF(AND(A2098=Dashboard!$D$6,OR(Dashboard!$C$6="*",F2098=Dashboard!$C$6),L2098&lt;&gt;""),ABS(I2098)+ROW()/1000000000,0)</f>
        <v/>
      </c>
    </row>
    <row r="2099">
      <c r="A2099">
        <f>Data_thang!A2099</f>
        <v/>
      </c>
      <c r="B2099">
        <f>Data_thang!B2099</f>
        <v/>
      </c>
      <c r="C2099">
        <f>Data_thang!D2099</f>
        <v/>
      </c>
      <c r="D2099">
        <f>Data_thang!E2099</f>
        <v/>
      </c>
      <c r="E2099">
        <f>Data_thang!F2099</f>
        <v/>
      </c>
      <c r="F2099">
        <f>Data_thang!G2099</f>
        <v/>
      </c>
      <c r="G2099" s="29">
        <f>Data_thang!J2099-Data_thang!K2099</f>
        <v/>
      </c>
      <c r="H2099" s="29">
        <f>Data_thang!N2099</f>
        <v/>
      </c>
      <c r="I2099" s="29">
        <f>H2099-G2099</f>
        <v/>
      </c>
      <c r="J2099" s="30">
        <f>IF(H2099=0,IF(I2099=0,0,1),I2099/ABS(H2099))</f>
        <v/>
      </c>
      <c r="K2099" s="29">
        <f>H2099-(Data_thang!O2099-Data_thang!K2099)</f>
        <v/>
      </c>
      <c r="L2099">
        <f>IF(AND(ABS(I2099)&gt;Dashboard!$G$6,ABS(J2099)&gt;Dashboard!$H$6),"⚠ Vượt","")</f>
        <v/>
      </c>
      <c r="M2099">
        <f>IF(AND(A2099=Dashboard!$D$6,OR(Dashboard!$C$6="*",F2099=Dashboard!$C$6),L2099&lt;&gt;""),ABS(I2099)+ROW()/1000000000,0)</f>
        <v/>
      </c>
    </row>
    <row r="2100">
      <c r="A2100">
        <f>Data_thang!A2100</f>
        <v/>
      </c>
      <c r="B2100">
        <f>Data_thang!B2100</f>
        <v/>
      </c>
      <c r="C2100">
        <f>Data_thang!D2100</f>
        <v/>
      </c>
      <c r="D2100">
        <f>Data_thang!E2100</f>
        <v/>
      </c>
      <c r="E2100">
        <f>Data_thang!F2100</f>
        <v/>
      </c>
      <c r="F2100">
        <f>Data_thang!G2100</f>
        <v/>
      </c>
      <c r="G2100" s="29">
        <f>Data_thang!J2100-Data_thang!K2100</f>
        <v/>
      </c>
      <c r="H2100" s="29">
        <f>Data_thang!N2100</f>
        <v/>
      </c>
      <c r="I2100" s="29">
        <f>H2100-G2100</f>
        <v/>
      </c>
      <c r="J2100" s="30">
        <f>IF(H2100=0,IF(I2100=0,0,1),I2100/ABS(H2100))</f>
        <v/>
      </c>
      <c r="K2100" s="29">
        <f>H2100-(Data_thang!O2100-Data_thang!K2100)</f>
        <v/>
      </c>
      <c r="L2100">
        <f>IF(AND(ABS(I2100)&gt;Dashboard!$G$6,ABS(J2100)&gt;Dashboard!$H$6),"⚠ Vượt","")</f>
        <v/>
      </c>
      <c r="M2100">
        <f>IF(AND(A2100=Dashboard!$D$6,OR(Dashboard!$C$6="*",F2100=Dashboard!$C$6),L2100&lt;&gt;""),ABS(I2100)+ROW()/1000000000,0)</f>
        <v/>
      </c>
    </row>
    <row r="2101">
      <c r="A2101">
        <f>Data_thang!A2101</f>
        <v/>
      </c>
      <c r="B2101">
        <f>Data_thang!B2101</f>
        <v/>
      </c>
      <c r="C2101">
        <f>Data_thang!D2101</f>
        <v/>
      </c>
      <c r="D2101">
        <f>Data_thang!E2101</f>
        <v/>
      </c>
      <c r="E2101">
        <f>Data_thang!F2101</f>
        <v/>
      </c>
      <c r="F2101">
        <f>Data_thang!G2101</f>
        <v/>
      </c>
      <c r="G2101" s="29">
        <f>Data_thang!J2101-Data_thang!K2101</f>
        <v/>
      </c>
      <c r="H2101" s="29">
        <f>Data_thang!N2101</f>
        <v/>
      </c>
      <c r="I2101" s="29">
        <f>H2101-G2101</f>
        <v/>
      </c>
      <c r="J2101" s="30">
        <f>IF(H2101=0,IF(I2101=0,0,1),I2101/ABS(H2101))</f>
        <v/>
      </c>
      <c r="K2101" s="29">
        <f>H2101-(Data_thang!O2101-Data_thang!K2101)</f>
        <v/>
      </c>
      <c r="L2101">
        <f>IF(AND(ABS(I2101)&gt;Dashboard!$G$6,ABS(J2101)&gt;Dashboard!$H$6),"⚠ Vượt","")</f>
        <v/>
      </c>
      <c r="M2101">
        <f>IF(AND(A2101=Dashboard!$D$6,OR(Dashboard!$C$6="*",F2101=Dashboard!$C$6),L2101&lt;&gt;""),ABS(I2101)+ROW()/1000000000,0)</f>
        <v/>
      </c>
    </row>
    <row r="2102">
      <c r="A2102">
        <f>Data_thang!A2102</f>
        <v/>
      </c>
      <c r="B2102">
        <f>Data_thang!B2102</f>
        <v/>
      </c>
      <c r="C2102">
        <f>Data_thang!D2102</f>
        <v/>
      </c>
      <c r="D2102">
        <f>Data_thang!E2102</f>
        <v/>
      </c>
      <c r="E2102">
        <f>Data_thang!F2102</f>
        <v/>
      </c>
      <c r="F2102">
        <f>Data_thang!G2102</f>
        <v/>
      </c>
      <c r="G2102" s="29">
        <f>Data_thang!J2102-Data_thang!K2102</f>
        <v/>
      </c>
      <c r="H2102" s="29">
        <f>Data_thang!N2102</f>
        <v/>
      </c>
      <c r="I2102" s="29">
        <f>H2102-G2102</f>
        <v/>
      </c>
      <c r="J2102" s="30">
        <f>IF(H2102=0,IF(I2102=0,0,1),I2102/ABS(H2102))</f>
        <v/>
      </c>
      <c r="K2102" s="29">
        <f>H2102-(Data_thang!O2102-Data_thang!K2102)</f>
        <v/>
      </c>
      <c r="L2102">
        <f>IF(AND(ABS(I2102)&gt;Dashboard!$G$6,ABS(J2102)&gt;Dashboard!$H$6),"⚠ Vượt","")</f>
        <v/>
      </c>
      <c r="M2102">
        <f>IF(AND(A2102=Dashboard!$D$6,OR(Dashboard!$C$6="*",F2102=Dashboard!$C$6),L2102&lt;&gt;""),ABS(I2102)+ROW()/1000000000,0)</f>
        <v/>
      </c>
    </row>
    <row r="2103">
      <c r="A2103">
        <f>Data_thang!A2103</f>
        <v/>
      </c>
      <c r="B2103">
        <f>Data_thang!B2103</f>
        <v/>
      </c>
      <c r="C2103">
        <f>Data_thang!D2103</f>
        <v/>
      </c>
      <c r="D2103">
        <f>Data_thang!E2103</f>
        <v/>
      </c>
      <c r="E2103">
        <f>Data_thang!F2103</f>
        <v/>
      </c>
      <c r="F2103">
        <f>Data_thang!G2103</f>
        <v/>
      </c>
      <c r="G2103" s="29">
        <f>Data_thang!J2103-Data_thang!K2103</f>
        <v/>
      </c>
      <c r="H2103" s="29">
        <f>Data_thang!N2103</f>
        <v/>
      </c>
      <c r="I2103" s="29">
        <f>H2103-G2103</f>
        <v/>
      </c>
      <c r="J2103" s="30">
        <f>IF(H2103=0,IF(I2103=0,0,1),I2103/ABS(H2103))</f>
        <v/>
      </c>
      <c r="K2103" s="29">
        <f>H2103-(Data_thang!O2103-Data_thang!K2103)</f>
        <v/>
      </c>
      <c r="L2103">
        <f>IF(AND(ABS(I2103)&gt;Dashboard!$G$6,ABS(J2103)&gt;Dashboard!$H$6),"⚠ Vượt","")</f>
        <v/>
      </c>
      <c r="M2103">
        <f>IF(AND(A2103=Dashboard!$D$6,OR(Dashboard!$C$6="*",F2103=Dashboard!$C$6),L2103&lt;&gt;""),ABS(I2103)+ROW()/1000000000,0)</f>
        <v/>
      </c>
    </row>
    <row r="2104">
      <c r="A2104">
        <f>Data_thang!A2104</f>
        <v/>
      </c>
      <c r="B2104">
        <f>Data_thang!B2104</f>
        <v/>
      </c>
      <c r="C2104">
        <f>Data_thang!D2104</f>
        <v/>
      </c>
      <c r="D2104">
        <f>Data_thang!E2104</f>
        <v/>
      </c>
      <c r="E2104">
        <f>Data_thang!F2104</f>
        <v/>
      </c>
      <c r="F2104">
        <f>Data_thang!G2104</f>
        <v/>
      </c>
      <c r="G2104" s="29">
        <f>Data_thang!J2104-Data_thang!K2104</f>
        <v/>
      </c>
      <c r="H2104" s="29">
        <f>Data_thang!N2104</f>
        <v/>
      </c>
      <c r="I2104" s="29">
        <f>H2104-G2104</f>
        <v/>
      </c>
      <c r="J2104" s="30">
        <f>IF(H2104=0,IF(I2104=0,0,1),I2104/ABS(H2104))</f>
        <v/>
      </c>
      <c r="K2104" s="29">
        <f>H2104-(Data_thang!O2104-Data_thang!K2104)</f>
        <v/>
      </c>
      <c r="L2104">
        <f>IF(AND(ABS(I2104)&gt;Dashboard!$G$6,ABS(J2104)&gt;Dashboard!$H$6),"⚠ Vượt","")</f>
        <v/>
      </c>
      <c r="M2104">
        <f>IF(AND(A2104=Dashboard!$D$6,OR(Dashboard!$C$6="*",F2104=Dashboard!$C$6),L2104&lt;&gt;""),ABS(I2104)+ROW()/1000000000,0)</f>
        <v/>
      </c>
    </row>
    <row r="2105">
      <c r="A2105">
        <f>Data_thang!A2105</f>
        <v/>
      </c>
      <c r="B2105">
        <f>Data_thang!B2105</f>
        <v/>
      </c>
      <c r="C2105">
        <f>Data_thang!D2105</f>
        <v/>
      </c>
      <c r="D2105">
        <f>Data_thang!E2105</f>
        <v/>
      </c>
      <c r="E2105">
        <f>Data_thang!F2105</f>
        <v/>
      </c>
      <c r="F2105">
        <f>Data_thang!G2105</f>
        <v/>
      </c>
      <c r="G2105" s="29">
        <f>Data_thang!J2105-Data_thang!K2105</f>
        <v/>
      </c>
      <c r="H2105" s="29">
        <f>Data_thang!N2105</f>
        <v/>
      </c>
      <c r="I2105" s="29">
        <f>H2105-G2105</f>
        <v/>
      </c>
      <c r="J2105" s="30">
        <f>IF(H2105=0,IF(I2105=0,0,1),I2105/ABS(H2105))</f>
        <v/>
      </c>
      <c r="K2105" s="29">
        <f>H2105-(Data_thang!O2105-Data_thang!K2105)</f>
        <v/>
      </c>
      <c r="L2105">
        <f>IF(AND(ABS(I2105)&gt;Dashboard!$G$6,ABS(J2105)&gt;Dashboard!$H$6),"⚠ Vượt","")</f>
        <v/>
      </c>
      <c r="M2105">
        <f>IF(AND(A2105=Dashboard!$D$6,OR(Dashboard!$C$6="*",F2105=Dashboard!$C$6),L2105&lt;&gt;""),ABS(I2105)+ROW()/1000000000,0)</f>
        <v/>
      </c>
    </row>
    <row r="2106">
      <c r="A2106">
        <f>Data_thang!A2106</f>
        <v/>
      </c>
      <c r="B2106">
        <f>Data_thang!B2106</f>
        <v/>
      </c>
      <c r="C2106">
        <f>Data_thang!D2106</f>
        <v/>
      </c>
      <c r="D2106">
        <f>Data_thang!E2106</f>
        <v/>
      </c>
      <c r="E2106">
        <f>Data_thang!F2106</f>
        <v/>
      </c>
      <c r="F2106">
        <f>Data_thang!G2106</f>
        <v/>
      </c>
      <c r="G2106" s="29">
        <f>Data_thang!J2106-Data_thang!K2106</f>
        <v/>
      </c>
      <c r="H2106" s="29">
        <f>Data_thang!N2106</f>
        <v/>
      </c>
      <c r="I2106" s="29">
        <f>H2106-G2106</f>
        <v/>
      </c>
      <c r="J2106" s="30">
        <f>IF(H2106=0,IF(I2106=0,0,1),I2106/ABS(H2106))</f>
        <v/>
      </c>
      <c r="K2106" s="29">
        <f>H2106-(Data_thang!O2106-Data_thang!K2106)</f>
        <v/>
      </c>
      <c r="L2106">
        <f>IF(AND(ABS(I2106)&gt;Dashboard!$G$6,ABS(J2106)&gt;Dashboard!$H$6),"⚠ Vượt","")</f>
        <v/>
      </c>
      <c r="M2106">
        <f>IF(AND(A2106=Dashboard!$D$6,OR(Dashboard!$C$6="*",F2106=Dashboard!$C$6),L2106&lt;&gt;""),ABS(I2106)+ROW()/1000000000,0)</f>
        <v/>
      </c>
    </row>
    <row r="2107">
      <c r="A2107">
        <f>Data_thang!A2107</f>
        <v/>
      </c>
      <c r="B2107">
        <f>Data_thang!B2107</f>
        <v/>
      </c>
      <c r="C2107">
        <f>Data_thang!D2107</f>
        <v/>
      </c>
      <c r="D2107">
        <f>Data_thang!E2107</f>
        <v/>
      </c>
      <c r="E2107">
        <f>Data_thang!F2107</f>
        <v/>
      </c>
      <c r="F2107">
        <f>Data_thang!G2107</f>
        <v/>
      </c>
      <c r="G2107" s="29">
        <f>Data_thang!J2107-Data_thang!K2107</f>
        <v/>
      </c>
      <c r="H2107" s="29">
        <f>Data_thang!N2107</f>
        <v/>
      </c>
      <c r="I2107" s="29">
        <f>H2107-G2107</f>
        <v/>
      </c>
      <c r="J2107" s="30">
        <f>IF(H2107=0,IF(I2107=0,0,1),I2107/ABS(H2107))</f>
        <v/>
      </c>
      <c r="K2107" s="29">
        <f>H2107-(Data_thang!O2107-Data_thang!K2107)</f>
        <v/>
      </c>
      <c r="L2107">
        <f>IF(AND(ABS(I2107)&gt;Dashboard!$G$6,ABS(J2107)&gt;Dashboard!$H$6),"⚠ Vượt","")</f>
        <v/>
      </c>
      <c r="M2107">
        <f>IF(AND(A2107=Dashboard!$D$6,OR(Dashboard!$C$6="*",F2107=Dashboard!$C$6),L2107&lt;&gt;""),ABS(I2107)+ROW()/1000000000,0)</f>
        <v/>
      </c>
    </row>
    <row r="2108">
      <c r="A2108">
        <f>Data_thang!A2108</f>
        <v/>
      </c>
      <c r="B2108">
        <f>Data_thang!B2108</f>
        <v/>
      </c>
      <c r="C2108">
        <f>Data_thang!D2108</f>
        <v/>
      </c>
      <c r="D2108">
        <f>Data_thang!E2108</f>
        <v/>
      </c>
      <c r="E2108">
        <f>Data_thang!F2108</f>
        <v/>
      </c>
      <c r="F2108">
        <f>Data_thang!G2108</f>
        <v/>
      </c>
      <c r="G2108" s="29">
        <f>Data_thang!J2108-Data_thang!K2108</f>
        <v/>
      </c>
      <c r="H2108" s="29">
        <f>Data_thang!N2108</f>
        <v/>
      </c>
      <c r="I2108" s="29">
        <f>H2108-G2108</f>
        <v/>
      </c>
      <c r="J2108" s="30">
        <f>IF(H2108=0,IF(I2108=0,0,1),I2108/ABS(H2108))</f>
        <v/>
      </c>
      <c r="K2108" s="29">
        <f>H2108-(Data_thang!O2108-Data_thang!K2108)</f>
        <v/>
      </c>
      <c r="L2108">
        <f>IF(AND(ABS(I2108)&gt;Dashboard!$G$6,ABS(J2108)&gt;Dashboard!$H$6),"⚠ Vượt","")</f>
        <v/>
      </c>
      <c r="M2108">
        <f>IF(AND(A2108=Dashboard!$D$6,OR(Dashboard!$C$6="*",F2108=Dashboard!$C$6),L2108&lt;&gt;""),ABS(I2108)+ROW()/1000000000,0)</f>
        <v/>
      </c>
    </row>
    <row r="2109">
      <c r="A2109">
        <f>Data_thang!A2109</f>
        <v/>
      </c>
      <c r="B2109">
        <f>Data_thang!B2109</f>
        <v/>
      </c>
      <c r="C2109">
        <f>Data_thang!D2109</f>
        <v/>
      </c>
      <c r="D2109">
        <f>Data_thang!E2109</f>
        <v/>
      </c>
      <c r="E2109">
        <f>Data_thang!F2109</f>
        <v/>
      </c>
      <c r="F2109">
        <f>Data_thang!G2109</f>
        <v/>
      </c>
      <c r="G2109" s="29">
        <f>Data_thang!J2109-Data_thang!K2109</f>
        <v/>
      </c>
      <c r="H2109" s="29">
        <f>Data_thang!N2109</f>
        <v/>
      </c>
      <c r="I2109" s="29">
        <f>H2109-G2109</f>
        <v/>
      </c>
      <c r="J2109" s="30">
        <f>IF(H2109=0,IF(I2109=0,0,1),I2109/ABS(H2109))</f>
        <v/>
      </c>
      <c r="K2109" s="29">
        <f>H2109-(Data_thang!O2109-Data_thang!K2109)</f>
        <v/>
      </c>
      <c r="L2109">
        <f>IF(AND(ABS(I2109)&gt;Dashboard!$G$6,ABS(J2109)&gt;Dashboard!$H$6),"⚠ Vượt","")</f>
        <v/>
      </c>
      <c r="M2109">
        <f>IF(AND(A2109=Dashboard!$D$6,OR(Dashboard!$C$6="*",F2109=Dashboard!$C$6),L2109&lt;&gt;""),ABS(I2109)+ROW()/1000000000,0)</f>
        <v/>
      </c>
    </row>
    <row r="2110">
      <c r="A2110">
        <f>Data_thang!A2110</f>
        <v/>
      </c>
      <c r="B2110">
        <f>Data_thang!B2110</f>
        <v/>
      </c>
      <c r="C2110">
        <f>Data_thang!D2110</f>
        <v/>
      </c>
      <c r="D2110">
        <f>Data_thang!E2110</f>
        <v/>
      </c>
      <c r="E2110">
        <f>Data_thang!F2110</f>
        <v/>
      </c>
      <c r="F2110">
        <f>Data_thang!G2110</f>
        <v/>
      </c>
      <c r="G2110" s="29">
        <f>Data_thang!J2110-Data_thang!K2110</f>
        <v/>
      </c>
      <c r="H2110" s="29">
        <f>Data_thang!N2110</f>
        <v/>
      </c>
      <c r="I2110" s="29">
        <f>H2110-G2110</f>
        <v/>
      </c>
      <c r="J2110" s="30">
        <f>IF(H2110=0,IF(I2110=0,0,1),I2110/ABS(H2110))</f>
        <v/>
      </c>
      <c r="K2110" s="29">
        <f>H2110-(Data_thang!O2110-Data_thang!K2110)</f>
        <v/>
      </c>
      <c r="L2110">
        <f>IF(AND(ABS(I2110)&gt;Dashboard!$G$6,ABS(J2110)&gt;Dashboard!$H$6),"⚠ Vượt","")</f>
        <v/>
      </c>
      <c r="M2110">
        <f>IF(AND(A2110=Dashboard!$D$6,OR(Dashboard!$C$6="*",F2110=Dashboard!$C$6),L2110&lt;&gt;""),ABS(I2110)+ROW()/1000000000,0)</f>
        <v/>
      </c>
    </row>
    <row r="2111">
      <c r="A2111">
        <f>Data_thang!A2111</f>
        <v/>
      </c>
      <c r="B2111">
        <f>Data_thang!B2111</f>
        <v/>
      </c>
      <c r="C2111">
        <f>Data_thang!D2111</f>
        <v/>
      </c>
      <c r="D2111">
        <f>Data_thang!E2111</f>
        <v/>
      </c>
      <c r="E2111">
        <f>Data_thang!F2111</f>
        <v/>
      </c>
      <c r="F2111">
        <f>Data_thang!G2111</f>
        <v/>
      </c>
      <c r="G2111" s="29">
        <f>Data_thang!J2111-Data_thang!K2111</f>
        <v/>
      </c>
      <c r="H2111" s="29">
        <f>Data_thang!N2111</f>
        <v/>
      </c>
      <c r="I2111" s="29">
        <f>H2111-G2111</f>
        <v/>
      </c>
      <c r="J2111" s="30">
        <f>IF(H2111=0,IF(I2111=0,0,1),I2111/ABS(H2111))</f>
        <v/>
      </c>
      <c r="K2111" s="29">
        <f>H2111-(Data_thang!O2111-Data_thang!K2111)</f>
        <v/>
      </c>
      <c r="L2111">
        <f>IF(AND(ABS(I2111)&gt;Dashboard!$G$6,ABS(J2111)&gt;Dashboard!$H$6),"⚠ Vượt","")</f>
        <v/>
      </c>
      <c r="M2111">
        <f>IF(AND(A2111=Dashboard!$D$6,OR(Dashboard!$C$6="*",F2111=Dashboard!$C$6),L2111&lt;&gt;""),ABS(I2111)+ROW()/1000000000,0)</f>
        <v/>
      </c>
    </row>
    <row r="2112">
      <c r="A2112">
        <f>Data_thang!A2112</f>
        <v/>
      </c>
      <c r="B2112">
        <f>Data_thang!B2112</f>
        <v/>
      </c>
      <c r="C2112">
        <f>Data_thang!D2112</f>
        <v/>
      </c>
      <c r="D2112">
        <f>Data_thang!E2112</f>
        <v/>
      </c>
      <c r="E2112">
        <f>Data_thang!F2112</f>
        <v/>
      </c>
      <c r="F2112">
        <f>Data_thang!G2112</f>
        <v/>
      </c>
      <c r="G2112" s="29">
        <f>Data_thang!J2112-Data_thang!K2112</f>
        <v/>
      </c>
      <c r="H2112" s="29">
        <f>Data_thang!N2112</f>
        <v/>
      </c>
      <c r="I2112" s="29">
        <f>H2112-G2112</f>
        <v/>
      </c>
      <c r="J2112" s="30">
        <f>IF(H2112=0,IF(I2112=0,0,1),I2112/ABS(H2112))</f>
        <v/>
      </c>
      <c r="K2112" s="29">
        <f>H2112-(Data_thang!O2112-Data_thang!K2112)</f>
        <v/>
      </c>
      <c r="L2112">
        <f>IF(AND(ABS(I2112)&gt;Dashboard!$G$6,ABS(J2112)&gt;Dashboard!$H$6),"⚠ Vượt","")</f>
        <v/>
      </c>
      <c r="M2112">
        <f>IF(AND(A2112=Dashboard!$D$6,OR(Dashboard!$C$6="*",F2112=Dashboard!$C$6),L2112&lt;&gt;""),ABS(I2112)+ROW()/1000000000,0)</f>
        <v/>
      </c>
    </row>
    <row r="2113">
      <c r="A2113">
        <f>Data_thang!A2113</f>
        <v/>
      </c>
      <c r="B2113">
        <f>Data_thang!B2113</f>
        <v/>
      </c>
      <c r="C2113">
        <f>Data_thang!D2113</f>
        <v/>
      </c>
      <c r="D2113">
        <f>Data_thang!E2113</f>
        <v/>
      </c>
      <c r="E2113">
        <f>Data_thang!F2113</f>
        <v/>
      </c>
      <c r="F2113">
        <f>Data_thang!G2113</f>
        <v/>
      </c>
      <c r="G2113" s="29">
        <f>Data_thang!J2113-Data_thang!K2113</f>
        <v/>
      </c>
      <c r="H2113" s="29">
        <f>Data_thang!N2113</f>
        <v/>
      </c>
      <c r="I2113" s="29">
        <f>H2113-G2113</f>
        <v/>
      </c>
      <c r="J2113" s="30">
        <f>IF(H2113=0,IF(I2113=0,0,1),I2113/ABS(H2113))</f>
        <v/>
      </c>
      <c r="K2113" s="29">
        <f>H2113-(Data_thang!O2113-Data_thang!K2113)</f>
        <v/>
      </c>
      <c r="L2113">
        <f>IF(AND(ABS(I2113)&gt;Dashboard!$G$6,ABS(J2113)&gt;Dashboard!$H$6),"⚠ Vượt","")</f>
        <v/>
      </c>
      <c r="M2113">
        <f>IF(AND(A2113=Dashboard!$D$6,OR(Dashboard!$C$6="*",F2113=Dashboard!$C$6),L2113&lt;&gt;""),ABS(I2113)+ROW()/1000000000,0)</f>
        <v/>
      </c>
    </row>
    <row r="2114">
      <c r="A2114">
        <f>Data_thang!A2114</f>
        <v/>
      </c>
      <c r="B2114">
        <f>Data_thang!B2114</f>
        <v/>
      </c>
      <c r="C2114">
        <f>Data_thang!D2114</f>
        <v/>
      </c>
      <c r="D2114">
        <f>Data_thang!E2114</f>
        <v/>
      </c>
      <c r="E2114">
        <f>Data_thang!F2114</f>
        <v/>
      </c>
      <c r="F2114">
        <f>Data_thang!G2114</f>
        <v/>
      </c>
      <c r="G2114" s="29">
        <f>Data_thang!J2114-Data_thang!K2114</f>
        <v/>
      </c>
      <c r="H2114" s="29">
        <f>Data_thang!N2114</f>
        <v/>
      </c>
      <c r="I2114" s="29">
        <f>H2114-G2114</f>
        <v/>
      </c>
      <c r="J2114" s="30">
        <f>IF(H2114=0,IF(I2114=0,0,1),I2114/ABS(H2114))</f>
        <v/>
      </c>
      <c r="K2114" s="29">
        <f>H2114-(Data_thang!O2114-Data_thang!K2114)</f>
        <v/>
      </c>
      <c r="L2114">
        <f>IF(AND(ABS(I2114)&gt;Dashboard!$G$6,ABS(J2114)&gt;Dashboard!$H$6),"⚠ Vượt","")</f>
        <v/>
      </c>
      <c r="M2114">
        <f>IF(AND(A2114=Dashboard!$D$6,OR(Dashboard!$C$6="*",F2114=Dashboard!$C$6),L2114&lt;&gt;""),ABS(I2114)+ROW()/1000000000,0)</f>
        <v/>
      </c>
    </row>
    <row r="2115">
      <c r="A2115">
        <f>Data_thang!A2115</f>
        <v/>
      </c>
      <c r="B2115">
        <f>Data_thang!B2115</f>
        <v/>
      </c>
      <c r="C2115">
        <f>Data_thang!D2115</f>
        <v/>
      </c>
      <c r="D2115">
        <f>Data_thang!E2115</f>
        <v/>
      </c>
      <c r="E2115">
        <f>Data_thang!F2115</f>
        <v/>
      </c>
      <c r="F2115">
        <f>Data_thang!G2115</f>
        <v/>
      </c>
      <c r="G2115" s="29">
        <f>Data_thang!J2115-Data_thang!K2115</f>
        <v/>
      </c>
      <c r="H2115" s="29">
        <f>Data_thang!N2115</f>
        <v/>
      </c>
      <c r="I2115" s="29">
        <f>H2115-G2115</f>
        <v/>
      </c>
      <c r="J2115" s="30">
        <f>IF(H2115=0,IF(I2115=0,0,1),I2115/ABS(H2115))</f>
        <v/>
      </c>
      <c r="K2115" s="29">
        <f>H2115-(Data_thang!O2115-Data_thang!K2115)</f>
        <v/>
      </c>
      <c r="L2115">
        <f>IF(AND(ABS(I2115)&gt;Dashboard!$G$6,ABS(J2115)&gt;Dashboard!$H$6),"⚠ Vượt","")</f>
        <v/>
      </c>
      <c r="M2115">
        <f>IF(AND(A2115=Dashboard!$D$6,OR(Dashboard!$C$6="*",F2115=Dashboard!$C$6),L2115&lt;&gt;""),ABS(I2115)+ROW()/1000000000,0)</f>
        <v/>
      </c>
    </row>
    <row r="2116">
      <c r="A2116">
        <f>Data_thang!A2116</f>
        <v/>
      </c>
      <c r="B2116">
        <f>Data_thang!B2116</f>
        <v/>
      </c>
      <c r="C2116">
        <f>Data_thang!D2116</f>
        <v/>
      </c>
      <c r="D2116">
        <f>Data_thang!E2116</f>
        <v/>
      </c>
      <c r="E2116">
        <f>Data_thang!F2116</f>
        <v/>
      </c>
      <c r="F2116">
        <f>Data_thang!G2116</f>
        <v/>
      </c>
      <c r="G2116" s="29">
        <f>Data_thang!J2116-Data_thang!K2116</f>
        <v/>
      </c>
      <c r="H2116" s="29">
        <f>Data_thang!N2116</f>
        <v/>
      </c>
      <c r="I2116" s="29">
        <f>H2116-G2116</f>
        <v/>
      </c>
      <c r="J2116" s="30">
        <f>IF(H2116=0,IF(I2116=0,0,1),I2116/ABS(H2116))</f>
        <v/>
      </c>
      <c r="K2116" s="29">
        <f>H2116-(Data_thang!O2116-Data_thang!K2116)</f>
        <v/>
      </c>
      <c r="L2116">
        <f>IF(AND(ABS(I2116)&gt;Dashboard!$G$6,ABS(J2116)&gt;Dashboard!$H$6),"⚠ Vượt","")</f>
        <v/>
      </c>
      <c r="M2116">
        <f>IF(AND(A2116=Dashboard!$D$6,OR(Dashboard!$C$6="*",F2116=Dashboard!$C$6),L2116&lt;&gt;""),ABS(I2116)+ROW()/1000000000,0)</f>
        <v/>
      </c>
    </row>
    <row r="2117">
      <c r="A2117">
        <f>Data_thang!A2117</f>
        <v/>
      </c>
      <c r="B2117">
        <f>Data_thang!B2117</f>
        <v/>
      </c>
      <c r="C2117">
        <f>Data_thang!D2117</f>
        <v/>
      </c>
      <c r="D2117">
        <f>Data_thang!E2117</f>
        <v/>
      </c>
      <c r="E2117">
        <f>Data_thang!F2117</f>
        <v/>
      </c>
      <c r="F2117">
        <f>Data_thang!G2117</f>
        <v/>
      </c>
      <c r="G2117" s="29">
        <f>Data_thang!J2117-Data_thang!K2117</f>
        <v/>
      </c>
      <c r="H2117" s="29">
        <f>Data_thang!N2117</f>
        <v/>
      </c>
      <c r="I2117" s="29">
        <f>H2117-G2117</f>
        <v/>
      </c>
      <c r="J2117" s="30">
        <f>IF(H2117=0,IF(I2117=0,0,1),I2117/ABS(H2117))</f>
        <v/>
      </c>
      <c r="K2117" s="29">
        <f>H2117-(Data_thang!O2117-Data_thang!K2117)</f>
        <v/>
      </c>
      <c r="L2117">
        <f>IF(AND(ABS(I2117)&gt;Dashboard!$G$6,ABS(J2117)&gt;Dashboard!$H$6),"⚠ Vượt","")</f>
        <v/>
      </c>
      <c r="M2117">
        <f>IF(AND(A2117=Dashboard!$D$6,OR(Dashboard!$C$6="*",F2117=Dashboard!$C$6),L2117&lt;&gt;""),ABS(I2117)+ROW()/1000000000,0)</f>
        <v/>
      </c>
    </row>
    <row r="2118">
      <c r="A2118">
        <f>Data_thang!A2118</f>
        <v/>
      </c>
      <c r="B2118">
        <f>Data_thang!B2118</f>
        <v/>
      </c>
      <c r="C2118">
        <f>Data_thang!D2118</f>
        <v/>
      </c>
      <c r="D2118">
        <f>Data_thang!E2118</f>
        <v/>
      </c>
      <c r="E2118">
        <f>Data_thang!F2118</f>
        <v/>
      </c>
      <c r="F2118">
        <f>Data_thang!G2118</f>
        <v/>
      </c>
      <c r="G2118" s="29">
        <f>Data_thang!J2118-Data_thang!K2118</f>
        <v/>
      </c>
      <c r="H2118" s="29">
        <f>Data_thang!N2118</f>
        <v/>
      </c>
      <c r="I2118" s="29">
        <f>H2118-G2118</f>
        <v/>
      </c>
      <c r="J2118" s="30">
        <f>IF(H2118=0,IF(I2118=0,0,1),I2118/ABS(H2118))</f>
        <v/>
      </c>
      <c r="K2118" s="29">
        <f>H2118-(Data_thang!O2118-Data_thang!K2118)</f>
        <v/>
      </c>
      <c r="L2118">
        <f>IF(AND(ABS(I2118)&gt;Dashboard!$G$6,ABS(J2118)&gt;Dashboard!$H$6),"⚠ Vượt","")</f>
        <v/>
      </c>
      <c r="M2118">
        <f>IF(AND(A2118=Dashboard!$D$6,OR(Dashboard!$C$6="*",F2118=Dashboard!$C$6),L2118&lt;&gt;""),ABS(I2118)+ROW()/1000000000,0)</f>
        <v/>
      </c>
    </row>
    <row r="2119">
      <c r="A2119">
        <f>Data_thang!A2119</f>
        <v/>
      </c>
      <c r="B2119">
        <f>Data_thang!B2119</f>
        <v/>
      </c>
      <c r="C2119">
        <f>Data_thang!D2119</f>
        <v/>
      </c>
      <c r="D2119">
        <f>Data_thang!E2119</f>
        <v/>
      </c>
      <c r="E2119">
        <f>Data_thang!F2119</f>
        <v/>
      </c>
      <c r="F2119">
        <f>Data_thang!G2119</f>
        <v/>
      </c>
      <c r="G2119" s="29">
        <f>Data_thang!J2119-Data_thang!K2119</f>
        <v/>
      </c>
      <c r="H2119" s="29">
        <f>Data_thang!N2119</f>
        <v/>
      </c>
      <c r="I2119" s="29">
        <f>H2119-G2119</f>
        <v/>
      </c>
      <c r="J2119" s="30">
        <f>IF(H2119=0,IF(I2119=0,0,1),I2119/ABS(H2119))</f>
        <v/>
      </c>
      <c r="K2119" s="29">
        <f>H2119-(Data_thang!O2119-Data_thang!K2119)</f>
        <v/>
      </c>
      <c r="L2119">
        <f>IF(AND(ABS(I2119)&gt;Dashboard!$G$6,ABS(J2119)&gt;Dashboard!$H$6),"⚠ Vượt","")</f>
        <v/>
      </c>
      <c r="M2119">
        <f>IF(AND(A2119=Dashboard!$D$6,OR(Dashboard!$C$6="*",F2119=Dashboard!$C$6),L2119&lt;&gt;""),ABS(I2119)+ROW()/1000000000,0)</f>
        <v/>
      </c>
    </row>
    <row r="2120">
      <c r="A2120">
        <f>Data_thang!A2120</f>
        <v/>
      </c>
      <c r="B2120">
        <f>Data_thang!B2120</f>
        <v/>
      </c>
      <c r="C2120">
        <f>Data_thang!D2120</f>
        <v/>
      </c>
      <c r="D2120">
        <f>Data_thang!E2120</f>
        <v/>
      </c>
      <c r="E2120">
        <f>Data_thang!F2120</f>
        <v/>
      </c>
      <c r="F2120">
        <f>Data_thang!G2120</f>
        <v/>
      </c>
      <c r="G2120" s="29">
        <f>Data_thang!J2120-Data_thang!K2120</f>
        <v/>
      </c>
      <c r="H2120" s="29">
        <f>Data_thang!N2120</f>
        <v/>
      </c>
      <c r="I2120" s="29">
        <f>H2120-G2120</f>
        <v/>
      </c>
      <c r="J2120" s="30">
        <f>IF(H2120=0,IF(I2120=0,0,1),I2120/ABS(H2120))</f>
        <v/>
      </c>
      <c r="K2120" s="29">
        <f>H2120-(Data_thang!O2120-Data_thang!K2120)</f>
        <v/>
      </c>
      <c r="L2120">
        <f>IF(AND(ABS(I2120)&gt;Dashboard!$G$6,ABS(J2120)&gt;Dashboard!$H$6),"⚠ Vượt","")</f>
        <v/>
      </c>
      <c r="M2120">
        <f>IF(AND(A2120=Dashboard!$D$6,OR(Dashboard!$C$6="*",F2120=Dashboard!$C$6),L2120&lt;&gt;""),ABS(I2120)+ROW()/1000000000,0)</f>
        <v/>
      </c>
    </row>
    <row r="2121">
      <c r="A2121">
        <f>Data_thang!A2121</f>
        <v/>
      </c>
      <c r="B2121">
        <f>Data_thang!B2121</f>
        <v/>
      </c>
      <c r="C2121">
        <f>Data_thang!D2121</f>
        <v/>
      </c>
      <c r="D2121">
        <f>Data_thang!E2121</f>
        <v/>
      </c>
      <c r="E2121">
        <f>Data_thang!F2121</f>
        <v/>
      </c>
      <c r="F2121">
        <f>Data_thang!G2121</f>
        <v/>
      </c>
      <c r="G2121" s="29">
        <f>Data_thang!J2121-Data_thang!K2121</f>
        <v/>
      </c>
      <c r="H2121" s="29">
        <f>Data_thang!N2121</f>
        <v/>
      </c>
      <c r="I2121" s="29">
        <f>H2121-G2121</f>
        <v/>
      </c>
      <c r="J2121" s="30">
        <f>IF(H2121=0,IF(I2121=0,0,1),I2121/ABS(H2121))</f>
        <v/>
      </c>
      <c r="K2121" s="29">
        <f>H2121-(Data_thang!O2121-Data_thang!K2121)</f>
        <v/>
      </c>
      <c r="L2121">
        <f>IF(AND(ABS(I2121)&gt;Dashboard!$G$6,ABS(J2121)&gt;Dashboard!$H$6),"⚠ Vượt","")</f>
        <v/>
      </c>
      <c r="M2121">
        <f>IF(AND(A2121=Dashboard!$D$6,OR(Dashboard!$C$6="*",F2121=Dashboard!$C$6),L2121&lt;&gt;""),ABS(I2121)+ROW()/1000000000,0)</f>
        <v/>
      </c>
    </row>
    <row r="2122">
      <c r="A2122">
        <f>Data_thang!A2122</f>
        <v/>
      </c>
      <c r="B2122">
        <f>Data_thang!B2122</f>
        <v/>
      </c>
      <c r="C2122">
        <f>Data_thang!D2122</f>
        <v/>
      </c>
      <c r="D2122">
        <f>Data_thang!E2122</f>
        <v/>
      </c>
      <c r="E2122">
        <f>Data_thang!F2122</f>
        <v/>
      </c>
      <c r="F2122">
        <f>Data_thang!G2122</f>
        <v/>
      </c>
      <c r="G2122" s="29">
        <f>Data_thang!J2122-Data_thang!K2122</f>
        <v/>
      </c>
      <c r="H2122" s="29">
        <f>Data_thang!N2122</f>
        <v/>
      </c>
      <c r="I2122" s="29">
        <f>H2122-G2122</f>
        <v/>
      </c>
      <c r="J2122" s="30">
        <f>IF(H2122=0,IF(I2122=0,0,1),I2122/ABS(H2122))</f>
        <v/>
      </c>
      <c r="K2122" s="29">
        <f>H2122-(Data_thang!O2122-Data_thang!K2122)</f>
        <v/>
      </c>
      <c r="L2122">
        <f>IF(AND(ABS(I2122)&gt;Dashboard!$G$6,ABS(J2122)&gt;Dashboard!$H$6),"⚠ Vượt","")</f>
        <v/>
      </c>
      <c r="M2122">
        <f>IF(AND(A2122=Dashboard!$D$6,OR(Dashboard!$C$6="*",F2122=Dashboard!$C$6),L2122&lt;&gt;""),ABS(I2122)+ROW()/1000000000,0)</f>
        <v/>
      </c>
    </row>
    <row r="2123">
      <c r="A2123">
        <f>Data_thang!A2123</f>
        <v/>
      </c>
      <c r="B2123">
        <f>Data_thang!B2123</f>
        <v/>
      </c>
      <c r="C2123">
        <f>Data_thang!D2123</f>
        <v/>
      </c>
      <c r="D2123">
        <f>Data_thang!E2123</f>
        <v/>
      </c>
      <c r="E2123">
        <f>Data_thang!F2123</f>
        <v/>
      </c>
      <c r="F2123">
        <f>Data_thang!G2123</f>
        <v/>
      </c>
      <c r="G2123" s="29">
        <f>Data_thang!J2123-Data_thang!K2123</f>
        <v/>
      </c>
      <c r="H2123" s="29">
        <f>Data_thang!N2123</f>
        <v/>
      </c>
      <c r="I2123" s="29">
        <f>H2123-G2123</f>
        <v/>
      </c>
      <c r="J2123" s="30">
        <f>IF(H2123=0,IF(I2123=0,0,1),I2123/ABS(H2123))</f>
        <v/>
      </c>
      <c r="K2123" s="29">
        <f>H2123-(Data_thang!O2123-Data_thang!K2123)</f>
        <v/>
      </c>
      <c r="L2123">
        <f>IF(AND(ABS(I2123)&gt;Dashboard!$G$6,ABS(J2123)&gt;Dashboard!$H$6),"⚠ Vượt","")</f>
        <v/>
      </c>
      <c r="M2123">
        <f>IF(AND(A2123=Dashboard!$D$6,OR(Dashboard!$C$6="*",F2123=Dashboard!$C$6),L2123&lt;&gt;""),ABS(I2123)+ROW()/1000000000,0)</f>
        <v/>
      </c>
    </row>
    <row r="2124">
      <c r="A2124">
        <f>Data_thang!A2124</f>
        <v/>
      </c>
      <c r="B2124">
        <f>Data_thang!B2124</f>
        <v/>
      </c>
      <c r="C2124">
        <f>Data_thang!D2124</f>
        <v/>
      </c>
      <c r="D2124">
        <f>Data_thang!E2124</f>
        <v/>
      </c>
      <c r="E2124">
        <f>Data_thang!F2124</f>
        <v/>
      </c>
      <c r="F2124">
        <f>Data_thang!G2124</f>
        <v/>
      </c>
      <c r="G2124" s="29">
        <f>Data_thang!J2124-Data_thang!K2124</f>
        <v/>
      </c>
      <c r="H2124" s="29">
        <f>Data_thang!N2124</f>
        <v/>
      </c>
      <c r="I2124" s="29">
        <f>H2124-G2124</f>
        <v/>
      </c>
      <c r="J2124" s="30">
        <f>IF(H2124=0,IF(I2124=0,0,1),I2124/ABS(H2124))</f>
        <v/>
      </c>
      <c r="K2124" s="29">
        <f>H2124-(Data_thang!O2124-Data_thang!K2124)</f>
        <v/>
      </c>
      <c r="L2124">
        <f>IF(AND(ABS(I2124)&gt;Dashboard!$G$6,ABS(J2124)&gt;Dashboard!$H$6),"⚠ Vượt","")</f>
        <v/>
      </c>
      <c r="M2124">
        <f>IF(AND(A2124=Dashboard!$D$6,OR(Dashboard!$C$6="*",F2124=Dashboard!$C$6),L2124&lt;&gt;""),ABS(I2124)+ROW()/1000000000,0)</f>
        <v/>
      </c>
    </row>
    <row r="2125">
      <c r="A2125">
        <f>Data_thang!A2125</f>
        <v/>
      </c>
      <c r="B2125">
        <f>Data_thang!B2125</f>
        <v/>
      </c>
      <c r="C2125">
        <f>Data_thang!D2125</f>
        <v/>
      </c>
      <c r="D2125">
        <f>Data_thang!E2125</f>
        <v/>
      </c>
      <c r="E2125">
        <f>Data_thang!F2125</f>
        <v/>
      </c>
      <c r="F2125">
        <f>Data_thang!G2125</f>
        <v/>
      </c>
      <c r="G2125" s="29">
        <f>Data_thang!J2125-Data_thang!K2125</f>
        <v/>
      </c>
      <c r="H2125" s="29">
        <f>Data_thang!N2125</f>
        <v/>
      </c>
      <c r="I2125" s="29">
        <f>H2125-G2125</f>
        <v/>
      </c>
      <c r="J2125" s="30">
        <f>IF(H2125=0,IF(I2125=0,0,1),I2125/ABS(H2125))</f>
        <v/>
      </c>
      <c r="K2125" s="29">
        <f>H2125-(Data_thang!O2125-Data_thang!K2125)</f>
        <v/>
      </c>
      <c r="L2125">
        <f>IF(AND(ABS(I2125)&gt;Dashboard!$G$6,ABS(J2125)&gt;Dashboard!$H$6),"⚠ Vượt","")</f>
        <v/>
      </c>
      <c r="M2125">
        <f>IF(AND(A2125=Dashboard!$D$6,OR(Dashboard!$C$6="*",F2125=Dashboard!$C$6),L2125&lt;&gt;""),ABS(I2125)+ROW()/1000000000,0)</f>
        <v/>
      </c>
    </row>
    <row r="2126">
      <c r="A2126">
        <f>Data_thang!A2126</f>
        <v/>
      </c>
      <c r="B2126">
        <f>Data_thang!B2126</f>
        <v/>
      </c>
      <c r="C2126">
        <f>Data_thang!D2126</f>
        <v/>
      </c>
      <c r="D2126">
        <f>Data_thang!E2126</f>
        <v/>
      </c>
      <c r="E2126">
        <f>Data_thang!F2126</f>
        <v/>
      </c>
      <c r="F2126">
        <f>Data_thang!G2126</f>
        <v/>
      </c>
      <c r="G2126" s="29">
        <f>Data_thang!J2126-Data_thang!K2126</f>
        <v/>
      </c>
      <c r="H2126" s="29">
        <f>Data_thang!N2126</f>
        <v/>
      </c>
      <c r="I2126" s="29">
        <f>H2126-G2126</f>
        <v/>
      </c>
      <c r="J2126" s="30">
        <f>IF(H2126=0,IF(I2126=0,0,1),I2126/ABS(H2126))</f>
        <v/>
      </c>
      <c r="K2126" s="29">
        <f>H2126-(Data_thang!O2126-Data_thang!K2126)</f>
        <v/>
      </c>
      <c r="L2126">
        <f>IF(AND(ABS(I2126)&gt;Dashboard!$G$6,ABS(J2126)&gt;Dashboard!$H$6),"⚠ Vượt","")</f>
        <v/>
      </c>
      <c r="M2126">
        <f>IF(AND(A2126=Dashboard!$D$6,OR(Dashboard!$C$6="*",F2126=Dashboard!$C$6),L2126&lt;&gt;""),ABS(I2126)+ROW()/1000000000,0)</f>
        <v/>
      </c>
    </row>
    <row r="2127">
      <c r="A2127">
        <f>Data_thang!A2127</f>
        <v/>
      </c>
      <c r="B2127">
        <f>Data_thang!B2127</f>
        <v/>
      </c>
      <c r="C2127">
        <f>Data_thang!D2127</f>
        <v/>
      </c>
      <c r="D2127">
        <f>Data_thang!E2127</f>
        <v/>
      </c>
      <c r="E2127">
        <f>Data_thang!F2127</f>
        <v/>
      </c>
      <c r="F2127">
        <f>Data_thang!G2127</f>
        <v/>
      </c>
      <c r="G2127" s="29">
        <f>Data_thang!J2127-Data_thang!K2127</f>
        <v/>
      </c>
      <c r="H2127" s="29">
        <f>Data_thang!N2127</f>
        <v/>
      </c>
      <c r="I2127" s="29">
        <f>H2127-G2127</f>
        <v/>
      </c>
      <c r="J2127" s="30">
        <f>IF(H2127=0,IF(I2127=0,0,1),I2127/ABS(H2127))</f>
        <v/>
      </c>
      <c r="K2127" s="29">
        <f>H2127-(Data_thang!O2127-Data_thang!K2127)</f>
        <v/>
      </c>
      <c r="L2127">
        <f>IF(AND(ABS(I2127)&gt;Dashboard!$G$6,ABS(J2127)&gt;Dashboard!$H$6),"⚠ Vượt","")</f>
        <v/>
      </c>
      <c r="M2127">
        <f>IF(AND(A2127=Dashboard!$D$6,OR(Dashboard!$C$6="*",F2127=Dashboard!$C$6),L2127&lt;&gt;""),ABS(I2127)+ROW()/1000000000,0)</f>
        <v/>
      </c>
    </row>
    <row r="2128">
      <c r="A2128">
        <f>Data_thang!A2128</f>
        <v/>
      </c>
      <c r="B2128">
        <f>Data_thang!B2128</f>
        <v/>
      </c>
      <c r="C2128">
        <f>Data_thang!D2128</f>
        <v/>
      </c>
      <c r="D2128">
        <f>Data_thang!E2128</f>
        <v/>
      </c>
      <c r="E2128">
        <f>Data_thang!F2128</f>
        <v/>
      </c>
      <c r="F2128">
        <f>Data_thang!G2128</f>
        <v/>
      </c>
      <c r="G2128" s="29">
        <f>Data_thang!J2128-Data_thang!K2128</f>
        <v/>
      </c>
      <c r="H2128" s="29">
        <f>Data_thang!N2128</f>
        <v/>
      </c>
      <c r="I2128" s="29">
        <f>H2128-G2128</f>
        <v/>
      </c>
      <c r="J2128" s="30">
        <f>IF(H2128=0,IF(I2128=0,0,1),I2128/ABS(H2128))</f>
        <v/>
      </c>
      <c r="K2128" s="29">
        <f>H2128-(Data_thang!O2128-Data_thang!K2128)</f>
        <v/>
      </c>
      <c r="L2128">
        <f>IF(AND(ABS(I2128)&gt;Dashboard!$G$6,ABS(J2128)&gt;Dashboard!$H$6),"⚠ Vượt","")</f>
        <v/>
      </c>
      <c r="M2128">
        <f>IF(AND(A2128=Dashboard!$D$6,OR(Dashboard!$C$6="*",F2128=Dashboard!$C$6),L2128&lt;&gt;""),ABS(I2128)+ROW()/1000000000,0)</f>
        <v/>
      </c>
    </row>
    <row r="2129">
      <c r="A2129">
        <f>Data_thang!A2129</f>
        <v/>
      </c>
      <c r="B2129">
        <f>Data_thang!B2129</f>
        <v/>
      </c>
      <c r="C2129">
        <f>Data_thang!D2129</f>
        <v/>
      </c>
      <c r="D2129">
        <f>Data_thang!E2129</f>
        <v/>
      </c>
      <c r="E2129">
        <f>Data_thang!F2129</f>
        <v/>
      </c>
      <c r="F2129">
        <f>Data_thang!G2129</f>
        <v/>
      </c>
      <c r="G2129" s="29">
        <f>Data_thang!J2129-Data_thang!K2129</f>
        <v/>
      </c>
      <c r="H2129" s="29">
        <f>Data_thang!N2129</f>
        <v/>
      </c>
      <c r="I2129" s="29">
        <f>H2129-G2129</f>
        <v/>
      </c>
      <c r="J2129" s="30">
        <f>IF(H2129=0,IF(I2129=0,0,1),I2129/ABS(H2129))</f>
        <v/>
      </c>
      <c r="K2129" s="29">
        <f>H2129-(Data_thang!O2129-Data_thang!K2129)</f>
        <v/>
      </c>
      <c r="L2129">
        <f>IF(AND(ABS(I2129)&gt;Dashboard!$G$6,ABS(J2129)&gt;Dashboard!$H$6),"⚠ Vượt","")</f>
        <v/>
      </c>
      <c r="M2129">
        <f>IF(AND(A2129=Dashboard!$D$6,OR(Dashboard!$C$6="*",F2129=Dashboard!$C$6),L2129&lt;&gt;""),ABS(I2129)+ROW()/1000000000,0)</f>
        <v/>
      </c>
    </row>
    <row r="2130">
      <c r="A2130">
        <f>Data_thang!A2130</f>
        <v/>
      </c>
      <c r="B2130">
        <f>Data_thang!B2130</f>
        <v/>
      </c>
      <c r="C2130">
        <f>Data_thang!D2130</f>
        <v/>
      </c>
      <c r="D2130">
        <f>Data_thang!E2130</f>
        <v/>
      </c>
      <c r="E2130">
        <f>Data_thang!F2130</f>
        <v/>
      </c>
      <c r="F2130">
        <f>Data_thang!G2130</f>
        <v/>
      </c>
      <c r="G2130" s="29">
        <f>Data_thang!J2130-Data_thang!K2130</f>
        <v/>
      </c>
      <c r="H2130" s="29">
        <f>Data_thang!N2130</f>
        <v/>
      </c>
      <c r="I2130" s="29">
        <f>H2130-G2130</f>
        <v/>
      </c>
      <c r="J2130" s="30">
        <f>IF(H2130=0,IF(I2130=0,0,1),I2130/ABS(H2130))</f>
        <v/>
      </c>
      <c r="K2130" s="29">
        <f>H2130-(Data_thang!O2130-Data_thang!K2130)</f>
        <v/>
      </c>
      <c r="L2130">
        <f>IF(AND(ABS(I2130)&gt;Dashboard!$G$6,ABS(J2130)&gt;Dashboard!$H$6),"⚠ Vượt","")</f>
        <v/>
      </c>
      <c r="M2130">
        <f>IF(AND(A2130=Dashboard!$D$6,OR(Dashboard!$C$6="*",F2130=Dashboard!$C$6),L2130&lt;&gt;""),ABS(I2130)+ROW()/1000000000,0)</f>
        <v/>
      </c>
    </row>
    <row r="2131">
      <c r="A2131">
        <f>Data_thang!A2131</f>
        <v/>
      </c>
      <c r="B2131">
        <f>Data_thang!B2131</f>
        <v/>
      </c>
      <c r="C2131">
        <f>Data_thang!D2131</f>
        <v/>
      </c>
      <c r="D2131">
        <f>Data_thang!E2131</f>
        <v/>
      </c>
      <c r="E2131">
        <f>Data_thang!F2131</f>
        <v/>
      </c>
      <c r="F2131">
        <f>Data_thang!G2131</f>
        <v/>
      </c>
      <c r="G2131" s="29">
        <f>Data_thang!J2131-Data_thang!K2131</f>
        <v/>
      </c>
      <c r="H2131" s="29">
        <f>Data_thang!N2131</f>
        <v/>
      </c>
      <c r="I2131" s="29">
        <f>H2131-G2131</f>
        <v/>
      </c>
      <c r="J2131" s="30">
        <f>IF(H2131=0,IF(I2131=0,0,1),I2131/ABS(H2131))</f>
        <v/>
      </c>
      <c r="K2131" s="29">
        <f>H2131-(Data_thang!O2131-Data_thang!K2131)</f>
        <v/>
      </c>
      <c r="L2131">
        <f>IF(AND(ABS(I2131)&gt;Dashboard!$G$6,ABS(J2131)&gt;Dashboard!$H$6),"⚠ Vượt","")</f>
        <v/>
      </c>
      <c r="M2131">
        <f>IF(AND(A2131=Dashboard!$D$6,OR(Dashboard!$C$6="*",F2131=Dashboard!$C$6),L2131&lt;&gt;""),ABS(I2131)+ROW()/1000000000,0)</f>
        <v/>
      </c>
    </row>
    <row r="2132">
      <c r="A2132">
        <f>Data_thang!A2132</f>
        <v/>
      </c>
      <c r="B2132">
        <f>Data_thang!B2132</f>
        <v/>
      </c>
      <c r="C2132">
        <f>Data_thang!D2132</f>
        <v/>
      </c>
      <c r="D2132">
        <f>Data_thang!E2132</f>
        <v/>
      </c>
      <c r="E2132">
        <f>Data_thang!F2132</f>
        <v/>
      </c>
      <c r="F2132">
        <f>Data_thang!G2132</f>
        <v/>
      </c>
      <c r="G2132" s="29">
        <f>Data_thang!J2132-Data_thang!K2132</f>
        <v/>
      </c>
      <c r="H2132" s="29">
        <f>Data_thang!N2132</f>
        <v/>
      </c>
      <c r="I2132" s="29">
        <f>H2132-G2132</f>
        <v/>
      </c>
      <c r="J2132" s="30">
        <f>IF(H2132=0,IF(I2132=0,0,1),I2132/ABS(H2132))</f>
        <v/>
      </c>
      <c r="K2132" s="29">
        <f>H2132-(Data_thang!O2132-Data_thang!K2132)</f>
        <v/>
      </c>
      <c r="L2132">
        <f>IF(AND(ABS(I2132)&gt;Dashboard!$G$6,ABS(J2132)&gt;Dashboard!$H$6),"⚠ Vượt","")</f>
        <v/>
      </c>
      <c r="M2132">
        <f>IF(AND(A2132=Dashboard!$D$6,OR(Dashboard!$C$6="*",F2132=Dashboard!$C$6),L2132&lt;&gt;""),ABS(I2132)+ROW()/1000000000,0)</f>
        <v/>
      </c>
    </row>
    <row r="2133">
      <c r="A2133">
        <f>Data_thang!A2133</f>
        <v/>
      </c>
      <c r="B2133">
        <f>Data_thang!B2133</f>
        <v/>
      </c>
      <c r="C2133">
        <f>Data_thang!D2133</f>
        <v/>
      </c>
      <c r="D2133">
        <f>Data_thang!E2133</f>
        <v/>
      </c>
      <c r="E2133">
        <f>Data_thang!F2133</f>
        <v/>
      </c>
      <c r="F2133">
        <f>Data_thang!G2133</f>
        <v/>
      </c>
      <c r="G2133" s="29">
        <f>Data_thang!J2133-Data_thang!K2133</f>
        <v/>
      </c>
      <c r="H2133" s="29">
        <f>Data_thang!N2133</f>
        <v/>
      </c>
      <c r="I2133" s="29">
        <f>H2133-G2133</f>
        <v/>
      </c>
      <c r="J2133" s="30">
        <f>IF(H2133=0,IF(I2133=0,0,1),I2133/ABS(H2133))</f>
        <v/>
      </c>
      <c r="K2133" s="29">
        <f>H2133-(Data_thang!O2133-Data_thang!K2133)</f>
        <v/>
      </c>
      <c r="L2133">
        <f>IF(AND(ABS(I2133)&gt;Dashboard!$G$6,ABS(J2133)&gt;Dashboard!$H$6),"⚠ Vượt","")</f>
        <v/>
      </c>
      <c r="M2133">
        <f>IF(AND(A2133=Dashboard!$D$6,OR(Dashboard!$C$6="*",F2133=Dashboard!$C$6),L2133&lt;&gt;""),ABS(I2133)+ROW()/1000000000,0)</f>
        <v/>
      </c>
    </row>
    <row r="2134">
      <c r="A2134">
        <f>Data_thang!A2134</f>
        <v/>
      </c>
      <c r="B2134">
        <f>Data_thang!B2134</f>
        <v/>
      </c>
      <c r="C2134">
        <f>Data_thang!D2134</f>
        <v/>
      </c>
      <c r="D2134">
        <f>Data_thang!E2134</f>
        <v/>
      </c>
      <c r="E2134">
        <f>Data_thang!F2134</f>
        <v/>
      </c>
      <c r="F2134">
        <f>Data_thang!G2134</f>
        <v/>
      </c>
      <c r="G2134" s="29">
        <f>Data_thang!J2134-Data_thang!K2134</f>
        <v/>
      </c>
      <c r="H2134" s="29">
        <f>Data_thang!N2134</f>
        <v/>
      </c>
      <c r="I2134" s="29">
        <f>H2134-G2134</f>
        <v/>
      </c>
      <c r="J2134" s="30">
        <f>IF(H2134=0,IF(I2134=0,0,1),I2134/ABS(H2134))</f>
        <v/>
      </c>
      <c r="K2134" s="29">
        <f>H2134-(Data_thang!O2134-Data_thang!K2134)</f>
        <v/>
      </c>
      <c r="L2134">
        <f>IF(AND(ABS(I2134)&gt;Dashboard!$G$6,ABS(J2134)&gt;Dashboard!$H$6),"⚠ Vượt","")</f>
        <v/>
      </c>
      <c r="M2134">
        <f>IF(AND(A2134=Dashboard!$D$6,OR(Dashboard!$C$6="*",F2134=Dashboard!$C$6),L2134&lt;&gt;""),ABS(I2134)+ROW()/1000000000,0)</f>
        <v/>
      </c>
    </row>
    <row r="2135">
      <c r="A2135">
        <f>Data_thang!A2135</f>
        <v/>
      </c>
      <c r="B2135">
        <f>Data_thang!B2135</f>
        <v/>
      </c>
      <c r="C2135">
        <f>Data_thang!D2135</f>
        <v/>
      </c>
      <c r="D2135">
        <f>Data_thang!E2135</f>
        <v/>
      </c>
      <c r="E2135">
        <f>Data_thang!F2135</f>
        <v/>
      </c>
      <c r="F2135">
        <f>Data_thang!G2135</f>
        <v/>
      </c>
      <c r="G2135" s="29">
        <f>Data_thang!J2135-Data_thang!K2135</f>
        <v/>
      </c>
      <c r="H2135" s="29">
        <f>Data_thang!N2135</f>
        <v/>
      </c>
      <c r="I2135" s="29">
        <f>H2135-G2135</f>
        <v/>
      </c>
      <c r="J2135" s="30">
        <f>IF(H2135=0,IF(I2135=0,0,1),I2135/ABS(H2135))</f>
        <v/>
      </c>
      <c r="K2135" s="29">
        <f>H2135-(Data_thang!O2135-Data_thang!K2135)</f>
        <v/>
      </c>
      <c r="L2135">
        <f>IF(AND(ABS(I2135)&gt;Dashboard!$G$6,ABS(J2135)&gt;Dashboard!$H$6),"⚠ Vượt","")</f>
        <v/>
      </c>
      <c r="M2135">
        <f>IF(AND(A2135=Dashboard!$D$6,OR(Dashboard!$C$6="*",F2135=Dashboard!$C$6),L2135&lt;&gt;""),ABS(I2135)+ROW()/1000000000,0)</f>
        <v/>
      </c>
    </row>
    <row r="2136">
      <c r="A2136">
        <f>Data_thang!A2136</f>
        <v/>
      </c>
      <c r="B2136">
        <f>Data_thang!B2136</f>
        <v/>
      </c>
      <c r="C2136">
        <f>Data_thang!D2136</f>
        <v/>
      </c>
      <c r="D2136">
        <f>Data_thang!E2136</f>
        <v/>
      </c>
      <c r="E2136">
        <f>Data_thang!F2136</f>
        <v/>
      </c>
      <c r="F2136">
        <f>Data_thang!G2136</f>
        <v/>
      </c>
      <c r="G2136" s="29">
        <f>Data_thang!J2136-Data_thang!K2136</f>
        <v/>
      </c>
      <c r="H2136" s="29">
        <f>Data_thang!N2136</f>
        <v/>
      </c>
      <c r="I2136" s="29">
        <f>H2136-G2136</f>
        <v/>
      </c>
      <c r="J2136" s="30">
        <f>IF(H2136=0,IF(I2136=0,0,1),I2136/ABS(H2136))</f>
        <v/>
      </c>
      <c r="K2136" s="29">
        <f>H2136-(Data_thang!O2136-Data_thang!K2136)</f>
        <v/>
      </c>
      <c r="L2136">
        <f>IF(AND(ABS(I2136)&gt;Dashboard!$G$6,ABS(J2136)&gt;Dashboard!$H$6),"⚠ Vượt","")</f>
        <v/>
      </c>
      <c r="M2136">
        <f>IF(AND(A2136=Dashboard!$D$6,OR(Dashboard!$C$6="*",F2136=Dashboard!$C$6),L2136&lt;&gt;""),ABS(I2136)+ROW()/1000000000,0)</f>
        <v/>
      </c>
    </row>
    <row r="2137">
      <c r="A2137">
        <f>Data_thang!A2137</f>
        <v/>
      </c>
      <c r="B2137">
        <f>Data_thang!B2137</f>
        <v/>
      </c>
      <c r="C2137">
        <f>Data_thang!D2137</f>
        <v/>
      </c>
      <c r="D2137">
        <f>Data_thang!E2137</f>
        <v/>
      </c>
      <c r="E2137">
        <f>Data_thang!F2137</f>
        <v/>
      </c>
      <c r="F2137">
        <f>Data_thang!G2137</f>
        <v/>
      </c>
      <c r="G2137" s="29">
        <f>Data_thang!J2137-Data_thang!K2137</f>
        <v/>
      </c>
      <c r="H2137" s="29">
        <f>Data_thang!N2137</f>
        <v/>
      </c>
      <c r="I2137" s="29">
        <f>H2137-G2137</f>
        <v/>
      </c>
      <c r="J2137" s="30">
        <f>IF(H2137=0,IF(I2137=0,0,1),I2137/ABS(H2137))</f>
        <v/>
      </c>
      <c r="K2137" s="29">
        <f>H2137-(Data_thang!O2137-Data_thang!K2137)</f>
        <v/>
      </c>
      <c r="L2137">
        <f>IF(AND(ABS(I2137)&gt;Dashboard!$G$6,ABS(J2137)&gt;Dashboard!$H$6),"⚠ Vượt","")</f>
        <v/>
      </c>
      <c r="M2137">
        <f>IF(AND(A2137=Dashboard!$D$6,OR(Dashboard!$C$6="*",F2137=Dashboard!$C$6),L2137&lt;&gt;""),ABS(I2137)+ROW()/1000000000,0)</f>
        <v/>
      </c>
    </row>
    <row r="2138">
      <c r="A2138">
        <f>Data_thang!A2138</f>
        <v/>
      </c>
      <c r="B2138">
        <f>Data_thang!B2138</f>
        <v/>
      </c>
      <c r="C2138">
        <f>Data_thang!D2138</f>
        <v/>
      </c>
      <c r="D2138">
        <f>Data_thang!E2138</f>
        <v/>
      </c>
      <c r="E2138">
        <f>Data_thang!F2138</f>
        <v/>
      </c>
      <c r="F2138">
        <f>Data_thang!G2138</f>
        <v/>
      </c>
      <c r="G2138" s="29">
        <f>Data_thang!J2138-Data_thang!K2138</f>
        <v/>
      </c>
      <c r="H2138" s="29">
        <f>Data_thang!N2138</f>
        <v/>
      </c>
      <c r="I2138" s="29">
        <f>H2138-G2138</f>
        <v/>
      </c>
      <c r="J2138" s="30">
        <f>IF(H2138=0,IF(I2138=0,0,1),I2138/ABS(H2138))</f>
        <v/>
      </c>
      <c r="K2138" s="29">
        <f>H2138-(Data_thang!O2138-Data_thang!K2138)</f>
        <v/>
      </c>
      <c r="L2138">
        <f>IF(AND(ABS(I2138)&gt;Dashboard!$G$6,ABS(J2138)&gt;Dashboard!$H$6),"⚠ Vượt","")</f>
        <v/>
      </c>
      <c r="M2138">
        <f>IF(AND(A2138=Dashboard!$D$6,OR(Dashboard!$C$6="*",F2138=Dashboard!$C$6),L2138&lt;&gt;""),ABS(I2138)+ROW()/1000000000,0)</f>
        <v/>
      </c>
    </row>
    <row r="2139">
      <c r="A2139">
        <f>Data_thang!A2139</f>
        <v/>
      </c>
      <c r="B2139">
        <f>Data_thang!B2139</f>
        <v/>
      </c>
      <c r="C2139">
        <f>Data_thang!D2139</f>
        <v/>
      </c>
      <c r="D2139">
        <f>Data_thang!E2139</f>
        <v/>
      </c>
      <c r="E2139">
        <f>Data_thang!F2139</f>
        <v/>
      </c>
      <c r="F2139">
        <f>Data_thang!G2139</f>
        <v/>
      </c>
      <c r="G2139" s="29">
        <f>Data_thang!J2139-Data_thang!K2139</f>
        <v/>
      </c>
      <c r="H2139" s="29">
        <f>Data_thang!N2139</f>
        <v/>
      </c>
      <c r="I2139" s="29">
        <f>H2139-G2139</f>
        <v/>
      </c>
      <c r="J2139" s="30">
        <f>IF(H2139=0,IF(I2139=0,0,1),I2139/ABS(H2139))</f>
        <v/>
      </c>
      <c r="K2139" s="29">
        <f>H2139-(Data_thang!O2139-Data_thang!K2139)</f>
        <v/>
      </c>
      <c r="L2139">
        <f>IF(AND(ABS(I2139)&gt;Dashboard!$G$6,ABS(J2139)&gt;Dashboard!$H$6),"⚠ Vượt","")</f>
        <v/>
      </c>
      <c r="M2139">
        <f>IF(AND(A2139=Dashboard!$D$6,OR(Dashboard!$C$6="*",F2139=Dashboard!$C$6),L2139&lt;&gt;""),ABS(I2139)+ROW()/1000000000,0)</f>
        <v/>
      </c>
    </row>
    <row r="2140">
      <c r="A2140">
        <f>Data_thang!A2140</f>
        <v/>
      </c>
      <c r="B2140">
        <f>Data_thang!B2140</f>
        <v/>
      </c>
      <c r="C2140">
        <f>Data_thang!D2140</f>
        <v/>
      </c>
      <c r="D2140">
        <f>Data_thang!E2140</f>
        <v/>
      </c>
      <c r="E2140">
        <f>Data_thang!F2140</f>
        <v/>
      </c>
      <c r="F2140">
        <f>Data_thang!G2140</f>
        <v/>
      </c>
      <c r="G2140" s="29">
        <f>Data_thang!J2140-Data_thang!K2140</f>
        <v/>
      </c>
      <c r="H2140" s="29">
        <f>Data_thang!N2140</f>
        <v/>
      </c>
      <c r="I2140" s="29">
        <f>H2140-G2140</f>
        <v/>
      </c>
      <c r="J2140" s="30">
        <f>IF(H2140=0,IF(I2140=0,0,1),I2140/ABS(H2140))</f>
        <v/>
      </c>
      <c r="K2140" s="29">
        <f>H2140-(Data_thang!O2140-Data_thang!K2140)</f>
        <v/>
      </c>
      <c r="L2140">
        <f>IF(AND(ABS(I2140)&gt;Dashboard!$G$6,ABS(J2140)&gt;Dashboard!$H$6),"⚠ Vượt","")</f>
        <v/>
      </c>
      <c r="M2140">
        <f>IF(AND(A2140=Dashboard!$D$6,OR(Dashboard!$C$6="*",F2140=Dashboard!$C$6),L2140&lt;&gt;""),ABS(I2140)+ROW()/1000000000,0)</f>
        <v/>
      </c>
    </row>
    <row r="2141">
      <c r="A2141">
        <f>Data_thang!A2141</f>
        <v/>
      </c>
      <c r="B2141">
        <f>Data_thang!B2141</f>
        <v/>
      </c>
      <c r="C2141">
        <f>Data_thang!D2141</f>
        <v/>
      </c>
      <c r="D2141">
        <f>Data_thang!E2141</f>
        <v/>
      </c>
      <c r="E2141">
        <f>Data_thang!F2141</f>
        <v/>
      </c>
      <c r="F2141">
        <f>Data_thang!G2141</f>
        <v/>
      </c>
      <c r="G2141" s="29">
        <f>Data_thang!J2141-Data_thang!K2141</f>
        <v/>
      </c>
      <c r="H2141" s="29">
        <f>Data_thang!N2141</f>
        <v/>
      </c>
      <c r="I2141" s="29">
        <f>H2141-G2141</f>
        <v/>
      </c>
      <c r="J2141" s="30">
        <f>IF(H2141=0,IF(I2141=0,0,1),I2141/ABS(H2141))</f>
        <v/>
      </c>
      <c r="K2141" s="29">
        <f>H2141-(Data_thang!O2141-Data_thang!K2141)</f>
        <v/>
      </c>
      <c r="L2141">
        <f>IF(AND(ABS(I2141)&gt;Dashboard!$G$6,ABS(J2141)&gt;Dashboard!$H$6),"⚠ Vượt","")</f>
        <v/>
      </c>
      <c r="M2141">
        <f>IF(AND(A2141=Dashboard!$D$6,OR(Dashboard!$C$6="*",F2141=Dashboard!$C$6),L2141&lt;&gt;""),ABS(I2141)+ROW()/1000000000,0)</f>
        <v/>
      </c>
    </row>
    <row r="2142">
      <c r="A2142">
        <f>Data_thang!A2142</f>
        <v/>
      </c>
      <c r="B2142">
        <f>Data_thang!B2142</f>
        <v/>
      </c>
      <c r="C2142">
        <f>Data_thang!D2142</f>
        <v/>
      </c>
      <c r="D2142">
        <f>Data_thang!E2142</f>
        <v/>
      </c>
      <c r="E2142">
        <f>Data_thang!F2142</f>
        <v/>
      </c>
      <c r="F2142">
        <f>Data_thang!G2142</f>
        <v/>
      </c>
      <c r="G2142" s="29">
        <f>Data_thang!J2142-Data_thang!K2142</f>
        <v/>
      </c>
      <c r="H2142" s="29">
        <f>Data_thang!N2142</f>
        <v/>
      </c>
      <c r="I2142" s="29">
        <f>H2142-G2142</f>
        <v/>
      </c>
      <c r="J2142" s="30">
        <f>IF(H2142=0,IF(I2142=0,0,1),I2142/ABS(H2142))</f>
        <v/>
      </c>
      <c r="K2142" s="29">
        <f>H2142-(Data_thang!O2142-Data_thang!K2142)</f>
        <v/>
      </c>
      <c r="L2142">
        <f>IF(AND(ABS(I2142)&gt;Dashboard!$G$6,ABS(J2142)&gt;Dashboard!$H$6),"⚠ Vượt","")</f>
        <v/>
      </c>
      <c r="M2142">
        <f>IF(AND(A2142=Dashboard!$D$6,OR(Dashboard!$C$6="*",F2142=Dashboard!$C$6),L2142&lt;&gt;""),ABS(I2142)+ROW()/1000000000,0)</f>
        <v/>
      </c>
    </row>
    <row r="2143">
      <c r="A2143">
        <f>Data_thang!A2143</f>
        <v/>
      </c>
      <c r="B2143">
        <f>Data_thang!B2143</f>
        <v/>
      </c>
      <c r="C2143">
        <f>Data_thang!D2143</f>
        <v/>
      </c>
      <c r="D2143">
        <f>Data_thang!E2143</f>
        <v/>
      </c>
      <c r="E2143">
        <f>Data_thang!F2143</f>
        <v/>
      </c>
      <c r="F2143">
        <f>Data_thang!G2143</f>
        <v/>
      </c>
      <c r="G2143" s="29">
        <f>Data_thang!J2143-Data_thang!K2143</f>
        <v/>
      </c>
      <c r="H2143" s="29">
        <f>Data_thang!N2143</f>
        <v/>
      </c>
      <c r="I2143" s="29">
        <f>H2143-G2143</f>
        <v/>
      </c>
      <c r="J2143" s="30">
        <f>IF(H2143=0,IF(I2143=0,0,1),I2143/ABS(H2143))</f>
        <v/>
      </c>
      <c r="K2143" s="29">
        <f>H2143-(Data_thang!O2143-Data_thang!K2143)</f>
        <v/>
      </c>
      <c r="L2143">
        <f>IF(AND(ABS(I2143)&gt;Dashboard!$G$6,ABS(J2143)&gt;Dashboard!$H$6),"⚠ Vượt","")</f>
        <v/>
      </c>
      <c r="M2143">
        <f>IF(AND(A2143=Dashboard!$D$6,OR(Dashboard!$C$6="*",F2143=Dashboard!$C$6),L2143&lt;&gt;""),ABS(I2143)+ROW()/1000000000,0)</f>
        <v/>
      </c>
    </row>
    <row r="2144">
      <c r="A2144">
        <f>Data_thang!A2144</f>
        <v/>
      </c>
      <c r="B2144">
        <f>Data_thang!B2144</f>
        <v/>
      </c>
      <c r="C2144">
        <f>Data_thang!D2144</f>
        <v/>
      </c>
      <c r="D2144">
        <f>Data_thang!E2144</f>
        <v/>
      </c>
      <c r="E2144">
        <f>Data_thang!F2144</f>
        <v/>
      </c>
      <c r="F2144">
        <f>Data_thang!G2144</f>
        <v/>
      </c>
      <c r="G2144" s="29">
        <f>Data_thang!J2144-Data_thang!K2144</f>
        <v/>
      </c>
      <c r="H2144" s="29">
        <f>Data_thang!N2144</f>
        <v/>
      </c>
      <c r="I2144" s="29">
        <f>H2144-G2144</f>
        <v/>
      </c>
      <c r="J2144" s="30">
        <f>IF(H2144=0,IF(I2144=0,0,1),I2144/ABS(H2144))</f>
        <v/>
      </c>
      <c r="K2144" s="29">
        <f>H2144-(Data_thang!O2144-Data_thang!K2144)</f>
        <v/>
      </c>
      <c r="L2144">
        <f>IF(AND(ABS(I2144)&gt;Dashboard!$G$6,ABS(J2144)&gt;Dashboard!$H$6),"⚠ Vượt","")</f>
        <v/>
      </c>
      <c r="M2144">
        <f>IF(AND(A2144=Dashboard!$D$6,OR(Dashboard!$C$6="*",F2144=Dashboard!$C$6),L2144&lt;&gt;""),ABS(I2144)+ROW()/1000000000,0)</f>
        <v/>
      </c>
    </row>
    <row r="2145">
      <c r="A2145">
        <f>Data_thang!A2145</f>
        <v/>
      </c>
      <c r="B2145">
        <f>Data_thang!B2145</f>
        <v/>
      </c>
      <c r="C2145">
        <f>Data_thang!D2145</f>
        <v/>
      </c>
      <c r="D2145">
        <f>Data_thang!E2145</f>
        <v/>
      </c>
      <c r="E2145">
        <f>Data_thang!F2145</f>
        <v/>
      </c>
      <c r="F2145">
        <f>Data_thang!G2145</f>
        <v/>
      </c>
      <c r="G2145" s="29">
        <f>Data_thang!J2145-Data_thang!K2145</f>
        <v/>
      </c>
      <c r="H2145" s="29">
        <f>Data_thang!N2145</f>
        <v/>
      </c>
      <c r="I2145" s="29">
        <f>H2145-G2145</f>
        <v/>
      </c>
      <c r="J2145" s="30">
        <f>IF(H2145=0,IF(I2145=0,0,1),I2145/ABS(H2145))</f>
        <v/>
      </c>
      <c r="K2145" s="29">
        <f>H2145-(Data_thang!O2145-Data_thang!K2145)</f>
        <v/>
      </c>
      <c r="L2145">
        <f>IF(AND(ABS(I2145)&gt;Dashboard!$G$6,ABS(J2145)&gt;Dashboard!$H$6),"⚠ Vượt","")</f>
        <v/>
      </c>
      <c r="M2145">
        <f>IF(AND(A2145=Dashboard!$D$6,OR(Dashboard!$C$6="*",F2145=Dashboard!$C$6),L2145&lt;&gt;""),ABS(I2145)+ROW()/1000000000,0)</f>
        <v/>
      </c>
    </row>
    <row r="2146">
      <c r="A2146">
        <f>Data_thang!A2146</f>
        <v/>
      </c>
      <c r="B2146">
        <f>Data_thang!B2146</f>
        <v/>
      </c>
      <c r="C2146">
        <f>Data_thang!D2146</f>
        <v/>
      </c>
      <c r="D2146">
        <f>Data_thang!E2146</f>
        <v/>
      </c>
      <c r="E2146">
        <f>Data_thang!F2146</f>
        <v/>
      </c>
      <c r="F2146">
        <f>Data_thang!G2146</f>
        <v/>
      </c>
      <c r="G2146" s="29">
        <f>Data_thang!J2146-Data_thang!K2146</f>
        <v/>
      </c>
      <c r="H2146" s="29">
        <f>Data_thang!N2146</f>
        <v/>
      </c>
      <c r="I2146" s="29">
        <f>H2146-G2146</f>
        <v/>
      </c>
      <c r="J2146" s="30">
        <f>IF(H2146=0,IF(I2146=0,0,1),I2146/ABS(H2146))</f>
        <v/>
      </c>
      <c r="K2146" s="29">
        <f>H2146-(Data_thang!O2146-Data_thang!K2146)</f>
        <v/>
      </c>
      <c r="L2146">
        <f>IF(AND(ABS(I2146)&gt;Dashboard!$G$6,ABS(J2146)&gt;Dashboard!$H$6),"⚠ Vượt","")</f>
        <v/>
      </c>
      <c r="M2146">
        <f>IF(AND(A2146=Dashboard!$D$6,OR(Dashboard!$C$6="*",F2146=Dashboard!$C$6),L2146&lt;&gt;""),ABS(I2146)+ROW()/1000000000,0)</f>
        <v/>
      </c>
    </row>
    <row r="2147">
      <c r="A2147">
        <f>Data_thang!A2147</f>
        <v/>
      </c>
      <c r="B2147">
        <f>Data_thang!B2147</f>
        <v/>
      </c>
      <c r="C2147">
        <f>Data_thang!D2147</f>
        <v/>
      </c>
      <c r="D2147">
        <f>Data_thang!E2147</f>
        <v/>
      </c>
      <c r="E2147">
        <f>Data_thang!F2147</f>
        <v/>
      </c>
      <c r="F2147">
        <f>Data_thang!G2147</f>
        <v/>
      </c>
      <c r="G2147" s="29">
        <f>Data_thang!J2147-Data_thang!K2147</f>
        <v/>
      </c>
      <c r="H2147" s="29">
        <f>Data_thang!N2147</f>
        <v/>
      </c>
      <c r="I2147" s="29">
        <f>H2147-G2147</f>
        <v/>
      </c>
      <c r="J2147" s="30">
        <f>IF(H2147=0,IF(I2147=0,0,1),I2147/ABS(H2147))</f>
        <v/>
      </c>
      <c r="K2147" s="29">
        <f>H2147-(Data_thang!O2147-Data_thang!K2147)</f>
        <v/>
      </c>
      <c r="L2147">
        <f>IF(AND(ABS(I2147)&gt;Dashboard!$G$6,ABS(J2147)&gt;Dashboard!$H$6),"⚠ Vượt","")</f>
        <v/>
      </c>
      <c r="M2147">
        <f>IF(AND(A2147=Dashboard!$D$6,OR(Dashboard!$C$6="*",F2147=Dashboard!$C$6),L2147&lt;&gt;""),ABS(I2147)+ROW()/1000000000,0)</f>
        <v/>
      </c>
    </row>
    <row r="2148">
      <c r="A2148">
        <f>Data_thang!A2148</f>
        <v/>
      </c>
      <c r="B2148">
        <f>Data_thang!B2148</f>
        <v/>
      </c>
      <c r="C2148">
        <f>Data_thang!D2148</f>
        <v/>
      </c>
      <c r="D2148">
        <f>Data_thang!E2148</f>
        <v/>
      </c>
      <c r="E2148">
        <f>Data_thang!F2148</f>
        <v/>
      </c>
      <c r="F2148">
        <f>Data_thang!G2148</f>
        <v/>
      </c>
      <c r="G2148" s="29">
        <f>Data_thang!J2148-Data_thang!K2148</f>
        <v/>
      </c>
      <c r="H2148" s="29">
        <f>Data_thang!N2148</f>
        <v/>
      </c>
      <c r="I2148" s="29">
        <f>H2148-G2148</f>
        <v/>
      </c>
      <c r="J2148" s="30">
        <f>IF(H2148=0,IF(I2148=0,0,1),I2148/ABS(H2148))</f>
        <v/>
      </c>
      <c r="K2148" s="29">
        <f>H2148-(Data_thang!O2148-Data_thang!K2148)</f>
        <v/>
      </c>
      <c r="L2148">
        <f>IF(AND(ABS(I2148)&gt;Dashboard!$G$6,ABS(J2148)&gt;Dashboard!$H$6),"⚠ Vượt","")</f>
        <v/>
      </c>
      <c r="M2148">
        <f>IF(AND(A2148=Dashboard!$D$6,OR(Dashboard!$C$6="*",F2148=Dashboard!$C$6),L2148&lt;&gt;""),ABS(I2148)+ROW()/1000000000,0)</f>
        <v/>
      </c>
    </row>
    <row r="2149">
      <c r="A2149">
        <f>Data_thang!A2149</f>
        <v/>
      </c>
      <c r="B2149">
        <f>Data_thang!B2149</f>
        <v/>
      </c>
      <c r="C2149">
        <f>Data_thang!D2149</f>
        <v/>
      </c>
      <c r="D2149">
        <f>Data_thang!E2149</f>
        <v/>
      </c>
      <c r="E2149">
        <f>Data_thang!F2149</f>
        <v/>
      </c>
      <c r="F2149">
        <f>Data_thang!G2149</f>
        <v/>
      </c>
      <c r="G2149" s="29">
        <f>Data_thang!J2149-Data_thang!K2149</f>
        <v/>
      </c>
      <c r="H2149" s="29">
        <f>Data_thang!N2149</f>
        <v/>
      </c>
      <c r="I2149" s="29">
        <f>H2149-G2149</f>
        <v/>
      </c>
      <c r="J2149" s="30">
        <f>IF(H2149=0,IF(I2149=0,0,1),I2149/ABS(H2149))</f>
        <v/>
      </c>
      <c r="K2149" s="29">
        <f>H2149-(Data_thang!O2149-Data_thang!K2149)</f>
        <v/>
      </c>
      <c r="L2149">
        <f>IF(AND(ABS(I2149)&gt;Dashboard!$G$6,ABS(J2149)&gt;Dashboard!$H$6),"⚠ Vượt","")</f>
        <v/>
      </c>
      <c r="M2149">
        <f>IF(AND(A2149=Dashboard!$D$6,OR(Dashboard!$C$6="*",F2149=Dashboard!$C$6),L2149&lt;&gt;""),ABS(I2149)+ROW()/1000000000,0)</f>
        <v/>
      </c>
    </row>
    <row r="2150">
      <c r="A2150">
        <f>Data_thang!A2150</f>
        <v/>
      </c>
      <c r="B2150">
        <f>Data_thang!B2150</f>
        <v/>
      </c>
      <c r="C2150">
        <f>Data_thang!D2150</f>
        <v/>
      </c>
      <c r="D2150">
        <f>Data_thang!E2150</f>
        <v/>
      </c>
      <c r="E2150">
        <f>Data_thang!F2150</f>
        <v/>
      </c>
      <c r="F2150">
        <f>Data_thang!G2150</f>
        <v/>
      </c>
      <c r="G2150" s="29">
        <f>Data_thang!J2150-Data_thang!K2150</f>
        <v/>
      </c>
      <c r="H2150" s="29">
        <f>Data_thang!N2150</f>
        <v/>
      </c>
      <c r="I2150" s="29">
        <f>H2150-G2150</f>
        <v/>
      </c>
      <c r="J2150" s="30">
        <f>IF(H2150=0,IF(I2150=0,0,1),I2150/ABS(H2150))</f>
        <v/>
      </c>
      <c r="K2150" s="29">
        <f>H2150-(Data_thang!O2150-Data_thang!K2150)</f>
        <v/>
      </c>
      <c r="L2150">
        <f>IF(AND(ABS(I2150)&gt;Dashboard!$G$6,ABS(J2150)&gt;Dashboard!$H$6),"⚠ Vượt","")</f>
        <v/>
      </c>
      <c r="M2150">
        <f>IF(AND(A2150=Dashboard!$D$6,OR(Dashboard!$C$6="*",F2150=Dashboard!$C$6),L2150&lt;&gt;""),ABS(I2150)+ROW()/1000000000,0)</f>
        <v/>
      </c>
    </row>
    <row r="2151">
      <c r="A2151">
        <f>Data_thang!A2151</f>
        <v/>
      </c>
      <c r="B2151">
        <f>Data_thang!B2151</f>
        <v/>
      </c>
      <c r="C2151">
        <f>Data_thang!D2151</f>
        <v/>
      </c>
      <c r="D2151">
        <f>Data_thang!E2151</f>
        <v/>
      </c>
      <c r="E2151">
        <f>Data_thang!F2151</f>
        <v/>
      </c>
      <c r="F2151">
        <f>Data_thang!G2151</f>
        <v/>
      </c>
      <c r="G2151" s="29">
        <f>Data_thang!J2151-Data_thang!K2151</f>
        <v/>
      </c>
      <c r="H2151" s="29">
        <f>Data_thang!N2151</f>
        <v/>
      </c>
      <c r="I2151" s="29">
        <f>H2151-G2151</f>
        <v/>
      </c>
      <c r="J2151" s="30">
        <f>IF(H2151=0,IF(I2151=0,0,1),I2151/ABS(H2151))</f>
        <v/>
      </c>
      <c r="K2151" s="29">
        <f>H2151-(Data_thang!O2151-Data_thang!K2151)</f>
        <v/>
      </c>
      <c r="L2151">
        <f>IF(AND(ABS(I2151)&gt;Dashboard!$G$6,ABS(J2151)&gt;Dashboard!$H$6),"⚠ Vượt","")</f>
        <v/>
      </c>
      <c r="M2151">
        <f>IF(AND(A2151=Dashboard!$D$6,OR(Dashboard!$C$6="*",F2151=Dashboard!$C$6),L2151&lt;&gt;""),ABS(I2151)+ROW()/1000000000,0)</f>
        <v/>
      </c>
    </row>
    <row r="2152">
      <c r="A2152">
        <f>Data_thang!A2152</f>
        <v/>
      </c>
      <c r="B2152">
        <f>Data_thang!B2152</f>
        <v/>
      </c>
      <c r="C2152">
        <f>Data_thang!D2152</f>
        <v/>
      </c>
      <c r="D2152">
        <f>Data_thang!E2152</f>
        <v/>
      </c>
      <c r="E2152">
        <f>Data_thang!F2152</f>
        <v/>
      </c>
      <c r="F2152">
        <f>Data_thang!G2152</f>
        <v/>
      </c>
      <c r="G2152" s="29">
        <f>Data_thang!J2152-Data_thang!K2152</f>
        <v/>
      </c>
      <c r="H2152" s="29">
        <f>Data_thang!N2152</f>
        <v/>
      </c>
      <c r="I2152" s="29">
        <f>H2152-G2152</f>
        <v/>
      </c>
      <c r="J2152" s="30">
        <f>IF(H2152=0,IF(I2152=0,0,1),I2152/ABS(H2152))</f>
        <v/>
      </c>
      <c r="K2152" s="29">
        <f>H2152-(Data_thang!O2152-Data_thang!K2152)</f>
        <v/>
      </c>
      <c r="L2152">
        <f>IF(AND(ABS(I2152)&gt;Dashboard!$G$6,ABS(J2152)&gt;Dashboard!$H$6),"⚠ Vượt","")</f>
        <v/>
      </c>
      <c r="M2152">
        <f>IF(AND(A2152=Dashboard!$D$6,OR(Dashboard!$C$6="*",F2152=Dashboard!$C$6),L2152&lt;&gt;""),ABS(I2152)+ROW()/1000000000,0)</f>
        <v/>
      </c>
    </row>
    <row r="2153">
      <c r="A2153">
        <f>Data_thang!A2153</f>
        <v/>
      </c>
      <c r="B2153">
        <f>Data_thang!B2153</f>
        <v/>
      </c>
      <c r="C2153">
        <f>Data_thang!D2153</f>
        <v/>
      </c>
      <c r="D2153">
        <f>Data_thang!E2153</f>
        <v/>
      </c>
      <c r="E2153">
        <f>Data_thang!F2153</f>
        <v/>
      </c>
      <c r="F2153">
        <f>Data_thang!G2153</f>
        <v/>
      </c>
      <c r="G2153" s="29">
        <f>Data_thang!J2153-Data_thang!K2153</f>
        <v/>
      </c>
      <c r="H2153" s="29">
        <f>Data_thang!N2153</f>
        <v/>
      </c>
      <c r="I2153" s="29">
        <f>H2153-G2153</f>
        <v/>
      </c>
      <c r="J2153" s="30">
        <f>IF(H2153=0,IF(I2153=0,0,1),I2153/ABS(H2153))</f>
        <v/>
      </c>
      <c r="K2153" s="29">
        <f>H2153-(Data_thang!O2153-Data_thang!K2153)</f>
        <v/>
      </c>
      <c r="L2153">
        <f>IF(AND(ABS(I2153)&gt;Dashboard!$G$6,ABS(J2153)&gt;Dashboard!$H$6),"⚠ Vượt","")</f>
        <v/>
      </c>
      <c r="M2153">
        <f>IF(AND(A2153=Dashboard!$D$6,OR(Dashboard!$C$6="*",F2153=Dashboard!$C$6),L2153&lt;&gt;""),ABS(I2153)+ROW()/1000000000,0)</f>
        <v/>
      </c>
    </row>
    <row r="2154">
      <c r="A2154">
        <f>Data_thang!A2154</f>
        <v/>
      </c>
      <c r="B2154">
        <f>Data_thang!B2154</f>
        <v/>
      </c>
      <c r="C2154">
        <f>Data_thang!D2154</f>
        <v/>
      </c>
      <c r="D2154">
        <f>Data_thang!E2154</f>
        <v/>
      </c>
      <c r="E2154">
        <f>Data_thang!F2154</f>
        <v/>
      </c>
      <c r="F2154">
        <f>Data_thang!G2154</f>
        <v/>
      </c>
      <c r="G2154" s="29">
        <f>Data_thang!J2154-Data_thang!K2154</f>
        <v/>
      </c>
      <c r="H2154" s="29">
        <f>Data_thang!N2154</f>
        <v/>
      </c>
      <c r="I2154" s="29">
        <f>H2154-G2154</f>
        <v/>
      </c>
      <c r="J2154" s="30">
        <f>IF(H2154=0,IF(I2154=0,0,1),I2154/ABS(H2154))</f>
        <v/>
      </c>
      <c r="K2154" s="29">
        <f>H2154-(Data_thang!O2154-Data_thang!K2154)</f>
        <v/>
      </c>
      <c r="L2154">
        <f>IF(AND(ABS(I2154)&gt;Dashboard!$G$6,ABS(J2154)&gt;Dashboard!$H$6),"⚠ Vượt","")</f>
        <v/>
      </c>
      <c r="M2154">
        <f>IF(AND(A2154=Dashboard!$D$6,OR(Dashboard!$C$6="*",F2154=Dashboard!$C$6),L2154&lt;&gt;""),ABS(I2154)+ROW()/1000000000,0)</f>
        <v/>
      </c>
    </row>
    <row r="2155">
      <c r="A2155">
        <f>Data_thang!A2155</f>
        <v/>
      </c>
      <c r="B2155">
        <f>Data_thang!B2155</f>
        <v/>
      </c>
      <c r="C2155">
        <f>Data_thang!D2155</f>
        <v/>
      </c>
      <c r="D2155">
        <f>Data_thang!E2155</f>
        <v/>
      </c>
      <c r="E2155">
        <f>Data_thang!F2155</f>
        <v/>
      </c>
      <c r="F2155">
        <f>Data_thang!G2155</f>
        <v/>
      </c>
      <c r="G2155" s="29">
        <f>Data_thang!J2155-Data_thang!K2155</f>
        <v/>
      </c>
      <c r="H2155" s="29">
        <f>Data_thang!N2155</f>
        <v/>
      </c>
      <c r="I2155" s="29">
        <f>H2155-G2155</f>
        <v/>
      </c>
      <c r="J2155" s="30">
        <f>IF(H2155=0,IF(I2155=0,0,1),I2155/ABS(H2155))</f>
        <v/>
      </c>
      <c r="K2155" s="29">
        <f>H2155-(Data_thang!O2155-Data_thang!K2155)</f>
        <v/>
      </c>
      <c r="L2155">
        <f>IF(AND(ABS(I2155)&gt;Dashboard!$G$6,ABS(J2155)&gt;Dashboard!$H$6),"⚠ Vượt","")</f>
        <v/>
      </c>
      <c r="M2155">
        <f>IF(AND(A2155=Dashboard!$D$6,OR(Dashboard!$C$6="*",F2155=Dashboard!$C$6),L2155&lt;&gt;""),ABS(I2155)+ROW()/1000000000,0)</f>
        <v/>
      </c>
    </row>
    <row r="2156">
      <c r="A2156">
        <f>Data_thang!A2156</f>
        <v/>
      </c>
      <c r="B2156">
        <f>Data_thang!B2156</f>
        <v/>
      </c>
      <c r="C2156">
        <f>Data_thang!D2156</f>
        <v/>
      </c>
      <c r="D2156">
        <f>Data_thang!E2156</f>
        <v/>
      </c>
      <c r="E2156">
        <f>Data_thang!F2156</f>
        <v/>
      </c>
      <c r="F2156">
        <f>Data_thang!G2156</f>
        <v/>
      </c>
      <c r="G2156" s="29">
        <f>Data_thang!J2156-Data_thang!K2156</f>
        <v/>
      </c>
      <c r="H2156" s="29">
        <f>Data_thang!N2156</f>
        <v/>
      </c>
      <c r="I2156" s="29">
        <f>H2156-G2156</f>
        <v/>
      </c>
      <c r="J2156" s="30">
        <f>IF(H2156=0,IF(I2156=0,0,1),I2156/ABS(H2156))</f>
        <v/>
      </c>
      <c r="K2156" s="29">
        <f>H2156-(Data_thang!O2156-Data_thang!K2156)</f>
        <v/>
      </c>
      <c r="L2156">
        <f>IF(AND(ABS(I2156)&gt;Dashboard!$G$6,ABS(J2156)&gt;Dashboard!$H$6),"⚠ Vượt","")</f>
        <v/>
      </c>
      <c r="M2156">
        <f>IF(AND(A2156=Dashboard!$D$6,OR(Dashboard!$C$6="*",F2156=Dashboard!$C$6),L2156&lt;&gt;""),ABS(I2156)+ROW()/1000000000,0)</f>
        <v/>
      </c>
    </row>
    <row r="2157">
      <c r="A2157">
        <f>Data_thang!A2157</f>
        <v/>
      </c>
      <c r="B2157">
        <f>Data_thang!B2157</f>
        <v/>
      </c>
      <c r="C2157">
        <f>Data_thang!D2157</f>
        <v/>
      </c>
      <c r="D2157">
        <f>Data_thang!E2157</f>
        <v/>
      </c>
      <c r="E2157">
        <f>Data_thang!F2157</f>
        <v/>
      </c>
      <c r="F2157">
        <f>Data_thang!G2157</f>
        <v/>
      </c>
      <c r="G2157" s="29">
        <f>Data_thang!J2157-Data_thang!K2157</f>
        <v/>
      </c>
      <c r="H2157" s="29">
        <f>Data_thang!N2157</f>
        <v/>
      </c>
      <c r="I2157" s="29">
        <f>H2157-G2157</f>
        <v/>
      </c>
      <c r="J2157" s="30">
        <f>IF(H2157=0,IF(I2157=0,0,1),I2157/ABS(H2157))</f>
        <v/>
      </c>
      <c r="K2157" s="29">
        <f>H2157-(Data_thang!O2157-Data_thang!K2157)</f>
        <v/>
      </c>
      <c r="L2157">
        <f>IF(AND(ABS(I2157)&gt;Dashboard!$G$6,ABS(J2157)&gt;Dashboard!$H$6),"⚠ Vượt","")</f>
        <v/>
      </c>
      <c r="M2157">
        <f>IF(AND(A2157=Dashboard!$D$6,OR(Dashboard!$C$6="*",F2157=Dashboard!$C$6),L2157&lt;&gt;""),ABS(I2157)+ROW()/1000000000,0)</f>
        <v/>
      </c>
    </row>
    <row r="2158">
      <c r="A2158">
        <f>Data_thang!A2158</f>
        <v/>
      </c>
      <c r="B2158">
        <f>Data_thang!B2158</f>
        <v/>
      </c>
      <c r="C2158">
        <f>Data_thang!D2158</f>
        <v/>
      </c>
      <c r="D2158">
        <f>Data_thang!E2158</f>
        <v/>
      </c>
      <c r="E2158">
        <f>Data_thang!F2158</f>
        <v/>
      </c>
      <c r="F2158">
        <f>Data_thang!G2158</f>
        <v/>
      </c>
      <c r="G2158" s="29">
        <f>Data_thang!J2158-Data_thang!K2158</f>
        <v/>
      </c>
      <c r="H2158" s="29">
        <f>Data_thang!N2158</f>
        <v/>
      </c>
      <c r="I2158" s="29">
        <f>H2158-G2158</f>
        <v/>
      </c>
      <c r="J2158" s="30">
        <f>IF(H2158=0,IF(I2158=0,0,1),I2158/ABS(H2158))</f>
        <v/>
      </c>
      <c r="K2158" s="29">
        <f>H2158-(Data_thang!O2158-Data_thang!K2158)</f>
        <v/>
      </c>
      <c r="L2158">
        <f>IF(AND(ABS(I2158)&gt;Dashboard!$G$6,ABS(J2158)&gt;Dashboard!$H$6),"⚠ Vượt","")</f>
        <v/>
      </c>
      <c r="M2158">
        <f>IF(AND(A2158=Dashboard!$D$6,OR(Dashboard!$C$6="*",F2158=Dashboard!$C$6),L2158&lt;&gt;""),ABS(I2158)+ROW()/1000000000,0)</f>
        <v/>
      </c>
    </row>
    <row r="2159">
      <c r="A2159">
        <f>Data_thang!A2159</f>
        <v/>
      </c>
      <c r="B2159">
        <f>Data_thang!B2159</f>
        <v/>
      </c>
      <c r="C2159">
        <f>Data_thang!D2159</f>
        <v/>
      </c>
      <c r="D2159">
        <f>Data_thang!E2159</f>
        <v/>
      </c>
      <c r="E2159">
        <f>Data_thang!F2159</f>
        <v/>
      </c>
      <c r="F2159">
        <f>Data_thang!G2159</f>
        <v/>
      </c>
      <c r="G2159" s="29">
        <f>Data_thang!J2159-Data_thang!K2159</f>
        <v/>
      </c>
      <c r="H2159" s="29">
        <f>Data_thang!N2159</f>
        <v/>
      </c>
      <c r="I2159" s="29">
        <f>H2159-G2159</f>
        <v/>
      </c>
      <c r="J2159" s="30">
        <f>IF(H2159=0,IF(I2159=0,0,1),I2159/ABS(H2159))</f>
        <v/>
      </c>
      <c r="K2159" s="29">
        <f>H2159-(Data_thang!O2159-Data_thang!K2159)</f>
        <v/>
      </c>
      <c r="L2159">
        <f>IF(AND(ABS(I2159)&gt;Dashboard!$G$6,ABS(J2159)&gt;Dashboard!$H$6),"⚠ Vượt","")</f>
        <v/>
      </c>
      <c r="M2159">
        <f>IF(AND(A2159=Dashboard!$D$6,OR(Dashboard!$C$6="*",F2159=Dashboard!$C$6),L2159&lt;&gt;""),ABS(I2159)+ROW()/1000000000,0)</f>
        <v/>
      </c>
    </row>
    <row r="2160">
      <c r="A2160">
        <f>Data_thang!A2160</f>
        <v/>
      </c>
      <c r="B2160">
        <f>Data_thang!B2160</f>
        <v/>
      </c>
      <c r="C2160">
        <f>Data_thang!D2160</f>
        <v/>
      </c>
      <c r="D2160">
        <f>Data_thang!E2160</f>
        <v/>
      </c>
      <c r="E2160">
        <f>Data_thang!F2160</f>
        <v/>
      </c>
      <c r="F2160">
        <f>Data_thang!G2160</f>
        <v/>
      </c>
      <c r="G2160" s="29">
        <f>Data_thang!J2160-Data_thang!K2160</f>
        <v/>
      </c>
      <c r="H2160" s="29">
        <f>Data_thang!N2160</f>
        <v/>
      </c>
      <c r="I2160" s="29">
        <f>H2160-G2160</f>
        <v/>
      </c>
      <c r="J2160" s="30">
        <f>IF(H2160=0,IF(I2160=0,0,1),I2160/ABS(H2160))</f>
        <v/>
      </c>
      <c r="K2160" s="29">
        <f>H2160-(Data_thang!O2160-Data_thang!K2160)</f>
        <v/>
      </c>
      <c r="L2160">
        <f>IF(AND(ABS(I2160)&gt;Dashboard!$G$6,ABS(J2160)&gt;Dashboard!$H$6),"⚠ Vượt","")</f>
        <v/>
      </c>
      <c r="M2160">
        <f>IF(AND(A2160=Dashboard!$D$6,OR(Dashboard!$C$6="*",F2160=Dashboard!$C$6),L2160&lt;&gt;""),ABS(I2160)+ROW()/1000000000,0)</f>
        <v/>
      </c>
    </row>
    <row r="2161">
      <c r="A2161">
        <f>Data_thang!A2161</f>
        <v/>
      </c>
      <c r="B2161">
        <f>Data_thang!B2161</f>
        <v/>
      </c>
      <c r="C2161">
        <f>Data_thang!D2161</f>
        <v/>
      </c>
      <c r="D2161">
        <f>Data_thang!E2161</f>
        <v/>
      </c>
      <c r="E2161">
        <f>Data_thang!F2161</f>
        <v/>
      </c>
      <c r="F2161">
        <f>Data_thang!G2161</f>
        <v/>
      </c>
      <c r="G2161" s="29">
        <f>Data_thang!J2161-Data_thang!K2161</f>
        <v/>
      </c>
      <c r="H2161" s="29">
        <f>Data_thang!N2161</f>
        <v/>
      </c>
      <c r="I2161" s="29">
        <f>H2161-G2161</f>
        <v/>
      </c>
      <c r="J2161" s="30">
        <f>IF(H2161=0,IF(I2161=0,0,1),I2161/ABS(H2161))</f>
        <v/>
      </c>
      <c r="K2161" s="29">
        <f>H2161-(Data_thang!O2161-Data_thang!K2161)</f>
        <v/>
      </c>
      <c r="L2161">
        <f>IF(AND(ABS(I2161)&gt;Dashboard!$G$6,ABS(J2161)&gt;Dashboard!$H$6),"⚠ Vượt","")</f>
        <v/>
      </c>
      <c r="M2161">
        <f>IF(AND(A2161=Dashboard!$D$6,OR(Dashboard!$C$6="*",F2161=Dashboard!$C$6),L2161&lt;&gt;""),ABS(I2161)+ROW()/1000000000,0)</f>
        <v/>
      </c>
    </row>
    <row r="2162">
      <c r="A2162">
        <f>Data_thang!A2162</f>
        <v/>
      </c>
      <c r="B2162">
        <f>Data_thang!B2162</f>
        <v/>
      </c>
      <c r="C2162">
        <f>Data_thang!D2162</f>
        <v/>
      </c>
      <c r="D2162">
        <f>Data_thang!E2162</f>
        <v/>
      </c>
      <c r="E2162">
        <f>Data_thang!F2162</f>
        <v/>
      </c>
      <c r="F2162">
        <f>Data_thang!G2162</f>
        <v/>
      </c>
      <c r="G2162" s="29">
        <f>Data_thang!J2162-Data_thang!K2162</f>
        <v/>
      </c>
      <c r="H2162" s="29">
        <f>Data_thang!N2162</f>
        <v/>
      </c>
      <c r="I2162" s="29">
        <f>H2162-G2162</f>
        <v/>
      </c>
      <c r="J2162" s="30">
        <f>IF(H2162=0,IF(I2162=0,0,1),I2162/ABS(H2162))</f>
        <v/>
      </c>
      <c r="K2162" s="29">
        <f>H2162-(Data_thang!O2162-Data_thang!K2162)</f>
        <v/>
      </c>
      <c r="L2162">
        <f>IF(AND(ABS(I2162)&gt;Dashboard!$G$6,ABS(J2162)&gt;Dashboard!$H$6),"⚠ Vượt","")</f>
        <v/>
      </c>
      <c r="M2162">
        <f>IF(AND(A2162=Dashboard!$D$6,OR(Dashboard!$C$6="*",F2162=Dashboard!$C$6),L2162&lt;&gt;""),ABS(I2162)+ROW()/1000000000,0)</f>
        <v/>
      </c>
    </row>
    <row r="2163">
      <c r="A2163">
        <f>Data_thang!A2163</f>
        <v/>
      </c>
      <c r="B2163">
        <f>Data_thang!B2163</f>
        <v/>
      </c>
      <c r="C2163">
        <f>Data_thang!D2163</f>
        <v/>
      </c>
      <c r="D2163">
        <f>Data_thang!E2163</f>
        <v/>
      </c>
      <c r="E2163">
        <f>Data_thang!F2163</f>
        <v/>
      </c>
      <c r="F2163">
        <f>Data_thang!G2163</f>
        <v/>
      </c>
      <c r="G2163" s="29">
        <f>Data_thang!J2163-Data_thang!K2163</f>
        <v/>
      </c>
      <c r="H2163" s="29">
        <f>Data_thang!N2163</f>
        <v/>
      </c>
      <c r="I2163" s="29">
        <f>H2163-G2163</f>
        <v/>
      </c>
      <c r="J2163" s="30">
        <f>IF(H2163=0,IF(I2163=0,0,1),I2163/ABS(H2163))</f>
        <v/>
      </c>
      <c r="K2163" s="29">
        <f>H2163-(Data_thang!O2163-Data_thang!K2163)</f>
        <v/>
      </c>
      <c r="L2163">
        <f>IF(AND(ABS(I2163)&gt;Dashboard!$G$6,ABS(J2163)&gt;Dashboard!$H$6),"⚠ Vượt","")</f>
        <v/>
      </c>
      <c r="M2163">
        <f>IF(AND(A2163=Dashboard!$D$6,OR(Dashboard!$C$6="*",F2163=Dashboard!$C$6),L2163&lt;&gt;""),ABS(I2163)+ROW()/1000000000,0)</f>
        <v/>
      </c>
    </row>
    <row r="2164">
      <c r="A2164">
        <f>Data_thang!A2164</f>
        <v/>
      </c>
      <c r="B2164">
        <f>Data_thang!B2164</f>
        <v/>
      </c>
      <c r="C2164">
        <f>Data_thang!D2164</f>
        <v/>
      </c>
      <c r="D2164">
        <f>Data_thang!E2164</f>
        <v/>
      </c>
      <c r="E2164">
        <f>Data_thang!F2164</f>
        <v/>
      </c>
      <c r="F2164">
        <f>Data_thang!G2164</f>
        <v/>
      </c>
      <c r="G2164" s="29">
        <f>Data_thang!J2164-Data_thang!K2164</f>
        <v/>
      </c>
      <c r="H2164" s="29">
        <f>Data_thang!N2164</f>
        <v/>
      </c>
      <c r="I2164" s="29">
        <f>H2164-G2164</f>
        <v/>
      </c>
      <c r="J2164" s="30">
        <f>IF(H2164=0,IF(I2164=0,0,1),I2164/ABS(H2164))</f>
        <v/>
      </c>
      <c r="K2164" s="29">
        <f>H2164-(Data_thang!O2164-Data_thang!K2164)</f>
        <v/>
      </c>
      <c r="L2164">
        <f>IF(AND(ABS(I2164)&gt;Dashboard!$G$6,ABS(J2164)&gt;Dashboard!$H$6),"⚠ Vượt","")</f>
        <v/>
      </c>
      <c r="M2164">
        <f>IF(AND(A2164=Dashboard!$D$6,OR(Dashboard!$C$6="*",F2164=Dashboard!$C$6),L2164&lt;&gt;""),ABS(I2164)+ROW()/1000000000,0)</f>
        <v/>
      </c>
    </row>
    <row r="2165">
      <c r="A2165">
        <f>Data_thang!A2165</f>
        <v/>
      </c>
      <c r="B2165">
        <f>Data_thang!B2165</f>
        <v/>
      </c>
      <c r="C2165">
        <f>Data_thang!D2165</f>
        <v/>
      </c>
      <c r="D2165">
        <f>Data_thang!E2165</f>
        <v/>
      </c>
      <c r="E2165">
        <f>Data_thang!F2165</f>
        <v/>
      </c>
      <c r="F2165">
        <f>Data_thang!G2165</f>
        <v/>
      </c>
      <c r="G2165" s="29">
        <f>Data_thang!J2165-Data_thang!K2165</f>
        <v/>
      </c>
      <c r="H2165" s="29">
        <f>Data_thang!N2165</f>
        <v/>
      </c>
      <c r="I2165" s="29">
        <f>H2165-G2165</f>
        <v/>
      </c>
      <c r="J2165" s="30">
        <f>IF(H2165=0,IF(I2165=0,0,1),I2165/ABS(H2165))</f>
        <v/>
      </c>
      <c r="K2165" s="29">
        <f>H2165-(Data_thang!O2165-Data_thang!K2165)</f>
        <v/>
      </c>
      <c r="L2165">
        <f>IF(AND(ABS(I2165)&gt;Dashboard!$G$6,ABS(J2165)&gt;Dashboard!$H$6),"⚠ Vượt","")</f>
        <v/>
      </c>
      <c r="M2165">
        <f>IF(AND(A2165=Dashboard!$D$6,OR(Dashboard!$C$6="*",F2165=Dashboard!$C$6),L2165&lt;&gt;""),ABS(I2165)+ROW()/1000000000,0)</f>
        <v/>
      </c>
    </row>
    <row r="2166">
      <c r="A2166">
        <f>Data_thang!A2166</f>
        <v/>
      </c>
      <c r="B2166">
        <f>Data_thang!B2166</f>
        <v/>
      </c>
      <c r="C2166">
        <f>Data_thang!D2166</f>
        <v/>
      </c>
      <c r="D2166">
        <f>Data_thang!E2166</f>
        <v/>
      </c>
      <c r="E2166">
        <f>Data_thang!F2166</f>
        <v/>
      </c>
      <c r="F2166">
        <f>Data_thang!G2166</f>
        <v/>
      </c>
      <c r="G2166" s="29">
        <f>Data_thang!J2166-Data_thang!K2166</f>
        <v/>
      </c>
      <c r="H2166" s="29">
        <f>Data_thang!N2166</f>
        <v/>
      </c>
      <c r="I2166" s="29">
        <f>H2166-G2166</f>
        <v/>
      </c>
      <c r="J2166" s="30">
        <f>IF(H2166=0,IF(I2166=0,0,1),I2166/ABS(H2166))</f>
        <v/>
      </c>
      <c r="K2166" s="29">
        <f>H2166-(Data_thang!O2166-Data_thang!K2166)</f>
        <v/>
      </c>
      <c r="L2166">
        <f>IF(AND(ABS(I2166)&gt;Dashboard!$G$6,ABS(J2166)&gt;Dashboard!$H$6),"⚠ Vượt","")</f>
        <v/>
      </c>
      <c r="M2166">
        <f>IF(AND(A2166=Dashboard!$D$6,OR(Dashboard!$C$6="*",F2166=Dashboard!$C$6),L2166&lt;&gt;""),ABS(I2166)+ROW()/1000000000,0)</f>
        <v/>
      </c>
    </row>
    <row r="2167">
      <c r="A2167">
        <f>Data_thang!A2167</f>
        <v/>
      </c>
      <c r="B2167">
        <f>Data_thang!B2167</f>
        <v/>
      </c>
      <c r="C2167">
        <f>Data_thang!D2167</f>
        <v/>
      </c>
      <c r="D2167">
        <f>Data_thang!E2167</f>
        <v/>
      </c>
      <c r="E2167">
        <f>Data_thang!F2167</f>
        <v/>
      </c>
      <c r="F2167">
        <f>Data_thang!G2167</f>
        <v/>
      </c>
      <c r="G2167" s="29">
        <f>Data_thang!J2167-Data_thang!K2167</f>
        <v/>
      </c>
      <c r="H2167" s="29">
        <f>Data_thang!N2167</f>
        <v/>
      </c>
      <c r="I2167" s="29">
        <f>H2167-G2167</f>
        <v/>
      </c>
      <c r="J2167" s="30">
        <f>IF(H2167=0,IF(I2167=0,0,1),I2167/ABS(H2167))</f>
        <v/>
      </c>
      <c r="K2167" s="29">
        <f>H2167-(Data_thang!O2167-Data_thang!K2167)</f>
        <v/>
      </c>
      <c r="L2167">
        <f>IF(AND(ABS(I2167)&gt;Dashboard!$G$6,ABS(J2167)&gt;Dashboard!$H$6),"⚠ Vượt","")</f>
        <v/>
      </c>
      <c r="M2167">
        <f>IF(AND(A2167=Dashboard!$D$6,OR(Dashboard!$C$6="*",F2167=Dashboard!$C$6),L2167&lt;&gt;""),ABS(I2167)+ROW()/1000000000,0)</f>
        <v/>
      </c>
    </row>
    <row r="2168">
      <c r="A2168">
        <f>Data_thang!A2168</f>
        <v/>
      </c>
      <c r="B2168">
        <f>Data_thang!B2168</f>
        <v/>
      </c>
      <c r="C2168">
        <f>Data_thang!D2168</f>
        <v/>
      </c>
      <c r="D2168">
        <f>Data_thang!E2168</f>
        <v/>
      </c>
      <c r="E2168">
        <f>Data_thang!F2168</f>
        <v/>
      </c>
      <c r="F2168">
        <f>Data_thang!G2168</f>
        <v/>
      </c>
      <c r="G2168" s="29">
        <f>Data_thang!J2168-Data_thang!K2168</f>
        <v/>
      </c>
      <c r="H2168" s="29">
        <f>Data_thang!N2168</f>
        <v/>
      </c>
      <c r="I2168" s="29">
        <f>H2168-G2168</f>
        <v/>
      </c>
      <c r="J2168" s="30">
        <f>IF(H2168=0,IF(I2168=0,0,1),I2168/ABS(H2168))</f>
        <v/>
      </c>
      <c r="K2168" s="29">
        <f>H2168-(Data_thang!O2168-Data_thang!K2168)</f>
        <v/>
      </c>
      <c r="L2168">
        <f>IF(AND(ABS(I2168)&gt;Dashboard!$G$6,ABS(J2168)&gt;Dashboard!$H$6),"⚠ Vượt","")</f>
        <v/>
      </c>
      <c r="M2168">
        <f>IF(AND(A2168=Dashboard!$D$6,OR(Dashboard!$C$6="*",F2168=Dashboard!$C$6),L2168&lt;&gt;""),ABS(I2168)+ROW()/1000000000,0)</f>
        <v/>
      </c>
    </row>
    <row r="2169">
      <c r="A2169">
        <f>Data_thang!A2169</f>
        <v/>
      </c>
      <c r="B2169">
        <f>Data_thang!B2169</f>
        <v/>
      </c>
      <c r="C2169">
        <f>Data_thang!D2169</f>
        <v/>
      </c>
      <c r="D2169">
        <f>Data_thang!E2169</f>
        <v/>
      </c>
      <c r="E2169">
        <f>Data_thang!F2169</f>
        <v/>
      </c>
      <c r="F2169">
        <f>Data_thang!G2169</f>
        <v/>
      </c>
      <c r="G2169" s="29">
        <f>Data_thang!J2169-Data_thang!K2169</f>
        <v/>
      </c>
      <c r="H2169" s="29">
        <f>Data_thang!N2169</f>
        <v/>
      </c>
      <c r="I2169" s="29">
        <f>H2169-G2169</f>
        <v/>
      </c>
      <c r="J2169" s="30">
        <f>IF(H2169=0,IF(I2169=0,0,1),I2169/ABS(H2169))</f>
        <v/>
      </c>
      <c r="K2169" s="29">
        <f>H2169-(Data_thang!O2169-Data_thang!K2169)</f>
        <v/>
      </c>
      <c r="L2169">
        <f>IF(AND(ABS(I2169)&gt;Dashboard!$G$6,ABS(J2169)&gt;Dashboard!$H$6),"⚠ Vượt","")</f>
        <v/>
      </c>
      <c r="M2169">
        <f>IF(AND(A2169=Dashboard!$D$6,OR(Dashboard!$C$6="*",F2169=Dashboard!$C$6),L2169&lt;&gt;""),ABS(I2169)+ROW()/1000000000,0)</f>
        <v/>
      </c>
    </row>
    <row r="2170">
      <c r="A2170">
        <f>Data_thang!A2170</f>
        <v/>
      </c>
      <c r="B2170">
        <f>Data_thang!B2170</f>
        <v/>
      </c>
      <c r="C2170">
        <f>Data_thang!D2170</f>
        <v/>
      </c>
      <c r="D2170">
        <f>Data_thang!E2170</f>
        <v/>
      </c>
      <c r="E2170">
        <f>Data_thang!F2170</f>
        <v/>
      </c>
      <c r="F2170">
        <f>Data_thang!G2170</f>
        <v/>
      </c>
      <c r="G2170" s="29">
        <f>Data_thang!J2170-Data_thang!K2170</f>
        <v/>
      </c>
      <c r="H2170" s="29">
        <f>Data_thang!N2170</f>
        <v/>
      </c>
      <c r="I2170" s="29">
        <f>H2170-G2170</f>
        <v/>
      </c>
      <c r="J2170" s="30">
        <f>IF(H2170=0,IF(I2170=0,0,1),I2170/ABS(H2170))</f>
        <v/>
      </c>
      <c r="K2170" s="29">
        <f>H2170-(Data_thang!O2170-Data_thang!K2170)</f>
        <v/>
      </c>
      <c r="L2170">
        <f>IF(AND(ABS(I2170)&gt;Dashboard!$G$6,ABS(J2170)&gt;Dashboard!$H$6),"⚠ Vượt","")</f>
        <v/>
      </c>
      <c r="M2170">
        <f>IF(AND(A2170=Dashboard!$D$6,OR(Dashboard!$C$6="*",F2170=Dashboard!$C$6),L2170&lt;&gt;""),ABS(I2170)+ROW()/1000000000,0)</f>
        <v/>
      </c>
    </row>
    <row r="2171">
      <c r="A2171">
        <f>Data_thang!A2171</f>
        <v/>
      </c>
      <c r="B2171">
        <f>Data_thang!B2171</f>
        <v/>
      </c>
      <c r="C2171">
        <f>Data_thang!D2171</f>
        <v/>
      </c>
      <c r="D2171">
        <f>Data_thang!E2171</f>
        <v/>
      </c>
      <c r="E2171">
        <f>Data_thang!F2171</f>
        <v/>
      </c>
      <c r="F2171">
        <f>Data_thang!G2171</f>
        <v/>
      </c>
      <c r="G2171" s="29">
        <f>Data_thang!J2171-Data_thang!K2171</f>
        <v/>
      </c>
      <c r="H2171" s="29">
        <f>Data_thang!N2171</f>
        <v/>
      </c>
      <c r="I2171" s="29">
        <f>H2171-G2171</f>
        <v/>
      </c>
      <c r="J2171" s="30">
        <f>IF(H2171=0,IF(I2171=0,0,1),I2171/ABS(H2171))</f>
        <v/>
      </c>
      <c r="K2171" s="29">
        <f>H2171-(Data_thang!O2171-Data_thang!K2171)</f>
        <v/>
      </c>
      <c r="L2171">
        <f>IF(AND(ABS(I2171)&gt;Dashboard!$G$6,ABS(J2171)&gt;Dashboard!$H$6),"⚠ Vượt","")</f>
        <v/>
      </c>
      <c r="M2171">
        <f>IF(AND(A2171=Dashboard!$D$6,OR(Dashboard!$C$6="*",F2171=Dashboard!$C$6),L2171&lt;&gt;""),ABS(I2171)+ROW()/1000000000,0)</f>
        <v/>
      </c>
    </row>
    <row r="2172">
      <c r="A2172">
        <f>Data_thang!A2172</f>
        <v/>
      </c>
      <c r="B2172">
        <f>Data_thang!B2172</f>
        <v/>
      </c>
      <c r="C2172">
        <f>Data_thang!D2172</f>
        <v/>
      </c>
      <c r="D2172">
        <f>Data_thang!E2172</f>
        <v/>
      </c>
      <c r="E2172">
        <f>Data_thang!F2172</f>
        <v/>
      </c>
      <c r="F2172">
        <f>Data_thang!G2172</f>
        <v/>
      </c>
      <c r="G2172" s="29">
        <f>Data_thang!J2172-Data_thang!K2172</f>
        <v/>
      </c>
      <c r="H2172" s="29">
        <f>Data_thang!N2172</f>
        <v/>
      </c>
      <c r="I2172" s="29">
        <f>H2172-G2172</f>
        <v/>
      </c>
      <c r="J2172" s="30">
        <f>IF(H2172=0,IF(I2172=0,0,1),I2172/ABS(H2172))</f>
        <v/>
      </c>
      <c r="K2172" s="29">
        <f>H2172-(Data_thang!O2172-Data_thang!K2172)</f>
        <v/>
      </c>
      <c r="L2172">
        <f>IF(AND(ABS(I2172)&gt;Dashboard!$G$6,ABS(J2172)&gt;Dashboard!$H$6),"⚠ Vượt","")</f>
        <v/>
      </c>
      <c r="M2172">
        <f>IF(AND(A2172=Dashboard!$D$6,OR(Dashboard!$C$6="*",F2172=Dashboard!$C$6),L2172&lt;&gt;""),ABS(I2172)+ROW()/1000000000,0)</f>
        <v/>
      </c>
    </row>
    <row r="2173">
      <c r="A2173">
        <f>Data_thang!A2173</f>
        <v/>
      </c>
      <c r="B2173">
        <f>Data_thang!B2173</f>
        <v/>
      </c>
      <c r="C2173">
        <f>Data_thang!D2173</f>
        <v/>
      </c>
      <c r="D2173">
        <f>Data_thang!E2173</f>
        <v/>
      </c>
      <c r="E2173">
        <f>Data_thang!F2173</f>
        <v/>
      </c>
      <c r="F2173">
        <f>Data_thang!G2173</f>
        <v/>
      </c>
      <c r="G2173" s="29">
        <f>Data_thang!J2173-Data_thang!K2173</f>
        <v/>
      </c>
      <c r="H2173" s="29">
        <f>Data_thang!N2173</f>
        <v/>
      </c>
      <c r="I2173" s="29">
        <f>H2173-G2173</f>
        <v/>
      </c>
      <c r="J2173" s="30">
        <f>IF(H2173=0,IF(I2173=0,0,1),I2173/ABS(H2173))</f>
        <v/>
      </c>
      <c r="K2173" s="29">
        <f>H2173-(Data_thang!O2173-Data_thang!K2173)</f>
        <v/>
      </c>
      <c r="L2173">
        <f>IF(AND(ABS(I2173)&gt;Dashboard!$G$6,ABS(J2173)&gt;Dashboard!$H$6),"⚠ Vượt","")</f>
        <v/>
      </c>
      <c r="M2173">
        <f>IF(AND(A2173=Dashboard!$D$6,OR(Dashboard!$C$6="*",F2173=Dashboard!$C$6),L2173&lt;&gt;""),ABS(I2173)+ROW()/1000000000,0)</f>
        <v/>
      </c>
    </row>
    <row r="2174">
      <c r="A2174">
        <f>Data_thang!A2174</f>
        <v/>
      </c>
      <c r="B2174">
        <f>Data_thang!B2174</f>
        <v/>
      </c>
      <c r="C2174">
        <f>Data_thang!D2174</f>
        <v/>
      </c>
      <c r="D2174">
        <f>Data_thang!E2174</f>
        <v/>
      </c>
      <c r="E2174">
        <f>Data_thang!F2174</f>
        <v/>
      </c>
      <c r="F2174">
        <f>Data_thang!G2174</f>
        <v/>
      </c>
      <c r="G2174" s="29">
        <f>Data_thang!J2174-Data_thang!K2174</f>
        <v/>
      </c>
      <c r="H2174" s="29">
        <f>Data_thang!N2174</f>
        <v/>
      </c>
      <c r="I2174" s="29">
        <f>H2174-G2174</f>
        <v/>
      </c>
      <c r="J2174" s="30">
        <f>IF(H2174=0,IF(I2174=0,0,1),I2174/ABS(H2174))</f>
        <v/>
      </c>
      <c r="K2174" s="29">
        <f>H2174-(Data_thang!O2174-Data_thang!K2174)</f>
        <v/>
      </c>
      <c r="L2174">
        <f>IF(AND(ABS(I2174)&gt;Dashboard!$G$6,ABS(J2174)&gt;Dashboard!$H$6),"⚠ Vượt","")</f>
        <v/>
      </c>
      <c r="M2174">
        <f>IF(AND(A2174=Dashboard!$D$6,OR(Dashboard!$C$6="*",F2174=Dashboard!$C$6),L2174&lt;&gt;""),ABS(I2174)+ROW()/1000000000,0)</f>
        <v/>
      </c>
    </row>
    <row r="2175">
      <c r="A2175">
        <f>Data_thang!A2175</f>
        <v/>
      </c>
      <c r="B2175">
        <f>Data_thang!B2175</f>
        <v/>
      </c>
      <c r="C2175">
        <f>Data_thang!D2175</f>
        <v/>
      </c>
      <c r="D2175">
        <f>Data_thang!E2175</f>
        <v/>
      </c>
      <c r="E2175">
        <f>Data_thang!F2175</f>
        <v/>
      </c>
      <c r="F2175">
        <f>Data_thang!G2175</f>
        <v/>
      </c>
      <c r="G2175" s="29">
        <f>Data_thang!J2175-Data_thang!K2175</f>
        <v/>
      </c>
      <c r="H2175" s="29">
        <f>Data_thang!N2175</f>
        <v/>
      </c>
      <c r="I2175" s="29">
        <f>H2175-G2175</f>
        <v/>
      </c>
      <c r="J2175" s="30">
        <f>IF(H2175=0,IF(I2175=0,0,1),I2175/ABS(H2175))</f>
        <v/>
      </c>
      <c r="K2175" s="29">
        <f>H2175-(Data_thang!O2175-Data_thang!K2175)</f>
        <v/>
      </c>
      <c r="L2175">
        <f>IF(AND(ABS(I2175)&gt;Dashboard!$G$6,ABS(J2175)&gt;Dashboard!$H$6),"⚠ Vượt","")</f>
        <v/>
      </c>
      <c r="M2175">
        <f>IF(AND(A2175=Dashboard!$D$6,OR(Dashboard!$C$6="*",F2175=Dashboard!$C$6),L2175&lt;&gt;""),ABS(I2175)+ROW()/1000000000,0)</f>
        <v/>
      </c>
    </row>
    <row r="2176">
      <c r="A2176">
        <f>Data_thang!A2176</f>
        <v/>
      </c>
      <c r="B2176">
        <f>Data_thang!B2176</f>
        <v/>
      </c>
      <c r="C2176">
        <f>Data_thang!D2176</f>
        <v/>
      </c>
      <c r="D2176">
        <f>Data_thang!E2176</f>
        <v/>
      </c>
      <c r="E2176">
        <f>Data_thang!F2176</f>
        <v/>
      </c>
      <c r="F2176">
        <f>Data_thang!G2176</f>
        <v/>
      </c>
      <c r="G2176" s="29">
        <f>Data_thang!J2176-Data_thang!K2176</f>
        <v/>
      </c>
      <c r="H2176" s="29">
        <f>Data_thang!N2176</f>
        <v/>
      </c>
      <c r="I2176" s="29">
        <f>H2176-G2176</f>
        <v/>
      </c>
      <c r="J2176" s="30">
        <f>IF(H2176=0,IF(I2176=0,0,1),I2176/ABS(H2176))</f>
        <v/>
      </c>
      <c r="K2176" s="29">
        <f>H2176-(Data_thang!O2176-Data_thang!K2176)</f>
        <v/>
      </c>
      <c r="L2176">
        <f>IF(AND(ABS(I2176)&gt;Dashboard!$G$6,ABS(J2176)&gt;Dashboard!$H$6),"⚠ Vượt","")</f>
        <v/>
      </c>
      <c r="M2176">
        <f>IF(AND(A2176=Dashboard!$D$6,OR(Dashboard!$C$6="*",F2176=Dashboard!$C$6),L2176&lt;&gt;""),ABS(I2176)+ROW()/1000000000,0)</f>
        <v/>
      </c>
    </row>
    <row r="2177">
      <c r="A2177">
        <f>Data_thang!A2177</f>
        <v/>
      </c>
      <c r="B2177">
        <f>Data_thang!B2177</f>
        <v/>
      </c>
      <c r="C2177">
        <f>Data_thang!D2177</f>
        <v/>
      </c>
      <c r="D2177">
        <f>Data_thang!E2177</f>
        <v/>
      </c>
      <c r="E2177">
        <f>Data_thang!F2177</f>
        <v/>
      </c>
      <c r="F2177">
        <f>Data_thang!G2177</f>
        <v/>
      </c>
      <c r="G2177" s="29">
        <f>Data_thang!J2177-Data_thang!K2177</f>
        <v/>
      </c>
      <c r="H2177" s="29">
        <f>Data_thang!N2177</f>
        <v/>
      </c>
      <c r="I2177" s="29">
        <f>H2177-G2177</f>
        <v/>
      </c>
      <c r="J2177" s="30">
        <f>IF(H2177=0,IF(I2177=0,0,1),I2177/ABS(H2177))</f>
        <v/>
      </c>
      <c r="K2177" s="29">
        <f>H2177-(Data_thang!O2177-Data_thang!K2177)</f>
        <v/>
      </c>
      <c r="L2177">
        <f>IF(AND(ABS(I2177)&gt;Dashboard!$G$6,ABS(J2177)&gt;Dashboard!$H$6),"⚠ Vượt","")</f>
        <v/>
      </c>
      <c r="M2177">
        <f>IF(AND(A2177=Dashboard!$D$6,OR(Dashboard!$C$6="*",F2177=Dashboard!$C$6),L2177&lt;&gt;""),ABS(I2177)+ROW()/1000000000,0)</f>
        <v/>
      </c>
    </row>
    <row r="2178">
      <c r="A2178">
        <f>Data_thang!A2178</f>
        <v/>
      </c>
      <c r="B2178">
        <f>Data_thang!B2178</f>
        <v/>
      </c>
      <c r="C2178">
        <f>Data_thang!D2178</f>
        <v/>
      </c>
      <c r="D2178">
        <f>Data_thang!E2178</f>
        <v/>
      </c>
      <c r="E2178">
        <f>Data_thang!F2178</f>
        <v/>
      </c>
      <c r="F2178">
        <f>Data_thang!G2178</f>
        <v/>
      </c>
      <c r="G2178" s="29">
        <f>Data_thang!J2178-Data_thang!K2178</f>
        <v/>
      </c>
      <c r="H2178" s="29">
        <f>Data_thang!N2178</f>
        <v/>
      </c>
      <c r="I2178" s="29">
        <f>H2178-G2178</f>
        <v/>
      </c>
      <c r="J2178" s="30">
        <f>IF(H2178=0,IF(I2178=0,0,1),I2178/ABS(H2178))</f>
        <v/>
      </c>
      <c r="K2178" s="29">
        <f>H2178-(Data_thang!O2178-Data_thang!K2178)</f>
        <v/>
      </c>
      <c r="L2178">
        <f>IF(AND(ABS(I2178)&gt;Dashboard!$G$6,ABS(J2178)&gt;Dashboard!$H$6),"⚠ Vượt","")</f>
        <v/>
      </c>
      <c r="M2178">
        <f>IF(AND(A2178=Dashboard!$D$6,OR(Dashboard!$C$6="*",F2178=Dashboard!$C$6),L2178&lt;&gt;""),ABS(I2178)+ROW()/1000000000,0)</f>
        <v/>
      </c>
    </row>
    <row r="2179">
      <c r="A2179">
        <f>Data_thang!A2179</f>
        <v/>
      </c>
      <c r="B2179">
        <f>Data_thang!B2179</f>
        <v/>
      </c>
      <c r="C2179">
        <f>Data_thang!D2179</f>
        <v/>
      </c>
      <c r="D2179">
        <f>Data_thang!E2179</f>
        <v/>
      </c>
      <c r="E2179">
        <f>Data_thang!F2179</f>
        <v/>
      </c>
      <c r="F2179">
        <f>Data_thang!G2179</f>
        <v/>
      </c>
      <c r="G2179" s="29">
        <f>Data_thang!J2179-Data_thang!K2179</f>
        <v/>
      </c>
      <c r="H2179" s="29">
        <f>Data_thang!N2179</f>
        <v/>
      </c>
      <c r="I2179" s="29">
        <f>H2179-G2179</f>
        <v/>
      </c>
      <c r="J2179" s="30">
        <f>IF(H2179=0,IF(I2179=0,0,1),I2179/ABS(H2179))</f>
        <v/>
      </c>
      <c r="K2179" s="29">
        <f>H2179-(Data_thang!O2179-Data_thang!K2179)</f>
        <v/>
      </c>
      <c r="L2179">
        <f>IF(AND(ABS(I2179)&gt;Dashboard!$G$6,ABS(J2179)&gt;Dashboard!$H$6),"⚠ Vượt","")</f>
        <v/>
      </c>
      <c r="M2179">
        <f>IF(AND(A2179=Dashboard!$D$6,OR(Dashboard!$C$6="*",F2179=Dashboard!$C$6),L2179&lt;&gt;""),ABS(I2179)+ROW()/1000000000,0)</f>
        <v/>
      </c>
    </row>
    <row r="2180">
      <c r="A2180">
        <f>Data_thang!A2180</f>
        <v/>
      </c>
      <c r="B2180">
        <f>Data_thang!B2180</f>
        <v/>
      </c>
      <c r="C2180">
        <f>Data_thang!D2180</f>
        <v/>
      </c>
      <c r="D2180">
        <f>Data_thang!E2180</f>
        <v/>
      </c>
      <c r="E2180">
        <f>Data_thang!F2180</f>
        <v/>
      </c>
      <c r="F2180">
        <f>Data_thang!G2180</f>
        <v/>
      </c>
      <c r="G2180" s="29">
        <f>Data_thang!J2180-Data_thang!K2180</f>
        <v/>
      </c>
      <c r="H2180" s="29">
        <f>Data_thang!N2180</f>
        <v/>
      </c>
      <c r="I2180" s="29">
        <f>H2180-G2180</f>
        <v/>
      </c>
      <c r="J2180" s="30">
        <f>IF(H2180=0,IF(I2180=0,0,1),I2180/ABS(H2180))</f>
        <v/>
      </c>
      <c r="K2180" s="29">
        <f>H2180-(Data_thang!O2180-Data_thang!K2180)</f>
        <v/>
      </c>
      <c r="L2180">
        <f>IF(AND(ABS(I2180)&gt;Dashboard!$G$6,ABS(J2180)&gt;Dashboard!$H$6),"⚠ Vượt","")</f>
        <v/>
      </c>
      <c r="M2180">
        <f>IF(AND(A2180=Dashboard!$D$6,OR(Dashboard!$C$6="*",F2180=Dashboard!$C$6),L2180&lt;&gt;""),ABS(I2180)+ROW()/1000000000,0)</f>
        <v/>
      </c>
    </row>
    <row r="2181">
      <c r="A2181">
        <f>Data_thang!A2181</f>
        <v/>
      </c>
      <c r="B2181">
        <f>Data_thang!B2181</f>
        <v/>
      </c>
      <c r="C2181">
        <f>Data_thang!D2181</f>
        <v/>
      </c>
      <c r="D2181">
        <f>Data_thang!E2181</f>
        <v/>
      </c>
      <c r="E2181">
        <f>Data_thang!F2181</f>
        <v/>
      </c>
      <c r="F2181">
        <f>Data_thang!G2181</f>
        <v/>
      </c>
      <c r="G2181" s="29">
        <f>Data_thang!J2181-Data_thang!K2181</f>
        <v/>
      </c>
      <c r="H2181" s="29">
        <f>Data_thang!N2181</f>
        <v/>
      </c>
      <c r="I2181" s="29">
        <f>H2181-G2181</f>
        <v/>
      </c>
      <c r="J2181" s="30">
        <f>IF(H2181=0,IF(I2181=0,0,1),I2181/ABS(H2181))</f>
        <v/>
      </c>
      <c r="K2181" s="29">
        <f>H2181-(Data_thang!O2181-Data_thang!K2181)</f>
        <v/>
      </c>
      <c r="L2181">
        <f>IF(AND(ABS(I2181)&gt;Dashboard!$G$6,ABS(J2181)&gt;Dashboard!$H$6),"⚠ Vượt","")</f>
        <v/>
      </c>
      <c r="M2181">
        <f>IF(AND(A2181=Dashboard!$D$6,OR(Dashboard!$C$6="*",F2181=Dashboard!$C$6),L2181&lt;&gt;""),ABS(I2181)+ROW()/1000000000,0)</f>
        <v/>
      </c>
    </row>
    <row r="2182">
      <c r="A2182">
        <f>Data_thang!A2182</f>
        <v/>
      </c>
      <c r="B2182">
        <f>Data_thang!B2182</f>
        <v/>
      </c>
      <c r="C2182">
        <f>Data_thang!D2182</f>
        <v/>
      </c>
      <c r="D2182">
        <f>Data_thang!E2182</f>
        <v/>
      </c>
      <c r="E2182">
        <f>Data_thang!F2182</f>
        <v/>
      </c>
      <c r="F2182">
        <f>Data_thang!G2182</f>
        <v/>
      </c>
      <c r="G2182" s="29">
        <f>Data_thang!J2182-Data_thang!K2182</f>
        <v/>
      </c>
      <c r="H2182" s="29">
        <f>Data_thang!N2182</f>
        <v/>
      </c>
      <c r="I2182" s="29">
        <f>H2182-G2182</f>
        <v/>
      </c>
      <c r="J2182" s="30">
        <f>IF(H2182=0,IF(I2182=0,0,1),I2182/ABS(H2182))</f>
        <v/>
      </c>
      <c r="K2182" s="29">
        <f>H2182-(Data_thang!O2182-Data_thang!K2182)</f>
        <v/>
      </c>
      <c r="L2182">
        <f>IF(AND(ABS(I2182)&gt;Dashboard!$G$6,ABS(J2182)&gt;Dashboard!$H$6),"⚠ Vượt","")</f>
        <v/>
      </c>
      <c r="M2182">
        <f>IF(AND(A2182=Dashboard!$D$6,OR(Dashboard!$C$6="*",F2182=Dashboard!$C$6),L2182&lt;&gt;""),ABS(I2182)+ROW()/1000000000,0)</f>
        <v/>
      </c>
    </row>
    <row r="2183">
      <c r="A2183">
        <f>Data_thang!A2183</f>
        <v/>
      </c>
      <c r="B2183">
        <f>Data_thang!B2183</f>
        <v/>
      </c>
      <c r="C2183">
        <f>Data_thang!D2183</f>
        <v/>
      </c>
      <c r="D2183">
        <f>Data_thang!E2183</f>
        <v/>
      </c>
      <c r="E2183">
        <f>Data_thang!F2183</f>
        <v/>
      </c>
      <c r="F2183">
        <f>Data_thang!G2183</f>
        <v/>
      </c>
      <c r="G2183" s="29">
        <f>Data_thang!J2183-Data_thang!K2183</f>
        <v/>
      </c>
      <c r="H2183" s="29">
        <f>Data_thang!N2183</f>
        <v/>
      </c>
      <c r="I2183" s="29">
        <f>H2183-G2183</f>
        <v/>
      </c>
      <c r="J2183" s="30">
        <f>IF(H2183=0,IF(I2183=0,0,1),I2183/ABS(H2183))</f>
        <v/>
      </c>
      <c r="K2183" s="29">
        <f>H2183-(Data_thang!O2183-Data_thang!K2183)</f>
        <v/>
      </c>
      <c r="L2183">
        <f>IF(AND(ABS(I2183)&gt;Dashboard!$G$6,ABS(J2183)&gt;Dashboard!$H$6),"⚠ Vượt","")</f>
        <v/>
      </c>
      <c r="M2183">
        <f>IF(AND(A2183=Dashboard!$D$6,OR(Dashboard!$C$6="*",F2183=Dashboard!$C$6),L2183&lt;&gt;""),ABS(I2183)+ROW()/1000000000,0)</f>
        <v/>
      </c>
    </row>
    <row r="2184">
      <c r="A2184">
        <f>Data_thang!A2184</f>
        <v/>
      </c>
      <c r="B2184">
        <f>Data_thang!B2184</f>
        <v/>
      </c>
      <c r="C2184">
        <f>Data_thang!D2184</f>
        <v/>
      </c>
      <c r="D2184">
        <f>Data_thang!E2184</f>
        <v/>
      </c>
      <c r="E2184">
        <f>Data_thang!F2184</f>
        <v/>
      </c>
      <c r="F2184">
        <f>Data_thang!G2184</f>
        <v/>
      </c>
      <c r="G2184" s="29">
        <f>Data_thang!J2184-Data_thang!K2184</f>
        <v/>
      </c>
      <c r="H2184" s="29">
        <f>Data_thang!N2184</f>
        <v/>
      </c>
      <c r="I2184" s="29">
        <f>H2184-G2184</f>
        <v/>
      </c>
      <c r="J2184" s="30">
        <f>IF(H2184=0,IF(I2184=0,0,1),I2184/ABS(H2184))</f>
        <v/>
      </c>
      <c r="K2184" s="29">
        <f>H2184-(Data_thang!O2184-Data_thang!K2184)</f>
        <v/>
      </c>
      <c r="L2184">
        <f>IF(AND(ABS(I2184)&gt;Dashboard!$G$6,ABS(J2184)&gt;Dashboard!$H$6),"⚠ Vượt","")</f>
        <v/>
      </c>
      <c r="M2184">
        <f>IF(AND(A2184=Dashboard!$D$6,OR(Dashboard!$C$6="*",F2184=Dashboard!$C$6),L2184&lt;&gt;""),ABS(I2184)+ROW()/1000000000,0)</f>
        <v/>
      </c>
    </row>
    <row r="2185">
      <c r="A2185">
        <f>Data_thang!A2185</f>
        <v/>
      </c>
      <c r="B2185">
        <f>Data_thang!B2185</f>
        <v/>
      </c>
      <c r="C2185">
        <f>Data_thang!D2185</f>
        <v/>
      </c>
      <c r="D2185">
        <f>Data_thang!E2185</f>
        <v/>
      </c>
      <c r="E2185">
        <f>Data_thang!F2185</f>
        <v/>
      </c>
      <c r="F2185">
        <f>Data_thang!G2185</f>
        <v/>
      </c>
      <c r="G2185" s="29">
        <f>Data_thang!J2185-Data_thang!K2185</f>
        <v/>
      </c>
      <c r="H2185" s="29">
        <f>Data_thang!N2185</f>
        <v/>
      </c>
      <c r="I2185" s="29">
        <f>H2185-G2185</f>
        <v/>
      </c>
      <c r="J2185" s="30">
        <f>IF(H2185=0,IF(I2185=0,0,1),I2185/ABS(H2185))</f>
        <v/>
      </c>
      <c r="K2185" s="29">
        <f>H2185-(Data_thang!O2185-Data_thang!K2185)</f>
        <v/>
      </c>
      <c r="L2185">
        <f>IF(AND(ABS(I2185)&gt;Dashboard!$G$6,ABS(J2185)&gt;Dashboard!$H$6),"⚠ Vượt","")</f>
        <v/>
      </c>
      <c r="M2185">
        <f>IF(AND(A2185=Dashboard!$D$6,OR(Dashboard!$C$6="*",F2185=Dashboard!$C$6),L2185&lt;&gt;""),ABS(I2185)+ROW()/1000000000,0)</f>
        <v/>
      </c>
    </row>
    <row r="2186">
      <c r="A2186">
        <f>Data_thang!A2186</f>
        <v/>
      </c>
      <c r="B2186">
        <f>Data_thang!B2186</f>
        <v/>
      </c>
      <c r="C2186">
        <f>Data_thang!D2186</f>
        <v/>
      </c>
      <c r="D2186">
        <f>Data_thang!E2186</f>
        <v/>
      </c>
      <c r="E2186">
        <f>Data_thang!F2186</f>
        <v/>
      </c>
      <c r="F2186">
        <f>Data_thang!G2186</f>
        <v/>
      </c>
      <c r="G2186" s="29">
        <f>Data_thang!J2186-Data_thang!K2186</f>
        <v/>
      </c>
      <c r="H2186" s="29">
        <f>Data_thang!N2186</f>
        <v/>
      </c>
      <c r="I2186" s="29">
        <f>H2186-G2186</f>
        <v/>
      </c>
      <c r="J2186" s="30">
        <f>IF(H2186=0,IF(I2186=0,0,1),I2186/ABS(H2186))</f>
        <v/>
      </c>
      <c r="K2186" s="29">
        <f>H2186-(Data_thang!O2186-Data_thang!K2186)</f>
        <v/>
      </c>
      <c r="L2186">
        <f>IF(AND(ABS(I2186)&gt;Dashboard!$G$6,ABS(J2186)&gt;Dashboard!$H$6),"⚠ Vượt","")</f>
        <v/>
      </c>
      <c r="M2186">
        <f>IF(AND(A2186=Dashboard!$D$6,OR(Dashboard!$C$6="*",F2186=Dashboard!$C$6),L2186&lt;&gt;""),ABS(I2186)+ROW()/1000000000,0)</f>
        <v/>
      </c>
    </row>
    <row r="2187">
      <c r="A2187">
        <f>Data_thang!A2187</f>
        <v/>
      </c>
      <c r="B2187">
        <f>Data_thang!B2187</f>
        <v/>
      </c>
      <c r="C2187">
        <f>Data_thang!D2187</f>
        <v/>
      </c>
      <c r="D2187">
        <f>Data_thang!E2187</f>
        <v/>
      </c>
      <c r="E2187">
        <f>Data_thang!F2187</f>
        <v/>
      </c>
      <c r="F2187">
        <f>Data_thang!G2187</f>
        <v/>
      </c>
      <c r="G2187" s="29">
        <f>Data_thang!J2187-Data_thang!K2187</f>
        <v/>
      </c>
      <c r="H2187" s="29">
        <f>Data_thang!N2187</f>
        <v/>
      </c>
      <c r="I2187" s="29">
        <f>H2187-G2187</f>
        <v/>
      </c>
      <c r="J2187" s="30">
        <f>IF(H2187=0,IF(I2187=0,0,1),I2187/ABS(H2187))</f>
        <v/>
      </c>
      <c r="K2187" s="29">
        <f>H2187-(Data_thang!O2187-Data_thang!K2187)</f>
        <v/>
      </c>
      <c r="L2187">
        <f>IF(AND(ABS(I2187)&gt;Dashboard!$G$6,ABS(J2187)&gt;Dashboard!$H$6),"⚠ Vượt","")</f>
        <v/>
      </c>
      <c r="M2187">
        <f>IF(AND(A2187=Dashboard!$D$6,OR(Dashboard!$C$6="*",F2187=Dashboard!$C$6),L2187&lt;&gt;""),ABS(I2187)+ROW()/1000000000,0)</f>
        <v/>
      </c>
    </row>
    <row r="2188">
      <c r="A2188">
        <f>Data_thang!A2188</f>
        <v/>
      </c>
      <c r="B2188">
        <f>Data_thang!B2188</f>
        <v/>
      </c>
      <c r="C2188">
        <f>Data_thang!D2188</f>
        <v/>
      </c>
      <c r="D2188">
        <f>Data_thang!E2188</f>
        <v/>
      </c>
      <c r="E2188">
        <f>Data_thang!F2188</f>
        <v/>
      </c>
      <c r="F2188">
        <f>Data_thang!G2188</f>
        <v/>
      </c>
      <c r="G2188" s="29">
        <f>Data_thang!J2188-Data_thang!K2188</f>
        <v/>
      </c>
      <c r="H2188" s="29">
        <f>Data_thang!N2188</f>
        <v/>
      </c>
      <c r="I2188" s="29">
        <f>H2188-G2188</f>
        <v/>
      </c>
      <c r="J2188" s="30">
        <f>IF(H2188=0,IF(I2188=0,0,1),I2188/ABS(H2188))</f>
        <v/>
      </c>
      <c r="K2188" s="29">
        <f>H2188-(Data_thang!O2188-Data_thang!K2188)</f>
        <v/>
      </c>
      <c r="L2188">
        <f>IF(AND(ABS(I2188)&gt;Dashboard!$G$6,ABS(J2188)&gt;Dashboard!$H$6),"⚠ Vượt","")</f>
        <v/>
      </c>
      <c r="M2188">
        <f>IF(AND(A2188=Dashboard!$D$6,OR(Dashboard!$C$6="*",F2188=Dashboard!$C$6),L2188&lt;&gt;""),ABS(I2188)+ROW()/1000000000,0)</f>
        <v/>
      </c>
    </row>
    <row r="2189">
      <c r="A2189">
        <f>Data_thang!A2189</f>
        <v/>
      </c>
      <c r="B2189">
        <f>Data_thang!B2189</f>
        <v/>
      </c>
      <c r="C2189">
        <f>Data_thang!D2189</f>
        <v/>
      </c>
      <c r="D2189">
        <f>Data_thang!E2189</f>
        <v/>
      </c>
      <c r="E2189">
        <f>Data_thang!F2189</f>
        <v/>
      </c>
      <c r="F2189">
        <f>Data_thang!G2189</f>
        <v/>
      </c>
      <c r="G2189" s="29">
        <f>Data_thang!J2189-Data_thang!K2189</f>
        <v/>
      </c>
      <c r="H2189" s="29">
        <f>Data_thang!N2189</f>
        <v/>
      </c>
      <c r="I2189" s="29">
        <f>H2189-G2189</f>
        <v/>
      </c>
      <c r="J2189" s="30">
        <f>IF(H2189=0,IF(I2189=0,0,1),I2189/ABS(H2189))</f>
        <v/>
      </c>
      <c r="K2189" s="29">
        <f>H2189-(Data_thang!O2189-Data_thang!K2189)</f>
        <v/>
      </c>
      <c r="L2189">
        <f>IF(AND(ABS(I2189)&gt;Dashboard!$G$6,ABS(J2189)&gt;Dashboard!$H$6),"⚠ Vượt","")</f>
        <v/>
      </c>
      <c r="M2189">
        <f>IF(AND(A2189=Dashboard!$D$6,OR(Dashboard!$C$6="*",F2189=Dashboard!$C$6),L2189&lt;&gt;""),ABS(I2189)+ROW()/1000000000,0)</f>
        <v/>
      </c>
    </row>
    <row r="2190">
      <c r="A2190">
        <f>Data_thang!A2190</f>
        <v/>
      </c>
      <c r="B2190">
        <f>Data_thang!B2190</f>
        <v/>
      </c>
      <c r="C2190">
        <f>Data_thang!D2190</f>
        <v/>
      </c>
      <c r="D2190">
        <f>Data_thang!E2190</f>
        <v/>
      </c>
      <c r="E2190">
        <f>Data_thang!F2190</f>
        <v/>
      </c>
      <c r="F2190">
        <f>Data_thang!G2190</f>
        <v/>
      </c>
      <c r="G2190" s="29">
        <f>Data_thang!J2190-Data_thang!K2190</f>
        <v/>
      </c>
      <c r="H2190" s="29">
        <f>Data_thang!N2190</f>
        <v/>
      </c>
      <c r="I2190" s="29">
        <f>H2190-G2190</f>
        <v/>
      </c>
      <c r="J2190" s="30">
        <f>IF(H2190=0,IF(I2190=0,0,1),I2190/ABS(H2190))</f>
        <v/>
      </c>
      <c r="K2190" s="29">
        <f>H2190-(Data_thang!O2190-Data_thang!K2190)</f>
        <v/>
      </c>
      <c r="L2190">
        <f>IF(AND(ABS(I2190)&gt;Dashboard!$G$6,ABS(J2190)&gt;Dashboard!$H$6),"⚠ Vượt","")</f>
        <v/>
      </c>
      <c r="M2190">
        <f>IF(AND(A2190=Dashboard!$D$6,OR(Dashboard!$C$6="*",F2190=Dashboard!$C$6),L2190&lt;&gt;""),ABS(I2190)+ROW()/1000000000,0)</f>
        <v/>
      </c>
    </row>
    <row r="2191">
      <c r="A2191">
        <f>Data_thang!A2191</f>
        <v/>
      </c>
      <c r="B2191">
        <f>Data_thang!B2191</f>
        <v/>
      </c>
      <c r="C2191">
        <f>Data_thang!D2191</f>
        <v/>
      </c>
      <c r="D2191">
        <f>Data_thang!E2191</f>
        <v/>
      </c>
      <c r="E2191">
        <f>Data_thang!F2191</f>
        <v/>
      </c>
      <c r="F2191">
        <f>Data_thang!G2191</f>
        <v/>
      </c>
      <c r="G2191" s="29">
        <f>Data_thang!J2191-Data_thang!K2191</f>
        <v/>
      </c>
      <c r="H2191" s="29">
        <f>Data_thang!N2191</f>
        <v/>
      </c>
      <c r="I2191" s="29">
        <f>H2191-G2191</f>
        <v/>
      </c>
      <c r="J2191" s="30">
        <f>IF(H2191=0,IF(I2191=0,0,1),I2191/ABS(H2191))</f>
        <v/>
      </c>
      <c r="K2191" s="29">
        <f>H2191-(Data_thang!O2191-Data_thang!K2191)</f>
        <v/>
      </c>
      <c r="L2191">
        <f>IF(AND(ABS(I2191)&gt;Dashboard!$G$6,ABS(J2191)&gt;Dashboard!$H$6),"⚠ Vượt","")</f>
        <v/>
      </c>
      <c r="M2191">
        <f>IF(AND(A2191=Dashboard!$D$6,OR(Dashboard!$C$6="*",F2191=Dashboard!$C$6),L2191&lt;&gt;""),ABS(I2191)+ROW()/1000000000,0)</f>
        <v/>
      </c>
    </row>
    <row r="2192">
      <c r="A2192">
        <f>Data_thang!A2192</f>
        <v/>
      </c>
      <c r="B2192">
        <f>Data_thang!B2192</f>
        <v/>
      </c>
      <c r="C2192">
        <f>Data_thang!D2192</f>
        <v/>
      </c>
      <c r="D2192">
        <f>Data_thang!E2192</f>
        <v/>
      </c>
      <c r="E2192">
        <f>Data_thang!F2192</f>
        <v/>
      </c>
      <c r="F2192">
        <f>Data_thang!G2192</f>
        <v/>
      </c>
      <c r="G2192" s="29">
        <f>Data_thang!J2192-Data_thang!K2192</f>
        <v/>
      </c>
      <c r="H2192" s="29">
        <f>Data_thang!N2192</f>
        <v/>
      </c>
      <c r="I2192" s="29">
        <f>H2192-G2192</f>
        <v/>
      </c>
      <c r="J2192" s="30">
        <f>IF(H2192=0,IF(I2192=0,0,1),I2192/ABS(H2192))</f>
        <v/>
      </c>
      <c r="K2192" s="29">
        <f>H2192-(Data_thang!O2192-Data_thang!K2192)</f>
        <v/>
      </c>
      <c r="L2192">
        <f>IF(AND(ABS(I2192)&gt;Dashboard!$G$6,ABS(J2192)&gt;Dashboard!$H$6),"⚠ Vượt","")</f>
        <v/>
      </c>
      <c r="M2192">
        <f>IF(AND(A2192=Dashboard!$D$6,OR(Dashboard!$C$6="*",F2192=Dashboard!$C$6),L2192&lt;&gt;""),ABS(I2192)+ROW()/1000000000,0)</f>
        <v/>
      </c>
    </row>
    <row r="2193">
      <c r="A2193">
        <f>Data_thang!A2193</f>
        <v/>
      </c>
      <c r="B2193">
        <f>Data_thang!B2193</f>
        <v/>
      </c>
      <c r="C2193">
        <f>Data_thang!D2193</f>
        <v/>
      </c>
      <c r="D2193">
        <f>Data_thang!E2193</f>
        <v/>
      </c>
      <c r="E2193">
        <f>Data_thang!F2193</f>
        <v/>
      </c>
      <c r="F2193">
        <f>Data_thang!G2193</f>
        <v/>
      </c>
      <c r="G2193" s="29">
        <f>Data_thang!J2193-Data_thang!K2193</f>
        <v/>
      </c>
      <c r="H2193" s="29">
        <f>Data_thang!N2193</f>
        <v/>
      </c>
      <c r="I2193" s="29">
        <f>H2193-G2193</f>
        <v/>
      </c>
      <c r="J2193" s="30">
        <f>IF(H2193=0,IF(I2193=0,0,1),I2193/ABS(H2193))</f>
        <v/>
      </c>
      <c r="K2193" s="29">
        <f>H2193-(Data_thang!O2193-Data_thang!K2193)</f>
        <v/>
      </c>
      <c r="L2193">
        <f>IF(AND(ABS(I2193)&gt;Dashboard!$G$6,ABS(J2193)&gt;Dashboard!$H$6),"⚠ Vượt","")</f>
        <v/>
      </c>
      <c r="M2193">
        <f>IF(AND(A2193=Dashboard!$D$6,OR(Dashboard!$C$6="*",F2193=Dashboard!$C$6),L2193&lt;&gt;""),ABS(I2193)+ROW()/1000000000,0)</f>
        <v/>
      </c>
    </row>
    <row r="2194">
      <c r="A2194">
        <f>Data_thang!A2194</f>
        <v/>
      </c>
      <c r="B2194">
        <f>Data_thang!B2194</f>
        <v/>
      </c>
      <c r="C2194">
        <f>Data_thang!D2194</f>
        <v/>
      </c>
      <c r="D2194">
        <f>Data_thang!E2194</f>
        <v/>
      </c>
      <c r="E2194">
        <f>Data_thang!F2194</f>
        <v/>
      </c>
      <c r="F2194">
        <f>Data_thang!G2194</f>
        <v/>
      </c>
      <c r="G2194" s="29">
        <f>Data_thang!J2194-Data_thang!K2194</f>
        <v/>
      </c>
      <c r="H2194" s="29">
        <f>Data_thang!N2194</f>
        <v/>
      </c>
      <c r="I2194" s="29">
        <f>H2194-G2194</f>
        <v/>
      </c>
      <c r="J2194" s="30">
        <f>IF(H2194=0,IF(I2194=0,0,1),I2194/ABS(H2194))</f>
        <v/>
      </c>
      <c r="K2194" s="29">
        <f>H2194-(Data_thang!O2194-Data_thang!K2194)</f>
        <v/>
      </c>
      <c r="L2194">
        <f>IF(AND(ABS(I2194)&gt;Dashboard!$G$6,ABS(J2194)&gt;Dashboard!$H$6),"⚠ Vượt","")</f>
        <v/>
      </c>
      <c r="M2194">
        <f>IF(AND(A2194=Dashboard!$D$6,OR(Dashboard!$C$6="*",F2194=Dashboard!$C$6),L2194&lt;&gt;""),ABS(I2194)+ROW()/1000000000,0)</f>
        <v/>
      </c>
    </row>
    <row r="2195">
      <c r="A2195">
        <f>Data_thang!A2195</f>
        <v/>
      </c>
      <c r="B2195">
        <f>Data_thang!B2195</f>
        <v/>
      </c>
      <c r="C2195">
        <f>Data_thang!D2195</f>
        <v/>
      </c>
      <c r="D2195">
        <f>Data_thang!E2195</f>
        <v/>
      </c>
      <c r="E2195">
        <f>Data_thang!F2195</f>
        <v/>
      </c>
      <c r="F2195">
        <f>Data_thang!G2195</f>
        <v/>
      </c>
      <c r="G2195" s="29">
        <f>Data_thang!J2195-Data_thang!K2195</f>
        <v/>
      </c>
      <c r="H2195" s="29">
        <f>Data_thang!N2195</f>
        <v/>
      </c>
      <c r="I2195" s="29">
        <f>H2195-G2195</f>
        <v/>
      </c>
      <c r="J2195" s="30">
        <f>IF(H2195=0,IF(I2195=0,0,1),I2195/ABS(H2195))</f>
        <v/>
      </c>
      <c r="K2195" s="29">
        <f>H2195-(Data_thang!O2195-Data_thang!K2195)</f>
        <v/>
      </c>
      <c r="L2195">
        <f>IF(AND(ABS(I2195)&gt;Dashboard!$G$6,ABS(J2195)&gt;Dashboard!$H$6),"⚠ Vượt","")</f>
        <v/>
      </c>
      <c r="M2195">
        <f>IF(AND(A2195=Dashboard!$D$6,OR(Dashboard!$C$6="*",F2195=Dashboard!$C$6),L2195&lt;&gt;""),ABS(I2195)+ROW()/1000000000,0)</f>
        <v/>
      </c>
    </row>
    <row r="2196">
      <c r="A2196">
        <f>Data_thang!A2196</f>
        <v/>
      </c>
      <c r="B2196">
        <f>Data_thang!B2196</f>
        <v/>
      </c>
      <c r="C2196">
        <f>Data_thang!D2196</f>
        <v/>
      </c>
      <c r="D2196">
        <f>Data_thang!E2196</f>
        <v/>
      </c>
      <c r="E2196">
        <f>Data_thang!F2196</f>
        <v/>
      </c>
      <c r="F2196">
        <f>Data_thang!G2196</f>
        <v/>
      </c>
      <c r="G2196" s="29">
        <f>Data_thang!J2196-Data_thang!K2196</f>
        <v/>
      </c>
      <c r="H2196" s="29">
        <f>Data_thang!N2196</f>
        <v/>
      </c>
      <c r="I2196" s="29">
        <f>H2196-G2196</f>
        <v/>
      </c>
      <c r="J2196" s="30">
        <f>IF(H2196=0,IF(I2196=0,0,1),I2196/ABS(H2196))</f>
        <v/>
      </c>
      <c r="K2196" s="29">
        <f>H2196-(Data_thang!O2196-Data_thang!K2196)</f>
        <v/>
      </c>
      <c r="L2196">
        <f>IF(AND(ABS(I2196)&gt;Dashboard!$G$6,ABS(J2196)&gt;Dashboard!$H$6),"⚠ Vượt","")</f>
        <v/>
      </c>
      <c r="M2196">
        <f>IF(AND(A2196=Dashboard!$D$6,OR(Dashboard!$C$6="*",F2196=Dashboard!$C$6),L2196&lt;&gt;""),ABS(I2196)+ROW()/1000000000,0)</f>
        <v/>
      </c>
    </row>
    <row r="2197">
      <c r="A2197">
        <f>Data_thang!A2197</f>
        <v/>
      </c>
      <c r="B2197">
        <f>Data_thang!B2197</f>
        <v/>
      </c>
      <c r="C2197">
        <f>Data_thang!D2197</f>
        <v/>
      </c>
      <c r="D2197">
        <f>Data_thang!E2197</f>
        <v/>
      </c>
      <c r="E2197">
        <f>Data_thang!F2197</f>
        <v/>
      </c>
      <c r="F2197">
        <f>Data_thang!G2197</f>
        <v/>
      </c>
      <c r="G2197" s="29">
        <f>Data_thang!J2197-Data_thang!K2197</f>
        <v/>
      </c>
      <c r="H2197" s="29">
        <f>Data_thang!N2197</f>
        <v/>
      </c>
      <c r="I2197" s="29">
        <f>H2197-G2197</f>
        <v/>
      </c>
      <c r="J2197" s="30">
        <f>IF(H2197=0,IF(I2197=0,0,1),I2197/ABS(H2197))</f>
        <v/>
      </c>
      <c r="K2197" s="29">
        <f>H2197-(Data_thang!O2197-Data_thang!K2197)</f>
        <v/>
      </c>
      <c r="L2197">
        <f>IF(AND(ABS(I2197)&gt;Dashboard!$G$6,ABS(J2197)&gt;Dashboard!$H$6),"⚠ Vượt","")</f>
        <v/>
      </c>
      <c r="M2197">
        <f>IF(AND(A2197=Dashboard!$D$6,OR(Dashboard!$C$6="*",F2197=Dashboard!$C$6),L2197&lt;&gt;""),ABS(I2197)+ROW()/1000000000,0)</f>
        <v/>
      </c>
    </row>
    <row r="2198">
      <c r="A2198">
        <f>Data_thang!A2198</f>
        <v/>
      </c>
      <c r="B2198">
        <f>Data_thang!B2198</f>
        <v/>
      </c>
      <c r="C2198">
        <f>Data_thang!D2198</f>
        <v/>
      </c>
      <c r="D2198">
        <f>Data_thang!E2198</f>
        <v/>
      </c>
      <c r="E2198">
        <f>Data_thang!F2198</f>
        <v/>
      </c>
      <c r="F2198">
        <f>Data_thang!G2198</f>
        <v/>
      </c>
      <c r="G2198" s="29">
        <f>Data_thang!J2198-Data_thang!K2198</f>
        <v/>
      </c>
      <c r="H2198" s="29">
        <f>Data_thang!N2198</f>
        <v/>
      </c>
      <c r="I2198" s="29">
        <f>H2198-G2198</f>
        <v/>
      </c>
      <c r="J2198" s="30">
        <f>IF(H2198=0,IF(I2198=0,0,1),I2198/ABS(H2198))</f>
        <v/>
      </c>
      <c r="K2198" s="29">
        <f>H2198-(Data_thang!O2198-Data_thang!K2198)</f>
        <v/>
      </c>
      <c r="L2198">
        <f>IF(AND(ABS(I2198)&gt;Dashboard!$G$6,ABS(J2198)&gt;Dashboard!$H$6),"⚠ Vượt","")</f>
        <v/>
      </c>
      <c r="M2198">
        <f>IF(AND(A2198=Dashboard!$D$6,OR(Dashboard!$C$6="*",F2198=Dashboard!$C$6),L2198&lt;&gt;""),ABS(I2198)+ROW()/1000000000,0)</f>
        <v/>
      </c>
    </row>
    <row r="2199">
      <c r="A2199">
        <f>Data_thang!A2199</f>
        <v/>
      </c>
      <c r="B2199">
        <f>Data_thang!B2199</f>
        <v/>
      </c>
      <c r="C2199">
        <f>Data_thang!D2199</f>
        <v/>
      </c>
      <c r="D2199">
        <f>Data_thang!E2199</f>
        <v/>
      </c>
      <c r="E2199">
        <f>Data_thang!F2199</f>
        <v/>
      </c>
      <c r="F2199">
        <f>Data_thang!G2199</f>
        <v/>
      </c>
      <c r="G2199" s="29">
        <f>Data_thang!J2199-Data_thang!K2199</f>
        <v/>
      </c>
      <c r="H2199" s="29">
        <f>Data_thang!N2199</f>
        <v/>
      </c>
      <c r="I2199" s="29">
        <f>H2199-G2199</f>
        <v/>
      </c>
      <c r="J2199" s="30">
        <f>IF(H2199=0,IF(I2199=0,0,1),I2199/ABS(H2199))</f>
        <v/>
      </c>
      <c r="K2199" s="29">
        <f>H2199-(Data_thang!O2199-Data_thang!K2199)</f>
        <v/>
      </c>
      <c r="L2199">
        <f>IF(AND(ABS(I2199)&gt;Dashboard!$G$6,ABS(J2199)&gt;Dashboard!$H$6),"⚠ Vượt","")</f>
        <v/>
      </c>
      <c r="M2199">
        <f>IF(AND(A2199=Dashboard!$D$6,OR(Dashboard!$C$6="*",F2199=Dashboard!$C$6),L2199&lt;&gt;""),ABS(I2199)+ROW()/1000000000,0)</f>
        <v/>
      </c>
    </row>
    <row r="2200">
      <c r="A2200">
        <f>Data_thang!A2200</f>
        <v/>
      </c>
      <c r="B2200">
        <f>Data_thang!B2200</f>
        <v/>
      </c>
      <c r="C2200">
        <f>Data_thang!D2200</f>
        <v/>
      </c>
      <c r="D2200">
        <f>Data_thang!E2200</f>
        <v/>
      </c>
      <c r="E2200">
        <f>Data_thang!F2200</f>
        <v/>
      </c>
      <c r="F2200">
        <f>Data_thang!G2200</f>
        <v/>
      </c>
      <c r="G2200" s="29">
        <f>Data_thang!J2200-Data_thang!K2200</f>
        <v/>
      </c>
      <c r="H2200" s="29">
        <f>Data_thang!N2200</f>
        <v/>
      </c>
      <c r="I2200" s="29">
        <f>H2200-G2200</f>
        <v/>
      </c>
      <c r="J2200" s="30">
        <f>IF(H2200=0,IF(I2200=0,0,1),I2200/ABS(H2200))</f>
        <v/>
      </c>
      <c r="K2200" s="29">
        <f>H2200-(Data_thang!O2200-Data_thang!K2200)</f>
        <v/>
      </c>
      <c r="L2200">
        <f>IF(AND(ABS(I2200)&gt;Dashboard!$G$6,ABS(J2200)&gt;Dashboard!$H$6),"⚠ Vượt","")</f>
        <v/>
      </c>
      <c r="M2200">
        <f>IF(AND(A2200=Dashboard!$D$6,OR(Dashboard!$C$6="*",F2200=Dashboard!$C$6),L2200&lt;&gt;""),ABS(I2200)+ROW()/1000000000,0)</f>
        <v/>
      </c>
    </row>
    <row r="2201">
      <c r="A2201">
        <f>Data_thang!A2201</f>
        <v/>
      </c>
      <c r="B2201">
        <f>Data_thang!B2201</f>
        <v/>
      </c>
      <c r="C2201">
        <f>Data_thang!D2201</f>
        <v/>
      </c>
      <c r="D2201">
        <f>Data_thang!E2201</f>
        <v/>
      </c>
      <c r="E2201">
        <f>Data_thang!F2201</f>
        <v/>
      </c>
      <c r="F2201">
        <f>Data_thang!G2201</f>
        <v/>
      </c>
      <c r="G2201" s="29">
        <f>Data_thang!J2201-Data_thang!K2201</f>
        <v/>
      </c>
      <c r="H2201" s="29">
        <f>Data_thang!N2201</f>
        <v/>
      </c>
      <c r="I2201" s="29">
        <f>H2201-G2201</f>
        <v/>
      </c>
      <c r="J2201" s="30">
        <f>IF(H2201=0,IF(I2201=0,0,1),I2201/ABS(H2201))</f>
        <v/>
      </c>
      <c r="K2201" s="29">
        <f>H2201-(Data_thang!O2201-Data_thang!K2201)</f>
        <v/>
      </c>
      <c r="L2201">
        <f>IF(AND(ABS(I2201)&gt;Dashboard!$G$6,ABS(J2201)&gt;Dashboard!$H$6),"⚠ Vượt","")</f>
        <v/>
      </c>
      <c r="M2201">
        <f>IF(AND(A2201=Dashboard!$D$6,OR(Dashboard!$C$6="*",F2201=Dashboard!$C$6),L2201&lt;&gt;""),ABS(I2201)+ROW()/1000000000,0)</f>
        <v/>
      </c>
    </row>
    <row r="2202">
      <c r="A2202">
        <f>Data_thang!A2202</f>
        <v/>
      </c>
      <c r="B2202">
        <f>Data_thang!B2202</f>
        <v/>
      </c>
      <c r="C2202">
        <f>Data_thang!D2202</f>
        <v/>
      </c>
      <c r="D2202">
        <f>Data_thang!E2202</f>
        <v/>
      </c>
      <c r="E2202">
        <f>Data_thang!F2202</f>
        <v/>
      </c>
      <c r="F2202">
        <f>Data_thang!G2202</f>
        <v/>
      </c>
      <c r="G2202" s="29">
        <f>Data_thang!J2202-Data_thang!K2202</f>
        <v/>
      </c>
      <c r="H2202" s="29">
        <f>Data_thang!N2202</f>
        <v/>
      </c>
      <c r="I2202" s="29">
        <f>H2202-G2202</f>
        <v/>
      </c>
      <c r="J2202" s="30">
        <f>IF(H2202=0,IF(I2202=0,0,1),I2202/ABS(H2202))</f>
        <v/>
      </c>
      <c r="K2202" s="29">
        <f>H2202-(Data_thang!O2202-Data_thang!K2202)</f>
        <v/>
      </c>
      <c r="L2202">
        <f>IF(AND(ABS(I2202)&gt;Dashboard!$G$6,ABS(J2202)&gt;Dashboard!$H$6),"⚠ Vượt","")</f>
        <v/>
      </c>
      <c r="M2202">
        <f>IF(AND(A2202=Dashboard!$D$6,OR(Dashboard!$C$6="*",F2202=Dashboard!$C$6),L2202&lt;&gt;""),ABS(I2202)+ROW()/1000000000,0)</f>
        <v/>
      </c>
    </row>
    <row r="2203">
      <c r="A2203">
        <f>Data_thang!A2203</f>
        <v/>
      </c>
      <c r="B2203">
        <f>Data_thang!B2203</f>
        <v/>
      </c>
      <c r="C2203">
        <f>Data_thang!D2203</f>
        <v/>
      </c>
      <c r="D2203">
        <f>Data_thang!E2203</f>
        <v/>
      </c>
      <c r="E2203">
        <f>Data_thang!F2203</f>
        <v/>
      </c>
      <c r="F2203">
        <f>Data_thang!G2203</f>
        <v/>
      </c>
      <c r="G2203" s="29">
        <f>Data_thang!J2203-Data_thang!K2203</f>
        <v/>
      </c>
      <c r="H2203" s="29">
        <f>Data_thang!N2203</f>
        <v/>
      </c>
      <c r="I2203" s="29">
        <f>H2203-G2203</f>
        <v/>
      </c>
      <c r="J2203" s="30">
        <f>IF(H2203=0,IF(I2203=0,0,1),I2203/ABS(H2203))</f>
        <v/>
      </c>
      <c r="K2203" s="29">
        <f>H2203-(Data_thang!O2203-Data_thang!K2203)</f>
        <v/>
      </c>
      <c r="L2203">
        <f>IF(AND(ABS(I2203)&gt;Dashboard!$G$6,ABS(J2203)&gt;Dashboard!$H$6),"⚠ Vượt","")</f>
        <v/>
      </c>
      <c r="M2203">
        <f>IF(AND(A2203=Dashboard!$D$6,OR(Dashboard!$C$6="*",F2203=Dashboard!$C$6),L2203&lt;&gt;""),ABS(I2203)+ROW()/1000000000,0)</f>
        <v/>
      </c>
    </row>
    <row r="2204">
      <c r="A2204">
        <f>Data_thang!A2204</f>
        <v/>
      </c>
      <c r="B2204">
        <f>Data_thang!B2204</f>
        <v/>
      </c>
      <c r="C2204">
        <f>Data_thang!D2204</f>
        <v/>
      </c>
      <c r="D2204">
        <f>Data_thang!E2204</f>
        <v/>
      </c>
      <c r="E2204">
        <f>Data_thang!F2204</f>
        <v/>
      </c>
      <c r="F2204">
        <f>Data_thang!G2204</f>
        <v/>
      </c>
      <c r="G2204" s="29">
        <f>Data_thang!J2204-Data_thang!K2204</f>
        <v/>
      </c>
      <c r="H2204" s="29">
        <f>Data_thang!N2204</f>
        <v/>
      </c>
      <c r="I2204" s="29">
        <f>H2204-G2204</f>
        <v/>
      </c>
      <c r="J2204" s="30">
        <f>IF(H2204=0,IF(I2204=0,0,1),I2204/ABS(H2204))</f>
        <v/>
      </c>
      <c r="K2204" s="29">
        <f>H2204-(Data_thang!O2204-Data_thang!K2204)</f>
        <v/>
      </c>
      <c r="L2204">
        <f>IF(AND(ABS(I2204)&gt;Dashboard!$G$6,ABS(J2204)&gt;Dashboard!$H$6),"⚠ Vượt","")</f>
        <v/>
      </c>
      <c r="M2204">
        <f>IF(AND(A2204=Dashboard!$D$6,OR(Dashboard!$C$6="*",F2204=Dashboard!$C$6),L2204&lt;&gt;""),ABS(I2204)+ROW()/1000000000,0)</f>
        <v/>
      </c>
    </row>
    <row r="2205">
      <c r="A2205">
        <f>Data_thang!A2205</f>
        <v/>
      </c>
      <c r="B2205">
        <f>Data_thang!B2205</f>
        <v/>
      </c>
      <c r="C2205">
        <f>Data_thang!D2205</f>
        <v/>
      </c>
      <c r="D2205">
        <f>Data_thang!E2205</f>
        <v/>
      </c>
      <c r="E2205">
        <f>Data_thang!F2205</f>
        <v/>
      </c>
      <c r="F2205">
        <f>Data_thang!G2205</f>
        <v/>
      </c>
      <c r="G2205" s="29">
        <f>Data_thang!J2205-Data_thang!K2205</f>
        <v/>
      </c>
      <c r="H2205" s="29">
        <f>Data_thang!N2205</f>
        <v/>
      </c>
      <c r="I2205" s="29">
        <f>H2205-G2205</f>
        <v/>
      </c>
      <c r="J2205" s="30">
        <f>IF(H2205=0,IF(I2205=0,0,1),I2205/ABS(H2205))</f>
        <v/>
      </c>
      <c r="K2205" s="29">
        <f>H2205-(Data_thang!O2205-Data_thang!K2205)</f>
        <v/>
      </c>
      <c r="L2205">
        <f>IF(AND(ABS(I2205)&gt;Dashboard!$G$6,ABS(J2205)&gt;Dashboard!$H$6),"⚠ Vượt","")</f>
        <v/>
      </c>
      <c r="M2205">
        <f>IF(AND(A2205=Dashboard!$D$6,OR(Dashboard!$C$6="*",F2205=Dashboard!$C$6),L2205&lt;&gt;""),ABS(I2205)+ROW()/1000000000,0)</f>
        <v/>
      </c>
    </row>
    <row r="2206">
      <c r="A2206">
        <f>Data_thang!A2206</f>
        <v/>
      </c>
      <c r="B2206">
        <f>Data_thang!B2206</f>
        <v/>
      </c>
      <c r="C2206">
        <f>Data_thang!D2206</f>
        <v/>
      </c>
      <c r="D2206">
        <f>Data_thang!E2206</f>
        <v/>
      </c>
      <c r="E2206">
        <f>Data_thang!F2206</f>
        <v/>
      </c>
      <c r="F2206">
        <f>Data_thang!G2206</f>
        <v/>
      </c>
      <c r="G2206" s="29">
        <f>Data_thang!J2206-Data_thang!K2206</f>
        <v/>
      </c>
      <c r="H2206" s="29">
        <f>Data_thang!N2206</f>
        <v/>
      </c>
      <c r="I2206" s="29">
        <f>H2206-G2206</f>
        <v/>
      </c>
      <c r="J2206" s="30">
        <f>IF(H2206=0,IF(I2206=0,0,1),I2206/ABS(H2206))</f>
        <v/>
      </c>
      <c r="K2206" s="29">
        <f>H2206-(Data_thang!O2206-Data_thang!K2206)</f>
        <v/>
      </c>
      <c r="L2206">
        <f>IF(AND(ABS(I2206)&gt;Dashboard!$G$6,ABS(J2206)&gt;Dashboard!$H$6),"⚠ Vượt","")</f>
        <v/>
      </c>
      <c r="M2206">
        <f>IF(AND(A2206=Dashboard!$D$6,OR(Dashboard!$C$6="*",F2206=Dashboard!$C$6),L2206&lt;&gt;""),ABS(I2206)+ROW()/1000000000,0)</f>
        <v/>
      </c>
    </row>
    <row r="2207">
      <c r="A2207">
        <f>Data_thang!A2207</f>
        <v/>
      </c>
      <c r="B2207">
        <f>Data_thang!B2207</f>
        <v/>
      </c>
      <c r="C2207">
        <f>Data_thang!D2207</f>
        <v/>
      </c>
      <c r="D2207">
        <f>Data_thang!E2207</f>
        <v/>
      </c>
      <c r="E2207">
        <f>Data_thang!F2207</f>
        <v/>
      </c>
      <c r="F2207">
        <f>Data_thang!G2207</f>
        <v/>
      </c>
      <c r="G2207" s="29">
        <f>Data_thang!J2207-Data_thang!K2207</f>
        <v/>
      </c>
      <c r="H2207" s="29">
        <f>Data_thang!N2207</f>
        <v/>
      </c>
      <c r="I2207" s="29">
        <f>H2207-G2207</f>
        <v/>
      </c>
      <c r="J2207" s="30">
        <f>IF(H2207=0,IF(I2207=0,0,1),I2207/ABS(H2207))</f>
        <v/>
      </c>
      <c r="K2207" s="29">
        <f>H2207-(Data_thang!O2207-Data_thang!K2207)</f>
        <v/>
      </c>
      <c r="L2207">
        <f>IF(AND(ABS(I2207)&gt;Dashboard!$G$6,ABS(J2207)&gt;Dashboard!$H$6),"⚠ Vượt","")</f>
        <v/>
      </c>
      <c r="M2207">
        <f>IF(AND(A2207=Dashboard!$D$6,OR(Dashboard!$C$6="*",F2207=Dashboard!$C$6),L2207&lt;&gt;""),ABS(I2207)+ROW()/1000000000,0)</f>
        <v/>
      </c>
    </row>
    <row r="2208">
      <c r="A2208">
        <f>Data_thang!A2208</f>
        <v/>
      </c>
      <c r="B2208">
        <f>Data_thang!B2208</f>
        <v/>
      </c>
      <c r="C2208">
        <f>Data_thang!D2208</f>
        <v/>
      </c>
      <c r="D2208">
        <f>Data_thang!E2208</f>
        <v/>
      </c>
      <c r="E2208">
        <f>Data_thang!F2208</f>
        <v/>
      </c>
      <c r="F2208">
        <f>Data_thang!G2208</f>
        <v/>
      </c>
      <c r="G2208" s="29">
        <f>Data_thang!J2208-Data_thang!K2208</f>
        <v/>
      </c>
      <c r="H2208" s="29">
        <f>Data_thang!N2208</f>
        <v/>
      </c>
      <c r="I2208" s="29">
        <f>H2208-G2208</f>
        <v/>
      </c>
      <c r="J2208" s="30">
        <f>IF(H2208=0,IF(I2208=0,0,1),I2208/ABS(H2208))</f>
        <v/>
      </c>
      <c r="K2208" s="29">
        <f>H2208-(Data_thang!O2208-Data_thang!K2208)</f>
        <v/>
      </c>
      <c r="L2208">
        <f>IF(AND(ABS(I2208)&gt;Dashboard!$G$6,ABS(J2208)&gt;Dashboard!$H$6),"⚠ Vượt","")</f>
        <v/>
      </c>
      <c r="M2208">
        <f>IF(AND(A2208=Dashboard!$D$6,OR(Dashboard!$C$6="*",F2208=Dashboard!$C$6),L2208&lt;&gt;""),ABS(I2208)+ROW()/1000000000,0)</f>
        <v/>
      </c>
    </row>
    <row r="2209">
      <c r="A2209">
        <f>Data_thang!A2209</f>
        <v/>
      </c>
      <c r="B2209">
        <f>Data_thang!B2209</f>
        <v/>
      </c>
      <c r="C2209">
        <f>Data_thang!D2209</f>
        <v/>
      </c>
      <c r="D2209">
        <f>Data_thang!E2209</f>
        <v/>
      </c>
      <c r="E2209">
        <f>Data_thang!F2209</f>
        <v/>
      </c>
      <c r="F2209">
        <f>Data_thang!G2209</f>
        <v/>
      </c>
      <c r="G2209" s="29">
        <f>Data_thang!J2209-Data_thang!K2209</f>
        <v/>
      </c>
      <c r="H2209" s="29">
        <f>Data_thang!N2209</f>
        <v/>
      </c>
      <c r="I2209" s="29">
        <f>H2209-G2209</f>
        <v/>
      </c>
      <c r="J2209" s="30">
        <f>IF(H2209=0,IF(I2209=0,0,1),I2209/ABS(H2209))</f>
        <v/>
      </c>
      <c r="K2209" s="29">
        <f>H2209-(Data_thang!O2209-Data_thang!K2209)</f>
        <v/>
      </c>
      <c r="L2209">
        <f>IF(AND(ABS(I2209)&gt;Dashboard!$G$6,ABS(J2209)&gt;Dashboard!$H$6),"⚠ Vượt","")</f>
        <v/>
      </c>
      <c r="M2209">
        <f>IF(AND(A2209=Dashboard!$D$6,OR(Dashboard!$C$6="*",F2209=Dashboard!$C$6),L2209&lt;&gt;""),ABS(I2209)+ROW()/1000000000,0)</f>
        <v/>
      </c>
    </row>
    <row r="2210">
      <c r="A2210">
        <f>Data_thang!A2210</f>
        <v/>
      </c>
      <c r="B2210">
        <f>Data_thang!B2210</f>
        <v/>
      </c>
      <c r="C2210">
        <f>Data_thang!D2210</f>
        <v/>
      </c>
      <c r="D2210">
        <f>Data_thang!E2210</f>
        <v/>
      </c>
      <c r="E2210">
        <f>Data_thang!F2210</f>
        <v/>
      </c>
      <c r="F2210">
        <f>Data_thang!G2210</f>
        <v/>
      </c>
      <c r="G2210" s="29">
        <f>Data_thang!J2210-Data_thang!K2210</f>
        <v/>
      </c>
      <c r="H2210" s="29">
        <f>Data_thang!N2210</f>
        <v/>
      </c>
      <c r="I2210" s="29">
        <f>H2210-G2210</f>
        <v/>
      </c>
      <c r="J2210" s="30">
        <f>IF(H2210=0,IF(I2210=0,0,1),I2210/ABS(H2210))</f>
        <v/>
      </c>
      <c r="K2210" s="29">
        <f>H2210-(Data_thang!O2210-Data_thang!K2210)</f>
        <v/>
      </c>
      <c r="L2210">
        <f>IF(AND(ABS(I2210)&gt;Dashboard!$G$6,ABS(J2210)&gt;Dashboard!$H$6),"⚠ Vượt","")</f>
        <v/>
      </c>
      <c r="M2210">
        <f>IF(AND(A2210=Dashboard!$D$6,OR(Dashboard!$C$6="*",F2210=Dashboard!$C$6),L2210&lt;&gt;""),ABS(I2210)+ROW()/1000000000,0)</f>
        <v/>
      </c>
    </row>
    <row r="2211">
      <c r="A2211">
        <f>Data_thang!A2211</f>
        <v/>
      </c>
      <c r="B2211">
        <f>Data_thang!B2211</f>
        <v/>
      </c>
      <c r="C2211">
        <f>Data_thang!D2211</f>
        <v/>
      </c>
      <c r="D2211">
        <f>Data_thang!E2211</f>
        <v/>
      </c>
      <c r="E2211">
        <f>Data_thang!F2211</f>
        <v/>
      </c>
      <c r="F2211">
        <f>Data_thang!G2211</f>
        <v/>
      </c>
      <c r="G2211" s="29">
        <f>Data_thang!J2211-Data_thang!K2211</f>
        <v/>
      </c>
      <c r="H2211" s="29">
        <f>Data_thang!N2211</f>
        <v/>
      </c>
      <c r="I2211" s="29">
        <f>H2211-G2211</f>
        <v/>
      </c>
      <c r="J2211" s="30">
        <f>IF(H2211=0,IF(I2211=0,0,1),I2211/ABS(H2211))</f>
        <v/>
      </c>
      <c r="K2211" s="29">
        <f>H2211-(Data_thang!O2211-Data_thang!K2211)</f>
        <v/>
      </c>
      <c r="L2211">
        <f>IF(AND(ABS(I2211)&gt;Dashboard!$G$6,ABS(J2211)&gt;Dashboard!$H$6),"⚠ Vượt","")</f>
        <v/>
      </c>
      <c r="M2211">
        <f>IF(AND(A2211=Dashboard!$D$6,OR(Dashboard!$C$6="*",F2211=Dashboard!$C$6),L2211&lt;&gt;""),ABS(I2211)+ROW()/1000000000,0)</f>
        <v/>
      </c>
    </row>
    <row r="2212">
      <c r="A2212">
        <f>Data_thang!A2212</f>
        <v/>
      </c>
      <c r="B2212">
        <f>Data_thang!B2212</f>
        <v/>
      </c>
      <c r="C2212">
        <f>Data_thang!D2212</f>
        <v/>
      </c>
      <c r="D2212">
        <f>Data_thang!E2212</f>
        <v/>
      </c>
      <c r="E2212">
        <f>Data_thang!F2212</f>
        <v/>
      </c>
      <c r="F2212">
        <f>Data_thang!G2212</f>
        <v/>
      </c>
      <c r="G2212" s="29">
        <f>Data_thang!J2212-Data_thang!K2212</f>
        <v/>
      </c>
      <c r="H2212" s="29">
        <f>Data_thang!N2212</f>
        <v/>
      </c>
      <c r="I2212" s="29">
        <f>H2212-G2212</f>
        <v/>
      </c>
      <c r="J2212" s="30">
        <f>IF(H2212=0,IF(I2212=0,0,1),I2212/ABS(H2212))</f>
        <v/>
      </c>
      <c r="K2212" s="29">
        <f>H2212-(Data_thang!O2212-Data_thang!K2212)</f>
        <v/>
      </c>
      <c r="L2212">
        <f>IF(AND(ABS(I2212)&gt;Dashboard!$G$6,ABS(J2212)&gt;Dashboard!$H$6),"⚠ Vượt","")</f>
        <v/>
      </c>
      <c r="M2212">
        <f>IF(AND(A2212=Dashboard!$D$6,OR(Dashboard!$C$6="*",F2212=Dashboard!$C$6),L2212&lt;&gt;""),ABS(I2212)+ROW()/1000000000,0)</f>
        <v/>
      </c>
    </row>
    <row r="2213">
      <c r="A2213">
        <f>Data_thang!A2213</f>
        <v/>
      </c>
      <c r="B2213">
        <f>Data_thang!B2213</f>
        <v/>
      </c>
      <c r="C2213">
        <f>Data_thang!D2213</f>
        <v/>
      </c>
      <c r="D2213">
        <f>Data_thang!E2213</f>
        <v/>
      </c>
      <c r="E2213">
        <f>Data_thang!F2213</f>
        <v/>
      </c>
      <c r="F2213">
        <f>Data_thang!G2213</f>
        <v/>
      </c>
      <c r="G2213" s="29">
        <f>Data_thang!J2213-Data_thang!K2213</f>
        <v/>
      </c>
      <c r="H2213" s="29">
        <f>Data_thang!N2213</f>
        <v/>
      </c>
      <c r="I2213" s="29">
        <f>H2213-G2213</f>
        <v/>
      </c>
      <c r="J2213" s="30">
        <f>IF(H2213=0,IF(I2213=0,0,1),I2213/ABS(H2213))</f>
        <v/>
      </c>
      <c r="K2213" s="29">
        <f>H2213-(Data_thang!O2213-Data_thang!K2213)</f>
        <v/>
      </c>
      <c r="L2213">
        <f>IF(AND(ABS(I2213)&gt;Dashboard!$G$6,ABS(J2213)&gt;Dashboard!$H$6),"⚠ Vượt","")</f>
        <v/>
      </c>
      <c r="M2213">
        <f>IF(AND(A2213=Dashboard!$D$6,OR(Dashboard!$C$6="*",F2213=Dashboard!$C$6),L2213&lt;&gt;""),ABS(I2213)+ROW()/1000000000,0)</f>
        <v/>
      </c>
    </row>
    <row r="2214">
      <c r="A2214">
        <f>Data_thang!A2214</f>
        <v/>
      </c>
      <c r="B2214">
        <f>Data_thang!B2214</f>
        <v/>
      </c>
      <c r="C2214">
        <f>Data_thang!D2214</f>
        <v/>
      </c>
      <c r="D2214">
        <f>Data_thang!E2214</f>
        <v/>
      </c>
      <c r="E2214">
        <f>Data_thang!F2214</f>
        <v/>
      </c>
      <c r="F2214">
        <f>Data_thang!G2214</f>
        <v/>
      </c>
      <c r="G2214" s="29">
        <f>Data_thang!J2214-Data_thang!K2214</f>
        <v/>
      </c>
      <c r="H2214" s="29">
        <f>Data_thang!N2214</f>
        <v/>
      </c>
      <c r="I2214" s="29">
        <f>H2214-G2214</f>
        <v/>
      </c>
      <c r="J2214" s="30">
        <f>IF(H2214=0,IF(I2214=0,0,1),I2214/ABS(H2214))</f>
        <v/>
      </c>
      <c r="K2214" s="29">
        <f>H2214-(Data_thang!O2214-Data_thang!K2214)</f>
        <v/>
      </c>
      <c r="L2214">
        <f>IF(AND(ABS(I2214)&gt;Dashboard!$G$6,ABS(J2214)&gt;Dashboard!$H$6),"⚠ Vượt","")</f>
        <v/>
      </c>
      <c r="M2214">
        <f>IF(AND(A2214=Dashboard!$D$6,OR(Dashboard!$C$6="*",F2214=Dashboard!$C$6),L2214&lt;&gt;""),ABS(I2214)+ROW()/1000000000,0)</f>
        <v/>
      </c>
    </row>
    <row r="2215">
      <c r="A2215">
        <f>Data_thang!A2215</f>
        <v/>
      </c>
      <c r="B2215">
        <f>Data_thang!B2215</f>
        <v/>
      </c>
      <c r="C2215">
        <f>Data_thang!D2215</f>
        <v/>
      </c>
      <c r="D2215">
        <f>Data_thang!E2215</f>
        <v/>
      </c>
      <c r="E2215">
        <f>Data_thang!F2215</f>
        <v/>
      </c>
      <c r="F2215">
        <f>Data_thang!G2215</f>
        <v/>
      </c>
      <c r="G2215" s="29">
        <f>Data_thang!J2215-Data_thang!K2215</f>
        <v/>
      </c>
      <c r="H2215" s="29">
        <f>Data_thang!N2215</f>
        <v/>
      </c>
      <c r="I2215" s="29">
        <f>H2215-G2215</f>
        <v/>
      </c>
      <c r="J2215" s="30">
        <f>IF(H2215=0,IF(I2215=0,0,1),I2215/ABS(H2215))</f>
        <v/>
      </c>
      <c r="K2215" s="29">
        <f>H2215-(Data_thang!O2215-Data_thang!K2215)</f>
        <v/>
      </c>
      <c r="L2215">
        <f>IF(AND(ABS(I2215)&gt;Dashboard!$G$6,ABS(J2215)&gt;Dashboard!$H$6),"⚠ Vượt","")</f>
        <v/>
      </c>
      <c r="M2215">
        <f>IF(AND(A2215=Dashboard!$D$6,OR(Dashboard!$C$6="*",F2215=Dashboard!$C$6),L2215&lt;&gt;""),ABS(I2215)+ROW()/1000000000,0)</f>
        <v/>
      </c>
    </row>
    <row r="2216">
      <c r="A2216">
        <f>Data_thang!A2216</f>
        <v/>
      </c>
      <c r="B2216">
        <f>Data_thang!B2216</f>
        <v/>
      </c>
      <c r="C2216">
        <f>Data_thang!D2216</f>
        <v/>
      </c>
      <c r="D2216">
        <f>Data_thang!E2216</f>
        <v/>
      </c>
      <c r="E2216">
        <f>Data_thang!F2216</f>
        <v/>
      </c>
      <c r="F2216">
        <f>Data_thang!G2216</f>
        <v/>
      </c>
      <c r="G2216" s="29">
        <f>Data_thang!J2216-Data_thang!K2216</f>
        <v/>
      </c>
      <c r="H2216" s="29">
        <f>Data_thang!N2216</f>
        <v/>
      </c>
      <c r="I2216" s="29">
        <f>H2216-G2216</f>
        <v/>
      </c>
      <c r="J2216" s="30">
        <f>IF(H2216=0,IF(I2216=0,0,1),I2216/ABS(H2216))</f>
        <v/>
      </c>
      <c r="K2216" s="29">
        <f>H2216-(Data_thang!O2216-Data_thang!K2216)</f>
        <v/>
      </c>
      <c r="L2216">
        <f>IF(AND(ABS(I2216)&gt;Dashboard!$G$6,ABS(J2216)&gt;Dashboard!$H$6),"⚠ Vượt","")</f>
        <v/>
      </c>
      <c r="M2216">
        <f>IF(AND(A2216=Dashboard!$D$6,OR(Dashboard!$C$6="*",F2216=Dashboard!$C$6),L2216&lt;&gt;""),ABS(I2216)+ROW()/1000000000,0)</f>
        <v/>
      </c>
    </row>
    <row r="2217">
      <c r="A2217">
        <f>Data_thang!A2217</f>
        <v/>
      </c>
      <c r="B2217">
        <f>Data_thang!B2217</f>
        <v/>
      </c>
      <c r="C2217">
        <f>Data_thang!D2217</f>
        <v/>
      </c>
      <c r="D2217">
        <f>Data_thang!E2217</f>
        <v/>
      </c>
      <c r="E2217">
        <f>Data_thang!F2217</f>
        <v/>
      </c>
      <c r="F2217">
        <f>Data_thang!G2217</f>
        <v/>
      </c>
      <c r="G2217" s="29">
        <f>Data_thang!J2217-Data_thang!K2217</f>
        <v/>
      </c>
      <c r="H2217" s="29">
        <f>Data_thang!N2217</f>
        <v/>
      </c>
      <c r="I2217" s="29">
        <f>H2217-G2217</f>
        <v/>
      </c>
      <c r="J2217" s="30">
        <f>IF(H2217=0,IF(I2217=0,0,1),I2217/ABS(H2217))</f>
        <v/>
      </c>
      <c r="K2217" s="29">
        <f>H2217-(Data_thang!O2217-Data_thang!K2217)</f>
        <v/>
      </c>
      <c r="L2217">
        <f>IF(AND(ABS(I2217)&gt;Dashboard!$G$6,ABS(J2217)&gt;Dashboard!$H$6),"⚠ Vượt","")</f>
        <v/>
      </c>
      <c r="M2217">
        <f>IF(AND(A2217=Dashboard!$D$6,OR(Dashboard!$C$6="*",F2217=Dashboard!$C$6),L2217&lt;&gt;""),ABS(I2217)+ROW()/1000000000,0)</f>
        <v/>
      </c>
    </row>
    <row r="2218">
      <c r="A2218">
        <f>Data_thang!A2218</f>
        <v/>
      </c>
      <c r="B2218">
        <f>Data_thang!B2218</f>
        <v/>
      </c>
      <c r="C2218">
        <f>Data_thang!D2218</f>
        <v/>
      </c>
      <c r="D2218">
        <f>Data_thang!E2218</f>
        <v/>
      </c>
      <c r="E2218">
        <f>Data_thang!F2218</f>
        <v/>
      </c>
      <c r="F2218">
        <f>Data_thang!G2218</f>
        <v/>
      </c>
      <c r="G2218" s="29">
        <f>Data_thang!J2218-Data_thang!K2218</f>
        <v/>
      </c>
      <c r="H2218" s="29">
        <f>Data_thang!N2218</f>
        <v/>
      </c>
      <c r="I2218" s="29">
        <f>H2218-G2218</f>
        <v/>
      </c>
      <c r="J2218" s="30">
        <f>IF(H2218=0,IF(I2218=0,0,1),I2218/ABS(H2218))</f>
        <v/>
      </c>
      <c r="K2218" s="29">
        <f>H2218-(Data_thang!O2218-Data_thang!K2218)</f>
        <v/>
      </c>
      <c r="L2218">
        <f>IF(AND(ABS(I2218)&gt;Dashboard!$G$6,ABS(J2218)&gt;Dashboard!$H$6),"⚠ Vượt","")</f>
        <v/>
      </c>
      <c r="M2218">
        <f>IF(AND(A2218=Dashboard!$D$6,OR(Dashboard!$C$6="*",F2218=Dashboard!$C$6),L2218&lt;&gt;""),ABS(I2218)+ROW()/1000000000,0)</f>
        <v/>
      </c>
    </row>
    <row r="2219">
      <c r="A2219">
        <f>Data_thang!A2219</f>
        <v/>
      </c>
      <c r="B2219">
        <f>Data_thang!B2219</f>
        <v/>
      </c>
      <c r="C2219">
        <f>Data_thang!D2219</f>
        <v/>
      </c>
      <c r="D2219">
        <f>Data_thang!E2219</f>
        <v/>
      </c>
      <c r="E2219">
        <f>Data_thang!F2219</f>
        <v/>
      </c>
      <c r="F2219">
        <f>Data_thang!G2219</f>
        <v/>
      </c>
      <c r="G2219" s="29">
        <f>Data_thang!J2219-Data_thang!K2219</f>
        <v/>
      </c>
      <c r="H2219" s="29">
        <f>Data_thang!N2219</f>
        <v/>
      </c>
      <c r="I2219" s="29">
        <f>H2219-G2219</f>
        <v/>
      </c>
      <c r="J2219" s="30">
        <f>IF(H2219=0,IF(I2219=0,0,1),I2219/ABS(H2219))</f>
        <v/>
      </c>
      <c r="K2219" s="29">
        <f>H2219-(Data_thang!O2219-Data_thang!K2219)</f>
        <v/>
      </c>
      <c r="L2219">
        <f>IF(AND(ABS(I2219)&gt;Dashboard!$G$6,ABS(J2219)&gt;Dashboard!$H$6),"⚠ Vượt","")</f>
        <v/>
      </c>
      <c r="M2219">
        <f>IF(AND(A2219=Dashboard!$D$6,OR(Dashboard!$C$6="*",F2219=Dashboard!$C$6),L2219&lt;&gt;""),ABS(I2219)+ROW()/1000000000,0)</f>
        <v/>
      </c>
    </row>
    <row r="2220">
      <c r="A2220">
        <f>Data_thang!A2220</f>
        <v/>
      </c>
      <c r="B2220">
        <f>Data_thang!B2220</f>
        <v/>
      </c>
      <c r="C2220">
        <f>Data_thang!D2220</f>
        <v/>
      </c>
      <c r="D2220">
        <f>Data_thang!E2220</f>
        <v/>
      </c>
      <c r="E2220">
        <f>Data_thang!F2220</f>
        <v/>
      </c>
      <c r="F2220">
        <f>Data_thang!G2220</f>
        <v/>
      </c>
      <c r="G2220" s="29">
        <f>Data_thang!J2220-Data_thang!K2220</f>
        <v/>
      </c>
      <c r="H2220" s="29">
        <f>Data_thang!N2220</f>
        <v/>
      </c>
      <c r="I2220" s="29">
        <f>H2220-G2220</f>
        <v/>
      </c>
      <c r="J2220" s="30">
        <f>IF(H2220=0,IF(I2220=0,0,1),I2220/ABS(H2220))</f>
        <v/>
      </c>
      <c r="K2220" s="29">
        <f>H2220-(Data_thang!O2220-Data_thang!K2220)</f>
        <v/>
      </c>
      <c r="L2220">
        <f>IF(AND(ABS(I2220)&gt;Dashboard!$G$6,ABS(J2220)&gt;Dashboard!$H$6),"⚠ Vượt","")</f>
        <v/>
      </c>
      <c r="M2220">
        <f>IF(AND(A2220=Dashboard!$D$6,OR(Dashboard!$C$6="*",F2220=Dashboard!$C$6),L2220&lt;&gt;""),ABS(I2220)+ROW()/1000000000,0)</f>
        <v/>
      </c>
    </row>
    <row r="2221">
      <c r="A2221">
        <f>Data_thang!A2221</f>
        <v/>
      </c>
      <c r="B2221">
        <f>Data_thang!B2221</f>
        <v/>
      </c>
      <c r="C2221">
        <f>Data_thang!D2221</f>
        <v/>
      </c>
      <c r="D2221">
        <f>Data_thang!E2221</f>
        <v/>
      </c>
      <c r="E2221">
        <f>Data_thang!F2221</f>
        <v/>
      </c>
      <c r="F2221">
        <f>Data_thang!G2221</f>
        <v/>
      </c>
      <c r="G2221" s="29">
        <f>Data_thang!J2221-Data_thang!K2221</f>
        <v/>
      </c>
      <c r="H2221" s="29">
        <f>Data_thang!N2221</f>
        <v/>
      </c>
      <c r="I2221" s="29">
        <f>H2221-G2221</f>
        <v/>
      </c>
      <c r="J2221" s="30">
        <f>IF(H2221=0,IF(I2221=0,0,1),I2221/ABS(H2221))</f>
        <v/>
      </c>
      <c r="K2221" s="29">
        <f>H2221-(Data_thang!O2221-Data_thang!K2221)</f>
        <v/>
      </c>
      <c r="L2221">
        <f>IF(AND(ABS(I2221)&gt;Dashboard!$G$6,ABS(J2221)&gt;Dashboard!$H$6),"⚠ Vượt","")</f>
        <v/>
      </c>
      <c r="M2221">
        <f>IF(AND(A2221=Dashboard!$D$6,OR(Dashboard!$C$6="*",F2221=Dashboard!$C$6),L2221&lt;&gt;""),ABS(I2221)+ROW()/1000000000,0)</f>
        <v/>
      </c>
    </row>
    <row r="2222">
      <c r="A2222">
        <f>Data_thang!A2222</f>
        <v/>
      </c>
      <c r="B2222">
        <f>Data_thang!B2222</f>
        <v/>
      </c>
      <c r="C2222">
        <f>Data_thang!D2222</f>
        <v/>
      </c>
      <c r="D2222">
        <f>Data_thang!E2222</f>
        <v/>
      </c>
      <c r="E2222">
        <f>Data_thang!F2222</f>
        <v/>
      </c>
      <c r="F2222">
        <f>Data_thang!G2222</f>
        <v/>
      </c>
      <c r="G2222" s="29">
        <f>Data_thang!J2222-Data_thang!K2222</f>
        <v/>
      </c>
      <c r="H2222" s="29">
        <f>Data_thang!N2222</f>
        <v/>
      </c>
      <c r="I2222" s="29">
        <f>H2222-G2222</f>
        <v/>
      </c>
      <c r="J2222" s="30">
        <f>IF(H2222=0,IF(I2222=0,0,1),I2222/ABS(H2222))</f>
        <v/>
      </c>
      <c r="K2222" s="29">
        <f>H2222-(Data_thang!O2222-Data_thang!K2222)</f>
        <v/>
      </c>
      <c r="L2222">
        <f>IF(AND(ABS(I2222)&gt;Dashboard!$G$6,ABS(J2222)&gt;Dashboard!$H$6),"⚠ Vượt","")</f>
        <v/>
      </c>
      <c r="M2222">
        <f>IF(AND(A2222=Dashboard!$D$6,OR(Dashboard!$C$6="*",F2222=Dashboard!$C$6),L2222&lt;&gt;""),ABS(I2222)+ROW()/1000000000,0)</f>
        <v/>
      </c>
    </row>
    <row r="2223">
      <c r="A2223">
        <f>Data_thang!A2223</f>
        <v/>
      </c>
      <c r="B2223">
        <f>Data_thang!B2223</f>
        <v/>
      </c>
      <c r="C2223">
        <f>Data_thang!D2223</f>
        <v/>
      </c>
      <c r="D2223">
        <f>Data_thang!E2223</f>
        <v/>
      </c>
      <c r="E2223">
        <f>Data_thang!F2223</f>
        <v/>
      </c>
      <c r="F2223">
        <f>Data_thang!G2223</f>
        <v/>
      </c>
      <c r="G2223" s="29">
        <f>Data_thang!J2223-Data_thang!K2223</f>
        <v/>
      </c>
      <c r="H2223" s="29">
        <f>Data_thang!N2223</f>
        <v/>
      </c>
      <c r="I2223" s="29">
        <f>H2223-G2223</f>
        <v/>
      </c>
      <c r="J2223" s="30">
        <f>IF(H2223=0,IF(I2223=0,0,1),I2223/ABS(H2223))</f>
        <v/>
      </c>
      <c r="K2223" s="29">
        <f>H2223-(Data_thang!O2223-Data_thang!K2223)</f>
        <v/>
      </c>
      <c r="L2223">
        <f>IF(AND(ABS(I2223)&gt;Dashboard!$G$6,ABS(J2223)&gt;Dashboard!$H$6),"⚠ Vượt","")</f>
        <v/>
      </c>
      <c r="M2223">
        <f>IF(AND(A2223=Dashboard!$D$6,OR(Dashboard!$C$6="*",F2223=Dashboard!$C$6),L2223&lt;&gt;""),ABS(I2223)+ROW()/1000000000,0)</f>
        <v/>
      </c>
    </row>
    <row r="2224">
      <c r="A2224">
        <f>Data_thang!A2224</f>
        <v/>
      </c>
      <c r="B2224">
        <f>Data_thang!B2224</f>
        <v/>
      </c>
      <c r="C2224">
        <f>Data_thang!D2224</f>
        <v/>
      </c>
      <c r="D2224">
        <f>Data_thang!E2224</f>
        <v/>
      </c>
      <c r="E2224">
        <f>Data_thang!F2224</f>
        <v/>
      </c>
      <c r="F2224">
        <f>Data_thang!G2224</f>
        <v/>
      </c>
      <c r="G2224" s="29">
        <f>Data_thang!J2224-Data_thang!K2224</f>
        <v/>
      </c>
      <c r="H2224" s="29">
        <f>Data_thang!N2224</f>
        <v/>
      </c>
      <c r="I2224" s="29">
        <f>H2224-G2224</f>
        <v/>
      </c>
      <c r="J2224" s="30">
        <f>IF(H2224=0,IF(I2224=0,0,1),I2224/ABS(H2224))</f>
        <v/>
      </c>
      <c r="K2224" s="29">
        <f>H2224-(Data_thang!O2224-Data_thang!K2224)</f>
        <v/>
      </c>
      <c r="L2224">
        <f>IF(AND(ABS(I2224)&gt;Dashboard!$G$6,ABS(J2224)&gt;Dashboard!$H$6),"⚠ Vượt","")</f>
        <v/>
      </c>
      <c r="M2224">
        <f>IF(AND(A2224=Dashboard!$D$6,OR(Dashboard!$C$6="*",F2224=Dashboard!$C$6),L2224&lt;&gt;""),ABS(I2224)+ROW()/1000000000,0)</f>
        <v/>
      </c>
    </row>
    <row r="2225">
      <c r="A2225">
        <f>Data_thang!A2225</f>
        <v/>
      </c>
      <c r="B2225">
        <f>Data_thang!B2225</f>
        <v/>
      </c>
      <c r="C2225">
        <f>Data_thang!D2225</f>
        <v/>
      </c>
      <c r="D2225">
        <f>Data_thang!E2225</f>
        <v/>
      </c>
      <c r="E2225">
        <f>Data_thang!F2225</f>
        <v/>
      </c>
      <c r="F2225">
        <f>Data_thang!G2225</f>
        <v/>
      </c>
      <c r="G2225" s="29">
        <f>Data_thang!J2225-Data_thang!K2225</f>
        <v/>
      </c>
      <c r="H2225" s="29">
        <f>Data_thang!N2225</f>
        <v/>
      </c>
      <c r="I2225" s="29">
        <f>H2225-G2225</f>
        <v/>
      </c>
      <c r="J2225" s="30">
        <f>IF(H2225=0,IF(I2225=0,0,1),I2225/ABS(H2225))</f>
        <v/>
      </c>
      <c r="K2225" s="29">
        <f>H2225-(Data_thang!O2225-Data_thang!K2225)</f>
        <v/>
      </c>
      <c r="L2225">
        <f>IF(AND(ABS(I2225)&gt;Dashboard!$G$6,ABS(J2225)&gt;Dashboard!$H$6),"⚠ Vượt","")</f>
        <v/>
      </c>
      <c r="M2225">
        <f>IF(AND(A2225=Dashboard!$D$6,OR(Dashboard!$C$6="*",F2225=Dashboard!$C$6),L2225&lt;&gt;""),ABS(I2225)+ROW()/1000000000,0)</f>
        <v/>
      </c>
    </row>
    <row r="2226">
      <c r="A2226">
        <f>Data_thang!A2226</f>
        <v/>
      </c>
      <c r="B2226">
        <f>Data_thang!B2226</f>
        <v/>
      </c>
      <c r="C2226">
        <f>Data_thang!D2226</f>
        <v/>
      </c>
      <c r="D2226">
        <f>Data_thang!E2226</f>
        <v/>
      </c>
      <c r="E2226">
        <f>Data_thang!F2226</f>
        <v/>
      </c>
      <c r="F2226">
        <f>Data_thang!G2226</f>
        <v/>
      </c>
      <c r="G2226" s="29">
        <f>Data_thang!J2226-Data_thang!K2226</f>
        <v/>
      </c>
      <c r="H2226" s="29">
        <f>Data_thang!N2226</f>
        <v/>
      </c>
      <c r="I2226" s="29">
        <f>H2226-G2226</f>
        <v/>
      </c>
      <c r="J2226" s="30">
        <f>IF(H2226=0,IF(I2226=0,0,1),I2226/ABS(H2226))</f>
        <v/>
      </c>
      <c r="K2226" s="29">
        <f>H2226-(Data_thang!O2226-Data_thang!K2226)</f>
        <v/>
      </c>
      <c r="L2226">
        <f>IF(AND(ABS(I2226)&gt;Dashboard!$G$6,ABS(J2226)&gt;Dashboard!$H$6),"⚠ Vượt","")</f>
        <v/>
      </c>
      <c r="M2226">
        <f>IF(AND(A2226=Dashboard!$D$6,OR(Dashboard!$C$6="*",F2226=Dashboard!$C$6),L2226&lt;&gt;""),ABS(I2226)+ROW()/1000000000,0)</f>
        <v/>
      </c>
    </row>
    <row r="2227">
      <c r="A2227">
        <f>Data_thang!A2227</f>
        <v/>
      </c>
      <c r="B2227">
        <f>Data_thang!B2227</f>
        <v/>
      </c>
      <c r="C2227">
        <f>Data_thang!D2227</f>
        <v/>
      </c>
      <c r="D2227">
        <f>Data_thang!E2227</f>
        <v/>
      </c>
      <c r="E2227">
        <f>Data_thang!F2227</f>
        <v/>
      </c>
      <c r="F2227">
        <f>Data_thang!G2227</f>
        <v/>
      </c>
      <c r="G2227" s="29">
        <f>Data_thang!J2227-Data_thang!K2227</f>
        <v/>
      </c>
      <c r="H2227" s="29">
        <f>Data_thang!N2227</f>
        <v/>
      </c>
      <c r="I2227" s="29">
        <f>H2227-G2227</f>
        <v/>
      </c>
      <c r="J2227" s="30">
        <f>IF(H2227=0,IF(I2227=0,0,1),I2227/ABS(H2227))</f>
        <v/>
      </c>
      <c r="K2227" s="29">
        <f>H2227-(Data_thang!O2227-Data_thang!K2227)</f>
        <v/>
      </c>
      <c r="L2227">
        <f>IF(AND(ABS(I2227)&gt;Dashboard!$G$6,ABS(J2227)&gt;Dashboard!$H$6),"⚠ Vượt","")</f>
        <v/>
      </c>
      <c r="M2227">
        <f>IF(AND(A2227=Dashboard!$D$6,OR(Dashboard!$C$6="*",F2227=Dashboard!$C$6),L2227&lt;&gt;""),ABS(I2227)+ROW()/1000000000,0)</f>
        <v/>
      </c>
    </row>
    <row r="2228">
      <c r="A2228">
        <f>Data_thang!A2228</f>
        <v/>
      </c>
      <c r="B2228">
        <f>Data_thang!B2228</f>
        <v/>
      </c>
      <c r="C2228">
        <f>Data_thang!D2228</f>
        <v/>
      </c>
      <c r="D2228">
        <f>Data_thang!E2228</f>
        <v/>
      </c>
      <c r="E2228">
        <f>Data_thang!F2228</f>
        <v/>
      </c>
      <c r="F2228">
        <f>Data_thang!G2228</f>
        <v/>
      </c>
      <c r="G2228" s="29">
        <f>Data_thang!J2228-Data_thang!K2228</f>
        <v/>
      </c>
      <c r="H2228" s="29">
        <f>Data_thang!N2228</f>
        <v/>
      </c>
      <c r="I2228" s="29">
        <f>H2228-G2228</f>
        <v/>
      </c>
      <c r="J2228" s="30">
        <f>IF(H2228=0,IF(I2228=0,0,1),I2228/ABS(H2228))</f>
        <v/>
      </c>
      <c r="K2228" s="29">
        <f>H2228-(Data_thang!O2228-Data_thang!K2228)</f>
        <v/>
      </c>
      <c r="L2228">
        <f>IF(AND(ABS(I2228)&gt;Dashboard!$G$6,ABS(J2228)&gt;Dashboard!$H$6),"⚠ Vượt","")</f>
        <v/>
      </c>
      <c r="M2228">
        <f>IF(AND(A2228=Dashboard!$D$6,OR(Dashboard!$C$6="*",F2228=Dashboard!$C$6),L2228&lt;&gt;""),ABS(I2228)+ROW()/1000000000,0)</f>
        <v/>
      </c>
    </row>
    <row r="2229">
      <c r="A2229">
        <f>Data_thang!A2229</f>
        <v/>
      </c>
      <c r="B2229">
        <f>Data_thang!B2229</f>
        <v/>
      </c>
      <c r="C2229">
        <f>Data_thang!D2229</f>
        <v/>
      </c>
      <c r="D2229">
        <f>Data_thang!E2229</f>
        <v/>
      </c>
      <c r="E2229">
        <f>Data_thang!F2229</f>
        <v/>
      </c>
      <c r="F2229">
        <f>Data_thang!G2229</f>
        <v/>
      </c>
      <c r="G2229" s="29">
        <f>Data_thang!J2229-Data_thang!K2229</f>
        <v/>
      </c>
      <c r="H2229" s="29">
        <f>Data_thang!N2229</f>
        <v/>
      </c>
      <c r="I2229" s="29">
        <f>H2229-G2229</f>
        <v/>
      </c>
      <c r="J2229" s="30">
        <f>IF(H2229=0,IF(I2229=0,0,1),I2229/ABS(H2229))</f>
        <v/>
      </c>
      <c r="K2229" s="29">
        <f>H2229-(Data_thang!O2229-Data_thang!K2229)</f>
        <v/>
      </c>
      <c r="L2229">
        <f>IF(AND(ABS(I2229)&gt;Dashboard!$G$6,ABS(J2229)&gt;Dashboard!$H$6),"⚠ Vượt","")</f>
        <v/>
      </c>
      <c r="M2229">
        <f>IF(AND(A2229=Dashboard!$D$6,OR(Dashboard!$C$6="*",F2229=Dashboard!$C$6),L2229&lt;&gt;""),ABS(I2229)+ROW()/1000000000,0)</f>
        <v/>
      </c>
    </row>
    <row r="2230">
      <c r="A2230">
        <f>Data_thang!A2230</f>
        <v/>
      </c>
      <c r="B2230">
        <f>Data_thang!B2230</f>
        <v/>
      </c>
      <c r="C2230">
        <f>Data_thang!D2230</f>
        <v/>
      </c>
      <c r="D2230">
        <f>Data_thang!E2230</f>
        <v/>
      </c>
      <c r="E2230">
        <f>Data_thang!F2230</f>
        <v/>
      </c>
      <c r="F2230">
        <f>Data_thang!G2230</f>
        <v/>
      </c>
      <c r="G2230" s="29">
        <f>Data_thang!J2230-Data_thang!K2230</f>
        <v/>
      </c>
      <c r="H2230" s="29">
        <f>Data_thang!N2230</f>
        <v/>
      </c>
      <c r="I2230" s="29">
        <f>H2230-G2230</f>
        <v/>
      </c>
      <c r="J2230" s="30">
        <f>IF(H2230=0,IF(I2230=0,0,1),I2230/ABS(H2230))</f>
        <v/>
      </c>
      <c r="K2230" s="29">
        <f>H2230-(Data_thang!O2230-Data_thang!K2230)</f>
        <v/>
      </c>
      <c r="L2230">
        <f>IF(AND(ABS(I2230)&gt;Dashboard!$G$6,ABS(J2230)&gt;Dashboard!$H$6),"⚠ Vượt","")</f>
        <v/>
      </c>
      <c r="M2230">
        <f>IF(AND(A2230=Dashboard!$D$6,OR(Dashboard!$C$6="*",F2230=Dashboard!$C$6),L2230&lt;&gt;""),ABS(I2230)+ROW()/1000000000,0)</f>
        <v/>
      </c>
    </row>
    <row r="2231">
      <c r="A2231">
        <f>Data_thang!A2231</f>
        <v/>
      </c>
      <c r="B2231">
        <f>Data_thang!B2231</f>
        <v/>
      </c>
      <c r="C2231">
        <f>Data_thang!D2231</f>
        <v/>
      </c>
      <c r="D2231">
        <f>Data_thang!E2231</f>
        <v/>
      </c>
      <c r="E2231">
        <f>Data_thang!F2231</f>
        <v/>
      </c>
      <c r="F2231">
        <f>Data_thang!G2231</f>
        <v/>
      </c>
      <c r="G2231" s="29">
        <f>Data_thang!J2231-Data_thang!K2231</f>
        <v/>
      </c>
      <c r="H2231" s="29">
        <f>Data_thang!N2231</f>
        <v/>
      </c>
      <c r="I2231" s="29">
        <f>H2231-G2231</f>
        <v/>
      </c>
      <c r="J2231" s="30">
        <f>IF(H2231=0,IF(I2231=0,0,1),I2231/ABS(H2231))</f>
        <v/>
      </c>
      <c r="K2231" s="29">
        <f>H2231-(Data_thang!O2231-Data_thang!K2231)</f>
        <v/>
      </c>
      <c r="L2231">
        <f>IF(AND(ABS(I2231)&gt;Dashboard!$G$6,ABS(J2231)&gt;Dashboard!$H$6),"⚠ Vượt","")</f>
        <v/>
      </c>
      <c r="M2231">
        <f>IF(AND(A2231=Dashboard!$D$6,OR(Dashboard!$C$6="*",F2231=Dashboard!$C$6),L2231&lt;&gt;""),ABS(I2231)+ROW()/1000000000,0)</f>
        <v/>
      </c>
    </row>
    <row r="2232">
      <c r="A2232">
        <f>Data_thang!A2232</f>
        <v/>
      </c>
      <c r="B2232">
        <f>Data_thang!B2232</f>
        <v/>
      </c>
      <c r="C2232">
        <f>Data_thang!D2232</f>
        <v/>
      </c>
      <c r="D2232">
        <f>Data_thang!E2232</f>
        <v/>
      </c>
      <c r="E2232">
        <f>Data_thang!F2232</f>
        <v/>
      </c>
      <c r="F2232">
        <f>Data_thang!G2232</f>
        <v/>
      </c>
      <c r="G2232" s="29">
        <f>Data_thang!J2232-Data_thang!K2232</f>
        <v/>
      </c>
      <c r="H2232" s="29">
        <f>Data_thang!N2232</f>
        <v/>
      </c>
      <c r="I2232" s="29">
        <f>H2232-G2232</f>
        <v/>
      </c>
      <c r="J2232" s="30">
        <f>IF(H2232=0,IF(I2232=0,0,1),I2232/ABS(H2232))</f>
        <v/>
      </c>
      <c r="K2232" s="29">
        <f>H2232-(Data_thang!O2232-Data_thang!K2232)</f>
        <v/>
      </c>
      <c r="L2232">
        <f>IF(AND(ABS(I2232)&gt;Dashboard!$G$6,ABS(J2232)&gt;Dashboard!$H$6),"⚠ Vượt","")</f>
        <v/>
      </c>
      <c r="M2232">
        <f>IF(AND(A2232=Dashboard!$D$6,OR(Dashboard!$C$6="*",F2232=Dashboard!$C$6),L2232&lt;&gt;""),ABS(I2232)+ROW()/1000000000,0)</f>
        <v/>
      </c>
    </row>
    <row r="2233">
      <c r="A2233">
        <f>Data_thang!A2233</f>
        <v/>
      </c>
      <c r="B2233">
        <f>Data_thang!B2233</f>
        <v/>
      </c>
      <c r="C2233">
        <f>Data_thang!D2233</f>
        <v/>
      </c>
      <c r="D2233">
        <f>Data_thang!E2233</f>
        <v/>
      </c>
      <c r="E2233">
        <f>Data_thang!F2233</f>
        <v/>
      </c>
      <c r="F2233">
        <f>Data_thang!G2233</f>
        <v/>
      </c>
      <c r="G2233" s="29">
        <f>Data_thang!J2233-Data_thang!K2233</f>
        <v/>
      </c>
      <c r="H2233" s="29">
        <f>Data_thang!N2233</f>
        <v/>
      </c>
      <c r="I2233" s="29">
        <f>H2233-G2233</f>
        <v/>
      </c>
      <c r="J2233" s="30">
        <f>IF(H2233=0,IF(I2233=0,0,1),I2233/ABS(H2233))</f>
        <v/>
      </c>
      <c r="K2233" s="29">
        <f>H2233-(Data_thang!O2233-Data_thang!K2233)</f>
        <v/>
      </c>
      <c r="L2233">
        <f>IF(AND(ABS(I2233)&gt;Dashboard!$G$6,ABS(J2233)&gt;Dashboard!$H$6),"⚠ Vượt","")</f>
        <v/>
      </c>
      <c r="M2233">
        <f>IF(AND(A2233=Dashboard!$D$6,OR(Dashboard!$C$6="*",F2233=Dashboard!$C$6),L2233&lt;&gt;""),ABS(I2233)+ROW()/1000000000,0)</f>
        <v/>
      </c>
    </row>
    <row r="2234">
      <c r="A2234">
        <f>Data_thang!A2234</f>
        <v/>
      </c>
      <c r="B2234">
        <f>Data_thang!B2234</f>
        <v/>
      </c>
      <c r="C2234">
        <f>Data_thang!D2234</f>
        <v/>
      </c>
      <c r="D2234">
        <f>Data_thang!E2234</f>
        <v/>
      </c>
      <c r="E2234">
        <f>Data_thang!F2234</f>
        <v/>
      </c>
      <c r="F2234">
        <f>Data_thang!G2234</f>
        <v/>
      </c>
      <c r="G2234" s="29">
        <f>Data_thang!J2234-Data_thang!K2234</f>
        <v/>
      </c>
      <c r="H2234" s="29">
        <f>Data_thang!N2234</f>
        <v/>
      </c>
      <c r="I2234" s="29">
        <f>H2234-G2234</f>
        <v/>
      </c>
      <c r="J2234" s="30">
        <f>IF(H2234=0,IF(I2234=0,0,1),I2234/ABS(H2234))</f>
        <v/>
      </c>
      <c r="K2234" s="29">
        <f>H2234-(Data_thang!O2234-Data_thang!K2234)</f>
        <v/>
      </c>
      <c r="L2234">
        <f>IF(AND(ABS(I2234)&gt;Dashboard!$G$6,ABS(J2234)&gt;Dashboard!$H$6),"⚠ Vượt","")</f>
        <v/>
      </c>
      <c r="M2234">
        <f>IF(AND(A2234=Dashboard!$D$6,OR(Dashboard!$C$6="*",F2234=Dashboard!$C$6),L2234&lt;&gt;""),ABS(I2234)+ROW()/1000000000,0)</f>
        <v/>
      </c>
    </row>
    <row r="2235">
      <c r="A2235">
        <f>Data_thang!A2235</f>
        <v/>
      </c>
      <c r="B2235">
        <f>Data_thang!B2235</f>
        <v/>
      </c>
      <c r="C2235">
        <f>Data_thang!D2235</f>
        <v/>
      </c>
      <c r="D2235">
        <f>Data_thang!E2235</f>
        <v/>
      </c>
      <c r="E2235">
        <f>Data_thang!F2235</f>
        <v/>
      </c>
      <c r="F2235">
        <f>Data_thang!G2235</f>
        <v/>
      </c>
      <c r="G2235" s="29">
        <f>Data_thang!J2235-Data_thang!K2235</f>
        <v/>
      </c>
      <c r="H2235" s="29">
        <f>Data_thang!N2235</f>
        <v/>
      </c>
      <c r="I2235" s="29">
        <f>H2235-G2235</f>
        <v/>
      </c>
      <c r="J2235" s="30">
        <f>IF(H2235=0,IF(I2235=0,0,1),I2235/ABS(H2235))</f>
        <v/>
      </c>
      <c r="K2235" s="29">
        <f>H2235-(Data_thang!O2235-Data_thang!K2235)</f>
        <v/>
      </c>
      <c r="L2235">
        <f>IF(AND(ABS(I2235)&gt;Dashboard!$G$6,ABS(J2235)&gt;Dashboard!$H$6),"⚠ Vượt","")</f>
        <v/>
      </c>
      <c r="M2235">
        <f>IF(AND(A2235=Dashboard!$D$6,OR(Dashboard!$C$6="*",F2235=Dashboard!$C$6),L2235&lt;&gt;""),ABS(I2235)+ROW()/1000000000,0)</f>
        <v/>
      </c>
    </row>
    <row r="2236">
      <c r="A2236">
        <f>Data_thang!A2236</f>
        <v/>
      </c>
      <c r="B2236">
        <f>Data_thang!B2236</f>
        <v/>
      </c>
      <c r="C2236">
        <f>Data_thang!D2236</f>
        <v/>
      </c>
      <c r="D2236">
        <f>Data_thang!E2236</f>
        <v/>
      </c>
      <c r="E2236">
        <f>Data_thang!F2236</f>
        <v/>
      </c>
      <c r="F2236">
        <f>Data_thang!G2236</f>
        <v/>
      </c>
      <c r="G2236" s="29">
        <f>Data_thang!J2236-Data_thang!K2236</f>
        <v/>
      </c>
      <c r="H2236" s="29">
        <f>Data_thang!N2236</f>
        <v/>
      </c>
      <c r="I2236" s="29">
        <f>H2236-G2236</f>
        <v/>
      </c>
      <c r="J2236" s="30">
        <f>IF(H2236=0,IF(I2236=0,0,1),I2236/ABS(H2236))</f>
        <v/>
      </c>
      <c r="K2236" s="29">
        <f>H2236-(Data_thang!O2236-Data_thang!K2236)</f>
        <v/>
      </c>
      <c r="L2236">
        <f>IF(AND(ABS(I2236)&gt;Dashboard!$G$6,ABS(J2236)&gt;Dashboard!$H$6),"⚠ Vượt","")</f>
        <v/>
      </c>
      <c r="M2236">
        <f>IF(AND(A2236=Dashboard!$D$6,OR(Dashboard!$C$6="*",F2236=Dashboard!$C$6),L2236&lt;&gt;""),ABS(I2236)+ROW()/1000000000,0)</f>
        <v/>
      </c>
    </row>
    <row r="2237">
      <c r="A2237">
        <f>Data_thang!A2237</f>
        <v/>
      </c>
      <c r="B2237">
        <f>Data_thang!B2237</f>
        <v/>
      </c>
      <c r="C2237">
        <f>Data_thang!D2237</f>
        <v/>
      </c>
      <c r="D2237">
        <f>Data_thang!E2237</f>
        <v/>
      </c>
      <c r="E2237">
        <f>Data_thang!F2237</f>
        <v/>
      </c>
      <c r="F2237">
        <f>Data_thang!G2237</f>
        <v/>
      </c>
      <c r="G2237" s="29">
        <f>Data_thang!J2237-Data_thang!K2237</f>
        <v/>
      </c>
      <c r="H2237" s="29">
        <f>Data_thang!N2237</f>
        <v/>
      </c>
      <c r="I2237" s="29">
        <f>H2237-G2237</f>
        <v/>
      </c>
      <c r="J2237" s="30">
        <f>IF(H2237=0,IF(I2237=0,0,1),I2237/ABS(H2237))</f>
        <v/>
      </c>
      <c r="K2237" s="29">
        <f>H2237-(Data_thang!O2237-Data_thang!K2237)</f>
        <v/>
      </c>
      <c r="L2237">
        <f>IF(AND(ABS(I2237)&gt;Dashboard!$G$6,ABS(J2237)&gt;Dashboard!$H$6),"⚠ Vượt","")</f>
        <v/>
      </c>
      <c r="M2237">
        <f>IF(AND(A2237=Dashboard!$D$6,OR(Dashboard!$C$6="*",F2237=Dashboard!$C$6),L2237&lt;&gt;""),ABS(I2237)+ROW()/1000000000,0)</f>
        <v/>
      </c>
    </row>
    <row r="2238">
      <c r="A2238">
        <f>Data_thang!A2238</f>
        <v/>
      </c>
      <c r="B2238">
        <f>Data_thang!B2238</f>
        <v/>
      </c>
      <c r="C2238">
        <f>Data_thang!D2238</f>
        <v/>
      </c>
      <c r="D2238">
        <f>Data_thang!E2238</f>
        <v/>
      </c>
      <c r="E2238">
        <f>Data_thang!F2238</f>
        <v/>
      </c>
      <c r="F2238">
        <f>Data_thang!G2238</f>
        <v/>
      </c>
      <c r="G2238" s="29">
        <f>Data_thang!J2238-Data_thang!K2238</f>
        <v/>
      </c>
      <c r="H2238" s="29">
        <f>Data_thang!N2238</f>
        <v/>
      </c>
      <c r="I2238" s="29">
        <f>H2238-G2238</f>
        <v/>
      </c>
      <c r="J2238" s="30">
        <f>IF(H2238=0,IF(I2238=0,0,1),I2238/ABS(H2238))</f>
        <v/>
      </c>
      <c r="K2238" s="29">
        <f>H2238-(Data_thang!O2238-Data_thang!K2238)</f>
        <v/>
      </c>
      <c r="L2238">
        <f>IF(AND(ABS(I2238)&gt;Dashboard!$G$6,ABS(J2238)&gt;Dashboard!$H$6),"⚠ Vượt","")</f>
        <v/>
      </c>
      <c r="M2238">
        <f>IF(AND(A2238=Dashboard!$D$6,OR(Dashboard!$C$6="*",F2238=Dashboard!$C$6),L2238&lt;&gt;""),ABS(I2238)+ROW()/1000000000,0)</f>
        <v/>
      </c>
    </row>
    <row r="2239">
      <c r="A2239">
        <f>Data_thang!A2239</f>
        <v/>
      </c>
      <c r="B2239">
        <f>Data_thang!B2239</f>
        <v/>
      </c>
      <c r="C2239">
        <f>Data_thang!D2239</f>
        <v/>
      </c>
      <c r="D2239">
        <f>Data_thang!E2239</f>
        <v/>
      </c>
      <c r="E2239">
        <f>Data_thang!F2239</f>
        <v/>
      </c>
      <c r="F2239">
        <f>Data_thang!G2239</f>
        <v/>
      </c>
      <c r="G2239" s="29">
        <f>Data_thang!J2239-Data_thang!K2239</f>
        <v/>
      </c>
      <c r="H2239" s="29">
        <f>Data_thang!N2239</f>
        <v/>
      </c>
      <c r="I2239" s="29">
        <f>H2239-G2239</f>
        <v/>
      </c>
      <c r="J2239" s="30">
        <f>IF(H2239=0,IF(I2239=0,0,1),I2239/ABS(H2239))</f>
        <v/>
      </c>
      <c r="K2239" s="29">
        <f>H2239-(Data_thang!O2239-Data_thang!K2239)</f>
        <v/>
      </c>
      <c r="L2239">
        <f>IF(AND(ABS(I2239)&gt;Dashboard!$G$6,ABS(J2239)&gt;Dashboard!$H$6),"⚠ Vượt","")</f>
        <v/>
      </c>
      <c r="M2239">
        <f>IF(AND(A2239=Dashboard!$D$6,OR(Dashboard!$C$6="*",F2239=Dashboard!$C$6),L2239&lt;&gt;""),ABS(I2239)+ROW()/1000000000,0)</f>
        <v/>
      </c>
    </row>
    <row r="2240">
      <c r="A2240">
        <f>Data_thang!A2240</f>
        <v/>
      </c>
      <c r="B2240">
        <f>Data_thang!B2240</f>
        <v/>
      </c>
      <c r="C2240">
        <f>Data_thang!D2240</f>
        <v/>
      </c>
      <c r="D2240">
        <f>Data_thang!E2240</f>
        <v/>
      </c>
      <c r="E2240">
        <f>Data_thang!F2240</f>
        <v/>
      </c>
      <c r="F2240">
        <f>Data_thang!G2240</f>
        <v/>
      </c>
      <c r="G2240" s="29">
        <f>Data_thang!J2240-Data_thang!K2240</f>
        <v/>
      </c>
      <c r="H2240" s="29">
        <f>Data_thang!N2240</f>
        <v/>
      </c>
      <c r="I2240" s="29">
        <f>H2240-G2240</f>
        <v/>
      </c>
      <c r="J2240" s="30">
        <f>IF(H2240=0,IF(I2240=0,0,1),I2240/ABS(H2240))</f>
        <v/>
      </c>
      <c r="K2240" s="29">
        <f>H2240-(Data_thang!O2240-Data_thang!K2240)</f>
        <v/>
      </c>
      <c r="L2240">
        <f>IF(AND(ABS(I2240)&gt;Dashboard!$G$6,ABS(J2240)&gt;Dashboard!$H$6),"⚠ Vượt","")</f>
        <v/>
      </c>
      <c r="M2240">
        <f>IF(AND(A2240=Dashboard!$D$6,OR(Dashboard!$C$6="*",F2240=Dashboard!$C$6),L2240&lt;&gt;""),ABS(I2240)+ROW()/1000000000,0)</f>
        <v/>
      </c>
    </row>
    <row r="2241">
      <c r="A2241">
        <f>Data_thang!A2241</f>
        <v/>
      </c>
      <c r="B2241">
        <f>Data_thang!B2241</f>
        <v/>
      </c>
      <c r="C2241">
        <f>Data_thang!D2241</f>
        <v/>
      </c>
      <c r="D2241">
        <f>Data_thang!E2241</f>
        <v/>
      </c>
      <c r="E2241">
        <f>Data_thang!F2241</f>
        <v/>
      </c>
      <c r="F2241">
        <f>Data_thang!G2241</f>
        <v/>
      </c>
      <c r="G2241" s="29">
        <f>Data_thang!J2241-Data_thang!K2241</f>
        <v/>
      </c>
      <c r="H2241" s="29">
        <f>Data_thang!N2241</f>
        <v/>
      </c>
      <c r="I2241" s="29">
        <f>H2241-G2241</f>
        <v/>
      </c>
      <c r="J2241" s="30">
        <f>IF(H2241=0,IF(I2241=0,0,1),I2241/ABS(H2241))</f>
        <v/>
      </c>
      <c r="K2241" s="29">
        <f>H2241-(Data_thang!O2241-Data_thang!K2241)</f>
        <v/>
      </c>
      <c r="L2241">
        <f>IF(AND(ABS(I2241)&gt;Dashboard!$G$6,ABS(J2241)&gt;Dashboard!$H$6),"⚠ Vượt","")</f>
        <v/>
      </c>
      <c r="M2241">
        <f>IF(AND(A2241=Dashboard!$D$6,OR(Dashboard!$C$6="*",F2241=Dashboard!$C$6),L2241&lt;&gt;""),ABS(I2241)+ROW()/1000000000,0)</f>
        <v/>
      </c>
    </row>
    <row r="2242">
      <c r="A2242">
        <f>Data_thang!A2242</f>
        <v/>
      </c>
      <c r="B2242">
        <f>Data_thang!B2242</f>
        <v/>
      </c>
      <c r="C2242">
        <f>Data_thang!D2242</f>
        <v/>
      </c>
      <c r="D2242">
        <f>Data_thang!E2242</f>
        <v/>
      </c>
      <c r="E2242">
        <f>Data_thang!F2242</f>
        <v/>
      </c>
      <c r="F2242">
        <f>Data_thang!G2242</f>
        <v/>
      </c>
      <c r="G2242" s="29">
        <f>Data_thang!J2242-Data_thang!K2242</f>
        <v/>
      </c>
      <c r="H2242" s="29">
        <f>Data_thang!N2242</f>
        <v/>
      </c>
      <c r="I2242" s="29">
        <f>H2242-G2242</f>
        <v/>
      </c>
      <c r="J2242" s="30">
        <f>IF(H2242=0,IF(I2242=0,0,1),I2242/ABS(H2242))</f>
        <v/>
      </c>
      <c r="K2242" s="29">
        <f>H2242-(Data_thang!O2242-Data_thang!K2242)</f>
        <v/>
      </c>
      <c r="L2242">
        <f>IF(AND(ABS(I2242)&gt;Dashboard!$G$6,ABS(J2242)&gt;Dashboard!$H$6),"⚠ Vượt","")</f>
        <v/>
      </c>
      <c r="M2242">
        <f>IF(AND(A2242=Dashboard!$D$6,OR(Dashboard!$C$6="*",F2242=Dashboard!$C$6),L2242&lt;&gt;""),ABS(I2242)+ROW()/1000000000,0)</f>
        <v/>
      </c>
    </row>
    <row r="2243">
      <c r="A2243">
        <f>Data_thang!A2243</f>
        <v/>
      </c>
      <c r="B2243">
        <f>Data_thang!B2243</f>
        <v/>
      </c>
      <c r="C2243">
        <f>Data_thang!D2243</f>
        <v/>
      </c>
      <c r="D2243">
        <f>Data_thang!E2243</f>
        <v/>
      </c>
      <c r="E2243">
        <f>Data_thang!F2243</f>
        <v/>
      </c>
      <c r="F2243">
        <f>Data_thang!G2243</f>
        <v/>
      </c>
      <c r="G2243" s="29">
        <f>Data_thang!J2243-Data_thang!K2243</f>
        <v/>
      </c>
      <c r="H2243" s="29">
        <f>Data_thang!N2243</f>
        <v/>
      </c>
      <c r="I2243" s="29">
        <f>H2243-G2243</f>
        <v/>
      </c>
      <c r="J2243" s="30">
        <f>IF(H2243=0,IF(I2243=0,0,1),I2243/ABS(H2243))</f>
        <v/>
      </c>
      <c r="K2243" s="29">
        <f>H2243-(Data_thang!O2243-Data_thang!K2243)</f>
        <v/>
      </c>
      <c r="L2243">
        <f>IF(AND(ABS(I2243)&gt;Dashboard!$G$6,ABS(J2243)&gt;Dashboard!$H$6),"⚠ Vượt","")</f>
        <v/>
      </c>
      <c r="M2243">
        <f>IF(AND(A2243=Dashboard!$D$6,OR(Dashboard!$C$6="*",F2243=Dashboard!$C$6),L2243&lt;&gt;""),ABS(I2243)+ROW()/1000000000,0)</f>
        <v/>
      </c>
    </row>
    <row r="2244">
      <c r="A2244">
        <f>Data_thang!A2244</f>
        <v/>
      </c>
      <c r="B2244">
        <f>Data_thang!B2244</f>
        <v/>
      </c>
      <c r="C2244">
        <f>Data_thang!D2244</f>
        <v/>
      </c>
      <c r="D2244">
        <f>Data_thang!E2244</f>
        <v/>
      </c>
      <c r="E2244">
        <f>Data_thang!F2244</f>
        <v/>
      </c>
      <c r="F2244">
        <f>Data_thang!G2244</f>
        <v/>
      </c>
      <c r="G2244" s="29">
        <f>Data_thang!J2244-Data_thang!K2244</f>
        <v/>
      </c>
      <c r="H2244" s="29">
        <f>Data_thang!N2244</f>
        <v/>
      </c>
      <c r="I2244" s="29">
        <f>H2244-G2244</f>
        <v/>
      </c>
      <c r="J2244" s="30">
        <f>IF(H2244=0,IF(I2244=0,0,1),I2244/ABS(H2244))</f>
        <v/>
      </c>
      <c r="K2244" s="29">
        <f>H2244-(Data_thang!O2244-Data_thang!K2244)</f>
        <v/>
      </c>
      <c r="L2244">
        <f>IF(AND(ABS(I2244)&gt;Dashboard!$G$6,ABS(J2244)&gt;Dashboard!$H$6),"⚠ Vượt","")</f>
        <v/>
      </c>
      <c r="M2244">
        <f>IF(AND(A2244=Dashboard!$D$6,OR(Dashboard!$C$6="*",F2244=Dashboard!$C$6),L2244&lt;&gt;""),ABS(I2244)+ROW()/1000000000,0)</f>
        <v/>
      </c>
    </row>
    <row r="2245">
      <c r="A2245">
        <f>Data_thang!A2245</f>
        <v/>
      </c>
      <c r="B2245">
        <f>Data_thang!B2245</f>
        <v/>
      </c>
      <c r="C2245">
        <f>Data_thang!D2245</f>
        <v/>
      </c>
      <c r="D2245">
        <f>Data_thang!E2245</f>
        <v/>
      </c>
      <c r="E2245">
        <f>Data_thang!F2245</f>
        <v/>
      </c>
      <c r="F2245">
        <f>Data_thang!G2245</f>
        <v/>
      </c>
      <c r="G2245" s="29">
        <f>Data_thang!J2245-Data_thang!K2245</f>
        <v/>
      </c>
      <c r="H2245" s="29">
        <f>Data_thang!N2245</f>
        <v/>
      </c>
      <c r="I2245" s="29">
        <f>H2245-G2245</f>
        <v/>
      </c>
      <c r="J2245" s="30">
        <f>IF(H2245=0,IF(I2245=0,0,1),I2245/ABS(H2245))</f>
        <v/>
      </c>
      <c r="K2245" s="29">
        <f>H2245-(Data_thang!O2245-Data_thang!K2245)</f>
        <v/>
      </c>
      <c r="L2245">
        <f>IF(AND(ABS(I2245)&gt;Dashboard!$G$6,ABS(J2245)&gt;Dashboard!$H$6),"⚠ Vượt","")</f>
        <v/>
      </c>
      <c r="M2245">
        <f>IF(AND(A2245=Dashboard!$D$6,OR(Dashboard!$C$6="*",F2245=Dashboard!$C$6),L2245&lt;&gt;""),ABS(I2245)+ROW()/1000000000,0)</f>
        <v/>
      </c>
    </row>
    <row r="2246">
      <c r="A2246">
        <f>Data_thang!A2246</f>
        <v/>
      </c>
      <c r="B2246">
        <f>Data_thang!B2246</f>
        <v/>
      </c>
      <c r="C2246">
        <f>Data_thang!D2246</f>
        <v/>
      </c>
      <c r="D2246">
        <f>Data_thang!E2246</f>
        <v/>
      </c>
      <c r="E2246">
        <f>Data_thang!F2246</f>
        <v/>
      </c>
      <c r="F2246">
        <f>Data_thang!G2246</f>
        <v/>
      </c>
      <c r="G2246" s="29">
        <f>Data_thang!J2246-Data_thang!K2246</f>
        <v/>
      </c>
      <c r="H2246" s="29">
        <f>Data_thang!N2246</f>
        <v/>
      </c>
      <c r="I2246" s="29">
        <f>H2246-G2246</f>
        <v/>
      </c>
      <c r="J2246" s="30">
        <f>IF(H2246=0,IF(I2246=0,0,1),I2246/ABS(H2246))</f>
        <v/>
      </c>
      <c r="K2246" s="29">
        <f>H2246-(Data_thang!O2246-Data_thang!K2246)</f>
        <v/>
      </c>
      <c r="L2246">
        <f>IF(AND(ABS(I2246)&gt;Dashboard!$G$6,ABS(J2246)&gt;Dashboard!$H$6),"⚠ Vượt","")</f>
        <v/>
      </c>
      <c r="M2246">
        <f>IF(AND(A2246=Dashboard!$D$6,OR(Dashboard!$C$6="*",F2246=Dashboard!$C$6),L2246&lt;&gt;""),ABS(I2246)+ROW()/1000000000,0)</f>
        <v/>
      </c>
    </row>
    <row r="2247">
      <c r="A2247">
        <f>Data_thang!A2247</f>
        <v/>
      </c>
      <c r="B2247">
        <f>Data_thang!B2247</f>
        <v/>
      </c>
      <c r="C2247">
        <f>Data_thang!D2247</f>
        <v/>
      </c>
      <c r="D2247">
        <f>Data_thang!E2247</f>
        <v/>
      </c>
      <c r="E2247">
        <f>Data_thang!F2247</f>
        <v/>
      </c>
      <c r="F2247">
        <f>Data_thang!G2247</f>
        <v/>
      </c>
      <c r="G2247" s="29">
        <f>Data_thang!J2247-Data_thang!K2247</f>
        <v/>
      </c>
      <c r="H2247" s="29">
        <f>Data_thang!N2247</f>
        <v/>
      </c>
      <c r="I2247" s="29">
        <f>H2247-G2247</f>
        <v/>
      </c>
      <c r="J2247" s="30">
        <f>IF(H2247=0,IF(I2247=0,0,1),I2247/ABS(H2247))</f>
        <v/>
      </c>
      <c r="K2247" s="29">
        <f>H2247-(Data_thang!O2247-Data_thang!K2247)</f>
        <v/>
      </c>
      <c r="L2247">
        <f>IF(AND(ABS(I2247)&gt;Dashboard!$G$6,ABS(J2247)&gt;Dashboard!$H$6),"⚠ Vượt","")</f>
        <v/>
      </c>
      <c r="M2247">
        <f>IF(AND(A2247=Dashboard!$D$6,OR(Dashboard!$C$6="*",F2247=Dashboard!$C$6),L2247&lt;&gt;""),ABS(I2247)+ROW()/1000000000,0)</f>
        <v/>
      </c>
    </row>
    <row r="2248">
      <c r="A2248">
        <f>Data_thang!A2248</f>
        <v/>
      </c>
      <c r="B2248">
        <f>Data_thang!B2248</f>
        <v/>
      </c>
      <c r="C2248">
        <f>Data_thang!D2248</f>
        <v/>
      </c>
      <c r="D2248">
        <f>Data_thang!E2248</f>
        <v/>
      </c>
      <c r="E2248">
        <f>Data_thang!F2248</f>
        <v/>
      </c>
      <c r="F2248">
        <f>Data_thang!G2248</f>
        <v/>
      </c>
      <c r="G2248" s="29">
        <f>Data_thang!J2248-Data_thang!K2248</f>
        <v/>
      </c>
      <c r="H2248" s="29">
        <f>Data_thang!N2248</f>
        <v/>
      </c>
      <c r="I2248" s="29">
        <f>H2248-G2248</f>
        <v/>
      </c>
      <c r="J2248" s="30">
        <f>IF(H2248=0,IF(I2248=0,0,1),I2248/ABS(H2248))</f>
        <v/>
      </c>
      <c r="K2248" s="29">
        <f>H2248-(Data_thang!O2248-Data_thang!K2248)</f>
        <v/>
      </c>
      <c r="L2248">
        <f>IF(AND(ABS(I2248)&gt;Dashboard!$G$6,ABS(J2248)&gt;Dashboard!$H$6),"⚠ Vượt","")</f>
        <v/>
      </c>
      <c r="M2248">
        <f>IF(AND(A2248=Dashboard!$D$6,OR(Dashboard!$C$6="*",F2248=Dashboard!$C$6),L2248&lt;&gt;""),ABS(I2248)+ROW()/1000000000,0)</f>
        <v/>
      </c>
    </row>
    <row r="2249">
      <c r="A2249">
        <f>Data_thang!A2249</f>
        <v/>
      </c>
      <c r="B2249">
        <f>Data_thang!B2249</f>
        <v/>
      </c>
      <c r="C2249">
        <f>Data_thang!D2249</f>
        <v/>
      </c>
      <c r="D2249">
        <f>Data_thang!E2249</f>
        <v/>
      </c>
      <c r="E2249">
        <f>Data_thang!F2249</f>
        <v/>
      </c>
      <c r="F2249">
        <f>Data_thang!G2249</f>
        <v/>
      </c>
      <c r="G2249" s="29">
        <f>Data_thang!J2249-Data_thang!K2249</f>
        <v/>
      </c>
      <c r="H2249" s="29">
        <f>Data_thang!N2249</f>
        <v/>
      </c>
      <c r="I2249" s="29">
        <f>H2249-G2249</f>
        <v/>
      </c>
      <c r="J2249" s="30">
        <f>IF(H2249=0,IF(I2249=0,0,1),I2249/ABS(H2249))</f>
        <v/>
      </c>
      <c r="K2249" s="29">
        <f>H2249-(Data_thang!O2249-Data_thang!K2249)</f>
        <v/>
      </c>
      <c r="L2249">
        <f>IF(AND(ABS(I2249)&gt;Dashboard!$G$6,ABS(J2249)&gt;Dashboard!$H$6),"⚠ Vượt","")</f>
        <v/>
      </c>
      <c r="M2249">
        <f>IF(AND(A2249=Dashboard!$D$6,OR(Dashboard!$C$6="*",F2249=Dashboard!$C$6),L2249&lt;&gt;""),ABS(I2249)+ROW()/1000000000,0)</f>
        <v/>
      </c>
    </row>
    <row r="2250">
      <c r="A2250">
        <f>Data_thang!A2250</f>
        <v/>
      </c>
      <c r="B2250">
        <f>Data_thang!B2250</f>
        <v/>
      </c>
      <c r="C2250">
        <f>Data_thang!D2250</f>
        <v/>
      </c>
      <c r="D2250">
        <f>Data_thang!E2250</f>
        <v/>
      </c>
      <c r="E2250">
        <f>Data_thang!F2250</f>
        <v/>
      </c>
      <c r="F2250">
        <f>Data_thang!G2250</f>
        <v/>
      </c>
      <c r="G2250" s="29">
        <f>Data_thang!J2250-Data_thang!K2250</f>
        <v/>
      </c>
      <c r="H2250" s="29">
        <f>Data_thang!N2250</f>
        <v/>
      </c>
      <c r="I2250" s="29">
        <f>H2250-G2250</f>
        <v/>
      </c>
      <c r="J2250" s="30">
        <f>IF(H2250=0,IF(I2250=0,0,1),I2250/ABS(H2250))</f>
        <v/>
      </c>
      <c r="K2250" s="29">
        <f>H2250-(Data_thang!O2250-Data_thang!K2250)</f>
        <v/>
      </c>
      <c r="L2250">
        <f>IF(AND(ABS(I2250)&gt;Dashboard!$G$6,ABS(J2250)&gt;Dashboard!$H$6),"⚠ Vượt","")</f>
        <v/>
      </c>
      <c r="M2250">
        <f>IF(AND(A2250=Dashboard!$D$6,OR(Dashboard!$C$6="*",F2250=Dashboard!$C$6),L2250&lt;&gt;""),ABS(I2250)+ROW()/1000000000,0)</f>
        <v/>
      </c>
    </row>
    <row r="2251">
      <c r="A2251">
        <f>Data_thang!A2251</f>
        <v/>
      </c>
      <c r="B2251">
        <f>Data_thang!B2251</f>
        <v/>
      </c>
      <c r="C2251">
        <f>Data_thang!D2251</f>
        <v/>
      </c>
      <c r="D2251">
        <f>Data_thang!E2251</f>
        <v/>
      </c>
      <c r="E2251">
        <f>Data_thang!F2251</f>
        <v/>
      </c>
      <c r="F2251">
        <f>Data_thang!G2251</f>
        <v/>
      </c>
      <c r="G2251" s="29">
        <f>Data_thang!J2251-Data_thang!K2251</f>
        <v/>
      </c>
      <c r="H2251" s="29">
        <f>Data_thang!N2251</f>
        <v/>
      </c>
      <c r="I2251" s="29">
        <f>H2251-G2251</f>
        <v/>
      </c>
      <c r="J2251" s="30">
        <f>IF(H2251=0,IF(I2251=0,0,1),I2251/ABS(H2251))</f>
        <v/>
      </c>
      <c r="K2251" s="29">
        <f>H2251-(Data_thang!O2251-Data_thang!K2251)</f>
        <v/>
      </c>
      <c r="L2251">
        <f>IF(AND(ABS(I2251)&gt;Dashboard!$G$6,ABS(J2251)&gt;Dashboard!$H$6),"⚠ Vượt","")</f>
        <v/>
      </c>
      <c r="M2251">
        <f>IF(AND(A2251=Dashboard!$D$6,OR(Dashboard!$C$6="*",F2251=Dashboard!$C$6),L2251&lt;&gt;""),ABS(I2251)+ROW()/1000000000,0)</f>
        <v/>
      </c>
    </row>
    <row r="2252">
      <c r="A2252">
        <f>Data_thang!A2252</f>
        <v/>
      </c>
      <c r="B2252">
        <f>Data_thang!B2252</f>
        <v/>
      </c>
      <c r="C2252">
        <f>Data_thang!D2252</f>
        <v/>
      </c>
      <c r="D2252">
        <f>Data_thang!E2252</f>
        <v/>
      </c>
      <c r="E2252">
        <f>Data_thang!F2252</f>
        <v/>
      </c>
      <c r="F2252">
        <f>Data_thang!G2252</f>
        <v/>
      </c>
      <c r="G2252" s="29">
        <f>Data_thang!J2252-Data_thang!K2252</f>
        <v/>
      </c>
      <c r="H2252" s="29">
        <f>Data_thang!N2252</f>
        <v/>
      </c>
      <c r="I2252" s="29">
        <f>H2252-G2252</f>
        <v/>
      </c>
      <c r="J2252" s="30">
        <f>IF(H2252=0,IF(I2252=0,0,1),I2252/ABS(H2252))</f>
        <v/>
      </c>
      <c r="K2252" s="29">
        <f>H2252-(Data_thang!O2252-Data_thang!K2252)</f>
        <v/>
      </c>
      <c r="L2252">
        <f>IF(AND(ABS(I2252)&gt;Dashboard!$G$6,ABS(J2252)&gt;Dashboard!$H$6),"⚠ Vượt","")</f>
        <v/>
      </c>
      <c r="M2252">
        <f>IF(AND(A2252=Dashboard!$D$6,OR(Dashboard!$C$6="*",F2252=Dashboard!$C$6),L2252&lt;&gt;""),ABS(I2252)+ROW()/1000000000,0)</f>
        <v/>
      </c>
    </row>
    <row r="2253">
      <c r="A2253">
        <f>Data_thang!A2253</f>
        <v/>
      </c>
      <c r="B2253">
        <f>Data_thang!B2253</f>
        <v/>
      </c>
      <c r="C2253">
        <f>Data_thang!D2253</f>
        <v/>
      </c>
      <c r="D2253">
        <f>Data_thang!E2253</f>
        <v/>
      </c>
      <c r="E2253">
        <f>Data_thang!F2253</f>
        <v/>
      </c>
      <c r="F2253">
        <f>Data_thang!G2253</f>
        <v/>
      </c>
      <c r="G2253" s="29">
        <f>Data_thang!J2253-Data_thang!K2253</f>
        <v/>
      </c>
      <c r="H2253" s="29">
        <f>Data_thang!N2253</f>
        <v/>
      </c>
      <c r="I2253" s="29">
        <f>H2253-G2253</f>
        <v/>
      </c>
      <c r="J2253" s="30">
        <f>IF(H2253=0,IF(I2253=0,0,1),I2253/ABS(H2253))</f>
        <v/>
      </c>
      <c r="K2253" s="29">
        <f>H2253-(Data_thang!O2253-Data_thang!K2253)</f>
        <v/>
      </c>
      <c r="L2253">
        <f>IF(AND(ABS(I2253)&gt;Dashboard!$G$6,ABS(J2253)&gt;Dashboard!$H$6),"⚠ Vượt","")</f>
        <v/>
      </c>
      <c r="M2253">
        <f>IF(AND(A2253=Dashboard!$D$6,OR(Dashboard!$C$6="*",F2253=Dashboard!$C$6),L2253&lt;&gt;""),ABS(I2253)+ROW()/1000000000,0)</f>
        <v/>
      </c>
    </row>
    <row r="2254">
      <c r="A2254">
        <f>Data_thang!A2254</f>
        <v/>
      </c>
      <c r="B2254">
        <f>Data_thang!B2254</f>
        <v/>
      </c>
      <c r="C2254">
        <f>Data_thang!D2254</f>
        <v/>
      </c>
      <c r="D2254">
        <f>Data_thang!E2254</f>
        <v/>
      </c>
      <c r="E2254">
        <f>Data_thang!F2254</f>
        <v/>
      </c>
      <c r="F2254">
        <f>Data_thang!G2254</f>
        <v/>
      </c>
      <c r="G2254" s="29">
        <f>Data_thang!J2254-Data_thang!K2254</f>
        <v/>
      </c>
      <c r="H2254" s="29">
        <f>Data_thang!N2254</f>
        <v/>
      </c>
      <c r="I2254" s="29">
        <f>H2254-G2254</f>
        <v/>
      </c>
      <c r="J2254" s="30">
        <f>IF(H2254=0,IF(I2254=0,0,1),I2254/ABS(H2254))</f>
        <v/>
      </c>
      <c r="K2254" s="29">
        <f>H2254-(Data_thang!O2254-Data_thang!K2254)</f>
        <v/>
      </c>
      <c r="L2254">
        <f>IF(AND(ABS(I2254)&gt;Dashboard!$G$6,ABS(J2254)&gt;Dashboard!$H$6),"⚠ Vượt","")</f>
        <v/>
      </c>
      <c r="M2254">
        <f>IF(AND(A2254=Dashboard!$D$6,OR(Dashboard!$C$6="*",F2254=Dashboard!$C$6),L2254&lt;&gt;""),ABS(I2254)+ROW()/1000000000,0)</f>
        <v/>
      </c>
    </row>
    <row r="2255">
      <c r="A2255">
        <f>Data_thang!A2255</f>
        <v/>
      </c>
      <c r="B2255">
        <f>Data_thang!B2255</f>
        <v/>
      </c>
      <c r="C2255">
        <f>Data_thang!D2255</f>
        <v/>
      </c>
      <c r="D2255">
        <f>Data_thang!E2255</f>
        <v/>
      </c>
      <c r="E2255">
        <f>Data_thang!F2255</f>
        <v/>
      </c>
      <c r="F2255">
        <f>Data_thang!G2255</f>
        <v/>
      </c>
      <c r="G2255" s="29">
        <f>Data_thang!J2255-Data_thang!K2255</f>
        <v/>
      </c>
      <c r="H2255" s="29">
        <f>Data_thang!N2255</f>
        <v/>
      </c>
      <c r="I2255" s="29">
        <f>H2255-G2255</f>
        <v/>
      </c>
      <c r="J2255" s="30">
        <f>IF(H2255=0,IF(I2255=0,0,1),I2255/ABS(H2255))</f>
        <v/>
      </c>
      <c r="K2255" s="29">
        <f>H2255-(Data_thang!O2255-Data_thang!K2255)</f>
        <v/>
      </c>
      <c r="L2255">
        <f>IF(AND(ABS(I2255)&gt;Dashboard!$G$6,ABS(J2255)&gt;Dashboard!$H$6),"⚠ Vượt","")</f>
        <v/>
      </c>
      <c r="M2255">
        <f>IF(AND(A2255=Dashboard!$D$6,OR(Dashboard!$C$6="*",F2255=Dashboard!$C$6),L2255&lt;&gt;""),ABS(I2255)+ROW()/1000000000,0)</f>
        <v/>
      </c>
    </row>
    <row r="2256">
      <c r="A2256">
        <f>Data_thang!A2256</f>
        <v/>
      </c>
      <c r="B2256">
        <f>Data_thang!B2256</f>
        <v/>
      </c>
      <c r="C2256">
        <f>Data_thang!D2256</f>
        <v/>
      </c>
      <c r="D2256">
        <f>Data_thang!E2256</f>
        <v/>
      </c>
      <c r="E2256">
        <f>Data_thang!F2256</f>
        <v/>
      </c>
      <c r="F2256">
        <f>Data_thang!G2256</f>
        <v/>
      </c>
      <c r="G2256" s="29">
        <f>Data_thang!J2256-Data_thang!K2256</f>
        <v/>
      </c>
      <c r="H2256" s="29">
        <f>Data_thang!N2256</f>
        <v/>
      </c>
      <c r="I2256" s="29">
        <f>H2256-G2256</f>
        <v/>
      </c>
      <c r="J2256" s="30">
        <f>IF(H2256=0,IF(I2256=0,0,1),I2256/ABS(H2256))</f>
        <v/>
      </c>
      <c r="K2256" s="29">
        <f>H2256-(Data_thang!O2256-Data_thang!K2256)</f>
        <v/>
      </c>
      <c r="L2256">
        <f>IF(AND(ABS(I2256)&gt;Dashboard!$G$6,ABS(J2256)&gt;Dashboard!$H$6),"⚠ Vượt","")</f>
        <v/>
      </c>
      <c r="M2256">
        <f>IF(AND(A2256=Dashboard!$D$6,OR(Dashboard!$C$6="*",F2256=Dashboard!$C$6),L2256&lt;&gt;""),ABS(I2256)+ROW()/1000000000,0)</f>
        <v/>
      </c>
    </row>
    <row r="2257">
      <c r="A2257">
        <f>Data_thang!A2257</f>
        <v/>
      </c>
      <c r="B2257">
        <f>Data_thang!B2257</f>
        <v/>
      </c>
      <c r="C2257">
        <f>Data_thang!D2257</f>
        <v/>
      </c>
      <c r="D2257">
        <f>Data_thang!E2257</f>
        <v/>
      </c>
      <c r="E2257">
        <f>Data_thang!F2257</f>
        <v/>
      </c>
      <c r="F2257">
        <f>Data_thang!G2257</f>
        <v/>
      </c>
      <c r="G2257" s="29">
        <f>Data_thang!J2257-Data_thang!K2257</f>
        <v/>
      </c>
      <c r="H2257" s="29">
        <f>Data_thang!N2257</f>
        <v/>
      </c>
      <c r="I2257" s="29">
        <f>H2257-G2257</f>
        <v/>
      </c>
      <c r="J2257" s="30">
        <f>IF(H2257=0,IF(I2257=0,0,1),I2257/ABS(H2257))</f>
        <v/>
      </c>
      <c r="K2257" s="29">
        <f>H2257-(Data_thang!O2257-Data_thang!K2257)</f>
        <v/>
      </c>
      <c r="L2257">
        <f>IF(AND(ABS(I2257)&gt;Dashboard!$G$6,ABS(J2257)&gt;Dashboard!$H$6),"⚠ Vượt","")</f>
        <v/>
      </c>
      <c r="M2257">
        <f>IF(AND(A2257=Dashboard!$D$6,OR(Dashboard!$C$6="*",F2257=Dashboard!$C$6),L2257&lt;&gt;""),ABS(I2257)+ROW()/1000000000,0)</f>
        <v/>
      </c>
    </row>
    <row r="2258">
      <c r="A2258">
        <f>Data_thang!A2258</f>
        <v/>
      </c>
      <c r="B2258">
        <f>Data_thang!B2258</f>
        <v/>
      </c>
      <c r="C2258">
        <f>Data_thang!D2258</f>
        <v/>
      </c>
      <c r="D2258">
        <f>Data_thang!E2258</f>
        <v/>
      </c>
      <c r="E2258">
        <f>Data_thang!F2258</f>
        <v/>
      </c>
      <c r="F2258">
        <f>Data_thang!G2258</f>
        <v/>
      </c>
      <c r="G2258" s="29">
        <f>Data_thang!J2258-Data_thang!K2258</f>
        <v/>
      </c>
      <c r="H2258" s="29">
        <f>Data_thang!N2258</f>
        <v/>
      </c>
      <c r="I2258" s="29">
        <f>H2258-G2258</f>
        <v/>
      </c>
      <c r="J2258" s="30">
        <f>IF(H2258=0,IF(I2258=0,0,1),I2258/ABS(H2258))</f>
        <v/>
      </c>
      <c r="K2258" s="29">
        <f>H2258-(Data_thang!O2258-Data_thang!K2258)</f>
        <v/>
      </c>
      <c r="L2258">
        <f>IF(AND(ABS(I2258)&gt;Dashboard!$G$6,ABS(J2258)&gt;Dashboard!$H$6),"⚠ Vượt","")</f>
        <v/>
      </c>
      <c r="M2258">
        <f>IF(AND(A2258=Dashboard!$D$6,OR(Dashboard!$C$6="*",F2258=Dashboard!$C$6),L2258&lt;&gt;""),ABS(I2258)+ROW()/1000000000,0)</f>
        <v/>
      </c>
    </row>
    <row r="2259">
      <c r="A2259">
        <f>Data_thang!A2259</f>
        <v/>
      </c>
      <c r="B2259">
        <f>Data_thang!B2259</f>
        <v/>
      </c>
      <c r="C2259">
        <f>Data_thang!D2259</f>
        <v/>
      </c>
      <c r="D2259">
        <f>Data_thang!E2259</f>
        <v/>
      </c>
      <c r="E2259">
        <f>Data_thang!F2259</f>
        <v/>
      </c>
      <c r="F2259">
        <f>Data_thang!G2259</f>
        <v/>
      </c>
      <c r="G2259" s="29">
        <f>Data_thang!J2259-Data_thang!K2259</f>
        <v/>
      </c>
      <c r="H2259" s="29">
        <f>Data_thang!N2259</f>
        <v/>
      </c>
      <c r="I2259" s="29">
        <f>H2259-G2259</f>
        <v/>
      </c>
      <c r="J2259" s="30">
        <f>IF(H2259=0,IF(I2259=0,0,1),I2259/ABS(H2259))</f>
        <v/>
      </c>
      <c r="K2259" s="29">
        <f>H2259-(Data_thang!O2259-Data_thang!K2259)</f>
        <v/>
      </c>
      <c r="L2259">
        <f>IF(AND(ABS(I2259)&gt;Dashboard!$G$6,ABS(J2259)&gt;Dashboard!$H$6),"⚠ Vượt","")</f>
        <v/>
      </c>
      <c r="M2259">
        <f>IF(AND(A2259=Dashboard!$D$6,OR(Dashboard!$C$6="*",F2259=Dashboard!$C$6),L2259&lt;&gt;""),ABS(I2259)+ROW()/1000000000,0)</f>
        <v/>
      </c>
    </row>
    <row r="2260">
      <c r="A2260">
        <f>Data_thang!A2260</f>
        <v/>
      </c>
      <c r="B2260">
        <f>Data_thang!B2260</f>
        <v/>
      </c>
      <c r="C2260">
        <f>Data_thang!D2260</f>
        <v/>
      </c>
      <c r="D2260">
        <f>Data_thang!E2260</f>
        <v/>
      </c>
      <c r="E2260">
        <f>Data_thang!F2260</f>
        <v/>
      </c>
      <c r="F2260">
        <f>Data_thang!G2260</f>
        <v/>
      </c>
      <c r="G2260" s="29">
        <f>Data_thang!J2260-Data_thang!K2260</f>
        <v/>
      </c>
      <c r="H2260" s="29">
        <f>Data_thang!N2260</f>
        <v/>
      </c>
      <c r="I2260" s="29">
        <f>H2260-G2260</f>
        <v/>
      </c>
      <c r="J2260" s="30">
        <f>IF(H2260=0,IF(I2260=0,0,1),I2260/ABS(H2260))</f>
        <v/>
      </c>
      <c r="K2260" s="29">
        <f>H2260-(Data_thang!O2260-Data_thang!K2260)</f>
        <v/>
      </c>
      <c r="L2260">
        <f>IF(AND(ABS(I2260)&gt;Dashboard!$G$6,ABS(J2260)&gt;Dashboard!$H$6),"⚠ Vượt","")</f>
        <v/>
      </c>
      <c r="M2260">
        <f>IF(AND(A2260=Dashboard!$D$6,OR(Dashboard!$C$6="*",F2260=Dashboard!$C$6),L2260&lt;&gt;""),ABS(I2260)+ROW()/1000000000,0)</f>
        <v/>
      </c>
    </row>
    <row r="2261">
      <c r="A2261">
        <f>Data_thang!A2261</f>
        <v/>
      </c>
      <c r="B2261">
        <f>Data_thang!B2261</f>
        <v/>
      </c>
      <c r="C2261">
        <f>Data_thang!D2261</f>
        <v/>
      </c>
      <c r="D2261">
        <f>Data_thang!E2261</f>
        <v/>
      </c>
      <c r="E2261">
        <f>Data_thang!F2261</f>
        <v/>
      </c>
      <c r="F2261">
        <f>Data_thang!G2261</f>
        <v/>
      </c>
      <c r="G2261" s="29">
        <f>Data_thang!J2261-Data_thang!K2261</f>
        <v/>
      </c>
      <c r="H2261" s="29">
        <f>Data_thang!N2261</f>
        <v/>
      </c>
      <c r="I2261" s="29">
        <f>H2261-G2261</f>
        <v/>
      </c>
      <c r="J2261" s="30">
        <f>IF(H2261=0,IF(I2261=0,0,1),I2261/ABS(H2261))</f>
        <v/>
      </c>
      <c r="K2261" s="29">
        <f>H2261-(Data_thang!O2261-Data_thang!K2261)</f>
        <v/>
      </c>
      <c r="L2261">
        <f>IF(AND(ABS(I2261)&gt;Dashboard!$G$6,ABS(J2261)&gt;Dashboard!$H$6),"⚠ Vượt","")</f>
        <v/>
      </c>
      <c r="M2261">
        <f>IF(AND(A2261=Dashboard!$D$6,OR(Dashboard!$C$6="*",F2261=Dashboard!$C$6),L2261&lt;&gt;""),ABS(I2261)+ROW()/1000000000,0)</f>
        <v/>
      </c>
    </row>
    <row r="2262">
      <c r="A2262">
        <f>Data_thang!A2262</f>
        <v/>
      </c>
      <c r="B2262">
        <f>Data_thang!B2262</f>
        <v/>
      </c>
      <c r="C2262">
        <f>Data_thang!D2262</f>
        <v/>
      </c>
      <c r="D2262">
        <f>Data_thang!E2262</f>
        <v/>
      </c>
      <c r="E2262">
        <f>Data_thang!F2262</f>
        <v/>
      </c>
      <c r="F2262">
        <f>Data_thang!G2262</f>
        <v/>
      </c>
      <c r="G2262" s="29">
        <f>Data_thang!J2262-Data_thang!K2262</f>
        <v/>
      </c>
      <c r="H2262" s="29">
        <f>Data_thang!N2262</f>
        <v/>
      </c>
      <c r="I2262" s="29">
        <f>H2262-G2262</f>
        <v/>
      </c>
      <c r="J2262" s="30">
        <f>IF(H2262=0,IF(I2262=0,0,1),I2262/ABS(H2262))</f>
        <v/>
      </c>
      <c r="K2262" s="29">
        <f>H2262-(Data_thang!O2262-Data_thang!K2262)</f>
        <v/>
      </c>
      <c r="L2262">
        <f>IF(AND(ABS(I2262)&gt;Dashboard!$G$6,ABS(J2262)&gt;Dashboard!$H$6),"⚠ Vượt","")</f>
        <v/>
      </c>
      <c r="M2262">
        <f>IF(AND(A2262=Dashboard!$D$6,OR(Dashboard!$C$6="*",F2262=Dashboard!$C$6),L2262&lt;&gt;""),ABS(I2262)+ROW()/1000000000,0)</f>
        <v/>
      </c>
    </row>
    <row r="2263">
      <c r="A2263">
        <f>Data_thang!A2263</f>
        <v/>
      </c>
      <c r="B2263">
        <f>Data_thang!B2263</f>
        <v/>
      </c>
      <c r="C2263">
        <f>Data_thang!D2263</f>
        <v/>
      </c>
      <c r="D2263">
        <f>Data_thang!E2263</f>
        <v/>
      </c>
      <c r="E2263">
        <f>Data_thang!F2263</f>
        <v/>
      </c>
      <c r="F2263">
        <f>Data_thang!G2263</f>
        <v/>
      </c>
      <c r="G2263" s="29">
        <f>Data_thang!J2263-Data_thang!K2263</f>
        <v/>
      </c>
      <c r="H2263" s="29">
        <f>Data_thang!N2263</f>
        <v/>
      </c>
      <c r="I2263" s="29">
        <f>H2263-G2263</f>
        <v/>
      </c>
      <c r="J2263" s="30">
        <f>IF(H2263=0,IF(I2263=0,0,1),I2263/ABS(H2263))</f>
        <v/>
      </c>
      <c r="K2263" s="29">
        <f>H2263-(Data_thang!O2263-Data_thang!K2263)</f>
        <v/>
      </c>
      <c r="L2263">
        <f>IF(AND(ABS(I2263)&gt;Dashboard!$G$6,ABS(J2263)&gt;Dashboard!$H$6),"⚠ Vượt","")</f>
        <v/>
      </c>
      <c r="M2263">
        <f>IF(AND(A2263=Dashboard!$D$6,OR(Dashboard!$C$6="*",F2263=Dashboard!$C$6),L2263&lt;&gt;""),ABS(I2263)+ROW()/1000000000,0)</f>
        <v/>
      </c>
    </row>
    <row r="2264">
      <c r="A2264">
        <f>Data_thang!A2264</f>
        <v/>
      </c>
      <c r="B2264">
        <f>Data_thang!B2264</f>
        <v/>
      </c>
      <c r="C2264">
        <f>Data_thang!D2264</f>
        <v/>
      </c>
      <c r="D2264">
        <f>Data_thang!E2264</f>
        <v/>
      </c>
      <c r="E2264">
        <f>Data_thang!F2264</f>
        <v/>
      </c>
      <c r="F2264">
        <f>Data_thang!G2264</f>
        <v/>
      </c>
      <c r="G2264" s="29">
        <f>Data_thang!J2264-Data_thang!K2264</f>
        <v/>
      </c>
      <c r="H2264" s="29">
        <f>Data_thang!N2264</f>
        <v/>
      </c>
      <c r="I2264" s="29">
        <f>H2264-G2264</f>
        <v/>
      </c>
      <c r="J2264" s="30">
        <f>IF(H2264=0,IF(I2264=0,0,1),I2264/ABS(H2264))</f>
        <v/>
      </c>
      <c r="K2264" s="29">
        <f>H2264-(Data_thang!O2264-Data_thang!K2264)</f>
        <v/>
      </c>
      <c r="L2264">
        <f>IF(AND(ABS(I2264)&gt;Dashboard!$G$6,ABS(J2264)&gt;Dashboard!$H$6),"⚠ Vượt","")</f>
        <v/>
      </c>
      <c r="M2264">
        <f>IF(AND(A2264=Dashboard!$D$6,OR(Dashboard!$C$6="*",F2264=Dashboard!$C$6),L2264&lt;&gt;""),ABS(I2264)+ROW()/1000000000,0)</f>
        <v/>
      </c>
    </row>
    <row r="2265">
      <c r="A2265">
        <f>Data_thang!A2265</f>
        <v/>
      </c>
      <c r="B2265">
        <f>Data_thang!B2265</f>
        <v/>
      </c>
      <c r="C2265">
        <f>Data_thang!D2265</f>
        <v/>
      </c>
      <c r="D2265">
        <f>Data_thang!E2265</f>
        <v/>
      </c>
      <c r="E2265">
        <f>Data_thang!F2265</f>
        <v/>
      </c>
      <c r="F2265">
        <f>Data_thang!G2265</f>
        <v/>
      </c>
      <c r="G2265" s="29">
        <f>Data_thang!J2265-Data_thang!K2265</f>
        <v/>
      </c>
      <c r="H2265" s="29">
        <f>Data_thang!N2265</f>
        <v/>
      </c>
      <c r="I2265" s="29">
        <f>H2265-G2265</f>
        <v/>
      </c>
      <c r="J2265" s="30">
        <f>IF(H2265=0,IF(I2265=0,0,1),I2265/ABS(H2265))</f>
        <v/>
      </c>
      <c r="K2265" s="29">
        <f>H2265-(Data_thang!O2265-Data_thang!K2265)</f>
        <v/>
      </c>
      <c r="L2265">
        <f>IF(AND(ABS(I2265)&gt;Dashboard!$G$6,ABS(J2265)&gt;Dashboard!$H$6),"⚠ Vượt","")</f>
        <v/>
      </c>
      <c r="M2265">
        <f>IF(AND(A2265=Dashboard!$D$6,OR(Dashboard!$C$6="*",F2265=Dashboard!$C$6),L2265&lt;&gt;""),ABS(I2265)+ROW()/1000000000,0)</f>
        <v/>
      </c>
    </row>
    <row r="2266">
      <c r="A2266">
        <f>Data_thang!A2266</f>
        <v/>
      </c>
      <c r="B2266">
        <f>Data_thang!B2266</f>
        <v/>
      </c>
      <c r="C2266">
        <f>Data_thang!D2266</f>
        <v/>
      </c>
      <c r="D2266">
        <f>Data_thang!E2266</f>
        <v/>
      </c>
      <c r="E2266">
        <f>Data_thang!F2266</f>
        <v/>
      </c>
      <c r="F2266">
        <f>Data_thang!G2266</f>
        <v/>
      </c>
      <c r="G2266" s="29">
        <f>Data_thang!J2266-Data_thang!K2266</f>
        <v/>
      </c>
      <c r="H2266" s="29">
        <f>Data_thang!N2266</f>
        <v/>
      </c>
      <c r="I2266" s="29">
        <f>H2266-G2266</f>
        <v/>
      </c>
      <c r="J2266" s="30">
        <f>IF(H2266=0,IF(I2266=0,0,1),I2266/ABS(H2266))</f>
        <v/>
      </c>
      <c r="K2266" s="29">
        <f>H2266-(Data_thang!O2266-Data_thang!K2266)</f>
        <v/>
      </c>
      <c r="L2266">
        <f>IF(AND(ABS(I2266)&gt;Dashboard!$G$6,ABS(J2266)&gt;Dashboard!$H$6),"⚠ Vượt","")</f>
        <v/>
      </c>
      <c r="M2266">
        <f>IF(AND(A2266=Dashboard!$D$6,OR(Dashboard!$C$6="*",F2266=Dashboard!$C$6),L2266&lt;&gt;""),ABS(I2266)+ROW()/1000000000,0)</f>
        <v/>
      </c>
    </row>
    <row r="2267">
      <c r="A2267">
        <f>Data_thang!A2267</f>
        <v/>
      </c>
      <c r="B2267">
        <f>Data_thang!B2267</f>
        <v/>
      </c>
      <c r="C2267">
        <f>Data_thang!D2267</f>
        <v/>
      </c>
      <c r="D2267">
        <f>Data_thang!E2267</f>
        <v/>
      </c>
      <c r="E2267">
        <f>Data_thang!F2267</f>
        <v/>
      </c>
      <c r="F2267">
        <f>Data_thang!G2267</f>
        <v/>
      </c>
      <c r="G2267" s="29">
        <f>Data_thang!J2267-Data_thang!K2267</f>
        <v/>
      </c>
      <c r="H2267" s="29">
        <f>Data_thang!N2267</f>
        <v/>
      </c>
      <c r="I2267" s="29">
        <f>H2267-G2267</f>
        <v/>
      </c>
      <c r="J2267" s="30">
        <f>IF(H2267=0,IF(I2267=0,0,1),I2267/ABS(H2267))</f>
        <v/>
      </c>
      <c r="K2267" s="29">
        <f>H2267-(Data_thang!O2267-Data_thang!K2267)</f>
        <v/>
      </c>
      <c r="L2267">
        <f>IF(AND(ABS(I2267)&gt;Dashboard!$G$6,ABS(J2267)&gt;Dashboard!$H$6),"⚠ Vượt","")</f>
        <v/>
      </c>
      <c r="M2267">
        <f>IF(AND(A2267=Dashboard!$D$6,OR(Dashboard!$C$6="*",F2267=Dashboard!$C$6),L2267&lt;&gt;""),ABS(I2267)+ROW()/1000000000,0)</f>
        <v/>
      </c>
    </row>
    <row r="2268">
      <c r="A2268">
        <f>Data_thang!A2268</f>
        <v/>
      </c>
      <c r="B2268">
        <f>Data_thang!B2268</f>
        <v/>
      </c>
      <c r="C2268">
        <f>Data_thang!D2268</f>
        <v/>
      </c>
      <c r="D2268">
        <f>Data_thang!E2268</f>
        <v/>
      </c>
      <c r="E2268">
        <f>Data_thang!F2268</f>
        <v/>
      </c>
      <c r="F2268">
        <f>Data_thang!G2268</f>
        <v/>
      </c>
      <c r="G2268" s="29">
        <f>Data_thang!J2268-Data_thang!K2268</f>
        <v/>
      </c>
      <c r="H2268" s="29">
        <f>Data_thang!N2268</f>
        <v/>
      </c>
      <c r="I2268" s="29">
        <f>H2268-G2268</f>
        <v/>
      </c>
      <c r="J2268" s="30">
        <f>IF(H2268=0,IF(I2268=0,0,1),I2268/ABS(H2268))</f>
        <v/>
      </c>
      <c r="K2268" s="29">
        <f>H2268-(Data_thang!O2268-Data_thang!K2268)</f>
        <v/>
      </c>
      <c r="L2268">
        <f>IF(AND(ABS(I2268)&gt;Dashboard!$G$6,ABS(J2268)&gt;Dashboard!$H$6),"⚠ Vượt","")</f>
        <v/>
      </c>
      <c r="M2268">
        <f>IF(AND(A2268=Dashboard!$D$6,OR(Dashboard!$C$6="*",F2268=Dashboard!$C$6),L2268&lt;&gt;""),ABS(I2268)+ROW()/1000000000,0)</f>
        <v/>
      </c>
    </row>
    <row r="2269">
      <c r="A2269">
        <f>Data_thang!A2269</f>
        <v/>
      </c>
      <c r="B2269">
        <f>Data_thang!B2269</f>
        <v/>
      </c>
      <c r="C2269">
        <f>Data_thang!D2269</f>
        <v/>
      </c>
      <c r="D2269">
        <f>Data_thang!E2269</f>
        <v/>
      </c>
      <c r="E2269">
        <f>Data_thang!F2269</f>
        <v/>
      </c>
      <c r="F2269">
        <f>Data_thang!G2269</f>
        <v/>
      </c>
      <c r="G2269" s="29">
        <f>Data_thang!J2269-Data_thang!K2269</f>
        <v/>
      </c>
      <c r="H2269" s="29">
        <f>Data_thang!N2269</f>
        <v/>
      </c>
      <c r="I2269" s="29">
        <f>H2269-G2269</f>
        <v/>
      </c>
      <c r="J2269" s="30">
        <f>IF(H2269=0,IF(I2269=0,0,1),I2269/ABS(H2269))</f>
        <v/>
      </c>
      <c r="K2269" s="29">
        <f>H2269-(Data_thang!O2269-Data_thang!K2269)</f>
        <v/>
      </c>
      <c r="L2269">
        <f>IF(AND(ABS(I2269)&gt;Dashboard!$G$6,ABS(J2269)&gt;Dashboard!$H$6),"⚠ Vượt","")</f>
        <v/>
      </c>
      <c r="M2269">
        <f>IF(AND(A2269=Dashboard!$D$6,OR(Dashboard!$C$6="*",F2269=Dashboard!$C$6),L2269&lt;&gt;""),ABS(I2269)+ROW()/1000000000,0)</f>
        <v/>
      </c>
    </row>
    <row r="2270">
      <c r="A2270">
        <f>Data_thang!A2270</f>
        <v/>
      </c>
      <c r="B2270">
        <f>Data_thang!B2270</f>
        <v/>
      </c>
      <c r="C2270">
        <f>Data_thang!D2270</f>
        <v/>
      </c>
      <c r="D2270">
        <f>Data_thang!E2270</f>
        <v/>
      </c>
      <c r="E2270">
        <f>Data_thang!F2270</f>
        <v/>
      </c>
      <c r="F2270">
        <f>Data_thang!G2270</f>
        <v/>
      </c>
      <c r="G2270" s="29">
        <f>Data_thang!J2270-Data_thang!K2270</f>
        <v/>
      </c>
      <c r="H2270" s="29">
        <f>Data_thang!N2270</f>
        <v/>
      </c>
      <c r="I2270" s="29">
        <f>H2270-G2270</f>
        <v/>
      </c>
      <c r="J2270" s="30">
        <f>IF(H2270=0,IF(I2270=0,0,1),I2270/ABS(H2270))</f>
        <v/>
      </c>
      <c r="K2270" s="29">
        <f>H2270-(Data_thang!O2270-Data_thang!K2270)</f>
        <v/>
      </c>
      <c r="L2270">
        <f>IF(AND(ABS(I2270)&gt;Dashboard!$G$6,ABS(J2270)&gt;Dashboard!$H$6),"⚠ Vượt","")</f>
        <v/>
      </c>
      <c r="M2270">
        <f>IF(AND(A2270=Dashboard!$D$6,OR(Dashboard!$C$6="*",F2270=Dashboard!$C$6),L2270&lt;&gt;""),ABS(I2270)+ROW()/1000000000,0)</f>
        <v/>
      </c>
    </row>
    <row r="2271">
      <c r="A2271">
        <f>Data_thang!A2271</f>
        <v/>
      </c>
      <c r="B2271">
        <f>Data_thang!B2271</f>
        <v/>
      </c>
      <c r="C2271">
        <f>Data_thang!D2271</f>
        <v/>
      </c>
      <c r="D2271">
        <f>Data_thang!E2271</f>
        <v/>
      </c>
      <c r="E2271">
        <f>Data_thang!F2271</f>
        <v/>
      </c>
      <c r="F2271">
        <f>Data_thang!G2271</f>
        <v/>
      </c>
      <c r="G2271" s="29">
        <f>Data_thang!J2271-Data_thang!K2271</f>
        <v/>
      </c>
      <c r="H2271" s="29">
        <f>Data_thang!N2271</f>
        <v/>
      </c>
      <c r="I2271" s="29">
        <f>H2271-G2271</f>
        <v/>
      </c>
      <c r="J2271" s="30">
        <f>IF(H2271=0,IF(I2271=0,0,1),I2271/ABS(H2271))</f>
        <v/>
      </c>
      <c r="K2271" s="29">
        <f>H2271-(Data_thang!O2271-Data_thang!K2271)</f>
        <v/>
      </c>
      <c r="L2271">
        <f>IF(AND(ABS(I2271)&gt;Dashboard!$G$6,ABS(J2271)&gt;Dashboard!$H$6),"⚠ Vượt","")</f>
        <v/>
      </c>
      <c r="M2271">
        <f>IF(AND(A2271=Dashboard!$D$6,OR(Dashboard!$C$6="*",F2271=Dashboard!$C$6),L2271&lt;&gt;""),ABS(I2271)+ROW()/1000000000,0)</f>
        <v/>
      </c>
    </row>
    <row r="2272">
      <c r="A2272">
        <f>Data_thang!A2272</f>
        <v/>
      </c>
      <c r="B2272">
        <f>Data_thang!B2272</f>
        <v/>
      </c>
      <c r="C2272">
        <f>Data_thang!D2272</f>
        <v/>
      </c>
      <c r="D2272">
        <f>Data_thang!E2272</f>
        <v/>
      </c>
      <c r="E2272">
        <f>Data_thang!F2272</f>
        <v/>
      </c>
      <c r="F2272">
        <f>Data_thang!G2272</f>
        <v/>
      </c>
      <c r="G2272" s="29">
        <f>Data_thang!J2272-Data_thang!K2272</f>
        <v/>
      </c>
      <c r="H2272" s="29">
        <f>Data_thang!N2272</f>
        <v/>
      </c>
      <c r="I2272" s="29">
        <f>H2272-G2272</f>
        <v/>
      </c>
      <c r="J2272" s="30">
        <f>IF(H2272=0,IF(I2272=0,0,1),I2272/ABS(H2272))</f>
        <v/>
      </c>
      <c r="K2272" s="29">
        <f>H2272-(Data_thang!O2272-Data_thang!K2272)</f>
        <v/>
      </c>
      <c r="L2272">
        <f>IF(AND(ABS(I2272)&gt;Dashboard!$G$6,ABS(J2272)&gt;Dashboard!$H$6),"⚠ Vượt","")</f>
        <v/>
      </c>
      <c r="M2272">
        <f>IF(AND(A2272=Dashboard!$D$6,OR(Dashboard!$C$6="*",F2272=Dashboard!$C$6),L2272&lt;&gt;""),ABS(I2272)+ROW()/1000000000,0)</f>
        <v/>
      </c>
    </row>
    <row r="2273">
      <c r="A2273">
        <f>Data_thang!A2273</f>
        <v/>
      </c>
      <c r="B2273">
        <f>Data_thang!B2273</f>
        <v/>
      </c>
      <c r="C2273">
        <f>Data_thang!D2273</f>
        <v/>
      </c>
      <c r="D2273">
        <f>Data_thang!E2273</f>
        <v/>
      </c>
      <c r="E2273">
        <f>Data_thang!F2273</f>
        <v/>
      </c>
      <c r="F2273">
        <f>Data_thang!G2273</f>
        <v/>
      </c>
      <c r="G2273" s="29">
        <f>Data_thang!J2273-Data_thang!K2273</f>
        <v/>
      </c>
      <c r="H2273" s="29">
        <f>Data_thang!N2273</f>
        <v/>
      </c>
      <c r="I2273" s="29">
        <f>H2273-G2273</f>
        <v/>
      </c>
      <c r="J2273" s="30">
        <f>IF(H2273=0,IF(I2273=0,0,1),I2273/ABS(H2273))</f>
        <v/>
      </c>
      <c r="K2273" s="29">
        <f>H2273-(Data_thang!O2273-Data_thang!K2273)</f>
        <v/>
      </c>
      <c r="L2273">
        <f>IF(AND(ABS(I2273)&gt;Dashboard!$G$6,ABS(J2273)&gt;Dashboard!$H$6),"⚠ Vượt","")</f>
        <v/>
      </c>
      <c r="M2273">
        <f>IF(AND(A2273=Dashboard!$D$6,OR(Dashboard!$C$6="*",F2273=Dashboard!$C$6),L2273&lt;&gt;""),ABS(I2273)+ROW()/1000000000,0)</f>
        <v/>
      </c>
    </row>
    <row r="2274">
      <c r="A2274">
        <f>Data_thang!A2274</f>
        <v/>
      </c>
      <c r="B2274">
        <f>Data_thang!B2274</f>
        <v/>
      </c>
      <c r="C2274">
        <f>Data_thang!D2274</f>
        <v/>
      </c>
      <c r="D2274">
        <f>Data_thang!E2274</f>
        <v/>
      </c>
      <c r="E2274">
        <f>Data_thang!F2274</f>
        <v/>
      </c>
      <c r="F2274">
        <f>Data_thang!G2274</f>
        <v/>
      </c>
      <c r="G2274" s="29">
        <f>Data_thang!J2274-Data_thang!K2274</f>
        <v/>
      </c>
      <c r="H2274" s="29">
        <f>Data_thang!N2274</f>
        <v/>
      </c>
      <c r="I2274" s="29">
        <f>H2274-G2274</f>
        <v/>
      </c>
      <c r="J2274" s="30">
        <f>IF(H2274=0,IF(I2274=0,0,1),I2274/ABS(H2274))</f>
        <v/>
      </c>
      <c r="K2274" s="29">
        <f>H2274-(Data_thang!O2274-Data_thang!K2274)</f>
        <v/>
      </c>
      <c r="L2274">
        <f>IF(AND(ABS(I2274)&gt;Dashboard!$G$6,ABS(J2274)&gt;Dashboard!$H$6),"⚠ Vượt","")</f>
        <v/>
      </c>
      <c r="M2274">
        <f>IF(AND(A2274=Dashboard!$D$6,OR(Dashboard!$C$6="*",F2274=Dashboard!$C$6),L2274&lt;&gt;""),ABS(I2274)+ROW()/1000000000,0)</f>
        <v/>
      </c>
    </row>
    <row r="2275">
      <c r="A2275">
        <f>Data_thang!A2275</f>
        <v/>
      </c>
      <c r="B2275">
        <f>Data_thang!B2275</f>
        <v/>
      </c>
      <c r="C2275">
        <f>Data_thang!D2275</f>
        <v/>
      </c>
      <c r="D2275">
        <f>Data_thang!E2275</f>
        <v/>
      </c>
      <c r="E2275">
        <f>Data_thang!F2275</f>
        <v/>
      </c>
      <c r="F2275">
        <f>Data_thang!G2275</f>
        <v/>
      </c>
      <c r="G2275" s="29">
        <f>Data_thang!J2275-Data_thang!K2275</f>
        <v/>
      </c>
      <c r="H2275" s="29">
        <f>Data_thang!N2275</f>
        <v/>
      </c>
      <c r="I2275" s="29">
        <f>H2275-G2275</f>
        <v/>
      </c>
      <c r="J2275" s="30">
        <f>IF(H2275=0,IF(I2275=0,0,1),I2275/ABS(H2275))</f>
        <v/>
      </c>
      <c r="K2275" s="29">
        <f>H2275-(Data_thang!O2275-Data_thang!K2275)</f>
        <v/>
      </c>
      <c r="L2275">
        <f>IF(AND(ABS(I2275)&gt;Dashboard!$G$6,ABS(J2275)&gt;Dashboard!$H$6),"⚠ Vượt","")</f>
        <v/>
      </c>
      <c r="M2275">
        <f>IF(AND(A2275=Dashboard!$D$6,OR(Dashboard!$C$6="*",F2275=Dashboard!$C$6),L2275&lt;&gt;""),ABS(I2275)+ROW()/1000000000,0)</f>
        <v/>
      </c>
    </row>
    <row r="2276">
      <c r="A2276">
        <f>Data_thang!A2276</f>
        <v/>
      </c>
      <c r="B2276">
        <f>Data_thang!B2276</f>
        <v/>
      </c>
      <c r="C2276">
        <f>Data_thang!D2276</f>
        <v/>
      </c>
      <c r="D2276">
        <f>Data_thang!E2276</f>
        <v/>
      </c>
      <c r="E2276">
        <f>Data_thang!F2276</f>
        <v/>
      </c>
      <c r="F2276">
        <f>Data_thang!G2276</f>
        <v/>
      </c>
      <c r="G2276" s="29">
        <f>Data_thang!J2276-Data_thang!K2276</f>
        <v/>
      </c>
      <c r="H2276" s="29">
        <f>Data_thang!N2276</f>
        <v/>
      </c>
      <c r="I2276" s="29">
        <f>H2276-G2276</f>
        <v/>
      </c>
      <c r="J2276" s="30">
        <f>IF(H2276=0,IF(I2276=0,0,1),I2276/ABS(H2276))</f>
        <v/>
      </c>
      <c r="K2276" s="29">
        <f>H2276-(Data_thang!O2276-Data_thang!K2276)</f>
        <v/>
      </c>
      <c r="L2276">
        <f>IF(AND(ABS(I2276)&gt;Dashboard!$G$6,ABS(J2276)&gt;Dashboard!$H$6),"⚠ Vượt","")</f>
        <v/>
      </c>
      <c r="M2276">
        <f>IF(AND(A2276=Dashboard!$D$6,OR(Dashboard!$C$6="*",F2276=Dashboard!$C$6),L2276&lt;&gt;""),ABS(I2276)+ROW()/1000000000,0)</f>
        <v/>
      </c>
    </row>
    <row r="2277">
      <c r="A2277">
        <f>Data_thang!A2277</f>
        <v/>
      </c>
      <c r="B2277">
        <f>Data_thang!B2277</f>
        <v/>
      </c>
      <c r="C2277">
        <f>Data_thang!D2277</f>
        <v/>
      </c>
      <c r="D2277">
        <f>Data_thang!E2277</f>
        <v/>
      </c>
      <c r="E2277">
        <f>Data_thang!F2277</f>
        <v/>
      </c>
      <c r="F2277">
        <f>Data_thang!G2277</f>
        <v/>
      </c>
      <c r="G2277" s="29">
        <f>Data_thang!J2277-Data_thang!K2277</f>
        <v/>
      </c>
      <c r="H2277" s="29">
        <f>Data_thang!N2277</f>
        <v/>
      </c>
      <c r="I2277" s="29">
        <f>H2277-G2277</f>
        <v/>
      </c>
      <c r="J2277" s="30">
        <f>IF(H2277=0,IF(I2277=0,0,1),I2277/ABS(H2277))</f>
        <v/>
      </c>
      <c r="K2277" s="29">
        <f>H2277-(Data_thang!O2277-Data_thang!K2277)</f>
        <v/>
      </c>
      <c r="L2277">
        <f>IF(AND(ABS(I2277)&gt;Dashboard!$G$6,ABS(J2277)&gt;Dashboard!$H$6),"⚠ Vượt","")</f>
        <v/>
      </c>
      <c r="M2277">
        <f>IF(AND(A2277=Dashboard!$D$6,OR(Dashboard!$C$6="*",F2277=Dashboard!$C$6),L2277&lt;&gt;""),ABS(I2277)+ROW()/1000000000,0)</f>
        <v/>
      </c>
    </row>
    <row r="2278">
      <c r="A2278">
        <f>Data_thang!A2278</f>
        <v/>
      </c>
      <c r="B2278">
        <f>Data_thang!B2278</f>
        <v/>
      </c>
      <c r="C2278">
        <f>Data_thang!D2278</f>
        <v/>
      </c>
      <c r="D2278">
        <f>Data_thang!E2278</f>
        <v/>
      </c>
      <c r="E2278">
        <f>Data_thang!F2278</f>
        <v/>
      </c>
      <c r="F2278">
        <f>Data_thang!G2278</f>
        <v/>
      </c>
      <c r="G2278" s="29">
        <f>Data_thang!J2278-Data_thang!K2278</f>
        <v/>
      </c>
      <c r="H2278" s="29">
        <f>Data_thang!N2278</f>
        <v/>
      </c>
      <c r="I2278" s="29">
        <f>H2278-G2278</f>
        <v/>
      </c>
      <c r="J2278" s="30">
        <f>IF(H2278=0,IF(I2278=0,0,1),I2278/ABS(H2278))</f>
        <v/>
      </c>
      <c r="K2278" s="29">
        <f>H2278-(Data_thang!O2278-Data_thang!K2278)</f>
        <v/>
      </c>
      <c r="L2278">
        <f>IF(AND(ABS(I2278)&gt;Dashboard!$G$6,ABS(J2278)&gt;Dashboard!$H$6),"⚠ Vượt","")</f>
        <v/>
      </c>
      <c r="M2278">
        <f>IF(AND(A2278=Dashboard!$D$6,OR(Dashboard!$C$6="*",F2278=Dashboard!$C$6),L2278&lt;&gt;""),ABS(I2278)+ROW()/1000000000,0)</f>
        <v/>
      </c>
    </row>
    <row r="2279">
      <c r="A2279">
        <f>Data_thang!A2279</f>
        <v/>
      </c>
      <c r="B2279">
        <f>Data_thang!B2279</f>
        <v/>
      </c>
      <c r="C2279">
        <f>Data_thang!D2279</f>
        <v/>
      </c>
      <c r="D2279">
        <f>Data_thang!E2279</f>
        <v/>
      </c>
      <c r="E2279">
        <f>Data_thang!F2279</f>
        <v/>
      </c>
      <c r="F2279">
        <f>Data_thang!G2279</f>
        <v/>
      </c>
      <c r="G2279" s="29">
        <f>Data_thang!J2279-Data_thang!K2279</f>
        <v/>
      </c>
      <c r="H2279" s="29">
        <f>Data_thang!N2279</f>
        <v/>
      </c>
      <c r="I2279" s="29">
        <f>H2279-G2279</f>
        <v/>
      </c>
      <c r="J2279" s="30">
        <f>IF(H2279=0,IF(I2279=0,0,1),I2279/ABS(H2279))</f>
        <v/>
      </c>
      <c r="K2279" s="29">
        <f>H2279-(Data_thang!O2279-Data_thang!K2279)</f>
        <v/>
      </c>
      <c r="L2279">
        <f>IF(AND(ABS(I2279)&gt;Dashboard!$G$6,ABS(J2279)&gt;Dashboard!$H$6),"⚠ Vượt","")</f>
        <v/>
      </c>
      <c r="M2279">
        <f>IF(AND(A2279=Dashboard!$D$6,OR(Dashboard!$C$6="*",F2279=Dashboard!$C$6),L2279&lt;&gt;""),ABS(I2279)+ROW()/1000000000,0)</f>
        <v/>
      </c>
    </row>
    <row r="2280">
      <c r="A2280">
        <f>Data_thang!A2280</f>
        <v/>
      </c>
      <c r="B2280">
        <f>Data_thang!B2280</f>
        <v/>
      </c>
      <c r="C2280">
        <f>Data_thang!D2280</f>
        <v/>
      </c>
      <c r="D2280">
        <f>Data_thang!E2280</f>
        <v/>
      </c>
      <c r="E2280">
        <f>Data_thang!F2280</f>
        <v/>
      </c>
      <c r="F2280">
        <f>Data_thang!G2280</f>
        <v/>
      </c>
      <c r="G2280" s="29">
        <f>Data_thang!J2280-Data_thang!K2280</f>
        <v/>
      </c>
      <c r="H2280" s="29">
        <f>Data_thang!N2280</f>
        <v/>
      </c>
      <c r="I2280" s="29">
        <f>H2280-G2280</f>
        <v/>
      </c>
      <c r="J2280" s="30">
        <f>IF(H2280=0,IF(I2280=0,0,1),I2280/ABS(H2280))</f>
        <v/>
      </c>
      <c r="K2280" s="29">
        <f>H2280-(Data_thang!O2280-Data_thang!K2280)</f>
        <v/>
      </c>
      <c r="L2280">
        <f>IF(AND(ABS(I2280)&gt;Dashboard!$G$6,ABS(J2280)&gt;Dashboard!$H$6),"⚠ Vượt","")</f>
        <v/>
      </c>
      <c r="M2280">
        <f>IF(AND(A2280=Dashboard!$D$6,OR(Dashboard!$C$6="*",F2280=Dashboard!$C$6),L2280&lt;&gt;""),ABS(I2280)+ROW()/1000000000,0)</f>
        <v/>
      </c>
    </row>
    <row r="2281">
      <c r="A2281">
        <f>Data_thang!A2281</f>
        <v/>
      </c>
      <c r="B2281">
        <f>Data_thang!B2281</f>
        <v/>
      </c>
      <c r="C2281">
        <f>Data_thang!D2281</f>
        <v/>
      </c>
      <c r="D2281">
        <f>Data_thang!E2281</f>
        <v/>
      </c>
      <c r="E2281">
        <f>Data_thang!F2281</f>
        <v/>
      </c>
      <c r="F2281">
        <f>Data_thang!G2281</f>
        <v/>
      </c>
      <c r="G2281" s="29">
        <f>Data_thang!J2281-Data_thang!K2281</f>
        <v/>
      </c>
      <c r="H2281" s="29">
        <f>Data_thang!N2281</f>
        <v/>
      </c>
      <c r="I2281" s="29">
        <f>H2281-G2281</f>
        <v/>
      </c>
      <c r="J2281" s="30">
        <f>IF(H2281=0,IF(I2281=0,0,1),I2281/ABS(H2281))</f>
        <v/>
      </c>
      <c r="K2281" s="29">
        <f>H2281-(Data_thang!O2281-Data_thang!K2281)</f>
        <v/>
      </c>
      <c r="L2281">
        <f>IF(AND(ABS(I2281)&gt;Dashboard!$G$6,ABS(J2281)&gt;Dashboard!$H$6),"⚠ Vượt","")</f>
        <v/>
      </c>
      <c r="M2281">
        <f>IF(AND(A2281=Dashboard!$D$6,OR(Dashboard!$C$6="*",F2281=Dashboard!$C$6),L2281&lt;&gt;""),ABS(I2281)+ROW()/1000000000,0)</f>
        <v/>
      </c>
    </row>
    <row r="2282">
      <c r="A2282">
        <f>Data_thang!A2282</f>
        <v/>
      </c>
      <c r="B2282">
        <f>Data_thang!B2282</f>
        <v/>
      </c>
      <c r="C2282">
        <f>Data_thang!D2282</f>
        <v/>
      </c>
      <c r="D2282">
        <f>Data_thang!E2282</f>
        <v/>
      </c>
      <c r="E2282">
        <f>Data_thang!F2282</f>
        <v/>
      </c>
      <c r="F2282">
        <f>Data_thang!G2282</f>
        <v/>
      </c>
      <c r="G2282" s="29">
        <f>Data_thang!J2282-Data_thang!K2282</f>
        <v/>
      </c>
      <c r="H2282" s="29">
        <f>Data_thang!N2282</f>
        <v/>
      </c>
      <c r="I2282" s="29">
        <f>H2282-G2282</f>
        <v/>
      </c>
      <c r="J2282" s="30">
        <f>IF(H2282=0,IF(I2282=0,0,1),I2282/ABS(H2282))</f>
        <v/>
      </c>
      <c r="K2282" s="29">
        <f>H2282-(Data_thang!O2282-Data_thang!K2282)</f>
        <v/>
      </c>
      <c r="L2282">
        <f>IF(AND(ABS(I2282)&gt;Dashboard!$G$6,ABS(J2282)&gt;Dashboard!$H$6),"⚠ Vượt","")</f>
        <v/>
      </c>
      <c r="M2282">
        <f>IF(AND(A2282=Dashboard!$D$6,OR(Dashboard!$C$6="*",F2282=Dashboard!$C$6),L2282&lt;&gt;""),ABS(I2282)+ROW()/1000000000,0)</f>
        <v/>
      </c>
    </row>
    <row r="2283">
      <c r="A2283">
        <f>Data_thang!A2283</f>
        <v/>
      </c>
      <c r="B2283">
        <f>Data_thang!B2283</f>
        <v/>
      </c>
      <c r="C2283">
        <f>Data_thang!D2283</f>
        <v/>
      </c>
      <c r="D2283">
        <f>Data_thang!E2283</f>
        <v/>
      </c>
      <c r="E2283">
        <f>Data_thang!F2283</f>
        <v/>
      </c>
      <c r="F2283">
        <f>Data_thang!G2283</f>
        <v/>
      </c>
      <c r="G2283" s="29">
        <f>Data_thang!J2283-Data_thang!K2283</f>
        <v/>
      </c>
      <c r="H2283" s="29">
        <f>Data_thang!N2283</f>
        <v/>
      </c>
      <c r="I2283" s="29">
        <f>H2283-G2283</f>
        <v/>
      </c>
      <c r="J2283" s="30">
        <f>IF(H2283=0,IF(I2283=0,0,1),I2283/ABS(H2283))</f>
        <v/>
      </c>
      <c r="K2283" s="29">
        <f>H2283-(Data_thang!O2283-Data_thang!K2283)</f>
        <v/>
      </c>
      <c r="L2283">
        <f>IF(AND(ABS(I2283)&gt;Dashboard!$G$6,ABS(J2283)&gt;Dashboard!$H$6),"⚠ Vượt","")</f>
        <v/>
      </c>
      <c r="M2283">
        <f>IF(AND(A2283=Dashboard!$D$6,OR(Dashboard!$C$6="*",F2283=Dashboard!$C$6),L2283&lt;&gt;""),ABS(I2283)+ROW()/1000000000,0)</f>
        <v/>
      </c>
    </row>
    <row r="2284">
      <c r="A2284">
        <f>Data_thang!A2284</f>
        <v/>
      </c>
      <c r="B2284">
        <f>Data_thang!B2284</f>
        <v/>
      </c>
      <c r="C2284">
        <f>Data_thang!D2284</f>
        <v/>
      </c>
      <c r="D2284">
        <f>Data_thang!E2284</f>
        <v/>
      </c>
      <c r="E2284">
        <f>Data_thang!F2284</f>
        <v/>
      </c>
      <c r="F2284">
        <f>Data_thang!G2284</f>
        <v/>
      </c>
      <c r="G2284" s="29">
        <f>Data_thang!J2284-Data_thang!K2284</f>
        <v/>
      </c>
      <c r="H2284" s="29">
        <f>Data_thang!N2284</f>
        <v/>
      </c>
      <c r="I2284" s="29">
        <f>H2284-G2284</f>
        <v/>
      </c>
      <c r="J2284" s="30">
        <f>IF(H2284=0,IF(I2284=0,0,1),I2284/ABS(H2284))</f>
        <v/>
      </c>
      <c r="K2284" s="29">
        <f>H2284-(Data_thang!O2284-Data_thang!K2284)</f>
        <v/>
      </c>
      <c r="L2284">
        <f>IF(AND(ABS(I2284)&gt;Dashboard!$G$6,ABS(J2284)&gt;Dashboard!$H$6),"⚠ Vượt","")</f>
        <v/>
      </c>
      <c r="M2284">
        <f>IF(AND(A2284=Dashboard!$D$6,OR(Dashboard!$C$6="*",F2284=Dashboard!$C$6),L2284&lt;&gt;""),ABS(I2284)+ROW()/1000000000,0)</f>
        <v/>
      </c>
    </row>
    <row r="2285">
      <c r="A2285">
        <f>Data_thang!A2285</f>
        <v/>
      </c>
      <c r="B2285">
        <f>Data_thang!B2285</f>
        <v/>
      </c>
      <c r="C2285">
        <f>Data_thang!D2285</f>
        <v/>
      </c>
      <c r="D2285">
        <f>Data_thang!E2285</f>
        <v/>
      </c>
      <c r="E2285">
        <f>Data_thang!F2285</f>
        <v/>
      </c>
      <c r="F2285">
        <f>Data_thang!G2285</f>
        <v/>
      </c>
      <c r="G2285" s="29">
        <f>Data_thang!J2285-Data_thang!K2285</f>
        <v/>
      </c>
      <c r="H2285" s="29">
        <f>Data_thang!N2285</f>
        <v/>
      </c>
      <c r="I2285" s="29">
        <f>H2285-G2285</f>
        <v/>
      </c>
      <c r="J2285" s="30">
        <f>IF(H2285=0,IF(I2285=0,0,1),I2285/ABS(H2285))</f>
        <v/>
      </c>
      <c r="K2285" s="29">
        <f>H2285-(Data_thang!O2285-Data_thang!K2285)</f>
        <v/>
      </c>
      <c r="L2285">
        <f>IF(AND(ABS(I2285)&gt;Dashboard!$G$6,ABS(J2285)&gt;Dashboard!$H$6),"⚠ Vượt","")</f>
        <v/>
      </c>
      <c r="M2285">
        <f>IF(AND(A2285=Dashboard!$D$6,OR(Dashboard!$C$6="*",F2285=Dashboard!$C$6),L2285&lt;&gt;""),ABS(I2285)+ROW()/1000000000,0)</f>
        <v/>
      </c>
    </row>
    <row r="2286">
      <c r="A2286">
        <f>Data_thang!A2286</f>
        <v/>
      </c>
      <c r="B2286">
        <f>Data_thang!B2286</f>
        <v/>
      </c>
      <c r="C2286">
        <f>Data_thang!D2286</f>
        <v/>
      </c>
      <c r="D2286">
        <f>Data_thang!E2286</f>
        <v/>
      </c>
      <c r="E2286">
        <f>Data_thang!F2286</f>
        <v/>
      </c>
      <c r="F2286">
        <f>Data_thang!G2286</f>
        <v/>
      </c>
      <c r="G2286" s="29">
        <f>Data_thang!J2286-Data_thang!K2286</f>
        <v/>
      </c>
      <c r="H2286" s="29">
        <f>Data_thang!N2286</f>
        <v/>
      </c>
      <c r="I2286" s="29">
        <f>H2286-G2286</f>
        <v/>
      </c>
      <c r="J2286" s="30">
        <f>IF(H2286=0,IF(I2286=0,0,1),I2286/ABS(H2286))</f>
        <v/>
      </c>
      <c r="K2286" s="29">
        <f>H2286-(Data_thang!O2286-Data_thang!K2286)</f>
        <v/>
      </c>
      <c r="L2286">
        <f>IF(AND(ABS(I2286)&gt;Dashboard!$G$6,ABS(J2286)&gt;Dashboard!$H$6),"⚠ Vượt","")</f>
        <v/>
      </c>
      <c r="M2286">
        <f>IF(AND(A2286=Dashboard!$D$6,OR(Dashboard!$C$6="*",F2286=Dashboard!$C$6),L2286&lt;&gt;""),ABS(I2286)+ROW()/1000000000,0)</f>
        <v/>
      </c>
    </row>
    <row r="2287">
      <c r="A2287">
        <f>Data_thang!A2287</f>
        <v/>
      </c>
      <c r="B2287">
        <f>Data_thang!B2287</f>
        <v/>
      </c>
      <c r="C2287">
        <f>Data_thang!D2287</f>
        <v/>
      </c>
      <c r="D2287">
        <f>Data_thang!E2287</f>
        <v/>
      </c>
      <c r="E2287">
        <f>Data_thang!F2287</f>
        <v/>
      </c>
      <c r="F2287">
        <f>Data_thang!G2287</f>
        <v/>
      </c>
      <c r="G2287" s="29">
        <f>Data_thang!J2287-Data_thang!K2287</f>
        <v/>
      </c>
      <c r="H2287" s="29">
        <f>Data_thang!N2287</f>
        <v/>
      </c>
      <c r="I2287" s="29">
        <f>H2287-G2287</f>
        <v/>
      </c>
      <c r="J2287" s="30">
        <f>IF(H2287=0,IF(I2287=0,0,1),I2287/ABS(H2287))</f>
        <v/>
      </c>
      <c r="K2287" s="29">
        <f>H2287-(Data_thang!O2287-Data_thang!K2287)</f>
        <v/>
      </c>
      <c r="L2287">
        <f>IF(AND(ABS(I2287)&gt;Dashboard!$G$6,ABS(J2287)&gt;Dashboard!$H$6),"⚠ Vượt","")</f>
        <v/>
      </c>
      <c r="M2287">
        <f>IF(AND(A2287=Dashboard!$D$6,OR(Dashboard!$C$6="*",F2287=Dashboard!$C$6),L2287&lt;&gt;""),ABS(I2287)+ROW()/1000000000,0)</f>
        <v/>
      </c>
    </row>
    <row r="2288">
      <c r="A2288">
        <f>Data_thang!A2288</f>
        <v/>
      </c>
      <c r="B2288">
        <f>Data_thang!B2288</f>
        <v/>
      </c>
      <c r="C2288">
        <f>Data_thang!D2288</f>
        <v/>
      </c>
      <c r="D2288">
        <f>Data_thang!E2288</f>
        <v/>
      </c>
      <c r="E2288">
        <f>Data_thang!F2288</f>
        <v/>
      </c>
      <c r="F2288">
        <f>Data_thang!G2288</f>
        <v/>
      </c>
      <c r="G2288" s="29">
        <f>Data_thang!J2288-Data_thang!K2288</f>
        <v/>
      </c>
      <c r="H2288" s="29">
        <f>Data_thang!N2288</f>
        <v/>
      </c>
      <c r="I2288" s="29">
        <f>H2288-G2288</f>
        <v/>
      </c>
      <c r="J2288" s="30">
        <f>IF(H2288=0,IF(I2288=0,0,1),I2288/ABS(H2288))</f>
        <v/>
      </c>
      <c r="K2288" s="29">
        <f>H2288-(Data_thang!O2288-Data_thang!K2288)</f>
        <v/>
      </c>
      <c r="L2288">
        <f>IF(AND(ABS(I2288)&gt;Dashboard!$G$6,ABS(J2288)&gt;Dashboard!$H$6),"⚠ Vượt","")</f>
        <v/>
      </c>
      <c r="M2288">
        <f>IF(AND(A2288=Dashboard!$D$6,OR(Dashboard!$C$6="*",F2288=Dashboard!$C$6),L2288&lt;&gt;""),ABS(I2288)+ROW()/1000000000,0)</f>
        <v/>
      </c>
    </row>
    <row r="2289">
      <c r="A2289">
        <f>Data_thang!A2289</f>
        <v/>
      </c>
      <c r="B2289">
        <f>Data_thang!B2289</f>
        <v/>
      </c>
      <c r="C2289">
        <f>Data_thang!D2289</f>
        <v/>
      </c>
      <c r="D2289">
        <f>Data_thang!E2289</f>
        <v/>
      </c>
      <c r="E2289">
        <f>Data_thang!F2289</f>
        <v/>
      </c>
      <c r="F2289">
        <f>Data_thang!G2289</f>
        <v/>
      </c>
      <c r="G2289" s="29">
        <f>Data_thang!J2289-Data_thang!K2289</f>
        <v/>
      </c>
      <c r="H2289" s="29">
        <f>Data_thang!N2289</f>
        <v/>
      </c>
      <c r="I2289" s="29">
        <f>H2289-G2289</f>
        <v/>
      </c>
      <c r="J2289" s="30">
        <f>IF(H2289=0,IF(I2289=0,0,1),I2289/ABS(H2289))</f>
        <v/>
      </c>
      <c r="K2289" s="29">
        <f>H2289-(Data_thang!O2289-Data_thang!K2289)</f>
        <v/>
      </c>
      <c r="L2289">
        <f>IF(AND(ABS(I2289)&gt;Dashboard!$G$6,ABS(J2289)&gt;Dashboard!$H$6),"⚠ Vượt","")</f>
        <v/>
      </c>
      <c r="M2289">
        <f>IF(AND(A2289=Dashboard!$D$6,OR(Dashboard!$C$6="*",F2289=Dashboard!$C$6),L2289&lt;&gt;""),ABS(I2289)+ROW()/1000000000,0)</f>
        <v/>
      </c>
    </row>
    <row r="2290">
      <c r="A2290">
        <f>Data_thang!A2290</f>
        <v/>
      </c>
      <c r="B2290">
        <f>Data_thang!B2290</f>
        <v/>
      </c>
      <c r="C2290">
        <f>Data_thang!D2290</f>
        <v/>
      </c>
      <c r="D2290">
        <f>Data_thang!E2290</f>
        <v/>
      </c>
      <c r="E2290">
        <f>Data_thang!F2290</f>
        <v/>
      </c>
      <c r="F2290">
        <f>Data_thang!G2290</f>
        <v/>
      </c>
      <c r="G2290" s="29">
        <f>Data_thang!J2290-Data_thang!K2290</f>
        <v/>
      </c>
      <c r="H2290" s="29">
        <f>Data_thang!N2290</f>
        <v/>
      </c>
      <c r="I2290" s="29">
        <f>H2290-G2290</f>
        <v/>
      </c>
      <c r="J2290" s="30">
        <f>IF(H2290=0,IF(I2290=0,0,1),I2290/ABS(H2290))</f>
        <v/>
      </c>
      <c r="K2290" s="29">
        <f>H2290-(Data_thang!O2290-Data_thang!K2290)</f>
        <v/>
      </c>
      <c r="L2290">
        <f>IF(AND(ABS(I2290)&gt;Dashboard!$G$6,ABS(J2290)&gt;Dashboard!$H$6),"⚠ Vượt","")</f>
        <v/>
      </c>
      <c r="M2290">
        <f>IF(AND(A2290=Dashboard!$D$6,OR(Dashboard!$C$6="*",F2290=Dashboard!$C$6),L2290&lt;&gt;""),ABS(I2290)+ROW()/1000000000,0)</f>
        <v/>
      </c>
    </row>
    <row r="2291">
      <c r="A2291">
        <f>Data_thang!A2291</f>
        <v/>
      </c>
      <c r="B2291">
        <f>Data_thang!B2291</f>
        <v/>
      </c>
      <c r="C2291">
        <f>Data_thang!D2291</f>
        <v/>
      </c>
      <c r="D2291">
        <f>Data_thang!E2291</f>
        <v/>
      </c>
      <c r="E2291">
        <f>Data_thang!F2291</f>
        <v/>
      </c>
      <c r="F2291">
        <f>Data_thang!G2291</f>
        <v/>
      </c>
      <c r="G2291" s="29">
        <f>Data_thang!J2291-Data_thang!K2291</f>
        <v/>
      </c>
      <c r="H2291" s="29">
        <f>Data_thang!N2291</f>
        <v/>
      </c>
      <c r="I2291" s="29">
        <f>H2291-G2291</f>
        <v/>
      </c>
      <c r="J2291" s="30">
        <f>IF(H2291=0,IF(I2291=0,0,1),I2291/ABS(H2291))</f>
        <v/>
      </c>
      <c r="K2291" s="29">
        <f>H2291-(Data_thang!O2291-Data_thang!K2291)</f>
        <v/>
      </c>
      <c r="L2291">
        <f>IF(AND(ABS(I2291)&gt;Dashboard!$G$6,ABS(J2291)&gt;Dashboard!$H$6),"⚠ Vượt","")</f>
        <v/>
      </c>
      <c r="M2291">
        <f>IF(AND(A2291=Dashboard!$D$6,OR(Dashboard!$C$6="*",F2291=Dashboard!$C$6),L2291&lt;&gt;""),ABS(I2291)+ROW()/1000000000,0)</f>
        <v/>
      </c>
    </row>
    <row r="2292">
      <c r="A2292">
        <f>Data_thang!A2292</f>
        <v/>
      </c>
      <c r="B2292">
        <f>Data_thang!B2292</f>
        <v/>
      </c>
      <c r="C2292">
        <f>Data_thang!D2292</f>
        <v/>
      </c>
      <c r="D2292">
        <f>Data_thang!E2292</f>
        <v/>
      </c>
      <c r="E2292">
        <f>Data_thang!F2292</f>
        <v/>
      </c>
      <c r="F2292">
        <f>Data_thang!G2292</f>
        <v/>
      </c>
      <c r="G2292" s="29">
        <f>Data_thang!J2292-Data_thang!K2292</f>
        <v/>
      </c>
      <c r="H2292" s="29">
        <f>Data_thang!N2292</f>
        <v/>
      </c>
      <c r="I2292" s="29">
        <f>H2292-G2292</f>
        <v/>
      </c>
      <c r="J2292" s="30">
        <f>IF(H2292=0,IF(I2292=0,0,1),I2292/ABS(H2292))</f>
        <v/>
      </c>
      <c r="K2292" s="29">
        <f>H2292-(Data_thang!O2292-Data_thang!K2292)</f>
        <v/>
      </c>
      <c r="L2292">
        <f>IF(AND(ABS(I2292)&gt;Dashboard!$G$6,ABS(J2292)&gt;Dashboard!$H$6),"⚠ Vượt","")</f>
        <v/>
      </c>
      <c r="M2292">
        <f>IF(AND(A2292=Dashboard!$D$6,OR(Dashboard!$C$6="*",F2292=Dashboard!$C$6),L2292&lt;&gt;""),ABS(I2292)+ROW()/1000000000,0)</f>
        <v/>
      </c>
    </row>
    <row r="2293">
      <c r="A2293">
        <f>Data_thang!A2293</f>
        <v/>
      </c>
      <c r="B2293">
        <f>Data_thang!B2293</f>
        <v/>
      </c>
      <c r="C2293">
        <f>Data_thang!D2293</f>
        <v/>
      </c>
      <c r="D2293">
        <f>Data_thang!E2293</f>
        <v/>
      </c>
      <c r="E2293">
        <f>Data_thang!F2293</f>
        <v/>
      </c>
      <c r="F2293">
        <f>Data_thang!G2293</f>
        <v/>
      </c>
      <c r="G2293" s="29">
        <f>Data_thang!J2293-Data_thang!K2293</f>
        <v/>
      </c>
      <c r="H2293" s="29">
        <f>Data_thang!N2293</f>
        <v/>
      </c>
      <c r="I2293" s="29">
        <f>H2293-G2293</f>
        <v/>
      </c>
      <c r="J2293" s="30">
        <f>IF(H2293=0,IF(I2293=0,0,1),I2293/ABS(H2293))</f>
        <v/>
      </c>
      <c r="K2293" s="29">
        <f>H2293-(Data_thang!O2293-Data_thang!K2293)</f>
        <v/>
      </c>
      <c r="L2293">
        <f>IF(AND(ABS(I2293)&gt;Dashboard!$G$6,ABS(J2293)&gt;Dashboard!$H$6),"⚠ Vượt","")</f>
        <v/>
      </c>
      <c r="M2293">
        <f>IF(AND(A2293=Dashboard!$D$6,OR(Dashboard!$C$6="*",F2293=Dashboard!$C$6),L2293&lt;&gt;""),ABS(I2293)+ROW()/1000000000,0)</f>
        <v/>
      </c>
    </row>
    <row r="2294">
      <c r="A2294">
        <f>Data_thang!A2294</f>
        <v/>
      </c>
      <c r="B2294">
        <f>Data_thang!B2294</f>
        <v/>
      </c>
      <c r="C2294">
        <f>Data_thang!D2294</f>
        <v/>
      </c>
      <c r="D2294">
        <f>Data_thang!E2294</f>
        <v/>
      </c>
      <c r="E2294">
        <f>Data_thang!F2294</f>
        <v/>
      </c>
      <c r="F2294">
        <f>Data_thang!G2294</f>
        <v/>
      </c>
      <c r="G2294" s="29">
        <f>Data_thang!J2294-Data_thang!K2294</f>
        <v/>
      </c>
      <c r="H2294" s="29">
        <f>Data_thang!N2294</f>
        <v/>
      </c>
      <c r="I2294" s="29">
        <f>H2294-G2294</f>
        <v/>
      </c>
      <c r="J2294" s="30">
        <f>IF(H2294=0,IF(I2294=0,0,1),I2294/ABS(H2294))</f>
        <v/>
      </c>
      <c r="K2294" s="29">
        <f>H2294-(Data_thang!O2294-Data_thang!K2294)</f>
        <v/>
      </c>
      <c r="L2294">
        <f>IF(AND(ABS(I2294)&gt;Dashboard!$G$6,ABS(J2294)&gt;Dashboard!$H$6),"⚠ Vượt","")</f>
        <v/>
      </c>
      <c r="M2294">
        <f>IF(AND(A2294=Dashboard!$D$6,OR(Dashboard!$C$6="*",F2294=Dashboard!$C$6),L2294&lt;&gt;""),ABS(I2294)+ROW()/1000000000,0)</f>
        <v/>
      </c>
    </row>
    <row r="2295">
      <c r="A2295">
        <f>Data_thang!A2295</f>
        <v/>
      </c>
      <c r="B2295">
        <f>Data_thang!B2295</f>
        <v/>
      </c>
      <c r="C2295">
        <f>Data_thang!D2295</f>
        <v/>
      </c>
      <c r="D2295">
        <f>Data_thang!E2295</f>
        <v/>
      </c>
      <c r="E2295">
        <f>Data_thang!F2295</f>
        <v/>
      </c>
      <c r="F2295">
        <f>Data_thang!G2295</f>
        <v/>
      </c>
      <c r="G2295" s="29">
        <f>Data_thang!J2295-Data_thang!K2295</f>
        <v/>
      </c>
      <c r="H2295" s="29">
        <f>Data_thang!N2295</f>
        <v/>
      </c>
      <c r="I2295" s="29">
        <f>H2295-G2295</f>
        <v/>
      </c>
      <c r="J2295" s="30">
        <f>IF(H2295=0,IF(I2295=0,0,1),I2295/ABS(H2295))</f>
        <v/>
      </c>
      <c r="K2295" s="29">
        <f>H2295-(Data_thang!O2295-Data_thang!K2295)</f>
        <v/>
      </c>
      <c r="L2295">
        <f>IF(AND(ABS(I2295)&gt;Dashboard!$G$6,ABS(J2295)&gt;Dashboard!$H$6),"⚠ Vượt","")</f>
        <v/>
      </c>
      <c r="M2295">
        <f>IF(AND(A2295=Dashboard!$D$6,OR(Dashboard!$C$6="*",F2295=Dashboard!$C$6),L2295&lt;&gt;""),ABS(I2295)+ROW()/1000000000,0)</f>
        <v/>
      </c>
    </row>
    <row r="2296">
      <c r="A2296">
        <f>Data_thang!A2296</f>
        <v/>
      </c>
      <c r="B2296">
        <f>Data_thang!B2296</f>
        <v/>
      </c>
      <c r="C2296">
        <f>Data_thang!D2296</f>
        <v/>
      </c>
      <c r="D2296">
        <f>Data_thang!E2296</f>
        <v/>
      </c>
      <c r="E2296">
        <f>Data_thang!F2296</f>
        <v/>
      </c>
      <c r="F2296">
        <f>Data_thang!G2296</f>
        <v/>
      </c>
      <c r="G2296" s="29">
        <f>Data_thang!J2296-Data_thang!K2296</f>
        <v/>
      </c>
      <c r="H2296" s="29">
        <f>Data_thang!N2296</f>
        <v/>
      </c>
      <c r="I2296" s="29">
        <f>H2296-G2296</f>
        <v/>
      </c>
      <c r="J2296" s="30">
        <f>IF(H2296=0,IF(I2296=0,0,1),I2296/ABS(H2296))</f>
        <v/>
      </c>
      <c r="K2296" s="29">
        <f>H2296-(Data_thang!O2296-Data_thang!K2296)</f>
        <v/>
      </c>
      <c r="L2296">
        <f>IF(AND(ABS(I2296)&gt;Dashboard!$G$6,ABS(J2296)&gt;Dashboard!$H$6),"⚠ Vượt","")</f>
        <v/>
      </c>
      <c r="M2296">
        <f>IF(AND(A2296=Dashboard!$D$6,OR(Dashboard!$C$6="*",F2296=Dashboard!$C$6),L2296&lt;&gt;""),ABS(I2296)+ROW()/1000000000,0)</f>
        <v/>
      </c>
    </row>
    <row r="2297">
      <c r="A2297">
        <f>Data_thang!A2297</f>
        <v/>
      </c>
      <c r="B2297">
        <f>Data_thang!B2297</f>
        <v/>
      </c>
      <c r="C2297">
        <f>Data_thang!D2297</f>
        <v/>
      </c>
      <c r="D2297">
        <f>Data_thang!E2297</f>
        <v/>
      </c>
      <c r="E2297">
        <f>Data_thang!F2297</f>
        <v/>
      </c>
      <c r="F2297">
        <f>Data_thang!G2297</f>
        <v/>
      </c>
      <c r="G2297" s="29">
        <f>Data_thang!J2297-Data_thang!K2297</f>
        <v/>
      </c>
      <c r="H2297" s="29">
        <f>Data_thang!N2297</f>
        <v/>
      </c>
      <c r="I2297" s="29">
        <f>H2297-G2297</f>
        <v/>
      </c>
      <c r="J2297" s="30">
        <f>IF(H2297=0,IF(I2297=0,0,1),I2297/ABS(H2297))</f>
        <v/>
      </c>
      <c r="K2297" s="29">
        <f>H2297-(Data_thang!O2297-Data_thang!K2297)</f>
        <v/>
      </c>
      <c r="L2297">
        <f>IF(AND(ABS(I2297)&gt;Dashboard!$G$6,ABS(J2297)&gt;Dashboard!$H$6),"⚠ Vượt","")</f>
        <v/>
      </c>
      <c r="M2297">
        <f>IF(AND(A2297=Dashboard!$D$6,OR(Dashboard!$C$6="*",F2297=Dashboard!$C$6),L2297&lt;&gt;""),ABS(I2297)+ROW()/1000000000,0)</f>
        <v/>
      </c>
    </row>
    <row r="2298">
      <c r="A2298">
        <f>Data_thang!A2298</f>
        <v/>
      </c>
      <c r="B2298">
        <f>Data_thang!B2298</f>
        <v/>
      </c>
      <c r="C2298">
        <f>Data_thang!D2298</f>
        <v/>
      </c>
      <c r="D2298">
        <f>Data_thang!E2298</f>
        <v/>
      </c>
      <c r="E2298">
        <f>Data_thang!F2298</f>
        <v/>
      </c>
      <c r="F2298">
        <f>Data_thang!G2298</f>
        <v/>
      </c>
      <c r="G2298" s="29">
        <f>Data_thang!J2298-Data_thang!K2298</f>
        <v/>
      </c>
      <c r="H2298" s="29">
        <f>Data_thang!N2298</f>
        <v/>
      </c>
      <c r="I2298" s="29">
        <f>H2298-G2298</f>
        <v/>
      </c>
      <c r="J2298" s="30">
        <f>IF(H2298=0,IF(I2298=0,0,1),I2298/ABS(H2298))</f>
        <v/>
      </c>
      <c r="K2298" s="29">
        <f>H2298-(Data_thang!O2298-Data_thang!K2298)</f>
        <v/>
      </c>
      <c r="L2298">
        <f>IF(AND(ABS(I2298)&gt;Dashboard!$G$6,ABS(J2298)&gt;Dashboard!$H$6),"⚠ Vượt","")</f>
        <v/>
      </c>
      <c r="M2298">
        <f>IF(AND(A2298=Dashboard!$D$6,OR(Dashboard!$C$6="*",F2298=Dashboard!$C$6),L2298&lt;&gt;""),ABS(I2298)+ROW()/1000000000,0)</f>
        <v/>
      </c>
    </row>
    <row r="2299">
      <c r="A2299">
        <f>Data_thang!A2299</f>
        <v/>
      </c>
      <c r="B2299">
        <f>Data_thang!B2299</f>
        <v/>
      </c>
      <c r="C2299">
        <f>Data_thang!D2299</f>
        <v/>
      </c>
      <c r="D2299">
        <f>Data_thang!E2299</f>
        <v/>
      </c>
      <c r="E2299">
        <f>Data_thang!F2299</f>
        <v/>
      </c>
      <c r="F2299">
        <f>Data_thang!G2299</f>
        <v/>
      </c>
      <c r="G2299" s="29">
        <f>Data_thang!J2299-Data_thang!K2299</f>
        <v/>
      </c>
      <c r="H2299" s="29">
        <f>Data_thang!N2299</f>
        <v/>
      </c>
      <c r="I2299" s="29">
        <f>H2299-G2299</f>
        <v/>
      </c>
      <c r="J2299" s="30">
        <f>IF(H2299=0,IF(I2299=0,0,1),I2299/ABS(H2299))</f>
        <v/>
      </c>
      <c r="K2299" s="29">
        <f>H2299-(Data_thang!O2299-Data_thang!K2299)</f>
        <v/>
      </c>
      <c r="L2299">
        <f>IF(AND(ABS(I2299)&gt;Dashboard!$G$6,ABS(J2299)&gt;Dashboard!$H$6),"⚠ Vượt","")</f>
        <v/>
      </c>
      <c r="M2299">
        <f>IF(AND(A2299=Dashboard!$D$6,OR(Dashboard!$C$6="*",F2299=Dashboard!$C$6),L2299&lt;&gt;""),ABS(I2299)+ROW()/1000000000,0)</f>
        <v/>
      </c>
    </row>
    <row r="2300">
      <c r="A2300">
        <f>Data_thang!A2300</f>
        <v/>
      </c>
      <c r="B2300">
        <f>Data_thang!B2300</f>
        <v/>
      </c>
      <c r="C2300">
        <f>Data_thang!D2300</f>
        <v/>
      </c>
      <c r="D2300">
        <f>Data_thang!E2300</f>
        <v/>
      </c>
      <c r="E2300">
        <f>Data_thang!F2300</f>
        <v/>
      </c>
      <c r="F2300">
        <f>Data_thang!G2300</f>
        <v/>
      </c>
      <c r="G2300" s="29">
        <f>Data_thang!J2300-Data_thang!K2300</f>
        <v/>
      </c>
      <c r="H2300" s="29">
        <f>Data_thang!N2300</f>
        <v/>
      </c>
      <c r="I2300" s="29">
        <f>H2300-G2300</f>
        <v/>
      </c>
      <c r="J2300" s="30">
        <f>IF(H2300=0,IF(I2300=0,0,1),I2300/ABS(H2300))</f>
        <v/>
      </c>
      <c r="K2300" s="29">
        <f>H2300-(Data_thang!O2300-Data_thang!K2300)</f>
        <v/>
      </c>
      <c r="L2300">
        <f>IF(AND(ABS(I2300)&gt;Dashboard!$G$6,ABS(J2300)&gt;Dashboard!$H$6),"⚠ Vượt","")</f>
        <v/>
      </c>
      <c r="M2300">
        <f>IF(AND(A2300=Dashboard!$D$6,OR(Dashboard!$C$6="*",F2300=Dashboard!$C$6),L2300&lt;&gt;""),ABS(I2300)+ROW()/1000000000,0)</f>
        <v/>
      </c>
    </row>
    <row r="2301">
      <c r="A2301">
        <f>Data_thang!A2301</f>
        <v/>
      </c>
      <c r="B2301">
        <f>Data_thang!B2301</f>
        <v/>
      </c>
      <c r="C2301">
        <f>Data_thang!D2301</f>
        <v/>
      </c>
      <c r="D2301">
        <f>Data_thang!E2301</f>
        <v/>
      </c>
      <c r="E2301">
        <f>Data_thang!F2301</f>
        <v/>
      </c>
      <c r="F2301">
        <f>Data_thang!G2301</f>
        <v/>
      </c>
      <c r="G2301" s="29">
        <f>Data_thang!J2301-Data_thang!K2301</f>
        <v/>
      </c>
      <c r="H2301" s="29">
        <f>Data_thang!N2301</f>
        <v/>
      </c>
      <c r="I2301" s="29">
        <f>H2301-G2301</f>
        <v/>
      </c>
      <c r="J2301" s="30">
        <f>IF(H2301=0,IF(I2301=0,0,1),I2301/ABS(H2301))</f>
        <v/>
      </c>
      <c r="K2301" s="29">
        <f>H2301-(Data_thang!O2301-Data_thang!K2301)</f>
        <v/>
      </c>
      <c r="L2301">
        <f>IF(AND(ABS(I2301)&gt;Dashboard!$G$6,ABS(J2301)&gt;Dashboard!$H$6),"⚠ Vượt","")</f>
        <v/>
      </c>
      <c r="M2301">
        <f>IF(AND(A2301=Dashboard!$D$6,OR(Dashboard!$C$6="*",F2301=Dashboard!$C$6),L2301&lt;&gt;""),ABS(I2301)+ROW()/1000000000,0)</f>
        <v/>
      </c>
    </row>
    <row r="2302">
      <c r="A2302">
        <f>Data_thang!A2302</f>
        <v/>
      </c>
      <c r="B2302">
        <f>Data_thang!B2302</f>
        <v/>
      </c>
      <c r="C2302">
        <f>Data_thang!D2302</f>
        <v/>
      </c>
      <c r="D2302">
        <f>Data_thang!E2302</f>
        <v/>
      </c>
      <c r="E2302">
        <f>Data_thang!F2302</f>
        <v/>
      </c>
      <c r="F2302">
        <f>Data_thang!G2302</f>
        <v/>
      </c>
      <c r="G2302" s="29">
        <f>Data_thang!J2302-Data_thang!K2302</f>
        <v/>
      </c>
      <c r="H2302" s="29">
        <f>Data_thang!N2302</f>
        <v/>
      </c>
      <c r="I2302" s="29">
        <f>H2302-G2302</f>
        <v/>
      </c>
      <c r="J2302" s="30">
        <f>IF(H2302=0,IF(I2302=0,0,1),I2302/ABS(H2302))</f>
        <v/>
      </c>
      <c r="K2302" s="29">
        <f>H2302-(Data_thang!O2302-Data_thang!K2302)</f>
        <v/>
      </c>
      <c r="L2302">
        <f>IF(AND(ABS(I2302)&gt;Dashboard!$G$6,ABS(J2302)&gt;Dashboard!$H$6),"⚠ Vượt","")</f>
        <v/>
      </c>
      <c r="M2302">
        <f>IF(AND(A2302=Dashboard!$D$6,OR(Dashboard!$C$6="*",F2302=Dashboard!$C$6),L2302&lt;&gt;""),ABS(I2302)+ROW()/1000000000,0)</f>
        <v/>
      </c>
    </row>
    <row r="2303">
      <c r="A2303">
        <f>Data_thang!A2303</f>
        <v/>
      </c>
      <c r="B2303">
        <f>Data_thang!B2303</f>
        <v/>
      </c>
      <c r="C2303">
        <f>Data_thang!D2303</f>
        <v/>
      </c>
      <c r="D2303">
        <f>Data_thang!E2303</f>
        <v/>
      </c>
      <c r="E2303">
        <f>Data_thang!F2303</f>
        <v/>
      </c>
      <c r="F2303">
        <f>Data_thang!G2303</f>
        <v/>
      </c>
      <c r="G2303" s="29">
        <f>Data_thang!J2303-Data_thang!K2303</f>
        <v/>
      </c>
      <c r="H2303" s="29">
        <f>Data_thang!N2303</f>
        <v/>
      </c>
      <c r="I2303" s="29">
        <f>H2303-G2303</f>
        <v/>
      </c>
      <c r="J2303" s="30">
        <f>IF(H2303=0,IF(I2303=0,0,1),I2303/ABS(H2303))</f>
        <v/>
      </c>
      <c r="K2303" s="29">
        <f>H2303-(Data_thang!O2303-Data_thang!K2303)</f>
        <v/>
      </c>
      <c r="L2303">
        <f>IF(AND(ABS(I2303)&gt;Dashboard!$G$6,ABS(J2303)&gt;Dashboard!$H$6),"⚠ Vượt","")</f>
        <v/>
      </c>
      <c r="M2303">
        <f>IF(AND(A2303=Dashboard!$D$6,OR(Dashboard!$C$6="*",F2303=Dashboard!$C$6),L2303&lt;&gt;""),ABS(I2303)+ROW()/1000000000,0)</f>
        <v/>
      </c>
    </row>
    <row r="2304">
      <c r="A2304">
        <f>Data_thang!A2304</f>
        <v/>
      </c>
      <c r="B2304">
        <f>Data_thang!B2304</f>
        <v/>
      </c>
      <c r="C2304">
        <f>Data_thang!D2304</f>
        <v/>
      </c>
      <c r="D2304">
        <f>Data_thang!E2304</f>
        <v/>
      </c>
      <c r="E2304">
        <f>Data_thang!F2304</f>
        <v/>
      </c>
      <c r="F2304">
        <f>Data_thang!G2304</f>
        <v/>
      </c>
      <c r="G2304" s="29">
        <f>Data_thang!J2304-Data_thang!K2304</f>
        <v/>
      </c>
      <c r="H2304" s="29">
        <f>Data_thang!N2304</f>
        <v/>
      </c>
      <c r="I2304" s="29">
        <f>H2304-G2304</f>
        <v/>
      </c>
      <c r="J2304" s="30">
        <f>IF(H2304=0,IF(I2304=0,0,1),I2304/ABS(H2304))</f>
        <v/>
      </c>
      <c r="K2304" s="29">
        <f>H2304-(Data_thang!O2304-Data_thang!K2304)</f>
        <v/>
      </c>
      <c r="L2304">
        <f>IF(AND(ABS(I2304)&gt;Dashboard!$G$6,ABS(J2304)&gt;Dashboard!$H$6),"⚠ Vượt","")</f>
        <v/>
      </c>
      <c r="M2304">
        <f>IF(AND(A2304=Dashboard!$D$6,OR(Dashboard!$C$6="*",F2304=Dashboard!$C$6),L2304&lt;&gt;""),ABS(I2304)+ROW()/1000000000,0)</f>
        <v/>
      </c>
    </row>
    <row r="2305">
      <c r="A2305">
        <f>Data_thang!A2305</f>
        <v/>
      </c>
      <c r="B2305">
        <f>Data_thang!B2305</f>
        <v/>
      </c>
      <c r="C2305">
        <f>Data_thang!D2305</f>
        <v/>
      </c>
      <c r="D2305">
        <f>Data_thang!E2305</f>
        <v/>
      </c>
      <c r="E2305">
        <f>Data_thang!F2305</f>
        <v/>
      </c>
      <c r="F2305">
        <f>Data_thang!G2305</f>
        <v/>
      </c>
      <c r="G2305" s="29">
        <f>Data_thang!J2305-Data_thang!K2305</f>
        <v/>
      </c>
      <c r="H2305" s="29">
        <f>Data_thang!N2305</f>
        <v/>
      </c>
      <c r="I2305" s="29">
        <f>H2305-G2305</f>
        <v/>
      </c>
      <c r="J2305" s="30">
        <f>IF(H2305=0,IF(I2305=0,0,1),I2305/ABS(H2305))</f>
        <v/>
      </c>
      <c r="K2305" s="29">
        <f>H2305-(Data_thang!O2305-Data_thang!K2305)</f>
        <v/>
      </c>
      <c r="L2305">
        <f>IF(AND(ABS(I2305)&gt;Dashboard!$G$6,ABS(J2305)&gt;Dashboard!$H$6),"⚠ Vượt","")</f>
        <v/>
      </c>
      <c r="M2305">
        <f>IF(AND(A2305=Dashboard!$D$6,OR(Dashboard!$C$6="*",F2305=Dashboard!$C$6),L2305&lt;&gt;""),ABS(I2305)+ROW()/1000000000,0)</f>
        <v/>
      </c>
    </row>
    <row r="2306">
      <c r="A2306">
        <f>Data_thang!A2306</f>
        <v/>
      </c>
      <c r="B2306">
        <f>Data_thang!B2306</f>
        <v/>
      </c>
      <c r="C2306">
        <f>Data_thang!D2306</f>
        <v/>
      </c>
      <c r="D2306">
        <f>Data_thang!E2306</f>
        <v/>
      </c>
      <c r="E2306">
        <f>Data_thang!F2306</f>
        <v/>
      </c>
      <c r="F2306">
        <f>Data_thang!G2306</f>
        <v/>
      </c>
      <c r="G2306" s="29">
        <f>Data_thang!J2306-Data_thang!K2306</f>
        <v/>
      </c>
      <c r="H2306" s="29">
        <f>Data_thang!N2306</f>
        <v/>
      </c>
      <c r="I2306" s="29">
        <f>H2306-G2306</f>
        <v/>
      </c>
      <c r="J2306" s="30">
        <f>IF(H2306=0,IF(I2306=0,0,1),I2306/ABS(H2306))</f>
        <v/>
      </c>
      <c r="K2306" s="29">
        <f>H2306-(Data_thang!O2306-Data_thang!K2306)</f>
        <v/>
      </c>
      <c r="L2306">
        <f>IF(AND(ABS(I2306)&gt;Dashboard!$G$6,ABS(J2306)&gt;Dashboard!$H$6),"⚠ Vượt","")</f>
        <v/>
      </c>
      <c r="M2306">
        <f>IF(AND(A2306=Dashboard!$D$6,OR(Dashboard!$C$6="*",F2306=Dashboard!$C$6),L2306&lt;&gt;""),ABS(I2306)+ROW()/1000000000,0)</f>
        <v/>
      </c>
    </row>
    <row r="2307">
      <c r="A2307">
        <f>Data_thang!A2307</f>
        <v/>
      </c>
      <c r="B2307">
        <f>Data_thang!B2307</f>
        <v/>
      </c>
      <c r="C2307">
        <f>Data_thang!D2307</f>
        <v/>
      </c>
      <c r="D2307">
        <f>Data_thang!E2307</f>
        <v/>
      </c>
      <c r="E2307">
        <f>Data_thang!F2307</f>
        <v/>
      </c>
      <c r="F2307">
        <f>Data_thang!G2307</f>
        <v/>
      </c>
      <c r="G2307" s="29">
        <f>Data_thang!J2307-Data_thang!K2307</f>
        <v/>
      </c>
      <c r="H2307" s="29">
        <f>Data_thang!N2307</f>
        <v/>
      </c>
      <c r="I2307" s="29">
        <f>H2307-G2307</f>
        <v/>
      </c>
      <c r="J2307" s="30">
        <f>IF(H2307=0,IF(I2307=0,0,1),I2307/ABS(H2307))</f>
        <v/>
      </c>
      <c r="K2307" s="29">
        <f>H2307-(Data_thang!O2307-Data_thang!K2307)</f>
        <v/>
      </c>
      <c r="L2307">
        <f>IF(AND(ABS(I2307)&gt;Dashboard!$G$6,ABS(J2307)&gt;Dashboard!$H$6),"⚠ Vượt","")</f>
        <v/>
      </c>
      <c r="M2307">
        <f>IF(AND(A2307=Dashboard!$D$6,OR(Dashboard!$C$6="*",F2307=Dashboard!$C$6),L2307&lt;&gt;""),ABS(I2307)+ROW()/1000000000,0)</f>
        <v/>
      </c>
    </row>
    <row r="2308">
      <c r="A2308">
        <f>Data_thang!A2308</f>
        <v/>
      </c>
      <c r="B2308">
        <f>Data_thang!B2308</f>
        <v/>
      </c>
      <c r="C2308">
        <f>Data_thang!D2308</f>
        <v/>
      </c>
      <c r="D2308">
        <f>Data_thang!E2308</f>
        <v/>
      </c>
      <c r="E2308">
        <f>Data_thang!F2308</f>
        <v/>
      </c>
      <c r="F2308">
        <f>Data_thang!G2308</f>
        <v/>
      </c>
      <c r="G2308" s="29">
        <f>Data_thang!J2308-Data_thang!K2308</f>
        <v/>
      </c>
      <c r="H2308" s="29">
        <f>Data_thang!N2308</f>
        <v/>
      </c>
      <c r="I2308" s="29">
        <f>H2308-G2308</f>
        <v/>
      </c>
      <c r="J2308" s="30">
        <f>IF(H2308=0,IF(I2308=0,0,1),I2308/ABS(H2308))</f>
        <v/>
      </c>
      <c r="K2308" s="29">
        <f>H2308-(Data_thang!O2308-Data_thang!K2308)</f>
        <v/>
      </c>
      <c r="L2308">
        <f>IF(AND(ABS(I2308)&gt;Dashboard!$G$6,ABS(J2308)&gt;Dashboard!$H$6),"⚠ Vượt","")</f>
        <v/>
      </c>
      <c r="M2308">
        <f>IF(AND(A2308=Dashboard!$D$6,OR(Dashboard!$C$6="*",F2308=Dashboard!$C$6),L2308&lt;&gt;""),ABS(I2308)+ROW()/1000000000,0)</f>
        <v/>
      </c>
    </row>
    <row r="2309">
      <c r="A2309">
        <f>Data_thang!A2309</f>
        <v/>
      </c>
      <c r="B2309">
        <f>Data_thang!B2309</f>
        <v/>
      </c>
      <c r="C2309">
        <f>Data_thang!D2309</f>
        <v/>
      </c>
      <c r="D2309">
        <f>Data_thang!E2309</f>
        <v/>
      </c>
      <c r="E2309">
        <f>Data_thang!F2309</f>
        <v/>
      </c>
      <c r="F2309">
        <f>Data_thang!G2309</f>
        <v/>
      </c>
      <c r="G2309" s="29">
        <f>Data_thang!J2309-Data_thang!K2309</f>
        <v/>
      </c>
      <c r="H2309" s="29">
        <f>Data_thang!N2309</f>
        <v/>
      </c>
      <c r="I2309" s="29">
        <f>H2309-G2309</f>
        <v/>
      </c>
      <c r="J2309" s="30">
        <f>IF(H2309=0,IF(I2309=0,0,1),I2309/ABS(H2309))</f>
        <v/>
      </c>
      <c r="K2309" s="29">
        <f>H2309-(Data_thang!O2309-Data_thang!K2309)</f>
        <v/>
      </c>
      <c r="L2309">
        <f>IF(AND(ABS(I2309)&gt;Dashboard!$G$6,ABS(J2309)&gt;Dashboard!$H$6),"⚠ Vượt","")</f>
        <v/>
      </c>
      <c r="M2309">
        <f>IF(AND(A2309=Dashboard!$D$6,OR(Dashboard!$C$6="*",F2309=Dashboard!$C$6),L2309&lt;&gt;""),ABS(I2309)+ROW()/1000000000,0)</f>
        <v/>
      </c>
    </row>
    <row r="2310">
      <c r="A2310">
        <f>Data_thang!A2310</f>
        <v/>
      </c>
      <c r="B2310">
        <f>Data_thang!B2310</f>
        <v/>
      </c>
      <c r="C2310">
        <f>Data_thang!D2310</f>
        <v/>
      </c>
      <c r="D2310">
        <f>Data_thang!E2310</f>
        <v/>
      </c>
      <c r="E2310">
        <f>Data_thang!F2310</f>
        <v/>
      </c>
      <c r="F2310">
        <f>Data_thang!G2310</f>
        <v/>
      </c>
      <c r="G2310" s="29">
        <f>Data_thang!J2310-Data_thang!K2310</f>
        <v/>
      </c>
      <c r="H2310" s="29">
        <f>Data_thang!N2310</f>
        <v/>
      </c>
      <c r="I2310" s="29">
        <f>H2310-G2310</f>
        <v/>
      </c>
      <c r="J2310" s="30">
        <f>IF(H2310=0,IF(I2310=0,0,1),I2310/ABS(H2310))</f>
        <v/>
      </c>
      <c r="K2310" s="29">
        <f>H2310-(Data_thang!O2310-Data_thang!K2310)</f>
        <v/>
      </c>
      <c r="L2310">
        <f>IF(AND(ABS(I2310)&gt;Dashboard!$G$6,ABS(J2310)&gt;Dashboard!$H$6),"⚠ Vượt","")</f>
        <v/>
      </c>
      <c r="M2310">
        <f>IF(AND(A2310=Dashboard!$D$6,OR(Dashboard!$C$6="*",F2310=Dashboard!$C$6),L2310&lt;&gt;""),ABS(I2310)+ROW()/1000000000,0)</f>
        <v/>
      </c>
    </row>
    <row r="2311">
      <c r="A2311">
        <f>Data_thang!A2311</f>
        <v/>
      </c>
      <c r="B2311">
        <f>Data_thang!B2311</f>
        <v/>
      </c>
      <c r="C2311">
        <f>Data_thang!D2311</f>
        <v/>
      </c>
      <c r="D2311">
        <f>Data_thang!E2311</f>
        <v/>
      </c>
      <c r="E2311">
        <f>Data_thang!F2311</f>
        <v/>
      </c>
      <c r="F2311">
        <f>Data_thang!G2311</f>
        <v/>
      </c>
      <c r="G2311" s="29">
        <f>Data_thang!J2311-Data_thang!K2311</f>
        <v/>
      </c>
      <c r="H2311" s="29">
        <f>Data_thang!N2311</f>
        <v/>
      </c>
      <c r="I2311" s="29">
        <f>H2311-G2311</f>
        <v/>
      </c>
      <c r="J2311" s="30">
        <f>IF(H2311=0,IF(I2311=0,0,1),I2311/ABS(H2311))</f>
        <v/>
      </c>
      <c r="K2311" s="29">
        <f>H2311-(Data_thang!O2311-Data_thang!K2311)</f>
        <v/>
      </c>
      <c r="L2311">
        <f>IF(AND(ABS(I2311)&gt;Dashboard!$G$6,ABS(J2311)&gt;Dashboard!$H$6),"⚠ Vượt","")</f>
        <v/>
      </c>
      <c r="M2311">
        <f>IF(AND(A2311=Dashboard!$D$6,OR(Dashboard!$C$6="*",F2311=Dashboard!$C$6),L2311&lt;&gt;""),ABS(I2311)+ROW()/1000000000,0)</f>
        <v/>
      </c>
    </row>
    <row r="2312">
      <c r="A2312">
        <f>Data_thang!A2312</f>
        <v/>
      </c>
      <c r="B2312">
        <f>Data_thang!B2312</f>
        <v/>
      </c>
      <c r="C2312">
        <f>Data_thang!D2312</f>
        <v/>
      </c>
      <c r="D2312">
        <f>Data_thang!E2312</f>
        <v/>
      </c>
      <c r="E2312">
        <f>Data_thang!F2312</f>
        <v/>
      </c>
      <c r="F2312">
        <f>Data_thang!G2312</f>
        <v/>
      </c>
      <c r="G2312" s="29">
        <f>Data_thang!J2312-Data_thang!K2312</f>
        <v/>
      </c>
      <c r="H2312" s="29">
        <f>Data_thang!N2312</f>
        <v/>
      </c>
      <c r="I2312" s="29">
        <f>H2312-G2312</f>
        <v/>
      </c>
      <c r="J2312" s="30">
        <f>IF(H2312=0,IF(I2312=0,0,1),I2312/ABS(H2312))</f>
        <v/>
      </c>
      <c r="K2312" s="29">
        <f>H2312-(Data_thang!O2312-Data_thang!K2312)</f>
        <v/>
      </c>
      <c r="L2312">
        <f>IF(AND(ABS(I2312)&gt;Dashboard!$G$6,ABS(J2312)&gt;Dashboard!$H$6),"⚠ Vượt","")</f>
        <v/>
      </c>
      <c r="M2312">
        <f>IF(AND(A2312=Dashboard!$D$6,OR(Dashboard!$C$6="*",F2312=Dashboard!$C$6),L2312&lt;&gt;""),ABS(I2312)+ROW()/1000000000,0)</f>
        <v/>
      </c>
    </row>
    <row r="2313">
      <c r="A2313">
        <f>Data_thang!A2313</f>
        <v/>
      </c>
      <c r="B2313">
        <f>Data_thang!B2313</f>
        <v/>
      </c>
      <c r="C2313">
        <f>Data_thang!D2313</f>
        <v/>
      </c>
      <c r="D2313">
        <f>Data_thang!E2313</f>
        <v/>
      </c>
      <c r="E2313">
        <f>Data_thang!F2313</f>
        <v/>
      </c>
      <c r="F2313">
        <f>Data_thang!G2313</f>
        <v/>
      </c>
      <c r="G2313" s="29">
        <f>Data_thang!J2313-Data_thang!K2313</f>
        <v/>
      </c>
      <c r="H2313" s="29">
        <f>Data_thang!N2313</f>
        <v/>
      </c>
      <c r="I2313" s="29">
        <f>H2313-G2313</f>
        <v/>
      </c>
      <c r="J2313" s="30">
        <f>IF(H2313=0,IF(I2313=0,0,1),I2313/ABS(H2313))</f>
        <v/>
      </c>
      <c r="K2313" s="29">
        <f>H2313-(Data_thang!O2313-Data_thang!K2313)</f>
        <v/>
      </c>
      <c r="L2313">
        <f>IF(AND(ABS(I2313)&gt;Dashboard!$G$6,ABS(J2313)&gt;Dashboard!$H$6),"⚠ Vượt","")</f>
        <v/>
      </c>
      <c r="M2313">
        <f>IF(AND(A2313=Dashboard!$D$6,OR(Dashboard!$C$6="*",F2313=Dashboard!$C$6),L2313&lt;&gt;""),ABS(I2313)+ROW()/1000000000,0)</f>
        <v/>
      </c>
    </row>
    <row r="2314">
      <c r="A2314">
        <f>Data_thang!A2314</f>
        <v/>
      </c>
      <c r="B2314">
        <f>Data_thang!B2314</f>
        <v/>
      </c>
      <c r="C2314">
        <f>Data_thang!D2314</f>
        <v/>
      </c>
      <c r="D2314">
        <f>Data_thang!E2314</f>
        <v/>
      </c>
      <c r="E2314">
        <f>Data_thang!F2314</f>
        <v/>
      </c>
      <c r="F2314">
        <f>Data_thang!G2314</f>
        <v/>
      </c>
      <c r="G2314" s="29">
        <f>Data_thang!J2314-Data_thang!K2314</f>
        <v/>
      </c>
      <c r="H2314" s="29">
        <f>Data_thang!N2314</f>
        <v/>
      </c>
      <c r="I2314" s="29">
        <f>H2314-G2314</f>
        <v/>
      </c>
      <c r="J2314" s="30">
        <f>IF(H2314=0,IF(I2314=0,0,1),I2314/ABS(H2314))</f>
        <v/>
      </c>
      <c r="K2314" s="29">
        <f>H2314-(Data_thang!O2314-Data_thang!K2314)</f>
        <v/>
      </c>
      <c r="L2314">
        <f>IF(AND(ABS(I2314)&gt;Dashboard!$G$6,ABS(J2314)&gt;Dashboard!$H$6),"⚠ Vượt","")</f>
        <v/>
      </c>
      <c r="M2314">
        <f>IF(AND(A2314=Dashboard!$D$6,OR(Dashboard!$C$6="*",F2314=Dashboard!$C$6),L2314&lt;&gt;""),ABS(I2314)+ROW()/1000000000,0)</f>
        <v/>
      </c>
    </row>
    <row r="2315">
      <c r="A2315">
        <f>Data_thang!A2315</f>
        <v/>
      </c>
      <c r="B2315">
        <f>Data_thang!B2315</f>
        <v/>
      </c>
      <c r="C2315">
        <f>Data_thang!D2315</f>
        <v/>
      </c>
      <c r="D2315">
        <f>Data_thang!E2315</f>
        <v/>
      </c>
      <c r="E2315">
        <f>Data_thang!F2315</f>
        <v/>
      </c>
      <c r="F2315">
        <f>Data_thang!G2315</f>
        <v/>
      </c>
      <c r="G2315" s="29">
        <f>Data_thang!J2315-Data_thang!K2315</f>
        <v/>
      </c>
      <c r="H2315" s="29">
        <f>Data_thang!N2315</f>
        <v/>
      </c>
      <c r="I2315" s="29">
        <f>H2315-G2315</f>
        <v/>
      </c>
      <c r="J2315" s="30">
        <f>IF(H2315=0,IF(I2315=0,0,1),I2315/ABS(H2315))</f>
        <v/>
      </c>
      <c r="K2315" s="29">
        <f>H2315-(Data_thang!O2315-Data_thang!K2315)</f>
        <v/>
      </c>
      <c r="L2315">
        <f>IF(AND(ABS(I2315)&gt;Dashboard!$G$6,ABS(J2315)&gt;Dashboard!$H$6),"⚠ Vượt","")</f>
        <v/>
      </c>
      <c r="M2315">
        <f>IF(AND(A2315=Dashboard!$D$6,OR(Dashboard!$C$6="*",F2315=Dashboard!$C$6),L2315&lt;&gt;""),ABS(I2315)+ROW()/1000000000,0)</f>
        <v/>
      </c>
    </row>
    <row r="2316">
      <c r="A2316">
        <f>Data_thang!A2316</f>
        <v/>
      </c>
      <c r="B2316">
        <f>Data_thang!B2316</f>
        <v/>
      </c>
      <c r="C2316">
        <f>Data_thang!D2316</f>
        <v/>
      </c>
      <c r="D2316">
        <f>Data_thang!E2316</f>
        <v/>
      </c>
      <c r="E2316">
        <f>Data_thang!F2316</f>
        <v/>
      </c>
      <c r="F2316">
        <f>Data_thang!G2316</f>
        <v/>
      </c>
      <c r="G2316" s="29">
        <f>Data_thang!J2316-Data_thang!K2316</f>
        <v/>
      </c>
      <c r="H2316" s="29">
        <f>Data_thang!N2316</f>
        <v/>
      </c>
      <c r="I2316" s="29">
        <f>H2316-G2316</f>
        <v/>
      </c>
      <c r="J2316" s="30">
        <f>IF(H2316=0,IF(I2316=0,0,1),I2316/ABS(H2316))</f>
        <v/>
      </c>
      <c r="K2316" s="29">
        <f>H2316-(Data_thang!O2316-Data_thang!K2316)</f>
        <v/>
      </c>
      <c r="L2316">
        <f>IF(AND(ABS(I2316)&gt;Dashboard!$G$6,ABS(J2316)&gt;Dashboard!$H$6),"⚠ Vượt","")</f>
        <v/>
      </c>
      <c r="M2316">
        <f>IF(AND(A2316=Dashboard!$D$6,OR(Dashboard!$C$6="*",F2316=Dashboard!$C$6),L2316&lt;&gt;""),ABS(I2316)+ROW()/1000000000,0)</f>
        <v/>
      </c>
    </row>
    <row r="2317">
      <c r="A2317">
        <f>Data_thang!A2317</f>
        <v/>
      </c>
      <c r="B2317">
        <f>Data_thang!B2317</f>
        <v/>
      </c>
      <c r="C2317">
        <f>Data_thang!D2317</f>
        <v/>
      </c>
      <c r="D2317">
        <f>Data_thang!E2317</f>
        <v/>
      </c>
      <c r="E2317">
        <f>Data_thang!F2317</f>
        <v/>
      </c>
      <c r="F2317">
        <f>Data_thang!G2317</f>
        <v/>
      </c>
      <c r="G2317" s="29">
        <f>Data_thang!J2317-Data_thang!K2317</f>
        <v/>
      </c>
      <c r="H2317" s="29">
        <f>Data_thang!N2317</f>
        <v/>
      </c>
      <c r="I2317" s="29">
        <f>H2317-G2317</f>
        <v/>
      </c>
      <c r="J2317" s="30">
        <f>IF(H2317=0,IF(I2317=0,0,1),I2317/ABS(H2317))</f>
        <v/>
      </c>
      <c r="K2317" s="29">
        <f>H2317-(Data_thang!O2317-Data_thang!K2317)</f>
        <v/>
      </c>
      <c r="L2317">
        <f>IF(AND(ABS(I2317)&gt;Dashboard!$G$6,ABS(J2317)&gt;Dashboard!$H$6),"⚠ Vượt","")</f>
        <v/>
      </c>
      <c r="M2317">
        <f>IF(AND(A2317=Dashboard!$D$6,OR(Dashboard!$C$6="*",F2317=Dashboard!$C$6),L2317&lt;&gt;""),ABS(I2317)+ROW()/1000000000,0)</f>
        <v/>
      </c>
    </row>
    <row r="2318">
      <c r="A2318">
        <f>Data_thang!A2318</f>
        <v/>
      </c>
      <c r="B2318">
        <f>Data_thang!B2318</f>
        <v/>
      </c>
      <c r="C2318">
        <f>Data_thang!D2318</f>
        <v/>
      </c>
      <c r="D2318">
        <f>Data_thang!E2318</f>
        <v/>
      </c>
      <c r="E2318">
        <f>Data_thang!F2318</f>
        <v/>
      </c>
      <c r="F2318">
        <f>Data_thang!G2318</f>
        <v/>
      </c>
      <c r="G2318" s="29">
        <f>Data_thang!J2318-Data_thang!K2318</f>
        <v/>
      </c>
      <c r="H2318" s="29">
        <f>Data_thang!N2318</f>
        <v/>
      </c>
      <c r="I2318" s="29">
        <f>H2318-G2318</f>
        <v/>
      </c>
      <c r="J2318" s="30">
        <f>IF(H2318=0,IF(I2318=0,0,1),I2318/ABS(H2318))</f>
        <v/>
      </c>
      <c r="K2318" s="29">
        <f>H2318-(Data_thang!O2318-Data_thang!K2318)</f>
        <v/>
      </c>
      <c r="L2318">
        <f>IF(AND(ABS(I2318)&gt;Dashboard!$G$6,ABS(J2318)&gt;Dashboard!$H$6),"⚠ Vượt","")</f>
        <v/>
      </c>
      <c r="M2318">
        <f>IF(AND(A2318=Dashboard!$D$6,OR(Dashboard!$C$6="*",F2318=Dashboard!$C$6),L2318&lt;&gt;""),ABS(I2318)+ROW()/1000000000,0)</f>
        <v/>
      </c>
    </row>
    <row r="2319">
      <c r="A2319">
        <f>Data_thang!A2319</f>
        <v/>
      </c>
      <c r="B2319">
        <f>Data_thang!B2319</f>
        <v/>
      </c>
      <c r="C2319">
        <f>Data_thang!D2319</f>
        <v/>
      </c>
      <c r="D2319">
        <f>Data_thang!E2319</f>
        <v/>
      </c>
      <c r="E2319">
        <f>Data_thang!F2319</f>
        <v/>
      </c>
      <c r="F2319">
        <f>Data_thang!G2319</f>
        <v/>
      </c>
      <c r="G2319" s="29">
        <f>Data_thang!J2319-Data_thang!K2319</f>
        <v/>
      </c>
      <c r="H2319" s="29">
        <f>Data_thang!N2319</f>
        <v/>
      </c>
      <c r="I2319" s="29">
        <f>H2319-G2319</f>
        <v/>
      </c>
      <c r="J2319" s="30">
        <f>IF(H2319=0,IF(I2319=0,0,1),I2319/ABS(H2319))</f>
        <v/>
      </c>
      <c r="K2319" s="29">
        <f>H2319-(Data_thang!O2319-Data_thang!K2319)</f>
        <v/>
      </c>
      <c r="L2319">
        <f>IF(AND(ABS(I2319)&gt;Dashboard!$G$6,ABS(J2319)&gt;Dashboard!$H$6),"⚠ Vượt","")</f>
        <v/>
      </c>
      <c r="M2319">
        <f>IF(AND(A2319=Dashboard!$D$6,OR(Dashboard!$C$6="*",F2319=Dashboard!$C$6),L2319&lt;&gt;""),ABS(I2319)+ROW()/1000000000,0)</f>
        <v/>
      </c>
    </row>
    <row r="2320">
      <c r="A2320">
        <f>Data_thang!A2320</f>
        <v/>
      </c>
      <c r="B2320">
        <f>Data_thang!B2320</f>
        <v/>
      </c>
      <c r="C2320">
        <f>Data_thang!D2320</f>
        <v/>
      </c>
      <c r="D2320">
        <f>Data_thang!E2320</f>
        <v/>
      </c>
      <c r="E2320">
        <f>Data_thang!F2320</f>
        <v/>
      </c>
      <c r="F2320">
        <f>Data_thang!G2320</f>
        <v/>
      </c>
      <c r="G2320" s="29">
        <f>Data_thang!J2320-Data_thang!K2320</f>
        <v/>
      </c>
      <c r="H2320" s="29">
        <f>Data_thang!N2320</f>
        <v/>
      </c>
      <c r="I2320" s="29">
        <f>H2320-G2320</f>
        <v/>
      </c>
      <c r="J2320" s="30">
        <f>IF(H2320=0,IF(I2320=0,0,1),I2320/ABS(H2320))</f>
        <v/>
      </c>
      <c r="K2320" s="29">
        <f>H2320-(Data_thang!O2320-Data_thang!K2320)</f>
        <v/>
      </c>
      <c r="L2320">
        <f>IF(AND(ABS(I2320)&gt;Dashboard!$G$6,ABS(J2320)&gt;Dashboard!$H$6),"⚠ Vượt","")</f>
        <v/>
      </c>
      <c r="M2320">
        <f>IF(AND(A2320=Dashboard!$D$6,OR(Dashboard!$C$6="*",F2320=Dashboard!$C$6),L2320&lt;&gt;""),ABS(I2320)+ROW()/1000000000,0)</f>
        <v/>
      </c>
    </row>
    <row r="2321">
      <c r="A2321">
        <f>Data_thang!A2321</f>
        <v/>
      </c>
      <c r="B2321">
        <f>Data_thang!B2321</f>
        <v/>
      </c>
      <c r="C2321">
        <f>Data_thang!D2321</f>
        <v/>
      </c>
      <c r="D2321">
        <f>Data_thang!E2321</f>
        <v/>
      </c>
      <c r="E2321">
        <f>Data_thang!F2321</f>
        <v/>
      </c>
      <c r="F2321">
        <f>Data_thang!G2321</f>
        <v/>
      </c>
      <c r="G2321" s="29">
        <f>Data_thang!J2321-Data_thang!K2321</f>
        <v/>
      </c>
      <c r="H2321" s="29">
        <f>Data_thang!N2321</f>
        <v/>
      </c>
      <c r="I2321" s="29">
        <f>H2321-G2321</f>
        <v/>
      </c>
      <c r="J2321" s="30">
        <f>IF(H2321=0,IF(I2321=0,0,1),I2321/ABS(H2321))</f>
        <v/>
      </c>
      <c r="K2321" s="29">
        <f>H2321-(Data_thang!O2321-Data_thang!K2321)</f>
        <v/>
      </c>
      <c r="L2321">
        <f>IF(AND(ABS(I2321)&gt;Dashboard!$G$6,ABS(J2321)&gt;Dashboard!$H$6),"⚠ Vượt","")</f>
        <v/>
      </c>
      <c r="M2321">
        <f>IF(AND(A2321=Dashboard!$D$6,OR(Dashboard!$C$6="*",F2321=Dashboard!$C$6),L2321&lt;&gt;""),ABS(I2321)+ROW()/1000000000,0)</f>
        <v/>
      </c>
    </row>
    <row r="2322">
      <c r="A2322">
        <f>Data_thang!A2322</f>
        <v/>
      </c>
      <c r="B2322">
        <f>Data_thang!B2322</f>
        <v/>
      </c>
      <c r="C2322">
        <f>Data_thang!D2322</f>
        <v/>
      </c>
      <c r="D2322">
        <f>Data_thang!E2322</f>
        <v/>
      </c>
      <c r="E2322">
        <f>Data_thang!F2322</f>
        <v/>
      </c>
      <c r="F2322">
        <f>Data_thang!G2322</f>
        <v/>
      </c>
      <c r="G2322" s="29">
        <f>Data_thang!J2322-Data_thang!K2322</f>
        <v/>
      </c>
      <c r="H2322" s="29">
        <f>Data_thang!N2322</f>
        <v/>
      </c>
      <c r="I2322" s="29">
        <f>H2322-G2322</f>
        <v/>
      </c>
      <c r="J2322" s="30">
        <f>IF(H2322=0,IF(I2322=0,0,1),I2322/ABS(H2322))</f>
        <v/>
      </c>
      <c r="K2322" s="29">
        <f>H2322-(Data_thang!O2322-Data_thang!K2322)</f>
        <v/>
      </c>
      <c r="L2322">
        <f>IF(AND(ABS(I2322)&gt;Dashboard!$G$6,ABS(J2322)&gt;Dashboard!$H$6),"⚠ Vượt","")</f>
        <v/>
      </c>
      <c r="M2322">
        <f>IF(AND(A2322=Dashboard!$D$6,OR(Dashboard!$C$6="*",F2322=Dashboard!$C$6),L2322&lt;&gt;""),ABS(I2322)+ROW()/1000000000,0)</f>
        <v/>
      </c>
    </row>
    <row r="2323">
      <c r="A2323">
        <f>Data_thang!A2323</f>
        <v/>
      </c>
      <c r="B2323">
        <f>Data_thang!B2323</f>
        <v/>
      </c>
      <c r="C2323">
        <f>Data_thang!D2323</f>
        <v/>
      </c>
      <c r="D2323">
        <f>Data_thang!E2323</f>
        <v/>
      </c>
      <c r="E2323">
        <f>Data_thang!F2323</f>
        <v/>
      </c>
      <c r="F2323">
        <f>Data_thang!G2323</f>
        <v/>
      </c>
      <c r="G2323" s="29">
        <f>Data_thang!J2323-Data_thang!K2323</f>
        <v/>
      </c>
      <c r="H2323" s="29">
        <f>Data_thang!N2323</f>
        <v/>
      </c>
      <c r="I2323" s="29">
        <f>H2323-G2323</f>
        <v/>
      </c>
      <c r="J2323" s="30">
        <f>IF(H2323=0,IF(I2323=0,0,1),I2323/ABS(H2323))</f>
        <v/>
      </c>
      <c r="K2323" s="29">
        <f>H2323-(Data_thang!O2323-Data_thang!K2323)</f>
        <v/>
      </c>
      <c r="L2323">
        <f>IF(AND(ABS(I2323)&gt;Dashboard!$G$6,ABS(J2323)&gt;Dashboard!$H$6),"⚠ Vượt","")</f>
        <v/>
      </c>
      <c r="M2323">
        <f>IF(AND(A2323=Dashboard!$D$6,OR(Dashboard!$C$6="*",F2323=Dashboard!$C$6),L2323&lt;&gt;""),ABS(I2323)+ROW()/1000000000,0)</f>
        <v/>
      </c>
    </row>
    <row r="2324">
      <c r="A2324">
        <f>Data_thang!A2324</f>
        <v/>
      </c>
      <c r="B2324">
        <f>Data_thang!B2324</f>
        <v/>
      </c>
      <c r="C2324">
        <f>Data_thang!D2324</f>
        <v/>
      </c>
      <c r="D2324">
        <f>Data_thang!E2324</f>
        <v/>
      </c>
      <c r="E2324">
        <f>Data_thang!F2324</f>
        <v/>
      </c>
      <c r="F2324">
        <f>Data_thang!G2324</f>
        <v/>
      </c>
      <c r="G2324" s="29">
        <f>Data_thang!J2324-Data_thang!K2324</f>
        <v/>
      </c>
      <c r="H2324" s="29">
        <f>Data_thang!N2324</f>
        <v/>
      </c>
      <c r="I2324" s="29">
        <f>H2324-G2324</f>
        <v/>
      </c>
      <c r="J2324" s="30">
        <f>IF(H2324=0,IF(I2324=0,0,1),I2324/ABS(H2324))</f>
        <v/>
      </c>
      <c r="K2324" s="29">
        <f>H2324-(Data_thang!O2324-Data_thang!K2324)</f>
        <v/>
      </c>
      <c r="L2324">
        <f>IF(AND(ABS(I2324)&gt;Dashboard!$G$6,ABS(J2324)&gt;Dashboard!$H$6),"⚠ Vượt","")</f>
        <v/>
      </c>
      <c r="M2324">
        <f>IF(AND(A2324=Dashboard!$D$6,OR(Dashboard!$C$6="*",F2324=Dashboard!$C$6),L2324&lt;&gt;""),ABS(I2324)+ROW()/1000000000,0)</f>
        <v/>
      </c>
    </row>
    <row r="2325">
      <c r="A2325">
        <f>Data_thang!A2325</f>
        <v/>
      </c>
      <c r="B2325">
        <f>Data_thang!B2325</f>
        <v/>
      </c>
      <c r="C2325">
        <f>Data_thang!D2325</f>
        <v/>
      </c>
      <c r="D2325">
        <f>Data_thang!E2325</f>
        <v/>
      </c>
      <c r="E2325">
        <f>Data_thang!F2325</f>
        <v/>
      </c>
      <c r="F2325">
        <f>Data_thang!G2325</f>
        <v/>
      </c>
      <c r="G2325" s="29">
        <f>Data_thang!J2325-Data_thang!K2325</f>
        <v/>
      </c>
      <c r="H2325" s="29">
        <f>Data_thang!N2325</f>
        <v/>
      </c>
      <c r="I2325" s="29">
        <f>H2325-G2325</f>
        <v/>
      </c>
      <c r="J2325" s="30">
        <f>IF(H2325=0,IF(I2325=0,0,1),I2325/ABS(H2325))</f>
        <v/>
      </c>
      <c r="K2325" s="29">
        <f>H2325-(Data_thang!O2325-Data_thang!K2325)</f>
        <v/>
      </c>
      <c r="L2325">
        <f>IF(AND(ABS(I2325)&gt;Dashboard!$G$6,ABS(J2325)&gt;Dashboard!$H$6),"⚠ Vượt","")</f>
        <v/>
      </c>
      <c r="M2325">
        <f>IF(AND(A2325=Dashboard!$D$6,OR(Dashboard!$C$6="*",F2325=Dashboard!$C$6),L2325&lt;&gt;""),ABS(I2325)+ROW()/1000000000,0)</f>
        <v/>
      </c>
    </row>
    <row r="2326">
      <c r="A2326">
        <f>Data_thang!A2326</f>
        <v/>
      </c>
      <c r="B2326">
        <f>Data_thang!B2326</f>
        <v/>
      </c>
      <c r="C2326">
        <f>Data_thang!D2326</f>
        <v/>
      </c>
      <c r="D2326">
        <f>Data_thang!E2326</f>
        <v/>
      </c>
      <c r="E2326">
        <f>Data_thang!F2326</f>
        <v/>
      </c>
      <c r="F2326">
        <f>Data_thang!G2326</f>
        <v/>
      </c>
      <c r="G2326" s="29">
        <f>Data_thang!J2326-Data_thang!K2326</f>
        <v/>
      </c>
      <c r="H2326" s="29">
        <f>Data_thang!N2326</f>
        <v/>
      </c>
      <c r="I2326" s="29">
        <f>H2326-G2326</f>
        <v/>
      </c>
      <c r="J2326" s="30">
        <f>IF(H2326=0,IF(I2326=0,0,1),I2326/ABS(H2326))</f>
        <v/>
      </c>
      <c r="K2326" s="29">
        <f>H2326-(Data_thang!O2326-Data_thang!K2326)</f>
        <v/>
      </c>
      <c r="L2326">
        <f>IF(AND(ABS(I2326)&gt;Dashboard!$G$6,ABS(J2326)&gt;Dashboard!$H$6),"⚠ Vượt","")</f>
        <v/>
      </c>
      <c r="M2326">
        <f>IF(AND(A2326=Dashboard!$D$6,OR(Dashboard!$C$6="*",F2326=Dashboard!$C$6),L2326&lt;&gt;""),ABS(I2326)+ROW()/1000000000,0)</f>
        <v/>
      </c>
    </row>
    <row r="2327">
      <c r="A2327">
        <f>Data_thang!A2327</f>
        <v/>
      </c>
      <c r="B2327">
        <f>Data_thang!B2327</f>
        <v/>
      </c>
      <c r="C2327">
        <f>Data_thang!D2327</f>
        <v/>
      </c>
      <c r="D2327">
        <f>Data_thang!E2327</f>
        <v/>
      </c>
      <c r="E2327">
        <f>Data_thang!F2327</f>
        <v/>
      </c>
      <c r="F2327">
        <f>Data_thang!G2327</f>
        <v/>
      </c>
      <c r="G2327" s="29">
        <f>Data_thang!J2327-Data_thang!K2327</f>
        <v/>
      </c>
      <c r="H2327" s="29">
        <f>Data_thang!N2327</f>
        <v/>
      </c>
      <c r="I2327" s="29">
        <f>H2327-G2327</f>
        <v/>
      </c>
      <c r="J2327" s="30">
        <f>IF(H2327=0,IF(I2327=0,0,1),I2327/ABS(H2327))</f>
        <v/>
      </c>
      <c r="K2327" s="29">
        <f>H2327-(Data_thang!O2327-Data_thang!K2327)</f>
        <v/>
      </c>
      <c r="L2327">
        <f>IF(AND(ABS(I2327)&gt;Dashboard!$G$6,ABS(J2327)&gt;Dashboard!$H$6),"⚠ Vượt","")</f>
        <v/>
      </c>
      <c r="M2327">
        <f>IF(AND(A2327=Dashboard!$D$6,OR(Dashboard!$C$6="*",F2327=Dashboard!$C$6),L2327&lt;&gt;""),ABS(I2327)+ROW()/1000000000,0)</f>
        <v/>
      </c>
    </row>
    <row r="2328">
      <c r="A2328">
        <f>Data_thang!A2328</f>
        <v/>
      </c>
      <c r="B2328">
        <f>Data_thang!B2328</f>
        <v/>
      </c>
      <c r="C2328">
        <f>Data_thang!D2328</f>
        <v/>
      </c>
      <c r="D2328">
        <f>Data_thang!E2328</f>
        <v/>
      </c>
      <c r="E2328">
        <f>Data_thang!F2328</f>
        <v/>
      </c>
      <c r="F2328">
        <f>Data_thang!G2328</f>
        <v/>
      </c>
      <c r="G2328" s="29">
        <f>Data_thang!J2328-Data_thang!K2328</f>
        <v/>
      </c>
      <c r="H2328" s="29">
        <f>Data_thang!N2328</f>
        <v/>
      </c>
      <c r="I2328" s="29">
        <f>H2328-G2328</f>
        <v/>
      </c>
      <c r="J2328" s="30">
        <f>IF(H2328=0,IF(I2328=0,0,1),I2328/ABS(H2328))</f>
        <v/>
      </c>
      <c r="K2328" s="29">
        <f>H2328-(Data_thang!O2328-Data_thang!K2328)</f>
        <v/>
      </c>
      <c r="L2328">
        <f>IF(AND(ABS(I2328)&gt;Dashboard!$G$6,ABS(J2328)&gt;Dashboard!$H$6),"⚠ Vượt","")</f>
        <v/>
      </c>
      <c r="M2328">
        <f>IF(AND(A2328=Dashboard!$D$6,OR(Dashboard!$C$6="*",F2328=Dashboard!$C$6),L2328&lt;&gt;""),ABS(I2328)+ROW()/1000000000,0)</f>
        <v/>
      </c>
    </row>
    <row r="2329">
      <c r="A2329">
        <f>Data_thang!A2329</f>
        <v/>
      </c>
      <c r="B2329">
        <f>Data_thang!B2329</f>
        <v/>
      </c>
      <c r="C2329">
        <f>Data_thang!D2329</f>
        <v/>
      </c>
      <c r="D2329">
        <f>Data_thang!E2329</f>
        <v/>
      </c>
      <c r="E2329">
        <f>Data_thang!F2329</f>
        <v/>
      </c>
      <c r="F2329">
        <f>Data_thang!G2329</f>
        <v/>
      </c>
      <c r="G2329" s="29">
        <f>Data_thang!J2329-Data_thang!K2329</f>
        <v/>
      </c>
      <c r="H2329" s="29">
        <f>Data_thang!N2329</f>
        <v/>
      </c>
      <c r="I2329" s="29">
        <f>H2329-G2329</f>
        <v/>
      </c>
      <c r="J2329" s="30">
        <f>IF(H2329=0,IF(I2329=0,0,1),I2329/ABS(H2329))</f>
        <v/>
      </c>
      <c r="K2329" s="29">
        <f>H2329-(Data_thang!O2329-Data_thang!K2329)</f>
        <v/>
      </c>
      <c r="L2329">
        <f>IF(AND(ABS(I2329)&gt;Dashboard!$G$6,ABS(J2329)&gt;Dashboard!$H$6),"⚠ Vượt","")</f>
        <v/>
      </c>
      <c r="M2329">
        <f>IF(AND(A2329=Dashboard!$D$6,OR(Dashboard!$C$6="*",F2329=Dashboard!$C$6),L2329&lt;&gt;""),ABS(I2329)+ROW()/1000000000,0)</f>
        <v/>
      </c>
    </row>
    <row r="2330">
      <c r="A2330">
        <f>Data_thang!A2330</f>
        <v/>
      </c>
      <c r="B2330">
        <f>Data_thang!B2330</f>
        <v/>
      </c>
      <c r="C2330">
        <f>Data_thang!D2330</f>
        <v/>
      </c>
      <c r="D2330">
        <f>Data_thang!E2330</f>
        <v/>
      </c>
      <c r="E2330">
        <f>Data_thang!F2330</f>
        <v/>
      </c>
      <c r="F2330">
        <f>Data_thang!G2330</f>
        <v/>
      </c>
      <c r="G2330" s="29">
        <f>Data_thang!J2330-Data_thang!K2330</f>
        <v/>
      </c>
      <c r="H2330" s="29">
        <f>Data_thang!N2330</f>
        <v/>
      </c>
      <c r="I2330" s="29">
        <f>H2330-G2330</f>
        <v/>
      </c>
      <c r="J2330" s="30">
        <f>IF(H2330=0,IF(I2330=0,0,1),I2330/ABS(H2330))</f>
        <v/>
      </c>
      <c r="K2330" s="29">
        <f>H2330-(Data_thang!O2330-Data_thang!K2330)</f>
        <v/>
      </c>
      <c r="L2330">
        <f>IF(AND(ABS(I2330)&gt;Dashboard!$G$6,ABS(J2330)&gt;Dashboard!$H$6),"⚠ Vượt","")</f>
        <v/>
      </c>
      <c r="M2330">
        <f>IF(AND(A2330=Dashboard!$D$6,OR(Dashboard!$C$6="*",F2330=Dashboard!$C$6),L2330&lt;&gt;""),ABS(I2330)+ROW()/1000000000,0)</f>
        <v/>
      </c>
    </row>
    <row r="2331">
      <c r="A2331">
        <f>Data_thang!A2331</f>
        <v/>
      </c>
      <c r="B2331">
        <f>Data_thang!B2331</f>
        <v/>
      </c>
      <c r="C2331">
        <f>Data_thang!D2331</f>
        <v/>
      </c>
      <c r="D2331">
        <f>Data_thang!E2331</f>
        <v/>
      </c>
      <c r="E2331">
        <f>Data_thang!F2331</f>
        <v/>
      </c>
      <c r="F2331">
        <f>Data_thang!G2331</f>
        <v/>
      </c>
      <c r="G2331" s="29">
        <f>Data_thang!J2331-Data_thang!K2331</f>
        <v/>
      </c>
      <c r="H2331" s="29">
        <f>Data_thang!N2331</f>
        <v/>
      </c>
      <c r="I2331" s="29">
        <f>H2331-G2331</f>
        <v/>
      </c>
      <c r="J2331" s="30">
        <f>IF(H2331=0,IF(I2331=0,0,1),I2331/ABS(H2331))</f>
        <v/>
      </c>
      <c r="K2331" s="29">
        <f>H2331-(Data_thang!O2331-Data_thang!K2331)</f>
        <v/>
      </c>
      <c r="L2331">
        <f>IF(AND(ABS(I2331)&gt;Dashboard!$G$6,ABS(J2331)&gt;Dashboard!$H$6),"⚠ Vượt","")</f>
        <v/>
      </c>
      <c r="M2331">
        <f>IF(AND(A2331=Dashboard!$D$6,OR(Dashboard!$C$6="*",F2331=Dashboard!$C$6),L2331&lt;&gt;""),ABS(I2331)+ROW()/1000000000,0)</f>
        <v/>
      </c>
    </row>
    <row r="2332">
      <c r="A2332">
        <f>Data_thang!A2332</f>
        <v/>
      </c>
      <c r="B2332">
        <f>Data_thang!B2332</f>
        <v/>
      </c>
      <c r="C2332">
        <f>Data_thang!D2332</f>
        <v/>
      </c>
      <c r="D2332">
        <f>Data_thang!E2332</f>
        <v/>
      </c>
      <c r="E2332">
        <f>Data_thang!F2332</f>
        <v/>
      </c>
      <c r="F2332">
        <f>Data_thang!G2332</f>
        <v/>
      </c>
      <c r="G2332" s="29">
        <f>Data_thang!J2332-Data_thang!K2332</f>
        <v/>
      </c>
      <c r="H2332" s="29">
        <f>Data_thang!N2332</f>
        <v/>
      </c>
      <c r="I2332" s="29">
        <f>H2332-G2332</f>
        <v/>
      </c>
      <c r="J2332" s="30">
        <f>IF(H2332=0,IF(I2332=0,0,1),I2332/ABS(H2332))</f>
        <v/>
      </c>
      <c r="K2332" s="29">
        <f>H2332-(Data_thang!O2332-Data_thang!K2332)</f>
        <v/>
      </c>
      <c r="L2332">
        <f>IF(AND(ABS(I2332)&gt;Dashboard!$G$6,ABS(J2332)&gt;Dashboard!$H$6),"⚠ Vượt","")</f>
        <v/>
      </c>
      <c r="M2332">
        <f>IF(AND(A2332=Dashboard!$D$6,OR(Dashboard!$C$6="*",F2332=Dashboard!$C$6),L2332&lt;&gt;""),ABS(I2332)+ROW()/1000000000,0)</f>
        <v/>
      </c>
    </row>
    <row r="2333">
      <c r="A2333">
        <f>Data_thang!A2333</f>
        <v/>
      </c>
      <c r="B2333">
        <f>Data_thang!B2333</f>
        <v/>
      </c>
      <c r="C2333">
        <f>Data_thang!D2333</f>
        <v/>
      </c>
      <c r="D2333">
        <f>Data_thang!E2333</f>
        <v/>
      </c>
      <c r="E2333">
        <f>Data_thang!F2333</f>
        <v/>
      </c>
      <c r="F2333">
        <f>Data_thang!G2333</f>
        <v/>
      </c>
      <c r="G2333" s="29">
        <f>Data_thang!J2333-Data_thang!K2333</f>
        <v/>
      </c>
      <c r="H2333" s="29">
        <f>Data_thang!N2333</f>
        <v/>
      </c>
      <c r="I2333" s="29">
        <f>H2333-G2333</f>
        <v/>
      </c>
      <c r="J2333" s="30">
        <f>IF(H2333=0,IF(I2333=0,0,1),I2333/ABS(H2333))</f>
        <v/>
      </c>
      <c r="K2333" s="29">
        <f>H2333-(Data_thang!O2333-Data_thang!K2333)</f>
        <v/>
      </c>
      <c r="L2333">
        <f>IF(AND(ABS(I2333)&gt;Dashboard!$G$6,ABS(J2333)&gt;Dashboard!$H$6),"⚠ Vượt","")</f>
        <v/>
      </c>
      <c r="M2333">
        <f>IF(AND(A2333=Dashboard!$D$6,OR(Dashboard!$C$6="*",F2333=Dashboard!$C$6),L2333&lt;&gt;""),ABS(I2333)+ROW()/1000000000,0)</f>
        <v/>
      </c>
    </row>
    <row r="2334">
      <c r="A2334">
        <f>Data_thang!A2334</f>
        <v/>
      </c>
      <c r="B2334">
        <f>Data_thang!B2334</f>
        <v/>
      </c>
      <c r="C2334">
        <f>Data_thang!D2334</f>
        <v/>
      </c>
      <c r="D2334">
        <f>Data_thang!E2334</f>
        <v/>
      </c>
      <c r="E2334">
        <f>Data_thang!F2334</f>
        <v/>
      </c>
      <c r="F2334">
        <f>Data_thang!G2334</f>
        <v/>
      </c>
      <c r="G2334" s="29">
        <f>Data_thang!J2334-Data_thang!K2334</f>
        <v/>
      </c>
      <c r="H2334" s="29">
        <f>Data_thang!N2334</f>
        <v/>
      </c>
      <c r="I2334" s="29">
        <f>H2334-G2334</f>
        <v/>
      </c>
      <c r="J2334" s="30">
        <f>IF(H2334=0,IF(I2334=0,0,1),I2334/ABS(H2334))</f>
        <v/>
      </c>
      <c r="K2334" s="29">
        <f>H2334-(Data_thang!O2334-Data_thang!K2334)</f>
        <v/>
      </c>
      <c r="L2334">
        <f>IF(AND(ABS(I2334)&gt;Dashboard!$G$6,ABS(J2334)&gt;Dashboard!$H$6),"⚠ Vượt","")</f>
        <v/>
      </c>
      <c r="M2334">
        <f>IF(AND(A2334=Dashboard!$D$6,OR(Dashboard!$C$6="*",F2334=Dashboard!$C$6),L2334&lt;&gt;""),ABS(I2334)+ROW()/1000000000,0)</f>
        <v/>
      </c>
    </row>
    <row r="2335">
      <c r="A2335">
        <f>Data_thang!A2335</f>
        <v/>
      </c>
      <c r="B2335">
        <f>Data_thang!B2335</f>
        <v/>
      </c>
      <c r="C2335">
        <f>Data_thang!D2335</f>
        <v/>
      </c>
      <c r="D2335">
        <f>Data_thang!E2335</f>
        <v/>
      </c>
      <c r="E2335">
        <f>Data_thang!F2335</f>
        <v/>
      </c>
      <c r="F2335">
        <f>Data_thang!G2335</f>
        <v/>
      </c>
      <c r="G2335" s="29">
        <f>Data_thang!J2335-Data_thang!K2335</f>
        <v/>
      </c>
      <c r="H2335" s="29">
        <f>Data_thang!N2335</f>
        <v/>
      </c>
      <c r="I2335" s="29">
        <f>H2335-G2335</f>
        <v/>
      </c>
      <c r="J2335" s="30">
        <f>IF(H2335=0,IF(I2335=0,0,1),I2335/ABS(H2335))</f>
        <v/>
      </c>
      <c r="K2335" s="29">
        <f>H2335-(Data_thang!O2335-Data_thang!K2335)</f>
        <v/>
      </c>
      <c r="L2335">
        <f>IF(AND(ABS(I2335)&gt;Dashboard!$G$6,ABS(J2335)&gt;Dashboard!$H$6),"⚠ Vượt","")</f>
        <v/>
      </c>
      <c r="M2335">
        <f>IF(AND(A2335=Dashboard!$D$6,OR(Dashboard!$C$6="*",F2335=Dashboard!$C$6),L2335&lt;&gt;""),ABS(I2335)+ROW()/1000000000,0)</f>
        <v/>
      </c>
    </row>
    <row r="2336">
      <c r="A2336">
        <f>Data_thang!A2336</f>
        <v/>
      </c>
      <c r="B2336">
        <f>Data_thang!B2336</f>
        <v/>
      </c>
      <c r="C2336">
        <f>Data_thang!D2336</f>
        <v/>
      </c>
      <c r="D2336">
        <f>Data_thang!E2336</f>
        <v/>
      </c>
      <c r="E2336">
        <f>Data_thang!F2336</f>
        <v/>
      </c>
      <c r="F2336">
        <f>Data_thang!G2336</f>
        <v/>
      </c>
      <c r="G2336" s="29">
        <f>Data_thang!J2336-Data_thang!K2336</f>
        <v/>
      </c>
      <c r="H2336" s="29">
        <f>Data_thang!N2336</f>
        <v/>
      </c>
      <c r="I2336" s="29">
        <f>H2336-G2336</f>
        <v/>
      </c>
      <c r="J2336" s="30">
        <f>IF(H2336=0,IF(I2336=0,0,1),I2336/ABS(H2336))</f>
        <v/>
      </c>
      <c r="K2336" s="29">
        <f>H2336-(Data_thang!O2336-Data_thang!K2336)</f>
        <v/>
      </c>
      <c r="L2336">
        <f>IF(AND(ABS(I2336)&gt;Dashboard!$G$6,ABS(J2336)&gt;Dashboard!$H$6),"⚠ Vượt","")</f>
        <v/>
      </c>
      <c r="M2336">
        <f>IF(AND(A2336=Dashboard!$D$6,OR(Dashboard!$C$6="*",F2336=Dashboard!$C$6),L2336&lt;&gt;""),ABS(I2336)+ROW()/1000000000,0)</f>
        <v/>
      </c>
    </row>
    <row r="2337">
      <c r="A2337">
        <f>Data_thang!A2337</f>
        <v/>
      </c>
      <c r="B2337">
        <f>Data_thang!B2337</f>
        <v/>
      </c>
      <c r="C2337">
        <f>Data_thang!D2337</f>
        <v/>
      </c>
      <c r="D2337">
        <f>Data_thang!E2337</f>
        <v/>
      </c>
      <c r="E2337">
        <f>Data_thang!F2337</f>
        <v/>
      </c>
      <c r="F2337">
        <f>Data_thang!G2337</f>
        <v/>
      </c>
      <c r="G2337" s="29">
        <f>Data_thang!J2337-Data_thang!K2337</f>
        <v/>
      </c>
      <c r="H2337" s="29">
        <f>Data_thang!N2337</f>
        <v/>
      </c>
      <c r="I2337" s="29">
        <f>H2337-G2337</f>
        <v/>
      </c>
      <c r="J2337" s="30">
        <f>IF(H2337=0,IF(I2337=0,0,1),I2337/ABS(H2337))</f>
        <v/>
      </c>
      <c r="K2337" s="29">
        <f>H2337-(Data_thang!O2337-Data_thang!K2337)</f>
        <v/>
      </c>
      <c r="L2337">
        <f>IF(AND(ABS(I2337)&gt;Dashboard!$G$6,ABS(J2337)&gt;Dashboard!$H$6),"⚠ Vượt","")</f>
        <v/>
      </c>
      <c r="M2337">
        <f>IF(AND(A2337=Dashboard!$D$6,OR(Dashboard!$C$6="*",F2337=Dashboard!$C$6),L2337&lt;&gt;""),ABS(I2337)+ROW()/1000000000,0)</f>
        <v/>
      </c>
    </row>
    <row r="2338">
      <c r="A2338">
        <f>Data_thang!A2338</f>
        <v/>
      </c>
      <c r="B2338">
        <f>Data_thang!B2338</f>
        <v/>
      </c>
      <c r="C2338">
        <f>Data_thang!D2338</f>
        <v/>
      </c>
      <c r="D2338">
        <f>Data_thang!E2338</f>
        <v/>
      </c>
      <c r="E2338">
        <f>Data_thang!F2338</f>
        <v/>
      </c>
      <c r="F2338">
        <f>Data_thang!G2338</f>
        <v/>
      </c>
      <c r="G2338" s="29">
        <f>Data_thang!J2338-Data_thang!K2338</f>
        <v/>
      </c>
      <c r="H2338" s="29">
        <f>Data_thang!N2338</f>
        <v/>
      </c>
      <c r="I2338" s="29">
        <f>H2338-G2338</f>
        <v/>
      </c>
      <c r="J2338" s="30">
        <f>IF(H2338=0,IF(I2338=0,0,1),I2338/ABS(H2338))</f>
        <v/>
      </c>
      <c r="K2338" s="29">
        <f>H2338-(Data_thang!O2338-Data_thang!K2338)</f>
        <v/>
      </c>
      <c r="L2338">
        <f>IF(AND(ABS(I2338)&gt;Dashboard!$G$6,ABS(J2338)&gt;Dashboard!$H$6),"⚠ Vượt","")</f>
        <v/>
      </c>
      <c r="M2338">
        <f>IF(AND(A2338=Dashboard!$D$6,OR(Dashboard!$C$6="*",F2338=Dashboard!$C$6),L2338&lt;&gt;""),ABS(I2338)+ROW()/1000000000,0)</f>
        <v/>
      </c>
    </row>
    <row r="2339">
      <c r="A2339">
        <f>Data_thang!A2339</f>
        <v/>
      </c>
      <c r="B2339">
        <f>Data_thang!B2339</f>
        <v/>
      </c>
      <c r="C2339">
        <f>Data_thang!D2339</f>
        <v/>
      </c>
      <c r="D2339">
        <f>Data_thang!E2339</f>
        <v/>
      </c>
      <c r="E2339">
        <f>Data_thang!F2339</f>
        <v/>
      </c>
      <c r="F2339">
        <f>Data_thang!G2339</f>
        <v/>
      </c>
      <c r="G2339" s="29">
        <f>Data_thang!J2339-Data_thang!K2339</f>
        <v/>
      </c>
      <c r="H2339" s="29">
        <f>Data_thang!N2339</f>
        <v/>
      </c>
      <c r="I2339" s="29">
        <f>H2339-G2339</f>
        <v/>
      </c>
      <c r="J2339" s="30">
        <f>IF(H2339=0,IF(I2339=0,0,1),I2339/ABS(H2339))</f>
        <v/>
      </c>
      <c r="K2339" s="29">
        <f>H2339-(Data_thang!O2339-Data_thang!K2339)</f>
        <v/>
      </c>
      <c r="L2339">
        <f>IF(AND(ABS(I2339)&gt;Dashboard!$G$6,ABS(J2339)&gt;Dashboard!$H$6),"⚠ Vượt","")</f>
        <v/>
      </c>
      <c r="M2339">
        <f>IF(AND(A2339=Dashboard!$D$6,OR(Dashboard!$C$6="*",F2339=Dashboard!$C$6),L2339&lt;&gt;""),ABS(I2339)+ROW()/1000000000,0)</f>
        <v/>
      </c>
    </row>
    <row r="2340">
      <c r="A2340">
        <f>Data_thang!A2340</f>
        <v/>
      </c>
      <c r="B2340">
        <f>Data_thang!B2340</f>
        <v/>
      </c>
      <c r="C2340">
        <f>Data_thang!D2340</f>
        <v/>
      </c>
      <c r="D2340">
        <f>Data_thang!E2340</f>
        <v/>
      </c>
      <c r="E2340">
        <f>Data_thang!F2340</f>
        <v/>
      </c>
      <c r="F2340">
        <f>Data_thang!G2340</f>
        <v/>
      </c>
      <c r="G2340" s="29">
        <f>Data_thang!J2340-Data_thang!K2340</f>
        <v/>
      </c>
      <c r="H2340" s="29">
        <f>Data_thang!N2340</f>
        <v/>
      </c>
      <c r="I2340" s="29">
        <f>H2340-G2340</f>
        <v/>
      </c>
      <c r="J2340" s="30">
        <f>IF(H2340=0,IF(I2340=0,0,1),I2340/ABS(H2340))</f>
        <v/>
      </c>
      <c r="K2340" s="29">
        <f>H2340-(Data_thang!O2340-Data_thang!K2340)</f>
        <v/>
      </c>
      <c r="L2340">
        <f>IF(AND(ABS(I2340)&gt;Dashboard!$G$6,ABS(J2340)&gt;Dashboard!$H$6),"⚠ Vượt","")</f>
        <v/>
      </c>
      <c r="M2340">
        <f>IF(AND(A2340=Dashboard!$D$6,OR(Dashboard!$C$6="*",F2340=Dashboard!$C$6),L2340&lt;&gt;""),ABS(I2340)+ROW()/1000000000,0)</f>
        <v/>
      </c>
    </row>
    <row r="2341">
      <c r="A2341">
        <f>Data_thang!A2341</f>
        <v/>
      </c>
      <c r="B2341">
        <f>Data_thang!B2341</f>
        <v/>
      </c>
      <c r="C2341">
        <f>Data_thang!D2341</f>
        <v/>
      </c>
      <c r="D2341">
        <f>Data_thang!E2341</f>
        <v/>
      </c>
      <c r="E2341">
        <f>Data_thang!F2341</f>
        <v/>
      </c>
      <c r="F2341">
        <f>Data_thang!G2341</f>
        <v/>
      </c>
      <c r="G2341" s="29">
        <f>Data_thang!J2341-Data_thang!K2341</f>
        <v/>
      </c>
      <c r="H2341" s="29">
        <f>Data_thang!N2341</f>
        <v/>
      </c>
      <c r="I2341" s="29">
        <f>H2341-G2341</f>
        <v/>
      </c>
      <c r="J2341" s="30">
        <f>IF(H2341=0,IF(I2341=0,0,1),I2341/ABS(H2341))</f>
        <v/>
      </c>
      <c r="K2341" s="29">
        <f>H2341-(Data_thang!O2341-Data_thang!K2341)</f>
        <v/>
      </c>
      <c r="L2341">
        <f>IF(AND(ABS(I2341)&gt;Dashboard!$G$6,ABS(J2341)&gt;Dashboard!$H$6),"⚠ Vượt","")</f>
        <v/>
      </c>
      <c r="M2341">
        <f>IF(AND(A2341=Dashboard!$D$6,OR(Dashboard!$C$6="*",F2341=Dashboard!$C$6),L2341&lt;&gt;""),ABS(I2341)+ROW()/1000000000,0)</f>
        <v/>
      </c>
    </row>
    <row r="2342">
      <c r="A2342">
        <f>Data_thang!A2342</f>
        <v/>
      </c>
      <c r="B2342">
        <f>Data_thang!B2342</f>
        <v/>
      </c>
      <c r="C2342">
        <f>Data_thang!D2342</f>
        <v/>
      </c>
      <c r="D2342">
        <f>Data_thang!E2342</f>
        <v/>
      </c>
      <c r="E2342">
        <f>Data_thang!F2342</f>
        <v/>
      </c>
      <c r="F2342">
        <f>Data_thang!G2342</f>
        <v/>
      </c>
      <c r="G2342" s="29">
        <f>Data_thang!J2342-Data_thang!K2342</f>
        <v/>
      </c>
      <c r="H2342" s="29">
        <f>Data_thang!N2342</f>
        <v/>
      </c>
      <c r="I2342" s="29">
        <f>H2342-G2342</f>
        <v/>
      </c>
      <c r="J2342" s="30">
        <f>IF(H2342=0,IF(I2342=0,0,1),I2342/ABS(H2342))</f>
        <v/>
      </c>
      <c r="K2342" s="29">
        <f>H2342-(Data_thang!O2342-Data_thang!K2342)</f>
        <v/>
      </c>
      <c r="L2342">
        <f>IF(AND(ABS(I2342)&gt;Dashboard!$G$6,ABS(J2342)&gt;Dashboard!$H$6),"⚠ Vượt","")</f>
        <v/>
      </c>
      <c r="M2342">
        <f>IF(AND(A2342=Dashboard!$D$6,OR(Dashboard!$C$6="*",F2342=Dashboard!$C$6),L2342&lt;&gt;""),ABS(I2342)+ROW()/1000000000,0)</f>
        <v/>
      </c>
    </row>
    <row r="2343">
      <c r="A2343">
        <f>Data_thang!A2343</f>
        <v/>
      </c>
      <c r="B2343">
        <f>Data_thang!B2343</f>
        <v/>
      </c>
      <c r="C2343">
        <f>Data_thang!D2343</f>
        <v/>
      </c>
      <c r="D2343">
        <f>Data_thang!E2343</f>
        <v/>
      </c>
      <c r="E2343">
        <f>Data_thang!F2343</f>
        <v/>
      </c>
      <c r="F2343">
        <f>Data_thang!G2343</f>
        <v/>
      </c>
      <c r="G2343" s="29">
        <f>Data_thang!J2343-Data_thang!K2343</f>
        <v/>
      </c>
      <c r="H2343" s="29">
        <f>Data_thang!N2343</f>
        <v/>
      </c>
      <c r="I2343" s="29">
        <f>H2343-G2343</f>
        <v/>
      </c>
      <c r="J2343" s="30">
        <f>IF(H2343=0,IF(I2343=0,0,1),I2343/ABS(H2343))</f>
        <v/>
      </c>
      <c r="K2343" s="29">
        <f>H2343-(Data_thang!O2343-Data_thang!K2343)</f>
        <v/>
      </c>
      <c r="L2343">
        <f>IF(AND(ABS(I2343)&gt;Dashboard!$G$6,ABS(J2343)&gt;Dashboard!$H$6),"⚠ Vượt","")</f>
        <v/>
      </c>
      <c r="M2343">
        <f>IF(AND(A2343=Dashboard!$D$6,OR(Dashboard!$C$6="*",F2343=Dashboard!$C$6),L2343&lt;&gt;""),ABS(I2343)+ROW()/1000000000,0)</f>
        <v/>
      </c>
    </row>
    <row r="2344">
      <c r="A2344">
        <f>Data_thang!A2344</f>
        <v/>
      </c>
      <c r="B2344">
        <f>Data_thang!B2344</f>
        <v/>
      </c>
      <c r="C2344">
        <f>Data_thang!D2344</f>
        <v/>
      </c>
      <c r="D2344">
        <f>Data_thang!E2344</f>
        <v/>
      </c>
      <c r="E2344">
        <f>Data_thang!F2344</f>
        <v/>
      </c>
      <c r="F2344">
        <f>Data_thang!G2344</f>
        <v/>
      </c>
      <c r="G2344" s="29">
        <f>Data_thang!J2344-Data_thang!K2344</f>
        <v/>
      </c>
      <c r="H2344" s="29">
        <f>Data_thang!N2344</f>
        <v/>
      </c>
      <c r="I2344" s="29">
        <f>H2344-G2344</f>
        <v/>
      </c>
      <c r="J2344" s="30">
        <f>IF(H2344=0,IF(I2344=0,0,1),I2344/ABS(H2344))</f>
        <v/>
      </c>
      <c r="K2344" s="29">
        <f>H2344-(Data_thang!O2344-Data_thang!K2344)</f>
        <v/>
      </c>
      <c r="L2344">
        <f>IF(AND(ABS(I2344)&gt;Dashboard!$G$6,ABS(J2344)&gt;Dashboard!$H$6),"⚠ Vượt","")</f>
        <v/>
      </c>
      <c r="M2344">
        <f>IF(AND(A2344=Dashboard!$D$6,OR(Dashboard!$C$6="*",F2344=Dashboard!$C$6),L2344&lt;&gt;""),ABS(I2344)+ROW()/1000000000,0)</f>
        <v/>
      </c>
    </row>
    <row r="2345">
      <c r="A2345">
        <f>Data_thang!A2345</f>
        <v/>
      </c>
      <c r="B2345">
        <f>Data_thang!B2345</f>
        <v/>
      </c>
      <c r="C2345">
        <f>Data_thang!D2345</f>
        <v/>
      </c>
      <c r="D2345">
        <f>Data_thang!E2345</f>
        <v/>
      </c>
      <c r="E2345">
        <f>Data_thang!F2345</f>
        <v/>
      </c>
      <c r="F2345">
        <f>Data_thang!G2345</f>
        <v/>
      </c>
      <c r="G2345" s="29">
        <f>Data_thang!J2345-Data_thang!K2345</f>
        <v/>
      </c>
      <c r="H2345" s="29">
        <f>Data_thang!N2345</f>
        <v/>
      </c>
      <c r="I2345" s="29">
        <f>H2345-G2345</f>
        <v/>
      </c>
      <c r="J2345" s="30">
        <f>IF(H2345=0,IF(I2345=0,0,1),I2345/ABS(H2345))</f>
        <v/>
      </c>
      <c r="K2345" s="29">
        <f>H2345-(Data_thang!O2345-Data_thang!K2345)</f>
        <v/>
      </c>
      <c r="L2345">
        <f>IF(AND(ABS(I2345)&gt;Dashboard!$G$6,ABS(J2345)&gt;Dashboard!$H$6),"⚠ Vượt","")</f>
        <v/>
      </c>
      <c r="M2345">
        <f>IF(AND(A2345=Dashboard!$D$6,OR(Dashboard!$C$6="*",F2345=Dashboard!$C$6),L2345&lt;&gt;""),ABS(I2345)+ROW()/1000000000,0)</f>
        <v/>
      </c>
    </row>
    <row r="2346">
      <c r="A2346">
        <f>Data_thang!A2346</f>
        <v/>
      </c>
      <c r="B2346">
        <f>Data_thang!B2346</f>
        <v/>
      </c>
      <c r="C2346">
        <f>Data_thang!D2346</f>
        <v/>
      </c>
      <c r="D2346">
        <f>Data_thang!E2346</f>
        <v/>
      </c>
      <c r="E2346">
        <f>Data_thang!F2346</f>
        <v/>
      </c>
      <c r="F2346">
        <f>Data_thang!G2346</f>
        <v/>
      </c>
      <c r="G2346" s="29">
        <f>Data_thang!J2346-Data_thang!K2346</f>
        <v/>
      </c>
      <c r="H2346" s="29">
        <f>Data_thang!N2346</f>
        <v/>
      </c>
      <c r="I2346" s="29">
        <f>H2346-G2346</f>
        <v/>
      </c>
      <c r="J2346" s="30">
        <f>IF(H2346=0,IF(I2346=0,0,1),I2346/ABS(H2346))</f>
        <v/>
      </c>
      <c r="K2346" s="29">
        <f>H2346-(Data_thang!O2346-Data_thang!K2346)</f>
        <v/>
      </c>
      <c r="L2346">
        <f>IF(AND(ABS(I2346)&gt;Dashboard!$G$6,ABS(J2346)&gt;Dashboard!$H$6),"⚠ Vượt","")</f>
        <v/>
      </c>
      <c r="M2346">
        <f>IF(AND(A2346=Dashboard!$D$6,OR(Dashboard!$C$6="*",F2346=Dashboard!$C$6),L2346&lt;&gt;""),ABS(I2346)+ROW()/1000000000,0)</f>
        <v/>
      </c>
    </row>
    <row r="2347">
      <c r="A2347">
        <f>Data_thang!A2347</f>
        <v/>
      </c>
      <c r="B2347">
        <f>Data_thang!B2347</f>
        <v/>
      </c>
      <c r="C2347">
        <f>Data_thang!D2347</f>
        <v/>
      </c>
      <c r="D2347">
        <f>Data_thang!E2347</f>
        <v/>
      </c>
      <c r="E2347">
        <f>Data_thang!F2347</f>
        <v/>
      </c>
      <c r="F2347">
        <f>Data_thang!G2347</f>
        <v/>
      </c>
      <c r="G2347" s="29">
        <f>Data_thang!J2347-Data_thang!K2347</f>
        <v/>
      </c>
      <c r="H2347" s="29">
        <f>Data_thang!N2347</f>
        <v/>
      </c>
      <c r="I2347" s="29">
        <f>H2347-G2347</f>
        <v/>
      </c>
      <c r="J2347" s="30">
        <f>IF(H2347=0,IF(I2347=0,0,1),I2347/ABS(H2347))</f>
        <v/>
      </c>
      <c r="K2347" s="29">
        <f>H2347-(Data_thang!O2347-Data_thang!K2347)</f>
        <v/>
      </c>
      <c r="L2347">
        <f>IF(AND(ABS(I2347)&gt;Dashboard!$G$6,ABS(J2347)&gt;Dashboard!$H$6),"⚠ Vượt","")</f>
        <v/>
      </c>
      <c r="M2347">
        <f>IF(AND(A2347=Dashboard!$D$6,OR(Dashboard!$C$6="*",F2347=Dashboard!$C$6),L2347&lt;&gt;""),ABS(I2347)+ROW()/1000000000,0)</f>
        <v/>
      </c>
    </row>
    <row r="2348">
      <c r="A2348">
        <f>Data_thang!A2348</f>
        <v/>
      </c>
      <c r="B2348">
        <f>Data_thang!B2348</f>
        <v/>
      </c>
      <c r="C2348">
        <f>Data_thang!D2348</f>
        <v/>
      </c>
      <c r="D2348">
        <f>Data_thang!E2348</f>
        <v/>
      </c>
      <c r="E2348">
        <f>Data_thang!F2348</f>
        <v/>
      </c>
      <c r="F2348">
        <f>Data_thang!G2348</f>
        <v/>
      </c>
      <c r="G2348" s="29">
        <f>Data_thang!J2348-Data_thang!K2348</f>
        <v/>
      </c>
      <c r="H2348" s="29">
        <f>Data_thang!N2348</f>
        <v/>
      </c>
      <c r="I2348" s="29">
        <f>H2348-G2348</f>
        <v/>
      </c>
      <c r="J2348" s="30">
        <f>IF(H2348=0,IF(I2348=0,0,1),I2348/ABS(H2348))</f>
        <v/>
      </c>
      <c r="K2348" s="29">
        <f>H2348-(Data_thang!O2348-Data_thang!K2348)</f>
        <v/>
      </c>
      <c r="L2348">
        <f>IF(AND(ABS(I2348)&gt;Dashboard!$G$6,ABS(J2348)&gt;Dashboard!$H$6),"⚠ Vượt","")</f>
        <v/>
      </c>
      <c r="M2348">
        <f>IF(AND(A2348=Dashboard!$D$6,OR(Dashboard!$C$6="*",F2348=Dashboard!$C$6),L2348&lt;&gt;""),ABS(I2348)+ROW()/1000000000,0)</f>
        <v/>
      </c>
    </row>
    <row r="2349">
      <c r="A2349">
        <f>Data_thang!A2349</f>
        <v/>
      </c>
      <c r="B2349">
        <f>Data_thang!B2349</f>
        <v/>
      </c>
      <c r="C2349">
        <f>Data_thang!D2349</f>
        <v/>
      </c>
      <c r="D2349">
        <f>Data_thang!E2349</f>
        <v/>
      </c>
      <c r="E2349">
        <f>Data_thang!F2349</f>
        <v/>
      </c>
      <c r="F2349">
        <f>Data_thang!G2349</f>
        <v/>
      </c>
      <c r="G2349" s="29">
        <f>Data_thang!J2349-Data_thang!K2349</f>
        <v/>
      </c>
      <c r="H2349" s="29">
        <f>Data_thang!N2349</f>
        <v/>
      </c>
      <c r="I2349" s="29">
        <f>H2349-G2349</f>
        <v/>
      </c>
      <c r="J2349" s="30">
        <f>IF(H2349=0,IF(I2349=0,0,1),I2349/ABS(H2349))</f>
        <v/>
      </c>
      <c r="K2349" s="29">
        <f>H2349-(Data_thang!O2349-Data_thang!K2349)</f>
        <v/>
      </c>
      <c r="L2349">
        <f>IF(AND(ABS(I2349)&gt;Dashboard!$G$6,ABS(J2349)&gt;Dashboard!$H$6),"⚠ Vượt","")</f>
        <v/>
      </c>
      <c r="M2349">
        <f>IF(AND(A2349=Dashboard!$D$6,OR(Dashboard!$C$6="*",F2349=Dashboard!$C$6),L2349&lt;&gt;""),ABS(I2349)+ROW()/1000000000,0)</f>
        <v/>
      </c>
    </row>
    <row r="2350">
      <c r="A2350">
        <f>Data_thang!A2350</f>
        <v/>
      </c>
      <c r="B2350">
        <f>Data_thang!B2350</f>
        <v/>
      </c>
      <c r="C2350">
        <f>Data_thang!D2350</f>
        <v/>
      </c>
      <c r="D2350">
        <f>Data_thang!E2350</f>
        <v/>
      </c>
      <c r="E2350">
        <f>Data_thang!F2350</f>
        <v/>
      </c>
      <c r="F2350">
        <f>Data_thang!G2350</f>
        <v/>
      </c>
      <c r="G2350" s="29">
        <f>Data_thang!J2350-Data_thang!K2350</f>
        <v/>
      </c>
      <c r="H2350" s="29">
        <f>Data_thang!N2350</f>
        <v/>
      </c>
      <c r="I2350" s="29">
        <f>H2350-G2350</f>
        <v/>
      </c>
      <c r="J2350" s="30">
        <f>IF(H2350=0,IF(I2350=0,0,1),I2350/ABS(H2350))</f>
        <v/>
      </c>
      <c r="K2350" s="29">
        <f>H2350-(Data_thang!O2350-Data_thang!K2350)</f>
        <v/>
      </c>
      <c r="L2350">
        <f>IF(AND(ABS(I2350)&gt;Dashboard!$G$6,ABS(J2350)&gt;Dashboard!$H$6),"⚠ Vượt","")</f>
        <v/>
      </c>
      <c r="M2350">
        <f>IF(AND(A2350=Dashboard!$D$6,OR(Dashboard!$C$6="*",F2350=Dashboard!$C$6),L2350&lt;&gt;""),ABS(I2350)+ROW()/1000000000,0)</f>
        <v/>
      </c>
    </row>
    <row r="2351">
      <c r="A2351">
        <f>Data_thang!A2351</f>
        <v/>
      </c>
      <c r="B2351">
        <f>Data_thang!B2351</f>
        <v/>
      </c>
      <c r="C2351">
        <f>Data_thang!D2351</f>
        <v/>
      </c>
      <c r="D2351">
        <f>Data_thang!E2351</f>
        <v/>
      </c>
      <c r="E2351">
        <f>Data_thang!F2351</f>
        <v/>
      </c>
      <c r="F2351">
        <f>Data_thang!G2351</f>
        <v/>
      </c>
      <c r="G2351" s="29">
        <f>Data_thang!J2351-Data_thang!K2351</f>
        <v/>
      </c>
      <c r="H2351" s="29">
        <f>Data_thang!N2351</f>
        <v/>
      </c>
      <c r="I2351" s="29">
        <f>H2351-G2351</f>
        <v/>
      </c>
      <c r="J2351" s="30">
        <f>IF(H2351=0,IF(I2351=0,0,1),I2351/ABS(H2351))</f>
        <v/>
      </c>
      <c r="K2351" s="29">
        <f>H2351-(Data_thang!O2351-Data_thang!K2351)</f>
        <v/>
      </c>
      <c r="L2351">
        <f>IF(AND(ABS(I2351)&gt;Dashboard!$G$6,ABS(J2351)&gt;Dashboard!$H$6),"⚠ Vượt","")</f>
        <v/>
      </c>
      <c r="M2351">
        <f>IF(AND(A2351=Dashboard!$D$6,OR(Dashboard!$C$6="*",F2351=Dashboard!$C$6),L2351&lt;&gt;""),ABS(I2351)+ROW()/1000000000,0)</f>
        <v/>
      </c>
    </row>
    <row r="2352">
      <c r="A2352">
        <f>Data_thang!A2352</f>
        <v/>
      </c>
      <c r="B2352">
        <f>Data_thang!B2352</f>
        <v/>
      </c>
      <c r="C2352">
        <f>Data_thang!D2352</f>
        <v/>
      </c>
      <c r="D2352">
        <f>Data_thang!E2352</f>
        <v/>
      </c>
      <c r="E2352">
        <f>Data_thang!F2352</f>
        <v/>
      </c>
      <c r="F2352">
        <f>Data_thang!G2352</f>
        <v/>
      </c>
      <c r="G2352" s="29">
        <f>Data_thang!J2352-Data_thang!K2352</f>
        <v/>
      </c>
      <c r="H2352" s="29">
        <f>Data_thang!N2352</f>
        <v/>
      </c>
      <c r="I2352" s="29">
        <f>H2352-G2352</f>
        <v/>
      </c>
      <c r="J2352" s="30">
        <f>IF(H2352=0,IF(I2352=0,0,1),I2352/ABS(H2352))</f>
        <v/>
      </c>
      <c r="K2352" s="29">
        <f>H2352-(Data_thang!O2352-Data_thang!K2352)</f>
        <v/>
      </c>
      <c r="L2352">
        <f>IF(AND(ABS(I2352)&gt;Dashboard!$G$6,ABS(J2352)&gt;Dashboard!$H$6),"⚠ Vượt","")</f>
        <v/>
      </c>
      <c r="M2352">
        <f>IF(AND(A2352=Dashboard!$D$6,OR(Dashboard!$C$6="*",F2352=Dashboard!$C$6),L2352&lt;&gt;""),ABS(I2352)+ROW()/1000000000,0)</f>
        <v/>
      </c>
    </row>
    <row r="2353">
      <c r="A2353">
        <f>Data_thang!A2353</f>
        <v/>
      </c>
      <c r="B2353">
        <f>Data_thang!B2353</f>
        <v/>
      </c>
      <c r="C2353">
        <f>Data_thang!D2353</f>
        <v/>
      </c>
      <c r="D2353">
        <f>Data_thang!E2353</f>
        <v/>
      </c>
      <c r="E2353">
        <f>Data_thang!F2353</f>
        <v/>
      </c>
      <c r="F2353">
        <f>Data_thang!G2353</f>
        <v/>
      </c>
      <c r="G2353" s="29">
        <f>Data_thang!J2353-Data_thang!K2353</f>
        <v/>
      </c>
      <c r="H2353" s="29">
        <f>Data_thang!N2353</f>
        <v/>
      </c>
      <c r="I2353" s="29">
        <f>H2353-G2353</f>
        <v/>
      </c>
      <c r="J2353" s="30">
        <f>IF(H2353=0,IF(I2353=0,0,1),I2353/ABS(H2353))</f>
        <v/>
      </c>
      <c r="K2353" s="29">
        <f>H2353-(Data_thang!O2353-Data_thang!K2353)</f>
        <v/>
      </c>
      <c r="L2353">
        <f>IF(AND(ABS(I2353)&gt;Dashboard!$G$6,ABS(J2353)&gt;Dashboard!$H$6),"⚠ Vượt","")</f>
        <v/>
      </c>
      <c r="M2353">
        <f>IF(AND(A2353=Dashboard!$D$6,OR(Dashboard!$C$6="*",F2353=Dashboard!$C$6),L2353&lt;&gt;""),ABS(I2353)+ROW()/1000000000,0)</f>
        <v/>
      </c>
    </row>
    <row r="2354">
      <c r="A2354">
        <f>Data_thang!A2354</f>
        <v/>
      </c>
      <c r="B2354">
        <f>Data_thang!B2354</f>
        <v/>
      </c>
      <c r="C2354">
        <f>Data_thang!D2354</f>
        <v/>
      </c>
      <c r="D2354">
        <f>Data_thang!E2354</f>
        <v/>
      </c>
      <c r="E2354">
        <f>Data_thang!F2354</f>
        <v/>
      </c>
      <c r="F2354">
        <f>Data_thang!G2354</f>
        <v/>
      </c>
      <c r="G2354" s="29">
        <f>Data_thang!J2354-Data_thang!K2354</f>
        <v/>
      </c>
      <c r="H2354" s="29">
        <f>Data_thang!N2354</f>
        <v/>
      </c>
      <c r="I2354" s="29">
        <f>H2354-G2354</f>
        <v/>
      </c>
      <c r="J2354" s="30">
        <f>IF(H2354=0,IF(I2354=0,0,1),I2354/ABS(H2354))</f>
        <v/>
      </c>
      <c r="K2354" s="29">
        <f>H2354-(Data_thang!O2354-Data_thang!K2354)</f>
        <v/>
      </c>
      <c r="L2354">
        <f>IF(AND(ABS(I2354)&gt;Dashboard!$G$6,ABS(J2354)&gt;Dashboard!$H$6),"⚠ Vượt","")</f>
        <v/>
      </c>
      <c r="M2354">
        <f>IF(AND(A2354=Dashboard!$D$6,OR(Dashboard!$C$6="*",F2354=Dashboard!$C$6),L2354&lt;&gt;""),ABS(I2354)+ROW()/1000000000,0)</f>
        <v/>
      </c>
    </row>
    <row r="2355">
      <c r="A2355">
        <f>Data_thang!A2355</f>
        <v/>
      </c>
      <c r="B2355">
        <f>Data_thang!B2355</f>
        <v/>
      </c>
      <c r="C2355">
        <f>Data_thang!D2355</f>
        <v/>
      </c>
      <c r="D2355">
        <f>Data_thang!E2355</f>
        <v/>
      </c>
      <c r="E2355">
        <f>Data_thang!F2355</f>
        <v/>
      </c>
      <c r="F2355">
        <f>Data_thang!G2355</f>
        <v/>
      </c>
      <c r="G2355" s="29">
        <f>Data_thang!J2355-Data_thang!K2355</f>
        <v/>
      </c>
      <c r="H2355" s="29">
        <f>Data_thang!N2355</f>
        <v/>
      </c>
      <c r="I2355" s="29">
        <f>H2355-G2355</f>
        <v/>
      </c>
      <c r="J2355" s="30">
        <f>IF(H2355=0,IF(I2355=0,0,1),I2355/ABS(H2355))</f>
        <v/>
      </c>
      <c r="K2355" s="29">
        <f>H2355-(Data_thang!O2355-Data_thang!K2355)</f>
        <v/>
      </c>
      <c r="L2355">
        <f>IF(AND(ABS(I2355)&gt;Dashboard!$G$6,ABS(J2355)&gt;Dashboard!$H$6),"⚠ Vượt","")</f>
        <v/>
      </c>
      <c r="M2355">
        <f>IF(AND(A2355=Dashboard!$D$6,OR(Dashboard!$C$6="*",F2355=Dashboard!$C$6),L2355&lt;&gt;""),ABS(I2355)+ROW()/1000000000,0)</f>
        <v/>
      </c>
    </row>
    <row r="2356">
      <c r="A2356">
        <f>Data_thang!A2356</f>
        <v/>
      </c>
      <c r="B2356">
        <f>Data_thang!B2356</f>
        <v/>
      </c>
      <c r="C2356">
        <f>Data_thang!D2356</f>
        <v/>
      </c>
      <c r="D2356">
        <f>Data_thang!E2356</f>
        <v/>
      </c>
      <c r="E2356">
        <f>Data_thang!F2356</f>
        <v/>
      </c>
      <c r="F2356">
        <f>Data_thang!G2356</f>
        <v/>
      </c>
      <c r="G2356" s="29">
        <f>Data_thang!J2356-Data_thang!K2356</f>
        <v/>
      </c>
      <c r="H2356" s="29">
        <f>Data_thang!N2356</f>
        <v/>
      </c>
      <c r="I2356" s="29">
        <f>H2356-G2356</f>
        <v/>
      </c>
      <c r="J2356" s="30">
        <f>IF(H2356=0,IF(I2356=0,0,1),I2356/ABS(H2356))</f>
        <v/>
      </c>
      <c r="K2356" s="29">
        <f>H2356-(Data_thang!O2356-Data_thang!K2356)</f>
        <v/>
      </c>
      <c r="L2356">
        <f>IF(AND(ABS(I2356)&gt;Dashboard!$G$6,ABS(J2356)&gt;Dashboard!$H$6),"⚠ Vượt","")</f>
        <v/>
      </c>
      <c r="M2356">
        <f>IF(AND(A2356=Dashboard!$D$6,OR(Dashboard!$C$6="*",F2356=Dashboard!$C$6),L2356&lt;&gt;""),ABS(I2356)+ROW()/1000000000,0)</f>
        <v/>
      </c>
    </row>
    <row r="2357">
      <c r="A2357">
        <f>Data_thang!A2357</f>
        <v/>
      </c>
      <c r="B2357">
        <f>Data_thang!B2357</f>
        <v/>
      </c>
      <c r="C2357">
        <f>Data_thang!D2357</f>
        <v/>
      </c>
      <c r="D2357">
        <f>Data_thang!E2357</f>
        <v/>
      </c>
      <c r="E2357">
        <f>Data_thang!F2357</f>
        <v/>
      </c>
      <c r="F2357">
        <f>Data_thang!G2357</f>
        <v/>
      </c>
      <c r="G2357" s="29">
        <f>Data_thang!J2357-Data_thang!K2357</f>
        <v/>
      </c>
      <c r="H2357" s="29">
        <f>Data_thang!N2357</f>
        <v/>
      </c>
      <c r="I2357" s="29">
        <f>H2357-G2357</f>
        <v/>
      </c>
      <c r="J2357" s="30">
        <f>IF(H2357=0,IF(I2357=0,0,1),I2357/ABS(H2357))</f>
        <v/>
      </c>
      <c r="K2357" s="29">
        <f>H2357-(Data_thang!O2357-Data_thang!K2357)</f>
        <v/>
      </c>
      <c r="L2357">
        <f>IF(AND(ABS(I2357)&gt;Dashboard!$G$6,ABS(J2357)&gt;Dashboard!$H$6),"⚠ Vượt","")</f>
        <v/>
      </c>
      <c r="M2357">
        <f>IF(AND(A2357=Dashboard!$D$6,OR(Dashboard!$C$6="*",F2357=Dashboard!$C$6),L2357&lt;&gt;""),ABS(I2357)+ROW()/1000000000,0)</f>
        <v/>
      </c>
    </row>
    <row r="2358">
      <c r="A2358">
        <f>Data_thang!A2358</f>
        <v/>
      </c>
      <c r="B2358">
        <f>Data_thang!B2358</f>
        <v/>
      </c>
      <c r="C2358">
        <f>Data_thang!D2358</f>
        <v/>
      </c>
      <c r="D2358">
        <f>Data_thang!E2358</f>
        <v/>
      </c>
      <c r="E2358">
        <f>Data_thang!F2358</f>
        <v/>
      </c>
      <c r="F2358">
        <f>Data_thang!G2358</f>
        <v/>
      </c>
      <c r="G2358" s="29">
        <f>Data_thang!J2358-Data_thang!K2358</f>
        <v/>
      </c>
      <c r="H2358" s="29">
        <f>Data_thang!N2358</f>
        <v/>
      </c>
      <c r="I2358" s="29">
        <f>H2358-G2358</f>
        <v/>
      </c>
      <c r="J2358" s="30">
        <f>IF(H2358=0,IF(I2358=0,0,1),I2358/ABS(H2358))</f>
        <v/>
      </c>
      <c r="K2358" s="29">
        <f>H2358-(Data_thang!O2358-Data_thang!K2358)</f>
        <v/>
      </c>
      <c r="L2358">
        <f>IF(AND(ABS(I2358)&gt;Dashboard!$G$6,ABS(J2358)&gt;Dashboard!$H$6),"⚠ Vượt","")</f>
        <v/>
      </c>
      <c r="M2358">
        <f>IF(AND(A2358=Dashboard!$D$6,OR(Dashboard!$C$6="*",F2358=Dashboard!$C$6),L2358&lt;&gt;""),ABS(I2358)+ROW()/1000000000,0)</f>
        <v/>
      </c>
    </row>
    <row r="2359">
      <c r="A2359">
        <f>Data_thang!A2359</f>
        <v/>
      </c>
      <c r="B2359">
        <f>Data_thang!B2359</f>
        <v/>
      </c>
      <c r="C2359">
        <f>Data_thang!D2359</f>
        <v/>
      </c>
      <c r="D2359">
        <f>Data_thang!E2359</f>
        <v/>
      </c>
      <c r="E2359">
        <f>Data_thang!F2359</f>
        <v/>
      </c>
      <c r="F2359">
        <f>Data_thang!G2359</f>
        <v/>
      </c>
      <c r="G2359" s="29">
        <f>Data_thang!J2359-Data_thang!K2359</f>
        <v/>
      </c>
      <c r="H2359" s="29">
        <f>Data_thang!N2359</f>
        <v/>
      </c>
      <c r="I2359" s="29">
        <f>H2359-G2359</f>
        <v/>
      </c>
      <c r="J2359" s="30">
        <f>IF(H2359=0,IF(I2359=0,0,1),I2359/ABS(H2359))</f>
        <v/>
      </c>
      <c r="K2359" s="29">
        <f>H2359-(Data_thang!O2359-Data_thang!K2359)</f>
        <v/>
      </c>
      <c r="L2359">
        <f>IF(AND(ABS(I2359)&gt;Dashboard!$G$6,ABS(J2359)&gt;Dashboard!$H$6),"⚠ Vượt","")</f>
        <v/>
      </c>
      <c r="M2359">
        <f>IF(AND(A2359=Dashboard!$D$6,OR(Dashboard!$C$6="*",F2359=Dashboard!$C$6),L2359&lt;&gt;""),ABS(I2359)+ROW()/1000000000,0)</f>
        <v/>
      </c>
    </row>
    <row r="2360">
      <c r="A2360">
        <f>Data_thang!A2360</f>
        <v/>
      </c>
      <c r="B2360">
        <f>Data_thang!B2360</f>
        <v/>
      </c>
      <c r="C2360">
        <f>Data_thang!D2360</f>
        <v/>
      </c>
      <c r="D2360">
        <f>Data_thang!E2360</f>
        <v/>
      </c>
      <c r="E2360">
        <f>Data_thang!F2360</f>
        <v/>
      </c>
      <c r="F2360">
        <f>Data_thang!G2360</f>
        <v/>
      </c>
      <c r="G2360" s="29">
        <f>Data_thang!J2360-Data_thang!K2360</f>
        <v/>
      </c>
      <c r="H2360" s="29">
        <f>Data_thang!N2360</f>
        <v/>
      </c>
      <c r="I2360" s="29">
        <f>H2360-G2360</f>
        <v/>
      </c>
      <c r="J2360" s="30">
        <f>IF(H2360=0,IF(I2360=0,0,1),I2360/ABS(H2360))</f>
        <v/>
      </c>
      <c r="K2360" s="29">
        <f>H2360-(Data_thang!O2360-Data_thang!K2360)</f>
        <v/>
      </c>
      <c r="L2360">
        <f>IF(AND(ABS(I2360)&gt;Dashboard!$G$6,ABS(J2360)&gt;Dashboard!$H$6),"⚠ Vượt","")</f>
        <v/>
      </c>
      <c r="M2360">
        <f>IF(AND(A2360=Dashboard!$D$6,OR(Dashboard!$C$6="*",F2360=Dashboard!$C$6),L2360&lt;&gt;""),ABS(I2360)+ROW()/1000000000,0)</f>
        <v/>
      </c>
    </row>
    <row r="2361">
      <c r="A2361">
        <f>Data_thang!A2361</f>
        <v/>
      </c>
      <c r="B2361">
        <f>Data_thang!B2361</f>
        <v/>
      </c>
      <c r="C2361">
        <f>Data_thang!D2361</f>
        <v/>
      </c>
      <c r="D2361">
        <f>Data_thang!E2361</f>
        <v/>
      </c>
      <c r="E2361">
        <f>Data_thang!F2361</f>
        <v/>
      </c>
      <c r="F2361">
        <f>Data_thang!G2361</f>
        <v/>
      </c>
      <c r="G2361" s="29">
        <f>Data_thang!J2361-Data_thang!K2361</f>
        <v/>
      </c>
      <c r="H2361" s="29">
        <f>Data_thang!N2361</f>
        <v/>
      </c>
      <c r="I2361" s="29">
        <f>H2361-G2361</f>
        <v/>
      </c>
      <c r="J2361" s="30">
        <f>IF(H2361=0,IF(I2361=0,0,1),I2361/ABS(H2361))</f>
        <v/>
      </c>
      <c r="K2361" s="29">
        <f>H2361-(Data_thang!O2361-Data_thang!K2361)</f>
        <v/>
      </c>
      <c r="L2361">
        <f>IF(AND(ABS(I2361)&gt;Dashboard!$G$6,ABS(J2361)&gt;Dashboard!$H$6),"⚠ Vượt","")</f>
        <v/>
      </c>
      <c r="M2361">
        <f>IF(AND(A2361=Dashboard!$D$6,OR(Dashboard!$C$6="*",F2361=Dashboard!$C$6),L2361&lt;&gt;""),ABS(I2361)+ROW()/1000000000,0)</f>
        <v/>
      </c>
    </row>
    <row r="2362">
      <c r="A2362">
        <f>Data_thang!A2362</f>
        <v/>
      </c>
      <c r="B2362">
        <f>Data_thang!B2362</f>
        <v/>
      </c>
      <c r="C2362">
        <f>Data_thang!D2362</f>
        <v/>
      </c>
      <c r="D2362">
        <f>Data_thang!E2362</f>
        <v/>
      </c>
      <c r="E2362">
        <f>Data_thang!F2362</f>
        <v/>
      </c>
      <c r="F2362">
        <f>Data_thang!G2362</f>
        <v/>
      </c>
      <c r="G2362" s="29">
        <f>Data_thang!J2362-Data_thang!K2362</f>
        <v/>
      </c>
      <c r="H2362" s="29">
        <f>Data_thang!N2362</f>
        <v/>
      </c>
      <c r="I2362" s="29">
        <f>H2362-G2362</f>
        <v/>
      </c>
      <c r="J2362" s="30">
        <f>IF(H2362=0,IF(I2362=0,0,1),I2362/ABS(H2362))</f>
        <v/>
      </c>
      <c r="K2362" s="29">
        <f>H2362-(Data_thang!O2362-Data_thang!K2362)</f>
        <v/>
      </c>
      <c r="L2362">
        <f>IF(AND(ABS(I2362)&gt;Dashboard!$G$6,ABS(J2362)&gt;Dashboard!$H$6),"⚠ Vượt","")</f>
        <v/>
      </c>
      <c r="M2362">
        <f>IF(AND(A2362=Dashboard!$D$6,OR(Dashboard!$C$6="*",F2362=Dashboard!$C$6),L2362&lt;&gt;""),ABS(I2362)+ROW()/1000000000,0)</f>
        <v/>
      </c>
    </row>
    <row r="2363">
      <c r="A2363">
        <f>Data_thang!A2363</f>
        <v/>
      </c>
      <c r="B2363">
        <f>Data_thang!B2363</f>
        <v/>
      </c>
      <c r="C2363">
        <f>Data_thang!D2363</f>
        <v/>
      </c>
      <c r="D2363">
        <f>Data_thang!E2363</f>
        <v/>
      </c>
      <c r="E2363">
        <f>Data_thang!F2363</f>
        <v/>
      </c>
      <c r="F2363">
        <f>Data_thang!G2363</f>
        <v/>
      </c>
      <c r="G2363" s="29">
        <f>Data_thang!J2363-Data_thang!K2363</f>
        <v/>
      </c>
      <c r="H2363" s="29">
        <f>Data_thang!N2363</f>
        <v/>
      </c>
      <c r="I2363" s="29">
        <f>H2363-G2363</f>
        <v/>
      </c>
      <c r="J2363" s="30">
        <f>IF(H2363=0,IF(I2363=0,0,1),I2363/ABS(H2363))</f>
        <v/>
      </c>
      <c r="K2363" s="29">
        <f>H2363-(Data_thang!O2363-Data_thang!K2363)</f>
        <v/>
      </c>
      <c r="L2363">
        <f>IF(AND(ABS(I2363)&gt;Dashboard!$G$6,ABS(J2363)&gt;Dashboard!$H$6),"⚠ Vượt","")</f>
        <v/>
      </c>
      <c r="M2363">
        <f>IF(AND(A2363=Dashboard!$D$6,OR(Dashboard!$C$6="*",F2363=Dashboard!$C$6),L2363&lt;&gt;""),ABS(I2363)+ROW()/1000000000,0)</f>
        <v/>
      </c>
    </row>
    <row r="2364">
      <c r="A2364">
        <f>Data_thang!A2364</f>
        <v/>
      </c>
      <c r="B2364">
        <f>Data_thang!B2364</f>
        <v/>
      </c>
      <c r="C2364">
        <f>Data_thang!D2364</f>
        <v/>
      </c>
      <c r="D2364">
        <f>Data_thang!E2364</f>
        <v/>
      </c>
      <c r="E2364">
        <f>Data_thang!F2364</f>
        <v/>
      </c>
      <c r="F2364">
        <f>Data_thang!G2364</f>
        <v/>
      </c>
      <c r="G2364" s="29">
        <f>Data_thang!J2364-Data_thang!K2364</f>
        <v/>
      </c>
      <c r="H2364" s="29">
        <f>Data_thang!N2364</f>
        <v/>
      </c>
      <c r="I2364" s="29">
        <f>H2364-G2364</f>
        <v/>
      </c>
      <c r="J2364" s="30">
        <f>IF(H2364=0,IF(I2364=0,0,1),I2364/ABS(H2364))</f>
        <v/>
      </c>
      <c r="K2364" s="29">
        <f>H2364-(Data_thang!O2364-Data_thang!K2364)</f>
        <v/>
      </c>
      <c r="L2364">
        <f>IF(AND(ABS(I2364)&gt;Dashboard!$G$6,ABS(J2364)&gt;Dashboard!$H$6),"⚠ Vượt","")</f>
        <v/>
      </c>
      <c r="M2364">
        <f>IF(AND(A2364=Dashboard!$D$6,OR(Dashboard!$C$6="*",F2364=Dashboard!$C$6),L2364&lt;&gt;""),ABS(I2364)+ROW()/1000000000,0)</f>
        <v/>
      </c>
    </row>
    <row r="2365">
      <c r="A2365">
        <f>Data_thang!A2365</f>
        <v/>
      </c>
      <c r="B2365">
        <f>Data_thang!B2365</f>
        <v/>
      </c>
      <c r="C2365">
        <f>Data_thang!D2365</f>
        <v/>
      </c>
      <c r="D2365">
        <f>Data_thang!E2365</f>
        <v/>
      </c>
      <c r="E2365">
        <f>Data_thang!F2365</f>
        <v/>
      </c>
      <c r="F2365">
        <f>Data_thang!G2365</f>
        <v/>
      </c>
      <c r="G2365" s="29">
        <f>Data_thang!J2365-Data_thang!K2365</f>
        <v/>
      </c>
      <c r="H2365" s="29">
        <f>Data_thang!N2365</f>
        <v/>
      </c>
      <c r="I2365" s="29">
        <f>H2365-G2365</f>
        <v/>
      </c>
      <c r="J2365" s="30">
        <f>IF(H2365=0,IF(I2365=0,0,1),I2365/ABS(H2365))</f>
        <v/>
      </c>
      <c r="K2365" s="29">
        <f>H2365-(Data_thang!O2365-Data_thang!K2365)</f>
        <v/>
      </c>
      <c r="L2365">
        <f>IF(AND(ABS(I2365)&gt;Dashboard!$G$6,ABS(J2365)&gt;Dashboard!$H$6),"⚠ Vượt","")</f>
        <v/>
      </c>
      <c r="M2365">
        <f>IF(AND(A2365=Dashboard!$D$6,OR(Dashboard!$C$6="*",F2365=Dashboard!$C$6),L2365&lt;&gt;""),ABS(I2365)+ROW()/1000000000,0)</f>
        <v/>
      </c>
    </row>
    <row r="2366">
      <c r="A2366">
        <f>Data_thang!A2366</f>
        <v/>
      </c>
      <c r="B2366">
        <f>Data_thang!B2366</f>
        <v/>
      </c>
      <c r="C2366">
        <f>Data_thang!D2366</f>
        <v/>
      </c>
      <c r="D2366">
        <f>Data_thang!E2366</f>
        <v/>
      </c>
      <c r="E2366">
        <f>Data_thang!F2366</f>
        <v/>
      </c>
      <c r="F2366">
        <f>Data_thang!G2366</f>
        <v/>
      </c>
      <c r="G2366" s="29">
        <f>Data_thang!J2366-Data_thang!K2366</f>
        <v/>
      </c>
      <c r="H2366" s="29">
        <f>Data_thang!N2366</f>
        <v/>
      </c>
      <c r="I2366" s="29">
        <f>H2366-G2366</f>
        <v/>
      </c>
      <c r="J2366" s="30">
        <f>IF(H2366=0,IF(I2366=0,0,1),I2366/ABS(H2366))</f>
        <v/>
      </c>
      <c r="K2366" s="29">
        <f>H2366-(Data_thang!O2366-Data_thang!K2366)</f>
        <v/>
      </c>
      <c r="L2366">
        <f>IF(AND(ABS(I2366)&gt;Dashboard!$G$6,ABS(J2366)&gt;Dashboard!$H$6),"⚠ Vượt","")</f>
        <v/>
      </c>
      <c r="M2366">
        <f>IF(AND(A2366=Dashboard!$D$6,OR(Dashboard!$C$6="*",F2366=Dashboard!$C$6),L2366&lt;&gt;""),ABS(I2366)+ROW()/1000000000,0)</f>
        <v/>
      </c>
    </row>
    <row r="2367">
      <c r="A2367">
        <f>Data_thang!A2367</f>
        <v/>
      </c>
      <c r="B2367">
        <f>Data_thang!B2367</f>
        <v/>
      </c>
      <c r="C2367">
        <f>Data_thang!D2367</f>
        <v/>
      </c>
      <c r="D2367">
        <f>Data_thang!E2367</f>
        <v/>
      </c>
      <c r="E2367">
        <f>Data_thang!F2367</f>
        <v/>
      </c>
      <c r="F2367">
        <f>Data_thang!G2367</f>
        <v/>
      </c>
      <c r="G2367" s="29">
        <f>Data_thang!J2367-Data_thang!K2367</f>
        <v/>
      </c>
      <c r="H2367" s="29">
        <f>Data_thang!N2367</f>
        <v/>
      </c>
      <c r="I2367" s="29">
        <f>H2367-G2367</f>
        <v/>
      </c>
      <c r="J2367" s="30">
        <f>IF(H2367=0,IF(I2367=0,0,1),I2367/ABS(H2367))</f>
        <v/>
      </c>
      <c r="K2367" s="29">
        <f>H2367-(Data_thang!O2367-Data_thang!K2367)</f>
        <v/>
      </c>
      <c r="L2367">
        <f>IF(AND(ABS(I2367)&gt;Dashboard!$G$6,ABS(J2367)&gt;Dashboard!$H$6),"⚠ Vượt","")</f>
        <v/>
      </c>
      <c r="M2367">
        <f>IF(AND(A2367=Dashboard!$D$6,OR(Dashboard!$C$6="*",F2367=Dashboard!$C$6),L2367&lt;&gt;""),ABS(I2367)+ROW()/1000000000,0)</f>
        <v/>
      </c>
    </row>
    <row r="2368">
      <c r="A2368">
        <f>Data_thang!A2368</f>
        <v/>
      </c>
      <c r="B2368">
        <f>Data_thang!B2368</f>
        <v/>
      </c>
      <c r="C2368">
        <f>Data_thang!D2368</f>
        <v/>
      </c>
      <c r="D2368">
        <f>Data_thang!E2368</f>
        <v/>
      </c>
      <c r="E2368">
        <f>Data_thang!F2368</f>
        <v/>
      </c>
      <c r="F2368">
        <f>Data_thang!G2368</f>
        <v/>
      </c>
      <c r="G2368" s="29">
        <f>Data_thang!J2368-Data_thang!K2368</f>
        <v/>
      </c>
      <c r="H2368" s="29">
        <f>Data_thang!N2368</f>
        <v/>
      </c>
      <c r="I2368" s="29">
        <f>H2368-G2368</f>
        <v/>
      </c>
      <c r="J2368" s="30">
        <f>IF(H2368=0,IF(I2368=0,0,1),I2368/ABS(H2368))</f>
        <v/>
      </c>
      <c r="K2368" s="29">
        <f>H2368-(Data_thang!O2368-Data_thang!K2368)</f>
        <v/>
      </c>
      <c r="L2368">
        <f>IF(AND(ABS(I2368)&gt;Dashboard!$G$6,ABS(J2368)&gt;Dashboard!$H$6),"⚠ Vượt","")</f>
        <v/>
      </c>
      <c r="M2368">
        <f>IF(AND(A2368=Dashboard!$D$6,OR(Dashboard!$C$6="*",F2368=Dashboard!$C$6),L2368&lt;&gt;""),ABS(I2368)+ROW()/1000000000,0)</f>
        <v/>
      </c>
    </row>
    <row r="2369">
      <c r="A2369">
        <f>Data_thang!A2369</f>
        <v/>
      </c>
      <c r="B2369">
        <f>Data_thang!B2369</f>
        <v/>
      </c>
      <c r="C2369">
        <f>Data_thang!D2369</f>
        <v/>
      </c>
      <c r="D2369">
        <f>Data_thang!E2369</f>
        <v/>
      </c>
      <c r="E2369">
        <f>Data_thang!F2369</f>
        <v/>
      </c>
      <c r="F2369">
        <f>Data_thang!G2369</f>
        <v/>
      </c>
      <c r="G2369" s="29">
        <f>Data_thang!J2369-Data_thang!K2369</f>
        <v/>
      </c>
      <c r="H2369" s="29">
        <f>Data_thang!N2369</f>
        <v/>
      </c>
      <c r="I2369" s="29">
        <f>H2369-G2369</f>
        <v/>
      </c>
      <c r="J2369" s="30">
        <f>IF(H2369=0,IF(I2369=0,0,1),I2369/ABS(H2369))</f>
        <v/>
      </c>
      <c r="K2369" s="29">
        <f>H2369-(Data_thang!O2369-Data_thang!K2369)</f>
        <v/>
      </c>
      <c r="L2369">
        <f>IF(AND(ABS(I2369)&gt;Dashboard!$G$6,ABS(J2369)&gt;Dashboard!$H$6),"⚠ Vượt","")</f>
        <v/>
      </c>
      <c r="M2369">
        <f>IF(AND(A2369=Dashboard!$D$6,OR(Dashboard!$C$6="*",F2369=Dashboard!$C$6),L2369&lt;&gt;""),ABS(I2369)+ROW()/1000000000,0)</f>
        <v/>
      </c>
    </row>
    <row r="2370">
      <c r="A2370">
        <f>Data_thang!A2370</f>
        <v/>
      </c>
      <c r="B2370">
        <f>Data_thang!B2370</f>
        <v/>
      </c>
      <c r="C2370">
        <f>Data_thang!D2370</f>
        <v/>
      </c>
      <c r="D2370">
        <f>Data_thang!E2370</f>
        <v/>
      </c>
      <c r="E2370">
        <f>Data_thang!F2370</f>
        <v/>
      </c>
      <c r="F2370">
        <f>Data_thang!G2370</f>
        <v/>
      </c>
      <c r="G2370" s="29">
        <f>Data_thang!J2370-Data_thang!K2370</f>
        <v/>
      </c>
      <c r="H2370" s="29">
        <f>Data_thang!N2370</f>
        <v/>
      </c>
      <c r="I2370" s="29">
        <f>H2370-G2370</f>
        <v/>
      </c>
      <c r="J2370" s="30">
        <f>IF(H2370=0,IF(I2370=0,0,1),I2370/ABS(H2370))</f>
        <v/>
      </c>
      <c r="K2370" s="29">
        <f>H2370-(Data_thang!O2370-Data_thang!K2370)</f>
        <v/>
      </c>
      <c r="L2370">
        <f>IF(AND(ABS(I2370)&gt;Dashboard!$G$6,ABS(J2370)&gt;Dashboard!$H$6),"⚠ Vượt","")</f>
        <v/>
      </c>
      <c r="M2370">
        <f>IF(AND(A2370=Dashboard!$D$6,OR(Dashboard!$C$6="*",F2370=Dashboard!$C$6),L2370&lt;&gt;""),ABS(I2370)+ROW()/1000000000,0)</f>
        <v/>
      </c>
    </row>
    <row r="2371">
      <c r="A2371">
        <f>Data_thang!A2371</f>
        <v/>
      </c>
      <c r="B2371">
        <f>Data_thang!B2371</f>
        <v/>
      </c>
      <c r="C2371">
        <f>Data_thang!D2371</f>
        <v/>
      </c>
      <c r="D2371">
        <f>Data_thang!E2371</f>
        <v/>
      </c>
      <c r="E2371">
        <f>Data_thang!F2371</f>
        <v/>
      </c>
      <c r="F2371">
        <f>Data_thang!G2371</f>
        <v/>
      </c>
      <c r="G2371" s="29">
        <f>Data_thang!J2371-Data_thang!K2371</f>
        <v/>
      </c>
      <c r="H2371" s="29">
        <f>Data_thang!N2371</f>
        <v/>
      </c>
      <c r="I2371" s="29">
        <f>H2371-G2371</f>
        <v/>
      </c>
      <c r="J2371" s="30">
        <f>IF(H2371=0,IF(I2371=0,0,1),I2371/ABS(H2371))</f>
        <v/>
      </c>
      <c r="K2371" s="29">
        <f>H2371-(Data_thang!O2371-Data_thang!K2371)</f>
        <v/>
      </c>
      <c r="L2371">
        <f>IF(AND(ABS(I2371)&gt;Dashboard!$G$6,ABS(J2371)&gt;Dashboard!$H$6),"⚠ Vượt","")</f>
        <v/>
      </c>
      <c r="M2371">
        <f>IF(AND(A2371=Dashboard!$D$6,OR(Dashboard!$C$6="*",F2371=Dashboard!$C$6),L2371&lt;&gt;""),ABS(I2371)+ROW()/1000000000,0)</f>
        <v/>
      </c>
    </row>
    <row r="2372">
      <c r="A2372">
        <f>Data_thang!A2372</f>
        <v/>
      </c>
      <c r="B2372">
        <f>Data_thang!B2372</f>
        <v/>
      </c>
      <c r="C2372">
        <f>Data_thang!D2372</f>
        <v/>
      </c>
      <c r="D2372">
        <f>Data_thang!E2372</f>
        <v/>
      </c>
      <c r="E2372">
        <f>Data_thang!F2372</f>
        <v/>
      </c>
      <c r="F2372">
        <f>Data_thang!G2372</f>
        <v/>
      </c>
      <c r="G2372" s="29">
        <f>Data_thang!J2372-Data_thang!K2372</f>
        <v/>
      </c>
      <c r="H2372" s="29">
        <f>Data_thang!N2372</f>
        <v/>
      </c>
      <c r="I2372" s="29">
        <f>H2372-G2372</f>
        <v/>
      </c>
      <c r="J2372" s="30">
        <f>IF(H2372=0,IF(I2372=0,0,1),I2372/ABS(H2372))</f>
        <v/>
      </c>
      <c r="K2372" s="29">
        <f>H2372-(Data_thang!O2372-Data_thang!K2372)</f>
        <v/>
      </c>
      <c r="L2372">
        <f>IF(AND(ABS(I2372)&gt;Dashboard!$G$6,ABS(J2372)&gt;Dashboard!$H$6),"⚠ Vượt","")</f>
        <v/>
      </c>
      <c r="M2372">
        <f>IF(AND(A2372=Dashboard!$D$6,OR(Dashboard!$C$6="*",F2372=Dashboard!$C$6),L2372&lt;&gt;""),ABS(I2372)+ROW()/1000000000,0)</f>
        <v/>
      </c>
    </row>
    <row r="2373">
      <c r="A2373">
        <f>Data_thang!A2373</f>
        <v/>
      </c>
      <c r="B2373">
        <f>Data_thang!B2373</f>
        <v/>
      </c>
      <c r="C2373">
        <f>Data_thang!D2373</f>
        <v/>
      </c>
      <c r="D2373">
        <f>Data_thang!E2373</f>
        <v/>
      </c>
      <c r="E2373">
        <f>Data_thang!F2373</f>
        <v/>
      </c>
      <c r="F2373">
        <f>Data_thang!G2373</f>
        <v/>
      </c>
      <c r="G2373" s="29">
        <f>Data_thang!J2373-Data_thang!K2373</f>
        <v/>
      </c>
      <c r="H2373" s="29">
        <f>Data_thang!N2373</f>
        <v/>
      </c>
      <c r="I2373" s="29">
        <f>H2373-G2373</f>
        <v/>
      </c>
      <c r="J2373" s="30">
        <f>IF(H2373=0,IF(I2373=0,0,1),I2373/ABS(H2373))</f>
        <v/>
      </c>
      <c r="K2373" s="29">
        <f>H2373-(Data_thang!O2373-Data_thang!K2373)</f>
        <v/>
      </c>
      <c r="L2373">
        <f>IF(AND(ABS(I2373)&gt;Dashboard!$G$6,ABS(J2373)&gt;Dashboard!$H$6),"⚠ Vượt","")</f>
        <v/>
      </c>
      <c r="M2373">
        <f>IF(AND(A2373=Dashboard!$D$6,OR(Dashboard!$C$6="*",F2373=Dashboard!$C$6),L2373&lt;&gt;""),ABS(I2373)+ROW()/1000000000,0)</f>
        <v/>
      </c>
    </row>
    <row r="2374">
      <c r="A2374">
        <f>Data_thang!A2374</f>
        <v/>
      </c>
      <c r="B2374">
        <f>Data_thang!B2374</f>
        <v/>
      </c>
      <c r="C2374">
        <f>Data_thang!D2374</f>
        <v/>
      </c>
      <c r="D2374">
        <f>Data_thang!E2374</f>
        <v/>
      </c>
      <c r="E2374">
        <f>Data_thang!F2374</f>
        <v/>
      </c>
      <c r="F2374">
        <f>Data_thang!G2374</f>
        <v/>
      </c>
      <c r="G2374" s="29">
        <f>Data_thang!J2374-Data_thang!K2374</f>
        <v/>
      </c>
      <c r="H2374" s="29">
        <f>Data_thang!N2374</f>
        <v/>
      </c>
      <c r="I2374" s="29">
        <f>H2374-G2374</f>
        <v/>
      </c>
      <c r="J2374" s="30">
        <f>IF(H2374=0,IF(I2374=0,0,1),I2374/ABS(H2374))</f>
        <v/>
      </c>
      <c r="K2374" s="29">
        <f>H2374-(Data_thang!O2374-Data_thang!K2374)</f>
        <v/>
      </c>
      <c r="L2374">
        <f>IF(AND(ABS(I2374)&gt;Dashboard!$G$6,ABS(J2374)&gt;Dashboard!$H$6),"⚠ Vượt","")</f>
        <v/>
      </c>
      <c r="M2374">
        <f>IF(AND(A2374=Dashboard!$D$6,OR(Dashboard!$C$6="*",F2374=Dashboard!$C$6),L2374&lt;&gt;""),ABS(I2374)+ROW()/1000000000,0)</f>
        <v/>
      </c>
    </row>
    <row r="2375">
      <c r="A2375">
        <f>Data_thang!A2375</f>
        <v/>
      </c>
      <c r="B2375">
        <f>Data_thang!B2375</f>
        <v/>
      </c>
      <c r="C2375">
        <f>Data_thang!D2375</f>
        <v/>
      </c>
      <c r="D2375">
        <f>Data_thang!E2375</f>
        <v/>
      </c>
      <c r="E2375">
        <f>Data_thang!F2375</f>
        <v/>
      </c>
      <c r="F2375">
        <f>Data_thang!G2375</f>
        <v/>
      </c>
      <c r="G2375" s="29">
        <f>Data_thang!J2375-Data_thang!K2375</f>
        <v/>
      </c>
      <c r="H2375" s="29">
        <f>Data_thang!N2375</f>
        <v/>
      </c>
      <c r="I2375" s="29">
        <f>H2375-G2375</f>
        <v/>
      </c>
      <c r="J2375" s="30">
        <f>IF(H2375=0,IF(I2375=0,0,1),I2375/ABS(H2375))</f>
        <v/>
      </c>
      <c r="K2375" s="29">
        <f>H2375-(Data_thang!O2375-Data_thang!K2375)</f>
        <v/>
      </c>
      <c r="L2375">
        <f>IF(AND(ABS(I2375)&gt;Dashboard!$G$6,ABS(J2375)&gt;Dashboard!$H$6),"⚠ Vượt","")</f>
        <v/>
      </c>
      <c r="M2375">
        <f>IF(AND(A2375=Dashboard!$D$6,OR(Dashboard!$C$6="*",F2375=Dashboard!$C$6),L2375&lt;&gt;""),ABS(I2375)+ROW()/1000000000,0)</f>
        <v/>
      </c>
    </row>
    <row r="2376">
      <c r="A2376">
        <f>Data_thang!A2376</f>
        <v/>
      </c>
      <c r="B2376">
        <f>Data_thang!B2376</f>
        <v/>
      </c>
      <c r="C2376">
        <f>Data_thang!D2376</f>
        <v/>
      </c>
      <c r="D2376">
        <f>Data_thang!E2376</f>
        <v/>
      </c>
      <c r="E2376">
        <f>Data_thang!F2376</f>
        <v/>
      </c>
      <c r="F2376">
        <f>Data_thang!G2376</f>
        <v/>
      </c>
      <c r="G2376" s="29">
        <f>Data_thang!J2376-Data_thang!K2376</f>
        <v/>
      </c>
      <c r="H2376" s="29">
        <f>Data_thang!N2376</f>
        <v/>
      </c>
      <c r="I2376" s="29">
        <f>H2376-G2376</f>
        <v/>
      </c>
      <c r="J2376" s="30">
        <f>IF(H2376=0,IF(I2376=0,0,1),I2376/ABS(H2376))</f>
        <v/>
      </c>
      <c r="K2376" s="29">
        <f>H2376-(Data_thang!O2376-Data_thang!K2376)</f>
        <v/>
      </c>
      <c r="L2376">
        <f>IF(AND(ABS(I2376)&gt;Dashboard!$G$6,ABS(J2376)&gt;Dashboard!$H$6),"⚠ Vượt","")</f>
        <v/>
      </c>
      <c r="M2376">
        <f>IF(AND(A2376=Dashboard!$D$6,OR(Dashboard!$C$6="*",F2376=Dashboard!$C$6),L2376&lt;&gt;""),ABS(I2376)+ROW()/1000000000,0)</f>
        <v/>
      </c>
    </row>
    <row r="2377">
      <c r="A2377">
        <f>Data_thang!A2377</f>
        <v/>
      </c>
      <c r="B2377">
        <f>Data_thang!B2377</f>
        <v/>
      </c>
      <c r="C2377">
        <f>Data_thang!D2377</f>
        <v/>
      </c>
      <c r="D2377">
        <f>Data_thang!E2377</f>
        <v/>
      </c>
      <c r="E2377">
        <f>Data_thang!F2377</f>
        <v/>
      </c>
      <c r="F2377">
        <f>Data_thang!G2377</f>
        <v/>
      </c>
      <c r="G2377" s="29">
        <f>Data_thang!J2377-Data_thang!K2377</f>
        <v/>
      </c>
      <c r="H2377" s="29">
        <f>Data_thang!N2377</f>
        <v/>
      </c>
      <c r="I2377" s="29">
        <f>H2377-G2377</f>
        <v/>
      </c>
      <c r="J2377" s="30">
        <f>IF(H2377=0,IF(I2377=0,0,1),I2377/ABS(H2377))</f>
        <v/>
      </c>
      <c r="K2377" s="29">
        <f>H2377-(Data_thang!O2377-Data_thang!K2377)</f>
        <v/>
      </c>
      <c r="L2377">
        <f>IF(AND(ABS(I2377)&gt;Dashboard!$G$6,ABS(J2377)&gt;Dashboard!$H$6),"⚠ Vượt","")</f>
        <v/>
      </c>
      <c r="M2377">
        <f>IF(AND(A2377=Dashboard!$D$6,OR(Dashboard!$C$6="*",F2377=Dashboard!$C$6),L2377&lt;&gt;""),ABS(I2377)+ROW()/1000000000,0)</f>
        <v/>
      </c>
    </row>
    <row r="2378">
      <c r="A2378">
        <f>Data_thang!A2378</f>
        <v/>
      </c>
      <c r="B2378">
        <f>Data_thang!B2378</f>
        <v/>
      </c>
      <c r="C2378">
        <f>Data_thang!D2378</f>
        <v/>
      </c>
      <c r="D2378">
        <f>Data_thang!E2378</f>
        <v/>
      </c>
      <c r="E2378">
        <f>Data_thang!F2378</f>
        <v/>
      </c>
      <c r="F2378">
        <f>Data_thang!G2378</f>
        <v/>
      </c>
      <c r="G2378" s="29">
        <f>Data_thang!J2378-Data_thang!K2378</f>
        <v/>
      </c>
      <c r="H2378" s="29">
        <f>Data_thang!N2378</f>
        <v/>
      </c>
      <c r="I2378" s="29">
        <f>H2378-G2378</f>
        <v/>
      </c>
      <c r="J2378" s="30">
        <f>IF(H2378=0,IF(I2378=0,0,1),I2378/ABS(H2378))</f>
        <v/>
      </c>
      <c r="K2378" s="29">
        <f>H2378-(Data_thang!O2378-Data_thang!K2378)</f>
        <v/>
      </c>
      <c r="L2378">
        <f>IF(AND(ABS(I2378)&gt;Dashboard!$G$6,ABS(J2378)&gt;Dashboard!$H$6),"⚠ Vượt","")</f>
        <v/>
      </c>
      <c r="M2378">
        <f>IF(AND(A2378=Dashboard!$D$6,OR(Dashboard!$C$6="*",F2378=Dashboard!$C$6),L2378&lt;&gt;""),ABS(I2378)+ROW()/1000000000,0)</f>
        <v/>
      </c>
    </row>
    <row r="2379">
      <c r="A2379">
        <f>Data_thang!A2379</f>
        <v/>
      </c>
      <c r="B2379">
        <f>Data_thang!B2379</f>
        <v/>
      </c>
      <c r="C2379">
        <f>Data_thang!D2379</f>
        <v/>
      </c>
      <c r="D2379">
        <f>Data_thang!E2379</f>
        <v/>
      </c>
      <c r="E2379">
        <f>Data_thang!F2379</f>
        <v/>
      </c>
      <c r="F2379">
        <f>Data_thang!G2379</f>
        <v/>
      </c>
      <c r="G2379" s="29">
        <f>Data_thang!J2379-Data_thang!K2379</f>
        <v/>
      </c>
      <c r="H2379" s="29">
        <f>Data_thang!N2379</f>
        <v/>
      </c>
      <c r="I2379" s="29">
        <f>H2379-G2379</f>
        <v/>
      </c>
      <c r="J2379" s="30">
        <f>IF(H2379=0,IF(I2379=0,0,1),I2379/ABS(H2379))</f>
        <v/>
      </c>
      <c r="K2379" s="29">
        <f>H2379-(Data_thang!O2379-Data_thang!K2379)</f>
        <v/>
      </c>
      <c r="L2379">
        <f>IF(AND(ABS(I2379)&gt;Dashboard!$G$6,ABS(J2379)&gt;Dashboard!$H$6),"⚠ Vượt","")</f>
        <v/>
      </c>
      <c r="M2379">
        <f>IF(AND(A2379=Dashboard!$D$6,OR(Dashboard!$C$6="*",F2379=Dashboard!$C$6),L2379&lt;&gt;""),ABS(I2379)+ROW()/1000000000,0)</f>
        <v/>
      </c>
    </row>
    <row r="2380">
      <c r="A2380">
        <f>Data_thang!A2380</f>
        <v/>
      </c>
      <c r="B2380">
        <f>Data_thang!B2380</f>
        <v/>
      </c>
      <c r="C2380">
        <f>Data_thang!D2380</f>
        <v/>
      </c>
      <c r="D2380">
        <f>Data_thang!E2380</f>
        <v/>
      </c>
      <c r="E2380">
        <f>Data_thang!F2380</f>
        <v/>
      </c>
      <c r="F2380">
        <f>Data_thang!G2380</f>
        <v/>
      </c>
      <c r="G2380" s="29">
        <f>Data_thang!J2380-Data_thang!K2380</f>
        <v/>
      </c>
      <c r="H2380" s="29">
        <f>Data_thang!N2380</f>
        <v/>
      </c>
      <c r="I2380" s="29">
        <f>H2380-G2380</f>
        <v/>
      </c>
      <c r="J2380" s="30">
        <f>IF(H2380=0,IF(I2380=0,0,1),I2380/ABS(H2380))</f>
        <v/>
      </c>
      <c r="K2380" s="29">
        <f>H2380-(Data_thang!O2380-Data_thang!K2380)</f>
        <v/>
      </c>
      <c r="L2380">
        <f>IF(AND(ABS(I2380)&gt;Dashboard!$G$6,ABS(J2380)&gt;Dashboard!$H$6),"⚠ Vượt","")</f>
        <v/>
      </c>
      <c r="M2380">
        <f>IF(AND(A2380=Dashboard!$D$6,OR(Dashboard!$C$6="*",F2380=Dashboard!$C$6),L2380&lt;&gt;""),ABS(I2380)+ROW()/1000000000,0)</f>
        <v/>
      </c>
    </row>
    <row r="2381">
      <c r="A2381">
        <f>Data_thang!A2381</f>
        <v/>
      </c>
      <c r="B2381">
        <f>Data_thang!B2381</f>
        <v/>
      </c>
      <c r="C2381">
        <f>Data_thang!D2381</f>
        <v/>
      </c>
      <c r="D2381">
        <f>Data_thang!E2381</f>
        <v/>
      </c>
      <c r="E2381">
        <f>Data_thang!F2381</f>
        <v/>
      </c>
      <c r="F2381">
        <f>Data_thang!G2381</f>
        <v/>
      </c>
      <c r="G2381" s="29">
        <f>Data_thang!J2381-Data_thang!K2381</f>
        <v/>
      </c>
      <c r="H2381" s="29">
        <f>Data_thang!N2381</f>
        <v/>
      </c>
      <c r="I2381" s="29">
        <f>H2381-G2381</f>
        <v/>
      </c>
      <c r="J2381" s="30">
        <f>IF(H2381=0,IF(I2381=0,0,1),I2381/ABS(H2381))</f>
        <v/>
      </c>
      <c r="K2381" s="29">
        <f>H2381-(Data_thang!O2381-Data_thang!K2381)</f>
        <v/>
      </c>
      <c r="L2381">
        <f>IF(AND(ABS(I2381)&gt;Dashboard!$G$6,ABS(J2381)&gt;Dashboard!$H$6),"⚠ Vượt","")</f>
        <v/>
      </c>
      <c r="M2381">
        <f>IF(AND(A2381=Dashboard!$D$6,OR(Dashboard!$C$6="*",F2381=Dashboard!$C$6),L2381&lt;&gt;""),ABS(I2381)+ROW()/1000000000,0)</f>
        <v/>
      </c>
    </row>
    <row r="2382">
      <c r="A2382">
        <f>Data_thang!A2382</f>
        <v/>
      </c>
      <c r="B2382">
        <f>Data_thang!B2382</f>
        <v/>
      </c>
      <c r="C2382">
        <f>Data_thang!D2382</f>
        <v/>
      </c>
      <c r="D2382">
        <f>Data_thang!E2382</f>
        <v/>
      </c>
      <c r="E2382">
        <f>Data_thang!F2382</f>
        <v/>
      </c>
      <c r="F2382">
        <f>Data_thang!G2382</f>
        <v/>
      </c>
      <c r="G2382" s="29">
        <f>Data_thang!J2382-Data_thang!K2382</f>
        <v/>
      </c>
      <c r="H2382" s="29">
        <f>Data_thang!N2382</f>
        <v/>
      </c>
      <c r="I2382" s="29">
        <f>H2382-G2382</f>
        <v/>
      </c>
      <c r="J2382" s="30">
        <f>IF(H2382=0,IF(I2382=0,0,1),I2382/ABS(H2382))</f>
        <v/>
      </c>
      <c r="K2382" s="29">
        <f>H2382-(Data_thang!O2382-Data_thang!K2382)</f>
        <v/>
      </c>
      <c r="L2382">
        <f>IF(AND(ABS(I2382)&gt;Dashboard!$G$6,ABS(J2382)&gt;Dashboard!$H$6),"⚠ Vượt","")</f>
        <v/>
      </c>
      <c r="M2382">
        <f>IF(AND(A2382=Dashboard!$D$6,OR(Dashboard!$C$6="*",F2382=Dashboard!$C$6),L2382&lt;&gt;""),ABS(I2382)+ROW()/1000000000,0)</f>
        <v/>
      </c>
    </row>
    <row r="2383">
      <c r="A2383">
        <f>Data_thang!A2383</f>
        <v/>
      </c>
      <c r="B2383">
        <f>Data_thang!B2383</f>
        <v/>
      </c>
      <c r="C2383">
        <f>Data_thang!D2383</f>
        <v/>
      </c>
      <c r="D2383">
        <f>Data_thang!E2383</f>
        <v/>
      </c>
      <c r="E2383">
        <f>Data_thang!F2383</f>
        <v/>
      </c>
      <c r="F2383">
        <f>Data_thang!G2383</f>
        <v/>
      </c>
      <c r="G2383" s="29">
        <f>Data_thang!J2383-Data_thang!K2383</f>
        <v/>
      </c>
      <c r="H2383" s="29">
        <f>Data_thang!N2383</f>
        <v/>
      </c>
      <c r="I2383" s="29">
        <f>H2383-G2383</f>
        <v/>
      </c>
      <c r="J2383" s="30">
        <f>IF(H2383=0,IF(I2383=0,0,1),I2383/ABS(H2383))</f>
        <v/>
      </c>
      <c r="K2383" s="29">
        <f>H2383-(Data_thang!O2383-Data_thang!K2383)</f>
        <v/>
      </c>
      <c r="L2383">
        <f>IF(AND(ABS(I2383)&gt;Dashboard!$G$6,ABS(J2383)&gt;Dashboard!$H$6),"⚠ Vượt","")</f>
        <v/>
      </c>
      <c r="M2383">
        <f>IF(AND(A2383=Dashboard!$D$6,OR(Dashboard!$C$6="*",F2383=Dashboard!$C$6),L2383&lt;&gt;""),ABS(I2383)+ROW()/1000000000,0)</f>
        <v/>
      </c>
    </row>
    <row r="2384">
      <c r="A2384">
        <f>Data_thang!A2384</f>
        <v/>
      </c>
      <c r="B2384">
        <f>Data_thang!B2384</f>
        <v/>
      </c>
      <c r="C2384">
        <f>Data_thang!D2384</f>
        <v/>
      </c>
      <c r="D2384">
        <f>Data_thang!E2384</f>
        <v/>
      </c>
      <c r="E2384">
        <f>Data_thang!F2384</f>
        <v/>
      </c>
      <c r="F2384">
        <f>Data_thang!G2384</f>
        <v/>
      </c>
      <c r="G2384" s="29">
        <f>Data_thang!J2384-Data_thang!K2384</f>
        <v/>
      </c>
      <c r="H2384" s="29">
        <f>Data_thang!N2384</f>
        <v/>
      </c>
      <c r="I2384" s="29">
        <f>H2384-G2384</f>
        <v/>
      </c>
      <c r="J2384" s="30">
        <f>IF(H2384=0,IF(I2384=0,0,1),I2384/ABS(H2384))</f>
        <v/>
      </c>
      <c r="K2384" s="29">
        <f>H2384-(Data_thang!O2384-Data_thang!K2384)</f>
        <v/>
      </c>
      <c r="L2384">
        <f>IF(AND(ABS(I2384)&gt;Dashboard!$G$6,ABS(J2384)&gt;Dashboard!$H$6),"⚠ Vượt","")</f>
        <v/>
      </c>
      <c r="M2384">
        <f>IF(AND(A2384=Dashboard!$D$6,OR(Dashboard!$C$6="*",F2384=Dashboard!$C$6),L2384&lt;&gt;""),ABS(I2384)+ROW()/1000000000,0)</f>
        <v/>
      </c>
    </row>
    <row r="2385">
      <c r="A2385">
        <f>Data_thang!A2385</f>
        <v/>
      </c>
      <c r="B2385">
        <f>Data_thang!B2385</f>
        <v/>
      </c>
      <c r="C2385">
        <f>Data_thang!D2385</f>
        <v/>
      </c>
      <c r="D2385">
        <f>Data_thang!E2385</f>
        <v/>
      </c>
      <c r="E2385">
        <f>Data_thang!F2385</f>
        <v/>
      </c>
      <c r="F2385">
        <f>Data_thang!G2385</f>
        <v/>
      </c>
      <c r="G2385" s="29">
        <f>Data_thang!J2385-Data_thang!K2385</f>
        <v/>
      </c>
      <c r="H2385" s="29">
        <f>Data_thang!N2385</f>
        <v/>
      </c>
      <c r="I2385" s="29">
        <f>H2385-G2385</f>
        <v/>
      </c>
      <c r="J2385" s="30">
        <f>IF(H2385=0,IF(I2385=0,0,1),I2385/ABS(H2385))</f>
        <v/>
      </c>
      <c r="K2385" s="29">
        <f>H2385-(Data_thang!O2385-Data_thang!K2385)</f>
        <v/>
      </c>
      <c r="L2385">
        <f>IF(AND(ABS(I2385)&gt;Dashboard!$G$6,ABS(J2385)&gt;Dashboard!$H$6),"⚠ Vượt","")</f>
        <v/>
      </c>
      <c r="M2385">
        <f>IF(AND(A2385=Dashboard!$D$6,OR(Dashboard!$C$6="*",F2385=Dashboard!$C$6),L2385&lt;&gt;""),ABS(I2385)+ROW()/1000000000,0)</f>
        <v/>
      </c>
    </row>
    <row r="2386">
      <c r="A2386">
        <f>Data_thang!A2386</f>
        <v/>
      </c>
      <c r="B2386">
        <f>Data_thang!B2386</f>
        <v/>
      </c>
      <c r="C2386">
        <f>Data_thang!D2386</f>
        <v/>
      </c>
      <c r="D2386">
        <f>Data_thang!E2386</f>
        <v/>
      </c>
      <c r="E2386">
        <f>Data_thang!F2386</f>
        <v/>
      </c>
      <c r="F2386">
        <f>Data_thang!G2386</f>
        <v/>
      </c>
      <c r="G2386" s="29">
        <f>Data_thang!J2386-Data_thang!K2386</f>
        <v/>
      </c>
      <c r="H2386" s="29">
        <f>Data_thang!N2386</f>
        <v/>
      </c>
      <c r="I2386" s="29">
        <f>H2386-G2386</f>
        <v/>
      </c>
      <c r="J2386" s="30">
        <f>IF(H2386=0,IF(I2386=0,0,1),I2386/ABS(H2386))</f>
        <v/>
      </c>
      <c r="K2386" s="29">
        <f>H2386-(Data_thang!O2386-Data_thang!K2386)</f>
        <v/>
      </c>
      <c r="L2386">
        <f>IF(AND(ABS(I2386)&gt;Dashboard!$G$6,ABS(J2386)&gt;Dashboard!$H$6),"⚠ Vượt","")</f>
        <v/>
      </c>
      <c r="M2386">
        <f>IF(AND(A2386=Dashboard!$D$6,OR(Dashboard!$C$6="*",F2386=Dashboard!$C$6),L2386&lt;&gt;""),ABS(I2386)+ROW()/1000000000,0)</f>
        <v/>
      </c>
    </row>
    <row r="2387">
      <c r="A2387">
        <f>Data_thang!A2387</f>
        <v/>
      </c>
      <c r="B2387">
        <f>Data_thang!B2387</f>
        <v/>
      </c>
      <c r="C2387">
        <f>Data_thang!D2387</f>
        <v/>
      </c>
      <c r="D2387">
        <f>Data_thang!E2387</f>
        <v/>
      </c>
      <c r="E2387">
        <f>Data_thang!F2387</f>
        <v/>
      </c>
      <c r="F2387">
        <f>Data_thang!G2387</f>
        <v/>
      </c>
      <c r="G2387" s="29">
        <f>Data_thang!J2387-Data_thang!K2387</f>
        <v/>
      </c>
      <c r="H2387" s="29">
        <f>Data_thang!N2387</f>
        <v/>
      </c>
      <c r="I2387" s="29">
        <f>H2387-G2387</f>
        <v/>
      </c>
      <c r="J2387" s="30">
        <f>IF(H2387=0,IF(I2387=0,0,1),I2387/ABS(H2387))</f>
        <v/>
      </c>
      <c r="K2387" s="29">
        <f>H2387-(Data_thang!O2387-Data_thang!K2387)</f>
        <v/>
      </c>
      <c r="L2387">
        <f>IF(AND(ABS(I2387)&gt;Dashboard!$G$6,ABS(J2387)&gt;Dashboard!$H$6),"⚠ Vượt","")</f>
        <v/>
      </c>
      <c r="M2387">
        <f>IF(AND(A2387=Dashboard!$D$6,OR(Dashboard!$C$6="*",F2387=Dashboard!$C$6),L2387&lt;&gt;""),ABS(I2387)+ROW()/1000000000,0)</f>
        <v/>
      </c>
    </row>
    <row r="2388">
      <c r="A2388">
        <f>Data_thang!A2388</f>
        <v/>
      </c>
      <c r="B2388">
        <f>Data_thang!B2388</f>
        <v/>
      </c>
      <c r="C2388">
        <f>Data_thang!D2388</f>
        <v/>
      </c>
      <c r="D2388">
        <f>Data_thang!E2388</f>
        <v/>
      </c>
      <c r="E2388">
        <f>Data_thang!F2388</f>
        <v/>
      </c>
      <c r="F2388">
        <f>Data_thang!G2388</f>
        <v/>
      </c>
      <c r="G2388" s="29">
        <f>Data_thang!J2388-Data_thang!K2388</f>
        <v/>
      </c>
      <c r="H2388" s="29">
        <f>Data_thang!N2388</f>
        <v/>
      </c>
      <c r="I2388" s="29">
        <f>H2388-G2388</f>
        <v/>
      </c>
      <c r="J2388" s="30">
        <f>IF(H2388=0,IF(I2388=0,0,1),I2388/ABS(H2388))</f>
        <v/>
      </c>
      <c r="K2388" s="29">
        <f>H2388-(Data_thang!O2388-Data_thang!K2388)</f>
        <v/>
      </c>
      <c r="L2388">
        <f>IF(AND(ABS(I2388)&gt;Dashboard!$G$6,ABS(J2388)&gt;Dashboard!$H$6),"⚠ Vượt","")</f>
        <v/>
      </c>
      <c r="M2388">
        <f>IF(AND(A2388=Dashboard!$D$6,OR(Dashboard!$C$6="*",F2388=Dashboard!$C$6),L2388&lt;&gt;""),ABS(I2388)+ROW()/1000000000,0)</f>
        <v/>
      </c>
    </row>
    <row r="2389">
      <c r="A2389">
        <f>Data_thang!A2389</f>
        <v/>
      </c>
      <c r="B2389">
        <f>Data_thang!B2389</f>
        <v/>
      </c>
      <c r="C2389">
        <f>Data_thang!D2389</f>
        <v/>
      </c>
      <c r="D2389">
        <f>Data_thang!E2389</f>
        <v/>
      </c>
      <c r="E2389">
        <f>Data_thang!F2389</f>
        <v/>
      </c>
      <c r="F2389">
        <f>Data_thang!G2389</f>
        <v/>
      </c>
      <c r="G2389" s="29">
        <f>Data_thang!J2389-Data_thang!K2389</f>
        <v/>
      </c>
      <c r="H2389" s="29">
        <f>Data_thang!N2389</f>
        <v/>
      </c>
      <c r="I2389" s="29">
        <f>H2389-G2389</f>
        <v/>
      </c>
      <c r="J2389" s="30">
        <f>IF(H2389=0,IF(I2389=0,0,1),I2389/ABS(H2389))</f>
        <v/>
      </c>
      <c r="K2389" s="29">
        <f>H2389-(Data_thang!O2389-Data_thang!K2389)</f>
        <v/>
      </c>
      <c r="L2389">
        <f>IF(AND(ABS(I2389)&gt;Dashboard!$G$6,ABS(J2389)&gt;Dashboard!$H$6),"⚠ Vượt","")</f>
        <v/>
      </c>
      <c r="M2389">
        <f>IF(AND(A2389=Dashboard!$D$6,OR(Dashboard!$C$6="*",F2389=Dashboard!$C$6),L2389&lt;&gt;""),ABS(I2389)+ROW()/1000000000,0)</f>
        <v/>
      </c>
    </row>
    <row r="2390">
      <c r="A2390">
        <f>Data_thang!A2390</f>
        <v/>
      </c>
      <c r="B2390">
        <f>Data_thang!B2390</f>
        <v/>
      </c>
      <c r="C2390">
        <f>Data_thang!D2390</f>
        <v/>
      </c>
      <c r="D2390">
        <f>Data_thang!E2390</f>
        <v/>
      </c>
      <c r="E2390">
        <f>Data_thang!F2390</f>
        <v/>
      </c>
      <c r="F2390">
        <f>Data_thang!G2390</f>
        <v/>
      </c>
      <c r="G2390" s="29">
        <f>Data_thang!J2390-Data_thang!K2390</f>
        <v/>
      </c>
      <c r="H2390" s="29">
        <f>Data_thang!N2390</f>
        <v/>
      </c>
      <c r="I2390" s="29">
        <f>H2390-G2390</f>
        <v/>
      </c>
      <c r="J2390" s="30">
        <f>IF(H2390=0,IF(I2390=0,0,1),I2390/ABS(H2390))</f>
        <v/>
      </c>
      <c r="K2390" s="29">
        <f>H2390-(Data_thang!O2390-Data_thang!K2390)</f>
        <v/>
      </c>
      <c r="L2390">
        <f>IF(AND(ABS(I2390)&gt;Dashboard!$G$6,ABS(J2390)&gt;Dashboard!$H$6),"⚠ Vượt","")</f>
        <v/>
      </c>
      <c r="M2390">
        <f>IF(AND(A2390=Dashboard!$D$6,OR(Dashboard!$C$6="*",F2390=Dashboard!$C$6),L2390&lt;&gt;""),ABS(I2390)+ROW()/1000000000,0)</f>
        <v/>
      </c>
    </row>
    <row r="2391">
      <c r="A2391">
        <f>Data_thang!A2391</f>
        <v/>
      </c>
      <c r="B2391">
        <f>Data_thang!B2391</f>
        <v/>
      </c>
      <c r="C2391">
        <f>Data_thang!D2391</f>
        <v/>
      </c>
      <c r="D2391">
        <f>Data_thang!E2391</f>
        <v/>
      </c>
      <c r="E2391">
        <f>Data_thang!F2391</f>
        <v/>
      </c>
      <c r="F2391">
        <f>Data_thang!G2391</f>
        <v/>
      </c>
      <c r="G2391" s="29">
        <f>Data_thang!J2391-Data_thang!K2391</f>
        <v/>
      </c>
      <c r="H2391" s="29">
        <f>Data_thang!N2391</f>
        <v/>
      </c>
      <c r="I2391" s="29">
        <f>H2391-G2391</f>
        <v/>
      </c>
      <c r="J2391" s="30">
        <f>IF(H2391=0,IF(I2391=0,0,1),I2391/ABS(H2391))</f>
        <v/>
      </c>
      <c r="K2391" s="29">
        <f>H2391-(Data_thang!O2391-Data_thang!K2391)</f>
        <v/>
      </c>
      <c r="L2391">
        <f>IF(AND(ABS(I2391)&gt;Dashboard!$G$6,ABS(J2391)&gt;Dashboard!$H$6),"⚠ Vượt","")</f>
        <v/>
      </c>
      <c r="M2391">
        <f>IF(AND(A2391=Dashboard!$D$6,OR(Dashboard!$C$6="*",F2391=Dashboard!$C$6),L2391&lt;&gt;""),ABS(I2391)+ROW()/1000000000,0)</f>
        <v/>
      </c>
    </row>
    <row r="2392">
      <c r="A2392">
        <f>Data_thang!A2392</f>
        <v/>
      </c>
      <c r="B2392">
        <f>Data_thang!B2392</f>
        <v/>
      </c>
      <c r="C2392">
        <f>Data_thang!D2392</f>
        <v/>
      </c>
      <c r="D2392">
        <f>Data_thang!E2392</f>
        <v/>
      </c>
      <c r="E2392">
        <f>Data_thang!F2392</f>
        <v/>
      </c>
      <c r="F2392">
        <f>Data_thang!G2392</f>
        <v/>
      </c>
      <c r="G2392" s="29">
        <f>Data_thang!J2392-Data_thang!K2392</f>
        <v/>
      </c>
      <c r="H2392" s="29">
        <f>Data_thang!N2392</f>
        <v/>
      </c>
      <c r="I2392" s="29">
        <f>H2392-G2392</f>
        <v/>
      </c>
      <c r="J2392" s="30">
        <f>IF(H2392=0,IF(I2392=0,0,1),I2392/ABS(H2392))</f>
        <v/>
      </c>
      <c r="K2392" s="29">
        <f>H2392-(Data_thang!O2392-Data_thang!K2392)</f>
        <v/>
      </c>
      <c r="L2392">
        <f>IF(AND(ABS(I2392)&gt;Dashboard!$G$6,ABS(J2392)&gt;Dashboard!$H$6),"⚠ Vượt","")</f>
        <v/>
      </c>
      <c r="M2392">
        <f>IF(AND(A2392=Dashboard!$D$6,OR(Dashboard!$C$6="*",F2392=Dashboard!$C$6),L2392&lt;&gt;""),ABS(I2392)+ROW()/1000000000,0)</f>
        <v/>
      </c>
    </row>
    <row r="2393">
      <c r="A2393">
        <f>Data_thang!A2393</f>
        <v/>
      </c>
      <c r="B2393">
        <f>Data_thang!B2393</f>
        <v/>
      </c>
      <c r="C2393">
        <f>Data_thang!D2393</f>
        <v/>
      </c>
      <c r="D2393">
        <f>Data_thang!E2393</f>
        <v/>
      </c>
      <c r="E2393">
        <f>Data_thang!F2393</f>
        <v/>
      </c>
      <c r="F2393">
        <f>Data_thang!G2393</f>
        <v/>
      </c>
      <c r="G2393" s="29">
        <f>Data_thang!J2393-Data_thang!K2393</f>
        <v/>
      </c>
      <c r="H2393" s="29">
        <f>Data_thang!N2393</f>
        <v/>
      </c>
      <c r="I2393" s="29">
        <f>H2393-G2393</f>
        <v/>
      </c>
      <c r="J2393" s="30">
        <f>IF(H2393=0,IF(I2393=0,0,1),I2393/ABS(H2393))</f>
        <v/>
      </c>
      <c r="K2393" s="29">
        <f>H2393-(Data_thang!O2393-Data_thang!K2393)</f>
        <v/>
      </c>
      <c r="L2393">
        <f>IF(AND(ABS(I2393)&gt;Dashboard!$G$6,ABS(J2393)&gt;Dashboard!$H$6),"⚠ Vượt","")</f>
        <v/>
      </c>
      <c r="M2393">
        <f>IF(AND(A2393=Dashboard!$D$6,OR(Dashboard!$C$6="*",F2393=Dashboard!$C$6),L2393&lt;&gt;""),ABS(I2393)+ROW()/1000000000,0)</f>
        <v/>
      </c>
    </row>
    <row r="2394">
      <c r="A2394">
        <f>Data_thang!A2394</f>
        <v/>
      </c>
      <c r="B2394">
        <f>Data_thang!B2394</f>
        <v/>
      </c>
      <c r="C2394">
        <f>Data_thang!D2394</f>
        <v/>
      </c>
      <c r="D2394">
        <f>Data_thang!E2394</f>
        <v/>
      </c>
      <c r="E2394">
        <f>Data_thang!F2394</f>
        <v/>
      </c>
      <c r="F2394">
        <f>Data_thang!G2394</f>
        <v/>
      </c>
      <c r="G2394" s="29">
        <f>Data_thang!J2394-Data_thang!K2394</f>
        <v/>
      </c>
      <c r="H2394" s="29">
        <f>Data_thang!N2394</f>
        <v/>
      </c>
      <c r="I2394" s="29">
        <f>H2394-G2394</f>
        <v/>
      </c>
      <c r="J2394" s="30">
        <f>IF(H2394=0,IF(I2394=0,0,1),I2394/ABS(H2394))</f>
        <v/>
      </c>
      <c r="K2394" s="29">
        <f>H2394-(Data_thang!O2394-Data_thang!K2394)</f>
        <v/>
      </c>
      <c r="L2394">
        <f>IF(AND(ABS(I2394)&gt;Dashboard!$G$6,ABS(J2394)&gt;Dashboard!$H$6),"⚠ Vượt","")</f>
        <v/>
      </c>
      <c r="M2394">
        <f>IF(AND(A2394=Dashboard!$D$6,OR(Dashboard!$C$6="*",F2394=Dashboard!$C$6),L2394&lt;&gt;""),ABS(I2394)+ROW()/1000000000,0)</f>
        <v/>
      </c>
    </row>
    <row r="2395">
      <c r="A2395">
        <f>Data_thang!A2395</f>
        <v/>
      </c>
      <c r="B2395">
        <f>Data_thang!B2395</f>
        <v/>
      </c>
      <c r="C2395">
        <f>Data_thang!D2395</f>
        <v/>
      </c>
      <c r="D2395">
        <f>Data_thang!E2395</f>
        <v/>
      </c>
      <c r="E2395">
        <f>Data_thang!F2395</f>
        <v/>
      </c>
      <c r="F2395">
        <f>Data_thang!G2395</f>
        <v/>
      </c>
      <c r="G2395" s="29">
        <f>Data_thang!J2395-Data_thang!K2395</f>
        <v/>
      </c>
      <c r="H2395" s="29">
        <f>Data_thang!N2395</f>
        <v/>
      </c>
      <c r="I2395" s="29">
        <f>H2395-G2395</f>
        <v/>
      </c>
      <c r="J2395" s="30">
        <f>IF(H2395=0,IF(I2395=0,0,1),I2395/ABS(H2395))</f>
        <v/>
      </c>
      <c r="K2395" s="29">
        <f>H2395-(Data_thang!O2395-Data_thang!K2395)</f>
        <v/>
      </c>
      <c r="L2395">
        <f>IF(AND(ABS(I2395)&gt;Dashboard!$G$6,ABS(J2395)&gt;Dashboard!$H$6),"⚠ Vượt","")</f>
        <v/>
      </c>
      <c r="M2395">
        <f>IF(AND(A2395=Dashboard!$D$6,OR(Dashboard!$C$6="*",F2395=Dashboard!$C$6),L2395&lt;&gt;""),ABS(I2395)+ROW()/1000000000,0)</f>
        <v/>
      </c>
    </row>
    <row r="2396">
      <c r="A2396">
        <f>Data_thang!A2396</f>
        <v/>
      </c>
      <c r="B2396">
        <f>Data_thang!B2396</f>
        <v/>
      </c>
      <c r="C2396">
        <f>Data_thang!D2396</f>
        <v/>
      </c>
      <c r="D2396">
        <f>Data_thang!E2396</f>
        <v/>
      </c>
      <c r="E2396">
        <f>Data_thang!F2396</f>
        <v/>
      </c>
      <c r="F2396">
        <f>Data_thang!G2396</f>
        <v/>
      </c>
      <c r="G2396" s="29">
        <f>Data_thang!J2396-Data_thang!K2396</f>
        <v/>
      </c>
      <c r="H2396" s="29">
        <f>Data_thang!N2396</f>
        <v/>
      </c>
      <c r="I2396" s="29">
        <f>H2396-G2396</f>
        <v/>
      </c>
      <c r="J2396" s="30">
        <f>IF(H2396=0,IF(I2396=0,0,1),I2396/ABS(H2396))</f>
        <v/>
      </c>
      <c r="K2396" s="29">
        <f>H2396-(Data_thang!O2396-Data_thang!K2396)</f>
        <v/>
      </c>
      <c r="L2396">
        <f>IF(AND(ABS(I2396)&gt;Dashboard!$G$6,ABS(J2396)&gt;Dashboard!$H$6),"⚠ Vượt","")</f>
        <v/>
      </c>
      <c r="M2396">
        <f>IF(AND(A2396=Dashboard!$D$6,OR(Dashboard!$C$6="*",F2396=Dashboard!$C$6),L2396&lt;&gt;""),ABS(I2396)+ROW()/1000000000,0)</f>
        <v/>
      </c>
    </row>
    <row r="2397">
      <c r="A2397">
        <f>Data_thang!A2397</f>
        <v/>
      </c>
      <c r="B2397">
        <f>Data_thang!B2397</f>
        <v/>
      </c>
      <c r="C2397">
        <f>Data_thang!D2397</f>
        <v/>
      </c>
      <c r="D2397">
        <f>Data_thang!E2397</f>
        <v/>
      </c>
      <c r="E2397">
        <f>Data_thang!F2397</f>
        <v/>
      </c>
      <c r="F2397">
        <f>Data_thang!G2397</f>
        <v/>
      </c>
      <c r="G2397" s="29">
        <f>Data_thang!J2397-Data_thang!K2397</f>
        <v/>
      </c>
      <c r="H2397" s="29">
        <f>Data_thang!N2397</f>
        <v/>
      </c>
      <c r="I2397" s="29">
        <f>H2397-G2397</f>
        <v/>
      </c>
      <c r="J2397" s="30">
        <f>IF(H2397=0,IF(I2397=0,0,1),I2397/ABS(H2397))</f>
        <v/>
      </c>
      <c r="K2397" s="29">
        <f>H2397-(Data_thang!O2397-Data_thang!K2397)</f>
        <v/>
      </c>
      <c r="L2397">
        <f>IF(AND(ABS(I2397)&gt;Dashboard!$G$6,ABS(J2397)&gt;Dashboard!$H$6),"⚠ Vượt","")</f>
        <v/>
      </c>
      <c r="M2397">
        <f>IF(AND(A2397=Dashboard!$D$6,OR(Dashboard!$C$6="*",F2397=Dashboard!$C$6),L2397&lt;&gt;""),ABS(I2397)+ROW()/1000000000,0)</f>
        <v/>
      </c>
    </row>
    <row r="2398">
      <c r="A2398">
        <f>Data_thang!A2398</f>
        <v/>
      </c>
      <c r="B2398">
        <f>Data_thang!B2398</f>
        <v/>
      </c>
      <c r="C2398">
        <f>Data_thang!D2398</f>
        <v/>
      </c>
      <c r="D2398">
        <f>Data_thang!E2398</f>
        <v/>
      </c>
      <c r="E2398">
        <f>Data_thang!F2398</f>
        <v/>
      </c>
      <c r="F2398">
        <f>Data_thang!G2398</f>
        <v/>
      </c>
      <c r="G2398" s="29">
        <f>Data_thang!J2398-Data_thang!K2398</f>
        <v/>
      </c>
      <c r="H2398" s="29">
        <f>Data_thang!N2398</f>
        <v/>
      </c>
      <c r="I2398" s="29">
        <f>H2398-G2398</f>
        <v/>
      </c>
      <c r="J2398" s="30">
        <f>IF(H2398=0,IF(I2398=0,0,1),I2398/ABS(H2398))</f>
        <v/>
      </c>
      <c r="K2398" s="29">
        <f>H2398-(Data_thang!O2398-Data_thang!K2398)</f>
        <v/>
      </c>
      <c r="L2398">
        <f>IF(AND(ABS(I2398)&gt;Dashboard!$G$6,ABS(J2398)&gt;Dashboard!$H$6),"⚠ Vượt","")</f>
        <v/>
      </c>
      <c r="M2398">
        <f>IF(AND(A2398=Dashboard!$D$6,OR(Dashboard!$C$6="*",F2398=Dashboard!$C$6),L2398&lt;&gt;""),ABS(I2398)+ROW()/1000000000,0)</f>
        <v/>
      </c>
    </row>
    <row r="2399">
      <c r="A2399">
        <f>Data_thang!A2399</f>
        <v/>
      </c>
      <c r="B2399">
        <f>Data_thang!B2399</f>
        <v/>
      </c>
      <c r="C2399">
        <f>Data_thang!D2399</f>
        <v/>
      </c>
      <c r="D2399">
        <f>Data_thang!E2399</f>
        <v/>
      </c>
      <c r="E2399">
        <f>Data_thang!F2399</f>
        <v/>
      </c>
      <c r="F2399">
        <f>Data_thang!G2399</f>
        <v/>
      </c>
      <c r="G2399" s="29">
        <f>Data_thang!J2399-Data_thang!K2399</f>
        <v/>
      </c>
      <c r="H2399" s="29">
        <f>Data_thang!N2399</f>
        <v/>
      </c>
      <c r="I2399" s="29">
        <f>H2399-G2399</f>
        <v/>
      </c>
      <c r="J2399" s="30">
        <f>IF(H2399=0,IF(I2399=0,0,1),I2399/ABS(H2399))</f>
        <v/>
      </c>
      <c r="K2399" s="29">
        <f>H2399-(Data_thang!O2399-Data_thang!K2399)</f>
        <v/>
      </c>
      <c r="L2399">
        <f>IF(AND(ABS(I2399)&gt;Dashboard!$G$6,ABS(J2399)&gt;Dashboard!$H$6),"⚠ Vượt","")</f>
        <v/>
      </c>
      <c r="M2399">
        <f>IF(AND(A2399=Dashboard!$D$6,OR(Dashboard!$C$6="*",F2399=Dashboard!$C$6),L2399&lt;&gt;""),ABS(I2399)+ROW()/1000000000,0)</f>
        <v/>
      </c>
    </row>
    <row r="2400">
      <c r="A2400">
        <f>Data_thang!A2400</f>
        <v/>
      </c>
      <c r="B2400">
        <f>Data_thang!B2400</f>
        <v/>
      </c>
      <c r="C2400">
        <f>Data_thang!D2400</f>
        <v/>
      </c>
      <c r="D2400">
        <f>Data_thang!E2400</f>
        <v/>
      </c>
      <c r="E2400">
        <f>Data_thang!F2400</f>
        <v/>
      </c>
      <c r="F2400">
        <f>Data_thang!G2400</f>
        <v/>
      </c>
      <c r="G2400" s="29">
        <f>Data_thang!J2400-Data_thang!K2400</f>
        <v/>
      </c>
      <c r="H2400" s="29">
        <f>Data_thang!N2400</f>
        <v/>
      </c>
      <c r="I2400" s="29">
        <f>H2400-G2400</f>
        <v/>
      </c>
      <c r="J2400" s="30">
        <f>IF(H2400=0,IF(I2400=0,0,1),I2400/ABS(H2400))</f>
        <v/>
      </c>
      <c r="K2400" s="29">
        <f>H2400-(Data_thang!O2400-Data_thang!K2400)</f>
        <v/>
      </c>
      <c r="L2400">
        <f>IF(AND(ABS(I2400)&gt;Dashboard!$G$6,ABS(J2400)&gt;Dashboard!$H$6),"⚠ Vượt","")</f>
        <v/>
      </c>
      <c r="M2400">
        <f>IF(AND(A2400=Dashboard!$D$6,OR(Dashboard!$C$6="*",F2400=Dashboard!$C$6),L2400&lt;&gt;""),ABS(I2400)+ROW()/1000000000,0)</f>
        <v/>
      </c>
    </row>
    <row r="2401">
      <c r="A2401">
        <f>Data_thang!A2401</f>
        <v/>
      </c>
      <c r="B2401">
        <f>Data_thang!B2401</f>
        <v/>
      </c>
      <c r="C2401">
        <f>Data_thang!D2401</f>
        <v/>
      </c>
      <c r="D2401">
        <f>Data_thang!E2401</f>
        <v/>
      </c>
      <c r="E2401">
        <f>Data_thang!F2401</f>
        <v/>
      </c>
      <c r="F2401">
        <f>Data_thang!G2401</f>
        <v/>
      </c>
      <c r="G2401" s="29">
        <f>Data_thang!J2401-Data_thang!K2401</f>
        <v/>
      </c>
      <c r="H2401" s="29">
        <f>Data_thang!N2401</f>
        <v/>
      </c>
      <c r="I2401" s="29">
        <f>H2401-G2401</f>
        <v/>
      </c>
      <c r="J2401" s="30">
        <f>IF(H2401=0,IF(I2401=0,0,1),I2401/ABS(H2401))</f>
        <v/>
      </c>
      <c r="K2401" s="29">
        <f>H2401-(Data_thang!O2401-Data_thang!K2401)</f>
        <v/>
      </c>
      <c r="L2401">
        <f>IF(AND(ABS(I2401)&gt;Dashboard!$G$6,ABS(J2401)&gt;Dashboard!$H$6),"⚠ Vượt","")</f>
        <v/>
      </c>
      <c r="M2401">
        <f>IF(AND(A2401=Dashboard!$D$6,OR(Dashboard!$C$6="*",F2401=Dashboard!$C$6),L2401&lt;&gt;""),ABS(I2401)+ROW()/1000000000,0)</f>
        <v/>
      </c>
    </row>
    <row r="2402">
      <c r="A2402">
        <f>Data_thang!A2402</f>
        <v/>
      </c>
      <c r="B2402">
        <f>Data_thang!B2402</f>
        <v/>
      </c>
      <c r="C2402">
        <f>Data_thang!D2402</f>
        <v/>
      </c>
      <c r="D2402">
        <f>Data_thang!E2402</f>
        <v/>
      </c>
      <c r="E2402">
        <f>Data_thang!F2402</f>
        <v/>
      </c>
      <c r="F2402">
        <f>Data_thang!G2402</f>
        <v/>
      </c>
      <c r="G2402" s="29">
        <f>Data_thang!J2402-Data_thang!K2402</f>
        <v/>
      </c>
      <c r="H2402" s="29">
        <f>Data_thang!N2402</f>
        <v/>
      </c>
      <c r="I2402" s="29">
        <f>H2402-G2402</f>
        <v/>
      </c>
      <c r="J2402" s="30">
        <f>IF(H2402=0,IF(I2402=0,0,1),I2402/ABS(H2402))</f>
        <v/>
      </c>
      <c r="K2402" s="29">
        <f>H2402-(Data_thang!O2402-Data_thang!K2402)</f>
        <v/>
      </c>
      <c r="L2402">
        <f>IF(AND(ABS(I2402)&gt;Dashboard!$G$6,ABS(J2402)&gt;Dashboard!$H$6),"⚠ Vượt","")</f>
        <v/>
      </c>
      <c r="M2402">
        <f>IF(AND(A2402=Dashboard!$D$6,OR(Dashboard!$C$6="*",F2402=Dashboard!$C$6),L2402&lt;&gt;""),ABS(I2402)+ROW()/1000000000,0)</f>
        <v/>
      </c>
    </row>
    <row r="2403">
      <c r="A2403">
        <f>Data_thang!A2403</f>
        <v/>
      </c>
      <c r="B2403">
        <f>Data_thang!B2403</f>
        <v/>
      </c>
      <c r="C2403">
        <f>Data_thang!D2403</f>
        <v/>
      </c>
      <c r="D2403">
        <f>Data_thang!E2403</f>
        <v/>
      </c>
      <c r="E2403">
        <f>Data_thang!F2403</f>
        <v/>
      </c>
      <c r="F2403">
        <f>Data_thang!G2403</f>
        <v/>
      </c>
      <c r="G2403" s="29">
        <f>Data_thang!J2403-Data_thang!K2403</f>
        <v/>
      </c>
      <c r="H2403" s="29">
        <f>Data_thang!N2403</f>
        <v/>
      </c>
      <c r="I2403" s="29">
        <f>H2403-G2403</f>
        <v/>
      </c>
      <c r="J2403" s="30">
        <f>IF(H2403=0,IF(I2403=0,0,1),I2403/ABS(H2403))</f>
        <v/>
      </c>
      <c r="K2403" s="29">
        <f>H2403-(Data_thang!O2403-Data_thang!K2403)</f>
        <v/>
      </c>
      <c r="L2403">
        <f>IF(AND(ABS(I2403)&gt;Dashboard!$G$6,ABS(J2403)&gt;Dashboard!$H$6),"⚠ Vượt","")</f>
        <v/>
      </c>
      <c r="M2403">
        <f>IF(AND(A2403=Dashboard!$D$6,OR(Dashboard!$C$6="*",F2403=Dashboard!$C$6),L2403&lt;&gt;""),ABS(I2403)+ROW()/1000000000,0)</f>
        <v/>
      </c>
    </row>
    <row r="2404">
      <c r="A2404">
        <f>Data_thang!A2404</f>
        <v/>
      </c>
      <c r="B2404">
        <f>Data_thang!B2404</f>
        <v/>
      </c>
      <c r="C2404">
        <f>Data_thang!D2404</f>
        <v/>
      </c>
      <c r="D2404">
        <f>Data_thang!E2404</f>
        <v/>
      </c>
      <c r="E2404">
        <f>Data_thang!F2404</f>
        <v/>
      </c>
      <c r="F2404">
        <f>Data_thang!G2404</f>
        <v/>
      </c>
      <c r="G2404" s="29">
        <f>Data_thang!J2404-Data_thang!K2404</f>
        <v/>
      </c>
      <c r="H2404" s="29">
        <f>Data_thang!N2404</f>
        <v/>
      </c>
      <c r="I2404" s="29">
        <f>H2404-G2404</f>
        <v/>
      </c>
      <c r="J2404" s="30">
        <f>IF(H2404=0,IF(I2404=0,0,1),I2404/ABS(H2404))</f>
        <v/>
      </c>
      <c r="K2404" s="29">
        <f>H2404-(Data_thang!O2404-Data_thang!K2404)</f>
        <v/>
      </c>
      <c r="L2404">
        <f>IF(AND(ABS(I2404)&gt;Dashboard!$G$6,ABS(J2404)&gt;Dashboard!$H$6),"⚠ Vượt","")</f>
        <v/>
      </c>
      <c r="M2404">
        <f>IF(AND(A2404=Dashboard!$D$6,OR(Dashboard!$C$6="*",F2404=Dashboard!$C$6),L2404&lt;&gt;""),ABS(I2404)+ROW()/1000000000,0)</f>
        <v/>
      </c>
    </row>
    <row r="2405">
      <c r="A2405">
        <f>Data_thang!A2405</f>
        <v/>
      </c>
      <c r="B2405">
        <f>Data_thang!B2405</f>
        <v/>
      </c>
      <c r="C2405">
        <f>Data_thang!D2405</f>
        <v/>
      </c>
      <c r="D2405">
        <f>Data_thang!E2405</f>
        <v/>
      </c>
      <c r="E2405">
        <f>Data_thang!F2405</f>
        <v/>
      </c>
      <c r="F2405">
        <f>Data_thang!G2405</f>
        <v/>
      </c>
      <c r="G2405" s="29">
        <f>Data_thang!J2405-Data_thang!K2405</f>
        <v/>
      </c>
      <c r="H2405" s="29">
        <f>Data_thang!N2405</f>
        <v/>
      </c>
      <c r="I2405" s="29">
        <f>H2405-G2405</f>
        <v/>
      </c>
      <c r="J2405" s="30">
        <f>IF(H2405=0,IF(I2405=0,0,1),I2405/ABS(H2405))</f>
        <v/>
      </c>
      <c r="K2405" s="29">
        <f>H2405-(Data_thang!O2405-Data_thang!K2405)</f>
        <v/>
      </c>
      <c r="L2405">
        <f>IF(AND(ABS(I2405)&gt;Dashboard!$G$6,ABS(J2405)&gt;Dashboard!$H$6),"⚠ Vượt","")</f>
        <v/>
      </c>
      <c r="M2405">
        <f>IF(AND(A2405=Dashboard!$D$6,OR(Dashboard!$C$6="*",F2405=Dashboard!$C$6),L2405&lt;&gt;""),ABS(I2405)+ROW()/1000000000,0)</f>
        <v/>
      </c>
    </row>
    <row r="2406">
      <c r="A2406">
        <f>Data_thang!A2406</f>
        <v/>
      </c>
      <c r="B2406">
        <f>Data_thang!B2406</f>
        <v/>
      </c>
      <c r="C2406">
        <f>Data_thang!D2406</f>
        <v/>
      </c>
      <c r="D2406">
        <f>Data_thang!E2406</f>
        <v/>
      </c>
      <c r="E2406">
        <f>Data_thang!F2406</f>
        <v/>
      </c>
      <c r="F2406">
        <f>Data_thang!G2406</f>
        <v/>
      </c>
      <c r="G2406" s="29">
        <f>Data_thang!J2406-Data_thang!K2406</f>
        <v/>
      </c>
      <c r="H2406" s="29">
        <f>Data_thang!N2406</f>
        <v/>
      </c>
      <c r="I2406" s="29">
        <f>H2406-G2406</f>
        <v/>
      </c>
      <c r="J2406" s="30">
        <f>IF(H2406=0,IF(I2406=0,0,1),I2406/ABS(H2406))</f>
        <v/>
      </c>
      <c r="K2406" s="29">
        <f>H2406-(Data_thang!O2406-Data_thang!K2406)</f>
        <v/>
      </c>
      <c r="L2406">
        <f>IF(AND(ABS(I2406)&gt;Dashboard!$G$6,ABS(J2406)&gt;Dashboard!$H$6),"⚠ Vượt","")</f>
        <v/>
      </c>
      <c r="M2406">
        <f>IF(AND(A2406=Dashboard!$D$6,OR(Dashboard!$C$6="*",F2406=Dashboard!$C$6),L2406&lt;&gt;""),ABS(I2406)+ROW()/1000000000,0)</f>
        <v/>
      </c>
    </row>
    <row r="2407">
      <c r="A2407">
        <f>Data_thang!A2407</f>
        <v/>
      </c>
      <c r="B2407">
        <f>Data_thang!B2407</f>
        <v/>
      </c>
      <c r="C2407">
        <f>Data_thang!D2407</f>
        <v/>
      </c>
      <c r="D2407">
        <f>Data_thang!E2407</f>
        <v/>
      </c>
      <c r="E2407">
        <f>Data_thang!F2407</f>
        <v/>
      </c>
      <c r="F2407">
        <f>Data_thang!G2407</f>
        <v/>
      </c>
      <c r="G2407" s="29">
        <f>Data_thang!J2407-Data_thang!K2407</f>
        <v/>
      </c>
      <c r="H2407" s="29">
        <f>Data_thang!N2407</f>
        <v/>
      </c>
      <c r="I2407" s="29">
        <f>H2407-G2407</f>
        <v/>
      </c>
      <c r="J2407" s="30">
        <f>IF(H2407=0,IF(I2407=0,0,1),I2407/ABS(H2407))</f>
        <v/>
      </c>
      <c r="K2407" s="29">
        <f>H2407-(Data_thang!O2407-Data_thang!K2407)</f>
        <v/>
      </c>
      <c r="L2407">
        <f>IF(AND(ABS(I2407)&gt;Dashboard!$G$6,ABS(J2407)&gt;Dashboard!$H$6),"⚠ Vượt","")</f>
        <v/>
      </c>
      <c r="M2407">
        <f>IF(AND(A2407=Dashboard!$D$6,OR(Dashboard!$C$6="*",F2407=Dashboard!$C$6),L2407&lt;&gt;""),ABS(I2407)+ROW()/1000000000,0)</f>
        <v/>
      </c>
    </row>
    <row r="2408">
      <c r="A2408">
        <f>Data_thang!A2408</f>
        <v/>
      </c>
      <c r="B2408">
        <f>Data_thang!B2408</f>
        <v/>
      </c>
      <c r="C2408">
        <f>Data_thang!D2408</f>
        <v/>
      </c>
      <c r="D2408">
        <f>Data_thang!E2408</f>
        <v/>
      </c>
      <c r="E2408">
        <f>Data_thang!F2408</f>
        <v/>
      </c>
      <c r="F2408">
        <f>Data_thang!G2408</f>
        <v/>
      </c>
      <c r="G2408" s="29">
        <f>Data_thang!J2408-Data_thang!K2408</f>
        <v/>
      </c>
      <c r="H2408" s="29">
        <f>Data_thang!N2408</f>
        <v/>
      </c>
      <c r="I2408" s="29">
        <f>H2408-G2408</f>
        <v/>
      </c>
      <c r="J2408" s="30">
        <f>IF(H2408=0,IF(I2408=0,0,1),I2408/ABS(H2408))</f>
        <v/>
      </c>
      <c r="K2408" s="29">
        <f>H2408-(Data_thang!O2408-Data_thang!K2408)</f>
        <v/>
      </c>
      <c r="L2408">
        <f>IF(AND(ABS(I2408)&gt;Dashboard!$G$6,ABS(J2408)&gt;Dashboard!$H$6),"⚠ Vượt","")</f>
        <v/>
      </c>
      <c r="M2408">
        <f>IF(AND(A2408=Dashboard!$D$6,OR(Dashboard!$C$6="*",F2408=Dashboard!$C$6),L2408&lt;&gt;""),ABS(I2408)+ROW()/1000000000,0)</f>
        <v/>
      </c>
    </row>
    <row r="2409">
      <c r="A2409">
        <f>Data_thang!A2409</f>
        <v/>
      </c>
      <c r="B2409">
        <f>Data_thang!B2409</f>
        <v/>
      </c>
      <c r="C2409">
        <f>Data_thang!D2409</f>
        <v/>
      </c>
      <c r="D2409">
        <f>Data_thang!E2409</f>
        <v/>
      </c>
      <c r="E2409">
        <f>Data_thang!F2409</f>
        <v/>
      </c>
      <c r="F2409">
        <f>Data_thang!G2409</f>
        <v/>
      </c>
      <c r="G2409" s="29">
        <f>Data_thang!J2409-Data_thang!K2409</f>
        <v/>
      </c>
      <c r="H2409" s="29">
        <f>Data_thang!N2409</f>
        <v/>
      </c>
      <c r="I2409" s="29">
        <f>H2409-G2409</f>
        <v/>
      </c>
      <c r="J2409" s="30">
        <f>IF(H2409=0,IF(I2409=0,0,1),I2409/ABS(H2409))</f>
        <v/>
      </c>
      <c r="K2409" s="29">
        <f>H2409-(Data_thang!O2409-Data_thang!K2409)</f>
        <v/>
      </c>
      <c r="L2409">
        <f>IF(AND(ABS(I2409)&gt;Dashboard!$G$6,ABS(J2409)&gt;Dashboard!$H$6),"⚠ Vượt","")</f>
        <v/>
      </c>
      <c r="M2409">
        <f>IF(AND(A2409=Dashboard!$D$6,OR(Dashboard!$C$6="*",F2409=Dashboard!$C$6),L2409&lt;&gt;""),ABS(I2409)+ROW()/1000000000,0)</f>
        <v/>
      </c>
    </row>
    <row r="2410">
      <c r="A2410">
        <f>Data_thang!A2410</f>
        <v/>
      </c>
      <c r="B2410">
        <f>Data_thang!B2410</f>
        <v/>
      </c>
      <c r="C2410">
        <f>Data_thang!D2410</f>
        <v/>
      </c>
      <c r="D2410">
        <f>Data_thang!E2410</f>
        <v/>
      </c>
      <c r="E2410">
        <f>Data_thang!F2410</f>
        <v/>
      </c>
      <c r="F2410">
        <f>Data_thang!G2410</f>
        <v/>
      </c>
      <c r="G2410" s="29">
        <f>Data_thang!J2410-Data_thang!K2410</f>
        <v/>
      </c>
      <c r="H2410" s="29">
        <f>Data_thang!N2410</f>
        <v/>
      </c>
      <c r="I2410" s="29">
        <f>H2410-G2410</f>
        <v/>
      </c>
      <c r="J2410" s="30">
        <f>IF(H2410=0,IF(I2410=0,0,1),I2410/ABS(H2410))</f>
        <v/>
      </c>
      <c r="K2410" s="29">
        <f>H2410-(Data_thang!O2410-Data_thang!K2410)</f>
        <v/>
      </c>
      <c r="L2410">
        <f>IF(AND(ABS(I2410)&gt;Dashboard!$G$6,ABS(J2410)&gt;Dashboard!$H$6),"⚠ Vượt","")</f>
        <v/>
      </c>
      <c r="M2410">
        <f>IF(AND(A2410=Dashboard!$D$6,OR(Dashboard!$C$6="*",F2410=Dashboard!$C$6),L2410&lt;&gt;""),ABS(I2410)+ROW()/1000000000,0)</f>
        <v/>
      </c>
    </row>
    <row r="2411">
      <c r="A2411">
        <f>Data_thang!A2411</f>
        <v/>
      </c>
      <c r="B2411">
        <f>Data_thang!B2411</f>
        <v/>
      </c>
      <c r="C2411">
        <f>Data_thang!D2411</f>
        <v/>
      </c>
      <c r="D2411">
        <f>Data_thang!E2411</f>
        <v/>
      </c>
      <c r="E2411">
        <f>Data_thang!F2411</f>
        <v/>
      </c>
      <c r="F2411">
        <f>Data_thang!G2411</f>
        <v/>
      </c>
      <c r="G2411" s="29">
        <f>Data_thang!J2411-Data_thang!K2411</f>
        <v/>
      </c>
      <c r="H2411" s="29">
        <f>Data_thang!N2411</f>
        <v/>
      </c>
      <c r="I2411" s="29">
        <f>H2411-G2411</f>
        <v/>
      </c>
      <c r="J2411" s="30">
        <f>IF(H2411=0,IF(I2411=0,0,1),I2411/ABS(H2411))</f>
        <v/>
      </c>
      <c r="K2411" s="29">
        <f>H2411-(Data_thang!O2411-Data_thang!K2411)</f>
        <v/>
      </c>
      <c r="L2411">
        <f>IF(AND(ABS(I2411)&gt;Dashboard!$G$6,ABS(J2411)&gt;Dashboard!$H$6),"⚠ Vượt","")</f>
        <v/>
      </c>
      <c r="M2411">
        <f>IF(AND(A2411=Dashboard!$D$6,OR(Dashboard!$C$6="*",F2411=Dashboard!$C$6),L2411&lt;&gt;""),ABS(I2411)+ROW()/1000000000,0)</f>
        <v/>
      </c>
    </row>
    <row r="2412">
      <c r="A2412">
        <f>Data_thang!A2412</f>
        <v/>
      </c>
      <c r="B2412">
        <f>Data_thang!B2412</f>
        <v/>
      </c>
      <c r="C2412">
        <f>Data_thang!D2412</f>
        <v/>
      </c>
      <c r="D2412">
        <f>Data_thang!E2412</f>
        <v/>
      </c>
      <c r="E2412">
        <f>Data_thang!F2412</f>
        <v/>
      </c>
      <c r="F2412">
        <f>Data_thang!G2412</f>
        <v/>
      </c>
      <c r="G2412" s="29">
        <f>Data_thang!J2412-Data_thang!K2412</f>
        <v/>
      </c>
      <c r="H2412" s="29">
        <f>Data_thang!N2412</f>
        <v/>
      </c>
      <c r="I2412" s="29">
        <f>H2412-G2412</f>
        <v/>
      </c>
      <c r="J2412" s="30">
        <f>IF(H2412=0,IF(I2412=0,0,1),I2412/ABS(H2412))</f>
        <v/>
      </c>
      <c r="K2412" s="29">
        <f>H2412-(Data_thang!O2412-Data_thang!K2412)</f>
        <v/>
      </c>
      <c r="L2412">
        <f>IF(AND(ABS(I2412)&gt;Dashboard!$G$6,ABS(J2412)&gt;Dashboard!$H$6),"⚠ Vượt","")</f>
        <v/>
      </c>
      <c r="M2412">
        <f>IF(AND(A2412=Dashboard!$D$6,OR(Dashboard!$C$6="*",F2412=Dashboard!$C$6),L2412&lt;&gt;""),ABS(I2412)+ROW()/1000000000,0)</f>
        <v/>
      </c>
    </row>
    <row r="2413">
      <c r="A2413">
        <f>Data_thang!A2413</f>
        <v/>
      </c>
      <c r="B2413">
        <f>Data_thang!B2413</f>
        <v/>
      </c>
      <c r="C2413">
        <f>Data_thang!D2413</f>
        <v/>
      </c>
      <c r="D2413">
        <f>Data_thang!E2413</f>
        <v/>
      </c>
      <c r="E2413">
        <f>Data_thang!F2413</f>
        <v/>
      </c>
      <c r="F2413">
        <f>Data_thang!G2413</f>
        <v/>
      </c>
      <c r="G2413" s="29">
        <f>Data_thang!J2413-Data_thang!K2413</f>
        <v/>
      </c>
      <c r="H2413" s="29">
        <f>Data_thang!N2413</f>
        <v/>
      </c>
      <c r="I2413" s="29">
        <f>H2413-G2413</f>
        <v/>
      </c>
      <c r="J2413" s="30">
        <f>IF(H2413=0,IF(I2413=0,0,1),I2413/ABS(H2413))</f>
        <v/>
      </c>
      <c r="K2413" s="29">
        <f>H2413-(Data_thang!O2413-Data_thang!K2413)</f>
        <v/>
      </c>
      <c r="L2413">
        <f>IF(AND(ABS(I2413)&gt;Dashboard!$G$6,ABS(J2413)&gt;Dashboard!$H$6),"⚠ Vượt","")</f>
        <v/>
      </c>
      <c r="M2413">
        <f>IF(AND(A2413=Dashboard!$D$6,OR(Dashboard!$C$6="*",F2413=Dashboard!$C$6),L2413&lt;&gt;""),ABS(I2413)+ROW()/1000000000,0)</f>
        <v/>
      </c>
    </row>
    <row r="2414">
      <c r="A2414">
        <f>Data_thang!A2414</f>
        <v/>
      </c>
      <c r="B2414">
        <f>Data_thang!B2414</f>
        <v/>
      </c>
      <c r="C2414">
        <f>Data_thang!D2414</f>
        <v/>
      </c>
      <c r="D2414">
        <f>Data_thang!E2414</f>
        <v/>
      </c>
      <c r="E2414">
        <f>Data_thang!F2414</f>
        <v/>
      </c>
      <c r="F2414">
        <f>Data_thang!G2414</f>
        <v/>
      </c>
      <c r="G2414" s="29">
        <f>Data_thang!J2414-Data_thang!K2414</f>
        <v/>
      </c>
      <c r="H2414" s="29">
        <f>Data_thang!N2414</f>
        <v/>
      </c>
      <c r="I2414" s="29">
        <f>H2414-G2414</f>
        <v/>
      </c>
      <c r="J2414" s="30">
        <f>IF(H2414=0,IF(I2414=0,0,1),I2414/ABS(H2414))</f>
        <v/>
      </c>
      <c r="K2414" s="29">
        <f>H2414-(Data_thang!O2414-Data_thang!K2414)</f>
        <v/>
      </c>
      <c r="L2414">
        <f>IF(AND(ABS(I2414)&gt;Dashboard!$G$6,ABS(J2414)&gt;Dashboard!$H$6),"⚠ Vượt","")</f>
        <v/>
      </c>
      <c r="M2414">
        <f>IF(AND(A2414=Dashboard!$D$6,OR(Dashboard!$C$6="*",F2414=Dashboard!$C$6),L2414&lt;&gt;""),ABS(I2414)+ROW()/1000000000,0)</f>
        <v/>
      </c>
    </row>
    <row r="2415">
      <c r="A2415">
        <f>Data_thang!A2415</f>
        <v/>
      </c>
      <c r="B2415">
        <f>Data_thang!B2415</f>
        <v/>
      </c>
      <c r="C2415">
        <f>Data_thang!D2415</f>
        <v/>
      </c>
      <c r="D2415">
        <f>Data_thang!E2415</f>
        <v/>
      </c>
      <c r="E2415">
        <f>Data_thang!F2415</f>
        <v/>
      </c>
      <c r="F2415">
        <f>Data_thang!G2415</f>
        <v/>
      </c>
      <c r="G2415" s="29">
        <f>Data_thang!J2415-Data_thang!K2415</f>
        <v/>
      </c>
      <c r="H2415" s="29">
        <f>Data_thang!N2415</f>
        <v/>
      </c>
      <c r="I2415" s="29">
        <f>H2415-G2415</f>
        <v/>
      </c>
      <c r="J2415" s="30">
        <f>IF(H2415=0,IF(I2415=0,0,1),I2415/ABS(H2415))</f>
        <v/>
      </c>
      <c r="K2415" s="29">
        <f>H2415-(Data_thang!O2415-Data_thang!K2415)</f>
        <v/>
      </c>
      <c r="L2415">
        <f>IF(AND(ABS(I2415)&gt;Dashboard!$G$6,ABS(J2415)&gt;Dashboard!$H$6),"⚠ Vượt","")</f>
        <v/>
      </c>
      <c r="M2415">
        <f>IF(AND(A2415=Dashboard!$D$6,OR(Dashboard!$C$6="*",F2415=Dashboard!$C$6),L2415&lt;&gt;""),ABS(I2415)+ROW()/1000000000,0)</f>
        <v/>
      </c>
    </row>
    <row r="2416">
      <c r="A2416">
        <f>Data_thang!A2416</f>
        <v/>
      </c>
      <c r="B2416">
        <f>Data_thang!B2416</f>
        <v/>
      </c>
      <c r="C2416">
        <f>Data_thang!D2416</f>
        <v/>
      </c>
      <c r="D2416">
        <f>Data_thang!E2416</f>
        <v/>
      </c>
      <c r="E2416">
        <f>Data_thang!F2416</f>
        <v/>
      </c>
      <c r="F2416">
        <f>Data_thang!G2416</f>
        <v/>
      </c>
      <c r="G2416" s="29">
        <f>Data_thang!J2416-Data_thang!K2416</f>
        <v/>
      </c>
      <c r="H2416" s="29">
        <f>Data_thang!N2416</f>
        <v/>
      </c>
      <c r="I2416" s="29">
        <f>H2416-G2416</f>
        <v/>
      </c>
      <c r="J2416" s="30">
        <f>IF(H2416=0,IF(I2416=0,0,1),I2416/ABS(H2416))</f>
        <v/>
      </c>
      <c r="K2416" s="29">
        <f>H2416-(Data_thang!O2416-Data_thang!K2416)</f>
        <v/>
      </c>
      <c r="L2416">
        <f>IF(AND(ABS(I2416)&gt;Dashboard!$G$6,ABS(J2416)&gt;Dashboard!$H$6),"⚠ Vượt","")</f>
        <v/>
      </c>
      <c r="M2416">
        <f>IF(AND(A2416=Dashboard!$D$6,OR(Dashboard!$C$6="*",F2416=Dashboard!$C$6),L2416&lt;&gt;""),ABS(I2416)+ROW()/1000000000,0)</f>
        <v/>
      </c>
    </row>
    <row r="2417">
      <c r="A2417">
        <f>Data_thang!A2417</f>
        <v/>
      </c>
      <c r="B2417">
        <f>Data_thang!B2417</f>
        <v/>
      </c>
      <c r="C2417">
        <f>Data_thang!D2417</f>
        <v/>
      </c>
      <c r="D2417">
        <f>Data_thang!E2417</f>
        <v/>
      </c>
      <c r="E2417">
        <f>Data_thang!F2417</f>
        <v/>
      </c>
      <c r="F2417">
        <f>Data_thang!G2417</f>
        <v/>
      </c>
      <c r="G2417" s="29">
        <f>Data_thang!J2417-Data_thang!K2417</f>
        <v/>
      </c>
      <c r="H2417" s="29">
        <f>Data_thang!N2417</f>
        <v/>
      </c>
      <c r="I2417" s="29">
        <f>H2417-G2417</f>
        <v/>
      </c>
      <c r="J2417" s="30">
        <f>IF(H2417=0,IF(I2417=0,0,1),I2417/ABS(H2417))</f>
        <v/>
      </c>
      <c r="K2417" s="29">
        <f>H2417-(Data_thang!O2417-Data_thang!K2417)</f>
        <v/>
      </c>
      <c r="L2417">
        <f>IF(AND(ABS(I2417)&gt;Dashboard!$G$6,ABS(J2417)&gt;Dashboard!$H$6),"⚠ Vượt","")</f>
        <v/>
      </c>
      <c r="M2417">
        <f>IF(AND(A2417=Dashboard!$D$6,OR(Dashboard!$C$6="*",F2417=Dashboard!$C$6),L2417&lt;&gt;""),ABS(I2417)+ROW()/1000000000,0)</f>
        <v/>
      </c>
    </row>
    <row r="2418">
      <c r="A2418">
        <f>Data_thang!A2418</f>
        <v/>
      </c>
      <c r="B2418">
        <f>Data_thang!B2418</f>
        <v/>
      </c>
      <c r="C2418">
        <f>Data_thang!D2418</f>
        <v/>
      </c>
      <c r="D2418">
        <f>Data_thang!E2418</f>
        <v/>
      </c>
      <c r="E2418">
        <f>Data_thang!F2418</f>
        <v/>
      </c>
      <c r="F2418">
        <f>Data_thang!G2418</f>
        <v/>
      </c>
      <c r="G2418" s="29">
        <f>Data_thang!J2418-Data_thang!K2418</f>
        <v/>
      </c>
      <c r="H2418" s="29">
        <f>Data_thang!N2418</f>
        <v/>
      </c>
      <c r="I2418" s="29">
        <f>H2418-G2418</f>
        <v/>
      </c>
      <c r="J2418" s="30">
        <f>IF(H2418=0,IF(I2418=0,0,1),I2418/ABS(H2418))</f>
        <v/>
      </c>
      <c r="K2418" s="29">
        <f>H2418-(Data_thang!O2418-Data_thang!K2418)</f>
        <v/>
      </c>
      <c r="L2418">
        <f>IF(AND(ABS(I2418)&gt;Dashboard!$G$6,ABS(J2418)&gt;Dashboard!$H$6),"⚠ Vượt","")</f>
        <v/>
      </c>
      <c r="M2418">
        <f>IF(AND(A2418=Dashboard!$D$6,OR(Dashboard!$C$6="*",F2418=Dashboard!$C$6),L2418&lt;&gt;""),ABS(I2418)+ROW()/1000000000,0)</f>
        <v/>
      </c>
    </row>
    <row r="2419">
      <c r="A2419">
        <f>Data_thang!A2419</f>
        <v/>
      </c>
      <c r="B2419">
        <f>Data_thang!B2419</f>
        <v/>
      </c>
      <c r="C2419">
        <f>Data_thang!D2419</f>
        <v/>
      </c>
      <c r="D2419">
        <f>Data_thang!E2419</f>
        <v/>
      </c>
      <c r="E2419">
        <f>Data_thang!F2419</f>
        <v/>
      </c>
      <c r="F2419">
        <f>Data_thang!G2419</f>
        <v/>
      </c>
      <c r="G2419" s="29">
        <f>Data_thang!J2419-Data_thang!K2419</f>
        <v/>
      </c>
      <c r="H2419" s="29">
        <f>Data_thang!N2419</f>
        <v/>
      </c>
      <c r="I2419" s="29">
        <f>H2419-G2419</f>
        <v/>
      </c>
      <c r="J2419" s="30">
        <f>IF(H2419=0,IF(I2419=0,0,1),I2419/ABS(H2419))</f>
        <v/>
      </c>
      <c r="K2419" s="29">
        <f>H2419-(Data_thang!O2419-Data_thang!K2419)</f>
        <v/>
      </c>
      <c r="L2419">
        <f>IF(AND(ABS(I2419)&gt;Dashboard!$G$6,ABS(J2419)&gt;Dashboard!$H$6),"⚠ Vượt","")</f>
        <v/>
      </c>
      <c r="M2419">
        <f>IF(AND(A2419=Dashboard!$D$6,OR(Dashboard!$C$6="*",F2419=Dashboard!$C$6),L2419&lt;&gt;""),ABS(I2419)+ROW()/1000000000,0)</f>
        <v/>
      </c>
    </row>
    <row r="2420">
      <c r="A2420">
        <f>Data_thang!A2420</f>
        <v/>
      </c>
      <c r="B2420">
        <f>Data_thang!B2420</f>
        <v/>
      </c>
      <c r="C2420">
        <f>Data_thang!D2420</f>
        <v/>
      </c>
      <c r="D2420">
        <f>Data_thang!E2420</f>
        <v/>
      </c>
      <c r="E2420">
        <f>Data_thang!F2420</f>
        <v/>
      </c>
      <c r="F2420">
        <f>Data_thang!G2420</f>
        <v/>
      </c>
      <c r="G2420" s="29">
        <f>Data_thang!J2420-Data_thang!K2420</f>
        <v/>
      </c>
      <c r="H2420" s="29">
        <f>Data_thang!N2420</f>
        <v/>
      </c>
      <c r="I2420" s="29">
        <f>H2420-G2420</f>
        <v/>
      </c>
      <c r="J2420" s="30">
        <f>IF(H2420=0,IF(I2420=0,0,1),I2420/ABS(H2420))</f>
        <v/>
      </c>
      <c r="K2420" s="29">
        <f>H2420-(Data_thang!O2420-Data_thang!K2420)</f>
        <v/>
      </c>
      <c r="L2420">
        <f>IF(AND(ABS(I2420)&gt;Dashboard!$G$6,ABS(J2420)&gt;Dashboard!$H$6),"⚠ Vượt","")</f>
        <v/>
      </c>
      <c r="M2420">
        <f>IF(AND(A2420=Dashboard!$D$6,OR(Dashboard!$C$6="*",F2420=Dashboard!$C$6),L2420&lt;&gt;""),ABS(I2420)+ROW()/1000000000,0)</f>
        <v/>
      </c>
    </row>
    <row r="2421">
      <c r="A2421">
        <f>Data_thang!A2421</f>
        <v/>
      </c>
      <c r="B2421">
        <f>Data_thang!B2421</f>
        <v/>
      </c>
      <c r="C2421">
        <f>Data_thang!D2421</f>
        <v/>
      </c>
      <c r="D2421">
        <f>Data_thang!E2421</f>
        <v/>
      </c>
      <c r="E2421">
        <f>Data_thang!F2421</f>
        <v/>
      </c>
      <c r="F2421">
        <f>Data_thang!G2421</f>
        <v/>
      </c>
      <c r="G2421" s="29">
        <f>Data_thang!J2421-Data_thang!K2421</f>
        <v/>
      </c>
      <c r="H2421" s="29">
        <f>Data_thang!N2421</f>
        <v/>
      </c>
      <c r="I2421" s="29">
        <f>H2421-G2421</f>
        <v/>
      </c>
      <c r="J2421" s="30">
        <f>IF(H2421=0,IF(I2421=0,0,1),I2421/ABS(H2421))</f>
        <v/>
      </c>
      <c r="K2421" s="29">
        <f>H2421-(Data_thang!O2421-Data_thang!K2421)</f>
        <v/>
      </c>
      <c r="L2421">
        <f>IF(AND(ABS(I2421)&gt;Dashboard!$G$6,ABS(J2421)&gt;Dashboard!$H$6),"⚠ Vượt","")</f>
        <v/>
      </c>
      <c r="M2421">
        <f>IF(AND(A2421=Dashboard!$D$6,OR(Dashboard!$C$6="*",F2421=Dashboard!$C$6),L2421&lt;&gt;""),ABS(I2421)+ROW()/1000000000,0)</f>
        <v/>
      </c>
    </row>
    <row r="2422">
      <c r="A2422">
        <f>Data_thang!A2422</f>
        <v/>
      </c>
      <c r="B2422">
        <f>Data_thang!B2422</f>
        <v/>
      </c>
      <c r="C2422">
        <f>Data_thang!D2422</f>
        <v/>
      </c>
      <c r="D2422">
        <f>Data_thang!E2422</f>
        <v/>
      </c>
      <c r="E2422">
        <f>Data_thang!F2422</f>
        <v/>
      </c>
      <c r="F2422">
        <f>Data_thang!G2422</f>
        <v/>
      </c>
      <c r="G2422" s="29">
        <f>Data_thang!J2422-Data_thang!K2422</f>
        <v/>
      </c>
      <c r="H2422" s="29">
        <f>Data_thang!N2422</f>
        <v/>
      </c>
      <c r="I2422" s="29">
        <f>H2422-G2422</f>
        <v/>
      </c>
      <c r="J2422" s="30">
        <f>IF(H2422=0,IF(I2422=0,0,1),I2422/ABS(H2422))</f>
        <v/>
      </c>
      <c r="K2422" s="29">
        <f>H2422-(Data_thang!O2422-Data_thang!K2422)</f>
        <v/>
      </c>
      <c r="L2422">
        <f>IF(AND(ABS(I2422)&gt;Dashboard!$G$6,ABS(J2422)&gt;Dashboard!$H$6),"⚠ Vượt","")</f>
        <v/>
      </c>
      <c r="M2422">
        <f>IF(AND(A2422=Dashboard!$D$6,OR(Dashboard!$C$6="*",F2422=Dashboard!$C$6),L2422&lt;&gt;""),ABS(I2422)+ROW()/1000000000,0)</f>
        <v/>
      </c>
    </row>
    <row r="2423">
      <c r="A2423">
        <f>Data_thang!A2423</f>
        <v/>
      </c>
      <c r="B2423">
        <f>Data_thang!B2423</f>
        <v/>
      </c>
      <c r="C2423">
        <f>Data_thang!D2423</f>
        <v/>
      </c>
      <c r="D2423">
        <f>Data_thang!E2423</f>
        <v/>
      </c>
      <c r="E2423">
        <f>Data_thang!F2423</f>
        <v/>
      </c>
      <c r="F2423">
        <f>Data_thang!G2423</f>
        <v/>
      </c>
      <c r="G2423" s="29">
        <f>Data_thang!J2423-Data_thang!K2423</f>
        <v/>
      </c>
      <c r="H2423" s="29">
        <f>Data_thang!N2423</f>
        <v/>
      </c>
      <c r="I2423" s="29">
        <f>H2423-G2423</f>
        <v/>
      </c>
      <c r="J2423" s="30">
        <f>IF(H2423=0,IF(I2423=0,0,1),I2423/ABS(H2423))</f>
        <v/>
      </c>
      <c r="K2423" s="29">
        <f>H2423-(Data_thang!O2423-Data_thang!K2423)</f>
        <v/>
      </c>
      <c r="L2423">
        <f>IF(AND(ABS(I2423)&gt;Dashboard!$G$6,ABS(J2423)&gt;Dashboard!$H$6),"⚠ Vượt","")</f>
        <v/>
      </c>
      <c r="M2423">
        <f>IF(AND(A2423=Dashboard!$D$6,OR(Dashboard!$C$6="*",F2423=Dashboard!$C$6),L2423&lt;&gt;""),ABS(I2423)+ROW()/1000000000,0)</f>
        <v/>
      </c>
    </row>
    <row r="2424">
      <c r="A2424">
        <f>Data_thang!A2424</f>
        <v/>
      </c>
      <c r="B2424">
        <f>Data_thang!B2424</f>
        <v/>
      </c>
      <c r="C2424">
        <f>Data_thang!D2424</f>
        <v/>
      </c>
      <c r="D2424">
        <f>Data_thang!E2424</f>
        <v/>
      </c>
      <c r="E2424">
        <f>Data_thang!F2424</f>
        <v/>
      </c>
      <c r="F2424">
        <f>Data_thang!G2424</f>
        <v/>
      </c>
      <c r="G2424" s="29">
        <f>Data_thang!J2424-Data_thang!K2424</f>
        <v/>
      </c>
      <c r="H2424" s="29">
        <f>Data_thang!N2424</f>
        <v/>
      </c>
      <c r="I2424" s="29">
        <f>H2424-G2424</f>
        <v/>
      </c>
      <c r="J2424" s="30">
        <f>IF(H2424=0,IF(I2424=0,0,1),I2424/ABS(H2424))</f>
        <v/>
      </c>
      <c r="K2424" s="29">
        <f>H2424-(Data_thang!O2424-Data_thang!K2424)</f>
        <v/>
      </c>
      <c r="L2424">
        <f>IF(AND(ABS(I2424)&gt;Dashboard!$G$6,ABS(J2424)&gt;Dashboard!$H$6),"⚠ Vượt","")</f>
        <v/>
      </c>
      <c r="M2424">
        <f>IF(AND(A2424=Dashboard!$D$6,OR(Dashboard!$C$6="*",F2424=Dashboard!$C$6),L2424&lt;&gt;""),ABS(I2424)+ROW()/1000000000,0)</f>
        <v/>
      </c>
    </row>
    <row r="2425">
      <c r="A2425">
        <f>Data_thang!A2425</f>
        <v/>
      </c>
      <c r="B2425">
        <f>Data_thang!B2425</f>
        <v/>
      </c>
      <c r="C2425">
        <f>Data_thang!D2425</f>
        <v/>
      </c>
      <c r="D2425">
        <f>Data_thang!E2425</f>
        <v/>
      </c>
      <c r="E2425">
        <f>Data_thang!F2425</f>
        <v/>
      </c>
      <c r="F2425">
        <f>Data_thang!G2425</f>
        <v/>
      </c>
      <c r="G2425" s="29">
        <f>Data_thang!J2425-Data_thang!K2425</f>
        <v/>
      </c>
      <c r="H2425" s="29">
        <f>Data_thang!N2425</f>
        <v/>
      </c>
      <c r="I2425" s="29">
        <f>H2425-G2425</f>
        <v/>
      </c>
      <c r="J2425" s="30">
        <f>IF(H2425=0,IF(I2425=0,0,1),I2425/ABS(H2425))</f>
        <v/>
      </c>
      <c r="K2425" s="29">
        <f>H2425-(Data_thang!O2425-Data_thang!K2425)</f>
        <v/>
      </c>
      <c r="L2425">
        <f>IF(AND(ABS(I2425)&gt;Dashboard!$G$6,ABS(J2425)&gt;Dashboard!$H$6),"⚠ Vượt","")</f>
        <v/>
      </c>
      <c r="M2425">
        <f>IF(AND(A2425=Dashboard!$D$6,OR(Dashboard!$C$6="*",F2425=Dashboard!$C$6),L2425&lt;&gt;""),ABS(I2425)+ROW()/1000000000,0)</f>
        <v/>
      </c>
    </row>
    <row r="2426">
      <c r="A2426">
        <f>Data_thang!A2426</f>
        <v/>
      </c>
      <c r="B2426">
        <f>Data_thang!B2426</f>
        <v/>
      </c>
      <c r="C2426">
        <f>Data_thang!D2426</f>
        <v/>
      </c>
      <c r="D2426">
        <f>Data_thang!E2426</f>
        <v/>
      </c>
      <c r="E2426">
        <f>Data_thang!F2426</f>
        <v/>
      </c>
      <c r="F2426">
        <f>Data_thang!G2426</f>
        <v/>
      </c>
      <c r="G2426" s="29">
        <f>Data_thang!J2426-Data_thang!K2426</f>
        <v/>
      </c>
      <c r="H2426" s="29">
        <f>Data_thang!N2426</f>
        <v/>
      </c>
      <c r="I2426" s="29">
        <f>H2426-G2426</f>
        <v/>
      </c>
      <c r="J2426" s="30">
        <f>IF(H2426=0,IF(I2426=0,0,1),I2426/ABS(H2426))</f>
        <v/>
      </c>
      <c r="K2426" s="29">
        <f>H2426-(Data_thang!O2426-Data_thang!K2426)</f>
        <v/>
      </c>
      <c r="L2426">
        <f>IF(AND(ABS(I2426)&gt;Dashboard!$G$6,ABS(J2426)&gt;Dashboard!$H$6),"⚠ Vượt","")</f>
        <v/>
      </c>
      <c r="M2426">
        <f>IF(AND(A2426=Dashboard!$D$6,OR(Dashboard!$C$6="*",F2426=Dashboard!$C$6),L2426&lt;&gt;""),ABS(I2426)+ROW()/1000000000,0)</f>
        <v/>
      </c>
    </row>
    <row r="2427">
      <c r="A2427">
        <f>Data_thang!A2427</f>
        <v/>
      </c>
      <c r="B2427">
        <f>Data_thang!B2427</f>
        <v/>
      </c>
      <c r="C2427">
        <f>Data_thang!D2427</f>
        <v/>
      </c>
      <c r="D2427">
        <f>Data_thang!E2427</f>
        <v/>
      </c>
      <c r="E2427">
        <f>Data_thang!F2427</f>
        <v/>
      </c>
      <c r="F2427">
        <f>Data_thang!G2427</f>
        <v/>
      </c>
      <c r="G2427" s="29">
        <f>Data_thang!J2427-Data_thang!K2427</f>
        <v/>
      </c>
      <c r="H2427" s="29">
        <f>Data_thang!N2427</f>
        <v/>
      </c>
      <c r="I2427" s="29">
        <f>H2427-G2427</f>
        <v/>
      </c>
      <c r="J2427" s="30">
        <f>IF(H2427=0,IF(I2427=0,0,1),I2427/ABS(H2427))</f>
        <v/>
      </c>
      <c r="K2427" s="29">
        <f>H2427-(Data_thang!O2427-Data_thang!K2427)</f>
        <v/>
      </c>
      <c r="L2427">
        <f>IF(AND(ABS(I2427)&gt;Dashboard!$G$6,ABS(J2427)&gt;Dashboard!$H$6),"⚠ Vượt","")</f>
        <v/>
      </c>
      <c r="M2427">
        <f>IF(AND(A2427=Dashboard!$D$6,OR(Dashboard!$C$6="*",F2427=Dashboard!$C$6),L2427&lt;&gt;""),ABS(I2427)+ROW()/1000000000,0)</f>
        <v/>
      </c>
    </row>
    <row r="2428">
      <c r="A2428">
        <f>Data_thang!A2428</f>
        <v/>
      </c>
      <c r="B2428">
        <f>Data_thang!B2428</f>
        <v/>
      </c>
      <c r="C2428">
        <f>Data_thang!D2428</f>
        <v/>
      </c>
      <c r="D2428">
        <f>Data_thang!E2428</f>
        <v/>
      </c>
      <c r="E2428">
        <f>Data_thang!F2428</f>
        <v/>
      </c>
      <c r="F2428">
        <f>Data_thang!G2428</f>
        <v/>
      </c>
      <c r="G2428" s="29">
        <f>Data_thang!J2428-Data_thang!K2428</f>
        <v/>
      </c>
      <c r="H2428" s="29">
        <f>Data_thang!N2428</f>
        <v/>
      </c>
      <c r="I2428" s="29">
        <f>H2428-G2428</f>
        <v/>
      </c>
      <c r="J2428" s="30">
        <f>IF(H2428=0,IF(I2428=0,0,1),I2428/ABS(H2428))</f>
        <v/>
      </c>
      <c r="K2428" s="29">
        <f>H2428-(Data_thang!O2428-Data_thang!K2428)</f>
        <v/>
      </c>
      <c r="L2428">
        <f>IF(AND(ABS(I2428)&gt;Dashboard!$G$6,ABS(J2428)&gt;Dashboard!$H$6),"⚠ Vượt","")</f>
        <v/>
      </c>
      <c r="M2428">
        <f>IF(AND(A2428=Dashboard!$D$6,OR(Dashboard!$C$6="*",F2428=Dashboard!$C$6),L2428&lt;&gt;""),ABS(I2428)+ROW()/1000000000,0)</f>
        <v/>
      </c>
    </row>
    <row r="2429">
      <c r="A2429">
        <f>Data_thang!A2429</f>
        <v/>
      </c>
      <c r="B2429">
        <f>Data_thang!B2429</f>
        <v/>
      </c>
      <c r="C2429">
        <f>Data_thang!D2429</f>
        <v/>
      </c>
      <c r="D2429">
        <f>Data_thang!E2429</f>
        <v/>
      </c>
      <c r="E2429">
        <f>Data_thang!F2429</f>
        <v/>
      </c>
      <c r="F2429">
        <f>Data_thang!G2429</f>
        <v/>
      </c>
      <c r="G2429" s="29">
        <f>Data_thang!J2429-Data_thang!K2429</f>
        <v/>
      </c>
      <c r="H2429" s="29">
        <f>Data_thang!N2429</f>
        <v/>
      </c>
      <c r="I2429" s="29">
        <f>H2429-G2429</f>
        <v/>
      </c>
      <c r="J2429" s="30">
        <f>IF(H2429=0,IF(I2429=0,0,1),I2429/ABS(H2429))</f>
        <v/>
      </c>
      <c r="K2429" s="29">
        <f>H2429-(Data_thang!O2429-Data_thang!K2429)</f>
        <v/>
      </c>
      <c r="L2429">
        <f>IF(AND(ABS(I2429)&gt;Dashboard!$G$6,ABS(J2429)&gt;Dashboard!$H$6),"⚠ Vượt","")</f>
        <v/>
      </c>
      <c r="M2429">
        <f>IF(AND(A2429=Dashboard!$D$6,OR(Dashboard!$C$6="*",F2429=Dashboard!$C$6),L2429&lt;&gt;""),ABS(I2429)+ROW()/1000000000,0)</f>
        <v/>
      </c>
    </row>
    <row r="2430">
      <c r="A2430">
        <f>Data_thang!A2430</f>
        <v/>
      </c>
      <c r="B2430">
        <f>Data_thang!B2430</f>
        <v/>
      </c>
      <c r="C2430">
        <f>Data_thang!D2430</f>
        <v/>
      </c>
      <c r="D2430">
        <f>Data_thang!E2430</f>
        <v/>
      </c>
      <c r="E2430">
        <f>Data_thang!F2430</f>
        <v/>
      </c>
      <c r="F2430">
        <f>Data_thang!G2430</f>
        <v/>
      </c>
      <c r="G2430" s="29">
        <f>Data_thang!J2430-Data_thang!K2430</f>
        <v/>
      </c>
      <c r="H2430" s="29">
        <f>Data_thang!N2430</f>
        <v/>
      </c>
      <c r="I2430" s="29">
        <f>H2430-G2430</f>
        <v/>
      </c>
      <c r="J2430" s="30">
        <f>IF(H2430=0,IF(I2430=0,0,1),I2430/ABS(H2430))</f>
        <v/>
      </c>
      <c r="K2430" s="29">
        <f>H2430-(Data_thang!O2430-Data_thang!K2430)</f>
        <v/>
      </c>
      <c r="L2430">
        <f>IF(AND(ABS(I2430)&gt;Dashboard!$G$6,ABS(J2430)&gt;Dashboard!$H$6),"⚠ Vượt","")</f>
        <v/>
      </c>
      <c r="M2430">
        <f>IF(AND(A2430=Dashboard!$D$6,OR(Dashboard!$C$6="*",F2430=Dashboard!$C$6),L2430&lt;&gt;""),ABS(I2430)+ROW()/1000000000,0)</f>
        <v/>
      </c>
    </row>
    <row r="2431">
      <c r="A2431">
        <f>Data_thang!A2431</f>
        <v/>
      </c>
      <c r="B2431">
        <f>Data_thang!B2431</f>
        <v/>
      </c>
      <c r="C2431">
        <f>Data_thang!D2431</f>
        <v/>
      </c>
      <c r="D2431">
        <f>Data_thang!E2431</f>
        <v/>
      </c>
      <c r="E2431">
        <f>Data_thang!F2431</f>
        <v/>
      </c>
      <c r="F2431">
        <f>Data_thang!G2431</f>
        <v/>
      </c>
      <c r="G2431" s="29">
        <f>Data_thang!J2431-Data_thang!K2431</f>
        <v/>
      </c>
      <c r="H2431" s="29">
        <f>Data_thang!N2431</f>
        <v/>
      </c>
      <c r="I2431" s="29">
        <f>H2431-G2431</f>
        <v/>
      </c>
      <c r="J2431" s="30">
        <f>IF(H2431=0,IF(I2431=0,0,1),I2431/ABS(H2431))</f>
        <v/>
      </c>
      <c r="K2431" s="29">
        <f>H2431-(Data_thang!O2431-Data_thang!K2431)</f>
        <v/>
      </c>
      <c r="L2431">
        <f>IF(AND(ABS(I2431)&gt;Dashboard!$G$6,ABS(J2431)&gt;Dashboard!$H$6),"⚠ Vượt","")</f>
        <v/>
      </c>
      <c r="M2431">
        <f>IF(AND(A2431=Dashboard!$D$6,OR(Dashboard!$C$6="*",F2431=Dashboard!$C$6),L2431&lt;&gt;""),ABS(I2431)+ROW()/1000000000,0)</f>
        <v/>
      </c>
    </row>
    <row r="2432">
      <c r="A2432">
        <f>Data_thang!A2432</f>
        <v/>
      </c>
      <c r="B2432">
        <f>Data_thang!B2432</f>
        <v/>
      </c>
      <c r="C2432">
        <f>Data_thang!D2432</f>
        <v/>
      </c>
      <c r="D2432">
        <f>Data_thang!E2432</f>
        <v/>
      </c>
      <c r="E2432">
        <f>Data_thang!F2432</f>
        <v/>
      </c>
      <c r="F2432">
        <f>Data_thang!G2432</f>
        <v/>
      </c>
      <c r="G2432" s="29">
        <f>Data_thang!J2432-Data_thang!K2432</f>
        <v/>
      </c>
      <c r="H2432" s="29">
        <f>Data_thang!N2432</f>
        <v/>
      </c>
      <c r="I2432" s="29">
        <f>H2432-G2432</f>
        <v/>
      </c>
      <c r="J2432" s="30">
        <f>IF(H2432=0,IF(I2432=0,0,1),I2432/ABS(H2432))</f>
        <v/>
      </c>
      <c r="K2432" s="29">
        <f>H2432-(Data_thang!O2432-Data_thang!K2432)</f>
        <v/>
      </c>
      <c r="L2432">
        <f>IF(AND(ABS(I2432)&gt;Dashboard!$G$6,ABS(J2432)&gt;Dashboard!$H$6),"⚠ Vượt","")</f>
        <v/>
      </c>
      <c r="M2432">
        <f>IF(AND(A2432=Dashboard!$D$6,OR(Dashboard!$C$6="*",F2432=Dashboard!$C$6),L2432&lt;&gt;""),ABS(I2432)+ROW()/1000000000,0)</f>
        <v/>
      </c>
    </row>
    <row r="2433">
      <c r="A2433">
        <f>Data_thang!A2433</f>
        <v/>
      </c>
      <c r="B2433">
        <f>Data_thang!B2433</f>
        <v/>
      </c>
      <c r="C2433">
        <f>Data_thang!D2433</f>
        <v/>
      </c>
      <c r="D2433">
        <f>Data_thang!E2433</f>
        <v/>
      </c>
      <c r="E2433">
        <f>Data_thang!F2433</f>
        <v/>
      </c>
      <c r="F2433">
        <f>Data_thang!G2433</f>
        <v/>
      </c>
      <c r="G2433" s="29">
        <f>Data_thang!J2433-Data_thang!K2433</f>
        <v/>
      </c>
      <c r="H2433" s="29">
        <f>Data_thang!N2433</f>
        <v/>
      </c>
      <c r="I2433" s="29">
        <f>H2433-G2433</f>
        <v/>
      </c>
      <c r="J2433" s="30">
        <f>IF(H2433=0,IF(I2433=0,0,1),I2433/ABS(H2433))</f>
        <v/>
      </c>
      <c r="K2433" s="29">
        <f>H2433-(Data_thang!O2433-Data_thang!K2433)</f>
        <v/>
      </c>
      <c r="L2433">
        <f>IF(AND(ABS(I2433)&gt;Dashboard!$G$6,ABS(J2433)&gt;Dashboard!$H$6),"⚠ Vượt","")</f>
        <v/>
      </c>
      <c r="M2433">
        <f>IF(AND(A2433=Dashboard!$D$6,OR(Dashboard!$C$6="*",F2433=Dashboard!$C$6),L2433&lt;&gt;""),ABS(I2433)+ROW()/1000000000,0)</f>
        <v/>
      </c>
    </row>
    <row r="2434">
      <c r="A2434">
        <f>Data_thang!A2434</f>
        <v/>
      </c>
      <c r="B2434">
        <f>Data_thang!B2434</f>
        <v/>
      </c>
      <c r="C2434">
        <f>Data_thang!D2434</f>
        <v/>
      </c>
      <c r="D2434">
        <f>Data_thang!E2434</f>
        <v/>
      </c>
      <c r="E2434">
        <f>Data_thang!F2434</f>
        <v/>
      </c>
      <c r="F2434">
        <f>Data_thang!G2434</f>
        <v/>
      </c>
      <c r="G2434" s="29">
        <f>Data_thang!J2434-Data_thang!K2434</f>
        <v/>
      </c>
      <c r="H2434" s="29">
        <f>Data_thang!N2434</f>
        <v/>
      </c>
      <c r="I2434" s="29">
        <f>H2434-G2434</f>
        <v/>
      </c>
      <c r="J2434" s="30">
        <f>IF(H2434=0,IF(I2434=0,0,1),I2434/ABS(H2434))</f>
        <v/>
      </c>
      <c r="K2434" s="29">
        <f>H2434-(Data_thang!O2434-Data_thang!K2434)</f>
        <v/>
      </c>
      <c r="L2434">
        <f>IF(AND(ABS(I2434)&gt;Dashboard!$G$6,ABS(J2434)&gt;Dashboard!$H$6),"⚠ Vượt","")</f>
        <v/>
      </c>
      <c r="M2434">
        <f>IF(AND(A2434=Dashboard!$D$6,OR(Dashboard!$C$6="*",F2434=Dashboard!$C$6),L2434&lt;&gt;""),ABS(I2434)+ROW()/1000000000,0)</f>
        <v/>
      </c>
    </row>
    <row r="2435">
      <c r="A2435">
        <f>Data_thang!A2435</f>
        <v/>
      </c>
      <c r="B2435">
        <f>Data_thang!B2435</f>
        <v/>
      </c>
      <c r="C2435">
        <f>Data_thang!D2435</f>
        <v/>
      </c>
      <c r="D2435">
        <f>Data_thang!E2435</f>
        <v/>
      </c>
      <c r="E2435">
        <f>Data_thang!F2435</f>
        <v/>
      </c>
      <c r="F2435">
        <f>Data_thang!G2435</f>
        <v/>
      </c>
      <c r="G2435" s="29">
        <f>Data_thang!J2435-Data_thang!K2435</f>
        <v/>
      </c>
      <c r="H2435" s="29">
        <f>Data_thang!N2435</f>
        <v/>
      </c>
      <c r="I2435" s="29">
        <f>H2435-G2435</f>
        <v/>
      </c>
      <c r="J2435" s="30">
        <f>IF(H2435=0,IF(I2435=0,0,1),I2435/ABS(H2435))</f>
        <v/>
      </c>
      <c r="K2435" s="29">
        <f>H2435-(Data_thang!O2435-Data_thang!K2435)</f>
        <v/>
      </c>
      <c r="L2435">
        <f>IF(AND(ABS(I2435)&gt;Dashboard!$G$6,ABS(J2435)&gt;Dashboard!$H$6),"⚠ Vượt","")</f>
        <v/>
      </c>
      <c r="M2435">
        <f>IF(AND(A2435=Dashboard!$D$6,OR(Dashboard!$C$6="*",F2435=Dashboard!$C$6),L2435&lt;&gt;""),ABS(I2435)+ROW()/1000000000,0)</f>
        <v/>
      </c>
    </row>
    <row r="2436">
      <c r="A2436">
        <f>Data_thang!A2436</f>
        <v/>
      </c>
      <c r="B2436">
        <f>Data_thang!B2436</f>
        <v/>
      </c>
      <c r="C2436">
        <f>Data_thang!D2436</f>
        <v/>
      </c>
      <c r="D2436">
        <f>Data_thang!E2436</f>
        <v/>
      </c>
      <c r="E2436">
        <f>Data_thang!F2436</f>
        <v/>
      </c>
      <c r="F2436">
        <f>Data_thang!G2436</f>
        <v/>
      </c>
      <c r="G2436" s="29">
        <f>Data_thang!J2436-Data_thang!K2436</f>
        <v/>
      </c>
      <c r="H2436" s="29">
        <f>Data_thang!N2436</f>
        <v/>
      </c>
      <c r="I2436" s="29">
        <f>H2436-G2436</f>
        <v/>
      </c>
      <c r="J2436" s="30">
        <f>IF(H2436=0,IF(I2436=0,0,1),I2436/ABS(H2436))</f>
        <v/>
      </c>
      <c r="K2436" s="29">
        <f>H2436-(Data_thang!O2436-Data_thang!K2436)</f>
        <v/>
      </c>
      <c r="L2436">
        <f>IF(AND(ABS(I2436)&gt;Dashboard!$G$6,ABS(J2436)&gt;Dashboard!$H$6),"⚠ Vượt","")</f>
        <v/>
      </c>
      <c r="M2436">
        <f>IF(AND(A2436=Dashboard!$D$6,OR(Dashboard!$C$6="*",F2436=Dashboard!$C$6),L2436&lt;&gt;""),ABS(I2436)+ROW()/1000000000,0)</f>
        <v/>
      </c>
    </row>
    <row r="2437">
      <c r="A2437">
        <f>Data_thang!A2437</f>
        <v/>
      </c>
      <c r="B2437">
        <f>Data_thang!B2437</f>
        <v/>
      </c>
      <c r="C2437">
        <f>Data_thang!D2437</f>
        <v/>
      </c>
      <c r="D2437">
        <f>Data_thang!E2437</f>
        <v/>
      </c>
      <c r="E2437">
        <f>Data_thang!F2437</f>
        <v/>
      </c>
      <c r="F2437">
        <f>Data_thang!G2437</f>
        <v/>
      </c>
      <c r="G2437" s="29">
        <f>Data_thang!J2437-Data_thang!K2437</f>
        <v/>
      </c>
      <c r="H2437" s="29">
        <f>Data_thang!N2437</f>
        <v/>
      </c>
      <c r="I2437" s="29">
        <f>H2437-G2437</f>
        <v/>
      </c>
      <c r="J2437" s="30">
        <f>IF(H2437=0,IF(I2437=0,0,1),I2437/ABS(H2437))</f>
        <v/>
      </c>
      <c r="K2437" s="29">
        <f>H2437-(Data_thang!O2437-Data_thang!K2437)</f>
        <v/>
      </c>
      <c r="L2437">
        <f>IF(AND(ABS(I2437)&gt;Dashboard!$G$6,ABS(J2437)&gt;Dashboard!$H$6),"⚠ Vượt","")</f>
        <v/>
      </c>
      <c r="M2437">
        <f>IF(AND(A2437=Dashboard!$D$6,OR(Dashboard!$C$6="*",F2437=Dashboard!$C$6),L2437&lt;&gt;""),ABS(I2437)+ROW()/1000000000,0)</f>
        <v/>
      </c>
    </row>
    <row r="2438">
      <c r="A2438">
        <f>Data_thang!A2438</f>
        <v/>
      </c>
      <c r="B2438">
        <f>Data_thang!B2438</f>
        <v/>
      </c>
      <c r="C2438">
        <f>Data_thang!D2438</f>
        <v/>
      </c>
      <c r="D2438">
        <f>Data_thang!E2438</f>
        <v/>
      </c>
      <c r="E2438">
        <f>Data_thang!F2438</f>
        <v/>
      </c>
      <c r="F2438">
        <f>Data_thang!G2438</f>
        <v/>
      </c>
      <c r="G2438" s="29">
        <f>Data_thang!J2438-Data_thang!K2438</f>
        <v/>
      </c>
      <c r="H2438" s="29">
        <f>Data_thang!N2438</f>
        <v/>
      </c>
      <c r="I2438" s="29">
        <f>H2438-G2438</f>
        <v/>
      </c>
      <c r="J2438" s="30">
        <f>IF(H2438=0,IF(I2438=0,0,1),I2438/ABS(H2438))</f>
        <v/>
      </c>
      <c r="K2438" s="29">
        <f>H2438-(Data_thang!O2438-Data_thang!K2438)</f>
        <v/>
      </c>
      <c r="L2438">
        <f>IF(AND(ABS(I2438)&gt;Dashboard!$G$6,ABS(J2438)&gt;Dashboard!$H$6),"⚠ Vượt","")</f>
        <v/>
      </c>
      <c r="M2438">
        <f>IF(AND(A2438=Dashboard!$D$6,OR(Dashboard!$C$6="*",F2438=Dashboard!$C$6),L2438&lt;&gt;""),ABS(I2438)+ROW()/1000000000,0)</f>
        <v/>
      </c>
    </row>
    <row r="2439">
      <c r="A2439">
        <f>Data_thang!A2439</f>
        <v/>
      </c>
      <c r="B2439">
        <f>Data_thang!B2439</f>
        <v/>
      </c>
      <c r="C2439">
        <f>Data_thang!D2439</f>
        <v/>
      </c>
      <c r="D2439">
        <f>Data_thang!E2439</f>
        <v/>
      </c>
      <c r="E2439">
        <f>Data_thang!F2439</f>
        <v/>
      </c>
      <c r="F2439">
        <f>Data_thang!G2439</f>
        <v/>
      </c>
      <c r="G2439" s="29">
        <f>Data_thang!J2439-Data_thang!K2439</f>
        <v/>
      </c>
      <c r="H2439" s="29">
        <f>Data_thang!N2439</f>
        <v/>
      </c>
      <c r="I2439" s="29">
        <f>H2439-G2439</f>
        <v/>
      </c>
      <c r="J2439" s="30">
        <f>IF(H2439=0,IF(I2439=0,0,1),I2439/ABS(H2439))</f>
        <v/>
      </c>
      <c r="K2439" s="29">
        <f>H2439-(Data_thang!O2439-Data_thang!K2439)</f>
        <v/>
      </c>
      <c r="L2439">
        <f>IF(AND(ABS(I2439)&gt;Dashboard!$G$6,ABS(J2439)&gt;Dashboard!$H$6),"⚠ Vượt","")</f>
        <v/>
      </c>
      <c r="M2439">
        <f>IF(AND(A2439=Dashboard!$D$6,OR(Dashboard!$C$6="*",F2439=Dashboard!$C$6),L2439&lt;&gt;""),ABS(I2439)+ROW()/1000000000,0)</f>
        <v/>
      </c>
    </row>
    <row r="2440">
      <c r="A2440">
        <f>Data_thang!A2440</f>
        <v/>
      </c>
      <c r="B2440">
        <f>Data_thang!B2440</f>
        <v/>
      </c>
      <c r="C2440">
        <f>Data_thang!D2440</f>
        <v/>
      </c>
      <c r="D2440">
        <f>Data_thang!E2440</f>
        <v/>
      </c>
      <c r="E2440">
        <f>Data_thang!F2440</f>
        <v/>
      </c>
      <c r="F2440">
        <f>Data_thang!G2440</f>
        <v/>
      </c>
      <c r="G2440" s="29">
        <f>Data_thang!J2440-Data_thang!K2440</f>
        <v/>
      </c>
      <c r="H2440" s="29">
        <f>Data_thang!N2440</f>
        <v/>
      </c>
      <c r="I2440" s="29">
        <f>H2440-G2440</f>
        <v/>
      </c>
      <c r="J2440" s="30">
        <f>IF(H2440=0,IF(I2440=0,0,1),I2440/ABS(H2440))</f>
        <v/>
      </c>
      <c r="K2440" s="29">
        <f>H2440-(Data_thang!O2440-Data_thang!K2440)</f>
        <v/>
      </c>
      <c r="L2440">
        <f>IF(AND(ABS(I2440)&gt;Dashboard!$G$6,ABS(J2440)&gt;Dashboard!$H$6),"⚠ Vượt","")</f>
        <v/>
      </c>
      <c r="M2440">
        <f>IF(AND(A2440=Dashboard!$D$6,OR(Dashboard!$C$6="*",F2440=Dashboard!$C$6),L2440&lt;&gt;""),ABS(I2440)+ROW()/1000000000,0)</f>
        <v/>
      </c>
    </row>
    <row r="2441">
      <c r="A2441">
        <f>Data_thang!A2441</f>
        <v/>
      </c>
      <c r="B2441">
        <f>Data_thang!B2441</f>
        <v/>
      </c>
      <c r="C2441">
        <f>Data_thang!D2441</f>
        <v/>
      </c>
      <c r="D2441">
        <f>Data_thang!E2441</f>
        <v/>
      </c>
      <c r="E2441">
        <f>Data_thang!F2441</f>
        <v/>
      </c>
      <c r="F2441">
        <f>Data_thang!G2441</f>
        <v/>
      </c>
      <c r="G2441" s="29">
        <f>Data_thang!J2441-Data_thang!K2441</f>
        <v/>
      </c>
      <c r="H2441" s="29">
        <f>Data_thang!N2441</f>
        <v/>
      </c>
      <c r="I2441" s="29">
        <f>H2441-G2441</f>
        <v/>
      </c>
      <c r="J2441" s="30">
        <f>IF(H2441=0,IF(I2441=0,0,1),I2441/ABS(H2441))</f>
        <v/>
      </c>
      <c r="K2441" s="29">
        <f>H2441-(Data_thang!O2441-Data_thang!K2441)</f>
        <v/>
      </c>
      <c r="L2441">
        <f>IF(AND(ABS(I2441)&gt;Dashboard!$G$6,ABS(J2441)&gt;Dashboard!$H$6),"⚠ Vượt","")</f>
        <v/>
      </c>
      <c r="M2441">
        <f>IF(AND(A2441=Dashboard!$D$6,OR(Dashboard!$C$6="*",F2441=Dashboard!$C$6),L2441&lt;&gt;""),ABS(I2441)+ROW()/1000000000,0)</f>
        <v/>
      </c>
    </row>
    <row r="2442">
      <c r="A2442">
        <f>Data_thang!A2442</f>
        <v/>
      </c>
      <c r="B2442">
        <f>Data_thang!B2442</f>
        <v/>
      </c>
      <c r="C2442">
        <f>Data_thang!D2442</f>
        <v/>
      </c>
      <c r="D2442">
        <f>Data_thang!E2442</f>
        <v/>
      </c>
      <c r="E2442">
        <f>Data_thang!F2442</f>
        <v/>
      </c>
      <c r="F2442">
        <f>Data_thang!G2442</f>
        <v/>
      </c>
      <c r="G2442" s="29">
        <f>Data_thang!J2442-Data_thang!K2442</f>
        <v/>
      </c>
      <c r="H2442" s="29">
        <f>Data_thang!N2442</f>
        <v/>
      </c>
      <c r="I2442" s="29">
        <f>H2442-G2442</f>
        <v/>
      </c>
      <c r="J2442" s="30">
        <f>IF(H2442=0,IF(I2442=0,0,1),I2442/ABS(H2442))</f>
        <v/>
      </c>
      <c r="K2442" s="29">
        <f>H2442-(Data_thang!O2442-Data_thang!K2442)</f>
        <v/>
      </c>
      <c r="L2442">
        <f>IF(AND(ABS(I2442)&gt;Dashboard!$G$6,ABS(J2442)&gt;Dashboard!$H$6),"⚠ Vượt","")</f>
        <v/>
      </c>
      <c r="M2442">
        <f>IF(AND(A2442=Dashboard!$D$6,OR(Dashboard!$C$6="*",F2442=Dashboard!$C$6),L2442&lt;&gt;""),ABS(I2442)+ROW()/1000000000,0)</f>
        <v/>
      </c>
    </row>
    <row r="2443">
      <c r="A2443">
        <f>Data_thang!A2443</f>
        <v/>
      </c>
      <c r="B2443">
        <f>Data_thang!B2443</f>
        <v/>
      </c>
      <c r="C2443">
        <f>Data_thang!D2443</f>
        <v/>
      </c>
      <c r="D2443">
        <f>Data_thang!E2443</f>
        <v/>
      </c>
      <c r="E2443">
        <f>Data_thang!F2443</f>
        <v/>
      </c>
      <c r="F2443">
        <f>Data_thang!G2443</f>
        <v/>
      </c>
      <c r="G2443" s="29">
        <f>Data_thang!J2443-Data_thang!K2443</f>
        <v/>
      </c>
      <c r="H2443" s="29">
        <f>Data_thang!N2443</f>
        <v/>
      </c>
      <c r="I2443" s="29">
        <f>H2443-G2443</f>
        <v/>
      </c>
      <c r="J2443" s="30">
        <f>IF(H2443=0,IF(I2443=0,0,1),I2443/ABS(H2443))</f>
        <v/>
      </c>
      <c r="K2443" s="29">
        <f>H2443-(Data_thang!O2443-Data_thang!K2443)</f>
        <v/>
      </c>
      <c r="L2443">
        <f>IF(AND(ABS(I2443)&gt;Dashboard!$G$6,ABS(J2443)&gt;Dashboard!$H$6),"⚠ Vượt","")</f>
        <v/>
      </c>
      <c r="M2443">
        <f>IF(AND(A2443=Dashboard!$D$6,OR(Dashboard!$C$6="*",F2443=Dashboard!$C$6),L2443&lt;&gt;""),ABS(I2443)+ROW()/1000000000,0)</f>
        <v/>
      </c>
    </row>
    <row r="2444">
      <c r="A2444">
        <f>Data_thang!A2444</f>
        <v/>
      </c>
      <c r="B2444">
        <f>Data_thang!B2444</f>
        <v/>
      </c>
      <c r="C2444">
        <f>Data_thang!D2444</f>
        <v/>
      </c>
      <c r="D2444">
        <f>Data_thang!E2444</f>
        <v/>
      </c>
      <c r="E2444">
        <f>Data_thang!F2444</f>
        <v/>
      </c>
      <c r="F2444">
        <f>Data_thang!G2444</f>
        <v/>
      </c>
      <c r="G2444" s="29">
        <f>Data_thang!J2444-Data_thang!K2444</f>
        <v/>
      </c>
      <c r="H2444" s="29">
        <f>Data_thang!N2444</f>
        <v/>
      </c>
      <c r="I2444" s="29">
        <f>H2444-G2444</f>
        <v/>
      </c>
      <c r="J2444" s="30">
        <f>IF(H2444=0,IF(I2444=0,0,1),I2444/ABS(H2444))</f>
        <v/>
      </c>
      <c r="K2444" s="29">
        <f>H2444-(Data_thang!O2444-Data_thang!K2444)</f>
        <v/>
      </c>
      <c r="L2444">
        <f>IF(AND(ABS(I2444)&gt;Dashboard!$G$6,ABS(J2444)&gt;Dashboard!$H$6),"⚠ Vượt","")</f>
        <v/>
      </c>
      <c r="M2444">
        <f>IF(AND(A2444=Dashboard!$D$6,OR(Dashboard!$C$6="*",F2444=Dashboard!$C$6),L2444&lt;&gt;""),ABS(I2444)+ROW()/1000000000,0)</f>
        <v/>
      </c>
    </row>
    <row r="2445">
      <c r="A2445">
        <f>Data_thang!A2445</f>
        <v/>
      </c>
      <c r="B2445">
        <f>Data_thang!B2445</f>
        <v/>
      </c>
      <c r="C2445">
        <f>Data_thang!D2445</f>
        <v/>
      </c>
      <c r="D2445">
        <f>Data_thang!E2445</f>
        <v/>
      </c>
      <c r="E2445">
        <f>Data_thang!F2445</f>
        <v/>
      </c>
      <c r="F2445">
        <f>Data_thang!G2445</f>
        <v/>
      </c>
      <c r="G2445" s="29">
        <f>Data_thang!J2445-Data_thang!K2445</f>
        <v/>
      </c>
      <c r="H2445" s="29">
        <f>Data_thang!N2445</f>
        <v/>
      </c>
      <c r="I2445" s="29">
        <f>H2445-G2445</f>
        <v/>
      </c>
      <c r="J2445" s="30">
        <f>IF(H2445=0,IF(I2445=0,0,1),I2445/ABS(H2445))</f>
        <v/>
      </c>
      <c r="K2445" s="29">
        <f>H2445-(Data_thang!O2445-Data_thang!K2445)</f>
        <v/>
      </c>
      <c r="L2445">
        <f>IF(AND(ABS(I2445)&gt;Dashboard!$G$6,ABS(J2445)&gt;Dashboard!$H$6),"⚠ Vượt","")</f>
        <v/>
      </c>
      <c r="M2445">
        <f>IF(AND(A2445=Dashboard!$D$6,OR(Dashboard!$C$6="*",F2445=Dashboard!$C$6),L2445&lt;&gt;""),ABS(I2445)+ROW()/1000000000,0)</f>
        <v/>
      </c>
    </row>
    <row r="2446">
      <c r="A2446">
        <f>Data_thang!A2446</f>
        <v/>
      </c>
      <c r="B2446">
        <f>Data_thang!B2446</f>
        <v/>
      </c>
      <c r="C2446">
        <f>Data_thang!D2446</f>
        <v/>
      </c>
      <c r="D2446">
        <f>Data_thang!E2446</f>
        <v/>
      </c>
      <c r="E2446">
        <f>Data_thang!F2446</f>
        <v/>
      </c>
      <c r="F2446">
        <f>Data_thang!G2446</f>
        <v/>
      </c>
      <c r="G2446" s="29">
        <f>Data_thang!J2446-Data_thang!K2446</f>
        <v/>
      </c>
      <c r="H2446" s="29">
        <f>Data_thang!N2446</f>
        <v/>
      </c>
      <c r="I2446" s="29">
        <f>H2446-G2446</f>
        <v/>
      </c>
      <c r="J2446" s="30">
        <f>IF(H2446=0,IF(I2446=0,0,1),I2446/ABS(H2446))</f>
        <v/>
      </c>
      <c r="K2446" s="29">
        <f>H2446-(Data_thang!O2446-Data_thang!K2446)</f>
        <v/>
      </c>
      <c r="L2446">
        <f>IF(AND(ABS(I2446)&gt;Dashboard!$G$6,ABS(J2446)&gt;Dashboard!$H$6),"⚠ Vượt","")</f>
        <v/>
      </c>
      <c r="M2446">
        <f>IF(AND(A2446=Dashboard!$D$6,OR(Dashboard!$C$6="*",F2446=Dashboard!$C$6),L2446&lt;&gt;""),ABS(I2446)+ROW()/1000000000,0)</f>
        <v/>
      </c>
    </row>
    <row r="2447">
      <c r="A2447">
        <f>Data_thang!A2447</f>
        <v/>
      </c>
      <c r="B2447">
        <f>Data_thang!B2447</f>
        <v/>
      </c>
      <c r="C2447">
        <f>Data_thang!D2447</f>
        <v/>
      </c>
      <c r="D2447">
        <f>Data_thang!E2447</f>
        <v/>
      </c>
      <c r="E2447">
        <f>Data_thang!F2447</f>
        <v/>
      </c>
      <c r="F2447">
        <f>Data_thang!G2447</f>
        <v/>
      </c>
      <c r="G2447" s="29">
        <f>Data_thang!J2447-Data_thang!K2447</f>
        <v/>
      </c>
      <c r="H2447" s="29">
        <f>Data_thang!N2447</f>
        <v/>
      </c>
      <c r="I2447" s="29">
        <f>H2447-G2447</f>
        <v/>
      </c>
      <c r="J2447" s="30">
        <f>IF(H2447=0,IF(I2447=0,0,1),I2447/ABS(H2447))</f>
        <v/>
      </c>
      <c r="K2447" s="29">
        <f>H2447-(Data_thang!O2447-Data_thang!K2447)</f>
        <v/>
      </c>
      <c r="L2447">
        <f>IF(AND(ABS(I2447)&gt;Dashboard!$G$6,ABS(J2447)&gt;Dashboard!$H$6),"⚠ Vượt","")</f>
        <v/>
      </c>
      <c r="M2447">
        <f>IF(AND(A2447=Dashboard!$D$6,OR(Dashboard!$C$6="*",F2447=Dashboard!$C$6),L2447&lt;&gt;""),ABS(I2447)+ROW()/1000000000,0)</f>
        <v/>
      </c>
    </row>
    <row r="2448">
      <c r="A2448">
        <f>Data_thang!A2448</f>
        <v/>
      </c>
      <c r="B2448">
        <f>Data_thang!B2448</f>
        <v/>
      </c>
      <c r="C2448">
        <f>Data_thang!D2448</f>
        <v/>
      </c>
      <c r="D2448">
        <f>Data_thang!E2448</f>
        <v/>
      </c>
      <c r="E2448">
        <f>Data_thang!F2448</f>
        <v/>
      </c>
      <c r="F2448">
        <f>Data_thang!G2448</f>
        <v/>
      </c>
      <c r="G2448" s="29">
        <f>Data_thang!J2448-Data_thang!K2448</f>
        <v/>
      </c>
      <c r="H2448" s="29">
        <f>Data_thang!N2448</f>
        <v/>
      </c>
      <c r="I2448" s="29">
        <f>H2448-G2448</f>
        <v/>
      </c>
      <c r="J2448" s="30">
        <f>IF(H2448=0,IF(I2448=0,0,1),I2448/ABS(H2448))</f>
        <v/>
      </c>
      <c r="K2448" s="29">
        <f>H2448-(Data_thang!O2448-Data_thang!K2448)</f>
        <v/>
      </c>
      <c r="L2448">
        <f>IF(AND(ABS(I2448)&gt;Dashboard!$G$6,ABS(J2448)&gt;Dashboard!$H$6),"⚠ Vượt","")</f>
        <v/>
      </c>
      <c r="M2448">
        <f>IF(AND(A2448=Dashboard!$D$6,OR(Dashboard!$C$6="*",F2448=Dashboard!$C$6),L2448&lt;&gt;""),ABS(I2448)+ROW()/1000000000,0)</f>
        <v/>
      </c>
    </row>
    <row r="2449">
      <c r="A2449">
        <f>Data_thang!A2449</f>
        <v/>
      </c>
      <c r="B2449">
        <f>Data_thang!B2449</f>
        <v/>
      </c>
      <c r="C2449">
        <f>Data_thang!D2449</f>
        <v/>
      </c>
      <c r="D2449">
        <f>Data_thang!E2449</f>
        <v/>
      </c>
      <c r="E2449">
        <f>Data_thang!F2449</f>
        <v/>
      </c>
      <c r="F2449">
        <f>Data_thang!G2449</f>
        <v/>
      </c>
      <c r="G2449" s="29">
        <f>Data_thang!J2449-Data_thang!K2449</f>
        <v/>
      </c>
      <c r="H2449" s="29">
        <f>Data_thang!N2449</f>
        <v/>
      </c>
      <c r="I2449" s="29">
        <f>H2449-G2449</f>
        <v/>
      </c>
      <c r="J2449" s="30">
        <f>IF(H2449=0,IF(I2449=0,0,1),I2449/ABS(H2449))</f>
        <v/>
      </c>
      <c r="K2449" s="29">
        <f>H2449-(Data_thang!O2449-Data_thang!K2449)</f>
        <v/>
      </c>
      <c r="L2449">
        <f>IF(AND(ABS(I2449)&gt;Dashboard!$G$6,ABS(J2449)&gt;Dashboard!$H$6),"⚠ Vượt","")</f>
        <v/>
      </c>
      <c r="M2449">
        <f>IF(AND(A2449=Dashboard!$D$6,OR(Dashboard!$C$6="*",F2449=Dashboard!$C$6),L2449&lt;&gt;""),ABS(I2449)+ROW()/1000000000,0)</f>
        <v/>
      </c>
    </row>
    <row r="2450">
      <c r="A2450">
        <f>Data_thang!A2450</f>
        <v/>
      </c>
      <c r="B2450">
        <f>Data_thang!B2450</f>
        <v/>
      </c>
      <c r="C2450">
        <f>Data_thang!D2450</f>
        <v/>
      </c>
      <c r="D2450">
        <f>Data_thang!E2450</f>
        <v/>
      </c>
      <c r="E2450">
        <f>Data_thang!F2450</f>
        <v/>
      </c>
      <c r="F2450">
        <f>Data_thang!G2450</f>
        <v/>
      </c>
      <c r="G2450" s="29">
        <f>Data_thang!J2450-Data_thang!K2450</f>
        <v/>
      </c>
      <c r="H2450" s="29">
        <f>Data_thang!N2450</f>
        <v/>
      </c>
      <c r="I2450" s="29">
        <f>H2450-G2450</f>
        <v/>
      </c>
      <c r="J2450" s="30">
        <f>IF(H2450=0,IF(I2450=0,0,1),I2450/ABS(H2450))</f>
        <v/>
      </c>
      <c r="K2450" s="29">
        <f>H2450-(Data_thang!O2450-Data_thang!K2450)</f>
        <v/>
      </c>
      <c r="L2450">
        <f>IF(AND(ABS(I2450)&gt;Dashboard!$G$6,ABS(J2450)&gt;Dashboard!$H$6),"⚠ Vượt","")</f>
        <v/>
      </c>
      <c r="M2450">
        <f>IF(AND(A2450=Dashboard!$D$6,OR(Dashboard!$C$6="*",F2450=Dashboard!$C$6),L2450&lt;&gt;""),ABS(I2450)+ROW()/1000000000,0)</f>
        <v/>
      </c>
    </row>
    <row r="2451">
      <c r="A2451">
        <f>Data_thang!A2451</f>
        <v/>
      </c>
      <c r="B2451">
        <f>Data_thang!B2451</f>
        <v/>
      </c>
      <c r="C2451">
        <f>Data_thang!D2451</f>
        <v/>
      </c>
      <c r="D2451">
        <f>Data_thang!E2451</f>
        <v/>
      </c>
      <c r="E2451">
        <f>Data_thang!F2451</f>
        <v/>
      </c>
      <c r="F2451">
        <f>Data_thang!G2451</f>
        <v/>
      </c>
      <c r="G2451" s="29">
        <f>Data_thang!J2451-Data_thang!K2451</f>
        <v/>
      </c>
      <c r="H2451" s="29">
        <f>Data_thang!N2451</f>
        <v/>
      </c>
      <c r="I2451" s="29">
        <f>H2451-G2451</f>
        <v/>
      </c>
      <c r="J2451" s="30">
        <f>IF(H2451=0,IF(I2451=0,0,1),I2451/ABS(H2451))</f>
        <v/>
      </c>
      <c r="K2451" s="29">
        <f>H2451-(Data_thang!O2451-Data_thang!K2451)</f>
        <v/>
      </c>
      <c r="L2451">
        <f>IF(AND(ABS(I2451)&gt;Dashboard!$G$6,ABS(J2451)&gt;Dashboard!$H$6),"⚠ Vượt","")</f>
        <v/>
      </c>
      <c r="M2451">
        <f>IF(AND(A2451=Dashboard!$D$6,OR(Dashboard!$C$6="*",F2451=Dashboard!$C$6),L2451&lt;&gt;""),ABS(I2451)+ROW()/1000000000,0)</f>
        <v/>
      </c>
    </row>
    <row r="2452">
      <c r="A2452">
        <f>Data_thang!A2452</f>
        <v/>
      </c>
      <c r="B2452">
        <f>Data_thang!B2452</f>
        <v/>
      </c>
      <c r="C2452">
        <f>Data_thang!D2452</f>
        <v/>
      </c>
      <c r="D2452">
        <f>Data_thang!E2452</f>
        <v/>
      </c>
      <c r="E2452">
        <f>Data_thang!F2452</f>
        <v/>
      </c>
      <c r="F2452">
        <f>Data_thang!G2452</f>
        <v/>
      </c>
      <c r="G2452" s="29">
        <f>Data_thang!J2452-Data_thang!K2452</f>
        <v/>
      </c>
      <c r="H2452" s="29">
        <f>Data_thang!N2452</f>
        <v/>
      </c>
      <c r="I2452" s="29">
        <f>H2452-G2452</f>
        <v/>
      </c>
      <c r="J2452" s="30">
        <f>IF(H2452=0,IF(I2452=0,0,1),I2452/ABS(H2452))</f>
        <v/>
      </c>
      <c r="K2452" s="29">
        <f>H2452-(Data_thang!O2452-Data_thang!K2452)</f>
        <v/>
      </c>
      <c r="L2452">
        <f>IF(AND(ABS(I2452)&gt;Dashboard!$G$6,ABS(J2452)&gt;Dashboard!$H$6),"⚠ Vượt","")</f>
        <v/>
      </c>
      <c r="M2452">
        <f>IF(AND(A2452=Dashboard!$D$6,OR(Dashboard!$C$6="*",F2452=Dashboard!$C$6),L2452&lt;&gt;""),ABS(I2452)+ROW()/1000000000,0)</f>
        <v/>
      </c>
    </row>
    <row r="2453">
      <c r="A2453">
        <f>Data_thang!A2453</f>
        <v/>
      </c>
      <c r="B2453">
        <f>Data_thang!B2453</f>
        <v/>
      </c>
      <c r="C2453">
        <f>Data_thang!D2453</f>
        <v/>
      </c>
      <c r="D2453">
        <f>Data_thang!E2453</f>
        <v/>
      </c>
      <c r="E2453">
        <f>Data_thang!F2453</f>
        <v/>
      </c>
      <c r="F2453">
        <f>Data_thang!G2453</f>
        <v/>
      </c>
      <c r="G2453" s="29">
        <f>Data_thang!J2453-Data_thang!K2453</f>
        <v/>
      </c>
      <c r="H2453" s="29">
        <f>Data_thang!N2453</f>
        <v/>
      </c>
      <c r="I2453" s="29">
        <f>H2453-G2453</f>
        <v/>
      </c>
      <c r="J2453" s="30">
        <f>IF(H2453=0,IF(I2453=0,0,1),I2453/ABS(H2453))</f>
        <v/>
      </c>
      <c r="K2453" s="29">
        <f>H2453-(Data_thang!O2453-Data_thang!K2453)</f>
        <v/>
      </c>
      <c r="L2453">
        <f>IF(AND(ABS(I2453)&gt;Dashboard!$G$6,ABS(J2453)&gt;Dashboard!$H$6),"⚠ Vượt","")</f>
        <v/>
      </c>
      <c r="M2453">
        <f>IF(AND(A2453=Dashboard!$D$6,OR(Dashboard!$C$6="*",F2453=Dashboard!$C$6),L2453&lt;&gt;""),ABS(I2453)+ROW()/1000000000,0)</f>
        <v/>
      </c>
    </row>
    <row r="2454">
      <c r="A2454">
        <f>Data_thang!A2454</f>
        <v/>
      </c>
      <c r="B2454">
        <f>Data_thang!B2454</f>
        <v/>
      </c>
      <c r="C2454">
        <f>Data_thang!D2454</f>
        <v/>
      </c>
      <c r="D2454">
        <f>Data_thang!E2454</f>
        <v/>
      </c>
      <c r="E2454">
        <f>Data_thang!F2454</f>
        <v/>
      </c>
      <c r="F2454">
        <f>Data_thang!G2454</f>
        <v/>
      </c>
      <c r="G2454" s="29">
        <f>Data_thang!J2454-Data_thang!K2454</f>
        <v/>
      </c>
      <c r="H2454" s="29">
        <f>Data_thang!N2454</f>
        <v/>
      </c>
      <c r="I2454" s="29">
        <f>H2454-G2454</f>
        <v/>
      </c>
      <c r="J2454" s="30">
        <f>IF(H2454=0,IF(I2454=0,0,1),I2454/ABS(H2454))</f>
        <v/>
      </c>
      <c r="K2454" s="29">
        <f>H2454-(Data_thang!O2454-Data_thang!K2454)</f>
        <v/>
      </c>
      <c r="L2454">
        <f>IF(AND(ABS(I2454)&gt;Dashboard!$G$6,ABS(J2454)&gt;Dashboard!$H$6),"⚠ Vượt","")</f>
        <v/>
      </c>
      <c r="M2454">
        <f>IF(AND(A2454=Dashboard!$D$6,OR(Dashboard!$C$6="*",F2454=Dashboard!$C$6),L2454&lt;&gt;""),ABS(I2454)+ROW()/1000000000,0)</f>
        <v/>
      </c>
    </row>
    <row r="2455">
      <c r="A2455">
        <f>Data_thang!A2455</f>
        <v/>
      </c>
      <c r="B2455">
        <f>Data_thang!B2455</f>
        <v/>
      </c>
      <c r="C2455">
        <f>Data_thang!D2455</f>
        <v/>
      </c>
      <c r="D2455">
        <f>Data_thang!E2455</f>
        <v/>
      </c>
      <c r="E2455">
        <f>Data_thang!F2455</f>
        <v/>
      </c>
      <c r="F2455">
        <f>Data_thang!G2455</f>
        <v/>
      </c>
      <c r="G2455" s="29">
        <f>Data_thang!J2455-Data_thang!K2455</f>
        <v/>
      </c>
      <c r="H2455" s="29">
        <f>Data_thang!N2455</f>
        <v/>
      </c>
      <c r="I2455" s="29">
        <f>H2455-G2455</f>
        <v/>
      </c>
      <c r="J2455" s="30">
        <f>IF(H2455=0,IF(I2455=0,0,1),I2455/ABS(H2455))</f>
        <v/>
      </c>
      <c r="K2455" s="29">
        <f>H2455-(Data_thang!O2455-Data_thang!K2455)</f>
        <v/>
      </c>
      <c r="L2455">
        <f>IF(AND(ABS(I2455)&gt;Dashboard!$G$6,ABS(J2455)&gt;Dashboard!$H$6),"⚠ Vượt","")</f>
        <v/>
      </c>
      <c r="M2455">
        <f>IF(AND(A2455=Dashboard!$D$6,OR(Dashboard!$C$6="*",F2455=Dashboard!$C$6),L2455&lt;&gt;""),ABS(I2455)+ROW()/1000000000,0)</f>
        <v/>
      </c>
    </row>
    <row r="2456">
      <c r="A2456">
        <f>Data_thang!A2456</f>
        <v/>
      </c>
      <c r="B2456">
        <f>Data_thang!B2456</f>
        <v/>
      </c>
      <c r="C2456">
        <f>Data_thang!D2456</f>
        <v/>
      </c>
      <c r="D2456">
        <f>Data_thang!E2456</f>
        <v/>
      </c>
      <c r="E2456">
        <f>Data_thang!F2456</f>
        <v/>
      </c>
      <c r="F2456">
        <f>Data_thang!G2456</f>
        <v/>
      </c>
      <c r="G2456" s="29">
        <f>Data_thang!J2456-Data_thang!K2456</f>
        <v/>
      </c>
      <c r="H2456" s="29">
        <f>Data_thang!N2456</f>
        <v/>
      </c>
      <c r="I2456" s="29">
        <f>H2456-G2456</f>
        <v/>
      </c>
      <c r="J2456" s="30">
        <f>IF(H2456=0,IF(I2456=0,0,1),I2456/ABS(H2456))</f>
        <v/>
      </c>
      <c r="K2456" s="29">
        <f>H2456-(Data_thang!O2456-Data_thang!K2456)</f>
        <v/>
      </c>
      <c r="L2456">
        <f>IF(AND(ABS(I2456)&gt;Dashboard!$G$6,ABS(J2456)&gt;Dashboard!$H$6),"⚠ Vượt","")</f>
        <v/>
      </c>
      <c r="M2456">
        <f>IF(AND(A2456=Dashboard!$D$6,OR(Dashboard!$C$6="*",F2456=Dashboard!$C$6),L2456&lt;&gt;""),ABS(I2456)+ROW()/1000000000,0)</f>
        <v/>
      </c>
    </row>
    <row r="2457">
      <c r="A2457">
        <f>Data_thang!A2457</f>
        <v/>
      </c>
      <c r="B2457">
        <f>Data_thang!B2457</f>
        <v/>
      </c>
      <c r="C2457">
        <f>Data_thang!D2457</f>
        <v/>
      </c>
      <c r="D2457">
        <f>Data_thang!E2457</f>
        <v/>
      </c>
      <c r="E2457">
        <f>Data_thang!F2457</f>
        <v/>
      </c>
      <c r="F2457">
        <f>Data_thang!G2457</f>
        <v/>
      </c>
      <c r="G2457" s="29">
        <f>Data_thang!J2457-Data_thang!K2457</f>
        <v/>
      </c>
      <c r="H2457" s="29">
        <f>Data_thang!N2457</f>
        <v/>
      </c>
      <c r="I2457" s="29">
        <f>H2457-G2457</f>
        <v/>
      </c>
      <c r="J2457" s="30">
        <f>IF(H2457=0,IF(I2457=0,0,1),I2457/ABS(H2457))</f>
        <v/>
      </c>
      <c r="K2457" s="29">
        <f>H2457-(Data_thang!O2457-Data_thang!K2457)</f>
        <v/>
      </c>
      <c r="L2457">
        <f>IF(AND(ABS(I2457)&gt;Dashboard!$G$6,ABS(J2457)&gt;Dashboard!$H$6),"⚠ Vượt","")</f>
        <v/>
      </c>
      <c r="M2457">
        <f>IF(AND(A2457=Dashboard!$D$6,OR(Dashboard!$C$6="*",F2457=Dashboard!$C$6),L2457&lt;&gt;""),ABS(I2457)+ROW()/1000000000,0)</f>
        <v/>
      </c>
    </row>
    <row r="2458">
      <c r="A2458">
        <f>Data_thang!A2458</f>
        <v/>
      </c>
      <c r="B2458">
        <f>Data_thang!B2458</f>
        <v/>
      </c>
      <c r="C2458">
        <f>Data_thang!D2458</f>
        <v/>
      </c>
      <c r="D2458">
        <f>Data_thang!E2458</f>
        <v/>
      </c>
      <c r="E2458">
        <f>Data_thang!F2458</f>
        <v/>
      </c>
      <c r="F2458">
        <f>Data_thang!G2458</f>
        <v/>
      </c>
      <c r="G2458" s="29">
        <f>Data_thang!J2458-Data_thang!K2458</f>
        <v/>
      </c>
      <c r="H2458" s="29">
        <f>Data_thang!N2458</f>
        <v/>
      </c>
      <c r="I2458" s="29">
        <f>H2458-G2458</f>
        <v/>
      </c>
      <c r="J2458" s="30">
        <f>IF(H2458=0,IF(I2458=0,0,1),I2458/ABS(H2458))</f>
        <v/>
      </c>
      <c r="K2458" s="29">
        <f>H2458-(Data_thang!O2458-Data_thang!K2458)</f>
        <v/>
      </c>
      <c r="L2458">
        <f>IF(AND(ABS(I2458)&gt;Dashboard!$G$6,ABS(J2458)&gt;Dashboard!$H$6),"⚠ Vượt","")</f>
        <v/>
      </c>
      <c r="M2458">
        <f>IF(AND(A2458=Dashboard!$D$6,OR(Dashboard!$C$6="*",F2458=Dashboard!$C$6),L2458&lt;&gt;""),ABS(I2458)+ROW()/1000000000,0)</f>
        <v/>
      </c>
    </row>
    <row r="2459">
      <c r="A2459">
        <f>Data_thang!A2459</f>
        <v/>
      </c>
      <c r="B2459">
        <f>Data_thang!B2459</f>
        <v/>
      </c>
      <c r="C2459">
        <f>Data_thang!D2459</f>
        <v/>
      </c>
      <c r="D2459">
        <f>Data_thang!E2459</f>
        <v/>
      </c>
      <c r="E2459">
        <f>Data_thang!F2459</f>
        <v/>
      </c>
      <c r="F2459">
        <f>Data_thang!G2459</f>
        <v/>
      </c>
      <c r="G2459" s="29">
        <f>Data_thang!J2459-Data_thang!K2459</f>
        <v/>
      </c>
      <c r="H2459" s="29">
        <f>Data_thang!N2459</f>
        <v/>
      </c>
      <c r="I2459" s="29">
        <f>H2459-G2459</f>
        <v/>
      </c>
      <c r="J2459" s="30">
        <f>IF(H2459=0,IF(I2459=0,0,1),I2459/ABS(H2459))</f>
        <v/>
      </c>
      <c r="K2459" s="29">
        <f>H2459-(Data_thang!O2459-Data_thang!K2459)</f>
        <v/>
      </c>
      <c r="L2459">
        <f>IF(AND(ABS(I2459)&gt;Dashboard!$G$6,ABS(J2459)&gt;Dashboard!$H$6),"⚠ Vượt","")</f>
        <v/>
      </c>
      <c r="M2459">
        <f>IF(AND(A2459=Dashboard!$D$6,OR(Dashboard!$C$6="*",F2459=Dashboard!$C$6),L2459&lt;&gt;""),ABS(I2459)+ROW()/1000000000,0)</f>
        <v/>
      </c>
    </row>
    <row r="2460">
      <c r="A2460">
        <f>Data_thang!A2460</f>
        <v/>
      </c>
      <c r="B2460">
        <f>Data_thang!B2460</f>
        <v/>
      </c>
      <c r="C2460">
        <f>Data_thang!D2460</f>
        <v/>
      </c>
      <c r="D2460">
        <f>Data_thang!E2460</f>
        <v/>
      </c>
      <c r="E2460">
        <f>Data_thang!F2460</f>
        <v/>
      </c>
      <c r="F2460">
        <f>Data_thang!G2460</f>
        <v/>
      </c>
      <c r="G2460" s="29">
        <f>Data_thang!J2460-Data_thang!K2460</f>
        <v/>
      </c>
      <c r="H2460" s="29">
        <f>Data_thang!N2460</f>
        <v/>
      </c>
      <c r="I2460" s="29">
        <f>H2460-G2460</f>
        <v/>
      </c>
      <c r="J2460" s="30">
        <f>IF(H2460=0,IF(I2460=0,0,1),I2460/ABS(H2460))</f>
        <v/>
      </c>
      <c r="K2460" s="29">
        <f>H2460-(Data_thang!O2460-Data_thang!K2460)</f>
        <v/>
      </c>
      <c r="L2460">
        <f>IF(AND(ABS(I2460)&gt;Dashboard!$G$6,ABS(J2460)&gt;Dashboard!$H$6),"⚠ Vượt","")</f>
        <v/>
      </c>
      <c r="M2460">
        <f>IF(AND(A2460=Dashboard!$D$6,OR(Dashboard!$C$6="*",F2460=Dashboard!$C$6),L2460&lt;&gt;""),ABS(I2460)+ROW()/1000000000,0)</f>
        <v/>
      </c>
    </row>
    <row r="2461">
      <c r="A2461">
        <f>Data_thang!A2461</f>
        <v/>
      </c>
      <c r="B2461">
        <f>Data_thang!B2461</f>
        <v/>
      </c>
      <c r="C2461">
        <f>Data_thang!D2461</f>
        <v/>
      </c>
      <c r="D2461">
        <f>Data_thang!E2461</f>
        <v/>
      </c>
      <c r="E2461">
        <f>Data_thang!F2461</f>
        <v/>
      </c>
      <c r="F2461">
        <f>Data_thang!G2461</f>
        <v/>
      </c>
      <c r="G2461" s="29">
        <f>Data_thang!J2461-Data_thang!K2461</f>
        <v/>
      </c>
      <c r="H2461" s="29">
        <f>Data_thang!N2461</f>
        <v/>
      </c>
      <c r="I2461" s="29">
        <f>H2461-G2461</f>
        <v/>
      </c>
      <c r="J2461" s="30">
        <f>IF(H2461=0,IF(I2461=0,0,1),I2461/ABS(H2461))</f>
        <v/>
      </c>
      <c r="K2461" s="29">
        <f>H2461-(Data_thang!O2461-Data_thang!K2461)</f>
        <v/>
      </c>
      <c r="L2461">
        <f>IF(AND(ABS(I2461)&gt;Dashboard!$G$6,ABS(J2461)&gt;Dashboard!$H$6),"⚠ Vượt","")</f>
        <v/>
      </c>
      <c r="M2461">
        <f>IF(AND(A2461=Dashboard!$D$6,OR(Dashboard!$C$6="*",F2461=Dashboard!$C$6),L2461&lt;&gt;""),ABS(I2461)+ROW()/1000000000,0)</f>
        <v/>
      </c>
    </row>
    <row r="2462">
      <c r="A2462">
        <f>Data_thang!A2462</f>
        <v/>
      </c>
      <c r="B2462">
        <f>Data_thang!B2462</f>
        <v/>
      </c>
      <c r="C2462">
        <f>Data_thang!D2462</f>
        <v/>
      </c>
      <c r="D2462">
        <f>Data_thang!E2462</f>
        <v/>
      </c>
      <c r="E2462">
        <f>Data_thang!F2462</f>
        <v/>
      </c>
      <c r="F2462">
        <f>Data_thang!G2462</f>
        <v/>
      </c>
      <c r="G2462" s="29">
        <f>Data_thang!J2462-Data_thang!K2462</f>
        <v/>
      </c>
      <c r="H2462" s="29">
        <f>Data_thang!N2462</f>
        <v/>
      </c>
      <c r="I2462" s="29">
        <f>H2462-G2462</f>
        <v/>
      </c>
      <c r="J2462" s="30">
        <f>IF(H2462=0,IF(I2462=0,0,1),I2462/ABS(H2462))</f>
        <v/>
      </c>
      <c r="K2462" s="29">
        <f>H2462-(Data_thang!O2462-Data_thang!K2462)</f>
        <v/>
      </c>
      <c r="L2462">
        <f>IF(AND(ABS(I2462)&gt;Dashboard!$G$6,ABS(J2462)&gt;Dashboard!$H$6),"⚠ Vượt","")</f>
        <v/>
      </c>
      <c r="M2462">
        <f>IF(AND(A2462=Dashboard!$D$6,OR(Dashboard!$C$6="*",F2462=Dashboard!$C$6),L2462&lt;&gt;""),ABS(I2462)+ROW()/1000000000,0)</f>
        <v/>
      </c>
    </row>
    <row r="2463">
      <c r="A2463">
        <f>Data_thang!A2463</f>
        <v/>
      </c>
      <c r="B2463">
        <f>Data_thang!B2463</f>
        <v/>
      </c>
      <c r="C2463">
        <f>Data_thang!D2463</f>
        <v/>
      </c>
      <c r="D2463">
        <f>Data_thang!E2463</f>
        <v/>
      </c>
      <c r="E2463">
        <f>Data_thang!F2463</f>
        <v/>
      </c>
      <c r="F2463">
        <f>Data_thang!G2463</f>
        <v/>
      </c>
      <c r="G2463" s="29">
        <f>Data_thang!J2463-Data_thang!K2463</f>
        <v/>
      </c>
      <c r="H2463" s="29">
        <f>Data_thang!N2463</f>
        <v/>
      </c>
      <c r="I2463" s="29">
        <f>H2463-G2463</f>
        <v/>
      </c>
      <c r="J2463" s="30">
        <f>IF(H2463=0,IF(I2463=0,0,1),I2463/ABS(H2463))</f>
        <v/>
      </c>
      <c r="K2463" s="29">
        <f>H2463-(Data_thang!O2463-Data_thang!K2463)</f>
        <v/>
      </c>
      <c r="L2463">
        <f>IF(AND(ABS(I2463)&gt;Dashboard!$G$6,ABS(J2463)&gt;Dashboard!$H$6),"⚠ Vượt","")</f>
        <v/>
      </c>
      <c r="M2463">
        <f>IF(AND(A2463=Dashboard!$D$6,OR(Dashboard!$C$6="*",F2463=Dashboard!$C$6),L2463&lt;&gt;""),ABS(I2463)+ROW()/1000000000,0)</f>
        <v/>
      </c>
    </row>
    <row r="2464">
      <c r="A2464">
        <f>Data_thang!A2464</f>
        <v/>
      </c>
      <c r="B2464">
        <f>Data_thang!B2464</f>
        <v/>
      </c>
      <c r="C2464">
        <f>Data_thang!D2464</f>
        <v/>
      </c>
      <c r="D2464">
        <f>Data_thang!E2464</f>
        <v/>
      </c>
      <c r="E2464">
        <f>Data_thang!F2464</f>
        <v/>
      </c>
      <c r="F2464">
        <f>Data_thang!G2464</f>
        <v/>
      </c>
      <c r="G2464" s="29">
        <f>Data_thang!J2464-Data_thang!K2464</f>
        <v/>
      </c>
      <c r="H2464" s="29">
        <f>Data_thang!N2464</f>
        <v/>
      </c>
      <c r="I2464" s="29">
        <f>H2464-G2464</f>
        <v/>
      </c>
      <c r="J2464" s="30">
        <f>IF(H2464=0,IF(I2464=0,0,1),I2464/ABS(H2464))</f>
        <v/>
      </c>
      <c r="K2464" s="29">
        <f>H2464-(Data_thang!O2464-Data_thang!K2464)</f>
        <v/>
      </c>
      <c r="L2464">
        <f>IF(AND(ABS(I2464)&gt;Dashboard!$G$6,ABS(J2464)&gt;Dashboard!$H$6),"⚠ Vượt","")</f>
        <v/>
      </c>
      <c r="M2464">
        <f>IF(AND(A2464=Dashboard!$D$6,OR(Dashboard!$C$6="*",F2464=Dashboard!$C$6),L2464&lt;&gt;""),ABS(I2464)+ROW()/1000000000,0)</f>
        <v/>
      </c>
    </row>
    <row r="2465">
      <c r="A2465">
        <f>Data_thang!A2465</f>
        <v/>
      </c>
      <c r="B2465">
        <f>Data_thang!B2465</f>
        <v/>
      </c>
      <c r="C2465">
        <f>Data_thang!D2465</f>
        <v/>
      </c>
      <c r="D2465">
        <f>Data_thang!E2465</f>
        <v/>
      </c>
      <c r="E2465">
        <f>Data_thang!F2465</f>
        <v/>
      </c>
      <c r="F2465">
        <f>Data_thang!G2465</f>
        <v/>
      </c>
      <c r="G2465" s="29">
        <f>Data_thang!J2465-Data_thang!K2465</f>
        <v/>
      </c>
      <c r="H2465" s="29">
        <f>Data_thang!N2465</f>
        <v/>
      </c>
      <c r="I2465" s="29">
        <f>H2465-G2465</f>
        <v/>
      </c>
      <c r="J2465" s="30">
        <f>IF(H2465=0,IF(I2465=0,0,1),I2465/ABS(H2465))</f>
        <v/>
      </c>
      <c r="K2465" s="29">
        <f>H2465-(Data_thang!O2465-Data_thang!K2465)</f>
        <v/>
      </c>
      <c r="L2465">
        <f>IF(AND(ABS(I2465)&gt;Dashboard!$G$6,ABS(J2465)&gt;Dashboard!$H$6),"⚠ Vượt","")</f>
        <v/>
      </c>
      <c r="M2465">
        <f>IF(AND(A2465=Dashboard!$D$6,OR(Dashboard!$C$6="*",F2465=Dashboard!$C$6),L2465&lt;&gt;""),ABS(I2465)+ROW()/1000000000,0)</f>
        <v/>
      </c>
    </row>
    <row r="2466">
      <c r="A2466">
        <f>Data_thang!A2466</f>
        <v/>
      </c>
      <c r="B2466">
        <f>Data_thang!B2466</f>
        <v/>
      </c>
      <c r="C2466">
        <f>Data_thang!D2466</f>
        <v/>
      </c>
      <c r="D2466">
        <f>Data_thang!E2466</f>
        <v/>
      </c>
      <c r="E2466">
        <f>Data_thang!F2466</f>
        <v/>
      </c>
      <c r="F2466">
        <f>Data_thang!G2466</f>
        <v/>
      </c>
      <c r="G2466" s="29">
        <f>Data_thang!J2466-Data_thang!K2466</f>
        <v/>
      </c>
      <c r="H2466" s="29">
        <f>Data_thang!N2466</f>
        <v/>
      </c>
      <c r="I2466" s="29">
        <f>H2466-G2466</f>
        <v/>
      </c>
      <c r="J2466" s="30">
        <f>IF(H2466=0,IF(I2466=0,0,1),I2466/ABS(H2466))</f>
        <v/>
      </c>
      <c r="K2466" s="29">
        <f>H2466-(Data_thang!O2466-Data_thang!K2466)</f>
        <v/>
      </c>
      <c r="L2466">
        <f>IF(AND(ABS(I2466)&gt;Dashboard!$G$6,ABS(J2466)&gt;Dashboard!$H$6),"⚠ Vượt","")</f>
        <v/>
      </c>
      <c r="M2466">
        <f>IF(AND(A2466=Dashboard!$D$6,OR(Dashboard!$C$6="*",F2466=Dashboard!$C$6),L2466&lt;&gt;""),ABS(I2466)+ROW()/1000000000,0)</f>
        <v/>
      </c>
    </row>
    <row r="2467">
      <c r="A2467">
        <f>Data_thang!A2467</f>
        <v/>
      </c>
      <c r="B2467">
        <f>Data_thang!B2467</f>
        <v/>
      </c>
      <c r="C2467">
        <f>Data_thang!D2467</f>
        <v/>
      </c>
      <c r="D2467">
        <f>Data_thang!E2467</f>
        <v/>
      </c>
      <c r="E2467">
        <f>Data_thang!F2467</f>
        <v/>
      </c>
      <c r="F2467">
        <f>Data_thang!G2467</f>
        <v/>
      </c>
      <c r="G2467" s="29">
        <f>Data_thang!J2467-Data_thang!K2467</f>
        <v/>
      </c>
      <c r="H2467" s="29">
        <f>Data_thang!N2467</f>
        <v/>
      </c>
      <c r="I2467" s="29">
        <f>H2467-G2467</f>
        <v/>
      </c>
      <c r="J2467" s="30">
        <f>IF(H2467=0,IF(I2467=0,0,1),I2467/ABS(H2467))</f>
        <v/>
      </c>
      <c r="K2467" s="29">
        <f>H2467-(Data_thang!O2467-Data_thang!K2467)</f>
        <v/>
      </c>
      <c r="L2467">
        <f>IF(AND(ABS(I2467)&gt;Dashboard!$G$6,ABS(J2467)&gt;Dashboard!$H$6),"⚠ Vượt","")</f>
        <v/>
      </c>
      <c r="M2467">
        <f>IF(AND(A2467=Dashboard!$D$6,OR(Dashboard!$C$6="*",F2467=Dashboard!$C$6),L2467&lt;&gt;""),ABS(I2467)+ROW()/1000000000,0)</f>
        <v/>
      </c>
    </row>
    <row r="2468">
      <c r="A2468">
        <f>Data_thang!A2468</f>
        <v/>
      </c>
      <c r="B2468">
        <f>Data_thang!B2468</f>
        <v/>
      </c>
      <c r="C2468">
        <f>Data_thang!D2468</f>
        <v/>
      </c>
      <c r="D2468">
        <f>Data_thang!E2468</f>
        <v/>
      </c>
      <c r="E2468">
        <f>Data_thang!F2468</f>
        <v/>
      </c>
      <c r="F2468">
        <f>Data_thang!G2468</f>
        <v/>
      </c>
      <c r="G2468" s="29">
        <f>Data_thang!J2468-Data_thang!K2468</f>
        <v/>
      </c>
      <c r="H2468" s="29">
        <f>Data_thang!N2468</f>
        <v/>
      </c>
      <c r="I2468" s="29">
        <f>H2468-G2468</f>
        <v/>
      </c>
      <c r="J2468" s="30">
        <f>IF(H2468=0,IF(I2468=0,0,1),I2468/ABS(H2468))</f>
        <v/>
      </c>
      <c r="K2468" s="29">
        <f>H2468-(Data_thang!O2468-Data_thang!K2468)</f>
        <v/>
      </c>
      <c r="L2468">
        <f>IF(AND(ABS(I2468)&gt;Dashboard!$G$6,ABS(J2468)&gt;Dashboard!$H$6),"⚠ Vượt","")</f>
        <v/>
      </c>
      <c r="M2468">
        <f>IF(AND(A2468=Dashboard!$D$6,OR(Dashboard!$C$6="*",F2468=Dashboard!$C$6),L2468&lt;&gt;""),ABS(I2468)+ROW()/1000000000,0)</f>
        <v/>
      </c>
    </row>
    <row r="2469">
      <c r="A2469">
        <f>Data_thang!A2469</f>
        <v/>
      </c>
      <c r="B2469">
        <f>Data_thang!B2469</f>
        <v/>
      </c>
      <c r="C2469">
        <f>Data_thang!D2469</f>
        <v/>
      </c>
      <c r="D2469">
        <f>Data_thang!E2469</f>
        <v/>
      </c>
      <c r="E2469">
        <f>Data_thang!F2469</f>
        <v/>
      </c>
      <c r="F2469">
        <f>Data_thang!G2469</f>
        <v/>
      </c>
      <c r="G2469" s="29">
        <f>Data_thang!J2469-Data_thang!K2469</f>
        <v/>
      </c>
      <c r="H2469" s="29">
        <f>Data_thang!N2469</f>
        <v/>
      </c>
      <c r="I2469" s="29">
        <f>H2469-G2469</f>
        <v/>
      </c>
      <c r="J2469" s="30">
        <f>IF(H2469=0,IF(I2469=0,0,1),I2469/ABS(H2469))</f>
        <v/>
      </c>
      <c r="K2469" s="29">
        <f>H2469-(Data_thang!O2469-Data_thang!K2469)</f>
        <v/>
      </c>
      <c r="L2469">
        <f>IF(AND(ABS(I2469)&gt;Dashboard!$G$6,ABS(J2469)&gt;Dashboard!$H$6),"⚠ Vượt","")</f>
        <v/>
      </c>
      <c r="M2469">
        <f>IF(AND(A2469=Dashboard!$D$6,OR(Dashboard!$C$6="*",F2469=Dashboard!$C$6),L2469&lt;&gt;""),ABS(I2469)+ROW()/1000000000,0)</f>
        <v/>
      </c>
    </row>
    <row r="2470">
      <c r="A2470">
        <f>Data_thang!A2470</f>
        <v/>
      </c>
      <c r="B2470">
        <f>Data_thang!B2470</f>
        <v/>
      </c>
      <c r="C2470">
        <f>Data_thang!D2470</f>
        <v/>
      </c>
      <c r="D2470">
        <f>Data_thang!E2470</f>
        <v/>
      </c>
      <c r="E2470">
        <f>Data_thang!F2470</f>
        <v/>
      </c>
      <c r="F2470">
        <f>Data_thang!G2470</f>
        <v/>
      </c>
      <c r="G2470" s="29">
        <f>Data_thang!J2470-Data_thang!K2470</f>
        <v/>
      </c>
      <c r="H2470" s="29">
        <f>Data_thang!N2470</f>
        <v/>
      </c>
      <c r="I2470" s="29">
        <f>H2470-G2470</f>
        <v/>
      </c>
      <c r="J2470" s="30">
        <f>IF(H2470=0,IF(I2470=0,0,1),I2470/ABS(H2470))</f>
        <v/>
      </c>
      <c r="K2470" s="29">
        <f>H2470-(Data_thang!O2470-Data_thang!K2470)</f>
        <v/>
      </c>
      <c r="L2470">
        <f>IF(AND(ABS(I2470)&gt;Dashboard!$G$6,ABS(J2470)&gt;Dashboard!$H$6),"⚠ Vượt","")</f>
        <v/>
      </c>
      <c r="M2470">
        <f>IF(AND(A2470=Dashboard!$D$6,OR(Dashboard!$C$6="*",F2470=Dashboard!$C$6),L2470&lt;&gt;""),ABS(I2470)+ROW()/1000000000,0)</f>
        <v/>
      </c>
    </row>
    <row r="2471">
      <c r="A2471">
        <f>Data_thang!A2471</f>
        <v/>
      </c>
      <c r="B2471">
        <f>Data_thang!B2471</f>
        <v/>
      </c>
      <c r="C2471">
        <f>Data_thang!D2471</f>
        <v/>
      </c>
      <c r="D2471">
        <f>Data_thang!E2471</f>
        <v/>
      </c>
      <c r="E2471">
        <f>Data_thang!F2471</f>
        <v/>
      </c>
      <c r="F2471">
        <f>Data_thang!G2471</f>
        <v/>
      </c>
      <c r="G2471" s="29">
        <f>Data_thang!J2471-Data_thang!K2471</f>
        <v/>
      </c>
      <c r="H2471" s="29">
        <f>Data_thang!N2471</f>
        <v/>
      </c>
      <c r="I2471" s="29">
        <f>H2471-G2471</f>
        <v/>
      </c>
      <c r="J2471" s="30">
        <f>IF(H2471=0,IF(I2471=0,0,1),I2471/ABS(H2471))</f>
        <v/>
      </c>
      <c r="K2471" s="29">
        <f>H2471-(Data_thang!O2471-Data_thang!K2471)</f>
        <v/>
      </c>
      <c r="L2471">
        <f>IF(AND(ABS(I2471)&gt;Dashboard!$G$6,ABS(J2471)&gt;Dashboard!$H$6),"⚠ Vượt","")</f>
        <v/>
      </c>
      <c r="M2471">
        <f>IF(AND(A2471=Dashboard!$D$6,OR(Dashboard!$C$6="*",F2471=Dashboard!$C$6),L2471&lt;&gt;""),ABS(I2471)+ROW()/1000000000,0)</f>
        <v/>
      </c>
    </row>
    <row r="2472">
      <c r="A2472">
        <f>Data_thang!A2472</f>
        <v/>
      </c>
      <c r="B2472">
        <f>Data_thang!B2472</f>
        <v/>
      </c>
      <c r="C2472">
        <f>Data_thang!D2472</f>
        <v/>
      </c>
      <c r="D2472">
        <f>Data_thang!E2472</f>
        <v/>
      </c>
      <c r="E2472">
        <f>Data_thang!F2472</f>
        <v/>
      </c>
      <c r="F2472">
        <f>Data_thang!G2472</f>
        <v/>
      </c>
      <c r="G2472" s="29">
        <f>Data_thang!J2472-Data_thang!K2472</f>
        <v/>
      </c>
      <c r="H2472" s="29">
        <f>Data_thang!N2472</f>
        <v/>
      </c>
      <c r="I2472" s="29">
        <f>H2472-G2472</f>
        <v/>
      </c>
      <c r="J2472" s="30">
        <f>IF(H2472=0,IF(I2472=0,0,1),I2472/ABS(H2472))</f>
        <v/>
      </c>
      <c r="K2472" s="29">
        <f>H2472-(Data_thang!O2472-Data_thang!K2472)</f>
        <v/>
      </c>
      <c r="L2472">
        <f>IF(AND(ABS(I2472)&gt;Dashboard!$G$6,ABS(J2472)&gt;Dashboard!$H$6),"⚠ Vượt","")</f>
        <v/>
      </c>
      <c r="M2472">
        <f>IF(AND(A2472=Dashboard!$D$6,OR(Dashboard!$C$6="*",F2472=Dashboard!$C$6),L2472&lt;&gt;""),ABS(I2472)+ROW()/1000000000,0)</f>
        <v/>
      </c>
    </row>
    <row r="2473">
      <c r="A2473">
        <f>Data_thang!A2473</f>
        <v/>
      </c>
      <c r="B2473">
        <f>Data_thang!B2473</f>
        <v/>
      </c>
      <c r="C2473">
        <f>Data_thang!D2473</f>
        <v/>
      </c>
      <c r="D2473">
        <f>Data_thang!E2473</f>
        <v/>
      </c>
      <c r="E2473">
        <f>Data_thang!F2473</f>
        <v/>
      </c>
      <c r="F2473">
        <f>Data_thang!G2473</f>
        <v/>
      </c>
      <c r="G2473" s="29">
        <f>Data_thang!J2473-Data_thang!K2473</f>
        <v/>
      </c>
      <c r="H2473" s="29">
        <f>Data_thang!N2473</f>
        <v/>
      </c>
      <c r="I2473" s="29">
        <f>H2473-G2473</f>
        <v/>
      </c>
      <c r="J2473" s="30">
        <f>IF(H2473=0,IF(I2473=0,0,1),I2473/ABS(H2473))</f>
        <v/>
      </c>
      <c r="K2473" s="29">
        <f>H2473-(Data_thang!O2473-Data_thang!K2473)</f>
        <v/>
      </c>
      <c r="L2473">
        <f>IF(AND(ABS(I2473)&gt;Dashboard!$G$6,ABS(J2473)&gt;Dashboard!$H$6),"⚠ Vượt","")</f>
        <v/>
      </c>
      <c r="M2473">
        <f>IF(AND(A2473=Dashboard!$D$6,OR(Dashboard!$C$6="*",F2473=Dashboard!$C$6),L2473&lt;&gt;""),ABS(I2473)+ROW()/1000000000,0)</f>
        <v/>
      </c>
    </row>
    <row r="2474">
      <c r="A2474">
        <f>Data_thang!A2474</f>
        <v/>
      </c>
      <c r="B2474">
        <f>Data_thang!B2474</f>
        <v/>
      </c>
      <c r="C2474">
        <f>Data_thang!D2474</f>
        <v/>
      </c>
      <c r="D2474">
        <f>Data_thang!E2474</f>
        <v/>
      </c>
      <c r="E2474">
        <f>Data_thang!F2474</f>
        <v/>
      </c>
      <c r="F2474">
        <f>Data_thang!G2474</f>
        <v/>
      </c>
      <c r="G2474" s="29">
        <f>Data_thang!J2474-Data_thang!K2474</f>
        <v/>
      </c>
      <c r="H2474" s="29">
        <f>Data_thang!N2474</f>
        <v/>
      </c>
      <c r="I2474" s="29">
        <f>H2474-G2474</f>
        <v/>
      </c>
      <c r="J2474" s="30">
        <f>IF(H2474=0,IF(I2474=0,0,1),I2474/ABS(H2474))</f>
        <v/>
      </c>
      <c r="K2474" s="29">
        <f>H2474-(Data_thang!O2474-Data_thang!K2474)</f>
        <v/>
      </c>
      <c r="L2474">
        <f>IF(AND(ABS(I2474)&gt;Dashboard!$G$6,ABS(J2474)&gt;Dashboard!$H$6),"⚠ Vượt","")</f>
        <v/>
      </c>
      <c r="M2474">
        <f>IF(AND(A2474=Dashboard!$D$6,OR(Dashboard!$C$6="*",F2474=Dashboard!$C$6),L2474&lt;&gt;""),ABS(I2474)+ROW()/1000000000,0)</f>
        <v/>
      </c>
    </row>
    <row r="2475">
      <c r="A2475">
        <f>Data_thang!A2475</f>
        <v/>
      </c>
      <c r="B2475">
        <f>Data_thang!B2475</f>
        <v/>
      </c>
      <c r="C2475">
        <f>Data_thang!D2475</f>
        <v/>
      </c>
      <c r="D2475">
        <f>Data_thang!E2475</f>
        <v/>
      </c>
      <c r="E2475">
        <f>Data_thang!F2475</f>
        <v/>
      </c>
      <c r="F2475">
        <f>Data_thang!G2475</f>
        <v/>
      </c>
      <c r="G2475" s="29">
        <f>Data_thang!J2475-Data_thang!K2475</f>
        <v/>
      </c>
      <c r="H2475" s="29">
        <f>Data_thang!N2475</f>
        <v/>
      </c>
      <c r="I2475" s="29">
        <f>H2475-G2475</f>
        <v/>
      </c>
      <c r="J2475" s="30">
        <f>IF(H2475=0,IF(I2475=0,0,1),I2475/ABS(H2475))</f>
        <v/>
      </c>
      <c r="K2475" s="29">
        <f>H2475-(Data_thang!O2475-Data_thang!K2475)</f>
        <v/>
      </c>
      <c r="L2475">
        <f>IF(AND(ABS(I2475)&gt;Dashboard!$G$6,ABS(J2475)&gt;Dashboard!$H$6),"⚠ Vượt","")</f>
        <v/>
      </c>
      <c r="M2475">
        <f>IF(AND(A2475=Dashboard!$D$6,OR(Dashboard!$C$6="*",F2475=Dashboard!$C$6),L2475&lt;&gt;""),ABS(I2475)+ROW()/1000000000,0)</f>
        <v/>
      </c>
    </row>
    <row r="2476">
      <c r="A2476">
        <f>Data_thang!A2476</f>
        <v/>
      </c>
      <c r="B2476">
        <f>Data_thang!B2476</f>
        <v/>
      </c>
      <c r="C2476">
        <f>Data_thang!D2476</f>
        <v/>
      </c>
      <c r="D2476">
        <f>Data_thang!E2476</f>
        <v/>
      </c>
      <c r="E2476">
        <f>Data_thang!F2476</f>
        <v/>
      </c>
      <c r="F2476">
        <f>Data_thang!G2476</f>
        <v/>
      </c>
      <c r="G2476" s="29">
        <f>Data_thang!J2476-Data_thang!K2476</f>
        <v/>
      </c>
      <c r="H2476" s="29">
        <f>Data_thang!N2476</f>
        <v/>
      </c>
      <c r="I2476" s="29">
        <f>H2476-G2476</f>
        <v/>
      </c>
      <c r="J2476" s="30">
        <f>IF(H2476=0,IF(I2476=0,0,1),I2476/ABS(H2476))</f>
        <v/>
      </c>
      <c r="K2476" s="29">
        <f>H2476-(Data_thang!O2476-Data_thang!K2476)</f>
        <v/>
      </c>
      <c r="L2476">
        <f>IF(AND(ABS(I2476)&gt;Dashboard!$G$6,ABS(J2476)&gt;Dashboard!$H$6),"⚠ Vượt","")</f>
        <v/>
      </c>
      <c r="M2476">
        <f>IF(AND(A2476=Dashboard!$D$6,OR(Dashboard!$C$6="*",F2476=Dashboard!$C$6),L2476&lt;&gt;""),ABS(I2476)+ROW()/1000000000,0)</f>
        <v/>
      </c>
    </row>
    <row r="2477">
      <c r="A2477">
        <f>Data_thang!A2477</f>
        <v/>
      </c>
      <c r="B2477">
        <f>Data_thang!B2477</f>
        <v/>
      </c>
      <c r="C2477">
        <f>Data_thang!D2477</f>
        <v/>
      </c>
      <c r="D2477">
        <f>Data_thang!E2477</f>
        <v/>
      </c>
      <c r="E2477">
        <f>Data_thang!F2477</f>
        <v/>
      </c>
      <c r="F2477">
        <f>Data_thang!G2477</f>
        <v/>
      </c>
      <c r="G2477" s="29">
        <f>Data_thang!J2477-Data_thang!K2477</f>
        <v/>
      </c>
      <c r="H2477" s="29">
        <f>Data_thang!N2477</f>
        <v/>
      </c>
      <c r="I2477" s="29">
        <f>H2477-G2477</f>
        <v/>
      </c>
      <c r="J2477" s="30">
        <f>IF(H2477=0,IF(I2477=0,0,1),I2477/ABS(H2477))</f>
        <v/>
      </c>
      <c r="K2477" s="29">
        <f>H2477-(Data_thang!O2477-Data_thang!K2477)</f>
        <v/>
      </c>
      <c r="L2477">
        <f>IF(AND(ABS(I2477)&gt;Dashboard!$G$6,ABS(J2477)&gt;Dashboard!$H$6),"⚠ Vượt","")</f>
        <v/>
      </c>
      <c r="M2477">
        <f>IF(AND(A2477=Dashboard!$D$6,OR(Dashboard!$C$6="*",F2477=Dashboard!$C$6),L2477&lt;&gt;""),ABS(I2477)+ROW()/1000000000,0)</f>
        <v/>
      </c>
    </row>
    <row r="2478">
      <c r="A2478">
        <f>Data_thang!A2478</f>
        <v/>
      </c>
      <c r="B2478">
        <f>Data_thang!B2478</f>
        <v/>
      </c>
      <c r="C2478">
        <f>Data_thang!D2478</f>
        <v/>
      </c>
      <c r="D2478">
        <f>Data_thang!E2478</f>
        <v/>
      </c>
      <c r="E2478">
        <f>Data_thang!F2478</f>
        <v/>
      </c>
      <c r="F2478">
        <f>Data_thang!G2478</f>
        <v/>
      </c>
      <c r="G2478" s="29">
        <f>Data_thang!J2478-Data_thang!K2478</f>
        <v/>
      </c>
      <c r="H2478" s="29">
        <f>Data_thang!N2478</f>
        <v/>
      </c>
      <c r="I2478" s="29">
        <f>H2478-G2478</f>
        <v/>
      </c>
      <c r="J2478" s="30">
        <f>IF(H2478=0,IF(I2478=0,0,1),I2478/ABS(H2478))</f>
        <v/>
      </c>
      <c r="K2478" s="29">
        <f>H2478-(Data_thang!O2478-Data_thang!K2478)</f>
        <v/>
      </c>
      <c r="L2478">
        <f>IF(AND(ABS(I2478)&gt;Dashboard!$G$6,ABS(J2478)&gt;Dashboard!$H$6),"⚠ Vượt","")</f>
        <v/>
      </c>
      <c r="M2478">
        <f>IF(AND(A2478=Dashboard!$D$6,OR(Dashboard!$C$6="*",F2478=Dashboard!$C$6),L2478&lt;&gt;""),ABS(I2478)+ROW()/1000000000,0)</f>
        <v/>
      </c>
    </row>
    <row r="2479">
      <c r="A2479">
        <f>Data_thang!A2479</f>
        <v/>
      </c>
      <c r="B2479">
        <f>Data_thang!B2479</f>
        <v/>
      </c>
      <c r="C2479">
        <f>Data_thang!D2479</f>
        <v/>
      </c>
      <c r="D2479">
        <f>Data_thang!E2479</f>
        <v/>
      </c>
      <c r="E2479">
        <f>Data_thang!F2479</f>
        <v/>
      </c>
      <c r="F2479">
        <f>Data_thang!G2479</f>
        <v/>
      </c>
      <c r="G2479" s="29">
        <f>Data_thang!J2479-Data_thang!K2479</f>
        <v/>
      </c>
      <c r="H2479" s="29">
        <f>Data_thang!N2479</f>
        <v/>
      </c>
      <c r="I2479" s="29">
        <f>H2479-G2479</f>
        <v/>
      </c>
      <c r="J2479" s="30">
        <f>IF(H2479=0,IF(I2479=0,0,1),I2479/ABS(H2479))</f>
        <v/>
      </c>
      <c r="K2479" s="29">
        <f>H2479-(Data_thang!O2479-Data_thang!K2479)</f>
        <v/>
      </c>
      <c r="L2479">
        <f>IF(AND(ABS(I2479)&gt;Dashboard!$G$6,ABS(J2479)&gt;Dashboard!$H$6),"⚠ Vượt","")</f>
        <v/>
      </c>
      <c r="M2479">
        <f>IF(AND(A2479=Dashboard!$D$6,OR(Dashboard!$C$6="*",F2479=Dashboard!$C$6),L2479&lt;&gt;""),ABS(I2479)+ROW()/1000000000,0)</f>
        <v/>
      </c>
    </row>
    <row r="2480">
      <c r="A2480">
        <f>Data_thang!A2480</f>
        <v/>
      </c>
      <c r="B2480">
        <f>Data_thang!B2480</f>
        <v/>
      </c>
      <c r="C2480">
        <f>Data_thang!D2480</f>
        <v/>
      </c>
      <c r="D2480">
        <f>Data_thang!E2480</f>
        <v/>
      </c>
      <c r="E2480">
        <f>Data_thang!F2480</f>
        <v/>
      </c>
      <c r="F2480">
        <f>Data_thang!G2480</f>
        <v/>
      </c>
      <c r="G2480" s="29">
        <f>Data_thang!J2480-Data_thang!K2480</f>
        <v/>
      </c>
      <c r="H2480" s="29">
        <f>Data_thang!N2480</f>
        <v/>
      </c>
      <c r="I2480" s="29">
        <f>H2480-G2480</f>
        <v/>
      </c>
      <c r="J2480" s="30">
        <f>IF(H2480=0,IF(I2480=0,0,1),I2480/ABS(H2480))</f>
        <v/>
      </c>
      <c r="K2480" s="29">
        <f>H2480-(Data_thang!O2480-Data_thang!K2480)</f>
        <v/>
      </c>
      <c r="L2480">
        <f>IF(AND(ABS(I2480)&gt;Dashboard!$G$6,ABS(J2480)&gt;Dashboard!$H$6),"⚠ Vượt","")</f>
        <v/>
      </c>
      <c r="M2480">
        <f>IF(AND(A2480=Dashboard!$D$6,OR(Dashboard!$C$6="*",F2480=Dashboard!$C$6),L2480&lt;&gt;""),ABS(I2480)+ROW()/1000000000,0)</f>
        <v/>
      </c>
    </row>
    <row r="2481">
      <c r="A2481">
        <f>Data_thang!A2481</f>
        <v/>
      </c>
      <c r="B2481">
        <f>Data_thang!B2481</f>
        <v/>
      </c>
      <c r="C2481">
        <f>Data_thang!D2481</f>
        <v/>
      </c>
      <c r="D2481">
        <f>Data_thang!E2481</f>
        <v/>
      </c>
      <c r="E2481">
        <f>Data_thang!F2481</f>
        <v/>
      </c>
      <c r="F2481">
        <f>Data_thang!G2481</f>
        <v/>
      </c>
      <c r="G2481" s="29">
        <f>Data_thang!J2481-Data_thang!K2481</f>
        <v/>
      </c>
      <c r="H2481" s="29">
        <f>Data_thang!N2481</f>
        <v/>
      </c>
      <c r="I2481" s="29">
        <f>H2481-G2481</f>
        <v/>
      </c>
      <c r="J2481" s="30">
        <f>IF(H2481=0,IF(I2481=0,0,1),I2481/ABS(H2481))</f>
        <v/>
      </c>
      <c r="K2481" s="29">
        <f>H2481-(Data_thang!O2481-Data_thang!K2481)</f>
        <v/>
      </c>
      <c r="L2481">
        <f>IF(AND(ABS(I2481)&gt;Dashboard!$G$6,ABS(J2481)&gt;Dashboard!$H$6),"⚠ Vượt","")</f>
        <v/>
      </c>
      <c r="M2481">
        <f>IF(AND(A2481=Dashboard!$D$6,OR(Dashboard!$C$6="*",F2481=Dashboard!$C$6),L2481&lt;&gt;""),ABS(I2481)+ROW()/1000000000,0)</f>
        <v/>
      </c>
    </row>
    <row r="2482">
      <c r="A2482">
        <f>Data_thang!A2482</f>
        <v/>
      </c>
      <c r="B2482">
        <f>Data_thang!B2482</f>
        <v/>
      </c>
      <c r="C2482">
        <f>Data_thang!D2482</f>
        <v/>
      </c>
      <c r="D2482">
        <f>Data_thang!E2482</f>
        <v/>
      </c>
      <c r="E2482">
        <f>Data_thang!F2482</f>
        <v/>
      </c>
      <c r="F2482">
        <f>Data_thang!G2482</f>
        <v/>
      </c>
      <c r="G2482" s="29">
        <f>Data_thang!J2482-Data_thang!K2482</f>
        <v/>
      </c>
      <c r="H2482" s="29">
        <f>Data_thang!N2482</f>
        <v/>
      </c>
      <c r="I2482" s="29">
        <f>H2482-G2482</f>
        <v/>
      </c>
      <c r="J2482" s="30">
        <f>IF(H2482=0,IF(I2482=0,0,1),I2482/ABS(H2482))</f>
        <v/>
      </c>
      <c r="K2482" s="29">
        <f>H2482-(Data_thang!O2482-Data_thang!K2482)</f>
        <v/>
      </c>
      <c r="L2482">
        <f>IF(AND(ABS(I2482)&gt;Dashboard!$G$6,ABS(J2482)&gt;Dashboard!$H$6),"⚠ Vượt","")</f>
        <v/>
      </c>
      <c r="M2482">
        <f>IF(AND(A2482=Dashboard!$D$6,OR(Dashboard!$C$6="*",F2482=Dashboard!$C$6),L2482&lt;&gt;""),ABS(I2482)+ROW()/1000000000,0)</f>
        <v/>
      </c>
    </row>
    <row r="2483">
      <c r="A2483">
        <f>Data_thang!A2483</f>
        <v/>
      </c>
      <c r="B2483">
        <f>Data_thang!B2483</f>
        <v/>
      </c>
      <c r="C2483">
        <f>Data_thang!D2483</f>
        <v/>
      </c>
      <c r="D2483">
        <f>Data_thang!E2483</f>
        <v/>
      </c>
      <c r="E2483">
        <f>Data_thang!F2483</f>
        <v/>
      </c>
      <c r="F2483">
        <f>Data_thang!G2483</f>
        <v/>
      </c>
      <c r="G2483" s="29">
        <f>Data_thang!J2483-Data_thang!K2483</f>
        <v/>
      </c>
      <c r="H2483" s="29">
        <f>Data_thang!N2483</f>
        <v/>
      </c>
      <c r="I2483" s="29">
        <f>H2483-G2483</f>
        <v/>
      </c>
      <c r="J2483" s="30">
        <f>IF(H2483=0,IF(I2483=0,0,1),I2483/ABS(H2483))</f>
        <v/>
      </c>
      <c r="K2483" s="29">
        <f>H2483-(Data_thang!O2483-Data_thang!K2483)</f>
        <v/>
      </c>
      <c r="L2483">
        <f>IF(AND(ABS(I2483)&gt;Dashboard!$G$6,ABS(J2483)&gt;Dashboard!$H$6),"⚠ Vượt","")</f>
        <v/>
      </c>
      <c r="M2483">
        <f>IF(AND(A2483=Dashboard!$D$6,OR(Dashboard!$C$6="*",F2483=Dashboard!$C$6),L2483&lt;&gt;""),ABS(I2483)+ROW()/1000000000,0)</f>
        <v/>
      </c>
    </row>
    <row r="2484">
      <c r="A2484">
        <f>Data_thang!A2484</f>
        <v/>
      </c>
      <c r="B2484">
        <f>Data_thang!B2484</f>
        <v/>
      </c>
      <c r="C2484">
        <f>Data_thang!D2484</f>
        <v/>
      </c>
      <c r="D2484">
        <f>Data_thang!E2484</f>
        <v/>
      </c>
      <c r="E2484">
        <f>Data_thang!F2484</f>
        <v/>
      </c>
      <c r="F2484">
        <f>Data_thang!G2484</f>
        <v/>
      </c>
      <c r="G2484" s="29">
        <f>Data_thang!J2484-Data_thang!K2484</f>
        <v/>
      </c>
      <c r="H2484" s="29">
        <f>Data_thang!N2484</f>
        <v/>
      </c>
      <c r="I2484" s="29">
        <f>H2484-G2484</f>
        <v/>
      </c>
      <c r="J2484" s="30">
        <f>IF(H2484=0,IF(I2484=0,0,1),I2484/ABS(H2484))</f>
        <v/>
      </c>
      <c r="K2484" s="29">
        <f>H2484-(Data_thang!O2484-Data_thang!K2484)</f>
        <v/>
      </c>
      <c r="L2484">
        <f>IF(AND(ABS(I2484)&gt;Dashboard!$G$6,ABS(J2484)&gt;Dashboard!$H$6),"⚠ Vượt","")</f>
        <v/>
      </c>
      <c r="M2484">
        <f>IF(AND(A2484=Dashboard!$D$6,OR(Dashboard!$C$6="*",F2484=Dashboard!$C$6),L2484&lt;&gt;""),ABS(I2484)+ROW()/1000000000,0)</f>
        <v/>
      </c>
    </row>
    <row r="2485">
      <c r="A2485">
        <f>Data_thang!A2485</f>
        <v/>
      </c>
      <c r="B2485">
        <f>Data_thang!B2485</f>
        <v/>
      </c>
      <c r="C2485">
        <f>Data_thang!D2485</f>
        <v/>
      </c>
      <c r="D2485">
        <f>Data_thang!E2485</f>
        <v/>
      </c>
      <c r="E2485">
        <f>Data_thang!F2485</f>
        <v/>
      </c>
      <c r="F2485">
        <f>Data_thang!G2485</f>
        <v/>
      </c>
      <c r="G2485" s="29">
        <f>Data_thang!J2485-Data_thang!K2485</f>
        <v/>
      </c>
      <c r="H2485" s="29">
        <f>Data_thang!N2485</f>
        <v/>
      </c>
      <c r="I2485" s="29">
        <f>H2485-G2485</f>
        <v/>
      </c>
      <c r="J2485" s="30">
        <f>IF(H2485=0,IF(I2485=0,0,1),I2485/ABS(H2485))</f>
        <v/>
      </c>
      <c r="K2485" s="29">
        <f>H2485-(Data_thang!O2485-Data_thang!K2485)</f>
        <v/>
      </c>
      <c r="L2485">
        <f>IF(AND(ABS(I2485)&gt;Dashboard!$G$6,ABS(J2485)&gt;Dashboard!$H$6),"⚠ Vượt","")</f>
        <v/>
      </c>
      <c r="M2485">
        <f>IF(AND(A2485=Dashboard!$D$6,OR(Dashboard!$C$6="*",F2485=Dashboard!$C$6),L2485&lt;&gt;""),ABS(I2485)+ROW()/1000000000,0)</f>
        <v/>
      </c>
    </row>
    <row r="2486">
      <c r="A2486">
        <f>Data_thang!A2486</f>
        <v/>
      </c>
      <c r="B2486">
        <f>Data_thang!B2486</f>
        <v/>
      </c>
      <c r="C2486">
        <f>Data_thang!D2486</f>
        <v/>
      </c>
      <c r="D2486">
        <f>Data_thang!E2486</f>
        <v/>
      </c>
      <c r="E2486">
        <f>Data_thang!F2486</f>
        <v/>
      </c>
      <c r="F2486">
        <f>Data_thang!G2486</f>
        <v/>
      </c>
      <c r="G2486" s="29">
        <f>Data_thang!J2486-Data_thang!K2486</f>
        <v/>
      </c>
      <c r="H2486" s="29">
        <f>Data_thang!N2486</f>
        <v/>
      </c>
      <c r="I2486" s="29">
        <f>H2486-G2486</f>
        <v/>
      </c>
      <c r="J2486" s="30">
        <f>IF(H2486=0,IF(I2486=0,0,1),I2486/ABS(H2486))</f>
        <v/>
      </c>
      <c r="K2486" s="29">
        <f>H2486-(Data_thang!O2486-Data_thang!K2486)</f>
        <v/>
      </c>
      <c r="L2486">
        <f>IF(AND(ABS(I2486)&gt;Dashboard!$G$6,ABS(J2486)&gt;Dashboard!$H$6),"⚠ Vượt","")</f>
        <v/>
      </c>
      <c r="M2486">
        <f>IF(AND(A2486=Dashboard!$D$6,OR(Dashboard!$C$6="*",F2486=Dashboard!$C$6),L2486&lt;&gt;""),ABS(I2486)+ROW()/1000000000,0)</f>
        <v/>
      </c>
    </row>
    <row r="2487">
      <c r="A2487">
        <f>Data_thang!A2487</f>
        <v/>
      </c>
      <c r="B2487">
        <f>Data_thang!B2487</f>
        <v/>
      </c>
      <c r="C2487">
        <f>Data_thang!D2487</f>
        <v/>
      </c>
      <c r="D2487">
        <f>Data_thang!E2487</f>
        <v/>
      </c>
      <c r="E2487">
        <f>Data_thang!F2487</f>
        <v/>
      </c>
      <c r="F2487">
        <f>Data_thang!G2487</f>
        <v/>
      </c>
      <c r="G2487" s="29">
        <f>Data_thang!J2487-Data_thang!K2487</f>
        <v/>
      </c>
      <c r="H2487" s="29">
        <f>Data_thang!N2487</f>
        <v/>
      </c>
      <c r="I2487" s="29">
        <f>H2487-G2487</f>
        <v/>
      </c>
      <c r="J2487" s="30">
        <f>IF(H2487=0,IF(I2487=0,0,1),I2487/ABS(H2487))</f>
        <v/>
      </c>
      <c r="K2487" s="29">
        <f>H2487-(Data_thang!O2487-Data_thang!K2487)</f>
        <v/>
      </c>
      <c r="L2487">
        <f>IF(AND(ABS(I2487)&gt;Dashboard!$G$6,ABS(J2487)&gt;Dashboard!$H$6),"⚠ Vượt","")</f>
        <v/>
      </c>
      <c r="M2487">
        <f>IF(AND(A2487=Dashboard!$D$6,OR(Dashboard!$C$6="*",F2487=Dashboard!$C$6),L2487&lt;&gt;""),ABS(I2487)+ROW()/1000000000,0)</f>
        <v/>
      </c>
    </row>
    <row r="2488">
      <c r="A2488">
        <f>Data_thang!A2488</f>
        <v/>
      </c>
      <c r="B2488">
        <f>Data_thang!B2488</f>
        <v/>
      </c>
      <c r="C2488">
        <f>Data_thang!D2488</f>
        <v/>
      </c>
      <c r="D2488">
        <f>Data_thang!E2488</f>
        <v/>
      </c>
      <c r="E2488">
        <f>Data_thang!F2488</f>
        <v/>
      </c>
      <c r="F2488">
        <f>Data_thang!G2488</f>
        <v/>
      </c>
      <c r="G2488" s="29">
        <f>Data_thang!J2488-Data_thang!K2488</f>
        <v/>
      </c>
      <c r="H2488" s="29">
        <f>Data_thang!N2488</f>
        <v/>
      </c>
      <c r="I2488" s="29">
        <f>H2488-G2488</f>
        <v/>
      </c>
      <c r="J2488" s="30">
        <f>IF(H2488=0,IF(I2488=0,0,1),I2488/ABS(H2488))</f>
        <v/>
      </c>
      <c r="K2488" s="29">
        <f>H2488-(Data_thang!O2488-Data_thang!K2488)</f>
        <v/>
      </c>
      <c r="L2488">
        <f>IF(AND(ABS(I2488)&gt;Dashboard!$G$6,ABS(J2488)&gt;Dashboard!$H$6),"⚠ Vượt","")</f>
        <v/>
      </c>
      <c r="M2488">
        <f>IF(AND(A2488=Dashboard!$D$6,OR(Dashboard!$C$6="*",F2488=Dashboard!$C$6),L2488&lt;&gt;""),ABS(I2488)+ROW()/1000000000,0)</f>
        <v/>
      </c>
    </row>
    <row r="2489">
      <c r="A2489">
        <f>Data_thang!A2489</f>
        <v/>
      </c>
      <c r="B2489">
        <f>Data_thang!B2489</f>
        <v/>
      </c>
      <c r="C2489">
        <f>Data_thang!D2489</f>
        <v/>
      </c>
      <c r="D2489">
        <f>Data_thang!E2489</f>
        <v/>
      </c>
      <c r="E2489">
        <f>Data_thang!F2489</f>
        <v/>
      </c>
      <c r="F2489">
        <f>Data_thang!G2489</f>
        <v/>
      </c>
      <c r="G2489" s="29">
        <f>Data_thang!J2489-Data_thang!K2489</f>
        <v/>
      </c>
      <c r="H2489" s="29">
        <f>Data_thang!N2489</f>
        <v/>
      </c>
      <c r="I2489" s="29">
        <f>H2489-G2489</f>
        <v/>
      </c>
      <c r="J2489" s="30">
        <f>IF(H2489=0,IF(I2489=0,0,1),I2489/ABS(H2489))</f>
        <v/>
      </c>
      <c r="K2489" s="29">
        <f>H2489-(Data_thang!O2489-Data_thang!K2489)</f>
        <v/>
      </c>
      <c r="L2489">
        <f>IF(AND(ABS(I2489)&gt;Dashboard!$G$6,ABS(J2489)&gt;Dashboard!$H$6),"⚠ Vượt","")</f>
        <v/>
      </c>
      <c r="M2489">
        <f>IF(AND(A2489=Dashboard!$D$6,OR(Dashboard!$C$6="*",F2489=Dashboard!$C$6),L2489&lt;&gt;""),ABS(I2489)+ROW()/1000000000,0)</f>
        <v/>
      </c>
    </row>
    <row r="2490">
      <c r="A2490">
        <f>Data_thang!A2490</f>
        <v/>
      </c>
      <c r="B2490">
        <f>Data_thang!B2490</f>
        <v/>
      </c>
      <c r="C2490">
        <f>Data_thang!D2490</f>
        <v/>
      </c>
      <c r="D2490">
        <f>Data_thang!E2490</f>
        <v/>
      </c>
      <c r="E2490">
        <f>Data_thang!F2490</f>
        <v/>
      </c>
      <c r="F2490">
        <f>Data_thang!G2490</f>
        <v/>
      </c>
      <c r="G2490" s="29">
        <f>Data_thang!J2490-Data_thang!K2490</f>
        <v/>
      </c>
      <c r="H2490" s="29">
        <f>Data_thang!N2490</f>
        <v/>
      </c>
      <c r="I2490" s="29">
        <f>H2490-G2490</f>
        <v/>
      </c>
      <c r="J2490" s="30">
        <f>IF(H2490=0,IF(I2490=0,0,1),I2490/ABS(H2490))</f>
        <v/>
      </c>
      <c r="K2490" s="29">
        <f>H2490-(Data_thang!O2490-Data_thang!K2490)</f>
        <v/>
      </c>
      <c r="L2490">
        <f>IF(AND(ABS(I2490)&gt;Dashboard!$G$6,ABS(J2490)&gt;Dashboard!$H$6),"⚠ Vượt","")</f>
        <v/>
      </c>
      <c r="M2490">
        <f>IF(AND(A2490=Dashboard!$D$6,OR(Dashboard!$C$6="*",F2490=Dashboard!$C$6),L2490&lt;&gt;""),ABS(I2490)+ROW()/1000000000,0)</f>
        <v/>
      </c>
    </row>
    <row r="2491">
      <c r="A2491">
        <f>Data_thang!A2491</f>
        <v/>
      </c>
      <c r="B2491">
        <f>Data_thang!B2491</f>
        <v/>
      </c>
      <c r="C2491">
        <f>Data_thang!D2491</f>
        <v/>
      </c>
      <c r="D2491">
        <f>Data_thang!E2491</f>
        <v/>
      </c>
      <c r="E2491">
        <f>Data_thang!F2491</f>
        <v/>
      </c>
      <c r="F2491">
        <f>Data_thang!G2491</f>
        <v/>
      </c>
      <c r="G2491" s="29">
        <f>Data_thang!J2491-Data_thang!K2491</f>
        <v/>
      </c>
      <c r="H2491" s="29">
        <f>Data_thang!N2491</f>
        <v/>
      </c>
      <c r="I2491" s="29">
        <f>H2491-G2491</f>
        <v/>
      </c>
      <c r="J2491" s="30">
        <f>IF(H2491=0,IF(I2491=0,0,1),I2491/ABS(H2491))</f>
        <v/>
      </c>
      <c r="K2491" s="29">
        <f>H2491-(Data_thang!O2491-Data_thang!K2491)</f>
        <v/>
      </c>
      <c r="L2491">
        <f>IF(AND(ABS(I2491)&gt;Dashboard!$G$6,ABS(J2491)&gt;Dashboard!$H$6),"⚠ Vượt","")</f>
        <v/>
      </c>
      <c r="M2491">
        <f>IF(AND(A2491=Dashboard!$D$6,OR(Dashboard!$C$6="*",F2491=Dashboard!$C$6),L2491&lt;&gt;""),ABS(I2491)+ROW()/1000000000,0)</f>
        <v/>
      </c>
    </row>
    <row r="2492">
      <c r="A2492">
        <f>Data_thang!A2492</f>
        <v/>
      </c>
      <c r="B2492">
        <f>Data_thang!B2492</f>
        <v/>
      </c>
      <c r="C2492">
        <f>Data_thang!D2492</f>
        <v/>
      </c>
      <c r="D2492">
        <f>Data_thang!E2492</f>
        <v/>
      </c>
      <c r="E2492">
        <f>Data_thang!F2492</f>
        <v/>
      </c>
      <c r="F2492">
        <f>Data_thang!G2492</f>
        <v/>
      </c>
      <c r="G2492" s="29">
        <f>Data_thang!J2492-Data_thang!K2492</f>
        <v/>
      </c>
      <c r="H2492" s="29">
        <f>Data_thang!N2492</f>
        <v/>
      </c>
      <c r="I2492" s="29">
        <f>H2492-G2492</f>
        <v/>
      </c>
      <c r="J2492" s="30">
        <f>IF(H2492=0,IF(I2492=0,0,1),I2492/ABS(H2492))</f>
        <v/>
      </c>
      <c r="K2492" s="29">
        <f>H2492-(Data_thang!O2492-Data_thang!K2492)</f>
        <v/>
      </c>
      <c r="L2492">
        <f>IF(AND(ABS(I2492)&gt;Dashboard!$G$6,ABS(J2492)&gt;Dashboard!$H$6),"⚠ Vượt","")</f>
        <v/>
      </c>
      <c r="M2492">
        <f>IF(AND(A2492=Dashboard!$D$6,OR(Dashboard!$C$6="*",F2492=Dashboard!$C$6),L2492&lt;&gt;""),ABS(I2492)+ROW()/1000000000,0)</f>
        <v/>
      </c>
    </row>
    <row r="2493">
      <c r="A2493">
        <f>Data_thang!A2493</f>
        <v/>
      </c>
      <c r="B2493">
        <f>Data_thang!B2493</f>
        <v/>
      </c>
      <c r="C2493">
        <f>Data_thang!D2493</f>
        <v/>
      </c>
      <c r="D2493">
        <f>Data_thang!E2493</f>
        <v/>
      </c>
      <c r="E2493">
        <f>Data_thang!F2493</f>
        <v/>
      </c>
      <c r="F2493">
        <f>Data_thang!G2493</f>
        <v/>
      </c>
      <c r="G2493" s="29">
        <f>Data_thang!J2493-Data_thang!K2493</f>
        <v/>
      </c>
      <c r="H2493" s="29">
        <f>Data_thang!N2493</f>
        <v/>
      </c>
      <c r="I2493" s="29">
        <f>H2493-G2493</f>
        <v/>
      </c>
      <c r="J2493" s="30">
        <f>IF(H2493=0,IF(I2493=0,0,1),I2493/ABS(H2493))</f>
        <v/>
      </c>
      <c r="K2493" s="29">
        <f>H2493-(Data_thang!O2493-Data_thang!K2493)</f>
        <v/>
      </c>
      <c r="L2493">
        <f>IF(AND(ABS(I2493)&gt;Dashboard!$G$6,ABS(J2493)&gt;Dashboard!$H$6),"⚠ Vượt","")</f>
        <v/>
      </c>
      <c r="M2493">
        <f>IF(AND(A2493=Dashboard!$D$6,OR(Dashboard!$C$6="*",F2493=Dashboard!$C$6),L2493&lt;&gt;""),ABS(I2493)+ROW()/1000000000,0)</f>
        <v/>
      </c>
    </row>
    <row r="2494">
      <c r="A2494">
        <f>Data_thang!A2494</f>
        <v/>
      </c>
      <c r="B2494">
        <f>Data_thang!B2494</f>
        <v/>
      </c>
      <c r="C2494">
        <f>Data_thang!D2494</f>
        <v/>
      </c>
      <c r="D2494">
        <f>Data_thang!E2494</f>
        <v/>
      </c>
      <c r="E2494">
        <f>Data_thang!F2494</f>
        <v/>
      </c>
      <c r="F2494">
        <f>Data_thang!G2494</f>
        <v/>
      </c>
      <c r="G2494" s="29">
        <f>Data_thang!J2494-Data_thang!K2494</f>
        <v/>
      </c>
      <c r="H2494" s="29">
        <f>Data_thang!N2494</f>
        <v/>
      </c>
      <c r="I2494" s="29">
        <f>H2494-G2494</f>
        <v/>
      </c>
      <c r="J2494" s="30">
        <f>IF(H2494=0,IF(I2494=0,0,1),I2494/ABS(H2494))</f>
        <v/>
      </c>
      <c r="K2494" s="29">
        <f>H2494-(Data_thang!O2494-Data_thang!K2494)</f>
        <v/>
      </c>
      <c r="L2494">
        <f>IF(AND(ABS(I2494)&gt;Dashboard!$G$6,ABS(J2494)&gt;Dashboard!$H$6),"⚠ Vượt","")</f>
        <v/>
      </c>
      <c r="M2494">
        <f>IF(AND(A2494=Dashboard!$D$6,OR(Dashboard!$C$6="*",F2494=Dashboard!$C$6),L2494&lt;&gt;""),ABS(I2494)+ROW()/1000000000,0)</f>
        <v/>
      </c>
    </row>
    <row r="2495">
      <c r="A2495">
        <f>Data_thang!A2495</f>
        <v/>
      </c>
      <c r="B2495">
        <f>Data_thang!B2495</f>
        <v/>
      </c>
      <c r="C2495">
        <f>Data_thang!D2495</f>
        <v/>
      </c>
      <c r="D2495">
        <f>Data_thang!E2495</f>
        <v/>
      </c>
      <c r="E2495">
        <f>Data_thang!F2495</f>
        <v/>
      </c>
      <c r="F2495">
        <f>Data_thang!G2495</f>
        <v/>
      </c>
      <c r="G2495" s="29">
        <f>Data_thang!J2495-Data_thang!K2495</f>
        <v/>
      </c>
      <c r="H2495" s="29">
        <f>Data_thang!N2495</f>
        <v/>
      </c>
      <c r="I2495" s="29">
        <f>H2495-G2495</f>
        <v/>
      </c>
      <c r="J2495" s="30">
        <f>IF(H2495=0,IF(I2495=0,0,1),I2495/ABS(H2495))</f>
        <v/>
      </c>
      <c r="K2495" s="29">
        <f>H2495-(Data_thang!O2495-Data_thang!K2495)</f>
        <v/>
      </c>
      <c r="L2495">
        <f>IF(AND(ABS(I2495)&gt;Dashboard!$G$6,ABS(J2495)&gt;Dashboard!$H$6),"⚠ Vượt","")</f>
        <v/>
      </c>
      <c r="M2495">
        <f>IF(AND(A2495=Dashboard!$D$6,OR(Dashboard!$C$6="*",F2495=Dashboard!$C$6),L2495&lt;&gt;""),ABS(I2495)+ROW()/1000000000,0)</f>
        <v/>
      </c>
    </row>
    <row r="2496">
      <c r="A2496">
        <f>Data_thang!A2496</f>
        <v/>
      </c>
      <c r="B2496">
        <f>Data_thang!B2496</f>
        <v/>
      </c>
      <c r="C2496">
        <f>Data_thang!D2496</f>
        <v/>
      </c>
      <c r="D2496">
        <f>Data_thang!E2496</f>
        <v/>
      </c>
      <c r="E2496">
        <f>Data_thang!F2496</f>
        <v/>
      </c>
      <c r="F2496">
        <f>Data_thang!G2496</f>
        <v/>
      </c>
      <c r="G2496" s="29">
        <f>Data_thang!J2496-Data_thang!K2496</f>
        <v/>
      </c>
      <c r="H2496" s="29">
        <f>Data_thang!N2496</f>
        <v/>
      </c>
      <c r="I2496" s="29">
        <f>H2496-G2496</f>
        <v/>
      </c>
      <c r="J2496" s="30">
        <f>IF(H2496=0,IF(I2496=0,0,1),I2496/ABS(H2496))</f>
        <v/>
      </c>
      <c r="K2496" s="29">
        <f>H2496-(Data_thang!O2496-Data_thang!K2496)</f>
        <v/>
      </c>
      <c r="L2496">
        <f>IF(AND(ABS(I2496)&gt;Dashboard!$G$6,ABS(J2496)&gt;Dashboard!$H$6),"⚠ Vượt","")</f>
        <v/>
      </c>
      <c r="M2496">
        <f>IF(AND(A2496=Dashboard!$D$6,OR(Dashboard!$C$6="*",F2496=Dashboard!$C$6),L2496&lt;&gt;""),ABS(I2496)+ROW()/1000000000,0)</f>
        <v/>
      </c>
    </row>
    <row r="2497">
      <c r="A2497">
        <f>Data_thang!A2497</f>
        <v/>
      </c>
      <c r="B2497">
        <f>Data_thang!B2497</f>
        <v/>
      </c>
      <c r="C2497">
        <f>Data_thang!D2497</f>
        <v/>
      </c>
      <c r="D2497">
        <f>Data_thang!E2497</f>
        <v/>
      </c>
      <c r="E2497">
        <f>Data_thang!F2497</f>
        <v/>
      </c>
      <c r="F2497">
        <f>Data_thang!G2497</f>
        <v/>
      </c>
      <c r="G2497" s="29">
        <f>Data_thang!J2497-Data_thang!K2497</f>
        <v/>
      </c>
      <c r="H2497" s="29">
        <f>Data_thang!N2497</f>
        <v/>
      </c>
      <c r="I2497" s="29">
        <f>H2497-G2497</f>
        <v/>
      </c>
      <c r="J2497" s="30">
        <f>IF(H2497=0,IF(I2497=0,0,1),I2497/ABS(H2497))</f>
        <v/>
      </c>
      <c r="K2497" s="29">
        <f>H2497-(Data_thang!O2497-Data_thang!K2497)</f>
        <v/>
      </c>
      <c r="L2497">
        <f>IF(AND(ABS(I2497)&gt;Dashboard!$G$6,ABS(J2497)&gt;Dashboard!$H$6),"⚠ Vượt","")</f>
        <v/>
      </c>
      <c r="M2497">
        <f>IF(AND(A2497=Dashboard!$D$6,OR(Dashboard!$C$6="*",F2497=Dashboard!$C$6),L2497&lt;&gt;""),ABS(I2497)+ROW()/1000000000,0)</f>
        <v/>
      </c>
    </row>
    <row r="2498">
      <c r="A2498">
        <f>Data_thang!A2498</f>
        <v/>
      </c>
      <c r="B2498">
        <f>Data_thang!B2498</f>
        <v/>
      </c>
      <c r="C2498">
        <f>Data_thang!D2498</f>
        <v/>
      </c>
      <c r="D2498">
        <f>Data_thang!E2498</f>
        <v/>
      </c>
      <c r="E2498">
        <f>Data_thang!F2498</f>
        <v/>
      </c>
      <c r="F2498">
        <f>Data_thang!G2498</f>
        <v/>
      </c>
      <c r="G2498" s="29">
        <f>Data_thang!J2498-Data_thang!K2498</f>
        <v/>
      </c>
      <c r="H2498" s="29">
        <f>Data_thang!N2498</f>
        <v/>
      </c>
      <c r="I2498" s="29">
        <f>H2498-G2498</f>
        <v/>
      </c>
      <c r="J2498" s="30">
        <f>IF(H2498=0,IF(I2498=0,0,1),I2498/ABS(H2498))</f>
        <v/>
      </c>
      <c r="K2498" s="29">
        <f>H2498-(Data_thang!O2498-Data_thang!K2498)</f>
        <v/>
      </c>
      <c r="L2498">
        <f>IF(AND(ABS(I2498)&gt;Dashboard!$G$6,ABS(J2498)&gt;Dashboard!$H$6),"⚠ Vượt","")</f>
        <v/>
      </c>
      <c r="M2498">
        <f>IF(AND(A2498=Dashboard!$D$6,OR(Dashboard!$C$6="*",F2498=Dashboard!$C$6),L2498&lt;&gt;""),ABS(I2498)+ROW()/1000000000,0)</f>
        <v/>
      </c>
    </row>
    <row r="2499">
      <c r="A2499">
        <f>Data_thang!A2499</f>
        <v/>
      </c>
      <c r="B2499">
        <f>Data_thang!B2499</f>
        <v/>
      </c>
      <c r="C2499">
        <f>Data_thang!D2499</f>
        <v/>
      </c>
      <c r="D2499">
        <f>Data_thang!E2499</f>
        <v/>
      </c>
      <c r="E2499">
        <f>Data_thang!F2499</f>
        <v/>
      </c>
      <c r="F2499">
        <f>Data_thang!G2499</f>
        <v/>
      </c>
      <c r="G2499" s="29">
        <f>Data_thang!J2499-Data_thang!K2499</f>
        <v/>
      </c>
      <c r="H2499" s="29">
        <f>Data_thang!N2499</f>
        <v/>
      </c>
      <c r="I2499" s="29">
        <f>H2499-G2499</f>
        <v/>
      </c>
      <c r="J2499" s="30">
        <f>IF(H2499=0,IF(I2499=0,0,1),I2499/ABS(H2499))</f>
        <v/>
      </c>
      <c r="K2499" s="29">
        <f>H2499-(Data_thang!O2499-Data_thang!K2499)</f>
        <v/>
      </c>
      <c r="L2499">
        <f>IF(AND(ABS(I2499)&gt;Dashboard!$G$6,ABS(J2499)&gt;Dashboard!$H$6),"⚠ Vượt","")</f>
        <v/>
      </c>
      <c r="M2499">
        <f>IF(AND(A2499=Dashboard!$D$6,OR(Dashboard!$C$6="*",F2499=Dashboard!$C$6),L2499&lt;&gt;""),ABS(I2499)+ROW()/1000000000,0)</f>
        <v/>
      </c>
    </row>
    <row r="2500">
      <c r="A2500">
        <f>Data_thang!A2500</f>
        <v/>
      </c>
      <c r="B2500">
        <f>Data_thang!B2500</f>
        <v/>
      </c>
      <c r="C2500">
        <f>Data_thang!D2500</f>
        <v/>
      </c>
      <c r="D2500">
        <f>Data_thang!E2500</f>
        <v/>
      </c>
      <c r="E2500">
        <f>Data_thang!F2500</f>
        <v/>
      </c>
      <c r="F2500">
        <f>Data_thang!G2500</f>
        <v/>
      </c>
      <c r="G2500" s="29">
        <f>Data_thang!J2500-Data_thang!K2500</f>
        <v/>
      </c>
      <c r="H2500" s="29">
        <f>Data_thang!N2500</f>
        <v/>
      </c>
      <c r="I2500" s="29">
        <f>H2500-G2500</f>
        <v/>
      </c>
      <c r="J2500" s="30">
        <f>IF(H2500=0,IF(I2500=0,0,1),I2500/ABS(H2500))</f>
        <v/>
      </c>
      <c r="K2500" s="29">
        <f>H2500-(Data_thang!O2500-Data_thang!K2500)</f>
        <v/>
      </c>
      <c r="L2500">
        <f>IF(AND(ABS(I2500)&gt;Dashboard!$G$6,ABS(J2500)&gt;Dashboard!$H$6),"⚠ Vượt","")</f>
        <v/>
      </c>
      <c r="M2500">
        <f>IF(AND(A2500=Dashboard!$D$6,OR(Dashboard!$C$6="*",F2500=Dashboard!$C$6),L2500&lt;&gt;""),ABS(I2500)+ROW()/1000000000,0)</f>
        <v/>
      </c>
    </row>
    <row r="2501">
      <c r="A2501">
        <f>Data_thang!A2501</f>
        <v/>
      </c>
      <c r="B2501">
        <f>Data_thang!B2501</f>
        <v/>
      </c>
      <c r="C2501">
        <f>Data_thang!D2501</f>
        <v/>
      </c>
      <c r="D2501">
        <f>Data_thang!E2501</f>
        <v/>
      </c>
      <c r="E2501">
        <f>Data_thang!F2501</f>
        <v/>
      </c>
      <c r="F2501">
        <f>Data_thang!G2501</f>
        <v/>
      </c>
      <c r="G2501" s="29">
        <f>Data_thang!J2501-Data_thang!K2501</f>
        <v/>
      </c>
      <c r="H2501" s="29">
        <f>Data_thang!N2501</f>
        <v/>
      </c>
      <c r="I2501" s="29">
        <f>H2501-G2501</f>
        <v/>
      </c>
      <c r="J2501" s="30">
        <f>IF(H2501=0,IF(I2501=0,0,1),I2501/ABS(H2501))</f>
        <v/>
      </c>
      <c r="K2501" s="29">
        <f>H2501-(Data_thang!O2501-Data_thang!K2501)</f>
        <v/>
      </c>
      <c r="L2501">
        <f>IF(AND(ABS(I2501)&gt;Dashboard!$G$6,ABS(J2501)&gt;Dashboard!$H$6),"⚠ Vượt","")</f>
        <v/>
      </c>
      <c r="M2501">
        <f>IF(AND(A2501=Dashboard!$D$6,OR(Dashboard!$C$6="*",F2501=Dashboard!$C$6),L2501&lt;&gt;""),ABS(I2501)+ROW()/1000000000,0)</f>
        <v/>
      </c>
    </row>
    <row r="2502">
      <c r="A2502">
        <f>Data_thang!A2502</f>
        <v/>
      </c>
      <c r="B2502">
        <f>Data_thang!B2502</f>
        <v/>
      </c>
      <c r="C2502">
        <f>Data_thang!D2502</f>
        <v/>
      </c>
      <c r="D2502">
        <f>Data_thang!E2502</f>
        <v/>
      </c>
      <c r="E2502">
        <f>Data_thang!F2502</f>
        <v/>
      </c>
      <c r="F2502">
        <f>Data_thang!G2502</f>
        <v/>
      </c>
      <c r="G2502" s="29">
        <f>Data_thang!J2502-Data_thang!K2502</f>
        <v/>
      </c>
      <c r="H2502" s="29">
        <f>Data_thang!N2502</f>
        <v/>
      </c>
      <c r="I2502" s="29">
        <f>H2502-G2502</f>
        <v/>
      </c>
      <c r="J2502" s="30">
        <f>IF(H2502=0,IF(I2502=0,0,1),I2502/ABS(H2502))</f>
        <v/>
      </c>
      <c r="K2502" s="29">
        <f>H2502-(Data_thang!O2502-Data_thang!K2502)</f>
        <v/>
      </c>
      <c r="L2502">
        <f>IF(AND(ABS(I2502)&gt;Dashboard!$G$6,ABS(J2502)&gt;Dashboard!$H$6),"⚠ Vượt","")</f>
        <v/>
      </c>
      <c r="M2502">
        <f>IF(AND(A2502=Dashboard!$D$6,OR(Dashboard!$C$6="*",F2502=Dashboard!$C$6),L2502&lt;&gt;""),ABS(I2502)+ROW()/1000000000,0)</f>
        <v/>
      </c>
    </row>
    <row r="2503">
      <c r="A2503">
        <f>Data_thang!A2503</f>
        <v/>
      </c>
      <c r="B2503">
        <f>Data_thang!B2503</f>
        <v/>
      </c>
      <c r="C2503">
        <f>Data_thang!D2503</f>
        <v/>
      </c>
      <c r="D2503">
        <f>Data_thang!E2503</f>
        <v/>
      </c>
      <c r="E2503">
        <f>Data_thang!F2503</f>
        <v/>
      </c>
      <c r="F2503">
        <f>Data_thang!G2503</f>
        <v/>
      </c>
      <c r="G2503" s="29">
        <f>Data_thang!J2503-Data_thang!K2503</f>
        <v/>
      </c>
      <c r="H2503" s="29">
        <f>Data_thang!N2503</f>
        <v/>
      </c>
      <c r="I2503" s="29">
        <f>H2503-G2503</f>
        <v/>
      </c>
      <c r="J2503" s="30">
        <f>IF(H2503=0,IF(I2503=0,0,1),I2503/ABS(H2503))</f>
        <v/>
      </c>
      <c r="K2503" s="29">
        <f>H2503-(Data_thang!O2503-Data_thang!K2503)</f>
        <v/>
      </c>
      <c r="L2503">
        <f>IF(AND(ABS(I2503)&gt;Dashboard!$G$6,ABS(J2503)&gt;Dashboard!$H$6),"⚠ Vượt","")</f>
        <v/>
      </c>
      <c r="M2503">
        <f>IF(AND(A2503=Dashboard!$D$6,OR(Dashboard!$C$6="*",F2503=Dashboard!$C$6),L2503&lt;&gt;""),ABS(I2503)+ROW()/1000000000,0)</f>
        <v/>
      </c>
    </row>
    <row r="2504">
      <c r="A2504">
        <f>Data_thang!A2504</f>
        <v/>
      </c>
      <c r="B2504">
        <f>Data_thang!B2504</f>
        <v/>
      </c>
      <c r="C2504">
        <f>Data_thang!D2504</f>
        <v/>
      </c>
      <c r="D2504">
        <f>Data_thang!E2504</f>
        <v/>
      </c>
      <c r="E2504">
        <f>Data_thang!F2504</f>
        <v/>
      </c>
      <c r="F2504">
        <f>Data_thang!G2504</f>
        <v/>
      </c>
      <c r="G2504" s="29">
        <f>Data_thang!J2504-Data_thang!K2504</f>
        <v/>
      </c>
      <c r="H2504" s="29">
        <f>Data_thang!N2504</f>
        <v/>
      </c>
      <c r="I2504" s="29">
        <f>H2504-G2504</f>
        <v/>
      </c>
      <c r="J2504" s="30">
        <f>IF(H2504=0,IF(I2504=0,0,1),I2504/ABS(H2504))</f>
        <v/>
      </c>
      <c r="K2504" s="29">
        <f>H2504-(Data_thang!O2504-Data_thang!K2504)</f>
        <v/>
      </c>
      <c r="L2504">
        <f>IF(AND(ABS(I2504)&gt;Dashboard!$G$6,ABS(J2504)&gt;Dashboard!$H$6),"⚠ Vượt","")</f>
        <v/>
      </c>
      <c r="M2504">
        <f>IF(AND(A2504=Dashboard!$D$6,OR(Dashboard!$C$6="*",F2504=Dashboard!$C$6),L2504&lt;&gt;""),ABS(I2504)+ROW()/1000000000,0)</f>
        <v/>
      </c>
    </row>
    <row r="2505">
      <c r="A2505">
        <f>Data_thang!A2505</f>
        <v/>
      </c>
      <c r="B2505">
        <f>Data_thang!B2505</f>
        <v/>
      </c>
      <c r="C2505">
        <f>Data_thang!D2505</f>
        <v/>
      </c>
      <c r="D2505">
        <f>Data_thang!E2505</f>
        <v/>
      </c>
      <c r="E2505">
        <f>Data_thang!F2505</f>
        <v/>
      </c>
      <c r="F2505">
        <f>Data_thang!G2505</f>
        <v/>
      </c>
      <c r="G2505" s="29">
        <f>Data_thang!J2505-Data_thang!K2505</f>
        <v/>
      </c>
      <c r="H2505" s="29">
        <f>Data_thang!N2505</f>
        <v/>
      </c>
      <c r="I2505" s="29">
        <f>H2505-G2505</f>
        <v/>
      </c>
      <c r="J2505" s="30">
        <f>IF(H2505=0,IF(I2505=0,0,1),I2505/ABS(H2505))</f>
        <v/>
      </c>
      <c r="K2505" s="29">
        <f>H2505-(Data_thang!O2505-Data_thang!K2505)</f>
        <v/>
      </c>
      <c r="L2505">
        <f>IF(AND(ABS(I2505)&gt;Dashboard!$G$6,ABS(J2505)&gt;Dashboard!$H$6),"⚠ Vượt","")</f>
        <v/>
      </c>
      <c r="M2505">
        <f>IF(AND(A2505=Dashboard!$D$6,OR(Dashboard!$C$6="*",F2505=Dashboard!$C$6),L2505&lt;&gt;""),ABS(I2505)+ROW()/1000000000,0)</f>
        <v/>
      </c>
    </row>
    <row r="2506">
      <c r="A2506">
        <f>Data_thang!A2506</f>
        <v/>
      </c>
      <c r="B2506">
        <f>Data_thang!B2506</f>
        <v/>
      </c>
      <c r="C2506">
        <f>Data_thang!D2506</f>
        <v/>
      </c>
      <c r="D2506">
        <f>Data_thang!E2506</f>
        <v/>
      </c>
      <c r="E2506">
        <f>Data_thang!F2506</f>
        <v/>
      </c>
      <c r="F2506">
        <f>Data_thang!G2506</f>
        <v/>
      </c>
      <c r="G2506" s="29">
        <f>Data_thang!J2506-Data_thang!K2506</f>
        <v/>
      </c>
      <c r="H2506" s="29">
        <f>Data_thang!N2506</f>
        <v/>
      </c>
      <c r="I2506" s="29">
        <f>H2506-G2506</f>
        <v/>
      </c>
      <c r="J2506" s="30">
        <f>IF(H2506=0,IF(I2506=0,0,1),I2506/ABS(H2506))</f>
        <v/>
      </c>
      <c r="K2506" s="29">
        <f>H2506-(Data_thang!O2506-Data_thang!K2506)</f>
        <v/>
      </c>
      <c r="L2506">
        <f>IF(AND(ABS(I2506)&gt;Dashboard!$G$6,ABS(J2506)&gt;Dashboard!$H$6),"⚠ Vượt","")</f>
        <v/>
      </c>
      <c r="M2506">
        <f>IF(AND(A2506=Dashboard!$D$6,OR(Dashboard!$C$6="*",F2506=Dashboard!$C$6),L2506&lt;&gt;""),ABS(I2506)+ROW()/1000000000,0)</f>
        <v/>
      </c>
    </row>
    <row r="2507">
      <c r="A2507">
        <f>Data_thang!A2507</f>
        <v/>
      </c>
      <c r="B2507">
        <f>Data_thang!B2507</f>
        <v/>
      </c>
      <c r="C2507">
        <f>Data_thang!D2507</f>
        <v/>
      </c>
      <c r="D2507">
        <f>Data_thang!E2507</f>
        <v/>
      </c>
      <c r="E2507">
        <f>Data_thang!F2507</f>
        <v/>
      </c>
      <c r="F2507">
        <f>Data_thang!G2507</f>
        <v/>
      </c>
      <c r="G2507" s="29">
        <f>Data_thang!J2507-Data_thang!K2507</f>
        <v/>
      </c>
      <c r="H2507" s="29">
        <f>Data_thang!N2507</f>
        <v/>
      </c>
      <c r="I2507" s="29">
        <f>H2507-G2507</f>
        <v/>
      </c>
      <c r="J2507" s="30">
        <f>IF(H2507=0,IF(I2507=0,0,1),I2507/ABS(H2507))</f>
        <v/>
      </c>
      <c r="K2507" s="29">
        <f>H2507-(Data_thang!O2507-Data_thang!K2507)</f>
        <v/>
      </c>
      <c r="L2507">
        <f>IF(AND(ABS(I2507)&gt;Dashboard!$G$6,ABS(J2507)&gt;Dashboard!$H$6),"⚠ Vượt","")</f>
        <v/>
      </c>
      <c r="M2507">
        <f>IF(AND(A2507=Dashboard!$D$6,OR(Dashboard!$C$6="*",F2507=Dashboard!$C$6),L2507&lt;&gt;""),ABS(I2507)+ROW()/1000000000,0)</f>
        <v/>
      </c>
    </row>
    <row r="2508">
      <c r="A2508">
        <f>Data_thang!A2508</f>
        <v/>
      </c>
      <c r="B2508">
        <f>Data_thang!B2508</f>
        <v/>
      </c>
      <c r="C2508">
        <f>Data_thang!D2508</f>
        <v/>
      </c>
      <c r="D2508">
        <f>Data_thang!E2508</f>
        <v/>
      </c>
      <c r="E2508">
        <f>Data_thang!F2508</f>
        <v/>
      </c>
      <c r="F2508">
        <f>Data_thang!G2508</f>
        <v/>
      </c>
      <c r="G2508" s="29">
        <f>Data_thang!J2508-Data_thang!K2508</f>
        <v/>
      </c>
      <c r="H2508" s="29">
        <f>Data_thang!N2508</f>
        <v/>
      </c>
      <c r="I2508" s="29">
        <f>H2508-G2508</f>
        <v/>
      </c>
      <c r="J2508" s="30">
        <f>IF(H2508=0,IF(I2508=0,0,1),I2508/ABS(H2508))</f>
        <v/>
      </c>
      <c r="K2508" s="29">
        <f>H2508-(Data_thang!O2508-Data_thang!K2508)</f>
        <v/>
      </c>
      <c r="L2508">
        <f>IF(AND(ABS(I2508)&gt;Dashboard!$G$6,ABS(J2508)&gt;Dashboard!$H$6),"⚠ Vượt","")</f>
        <v/>
      </c>
      <c r="M2508">
        <f>IF(AND(A2508=Dashboard!$D$6,OR(Dashboard!$C$6="*",F2508=Dashboard!$C$6),L2508&lt;&gt;""),ABS(I2508)+ROW()/1000000000,0)</f>
        <v/>
      </c>
    </row>
    <row r="2509">
      <c r="A2509">
        <f>Data_thang!A2509</f>
        <v/>
      </c>
      <c r="B2509">
        <f>Data_thang!B2509</f>
        <v/>
      </c>
      <c r="C2509">
        <f>Data_thang!D2509</f>
        <v/>
      </c>
      <c r="D2509">
        <f>Data_thang!E2509</f>
        <v/>
      </c>
      <c r="E2509">
        <f>Data_thang!F2509</f>
        <v/>
      </c>
      <c r="F2509">
        <f>Data_thang!G2509</f>
        <v/>
      </c>
      <c r="G2509" s="29">
        <f>Data_thang!J2509-Data_thang!K2509</f>
        <v/>
      </c>
      <c r="H2509" s="29">
        <f>Data_thang!N2509</f>
        <v/>
      </c>
      <c r="I2509" s="29">
        <f>H2509-G2509</f>
        <v/>
      </c>
      <c r="J2509" s="30">
        <f>IF(H2509=0,IF(I2509=0,0,1),I2509/ABS(H2509))</f>
        <v/>
      </c>
      <c r="K2509" s="29">
        <f>H2509-(Data_thang!O2509-Data_thang!K2509)</f>
        <v/>
      </c>
      <c r="L2509">
        <f>IF(AND(ABS(I2509)&gt;Dashboard!$G$6,ABS(J2509)&gt;Dashboard!$H$6),"⚠ Vượt","")</f>
        <v/>
      </c>
      <c r="M2509">
        <f>IF(AND(A2509=Dashboard!$D$6,OR(Dashboard!$C$6="*",F2509=Dashboard!$C$6),L2509&lt;&gt;""),ABS(I2509)+ROW()/1000000000,0)</f>
        <v/>
      </c>
    </row>
    <row r="2510">
      <c r="A2510">
        <f>Data_thang!A2510</f>
        <v/>
      </c>
      <c r="B2510">
        <f>Data_thang!B2510</f>
        <v/>
      </c>
      <c r="C2510">
        <f>Data_thang!D2510</f>
        <v/>
      </c>
      <c r="D2510">
        <f>Data_thang!E2510</f>
        <v/>
      </c>
      <c r="E2510">
        <f>Data_thang!F2510</f>
        <v/>
      </c>
      <c r="F2510">
        <f>Data_thang!G2510</f>
        <v/>
      </c>
      <c r="G2510" s="29">
        <f>Data_thang!J2510-Data_thang!K2510</f>
        <v/>
      </c>
      <c r="H2510" s="29">
        <f>Data_thang!N2510</f>
        <v/>
      </c>
      <c r="I2510" s="29">
        <f>H2510-G2510</f>
        <v/>
      </c>
      <c r="J2510" s="30">
        <f>IF(H2510=0,IF(I2510=0,0,1),I2510/ABS(H2510))</f>
        <v/>
      </c>
      <c r="K2510" s="29">
        <f>H2510-(Data_thang!O2510-Data_thang!K2510)</f>
        <v/>
      </c>
      <c r="L2510">
        <f>IF(AND(ABS(I2510)&gt;Dashboard!$G$6,ABS(J2510)&gt;Dashboard!$H$6),"⚠ Vượt","")</f>
        <v/>
      </c>
      <c r="M2510">
        <f>IF(AND(A2510=Dashboard!$D$6,OR(Dashboard!$C$6="*",F2510=Dashboard!$C$6),L2510&lt;&gt;""),ABS(I2510)+ROW()/1000000000,0)</f>
        <v/>
      </c>
    </row>
    <row r="2511">
      <c r="A2511">
        <f>Data_thang!A2511</f>
        <v/>
      </c>
      <c r="B2511">
        <f>Data_thang!B2511</f>
        <v/>
      </c>
      <c r="C2511">
        <f>Data_thang!D2511</f>
        <v/>
      </c>
      <c r="D2511">
        <f>Data_thang!E2511</f>
        <v/>
      </c>
      <c r="E2511">
        <f>Data_thang!F2511</f>
        <v/>
      </c>
      <c r="F2511">
        <f>Data_thang!G2511</f>
        <v/>
      </c>
      <c r="G2511" s="29">
        <f>Data_thang!J2511-Data_thang!K2511</f>
        <v/>
      </c>
      <c r="H2511" s="29">
        <f>Data_thang!N2511</f>
        <v/>
      </c>
      <c r="I2511" s="29">
        <f>H2511-G2511</f>
        <v/>
      </c>
      <c r="J2511" s="30">
        <f>IF(H2511=0,IF(I2511=0,0,1),I2511/ABS(H2511))</f>
        <v/>
      </c>
      <c r="K2511" s="29">
        <f>H2511-(Data_thang!O2511-Data_thang!K2511)</f>
        <v/>
      </c>
      <c r="L2511">
        <f>IF(AND(ABS(I2511)&gt;Dashboard!$G$6,ABS(J2511)&gt;Dashboard!$H$6),"⚠ Vượt","")</f>
        <v/>
      </c>
      <c r="M2511">
        <f>IF(AND(A2511=Dashboard!$D$6,OR(Dashboard!$C$6="*",F2511=Dashboard!$C$6),L2511&lt;&gt;""),ABS(I2511)+ROW()/1000000000,0)</f>
        <v/>
      </c>
    </row>
    <row r="2512">
      <c r="A2512">
        <f>Data_thang!A2512</f>
        <v/>
      </c>
      <c r="B2512">
        <f>Data_thang!B2512</f>
        <v/>
      </c>
      <c r="C2512">
        <f>Data_thang!D2512</f>
        <v/>
      </c>
      <c r="D2512">
        <f>Data_thang!E2512</f>
        <v/>
      </c>
      <c r="E2512">
        <f>Data_thang!F2512</f>
        <v/>
      </c>
      <c r="F2512">
        <f>Data_thang!G2512</f>
        <v/>
      </c>
      <c r="G2512" s="29">
        <f>Data_thang!J2512-Data_thang!K2512</f>
        <v/>
      </c>
      <c r="H2512" s="29">
        <f>Data_thang!N2512</f>
        <v/>
      </c>
      <c r="I2512" s="29">
        <f>H2512-G2512</f>
        <v/>
      </c>
      <c r="J2512" s="30">
        <f>IF(H2512=0,IF(I2512=0,0,1),I2512/ABS(H2512))</f>
        <v/>
      </c>
      <c r="K2512" s="29">
        <f>H2512-(Data_thang!O2512-Data_thang!K2512)</f>
        <v/>
      </c>
      <c r="L2512">
        <f>IF(AND(ABS(I2512)&gt;Dashboard!$G$6,ABS(J2512)&gt;Dashboard!$H$6),"⚠ Vượt","")</f>
        <v/>
      </c>
      <c r="M2512">
        <f>IF(AND(A2512=Dashboard!$D$6,OR(Dashboard!$C$6="*",F2512=Dashboard!$C$6),L2512&lt;&gt;""),ABS(I2512)+ROW()/1000000000,0)</f>
        <v/>
      </c>
    </row>
    <row r="2513">
      <c r="A2513">
        <f>Data_thang!A2513</f>
        <v/>
      </c>
      <c r="B2513">
        <f>Data_thang!B2513</f>
        <v/>
      </c>
      <c r="C2513">
        <f>Data_thang!D2513</f>
        <v/>
      </c>
      <c r="D2513">
        <f>Data_thang!E2513</f>
        <v/>
      </c>
      <c r="E2513">
        <f>Data_thang!F2513</f>
        <v/>
      </c>
      <c r="F2513">
        <f>Data_thang!G2513</f>
        <v/>
      </c>
      <c r="G2513" s="29">
        <f>Data_thang!J2513-Data_thang!K2513</f>
        <v/>
      </c>
      <c r="H2513" s="29">
        <f>Data_thang!N2513</f>
        <v/>
      </c>
      <c r="I2513" s="29">
        <f>H2513-G2513</f>
        <v/>
      </c>
      <c r="J2513" s="30">
        <f>IF(H2513=0,IF(I2513=0,0,1),I2513/ABS(H2513))</f>
        <v/>
      </c>
      <c r="K2513" s="29">
        <f>H2513-(Data_thang!O2513-Data_thang!K2513)</f>
        <v/>
      </c>
      <c r="L2513">
        <f>IF(AND(ABS(I2513)&gt;Dashboard!$G$6,ABS(J2513)&gt;Dashboard!$H$6),"⚠ Vượt","")</f>
        <v/>
      </c>
      <c r="M2513">
        <f>IF(AND(A2513=Dashboard!$D$6,OR(Dashboard!$C$6="*",F2513=Dashboard!$C$6),L2513&lt;&gt;""),ABS(I2513)+ROW()/1000000000,0)</f>
        <v/>
      </c>
    </row>
    <row r="2514">
      <c r="A2514">
        <f>Data_thang!A2514</f>
        <v/>
      </c>
      <c r="B2514">
        <f>Data_thang!B2514</f>
        <v/>
      </c>
      <c r="C2514">
        <f>Data_thang!D2514</f>
        <v/>
      </c>
      <c r="D2514">
        <f>Data_thang!E2514</f>
        <v/>
      </c>
      <c r="E2514">
        <f>Data_thang!F2514</f>
        <v/>
      </c>
      <c r="F2514">
        <f>Data_thang!G2514</f>
        <v/>
      </c>
      <c r="G2514" s="29">
        <f>Data_thang!J2514-Data_thang!K2514</f>
        <v/>
      </c>
      <c r="H2514" s="29">
        <f>Data_thang!N2514</f>
        <v/>
      </c>
      <c r="I2514" s="29">
        <f>H2514-G2514</f>
        <v/>
      </c>
      <c r="J2514" s="30">
        <f>IF(H2514=0,IF(I2514=0,0,1),I2514/ABS(H2514))</f>
        <v/>
      </c>
      <c r="K2514" s="29">
        <f>H2514-(Data_thang!O2514-Data_thang!K2514)</f>
        <v/>
      </c>
      <c r="L2514">
        <f>IF(AND(ABS(I2514)&gt;Dashboard!$G$6,ABS(J2514)&gt;Dashboard!$H$6),"⚠ Vượt","")</f>
        <v/>
      </c>
      <c r="M2514">
        <f>IF(AND(A2514=Dashboard!$D$6,OR(Dashboard!$C$6="*",F2514=Dashboard!$C$6),L2514&lt;&gt;""),ABS(I2514)+ROW()/1000000000,0)</f>
        <v/>
      </c>
    </row>
    <row r="2515">
      <c r="A2515">
        <f>Data_thang!A2515</f>
        <v/>
      </c>
      <c r="B2515">
        <f>Data_thang!B2515</f>
        <v/>
      </c>
      <c r="C2515">
        <f>Data_thang!D2515</f>
        <v/>
      </c>
      <c r="D2515">
        <f>Data_thang!E2515</f>
        <v/>
      </c>
      <c r="E2515">
        <f>Data_thang!F2515</f>
        <v/>
      </c>
      <c r="F2515">
        <f>Data_thang!G2515</f>
        <v/>
      </c>
      <c r="G2515" s="29">
        <f>Data_thang!J2515-Data_thang!K2515</f>
        <v/>
      </c>
      <c r="H2515" s="29">
        <f>Data_thang!N2515</f>
        <v/>
      </c>
      <c r="I2515" s="29">
        <f>H2515-G2515</f>
        <v/>
      </c>
      <c r="J2515" s="30">
        <f>IF(H2515=0,IF(I2515=0,0,1),I2515/ABS(H2515))</f>
        <v/>
      </c>
      <c r="K2515" s="29">
        <f>H2515-(Data_thang!O2515-Data_thang!K2515)</f>
        <v/>
      </c>
      <c r="L2515">
        <f>IF(AND(ABS(I2515)&gt;Dashboard!$G$6,ABS(J2515)&gt;Dashboard!$H$6),"⚠ Vượt","")</f>
        <v/>
      </c>
      <c r="M2515">
        <f>IF(AND(A2515=Dashboard!$D$6,OR(Dashboard!$C$6="*",F2515=Dashboard!$C$6),L2515&lt;&gt;""),ABS(I2515)+ROW()/1000000000,0)</f>
        <v/>
      </c>
    </row>
    <row r="2516">
      <c r="A2516">
        <f>Data_thang!A2516</f>
        <v/>
      </c>
      <c r="B2516">
        <f>Data_thang!B2516</f>
        <v/>
      </c>
      <c r="C2516">
        <f>Data_thang!D2516</f>
        <v/>
      </c>
      <c r="D2516">
        <f>Data_thang!E2516</f>
        <v/>
      </c>
      <c r="E2516">
        <f>Data_thang!F2516</f>
        <v/>
      </c>
      <c r="F2516">
        <f>Data_thang!G2516</f>
        <v/>
      </c>
      <c r="G2516" s="29">
        <f>Data_thang!J2516-Data_thang!K2516</f>
        <v/>
      </c>
      <c r="H2516" s="29">
        <f>Data_thang!N2516</f>
        <v/>
      </c>
      <c r="I2516" s="29">
        <f>H2516-G2516</f>
        <v/>
      </c>
      <c r="J2516" s="30">
        <f>IF(H2516=0,IF(I2516=0,0,1),I2516/ABS(H2516))</f>
        <v/>
      </c>
      <c r="K2516" s="29">
        <f>H2516-(Data_thang!O2516-Data_thang!K2516)</f>
        <v/>
      </c>
      <c r="L2516">
        <f>IF(AND(ABS(I2516)&gt;Dashboard!$G$6,ABS(J2516)&gt;Dashboard!$H$6),"⚠ Vượt","")</f>
        <v/>
      </c>
      <c r="M2516">
        <f>IF(AND(A2516=Dashboard!$D$6,OR(Dashboard!$C$6="*",F2516=Dashboard!$C$6),L2516&lt;&gt;""),ABS(I2516)+ROW()/1000000000,0)</f>
        <v/>
      </c>
    </row>
    <row r="2517">
      <c r="A2517">
        <f>Data_thang!A2517</f>
        <v/>
      </c>
      <c r="B2517">
        <f>Data_thang!B2517</f>
        <v/>
      </c>
      <c r="C2517">
        <f>Data_thang!D2517</f>
        <v/>
      </c>
      <c r="D2517">
        <f>Data_thang!E2517</f>
        <v/>
      </c>
      <c r="E2517">
        <f>Data_thang!F2517</f>
        <v/>
      </c>
      <c r="F2517">
        <f>Data_thang!G2517</f>
        <v/>
      </c>
      <c r="G2517" s="29">
        <f>Data_thang!J2517-Data_thang!K2517</f>
        <v/>
      </c>
      <c r="H2517" s="29">
        <f>Data_thang!N2517</f>
        <v/>
      </c>
      <c r="I2517" s="29">
        <f>H2517-G2517</f>
        <v/>
      </c>
      <c r="J2517" s="30">
        <f>IF(H2517=0,IF(I2517=0,0,1),I2517/ABS(H2517))</f>
        <v/>
      </c>
      <c r="K2517" s="29">
        <f>H2517-(Data_thang!O2517-Data_thang!K2517)</f>
        <v/>
      </c>
      <c r="L2517">
        <f>IF(AND(ABS(I2517)&gt;Dashboard!$G$6,ABS(J2517)&gt;Dashboard!$H$6),"⚠ Vượt","")</f>
        <v/>
      </c>
      <c r="M2517">
        <f>IF(AND(A2517=Dashboard!$D$6,OR(Dashboard!$C$6="*",F2517=Dashboard!$C$6),L2517&lt;&gt;""),ABS(I2517)+ROW()/1000000000,0)</f>
        <v/>
      </c>
    </row>
    <row r="2518">
      <c r="A2518">
        <f>Data_thang!A2518</f>
        <v/>
      </c>
      <c r="B2518">
        <f>Data_thang!B2518</f>
        <v/>
      </c>
      <c r="C2518">
        <f>Data_thang!D2518</f>
        <v/>
      </c>
      <c r="D2518">
        <f>Data_thang!E2518</f>
        <v/>
      </c>
      <c r="E2518">
        <f>Data_thang!F2518</f>
        <v/>
      </c>
      <c r="F2518">
        <f>Data_thang!G2518</f>
        <v/>
      </c>
      <c r="G2518" s="29">
        <f>Data_thang!J2518-Data_thang!K2518</f>
        <v/>
      </c>
      <c r="H2518" s="29">
        <f>Data_thang!N2518</f>
        <v/>
      </c>
      <c r="I2518" s="29">
        <f>H2518-G2518</f>
        <v/>
      </c>
      <c r="J2518" s="30">
        <f>IF(H2518=0,IF(I2518=0,0,1),I2518/ABS(H2518))</f>
        <v/>
      </c>
      <c r="K2518" s="29">
        <f>H2518-(Data_thang!O2518-Data_thang!K2518)</f>
        <v/>
      </c>
      <c r="L2518">
        <f>IF(AND(ABS(I2518)&gt;Dashboard!$G$6,ABS(J2518)&gt;Dashboard!$H$6),"⚠ Vượt","")</f>
        <v/>
      </c>
      <c r="M2518">
        <f>IF(AND(A2518=Dashboard!$D$6,OR(Dashboard!$C$6="*",F2518=Dashboard!$C$6),L2518&lt;&gt;""),ABS(I2518)+ROW()/1000000000,0)</f>
        <v/>
      </c>
    </row>
    <row r="2519">
      <c r="A2519">
        <f>Data_thang!A2519</f>
        <v/>
      </c>
      <c r="B2519">
        <f>Data_thang!B2519</f>
        <v/>
      </c>
      <c r="C2519">
        <f>Data_thang!D2519</f>
        <v/>
      </c>
      <c r="D2519">
        <f>Data_thang!E2519</f>
        <v/>
      </c>
      <c r="E2519">
        <f>Data_thang!F2519</f>
        <v/>
      </c>
      <c r="F2519">
        <f>Data_thang!G2519</f>
        <v/>
      </c>
      <c r="G2519" s="29">
        <f>Data_thang!J2519-Data_thang!K2519</f>
        <v/>
      </c>
      <c r="H2519" s="29">
        <f>Data_thang!N2519</f>
        <v/>
      </c>
      <c r="I2519" s="29">
        <f>H2519-G2519</f>
        <v/>
      </c>
      <c r="J2519" s="30">
        <f>IF(H2519=0,IF(I2519=0,0,1),I2519/ABS(H2519))</f>
        <v/>
      </c>
      <c r="K2519" s="29">
        <f>H2519-(Data_thang!O2519-Data_thang!K2519)</f>
        <v/>
      </c>
      <c r="L2519">
        <f>IF(AND(ABS(I2519)&gt;Dashboard!$G$6,ABS(J2519)&gt;Dashboard!$H$6),"⚠ Vượt","")</f>
        <v/>
      </c>
      <c r="M2519">
        <f>IF(AND(A2519=Dashboard!$D$6,OR(Dashboard!$C$6="*",F2519=Dashboard!$C$6),L2519&lt;&gt;""),ABS(I2519)+ROW()/1000000000,0)</f>
        <v/>
      </c>
    </row>
    <row r="2520">
      <c r="A2520">
        <f>Data_thang!A2520</f>
        <v/>
      </c>
      <c r="B2520">
        <f>Data_thang!B2520</f>
        <v/>
      </c>
      <c r="C2520">
        <f>Data_thang!D2520</f>
        <v/>
      </c>
      <c r="D2520">
        <f>Data_thang!E2520</f>
        <v/>
      </c>
      <c r="E2520">
        <f>Data_thang!F2520</f>
        <v/>
      </c>
      <c r="F2520">
        <f>Data_thang!G2520</f>
        <v/>
      </c>
      <c r="G2520" s="29">
        <f>Data_thang!J2520-Data_thang!K2520</f>
        <v/>
      </c>
      <c r="H2520" s="29">
        <f>Data_thang!N2520</f>
        <v/>
      </c>
      <c r="I2520" s="29">
        <f>H2520-G2520</f>
        <v/>
      </c>
      <c r="J2520" s="30">
        <f>IF(H2520=0,IF(I2520=0,0,1),I2520/ABS(H2520))</f>
        <v/>
      </c>
      <c r="K2520" s="29">
        <f>H2520-(Data_thang!O2520-Data_thang!K2520)</f>
        <v/>
      </c>
      <c r="L2520">
        <f>IF(AND(ABS(I2520)&gt;Dashboard!$G$6,ABS(J2520)&gt;Dashboard!$H$6),"⚠ Vượt","")</f>
        <v/>
      </c>
      <c r="M2520">
        <f>IF(AND(A2520=Dashboard!$D$6,OR(Dashboard!$C$6="*",F2520=Dashboard!$C$6),L2520&lt;&gt;""),ABS(I2520)+ROW()/1000000000,0)</f>
        <v/>
      </c>
    </row>
    <row r="2521">
      <c r="A2521">
        <f>Data_thang!A2521</f>
        <v/>
      </c>
      <c r="B2521">
        <f>Data_thang!B2521</f>
        <v/>
      </c>
      <c r="C2521">
        <f>Data_thang!D2521</f>
        <v/>
      </c>
      <c r="D2521">
        <f>Data_thang!E2521</f>
        <v/>
      </c>
      <c r="E2521">
        <f>Data_thang!F2521</f>
        <v/>
      </c>
      <c r="F2521">
        <f>Data_thang!G2521</f>
        <v/>
      </c>
      <c r="G2521" s="29">
        <f>Data_thang!J2521-Data_thang!K2521</f>
        <v/>
      </c>
      <c r="H2521" s="29">
        <f>Data_thang!N2521</f>
        <v/>
      </c>
      <c r="I2521" s="29">
        <f>H2521-G2521</f>
        <v/>
      </c>
      <c r="J2521" s="30">
        <f>IF(H2521=0,IF(I2521=0,0,1),I2521/ABS(H2521))</f>
        <v/>
      </c>
      <c r="K2521" s="29">
        <f>H2521-(Data_thang!O2521-Data_thang!K2521)</f>
        <v/>
      </c>
      <c r="L2521">
        <f>IF(AND(ABS(I2521)&gt;Dashboard!$G$6,ABS(J2521)&gt;Dashboard!$H$6),"⚠ Vượt","")</f>
        <v/>
      </c>
      <c r="M2521">
        <f>IF(AND(A2521=Dashboard!$D$6,OR(Dashboard!$C$6="*",F2521=Dashboard!$C$6),L2521&lt;&gt;""),ABS(I2521)+ROW()/1000000000,0)</f>
        <v/>
      </c>
    </row>
    <row r="2522">
      <c r="A2522">
        <f>Data_thang!A2522</f>
        <v/>
      </c>
      <c r="B2522">
        <f>Data_thang!B2522</f>
        <v/>
      </c>
      <c r="C2522">
        <f>Data_thang!D2522</f>
        <v/>
      </c>
      <c r="D2522">
        <f>Data_thang!E2522</f>
        <v/>
      </c>
      <c r="E2522">
        <f>Data_thang!F2522</f>
        <v/>
      </c>
      <c r="F2522">
        <f>Data_thang!G2522</f>
        <v/>
      </c>
      <c r="G2522" s="29">
        <f>Data_thang!J2522-Data_thang!K2522</f>
        <v/>
      </c>
      <c r="H2522" s="29">
        <f>Data_thang!N2522</f>
        <v/>
      </c>
      <c r="I2522" s="29">
        <f>H2522-G2522</f>
        <v/>
      </c>
      <c r="J2522" s="30">
        <f>IF(H2522=0,IF(I2522=0,0,1),I2522/ABS(H2522))</f>
        <v/>
      </c>
      <c r="K2522" s="29">
        <f>H2522-(Data_thang!O2522-Data_thang!K2522)</f>
        <v/>
      </c>
      <c r="L2522">
        <f>IF(AND(ABS(I2522)&gt;Dashboard!$G$6,ABS(J2522)&gt;Dashboard!$H$6),"⚠ Vượt","")</f>
        <v/>
      </c>
      <c r="M2522">
        <f>IF(AND(A2522=Dashboard!$D$6,OR(Dashboard!$C$6="*",F2522=Dashboard!$C$6),L2522&lt;&gt;""),ABS(I2522)+ROW()/1000000000,0)</f>
        <v/>
      </c>
    </row>
    <row r="2523">
      <c r="A2523">
        <f>Data_thang!A2523</f>
        <v/>
      </c>
      <c r="B2523">
        <f>Data_thang!B2523</f>
        <v/>
      </c>
      <c r="C2523">
        <f>Data_thang!D2523</f>
        <v/>
      </c>
      <c r="D2523">
        <f>Data_thang!E2523</f>
        <v/>
      </c>
      <c r="E2523">
        <f>Data_thang!F2523</f>
        <v/>
      </c>
      <c r="F2523">
        <f>Data_thang!G2523</f>
        <v/>
      </c>
      <c r="G2523" s="29">
        <f>Data_thang!J2523-Data_thang!K2523</f>
        <v/>
      </c>
      <c r="H2523" s="29">
        <f>Data_thang!N2523</f>
        <v/>
      </c>
      <c r="I2523" s="29">
        <f>H2523-G2523</f>
        <v/>
      </c>
      <c r="J2523" s="30">
        <f>IF(H2523=0,IF(I2523=0,0,1),I2523/ABS(H2523))</f>
        <v/>
      </c>
      <c r="K2523" s="29">
        <f>H2523-(Data_thang!O2523-Data_thang!K2523)</f>
        <v/>
      </c>
      <c r="L2523">
        <f>IF(AND(ABS(I2523)&gt;Dashboard!$G$6,ABS(J2523)&gt;Dashboard!$H$6),"⚠ Vượt","")</f>
        <v/>
      </c>
      <c r="M2523">
        <f>IF(AND(A2523=Dashboard!$D$6,OR(Dashboard!$C$6="*",F2523=Dashboard!$C$6),L2523&lt;&gt;""),ABS(I2523)+ROW()/1000000000,0)</f>
        <v/>
      </c>
    </row>
    <row r="2524">
      <c r="A2524">
        <f>Data_thang!A2524</f>
        <v/>
      </c>
      <c r="B2524">
        <f>Data_thang!B2524</f>
        <v/>
      </c>
      <c r="C2524">
        <f>Data_thang!D2524</f>
        <v/>
      </c>
      <c r="D2524">
        <f>Data_thang!E2524</f>
        <v/>
      </c>
      <c r="E2524">
        <f>Data_thang!F2524</f>
        <v/>
      </c>
      <c r="F2524">
        <f>Data_thang!G2524</f>
        <v/>
      </c>
      <c r="G2524" s="29">
        <f>Data_thang!J2524-Data_thang!K2524</f>
        <v/>
      </c>
      <c r="H2524" s="29">
        <f>Data_thang!N2524</f>
        <v/>
      </c>
      <c r="I2524" s="29">
        <f>H2524-G2524</f>
        <v/>
      </c>
      <c r="J2524" s="30">
        <f>IF(H2524=0,IF(I2524=0,0,1),I2524/ABS(H2524))</f>
        <v/>
      </c>
      <c r="K2524" s="29">
        <f>H2524-(Data_thang!O2524-Data_thang!K2524)</f>
        <v/>
      </c>
      <c r="L2524">
        <f>IF(AND(ABS(I2524)&gt;Dashboard!$G$6,ABS(J2524)&gt;Dashboard!$H$6),"⚠ Vượt","")</f>
        <v/>
      </c>
      <c r="M2524">
        <f>IF(AND(A2524=Dashboard!$D$6,OR(Dashboard!$C$6="*",F2524=Dashboard!$C$6),L2524&lt;&gt;""),ABS(I2524)+ROW()/1000000000,0)</f>
        <v/>
      </c>
    </row>
    <row r="2525">
      <c r="A2525">
        <f>Data_thang!A2525</f>
        <v/>
      </c>
      <c r="B2525">
        <f>Data_thang!B2525</f>
        <v/>
      </c>
      <c r="C2525">
        <f>Data_thang!D2525</f>
        <v/>
      </c>
      <c r="D2525">
        <f>Data_thang!E2525</f>
        <v/>
      </c>
      <c r="E2525">
        <f>Data_thang!F2525</f>
        <v/>
      </c>
      <c r="F2525">
        <f>Data_thang!G2525</f>
        <v/>
      </c>
      <c r="G2525" s="29">
        <f>Data_thang!J2525-Data_thang!K2525</f>
        <v/>
      </c>
      <c r="H2525" s="29">
        <f>Data_thang!N2525</f>
        <v/>
      </c>
      <c r="I2525" s="29">
        <f>H2525-G2525</f>
        <v/>
      </c>
      <c r="J2525" s="30">
        <f>IF(H2525=0,IF(I2525=0,0,1),I2525/ABS(H2525))</f>
        <v/>
      </c>
      <c r="K2525" s="29">
        <f>H2525-(Data_thang!O2525-Data_thang!K2525)</f>
        <v/>
      </c>
      <c r="L2525">
        <f>IF(AND(ABS(I2525)&gt;Dashboard!$G$6,ABS(J2525)&gt;Dashboard!$H$6),"⚠ Vượt","")</f>
        <v/>
      </c>
      <c r="M2525">
        <f>IF(AND(A2525=Dashboard!$D$6,OR(Dashboard!$C$6="*",F2525=Dashboard!$C$6),L2525&lt;&gt;""),ABS(I2525)+ROW()/1000000000,0)</f>
        <v/>
      </c>
    </row>
    <row r="2526">
      <c r="A2526">
        <f>Data_thang!A2526</f>
        <v/>
      </c>
      <c r="B2526">
        <f>Data_thang!B2526</f>
        <v/>
      </c>
      <c r="C2526">
        <f>Data_thang!D2526</f>
        <v/>
      </c>
      <c r="D2526">
        <f>Data_thang!E2526</f>
        <v/>
      </c>
      <c r="E2526">
        <f>Data_thang!F2526</f>
        <v/>
      </c>
      <c r="F2526">
        <f>Data_thang!G2526</f>
        <v/>
      </c>
      <c r="G2526" s="29">
        <f>Data_thang!J2526-Data_thang!K2526</f>
        <v/>
      </c>
      <c r="H2526" s="29">
        <f>Data_thang!N2526</f>
        <v/>
      </c>
      <c r="I2526" s="29">
        <f>H2526-G2526</f>
        <v/>
      </c>
      <c r="J2526" s="30">
        <f>IF(H2526=0,IF(I2526=0,0,1),I2526/ABS(H2526))</f>
        <v/>
      </c>
      <c r="K2526" s="29">
        <f>H2526-(Data_thang!O2526-Data_thang!K2526)</f>
        <v/>
      </c>
      <c r="L2526">
        <f>IF(AND(ABS(I2526)&gt;Dashboard!$G$6,ABS(J2526)&gt;Dashboard!$H$6),"⚠ Vượt","")</f>
        <v/>
      </c>
      <c r="M2526">
        <f>IF(AND(A2526=Dashboard!$D$6,OR(Dashboard!$C$6="*",F2526=Dashboard!$C$6),L2526&lt;&gt;""),ABS(I2526)+ROW()/1000000000,0)</f>
        <v/>
      </c>
    </row>
    <row r="2527">
      <c r="A2527">
        <f>Data_thang!A2527</f>
        <v/>
      </c>
      <c r="B2527">
        <f>Data_thang!B2527</f>
        <v/>
      </c>
      <c r="C2527">
        <f>Data_thang!D2527</f>
        <v/>
      </c>
      <c r="D2527">
        <f>Data_thang!E2527</f>
        <v/>
      </c>
      <c r="E2527">
        <f>Data_thang!F2527</f>
        <v/>
      </c>
      <c r="F2527">
        <f>Data_thang!G2527</f>
        <v/>
      </c>
      <c r="G2527" s="29">
        <f>Data_thang!J2527-Data_thang!K2527</f>
        <v/>
      </c>
      <c r="H2527" s="29">
        <f>Data_thang!N2527</f>
        <v/>
      </c>
      <c r="I2527" s="29">
        <f>H2527-G2527</f>
        <v/>
      </c>
      <c r="J2527" s="30">
        <f>IF(H2527=0,IF(I2527=0,0,1),I2527/ABS(H2527))</f>
        <v/>
      </c>
      <c r="K2527" s="29">
        <f>H2527-(Data_thang!O2527-Data_thang!K2527)</f>
        <v/>
      </c>
      <c r="L2527">
        <f>IF(AND(ABS(I2527)&gt;Dashboard!$G$6,ABS(J2527)&gt;Dashboard!$H$6),"⚠ Vượt","")</f>
        <v/>
      </c>
      <c r="M2527">
        <f>IF(AND(A2527=Dashboard!$D$6,OR(Dashboard!$C$6="*",F2527=Dashboard!$C$6),L2527&lt;&gt;""),ABS(I2527)+ROW()/1000000000,0)</f>
        <v/>
      </c>
    </row>
    <row r="2528">
      <c r="A2528">
        <f>Data_thang!A2528</f>
        <v/>
      </c>
      <c r="B2528">
        <f>Data_thang!B2528</f>
        <v/>
      </c>
      <c r="C2528">
        <f>Data_thang!D2528</f>
        <v/>
      </c>
      <c r="D2528">
        <f>Data_thang!E2528</f>
        <v/>
      </c>
      <c r="E2528">
        <f>Data_thang!F2528</f>
        <v/>
      </c>
      <c r="F2528">
        <f>Data_thang!G2528</f>
        <v/>
      </c>
      <c r="G2528" s="29">
        <f>Data_thang!J2528-Data_thang!K2528</f>
        <v/>
      </c>
      <c r="H2528" s="29">
        <f>Data_thang!N2528</f>
        <v/>
      </c>
      <c r="I2528" s="29">
        <f>H2528-G2528</f>
        <v/>
      </c>
      <c r="J2528" s="30">
        <f>IF(H2528=0,IF(I2528=0,0,1),I2528/ABS(H2528))</f>
        <v/>
      </c>
      <c r="K2528" s="29">
        <f>H2528-(Data_thang!O2528-Data_thang!K2528)</f>
        <v/>
      </c>
      <c r="L2528">
        <f>IF(AND(ABS(I2528)&gt;Dashboard!$G$6,ABS(J2528)&gt;Dashboard!$H$6),"⚠ Vượt","")</f>
        <v/>
      </c>
      <c r="M2528">
        <f>IF(AND(A2528=Dashboard!$D$6,OR(Dashboard!$C$6="*",F2528=Dashboard!$C$6),L2528&lt;&gt;""),ABS(I2528)+ROW()/1000000000,0)</f>
        <v/>
      </c>
    </row>
    <row r="2529">
      <c r="A2529">
        <f>Data_thang!A2529</f>
        <v/>
      </c>
      <c r="B2529">
        <f>Data_thang!B2529</f>
        <v/>
      </c>
      <c r="C2529">
        <f>Data_thang!D2529</f>
        <v/>
      </c>
      <c r="D2529">
        <f>Data_thang!E2529</f>
        <v/>
      </c>
      <c r="E2529">
        <f>Data_thang!F2529</f>
        <v/>
      </c>
      <c r="F2529">
        <f>Data_thang!G2529</f>
        <v/>
      </c>
      <c r="G2529" s="29">
        <f>Data_thang!J2529-Data_thang!K2529</f>
        <v/>
      </c>
      <c r="H2529" s="29">
        <f>Data_thang!N2529</f>
        <v/>
      </c>
      <c r="I2529" s="29">
        <f>H2529-G2529</f>
        <v/>
      </c>
      <c r="J2529" s="30">
        <f>IF(H2529=0,IF(I2529=0,0,1),I2529/ABS(H2529))</f>
        <v/>
      </c>
      <c r="K2529" s="29">
        <f>H2529-(Data_thang!O2529-Data_thang!K2529)</f>
        <v/>
      </c>
      <c r="L2529">
        <f>IF(AND(ABS(I2529)&gt;Dashboard!$G$6,ABS(J2529)&gt;Dashboard!$H$6),"⚠ Vượt","")</f>
        <v/>
      </c>
      <c r="M2529">
        <f>IF(AND(A2529=Dashboard!$D$6,OR(Dashboard!$C$6="*",F2529=Dashboard!$C$6),L2529&lt;&gt;""),ABS(I2529)+ROW()/1000000000,0)</f>
        <v/>
      </c>
    </row>
    <row r="2530">
      <c r="A2530">
        <f>Data_thang!A2530</f>
        <v/>
      </c>
      <c r="B2530">
        <f>Data_thang!B2530</f>
        <v/>
      </c>
      <c r="C2530">
        <f>Data_thang!D2530</f>
        <v/>
      </c>
      <c r="D2530">
        <f>Data_thang!E2530</f>
        <v/>
      </c>
      <c r="E2530">
        <f>Data_thang!F2530</f>
        <v/>
      </c>
      <c r="F2530">
        <f>Data_thang!G2530</f>
        <v/>
      </c>
      <c r="G2530" s="29">
        <f>Data_thang!J2530-Data_thang!K2530</f>
        <v/>
      </c>
      <c r="H2530" s="29">
        <f>Data_thang!N2530</f>
        <v/>
      </c>
      <c r="I2530" s="29">
        <f>H2530-G2530</f>
        <v/>
      </c>
      <c r="J2530" s="30">
        <f>IF(H2530=0,IF(I2530=0,0,1),I2530/ABS(H2530))</f>
        <v/>
      </c>
      <c r="K2530" s="29">
        <f>H2530-(Data_thang!O2530-Data_thang!K2530)</f>
        <v/>
      </c>
      <c r="L2530">
        <f>IF(AND(ABS(I2530)&gt;Dashboard!$G$6,ABS(J2530)&gt;Dashboard!$H$6),"⚠ Vượt","")</f>
        <v/>
      </c>
      <c r="M2530">
        <f>IF(AND(A2530=Dashboard!$D$6,OR(Dashboard!$C$6="*",F2530=Dashboard!$C$6),L2530&lt;&gt;""),ABS(I2530)+ROW()/1000000000,0)</f>
        <v/>
      </c>
    </row>
    <row r="2531">
      <c r="A2531">
        <f>Data_thang!A2531</f>
        <v/>
      </c>
      <c r="B2531">
        <f>Data_thang!B2531</f>
        <v/>
      </c>
      <c r="C2531">
        <f>Data_thang!D2531</f>
        <v/>
      </c>
      <c r="D2531">
        <f>Data_thang!E2531</f>
        <v/>
      </c>
      <c r="E2531">
        <f>Data_thang!F2531</f>
        <v/>
      </c>
      <c r="F2531">
        <f>Data_thang!G2531</f>
        <v/>
      </c>
      <c r="G2531" s="29">
        <f>Data_thang!J2531-Data_thang!K2531</f>
        <v/>
      </c>
      <c r="H2531" s="29">
        <f>Data_thang!N2531</f>
        <v/>
      </c>
      <c r="I2531" s="29">
        <f>H2531-G2531</f>
        <v/>
      </c>
      <c r="J2531" s="30">
        <f>IF(H2531=0,IF(I2531=0,0,1),I2531/ABS(H2531))</f>
        <v/>
      </c>
      <c r="K2531" s="29">
        <f>H2531-(Data_thang!O2531-Data_thang!K2531)</f>
        <v/>
      </c>
      <c r="L2531">
        <f>IF(AND(ABS(I2531)&gt;Dashboard!$G$6,ABS(J2531)&gt;Dashboard!$H$6),"⚠ Vượt","")</f>
        <v/>
      </c>
      <c r="M2531">
        <f>IF(AND(A2531=Dashboard!$D$6,OR(Dashboard!$C$6="*",F2531=Dashboard!$C$6),L2531&lt;&gt;""),ABS(I2531)+ROW()/1000000000,0)</f>
        <v/>
      </c>
    </row>
    <row r="2532">
      <c r="A2532">
        <f>Data_thang!A2532</f>
        <v/>
      </c>
      <c r="B2532">
        <f>Data_thang!B2532</f>
        <v/>
      </c>
      <c r="C2532">
        <f>Data_thang!D2532</f>
        <v/>
      </c>
      <c r="D2532">
        <f>Data_thang!E2532</f>
        <v/>
      </c>
      <c r="E2532">
        <f>Data_thang!F2532</f>
        <v/>
      </c>
      <c r="F2532">
        <f>Data_thang!G2532</f>
        <v/>
      </c>
      <c r="G2532" s="29">
        <f>Data_thang!J2532-Data_thang!K2532</f>
        <v/>
      </c>
      <c r="H2532" s="29">
        <f>Data_thang!N2532</f>
        <v/>
      </c>
      <c r="I2532" s="29">
        <f>H2532-G2532</f>
        <v/>
      </c>
      <c r="J2532" s="30">
        <f>IF(H2532=0,IF(I2532=0,0,1),I2532/ABS(H2532))</f>
        <v/>
      </c>
      <c r="K2532" s="29">
        <f>H2532-(Data_thang!O2532-Data_thang!K2532)</f>
        <v/>
      </c>
      <c r="L2532">
        <f>IF(AND(ABS(I2532)&gt;Dashboard!$G$6,ABS(J2532)&gt;Dashboard!$H$6),"⚠ Vượt","")</f>
        <v/>
      </c>
      <c r="M2532">
        <f>IF(AND(A2532=Dashboard!$D$6,OR(Dashboard!$C$6="*",F2532=Dashboard!$C$6),L2532&lt;&gt;""),ABS(I2532)+ROW()/1000000000,0)</f>
        <v/>
      </c>
    </row>
    <row r="2533">
      <c r="A2533">
        <f>Data_thang!A2533</f>
        <v/>
      </c>
      <c r="B2533">
        <f>Data_thang!B2533</f>
        <v/>
      </c>
      <c r="C2533">
        <f>Data_thang!D2533</f>
        <v/>
      </c>
      <c r="D2533">
        <f>Data_thang!E2533</f>
        <v/>
      </c>
      <c r="E2533">
        <f>Data_thang!F2533</f>
        <v/>
      </c>
      <c r="F2533">
        <f>Data_thang!G2533</f>
        <v/>
      </c>
      <c r="G2533" s="29">
        <f>Data_thang!J2533-Data_thang!K2533</f>
        <v/>
      </c>
      <c r="H2533" s="29">
        <f>Data_thang!N2533</f>
        <v/>
      </c>
      <c r="I2533" s="29">
        <f>H2533-G2533</f>
        <v/>
      </c>
      <c r="J2533" s="30">
        <f>IF(H2533=0,IF(I2533=0,0,1),I2533/ABS(H2533))</f>
        <v/>
      </c>
      <c r="K2533" s="29">
        <f>H2533-(Data_thang!O2533-Data_thang!K2533)</f>
        <v/>
      </c>
      <c r="L2533">
        <f>IF(AND(ABS(I2533)&gt;Dashboard!$G$6,ABS(J2533)&gt;Dashboard!$H$6),"⚠ Vượt","")</f>
        <v/>
      </c>
      <c r="M2533">
        <f>IF(AND(A2533=Dashboard!$D$6,OR(Dashboard!$C$6="*",F2533=Dashboard!$C$6),L2533&lt;&gt;""),ABS(I2533)+ROW()/1000000000,0)</f>
        <v/>
      </c>
    </row>
    <row r="2534">
      <c r="A2534">
        <f>Data_thang!A2534</f>
        <v/>
      </c>
      <c r="B2534">
        <f>Data_thang!B2534</f>
        <v/>
      </c>
      <c r="C2534">
        <f>Data_thang!D2534</f>
        <v/>
      </c>
      <c r="D2534">
        <f>Data_thang!E2534</f>
        <v/>
      </c>
      <c r="E2534">
        <f>Data_thang!F2534</f>
        <v/>
      </c>
      <c r="F2534">
        <f>Data_thang!G2534</f>
        <v/>
      </c>
      <c r="G2534" s="29">
        <f>Data_thang!J2534-Data_thang!K2534</f>
        <v/>
      </c>
      <c r="H2534" s="29">
        <f>Data_thang!N2534</f>
        <v/>
      </c>
      <c r="I2534" s="29">
        <f>H2534-G2534</f>
        <v/>
      </c>
      <c r="J2534" s="30">
        <f>IF(H2534=0,IF(I2534=0,0,1),I2534/ABS(H2534))</f>
        <v/>
      </c>
      <c r="K2534" s="29">
        <f>H2534-(Data_thang!O2534-Data_thang!K2534)</f>
        <v/>
      </c>
      <c r="L2534">
        <f>IF(AND(ABS(I2534)&gt;Dashboard!$G$6,ABS(J2534)&gt;Dashboard!$H$6),"⚠ Vượt","")</f>
        <v/>
      </c>
      <c r="M2534">
        <f>IF(AND(A2534=Dashboard!$D$6,OR(Dashboard!$C$6="*",F2534=Dashboard!$C$6),L2534&lt;&gt;""),ABS(I2534)+ROW()/1000000000,0)</f>
        <v/>
      </c>
    </row>
    <row r="2535">
      <c r="A2535">
        <f>Data_thang!A2535</f>
        <v/>
      </c>
      <c r="B2535">
        <f>Data_thang!B2535</f>
        <v/>
      </c>
      <c r="C2535">
        <f>Data_thang!D2535</f>
        <v/>
      </c>
      <c r="D2535">
        <f>Data_thang!E2535</f>
        <v/>
      </c>
      <c r="E2535">
        <f>Data_thang!F2535</f>
        <v/>
      </c>
      <c r="F2535">
        <f>Data_thang!G2535</f>
        <v/>
      </c>
      <c r="G2535" s="29">
        <f>Data_thang!J2535-Data_thang!K2535</f>
        <v/>
      </c>
      <c r="H2535" s="29">
        <f>Data_thang!N2535</f>
        <v/>
      </c>
      <c r="I2535" s="29">
        <f>H2535-G2535</f>
        <v/>
      </c>
      <c r="J2535" s="30">
        <f>IF(H2535=0,IF(I2535=0,0,1),I2535/ABS(H2535))</f>
        <v/>
      </c>
      <c r="K2535" s="29">
        <f>H2535-(Data_thang!O2535-Data_thang!K2535)</f>
        <v/>
      </c>
      <c r="L2535">
        <f>IF(AND(ABS(I2535)&gt;Dashboard!$G$6,ABS(J2535)&gt;Dashboard!$H$6),"⚠ Vượt","")</f>
        <v/>
      </c>
      <c r="M2535">
        <f>IF(AND(A2535=Dashboard!$D$6,OR(Dashboard!$C$6="*",F2535=Dashboard!$C$6),L2535&lt;&gt;""),ABS(I2535)+ROW()/1000000000,0)</f>
        <v/>
      </c>
    </row>
    <row r="2536">
      <c r="A2536">
        <f>Data_thang!A2536</f>
        <v/>
      </c>
      <c r="B2536">
        <f>Data_thang!B2536</f>
        <v/>
      </c>
      <c r="C2536">
        <f>Data_thang!D2536</f>
        <v/>
      </c>
      <c r="D2536">
        <f>Data_thang!E2536</f>
        <v/>
      </c>
      <c r="E2536">
        <f>Data_thang!F2536</f>
        <v/>
      </c>
      <c r="F2536">
        <f>Data_thang!G2536</f>
        <v/>
      </c>
      <c r="G2536" s="29">
        <f>Data_thang!J2536-Data_thang!K2536</f>
        <v/>
      </c>
      <c r="H2536" s="29">
        <f>Data_thang!N2536</f>
        <v/>
      </c>
      <c r="I2536" s="29">
        <f>H2536-G2536</f>
        <v/>
      </c>
      <c r="J2536" s="30">
        <f>IF(H2536=0,IF(I2536=0,0,1),I2536/ABS(H2536))</f>
        <v/>
      </c>
      <c r="K2536" s="29">
        <f>H2536-(Data_thang!O2536-Data_thang!K2536)</f>
        <v/>
      </c>
      <c r="L2536">
        <f>IF(AND(ABS(I2536)&gt;Dashboard!$G$6,ABS(J2536)&gt;Dashboard!$H$6),"⚠ Vượt","")</f>
        <v/>
      </c>
      <c r="M2536">
        <f>IF(AND(A2536=Dashboard!$D$6,OR(Dashboard!$C$6="*",F2536=Dashboard!$C$6),L2536&lt;&gt;""),ABS(I2536)+ROW()/1000000000,0)</f>
        <v/>
      </c>
    </row>
    <row r="2537">
      <c r="A2537">
        <f>Data_thang!A2537</f>
        <v/>
      </c>
      <c r="B2537">
        <f>Data_thang!B2537</f>
        <v/>
      </c>
      <c r="C2537">
        <f>Data_thang!D2537</f>
        <v/>
      </c>
      <c r="D2537">
        <f>Data_thang!E2537</f>
        <v/>
      </c>
      <c r="E2537">
        <f>Data_thang!F2537</f>
        <v/>
      </c>
      <c r="F2537">
        <f>Data_thang!G2537</f>
        <v/>
      </c>
      <c r="G2537" s="29">
        <f>Data_thang!J2537-Data_thang!K2537</f>
        <v/>
      </c>
      <c r="H2537" s="29">
        <f>Data_thang!N2537</f>
        <v/>
      </c>
      <c r="I2537" s="29">
        <f>H2537-G2537</f>
        <v/>
      </c>
      <c r="J2537" s="30">
        <f>IF(H2537=0,IF(I2537=0,0,1),I2537/ABS(H2537))</f>
        <v/>
      </c>
      <c r="K2537" s="29">
        <f>H2537-(Data_thang!O2537-Data_thang!K2537)</f>
        <v/>
      </c>
      <c r="L2537">
        <f>IF(AND(ABS(I2537)&gt;Dashboard!$G$6,ABS(J2537)&gt;Dashboard!$H$6),"⚠ Vượt","")</f>
        <v/>
      </c>
      <c r="M2537">
        <f>IF(AND(A2537=Dashboard!$D$6,OR(Dashboard!$C$6="*",F2537=Dashboard!$C$6),L2537&lt;&gt;""),ABS(I2537)+ROW()/1000000000,0)</f>
        <v/>
      </c>
    </row>
    <row r="2538">
      <c r="A2538">
        <f>Data_thang!A2538</f>
        <v/>
      </c>
      <c r="B2538">
        <f>Data_thang!B2538</f>
        <v/>
      </c>
      <c r="C2538">
        <f>Data_thang!D2538</f>
        <v/>
      </c>
      <c r="D2538">
        <f>Data_thang!E2538</f>
        <v/>
      </c>
      <c r="E2538">
        <f>Data_thang!F2538</f>
        <v/>
      </c>
      <c r="F2538">
        <f>Data_thang!G2538</f>
        <v/>
      </c>
      <c r="G2538" s="29">
        <f>Data_thang!J2538-Data_thang!K2538</f>
        <v/>
      </c>
      <c r="H2538" s="29">
        <f>Data_thang!N2538</f>
        <v/>
      </c>
      <c r="I2538" s="29">
        <f>H2538-G2538</f>
        <v/>
      </c>
      <c r="J2538" s="30">
        <f>IF(H2538=0,IF(I2538=0,0,1),I2538/ABS(H2538))</f>
        <v/>
      </c>
      <c r="K2538" s="29">
        <f>H2538-(Data_thang!O2538-Data_thang!K2538)</f>
        <v/>
      </c>
      <c r="L2538">
        <f>IF(AND(ABS(I2538)&gt;Dashboard!$G$6,ABS(J2538)&gt;Dashboard!$H$6),"⚠ Vượt","")</f>
        <v/>
      </c>
      <c r="M2538">
        <f>IF(AND(A2538=Dashboard!$D$6,OR(Dashboard!$C$6="*",F2538=Dashboard!$C$6),L2538&lt;&gt;""),ABS(I2538)+ROW()/1000000000,0)</f>
        <v/>
      </c>
    </row>
    <row r="2539">
      <c r="A2539">
        <f>Data_thang!A2539</f>
        <v/>
      </c>
      <c r="B2539">
        <f>Data_thang!B2539</f>
        <v/>
      </c>
      <c r="C2539">
        <f>Data_thang!D2539</f>
        <v/>
      </c>
      <c r="D2539">
        <f>Data_thang!E2539</f>
        <v/>
      </c>
      <c r="E2539">
        <f>Data_thang!F2539</f>
        <v/>
      </c>
      <c r="F2539">
        <f>Data_thang!G2539</f>
        <v/>
      </c>
      <c r="G2539" s="29">
        <f>Data_thang!J2539-Data_thang!K2539</f>
        <v/>
      </c>
      <c r="H2539" s="29">
        <f>Data_thang!N2539</f>
        <v/>
      </c>
      <c r="I2539" s="29">
        <f>H2539-G2539</f>
        <v/>
      </c>
      <c r="J2539" s="30">
        <f>IF(H2539=0,IF(I2539=0,0,1),I2539/ABS(H2539))</f>
        <v/>
      </c>
      <c r="K2539" s="29">
        <f>H2539-(Data_thang!O2539-Data_thang!K2539)</f>
        <v/>
      </c>
      <c r="L2539">
        <f>IF(AND(ABS(I2539)&gt;Dashboard!$G$6,ABS(J2539)&gt;Dashboard!$H$6),"⚠ Vượt","")</f>
        <v/>
      </c>
      <c r="M2539">
        <f>IF(AND(A2539=Dashboard!$D$6,OR(Dashboard!$C$6="*",F2539=Dashboard!$C$6),L2539&lt;&gt;""),ABS(I2539)+ROW()/1000000000,0)</f>
        <v/>
      </c>
    </row>
    <row r="2540">
      <c r="A2540">
        <f>Data_thang!A2540</f>
        <v/>
      </c>
      <c r="B2540">
        <f>Data_thang!B2540</f>
        <v/>
      </c>
      <c r="C2540">
        <f>Data_thang!D2540</f>
        <v/>
      </c>
      <c r="D2540">
        <f>Data_thang!E2540</f>
        <v/>
      </c>
      <c r="E2540">
        <f>Data_thang!F2540</f>
        <v/>
      </c>
      <c r="F2540">
        <f>Data_thang!G2540</f>
        <v/>
      </c>
      <c r="G2540" s="29">
        <f>Data_thang!J2540-Data_thang!K2540</f>
        <v/>
      </c>
      <c r="H2540" s="29">
        <f>Data_thang!N2540</f>
        <v/>
      </c>
      <c r="I2540" s="29">
        <f>H2540-G2540</f>
        <v/>
      </c>
      <c r="J2540" s="30">
        <f>IF(H2540=0,IF(I2540=0,0,1),I2540/ABS(H2540))</f>
        <v/>
      </c>
      <c r="K2540" s="29">
        <f>H2540-(Data_thang!O2540-Data_thang!K2540)</f>
        <v/>
      </c>
      <c r="L2540">
        <f>IF(AND(ABS(I2540)&gt;Dashboard!$G$6,ABS(J2540)&gt;Dashboard!$H$6),"⚠ Vượt","")</f>
        <v/>
      </c>
      <c r="M2540">
        <f>IF(AND(A2540=Dashboard!$D$6,OR(Dashboard!$C$6="*",F2540=Dashboard!$C$6),L2540&lt;&gt;""),ABS(I2540)+ROW()/1000000000,0)</f>
        <v/>
      </c>
    </row>
    <row r="2541">
      <c r="A2541">
        <f>Data_thang!A2541</f>
        <v/>
      </c>
      <c r="B2541">
        <f>Data_thang!B2541</f>
        <v/>
      </c>
      <c r="C2541">
        <f>Data_thang!D2541</f>
        <v/>
      </c>
      <c r="D2541">
        <f>Data_thang!E2541</f>
        <v/>
      </c>
      <c r="E2541">
        <f>Data_thang!F2541</f>
        <v/>
      </c>
      <c r="F2541">
        <f>Data_thang!G2541</f>
        <v/>
      </c>
      <c r="G2541" s="29">
        <f>Data_thang!J2541-Data_thang!K2541</f>
        <v/>
      </c>
      <c r="H2541" s="29">
        <f>Data_thang!N2541</f>
        <v/>
      </c>
      <c r="I2541" s="29">
        <f>H2541-G2541</f>
        <v/>
      </c>
      <c r="J2541" s="30">
        <f>IF(H2541=0,IF(I2541=0,0,1),I2541/ABS(H2541))</f>
        <v/>
      </c>
      <c r="K2541" s="29">
        <f>H2541-(Data_thang!O2541-Data_thang!K2541)</f>
        <v/>
      </c>
      <c r="L2541">
        <f>IF(AND(ABS(I2541)&gt;Dashboard!$G$6,ABS(J2541)&gt;Dashboard!$H$6),"⚠ Vượt","")</f>
        <v/>
      </c>
      <c r="M2541">
        <f>IF(AND(A2541=Dashboard!$D$6,OR(Dashboard!$C$6="*",F2541=Dashboard!$C$6),L2541&lt;&gt;""),ABS(I2541)+ROW()/1000000000,0)</f>
        <v/>
      </c>
    </row>
    <row r="2542">
      <c r="A2542">
        <f>Data_thang!A2542</f>
        <v/>
      </c>
      <c r="B2542">
        <f>Data_thang!B2542</f>
        <v/>
      </c>
      <c r="C2542">
        <f>Data_thang!D2542</f>
        <v/>
      </c>
      <c r="D2542">
        <f>Data_thang!E2542</f>
        <v/>
      </c>
      <c r="E2542">
        <f>Data_thang!F2542</f>
        <v/>
      </c>
      <c r="F2542">
        <f>Data_thang!G2542</f>
        <v/>
      </c>
      <c r="G2542" s="29">
        <f>Data_thang!J2542-Data_thang!K2542</f>
        <v/>
      </c>
      <c r="H2542" s="29">
        <f>Data_thang!N2542</f>
        <v/>
      </c>
      <c r="I2542" s="29">
        <f>H2542-G2542</f>
        <v/>
      </c>
      <c r="J2542" s="30">
        <f>IF(H2542=0,IF(I2542=0,0,1),I2542/ABS(H2542))</f>
        <v/>
      </c>
      <c r="K2542" s="29">
        <f>H2542-(Data_thang!O2542-Data_thang!K2542)</f>
        <v/>
      </c>
      <c r="L2542">
        <f>IF(AND(ABS(I2542)&gt;Dashboard!$G$6,ABS(J2542)&gt;Dashboard!$H$6),"⚠ Vượt","")</f>
        <v/>
      </c>
      <c r="M2542">
        <f>IF(AND(A2542=Dashboard!$D$6,OR(Dashboard!$C$6="*",F2542=Dashboard!$C$6),L2542&lt;&gt;""),ABS(I2542)+ROW()/1000000000,0)</f>
        <v/>
      </c>
    </row>
    <row r="2543">
      <c r="A2543">
        <f>Data_thang!A2543</f>
        <v/>
      </c>
      <c r="B2543">
        <f>Data_thang!B2543</f>
        <v/>
      </c>
      <c r="C2543">
        <f>Data_thang!D2543</f>
        <v/>
      </c>
      <c r="D2543">
        <f>Data_thang!E2543</f>
        <v/>
      </c>
      <c r="E2543">
        <f>Data_thang!F2543</f>
        <v/>
      </c>
      <c r="F2543">
        <f>Data_thang!G2543</f>
        <v/>
      </c>
      <c r="G2543" s="29">
        <f>Data_thang!J2543-Data_thang!K2543</f>
        <v/>
      </c>
      <c r="H2543" s="29">
        <f>Data_thang!N2543</f>
        <v/>
      </c>
      <c r="I2543" s="29">
        <f>H2543-G2543</f>
        <v/>
      </c>
      <c r="J2543" s="30">
        <f>IF(H2543=0,IF(I2543=0,0,1),I2543/ABS(H2543))</f>
        <v/>
      </c>
      <c r="K2543" s="29">
        <f>H2543-(Data_thang!O2543-Data_thang!K2543)</f>
        <v/>
      </c>
      <c r="L2543">
        <f>IF(AND(ABS(I2543)&gt;Dashboard!$G$6,ABS(J2543)&gt;Dashboard!$H$6),"⚠ Vượt","")</f>
        <v/>
      </c>
      <c r="M2543">
        <f>IF(AND(A2543=Dashboard!$D$6,OR(Dashboard!$C$6="*",F2543=Dashboard!$C$6),L2543&lt;&gt;""),ABS(I2543)+ROW()/1000000000,0)</f>
        <v/>
      </c>
    </row>
    <row r="2544">
      <c r="A2544">
        <f>Data_thang!A2544</f>
        <v/>
      </c>
      <c r="B2544">
        <f>Data_thang!B2544</f>
        <v/>
      </c>
      <c r="C2544">
        <f>Data_thang!D2544</f>
        <v/>
      </c>
      <c r="D2544">
        <f>Data_thang!E2544</f>
        <v/>
      </c>
      <c r="E2544">
        <f>Data_thang!F2544</f>
        <v/>
      </c>
      <c r="F2544">
        <f>Data_thang!G2544</f>
        <v/>
      </c>
      <c r="G2544" s="29">
        <f>Data_thang!J2544-Data_thang!K2544</f>
        <v/>
      </c>
      <c r="H2544" s="29">
        <f>Data_thang!N2544</f>
        <v/>
      </c>
      <c r="I2544" s="29">
        <f>H2544-G2544</f>
        <v/>
      </c>
      <c r="J2544" s="30">
        <f>IF(H2544=0,IF(I2544=0,0,1),I2544/ABS(H2544))</f>
        <v/>
      </c>
      <c r="K2544" s="29">
        <f>H2544-(Data_thang!O2544-Data_thang!K2544)</f>
        <v/>
      </c>
      <c r="L2544">
        <f>IF(AND(ABS(I2544)&gt;Dashboard!$G$6,ABS(J2544)&gt;Dashboard!$H$6),"⚠ Vượt","")</f>
        <v/>
      </c>
      <c r="M2544">
        <f>IF(AND(A2544=Dashboard!$D$6,OR(Dashboard!$C$6="*",F2544=Dashboard!$C$6),L2544&lt;&gt;""),ABS(I2544)+ROW()/1000000000,0)</f>
        <v/>
      </c>
    </row>
    <row r="2545">
      <c r="A2545">
        <f>Data_thang!A2545</f>
        <v/>
      </c>
      <c r="B2545">
        <f>Data_thang!B2545</f>
        <v/>
      </c>
      <c r="C2545">
        <f>Data_thang!D2545</f>
        <v/>
      </c>
      <c r="D2545">
        <f>Data_thang!E2545</f>
        <v/>
      </c>
      <c r="E2545">
        <f>Data_thang!F2545</f>
        <v/>
      </c>
      <c r="F2545">
        <f>Data_thang!G2545</f>
        <v/>
      </c>
      <c r="G2545" s="29">
        <f>Data_thang!J2545-Data_thang!K2545</f>
        <v/>
      </c>
      <c r="H2545" s="29">
        <f>Data_thang!N2545</f>
        <v/>
      </c>
      <c r="I2545" s="29">
        <f>H2545-G2545</f>
        <v/>
      </c>
      <c r="J2545" s="30">
        <f>IF(H2545=0,IF(I2545=0,0,1),I2545/ABS(H2545))</f>
        <v/>
      </c>
      <c r="K2545" s="29">
        <f>H2545-(Data_thang!O2545-Data_thang!K2545)</f>
        <v/>
      </c>
      <c r="L2545">
        <f>IF(AND(ABS(I2545)&gt;Dashboard!$G$6,ABS(J2545)&gt;Dashboard!$H$6),"⚠ Vượt","")</f>
        <v/>
      </c>
      <c r="M2545">
        <f>IF(AND(A2545=Dashboard!$D$6,OR(Dashboard!$C$6="*",F2545=Dashboard!$C$6),L2545&lt;&gt;""),ABS(I2545)+ROW()/1000000000,0)</f>
        <v/>
      </c>
    </row>
    <row r="2546">
      <c r="A2546">
        <f>Data_thang!A2546</f>
        <v/>
      </c>
      <c r="B2546">
        <f>Data_thang!B2546</f>
        <v/>
      </c>
      <c r="C2546">
        <f>Data_thang!D2546</f>
        <v/>
      </c>
      <c r="D2546">
        <f>Data_thang!E2546</f>
        <v/>
      </c>
      <c r="E2546">
        <f>Data_thang!F2546</f>
        <v/>
      </c>
      <c r="F2546">
        <f>Data_thang!G2546</f>
        <v/>
      </c>
      <c r="G2546" s="29">
        <f>Data_thang!J2546-Data_thang!K2546</f>
        <v/>
      </c>
      <c r="H2546" s="29">
        <f>Data_thang!N2546</f>
        <v/>
      </c>
      <c r="I2546" s="29">
        <f>H2546-G2546</f>
        <v/>
      </c>
      <c r="J2546" s="30">
        <f>IF(H2546=0,IF(I2546=0,0,1),I2546/ABS(H2546))</f>
        <v/>
      </c>
      <c r="K2546" s="29">
        <f>H2546-(Data_thang!O2546-Data_thang!K2546)</f>
        <v/>
      </c>
      <c r="L2546">
        <f>IF(AND(ABS(I2546)&gt;Dashboard!$G$6,ABS(J2546)&gt;Dashboard!$H$6),"⚠ Vượt","")</f>
        <v/>
      </c>
      <c r="M2546">
        <f>IF(AND(A2546=Dashboard!$D$6,OR(Dashboard!$C$6="*",F2546=Dashboard!$C$6),L2546&lt;&gt;""),ABS(I2546)+ROW()/1000000000,0)</f>
        <v/>
      </c>
    </row>
    <row r="2547">
      <c r="A2547">
        <f>Data_thang!A2547</f>
        <v/>
      </c>
      <c r="B2547">
        <f>Data_thang!B2547</f>
        <v/>
      </c>
      <c r="C2547">
        <f>Data_thang!D2547</f>
        <v/>
      </c>
      <c r="D2547">
        <f>Data_thang!E2547</f>
        <v/>
      </c>
      <c r="E2547">
        <f>Data_thang!F2547</f>
        <v/>
      </c>
      <c r="F2547">
        <f>Data_thang!G2547</f>
        <v/>
      </c>
      <c r="G2547" s="29">
        <f>Data_thang!J2547-Data_thang!K2547</f>
        <v/>
      </c>
      <c r="H2547" s="29">
        <f>Data_thang!N2547</f>
        <v/>
      </c>
      <c r="I2547" s="29">
        <f>H2547-G2547</f>
        <v/>
      </c>
      <c r="J2547" s="30">
        <f>IF(H2547=0,IF(I2547=0,0,1),I2547/ABS(H2547))</f>
        <v/>
      </c>
      <c r="K2547" s="29">
        <f>H2547-(Data_thang!O2547-Data_thang!K2547)</f>
        <v/>
      </c>
      <c r="L2547">
        <f>IF(AND(ABS(I2547)&gt;Dashboard!$G$6,ABS(J2547)&gt;Dashboard!$H$6),"⚠ Vượt","")</f>
        <v/>
      </c>
      <c r="M2547">
        <f>IF(AND(A2547=Dashboard!$D$6,OR(Dashboard!$C$6="*",F2547=Dashboard!$C$6),L2547&lt;&gt;""),ABS(I2547)+ROW()/1000000000,0)</f>
        <v/>
      </c>
    </row>
    <row r="2548">
      <c r="A2548">
        <f>Data_thang!A2548</f>
        <v/>
      </c>
      <c r="B2548">
        <f>Data_thang!B2548</f>
        <v/>
      </c>
      <c r="C2548">
        <f>Data_thang!D2548</f>
        <v/>
      </c>
      <c r="D2548">
        <f>Data_thang!E2548</f>
        <v/>
      </c>
      <c r="E2548">
        <f>Data_thang!F2548</f>
        <v/>
      </c>
      <c r="F2548">
        <f>Data_thang!G2548</f>
        <v/>
      </c>
      <c r="G2548" s="29">
        <f>Data_thang!J2548-Data_thang!K2548</f>
        <v/>
      </c>
      <c r="H2548" s="29">
        <f>Data_thang!N2548</f>
        <v/>
      </c>
      <c r="I2548" s="29">
        <f>H2548-G2548</f>
        <v/>
      </c>
      <c r="J2548" s="30">
        <f>IF(H2548=0,IF(I2548=0,0,1),I2548/ABS(H2548))</f>
        <v/>
      </c>
      <c r="K2548" s="29">
        <f>H2548-(Data_thang!O2548-Data_thang!K2548)</f>
        <v/>
      </c>
      <c r="L2548">
        <f>IF(AND(ABS(I2548)&gt;Dashboard!$G$6,ABS(J2548)&gt;Dashboard!$H$6),"⚠ Vượt","")</f>
        <v/>
      </c>
      <c r="M2548">
        <f>IF(AND(A2548=Dashboard!$D$6,OR(Dashboard!$C$6="*",F2548=Dashboard!$C$6),L2548&lt;&gt;""),ABS(I2548)+ROW()/1000000000,0)</f>
        <v/>
      </c>
    </row>
    <row r="2549">
      <c r="A2549">
        <f>Data_thang!A2549</f>
        <v/>
      </c>
      <c r="B2549">
        <f>Data_thang!B2549</f>
        <v/>
      </c>
      <c r="C2549">
        <f>Data_thang!D2549</f>
        <v/>
      </c>
      <c r="D2549">
        <f>Data_thang!E2549</f>
        <v/>
      </c>
      <c r="E2549">
        <f>Data_thang!F2549</f>
        <v/>
      </c>
      <c r="F2549">
        <f>Data_thang!G2549</f>
        <v/>
      </c>
      <c r="G2549" s="29">
        <f>Data_thang!J2549-Data_thang!K2549</f>
        <v/>
      </c>
      <c r="H2549" s="29">
        <f>Data_thang!N2549</f>
        <v/>
      </c>
      <c r="I2549" s="29">
        <f>H2549-G2549</f>
        <v/>
      </c>
      <c r="J2549" s="30">
        <f>IF(H2549=0,IF(I2549=0,0,1),I2549/ABS(H2549))</f>
        <v/>
      </c>
      <c r="K2549" s="29">
        <f>H2549-(Data_thang!O2549-Data_thang!K2549)</f>
        <v/>
      </c>
      <c r="L2549">
        <f>IF(AND(ABS(I2549)&gt;Dashboard!$G$6,ABS(J2549)&gt;Dashboard!$H$6),"⚠ Vượt","")</f>
        <v/>
      </c>
      <c r="M2549">
        <f>IF(AND(A2549=Dashboard!$D$6,OR(Dashboard!$C$6="*",F2549=Dashboard!$C$6),L2549&lt;&gt;""),ABS(I2549)+ROW()/1000000000,0)</f>
        <v/>
      </c>
    </row>
    <row r="2550">
      <c r="A2550">
        <f>Data_thang!A2550</f>
        <v/>
      </c>
      <c r="B2550">
        <f>Data_thang!B2550</f>
        <v/>
      </c>
      <c r="C2550">
        <f>Data_thang!D2550</f>
        <v/>
      </c>
      <c r="D2550">
        <f>Data_thang!E2550</f>
        <v/>
      </c>
      <c r="E2550">
        <f>Data_thang!F2550</f>
        <v/>
      </c>
      <c r="F2550">
        <f>Data_thang!G2550</f>
        <v/>
      </c>
      <c r="G2550" s="29">
        <f>Data_thang!J2550-Data_thang!K2550</f>
        <v/>
      </c>
      <c r="H2550" s="29">
        <f>Data_thang!N2550</f>
        <v/>
      </c>
      <c r="I2550" s="29">
        <f>H2550-G2550</f>
        <v/>
      </c>
      <c r="J2550" s="30">
        <f>IF(H2550=0,IF(I2550=0,0,1),I2550/ABS(H2550))</f>
        <v/>
      </c>
      <c r="K2550" s="29">
        <f>H2550-(Data_thang!O2550-Data_thang!K2550)</f>
        <v/>
      </c>
      <c r="L2550">
        <f>IF(AND(ABS(I2550)&gt;Dashboard!$G$6,ABS(J2550)&gt;Dashboard!$H$6),"⚠ Vượt","")</f>
        <v/>
      </c>
      <c r="M2550">
        <f>IF(AND(A2550=Dashboard!$D$6,OR(Dashboard!$C$6="*",F2550=Dashboard!$C$6),L2550&lt;&gt;""),ABS(I2550)+ROW()/1000000000,0)</f>
        <v/>
      </c>
    </row>
    <row r="2551">
      <c r="A2551">
        <f>Data_thang!A2551</f>
        <v/>
      </c>
      <c r="B2551">
        <f>Data_thang!B2551</f>
        <v/>
      </c>
      <c r="C2551">
        <f>Data_thang!D2551</f>
        <v/>
      </c>
      <c r="D2551">
        <f>Data_thang!E2551</f>
        <v/>
      </c>
      <c r="E2551">
        <f>Data_thang!F2551</f>
        <v/>
      </c>
      <c r="F2551">
        <f>Data_thang!G2551</f>
        <v/>
      </c>
      <c r="G2551" s="29">
        <f>Data_thang!J2551-Data_thang!K2551</f>
        <v/>
      </c>
      <c r="H2551" s="29">
        <f>Data_thang!N2551</f>
        <v/>
      </c>
      <c r="I2551" s="29">
        <f>H2551-G2551</f>
        <v/>
      </c>
      <c r="J2551" s="30">
        <f>IF(H2551=0,IF(I2551=0,0,1),I2551/ABS(H2551))</f>
        <v/>
      </c>
      <c r="K2551" s="29">
        <f>H2551-(Data_thang!O2551-Data_thang!K2551)</f>
        <v/>
      </c>
      <c r="L2551">
        <f>IF(AND(ABS(I2551)&gt;Dashboard!$G$6,ABS(J2551)&gt;Dashboard!$H$6),"⚠ Vượt","")</f>
        <v/>
      </c>
      <c r="M2551">
        <f>IF(AND(A2551=Dashboard!$D$6,OR(Dashboard!$C$6="*",F2551=Dashboard!$C$6),L2551&lt;&gt;""),ABS(I2551)+ROW()/1000000000,0)</f>
        <v/>
      </c>
    </row>
    <row r="2552">
      <c r="A2552">
        <f>Data_thang!A2552</f>
        <v/>
      </c>
      <c r="B2552">
        <f>Data_thang!B2552</f>
        <v/>
      </c>
      <c r="C2552">
        <f>Data_thang!D2552</f>
        <v/>
      </c>
      <c r="D2552">
        <f>Data_thang!E2552</f>
        <v/>
      </c>
      <c r="E2552">
        <f>Data_thang!F2552</f>
        <v/>
      </c>
      <c r="F2552">
        <f>Data_thang!G2552</f>
        <v/>
      </c>
      <c r="G2552" s="29">
        <f>Data_thang!J2552-Data_thang!K2552</f>
        <v/>
      </c>
      <c r="H2552" s="29">
        <f>Data_thang!N2552</f>
        <v/>
      </c>
      <c r="I2552" s="29">
        <f>H2552-G2552</f>
        <v/>
      </c>
      <c r="J2552" s="30">
        <f>IF(H2552=0,IF(I2552=0,0,1),I2552/ABS(H2552))</f>
        <v/>
      </c>
      <c r="K2552" s="29">
        <f>H2552-(Data_thang!O2552-Data_thang!K2552)</f>
        <v/>
      </c>
      <c r="L2552">
        <f>IF(AND(ABS(I2552)&gt;Dashboard!$G$6,ABS(J2552)&gt;Dashboard!$H$6),"⚠ Vượt","")</f>
        <v/>
      </c>
      <c r="M2552">
        <f>IF(AND(A2552=Dashboard!$D$6,OR(Dashboard!$C$6="*",F2552=Dashboard!$C$6),L2552&lt;&gt;""),ABS(I2552)+ROW()/1000000000,0)</f>
        <v/>
      </c>
    </row>
    <row r="2553">
      <c r="A2553">
        <f>Data_thang!A2553</f>
        <v/>
      </c>
      <c r="B2553">
        <f>Data_thang!B2553</f>
        <v/>
      </c>
      <c r="C2553">
        <f>Data_thang!D2553</f>
        <v/>
      </c>
      <c r="D2553">
        <f>Data_thang!E2553</f>
        <v/>
      </c>
      <c r="E2553">
        <f>Data_thang!F2553</f>
        <v/>
      </c>
      <c r="F2553">
        <f>Data_thang!G2553</f>
        <v/>
      </c>
      <c r="G2553" s="29">
        <f>Data_thang!J2553-Data_thang!K2553</f>
        <v/>
      </c>
      <c r="H2553" s="29">
        <f>Data_thang!N2553</f>
        <v/>
      </c>
      <c r="I2553" s="29">
        <f>H2553-G2553</f>
        <v/>
      </c>
      <c r="J2553" s="30">
        <f>IF(H2553=0,IF(I2553=0,0,1),I2553/ABS(H2553))</f>
        <v/>
      </c>
      <c r="K2553" s="29">
        <f>H2553-(Data_thang!O2553-Data_thang!K2553)</f>
        <v/>
      </c>
      <c r="L2553">
        <f>IF(AND(ABS(I2553)&gt;Dashboard!$G$6,ABS(J2553)&gt;Dashboard!$H$6),"⚠ Vượt","")</f>
        <v/>
      </c>
      <c r="M2553">
        <f>IF(AND(A2553=Dashboard!$D$6,OR(Dashboard!$C$6="*",F2553=Dashboard!$C$6),L2553&lt;&gt;""),ABS(I2553)+ROW()/1000000000,0)</f>
        <v/>
      </c>
    </row>
    <row r="2554">
      <c r="A2554">
        <f>Data_thang!A2554</f>
        <v/>
      </c>
      <c r="B2554">
        <f>Data_thang!B2554</f>
        <v/>
      </c>
      <c r="C2554">
        <f>Data_thang!D2554</f>
        <v/>
      </c>
      <c r="D2554">
        <f>Data_thang!E2554</f>
        <v/>
      </c>
      <c r="E2554">
        <f>Data_thang!F2554</f>
        <v/>
      </c>
      <c r="F2554">
        <f>Data_thang!G2554</f>
        <v/>
      </c>
      <c r="G2554" s="29">
        <f>Data_thang!J2554-Data_thang!K2554</f>
        <v/>
      </c>
      <c r="H2554" s="29">
        <f>Data_thang!N2554</f>
        <v/>
      </c>
      <c r="I2554" s="29">
        <f>H2554-G2554</f>
        <v/>
      </c>
      <c r="J2554" s="30">
        <f>IF(H2554=0,IF(I2554=0,0,1),I2554/ABS(H2554))</f>
        <v/>
      </c>
      <c r="K2554" s="29">
        <f>H2554-(Data_thang!O2554-Data_thang!K2554)</f>
        <v/>
      </c>
      <c r="L2554">
        <f>IF(AND(ABS(I2554)&gt;Dashboard!$G$6,ABS(J2554)&gt;Dashboard!$H$6),"⚠ Vượt","")</f>
        <v/>
      </c>
      <c r="M2554">
        <f>IF(AND(A2554=Dashboard!$D$6,OR(Dashboard!$C$6="*",F2554=Dashboard!$C$6),L2554&lt;&gt;""),ABS(I2554)+ROW()/1000000000,0)</f>
        <v/>
      </c>
    </row>
    <row r="2555">
      <c r="A2555">
        <f>Data_thang!A2555</f>
        <v/>
      </c>
      <c r="B2555">
        <f>Data_thang!B2555</f>
        <v/>
      </c>
      <c r="C2555">
        <f>Data_thang!D2555</f>
        <v/>
      </c>
      <c r="D2555">
        <f>Data_thang!E2555</f>
        <v/>
      </c>
      <c r="E2555">
        <f>Data_thang!F2555</f>
        <v/>
      </c>
      <c r="F2555">
        <f>Data_thang!G2555</f>
        <v/>
      </c>
      <c r="G2555" s="29">
        <f>Data_thang!J2555-Data_thang!K2555</f>
        <v/>
      </c>
      <c r="H2555" s="29">
        <f>Data_thang!N2555</f>
        <v/>
      </c>
      <c r="I2555" s="29">
        <f>H2555-G2555</f>
        <v/>
      </c>
      <c r="J2555" s="30">
        <f>IF(H2555=0,IF(I2555=0,0,1),I2555/ABS(H2555))</f>
        <v/>
      </c>
      <c r="K2555" s="29">
        <f>H2555-(Data_thang!O2555-Data_thang!K2555)</f>
        <v/>
      </c>
      <c r="L2555">
        <f>IF(AND(ABS(I2555)&gt;Dashboard!$G$6,ABS(J2555)&gt;Dashboard!$H$6),"⚠ Vượt","")</f>
        <v/>
      </c>
      <c r="M2555">
        <f>IF(AND(A2555=Dashboard!$D$6,OR(Dashboard!$C$6="*",F2555=Dashboard!$C$6),L2555&lt;&gt;""),ABS(I2555)+ROW()/1000000000,0)</f>
        <v/>
      </c>
    </row>
    <row r="2556">
      <c r="A2556">
        <f>Data_thang!A2556</f>
        <v/>
      </c>
      <c r="B2556">
        <f>Data_thang!B2556</f>
        <v/>
      </c>
      <c r="C2556">
        <f>Data_thang!D2556</f>
        <v/>
      </c>
      <c r="D2556">
        <f>Data_thang!E2556</f>
        <v/>
      </c>
      <c r="E2556">
        <f>Data_thang!F2556</f>
        <v/>
      </c>
      <c r="F2556">
        <f>Data_thang!G2556</f>
        <v/>
      </c>
      <c r="G2556" s="29">
        <f>Data_thang!J2556-Data_thang!K2556</f>
        <v/>
      </c>
      <c r="H2556" s="29">
        <f>Data_thang!N2556</f>
        <v/>
      </c>
      <c r="I2556" s="29">
        <f>H2556-G2556</f>
        <v/>
      </c>
      <c r="J2556" s="30">
        <f>IF(H2556=0,IF(I2556=0,0,1),I2556/ABS(H2556))</f>
        <v/>
      </c>
      <c r="K2556" s="29">
        <f>H2556-(Data_thang!O2556-Data_thang!K2556)</f>
        <v/>
      </c>
      <c r="L2556">
        <f>IF(AND(ABS(I2556)&gt;Dashboard!$G$6,ABS(J2556)&gt;Dashboard!$H$6),"⚠ Vượt","")</f>
        <v/>
      </c>
      <c r="M2556">
        <f>IF(AND(A2556=Dashboard!$D$6,OR(Dashboard!$C$6="*",F2556=Dashboard!$C$6),L2556&lt;&gt;""),ABS(I2556)+ROW()/1000000000,0)</f>
        <v/>
      </c>
    </row>
    <row r="2557">
      <c r="A2557">
        <f>Data_thang!A2557</f>
        <v/>
      </c>
      <c r="B2557">
        <f>Data_thang!B2557</f>
        <v/>
      </c>
      <c r="C2557">
        <f>Data_thang!D2557</f>
        <v/>
      </c>
      <c r="D2557">
        <f>Data_thang!E2557</f>
        <v/>
      </c>
      <c r="E2557">
        <f>Data_thang!F2557</f>
        <v/>
      </c>
      <c r="F2557">
        <f>Data_thang!G2557</f>
        <v/>
      </c>
      <c r="G2557" s="29">
        <f>Data_thang!J2557-Data_thang!K2557</f>
        <v/>
      </c>
      <c r="H2557" s="29">
        <f>Data_thang!N2557</f>
        <v/>
      </c>
      <c r="I2557" s="29">
        <f>H2557-G2557</f>
        <v/>
      </c>
      <c r="J2557" s="30">
        <f>IF(H2557=0,IF(I2557=0,0,1),I2557/ABS(H2557))</f>
        <v/>
      </c>
      <c r="K2557" s="29">
        <f>H2557-(Data_thang!O2557-Data_thang!K2557)</f>
        <v/>
      </c>
      <c r="L2557">
        <f>IF(AND(ABS(I2557)&gt;Dashboard!$G$6,ABS(J2557)&gt;Dashboard!$H$6),"⚠ Vượt","")</f>
        <v/>
      </c>
      <c r="M2557">
        <f>IF(AND(A2557=Dashboard!$D$6,OR(Dashboard!$C$6="*",F2557=Dashboard!$C$6),L2557&lt;&gt;""),ABS(I2557)+ROW()/1000000000,0)</f>
        <v/>
      </c>
    </row>
    <row r="2558">
      <c r="A2558">
        <f>Data_thang!A2558</f>
        <v/>
      </c>
      <c r="B2558">
        <f>Data_thang!B2558</f>
        <v/>
      </c>
      <c r="C2558">
        <f>Data_thang!D2558</f>
        <v/>
      </c>
      <c r="D2558">
        <f>Data_thang!E2558</f>
        <v/>
      </c>
      <c r="E2558">
        <f>Data_thang!F2558</f>
        <v/>
      </c>
      <c r="F2558">
        <f>Data_thang!G2558</f>
        <v/>
      </c>
      <c r="G2558" s="29">
        <f>Data_thang!J2558-Data_thang!K2558</f>
        <v/>
      </c>
      <c r="H2558" s="29">
        <f>Data_thang!N2558</f>
        <v/>
      </c>
      <c r="I2558" s="29">
        <f>H2558-G2558</f>
        <v/>
      </c>
      <c r="J2558" s="30">
        <f>IF(H2558=0,IF(I2558=0,0,1),I2558/ABS(H2558))</f>
        <v/>
      </c>
      <c r="K2558" s="29">
        <f>H2558-(Data_thang!O2558-Data_thang!K2558)</f>
        <v/>
      </c>
      <c r="L2558">
        <f>IF(AND(ABS(I2558)&gt;Dashboard!$G$6,ABS(J2558)&gt;Dashboard!$H$6),"⚠ Vượt","")</f>
        <v/>
      </c>
      <c r="M2558">
        <f>IF(AND(A2558=Dashboard!$D$6,OR(Dashboard!$C$6="*",F2558=Dashboard!$C$6),L2558&lt;&gt;""),ABS(I2558)+ROW()/1000000000,0)</f>
        <v/>
      </c>
    </row>
    <row r="2559">
      <c r="A2559">
        <f>Data_thang!A2559</f>
        <v/>
      </c>
      <c r="B2559">
        <f>Data_thang!B2559</f>
        <v/>
      </c>
      <c r="C2559">
        <f>Data_thang!D2559</f>
        <v/>
      </c>
      <c r="D2559">
        <f>Data_thang!E2559</f>
        <v/>
      </c>
      <c r="E2559">
        <f>Data_thang!F2559</f>
        <v/>
      </c>
      <c r="F2559">
        <f>Data_thang!G2559</f>
        <v/>
      </c>
      <c r="G2559" s="29">
        <f>Data_thang!J2559-Data_thang!K2559</f>
        <v/>
      </c>
      <c r="H2559" s="29">
        <f>Data_thang!N2559</f>
        <v/>
      </c>
      <c r="I2559" s="29">
        <f>H2559-G2559</f>
        <v/>
      </c>
      <c r="J2559" s="30">
        <f>IF(H2559=0,IF(I2559=0,0,1),I2559/ABS(H2559))</f>
        <v/>
      </c>
      <c r="K2559" s="29">
        <f>H2559-(Data_thang!O2559-Data_thang!K2559)</f>
        <v/>
      </c>
      <c r="L2559">
        <f>IF(AND(ABS(I2559)&gt;Dashboard!$G$6,ABS(J2559)&gt;Dashboard!$H$6),"⚠ Vượt","")</f>
        <v/>
      </c>
      <c r="M2559">
        <f>IF(AND(A2559=Dashboard!$D$6,OR(Dashboard!$C$6="*",F2559=Dashboard!$C$6),L2559&lt;&gt;""),ABS(I2559)+ROW()/1000000000,0)</f>
        <v/>
      </c>
    </row>
    <row r="2560">
      <c r="A2560">
        <f>Data_thang!A2560</f>
        <v/>
      </c>
      <c r="B2560">
        <f>Data_thang!B2560</f>
        <v/>
      </c>
      <c r="C2560">
        <f>Data_thang!D2560</f>
        <v/>
      </c>
      <c r="D2560">
        <f>Data_thang!E2560</f>
        <v/>
      </c>
      <c r="E2560">
        <f>Data_thang!F2560</f>
        <v/>
      </c>
      <c r="F2560">
        <f>Data_thang!G2560</f>
        <v/>
      </c>
      <c r="G2560" s="29">
        <f>Data_thang!J2560-Data_thang!K2560</f>
        <v/>
      </c>
      <c r="H2560" s="29">
        <f>Data_thang!N2560</f>
        <v/>
      </c>
      <c r="I2560" s="29">
        <f>H2560-G2560</f>
        <v/>
      </c>
      <c r="J2560" s="30">
        <f>IF(H2560=0,IF(I2560=0,0,1),I2560/ABS(H2560))</f>
        <v/>
      </c>
      <c r="K2560" s="29">
        <f>H2560-(Data_thang!O2560-Data_thang!K2560)</f>
        <v/>
      </c>
      <c r="L2560">
        <f>IF(AND(ABS(I2560)&gt;Dashboard!$G$6,ABS(J2560)&gt;Dashboard!$H$6),"⚠ Vượt","")</f>
        <v/>
      </c>
      <c r="M2560">
        <f>IF(AND(A2560=Dashboard!$D$6,OR(Dashboard!$C$6="*",F2560=Dashboard!$C$6),L2560&lt;&gt;""),ABS(I2560)+ROW()/1000000000,0)</f>
        <v/>
      </c>
    </row>
    <row r="2561">
      <c r="A2561">
        <f>Data_thang!A2561</f>
        <v/>
      </c>
      <c r="B2561">
        <f>Data_thang!B2561</f>
        <v/>
      </c>
      <c r="C2561">
        <f>Data_thang!D2561</f>
        <v/>
      </c>
      <c r="D2561">
        <f>Data_thang!E2561</f>
        <v/>
      </c>
      <c r="E2561">
        <f>Data_thang!F2561</f>
        <v/>
      </c>
      <c r="F2561">
        <f>Data_thang!G2561</f>
        <v/>
      </c>
      <c r="G2561" s="29">
        <f>Data_thang!J2561-Data_thang!K2561</f>
        <v/>
      </c>
      <c r="H2561" s="29">
        <f>Data_thang!N2561</f>
        <v/>
      </c>
      <c r="I2561" s="29">
        <f>H2561-G2561</f>
        <v/>
      </c>
      <c r="J2561" s="30">
        <f>IF(H2561=0,IF(I2561=0,0,1),I2561/ABS(H2561))</f>
        <v/>
      </c>
      <c r="K2561" s="29">
        <f>H2561-(Data_thang!O2561-Data_thang!K2561)</f>
        <v/>
      </c>
      <c r="L2561">
        <f>IF(AND(ABS(I2561)&gt;Dashboard!$G$6,ABS(J2561)&gt;Dashboard!$H$6),"⚠ Vượt","")</f>
        <v/>
      </c>
      <c r="M2561">
        <f>IF(AND(A2561=Dashboard!$D$6,OR(Dashboard!$C$6="*",F2561=Dashboard!$C$6),L2561&lt;&gt;""),ABS(I2561)+ROW()/1000000000,0)</f>
        <v/>
      </c>
    </row>
    <row r="2562">
      <c r="A2562">
        <f>Data_thang!A2562</f>
        <v/>
      </c>
      <c r="B2562">
        <f>Data_thang!B2562</f>
        <v/>
      </c>
      <c r="C2562">
        <f>Data_thang!D2562</f>
        <v/>
      </c>
      <c r="D2562">
        <f>Data_thang!E2562</f>
        <v/>
      </c>
      <c r="E2562">
        <f>Data_thang!F2562</f>
        <v/>
      </c>
      <c r="F2562">
        <f>Data_thang!G2562</f>
        <v/>
      </c>
      <c r="G2562" s="29">
        <f>Data_thang!J2562-Data_thang!K2562</f>
        <v/>
      </c>
      <c r="H2562" s="29">
        <f>Data_thang!N2562</f>
        <v/>
      </c>
      <c r="I2562" s="29">
        <f>H2562-G2562</f>
        <v/>
      </c>
      <c r="J2562" s="30">
        <f>IF(H2562=0,IF(I2562=0,0,1),I2562/ABS(H2562))</f>
        <v/>
      </c>
      <c r="K2562" s="29">
        <f>H2562-(Data_thang!O2562-Data_thang!K2562)</f>
        <v/>
      </c>
      <c r="L2562">
        <f>IF(AND(ABS(I2562)&gt;Dashboard!$G$6,ABS(J2562)&gt;Dashboard!$H$6),"⚠ Vượt","")</f>
        <v/>
      </c>
      <c r="M2562">
        <f>IF(AND(A2562=Dashboard!$D$6,OR(Dashboard!$C$6="*",F2562=Dashboard!$C$6),L2562&lt;&gt;""),ABS(I2562)+ROW()/1000000000,0)</f>
        <v/>
      </c>
    </row>
    <row r="2563">
      <c r="A2563">
        <f>Data_thang!A2563</f>
        <v/>
      </c>
      <c r="B2563">
        <f>Data_thang!B2563</f>
        <v/>
      </c>
      <c r="C2563">
        <f>Data_thang!D2563</f>
        <v/>
      </c>
      <c r="D2563">
        <f>Data_thang!E2563</f>
        <v/>
      </c>
      <c r="E2563">
        <f>Data_thang!F2563</f>
        <v/>
      </c>
      <c r="F2563">
        <f>Data_thang!G2563</f>
        <v/>
      </c>
      <c r="G2563" s="29">
        <f>Data_thang!J2563-Data_thang!K2563</f>
        <v/>
      </c>
      <c r="H2563" s="29">
        <f>Data_thang!N2563</f>
        <v/>
      </c>
      <c r="I2563" s="29">
        <f>H2563-G2563</f>
        <v/>
      </c>
      <c r="J2563" s="30">
        <f>IF(H2563=0,IF(I2563=0,0,1),I2563/ABS(H2563))</f>
        <v/>
      </c>
      <c r="K2563" s="29">
        <f>H2563-(Data_thang!O2563-Data_thang!K2563)</f>
        <v/>
      </c>
      <c r="L2563">
        <f>IF(AND(ABS(I2563)&gt;Dashboard!$G$6,ABS(J2563)&gt;Dashboard!$H$6),"⚠ Vượt","")</f>
        <v/>
      </c>
      <c r="M2563">
        <f>IF(AND(A2563=Dashboard!$D$6,OR(Dashboard!$C$6="*",F2563=Dashboard!$C$6),L2563&lt;&gt;""),ABS(I2563)+ROW()/1000000000,0)</f>
        <v/>
      </c>
    </row>
    <row r="2564">
      <c r="A2564">
        <f>Data_thang!A2564</f>
        <v/>
      </c>
      <c r="B2564">
        <f>Data_thang!B2564</f>
        <v/>
      </c>
      <c r="C2564">
        <f>Data_thang!D2564</f>
        <v/>
      </c>
      <c r="D2564">
        <f>Data_thang!E2564</f>
        <v/>
      </c>
      <c r="E2564">
        <f>Data_thang!F2564</f>
        <v/>
      </c>
      <c r="F2564">
        <f>Data_thang!G2564</f>
        <v/>
      </c>
      <c r="G2564" s="29">
        <f>Data_thang!J2564-Data_thang!K2564</f>
        <v/>
      </c>
      <c r="H2564" s="29">
        <f>Data_thang!N2564</f>
        <v/>
      </c>
      <c r="I2564" s="29">
        <f>H2564-G2564</f>
        <v/>
      </c>
      <c r="J2564" s="30">
        <f>IF(H2564=0,IF(I2564=0,0,1),I2564/ABS(H2564))</f>
        <v/>
      </c>
      <c r="K2564" s="29">
        <f>H2564-(Data_thang!O2564-Data_thang!K2564)</f>
        <v/>
      </c>
      <c r="L2564">
        <f>IF(AND(ABS(I2564)&gt;Dashboard!$G$6,ABS(J2564)&gt;Dashboard!$H$6),"⚠ Vượt","")</f>
        <v/>
      </c>
      <c r="M2564">
        <f>IF(AND(A2564=Dashboard!$D$6,OR(Dashboard!$C$6="*",F2564=Dashboard!$C$6),L2564&lt;&gt;""),ABS(I2564)+ROW()/1000000000,0)</f>
        <v/>
      </c>
    </row>
    <row r="2565">
      <c r="A2565">
        <f>Data_thang!A2565</f>
        <v/>
      </c>
      <c r="B2565">
        <f>Data_thang!B2565</f>
        <v/>
      </c>
      <c r="C2565">
        <f>Data_thang!D2565</f>
        <v/>
      </c>
      <c r="D2565">
        <f>Data_thang!E2565</f>
        <v/>
      </c>
      <c r="E2565">
        <f>Data_thang!F2565</f>
        <v/>
      </c>
      <c r="F2565">
        <f>Data_thang!G2565</f>
        <v/>
      </c>
      <c r="G2565" s="29">
        <f>Data_thang!J2565-Data_thang!K2565</f>
        <v/>
      </c>
      <c r="H2565" s="29">
        <f>Data_thang!N2565</f>
        <v/>
      </c>
      <c r="I2565" s="29">
        <f>H2565-G2565</f>
        <v/>
      </c>
      <c r="J2565" s="30">
        <f>IF(H2565=0,IF(I2565=0,0,1),I2565/ABS(H2565))</f>
        <v/>
      </c>
      <c r="K2565" s="29">
        <f>H2565-(Data_thang!O2565-Data_thang!K2565)</f>
        <v/>
      </c>
      <c r="L2565">
        <f>IF(AND(ABS(I2565)&gt;Dashboard!$G$6,ABS(J2565)&gt;Dashboard!$H$6),"⚠ Vượt","")</f>
        <v/>
      </c>
      <c r="M2565">
        <f>IF(AND(A2565=Dashboard!$D$6,OR(Dashboard!$C$6="*",F2565=Dashboard!$C$6),L2565&lt;&gt;""),ABS(I2565)+ROW()/1000000000,0)</f>
        <v/>
      </c>
    </row>
    <row r="2566">
      <c r="A2566">
        <f>Data_thang!A2566</f>
        <v/>
      </c>
      <c r="B2566">
        <f>Data_thang!B2566</f>
        <v/>
      </c>
      <c r="C2566">
        <f>Data_thang!D2566</f>
        <v/>
      </c>
      <c r="D2566">
        <f>Data_thang!E2566</f>
        <v/>
      </c>
      <c r="E2566">
        <f>Data_thang!F2566</f>
        <v/>
      </c>
      <c r="F2566">
        <f>Data_thang!G2566</f>
        <v/>
      </c>
      <c r="G2566" s="29">
        <f>Data_thang!J2566-Data_thang!K2566</f>
        <v/>
      </c>
      <c r="H2566" s="29">
        <f>Data_thang!N2566</f>
        <v/>
      </c>
      <c r="I2566" s="29">
        <f>H2566-G2566</f>
        <v/>
      </c>
      <c r="J2566" s="30">
        <f>IF(H2566=0,IF(I2566=0,0,1),I2566/ABS(H2566))</f>
        <v/>
      </c>
      <c r="K2566" s="29">
        <f>H2566-(Data_thang!O2566-Data_thang!K2566)</f>
        <v/>
      </c>
      <c r="L2566">
        <f>IF(AND(ABS(I2566)&gt;Dashboard!$G$6,ABS(J2566)&gt;Dashboard!$H$6),"⚠ Vượt","")</f>
        <v/>
      </c>
      <c r="M2566">
        <f>IF(AND(A2566=Dashboard!$D$6,OR(Dashboard!$C$6="*",F2566=Dashboard!$C$6),L2566&lt;&gt;""),ABS(I2566)+ROW()/1000000000,0)</f>
        <v/>
      </c>
    </row>
    <row r="2567">
      <c r="A2567">
        <f>Data_thang!A2567</f>
        <v/>
      </c>
      <c r="B2567">
        <f>Data_thang!B2567</f>
        <v/>
      </c>
      <c r="C2567">
        <f>Data_thang!D2567</f>
        <v/>
      </c>
      <c r="D2567">
        <f>Data_thang!E2567</f>
        <v/>
      </c>
      <c r="E2567">
        <f>Data_thang!F2567</f>
        <v/>
      </c>
      <c r="F2567">
        <f>Data_thang!G2567</f>
        <v/>
      </c>
      <c r="G2567" s="29">
        <f>Data_thang!J2567-Data_thang!K2567</f>
        <v/>
      </c>
      <c r="H2567" s="29">
        <f>Data_thang!N2567</f>
        <v/>
      </c>
      <c r="I2567" s="29">
        <f>H2567-G2567</f>
        <v/>
      </c>
      <c r="J2567" s="30">
        <f>IF(H2567=0,IF(I2567=0,0,1),I2567/ABS(H2567))</f>
        <v/>
      </c>
      <c r="K2567" s="29">
        <f>H2567-(Data_thang!O2567-Data_thang!K2567)</f>
        <v/>
      </c>
      <c r="L2567">
        <f>IF(AND(ABS(I2567)&gt;Dashboard!$G$6,ABS(J2567)&gt;Dashboard!$H$6),"⚠ Vượt","")</f>
        <v/>
      </c>
      <c r="M2567">
        <f>IF(AND(A2567=Dashboard!$D$6,OR(Dashboard!$C$6="*",F2567=Dashboard!$C$6),L2567&lt;&gt;""),ABS(I2567)+ROW()/1000000000,0)</f>
        <v/>
      </c>
    </row>
    <row r="2568">
      <c r="A2568">
        <f>Data_thang!A2568</f>
        <v/>
      </c>
      <c r="B2568">
        <f>Data_thang!B2568</f>
        <v/>
      </c>
      <c r="C2568">
        <f>Data_thang!D2568</f>
        <v/>
      </c>
      <c r="D2568">
        <f>Data_thang!E2568</f>
        <v/>
      </c>
      <c r="E2568">
        <f>Data_thang!F2568</f>
        <v/>
      </c>
      <c r="F2568">
        <f>Data_thang!G2568</f>
        <v/>
      </c>
      <c r="G2568" s="29">
        <f>Data_thang!J2568-Data_thang!K2568</f>
        <v/>
      </c>
      <c r="H2568" s="29">
        <f>Data_thang!N2568</f>
        <v/>
      </c>
      <c r="I2568" s="29">
        <f>H2568-G2568</f>
        <v/>
      </c>
      <c r="J2568" s="30">
        <f>IF(H2568=0,IF(I2568=0,0,1),I2568/ABS(H2568))</f>
        <v/>
      </c>
      <c r="K2568" s="29">
        <f>H2568-(Data_thang!O2568-Data_thang!K2568)</f>
        <v/>
      </c>
      <c r="L2568">
        <f>IF(AND(ABS(I2568)&gt;Dashboard!$G$6,ABS(J2568)&gt;Dashboard!$H$6),"⚠ Vượt","")</f>
        <v/>
      </c>
      <c r="M2568">
        <f>IF(AND(A2568=Dashboard!$D$6,OR(Dashboard!$C$6="*",F2568=Dashboard!$C$6),L2568&lt;&gt;""),ABS(I2568)+ROW()/1000000000,0)</f>
        <v/>
      </c>
    </row>
    <row r="2569">
      <c r="A2569">
        <f>Data_thang!A2569</f>
        <v/>
      </c>
      <c r="B2569">
        <f>Data_thang!B2569</f>
        <v/>
      </c>
      <c r="C2569">
        <f>Data_thang!D2569</f>
        <v/>
      </c>
      <c r="D2569">
        <f>Data_thang!E2569</f>
        <v/>
      </c>
      <c r="E2569">
        <f>Data_thang!F2569</f>
        <v/>
      </c>
      <c r="F2569">
        <f>Data_thang!G2569</f>
        <v/>
      </c>
      <c r="G2569" s="29">
        <f>Data_thang!J2569-Data_thang!K2569</f>
        <v/>
      </c>
      <c r="H2569" s="29">
        <f>Data_thang!N2569</f>
        <v/>
      </c>
      <c r="I2569" s="29">
        <f>H2569-G2569</f>
        <v/>
      </c>
      <c r="J2569" s="30">
        <f>IF(H2569=0,IF(I2569=0,0,1),I2569/ABS(H2569))</f>
        <v/>
      </c>
      <c r="K2569" s="29">
        <f>H2569-(Data_thang!O2569-Data_thang!K2569)</f>
        <v/>
      </c>
      <c r="L2569">
        <f>IF(AND(ABS(I2569)&gt;Dashboard!$G$6,ABS(J2569)&gt;Dashboard!$H$6),"⚠ Vượt","")</f>
        <v/>
      </c>
      <c r="M2569">
        <f>IF(AND(A2569=Dashboard!$D$6,OR(Dashboard!$C$6="*",F2569=Dashboard!$C$6),L2569&lt;&gt;""),ABS(I2569)+ROW()/1000000000,0)</f>
        <v/>
      </c>
    </row>
    <row r="2570">
      <c r="A2570">
        <f>Data_thang!A2570</f>
        <v/>
      </c>
      <c r="B2570">
        <f>Data_thang!B2570</f>
        <v/>
      </c>
      <c r="C2570">
        <f>Data_thang!D2570</f>
        <v/>
      </c>
      <c r="D2570">
        <f>Data_thang!E2570</f>
        <v/>
      </c>
      <c r="E2570">
        <f>Data_thang!F2570</f>
        <v/>
      </c>
      <c r="F2570">
        <f>Data_thang!G2570</f>
        <v/>
      </c>
      <c r="G2570" s="29">
        <f>Data_thang!J2570-Data_thang!K2570</f>
        <v/>
      </c>
      <c r="H2570" s="29">
        <f>Data_thang!N2570</f>
        <v/>
      </c>
      <c r="I2570" s="29">
        <f>H2570-G2570</f>
        <v/>
      </c>
      <c r="J2570" s="30">
        <f>IF(H2570=0,IF(I2570=0,0,1),I2570/ABS(H2570))</f>
        <v/>
      </c>
      <c r="K2570" s="29">
        <f>H2570-(Data_thang!O2570-Data_thang!K2570)</f>
        <v/>
      </c>
      <c r="L2570">
        <f>IF(AND(ABS(I2570)&gt;Dashboard!$G$6,ABS(J2570)&gt;Dashboard!$H$6),"⚠ Vượt","")</f>
        <v/>
      </c>
      <c r="M2570">
        <f>IF(AND(A2570=Dashboard!$D$6,OR(Dashboard!$C$6="*",F2570=Dashboard!$C$6),L2570&lt;&gt;""),ABS(I2570)+ROW()/1000000000,0)</f>
        <v/>
      </c>
    </row>
    <row r="2571">
      <c r="A2571">
        <f>Data_thang!A2571</f>
        <v/>
      </c>
      <c r="B2571">
        <f>Data_thang!B2571</f>
        <v/>
      </c>
      <c r="C2571">
        <f>Data_thang!D2571</f>
        <v/>
      </c>
      <c r="D2571">
        <f>Data_thang!E2571</f>
        <v/>
      </c>
      <c r="E2571">
        <f>Data_thang!F2571</f>
        <v/>
      </c>
      <c r="F2571">
        <f>Data_thang!G2571</f>
        <v/>
      </c>
      <c r="G2571" s="29">
        <f>Data_thang!J2571-Data_thang!K2571</f>
        <v/>
      </c>
      <c r="H2571" s="29">
        <f>Data_thang!N2571</f>
        <v/>
      </c>
      <c r="I2571" s="29">
        <f>H2571-G2571</f>
        <v/>
      </c>
      <c r="J2571" s="30">
        <f>IF(H2571=0,IF(I2571=0,0,1),I2571/ABS(H2571))</f>
        <v/>
      </c>
      <c r="K2571" s="29">
        <f>H2571-(Data_thang!O2571-Data_thang!K2571)</f>
        <v/>
      </c>
      <c r="L2571">
        <f>IF(AND(ABS(I2571)&gt;Dashboard!$G$6,ABS(J2571)&gt;Dashboard!$H$6),"⚠ Vượt","")</f>
        <v/>
      </c>
      <c r="M2571">
        <f>IF(AND(A2571=Dashboard!$D$6,OR(Dashboard!$C$6="*",F2571=Dashboard!$C$6),L2571&lt;&gt;""),ABS(I2571)+ROW()/1000000000,0)</f>
        <v/>
      </c>
    </row>
    <row r="2572">
      <c r="A2572">
        <f>Data_thang!A2572</f>
        <v/>
      </c>
      <c r="B2572">
        <f>Data_thang!B2572</f>
        <v/>
      </c>
      <c r="C2572">
        <f>Data_thang!D2572</f>
        <v/>
      </c>
      <c r="D2572">
        <f>Data_thang!E2572</f>
        <v/>
      </c>
      <c r="E2572">
        <f>Data_thang!F2572</f>
        <v/>
      </c>
      <c r="F2572">
        <f>Data_thang!G2572</f>
        <v/>
      </c>
      <c r="G2572" s="29">
        <f>Data_thang!J2572-Data_thang!K2572</f>
        <v/>
      </c>
      <c r="H2572" s="29">
        <f>Data_thang!N2572</f>
        <v/>
      </c>
      <c r="I2572" s="29">
        <f>H2572-G2572</f>
        <v/>
      </c>
      <c r="J2572" s="30">
        <f>IF(H2572=0,IF(I2572=0,0,1),I2572/ABS(H2572))</f>
        <v/>
      </c>
      <c r="K2572" s="29">
        <f>H2572-(Data_thang!O2572-Data_thang!K2572)</f>
        <v/>
      </c>
      <c r="L2572">
        <f>IF(AND(ABS(I2572)&gt;Dashboard!$G$6,ABS(J2572)&gt;Dashboard!$H$6),"⚠ Vượt","")</f>
        <v/>
      </c>
      <c r="M2572">
        <f>IF(AND(A2572=Dashboard!$D$6,OR(Dashboard!$C$6="*",F2572=Dashboard!$C$6),L2572&lt;&gt;""),ABS(I2572)+ROW()/1000000000,0)</f>
        <v/>
      </c>
    </row>
    <row r="2573">
      <c r="A2573">
        <f>Data_thang!A2573</f>
        <v/>
      </c>
      <c r="B2573">
        <f>Data_thang!B2573</f>
        <v/>
      </c>
      <c r="C2573">
        <f>Data_thang!D2573</f>
        <v/>
      </c>
      <c r="D2573">
        <f>Data_thang!E2573</f>
        <v/>
      </c>
      <c r="E2573">
        <f>Data_thang!F2573</f>
        <v/>
      </c>
      <c r="F2573">
        <f>Data_thang!G2573</f>
        <v/>
      </c>
      <c r="G2573" s="29">
        <f>Data_thang!J2573-Data_thang!K2573</f>
        <v/>
      </c>
      <c r="H2573" s="29">
        <f>Data_thang!N2573</f>
        <v/>
      </c>
      <c r="I2573" s="29">
        <f>H2573-G2573</f>
        <v/>
      </c>
      <c r="J2573" s="30">
        <f>IF(H2573=0,IF(I2573=0,0,1),I2573/ABS(H2573))</f>
        <v/>
      </c>
      <c r="K2573" s="29">
        <f>H2573-(Data_thang!O2573-Data_thang!K2573)</f>
        <v/>
      </c>
      <c r="L2573">
        <f>IF(AND(ABS(I2573)&gt;Dashboard!$G$6,ABS(J2573)&gt;Dashboard!$H$6),"⚠ Vượt","")</f>
        <v/>
      </c>
      <c r="M2573">
        <f>IF(AND(A2573=Dashboard!$D$6,OR(Dashboard!$C$6="*",F2573=Dashboard!$C$6),L2573&lt;&gt;""),ABS(I2573)+ROW()/1000000000,0)</f>
        <v/>
      </c>
    </row>
    <row r="2574">
      <c r="A2574">
        <f>Data_thang!A2574</f>
        <v/>
      </c>
      <c r="B2574">
        <f>Data_thang!B2574</f>
        <v/>
      </c>
      <c r="C2574">
        <f>Data_thang!D2574</f>
        <v/>
      </c>
      <c r="D2574">
        <f>Data_thang!E2574</f>
        <v/>
      </c>
      <c r="E2574">
        <f>Data_thang!F2574</f>
        <v/>
      </c>
      <c r="F2574">
        <f>Data_thang!G2574</f>
        <v/>
      </c>
      <c r="G2574" s="29">
        <f>Data_thang!J2574-Data_thang!K2574</f>
        <v/>
      </c>
      <c r="H2574" s="29">
        <f>Data_thang!N2574</f>
        <v/>
      </c>
      <c r="I2574" s="29">
        <f>H2574-G2574</f>
        <v/>
      </c>
      <c r="J2574" s="30">
        <f>IF(H2574=0,IF(I2574=0,0,1),I2574/ABS(H2574))</f>
        <v/>
      </c>
      <c r="K2574" s="29">
        <f>H2574-(Data_thang!O2574-Data_thang!K2574)</f>
        <v/>
      </c>
      <c r="L2574">
        <f>IF(AND(ABS(I2574)&gt;Dashboard!$G$6,ABS(J2574)&gt;Dashboard!$H$6),"⚠ Vượt","")</f>
        <v/>
      </c>
      <c r="M2574">
        <f>IF(AND(A2574=Dashboard!$D$6,OR(Dashboard!$C$6="*",F2574=Dashboard!$C$6),L2574&lt;&gt;""),ABS(I2574)+ROW()/1000000000,0)</f>
        <v/>
      </c>
    </row>
    <row r="2575">
      <c r="A2575">
        <f>Data_thang!A2575</f>
        <v/>
      </c>
      <c r="B2575">
        <f>Data_thang!B2575</f>
        <v/>
      </c>
      <c r="C2575">
        <f>Data_thang!D2575</f>
        <v/>
      </c>
      <c r="D2575">
        <f>Data_thang!E2575</f>
        <v/>
      </c>
      <c r="E2575">
        <f>Data_thang!F2575</f>
        <v/>
      </c>
      <c r="F2575">
        <f>Data_thang!G2575</f>
        <v/>
      </c>
      <c r="G2575" s="29">
        <f>Data_thang!J2575-Data_thang!K2575</f>
        <v/>
      </c>
      <c r="H2575" s="29">
        <f>Data_thang!N2575</f>
        <v/>
      </c>
      <c r="I2575" s="29">
        <f>H2575-G2575</f>
        <v/>
      </c>
      <c r="J2575" s="30">
        <f>IF(H2575=0,IF(I2575=0,0,1),I2575/ABS(H2575))</f>
        <v/>
      </c>
      <c r="K2575" s="29">
        <f>H2575-(Data_thang!O2575-Data_thang!K2575)</f>
        <v/>
      </c>
      <c r="L2575">
        <f>IF(AND(ABS(I2575)&gt;Dashboard!$G$6,ABS(J2575)&gt;Dashboard!$H$6),"⚠ Vượt","")</f>
        <v/>
      </c>
      <c r="M2575">
        <f>IF(AND(A2575=Dashboard!$D$6,OR(Dashboard!$C$6="*",F2575=Dashboard!$C$6),L2575&lt;&gt;""),ABS(I2575)+ROW()/1000000000,0)</f>
        <v/>
      </c>
    </row>
    <row r="2576">
      <c r="A2576">
        <f>Data_thang!A2576</f>
        <v/>
      </c>
      <c r="B2576">
        <f>Data_thang!B2576</f>
        <v/>
      </c>
      <c r="C2576">
        <f>Data_thang!D2576</f>
        <v/>
      </c>
      <c r="D2576">
        <f>Data_thang!E2576</f>
        <v/>
      </c>
      <c r="E2576">
        <f>Data_thang!F2576</f>
        <v/>
      </c>
      <c r="F2576">
        <f>Data_thang!G2576</f>
        <v/>
      </c>
      <c r="G2576" s="29">
        <f>Data_thang!J2576-Data_thang!K2576</f>
        <v/>
      </c>
      <c r="H2576" s="29">
        <f>Data_thang!N2576</f>
        <v/>
      </c>
      <c r="I2576" s="29">
        <f>H2576-G2576</f>
        <v/>
      </c>
      <c r="J2576" s="30">
        <f>IF(H2576=0,IF(I2576=0,0,1),I2576/ABS(H2576))</f>
        <v/>
      </c>
      <c r="K2576" s="29">
        <f>H2576-(Data_thang!O2576-Data_thang!K2576)</f>
        <v/>
      </c>
      <c r="L2576">
        <f>IF(AND(ABS(I2576)&gt;Dashboard!$G$6,ABS(J2576)&gt;Dashboard!$H$6),"⚠ Vượt","")</f>
        <v/>
      </c>
      <c r="M2576">
        <f>IF(AND(A2576=Dashboard!$D$6,OR(Dashboard!$C$6="*",F2576=Dashboard!$C$6),L2576&lt;&gt;""),ABS(I2576)+ROW()/1000000000,0)</f>
        <v/>
      </c>
    </row>
    <row r="2577">
      <c r="A2577">
        <f>Data_thang!A2577</f>
        <v/>
      </c>
      <c r="B2577">
        <f>Data_thang!B2577</f>
        <v/>
      </c>
      <c r="C2577">
        <f>Data_thang!D2577</f>
        <v/>
      </c>
      <c r="D2577">
        <f>Data_thang!E2577</f>
        <v/>
      </c>
      <c r="E2577">
        <f>Data_thang!F2577</f>
        <v/>
      </c>
      <c r="F2577">
        <f>Data_thang!G2577</f>
        <v/>
      </c>
      <c r="G2577" s="29">
        <f>Data_thang!J2577-Data_thang!K2577</f>
        <v/>
      </c>
      <c r="H2577" s="29">
        <f>Data_thang!N2577</f>
        <v/>
      </c>
      <c r="I2577" s="29">
        <f>H2577-G2577</f>
        <v/>
      </c>
      <c r="J2577" s="30">
        <f>IF(H2577=0,IF(I2577=0,0,1),I2577/ABS(H2577))</f>
        <v/>
      </c>
      <c r="K2577" s="29">
        <f>H2577-(Data_thang!O2577-Data_thang!K2577)</f>
        <v/>
      </c>
      <c r="L2577">
        <f>IF(AND(ABS(I2577)&gt;Dashboard!$G$6,ABS(J2577)&gt;Dashboard!$H$6),"⚠ Vượt","")</f>
        <v/>
      </c>
      <c r="M2577">
        <f>IF(AND(A2577=Dashboard!$D$6,OR(Dashboard!$C$6="*",F2577=Dashboard!$C$6),L2577&lt;&gt;""),ABS(I2577)+ROW()/1000000000,0)</f>
        <v/>
      </c>
    </row>
    <row r="2578">
      <c r="A2578">
        <f>Data_thang!A2578</f>
        <v/>
      </c>
      <c r="B2578">
        <f>Data_thang!B2578</f>
        <v/>
      </c>
      <c r="C2578">
        <f>Data_thang!D2578</f>
        <v/>
      </c>
      <c r="D2578">
        <f>Data_thang!E2578</f>
        <v/>
      </c>
      <c r="E2578">
        <f>Data_thang!F2578</f>
        <v/>
      </c>
      <c r="F2578">
        <f>Data_thang!G2578</f>
        <v/>
      </c>
      <c r="G2578" s="29">
        <f>Data_thang!J2578-Data_thang!K2578</f>
        <v/>
      </c>
      <c r="H2578" s="29">
        <f>Data_thang!N2578</f>
        <v/>
      </c>
      <c r="I2578" s="29">
        <f>H2578-G2578</f>
        <v/>
      </c>
      <c r="J2578" s="30">
        <f>IF(H2578=0,IF(I2578=0,0,1),I2578/ABS(H2578))</f>
        <v/>
      </c>
      <c r="K2578" s="29">
        <f>H2578-(Data_thang!O2578-Data_thang!K2578)</f>
        <v/>
      </c>
      <c r="L2578">
        <f>IF(AND(ABS(I2578)&gt;Dashboard!$G$6,ABS(J2578)&gt;Dashboard!$H$6),"⚠ Vượt","")</f>
        <v/>
      </c>
      <c r="M2578">
        <f>IF(AND(A2578=Dashboard!$D$6,OR(Dashboard!$C$6="*",F2578=Dashboard!$C$6),L2578&lt;&gt;""),ABS(I2578)+ROW()/1000000000,0)</f>
        <v/>
      </c>
    </row>
    <row r="2579">
      <c r="A2579">
        <f>Data_thang!A2579</f>
        <v/>
      </c>
      <c r="B2579">
        <f>Data_thang!B2579</f>
        <v/>
      </c>
      <c r="C2579">
        <f>Data_thang!D2579</f>
        <v/>
      </c>
      <c r="D2579">
        <f>Data_thang!E2579</f>
        <v/>
      </c>
      <c r="E2579">
        <f>Data_thang!F2579</f>
        <v/>
      </c>
      <c r="F2579">
        <f>Data_thang!G2579</f>
        <v/>
      </c>
      <c r="G2579" s="29">
        <f>Data_thang!J2579-Data_thang!K2579</f>
        <v/>
      </c>
      <c r="H2579" s="29">
        <f>Data_thang!N2579</f>
        <v/>
      </c>
      <c r="I2579" s="29">
        <f>H2579-G2579</f>
        <v/>
      </c>
      <c r="J2579" s="30">
        <f>IF(H2579=0,IF(I2579=0,0,1),I2579/ABS(H2579))</f>
        <v/>
      </c>
      <c r="K2579" s="29">
        <f>H2579-(Data_thang!O2579-Data_thang!K2579)</f>
        <v/>
      </c>
      <c r="L2579">
        <f>IF(AND(ABS(I2579)&gt;Dashboard!$G$6,ABS(J2579)&gt;Dashboard!$H$6),"⚠ Vượt","")</f>
        <v/>
      </c>
      <c r="M2579">
        <f>IF(AND(A2579=Dashboard!$D$6,OR(Dashboard!$C$6="*",F2579=Dashboard!$C$6),L2579&lt;&gt;""),ABS(I2579)+ROW()/1000000000,0)</f>
        <v/>
      </c>
    </row>
    <row r="2580">
      <c r="A2580">
        <f>Data_thang!A2580</f>
        <v/>
      </c>
      <c r="B2580">
        <f>Data_thang!B2580</f>
        <v/>
      </c>
      <c r="C2580">
        <f>Data_thang!D2580</f>
        <v/>
      </c>
      <c r="D2580">
        <f>Data_thang!E2580</f>
        <v/>
      </c>
      <c r="E2580">
        <f>Data_thang!F2580</f>
        <v/>
      </c>
      <c r="F2580">
        <f>Data_thang!G2580</f>
        <v/>
      </c>
      <c r="G2580" s="29">
        <f>Data_thang!J2580-Data_thang!K2580</f>
        <v/>
      </c>
      <c r="H2580" s="29">
        <f>Data_thang!N2580</f>
        <v/>
      </c>
      <c r="I2580" s="29">
        <f>H2580-G2580</f>
        <v/>
      </c>
      <c r="J2580" s="30">
        <f>IF(H2580=0,IF(I2580=0,0,1),I2580/ABS(H2580))</f>
        <v/>
      </c>
      <c r="K2580" s="29">
        <f>H2580-(Data_thang!O2580-Data_thang!K2580)</f>
        <v/>
      </c>
      <c r="L2580">
        <f>IF(AND(ABS(I2580)&gt;Dashboard!$G$6,ABS(J2580)&gt;Dashboard!$H$6),"⚠ Vượt","")</f>
        <v/>
      </c>
      <c r="M2580">
        <f>IF(AND(A2580=Dashboard!$D$6,OR(Dashboard!$C$6="*",F2580=Dashboard!$C$6),L2580&lt;&gt;""),ABS(I2580)+ROW()/1000000000,0)</f>
        <v/>
      </c>
    </row>
    <row r="2581">
      <c r="A2581">
        <f>Data_thang!A2581</f>
        <v/>
      </c>
      <c r="B2581">
        <f>Data_thang!B2581</f>
        <v/>
      </c>
      <c r="C2581">
        <f>Data_thang!D2581</f>
        <v/>
      </c>
      <c r="D2581">
        <f>Data_thang!E2581</f>
        <v/>
      </c>
      <c r="E2581">
        <f>Data_thang!F2581</f>
        <v/>
      </c>
      <c r="F2581">
        <f>Data_thang!G2581</f>
        <v/>
      </c>
      <c r="G2581" s="29">
        <f>Data_thang!J2581-Data_thang!K2581</f>
        <v/>
      </c>
      <c r="H2581" s="29">
        <f>Data_thang!N2581</f>
        <v/>
      </c>
      <c r="I2581" s="29">
        <f>H2581-G2581</f>
        <v/>
      </c>
      <c r="J2581" s="30">
        <f>IF(H2581=0,IF(I2581=0,0,1),I2581/ABS(H2581))</f>
        <v/>
      </c>
      <c r="K2581" s="29">
        <f>H2581-(Data_thang!O2581-Data_thang!K2581)</f>
        <v/>
      </c>
      <c r="L2581">
        <f>IF(AND(ABS(I2581)&gt;Dashboard!$G$6,ABS(J2581)&gt;Dashboard!$H$6),"⚠ Vượt","")</f>
        <v/>
      </c>
      <c r="M2581">
        <f>IF(AND(A2581=Dashboard!$D$6,OR(Dashboard!$C$6="*",F2581=Dashboard!$C$6),L2581&lt;&gt;""),ABS(I2581)+ROW()/1000000000,0)</f>
        <v/>
      </c>
    </row>
    <row r="2582">
      <c r="A2582">
        <f>Data_thang!A2582</f>
        <v/>
      </c>
      <c r="B2582">
        <f>Data_thang!B2582</f>
        <v/>
      </c>
      <c r="C2582">
        <f>Data_thang!D2582</f>
        <v/>
      </c>
      <c r="D2582">
        <f>Data_thang!E2582</f>
        <v/>
      </c>
      <c r="E2582">
        <f>Data_thang!F2582</f>
        <v/>
      </c>
      <c r="F2582">
        <f>Data_thang!G2582</f>
        <v/>
      </c>
      <c r="G2582" s="29">
        <f>Data_thang!J2582-Data_thang!K2582</f>
        <v/>
      </c>
      <c r="H2582" s="29">
        <f>Data_thang!N2582</f>
        <v/>
      </c>
      <c r="I2582" s="29">
        <f>H2582-G2582</f>
        <v/>
      </c>
      <c r="J2582" s="30">
        <f>IF(H2582=0,IF(I2582=0,0,1),I2582/ABS(H2582))</f>
        <v/>
      </c>
      <c r="K2582" s="29">
        <f>H2582-(Data_thang!O2582-Data_thang!K2582)</f>
        <v/>
      </c>
      <c r="L2582">
        <f>IF(AND(ABS(I2582)&gt;Dashboard!$G$6,ABS(J2582)&gt;Dashboard!$H$6),"⚠ Vượt","")</f>
        <v/>
      </c>
      <c r="M2582">
        <f>IF(AND(A2582=Dashboard!$D$6,OR(Dashboard!$C$6="*",F2582=Dashboard!$C$6),L2582&lt;&gt;""),ABS(I2582)+ROW()/1000000000,0)</f>
        <v/>
      </c>
    </row>
    <row r="2583">
      <c r="A2583">
        <f>Data_thang!A2583</f>
        <v/>
      </c>
      <c r="B2583">
        <f>Data_thang!B2583</f>
        <v/>
      </c>
      <c r="C2583">
        <f>Data_thang!D2583</f>
        <v/>
      </c>
      <c r="D2583">
        <f>Data_thang!E2583</f>
        <v/>
      </c>
      <c r="E2583">
        <f>Data_thang!F2583</f>
        <v/>
      </c>
      <c r="F2583">
        <f>Data_thang!G2583</f>
        <v/>
      </c>
      <c r="G2583" s="29">
        <f>Data_thang!J2583-Data_thang!K2583</f>
        <v/>
      </c>
      <c r="H2583" s="29">
        <f>Data_thang!N2583</f>
        <v/>
      </c>
      <c r="I2583" s="29">
        <f>H2583-G2583</f>
        <v/>
      </c>
      <c r="J2583" s="30">
        <f>IF(H2583=0,IF(I2583=0,0,1),I2583/ABS(H2583))</f>
        <v/>
      </c>
      <c r="K2583" s="29">
        <f>H2583-(Data_thang!O2583-Data_thang!K2583)</f>
        <v/>
      </c>
      <c r="L2583">
        <f>IF(AND(ABS(I2583)&gt;Dashboard!$G$6,ABS(J2583)&gt;Dashboard!$H$6),"⚠ Vượt","")</f>
        <v/>
      </c>
      <c r="M2583">
        <f>IF(AND(A2583=Dashboard!$D$6,OR(Dashboard!$C$6="*",F2583=Dashboard!$C$6),L2583&lt;&gt;""),ABS(I2583)+ROW()/1000000000,0)</f>
        <v/>
      </c>
    </row>
    <row r="2584">
      <c r="A2584">
        <f>Data_thang!A2584</f>
        <v/>
      </c>
      <c r="B2584">
        <f>Data_thang!B2584</f>
        <v/>
      </c>
      <c r="C2584">
        <f>Data_thang!D2584</f>
        <v/>
      </c>
      <c r="D2584">
        <f>Data_thang!E2584</f>
        <v/>
      </c>
      <c r="E2584">
        <f>Data_thang!F2584</f>
        <v/>
      </c>
      <c r="F2584">
        <f>Data_thang!G2584</f>
        <v/>
      </c>
      <c r="G2584" s="29">
        <f>Data_thang!J2584-Data_thang!K2584</f>
        <v/>
      </c>
      <c r="H2584" s="29">
        <f>Data_thang!N2584</f>
        <v/>
      </c>
      <c r="I2584" s="29">
        <f>H2584-G2584</f>
        <v/>
      </c>
      <c r="J2584" s="30">
        <f>IF(H2584=0,IF(I2584=0,0,1),I2584/ABS(H2584))</f>
        <v/>
      </c>
      <c r="K2584" s="29">
        <f>H2584-(Data_thang!O2584-Data_thang!K2584)</f>
        <v/>
      </c>
      <c r="L2584">
        <f>IF(AND(ABS(I2584)&gt;Dashboard!$G$6,ABS(J2584)&gt;Dashboard!$H$6),"⚠ Vượt","")</f>
        <v/>
      </c>
      <c r="M2584">
        <f>IF(AND(A2584=Dashboard!$D$6,OR(Dashboard!$C$6="*",F2584=Dashboard!$C$6),L2584&lt;&gt;""),ABS(I2584)+ROW()/1000000000,0)</f>
        <v/>
      </c>
    </row>
    <row r="2585">
      <c r="A2585">
        <f>Data_thang!A2585</f>
        <v/>
      </c>
      <c r="B2585">
        <f>Data_thang!B2585</f>
        <v/>
      </c>
      <c r="C2585">
        <f>Data_thang!D2585</f>
        <v/>
      </c>
      <c r="D2585">
        <f>Data_thang!E2585</f>
        <v/>
      </c>
      <c r="E2585">
        <f>Data_thang!F2585</f>
        <v/>
      </c>
      <c r="F2585">
        <f>Data_thang!G2585</f>
        <v/>
      </c>
      <c r="G2585" s="29">
        <f>Data_thang!J2585-Data_thang!K2585</f>
        <v/>
      </c>
      <c r="H2585" s="29">
        <f>Data_thang!N2585</f>
        <v/>
      </c>
      <c r="I2585" s="29">
        <f>H2585-G2585</f>
        <v/>
      </c>
      <c r="J2585" s="30">
        <f>IF(H2585=0,IF(I2585=0,0,1),I2585/ABS(H2585))</f>
        <v/>
      </c>
      <c r="K2585" s="29">
        <f>H2585-(Data_thang!O2585-Data_thang!K2585)</f>
        <v/>
      </c>
      <c r="L2585">
        <f>IF(AND(ABS(I2585)&gt;Dashboard!$G$6,ABS(J2585)&gt;Dashboard!$H$6),"⚠ Vượt","")</f>
        <v/>
      </c>
      <c r="M2585">
        <f>IF(AND(A2585=Dashboard!$D$6,OR(Dashboard!$C$6="*",F2585=Dashboard!$C$6),L2585&lt;&gt;""),ABS(I2585)+ROW()/1000000000,0)</f>
        <v/>
      </c>
    </row>
    <row r="2586">
      <c r="A2586">
        <f>Data_thang!A2586</f>
        <v/>
      </c>
      <c r="B2586">
        <f>Data_thang!B2586</f>
        <v/>
      </c>
      <c r="C2586">
        <f>Data_thang!D2586</f>
        <v/>
      </c>
      <c r="D2586">
        <f>Data_thang!E2586</f>
        <v/>
      </c>
      <c r="E2586">
        <f>Data_thang!F2586</f>
        <v/>
      </c>
      <c r="F2586">
        <f>Data_thang!G2586</f>
        <v/>
      </c>
      <c r="G2586" s="29">
        <f>Data_thang!J2586-Data_thang!K2586</f>
        <v/>
      </c>
      <c r="H2586" s="29">
        <f>Data_thang!N2586</f>
        <v/>
      </c>
      <c r="I2586" s="29">
        <f>H2586-G2586</f>
        <v/>
      </c>
      <c r="J2586" s="30">
        <f>IF(H2586=0,IF(I2586=0,0,1),I2586/ABS(H2586))</f>
        <v/>
      </c>
      <c r="K2586" s="29">
        <f>H2586-(Data_thang!O2586-Data_thang!K2586)</f>
        <v/>
      </c>
      <c r="L2586">
        <f>IF(AND(ABS(I2586)&gt;Dashboard!$G$6,ABS(J2586)&gt;Dashboard!$H$6),"⚠ Vượt","")</f>
        <v/>
      </c>
      <c r="M2586">
        <f>IF(AND(A2586=Dashboard!$D$6,OR(Dashboard!$C$6="*",F2586=Dashboard!$C$6),L2586&lt;&gt;""),ABS(I2586)+ROW()/1000000000,0)</f>
        <v/>
      </c>
    </row>
    <row r="2587">
      <c r="A2587">
        <f>Data_thang!A2587</f>
        <v/>
      </c>
      <c r="B2587">
        <f>Data_thang!B2587</f>
        <v/>
      </c>
      <c r="C2587">
        <f>Data_thang!D2587</f>
        <v/>
      </c>
      <c r="D2587">
        <f>Data_thang!E2587</f>
        <v/>
      </c>
      <c r="E2587">
        <f>Data_thang!F2587</f>
        <v/>
      </c>
      <c r="F2587">
        <f>Data_thang!G2587</f>
        <v/>
      </c>
      <c r="G2587" s="29">
        <f>Data_thang!J2587-Data_thang!K2587</f>
        <v/>
      </c>
      <c r="H2587" s="29">
        <f>Data_thang!N2587</f>
        <v/>
      </c>
      <c r="I2587" s="29">
        <f>H2587-G2587</f>
        <v/>
      </c>
      <c r="J2587" s="30">
        <f>IF(H2587=0,IF(I2587=0,0,1),I2587/ABS(H2587))</f>
        <v/>
      </c>
      <c r="K2587" s="29">
        <f>H2587-(Data_thang!O2587-Data_thang!K2587)</f>
        <v/>
      </c>
      <c r="L2587">
        <f>IF(AND(ABS(I2587)&gt;Dashboard!$G$6,ABS(J2587)&gt;Dashboard!$H$6),"⚠ Vượt","")</f>
        <v/>
      </c>
      <c r="M2587">
        <f>IF(AND(A2587=Dashboard!$D$6,OR(Dashboard!$C$6="*",F2587=Dashboard!$C$6),L2587&lt;&gt;""),ABS(I2587)+ROW()/1000000000,0)</f>
        <v/>
      </c>
    </row>
    <row r="2588">
      <c r="A2588">
        <f>Data_thang!A2588</f>
        <v/>
      </c>
      <c r="B2588">
        <f>Data_thang!B2588</f>
        <v/>
      </c>
      <c r="C2588">
        <f>Data_thang!D2588</f>
        <v/>
      </c>
      <c r="D2588">
        <f>Data_thang!E2588</f>
        <v/>
      </c>
      <c r="E2588">
        <f>Data_thang!F2588</f>
        <v/>
      </c>
      <c r="F2588">
        <f>Data_thang!G2588</f>
        <v/>
      </c>
      <c r="G2588" s="29">
        <f>Data_thang!J2588-Data_thang!K2588</f>
        <v/>
      </c>
      <c r="H2588" s="29">
        <f>Data_thang!N2588</f>
        <v/>
      </c>
      <c r="I2588" s="29">
        <f>H2588-G2588</f>
        <v/>
      </c>
      <c r="J2588" s="30">
        <f>IF(H2588=0,IF(I2588=0,0,1),I2588/ABS(H2588))</f>
        <v/>
      </c>
      <c r="K2588" s="29">
        <f>H2588-(Data_thang!O2588-Data_thang!K2588)</f>
        <v/>
      </c>
      <c r="L2588">
        <f>IF(AND(ABS(I2588)&gt;Dashboard!$G$6,ABS(J2588)&gt;Dashboard!$H$6),"⚠ Vượt","")</f>
        <v/>
      </c>
      <c r="M2588">
        <f>IF(AND(A2588=Dashboard!$D$6,OR(Dashboard!$C$6="*",F2588=Dashboard!$C$6),L2588&lt;&gt;""),ABS(I2588)+ROW()/1000000000,0)</f>
        <v/>
      </c>
    </row>
    <row r="2589">
      <c r="A2589">
        <f>Data_thang!A2589</f>
        <v/>
      </c>
      <c r="B2589">
        <f>Data_thang!B2589</f>
        <v/>
      </c>
      <c r="C2589">
        <f>Data_thang!D2589</f>
        <v/>
      </c>
      <c r="D2589">
        <f>Data_thang!E2589</f>
        <v/>
      </c>
      <c r="E2589">
        <f>Data_thang!F2589</f>
        <v/>
      </c>
      <c r="F2589">
        <f>Data_thang!G2589</f>
        <v/>
      </c>
      <c r="G2589" s="29">
        <f>Data_thang!J2589-Data_thang!K2589</f>
        <v/>
      </c>
      <c r="H2589" s="29">
        <f>Data_thang!N2589</f>
        <v/>
      </c>
      <c r="I2589" s="29">
        <f>H2589-G2589</f>
        <v/>
      </c>
      <c r="J2589" s="30">
        <f>IF(H2589=0,IF(I2589=0,0,1),I2589/ABS(H2589))</f>
        <v/>
      </c>
      <c r="K2589" s="29">
        <f>H2589-(Data_thang!O2589-Data_thang!K2589)</f>
        <v/>
      </c>
      <c r="L2589">
        <f>IF(AND(ABS(I2589)&gt;Dashboard!$G$6,ABS(J2589)&gt;Dashboard!$H$6),"⚠ Vượt","")</f>
        <v/>
      </c>
      <c r="M2589">
        <f>IF(AND(A2589=Dashboard!$D$6,OR(Dashboard!$C$6="*",F2589=Dashboard!$C$6),L2589&lt;&gt;""),ABS(I2589)+ROW()/1000000000,0)</f>
        <v/>
      </c>
    </row>
    <row r="2590">
      <c r="A2590">
        <f>Data_thang!A2590</f>
        <v/>
      </c>
      <c r="B2590">
        <f>Data_thang!B2590</f>
        <v/>
      </c>
      <c r="C2590">
        <f>Data_thang!D2590</f>
        <v/>
      </c>
      <c r="D2590">
        <f>Data_thang!E2590</f>
        <v/>
      </c>
      <c r="E2590">
        <f>Data_thang!F2590</f>
        <v/>
      </c>
      <c r="F2590">
        <f>Data_thang!G2590</f>
        <v/>
      </c>
      <c r="G2590" s="29">
        <f>Data_thang!J2590-Data_thang!K2590</f>
        <v/>
      </c>
      <c r="H2590" s="29">
        <f>Data_thang!N2590</f>
        <v/>
      </c>
      <c r="I2590" s="29">
        <f>H2590-G2590</f>
        <v/>
      </c>
      <c r="J2590" s="30">
        <f>IF(H2590=0,IF(I2590=0,0,1),I2590/ABS(H2590))</f>
        <v/>
      </c>
      <c r="K2590" s="29">
        <f>H2590-(Data_thang!O2590-Data_thang!K2590)</f>
        <v/>
      </c>
      <c r="L2590">
        <f>IF(AND(ABS(I2590)&gt;Dashboard!$G$6,ABS(J2590)&gt;Dashboard!$H$6),"⚠ Vượt","")</f>
        <v/>
      </c>
      <c r="M2590">
        <f>IF(AND(A2590=Dashboard!$D$6,OR(Dashboard!$C$6="*",F2590=Dashboard!$C$6),L2590&lt;&gt;""),ABS(I2590)+ROW()/1000000000,0)</f>
        <v/>
      </c>
    </row>
    <row r="2591">
      <c r="A2591">
        <f>Data_thang!A2591</f>
        <v/>
      </c>
      <c r="B2591">
        <f>Data_thang!B2591</f>
        <v/>
      </c>
      <c r="C2591">
        <f>Data_thang!D2591</f>
        <v/>
      </c>
      <c r="D2591">
        <f>Data_thang!E2591</f>
        <v/>
      </c>
      <c r="E2591">
        <f>Data_thang!F2591</f>
        <v/>
      </c>
      <c r="F2591">
        <f>Data_thang!G2591</f>
        <v/>
      </c>
      <c r="G2591" s="29">
        <f>Data_thang!J2591-Data_thang!K2591</f>
        <v/>
      </c>
      <c r="H2591" s="29">
        <f>Data_thang!N2591</f>
        <v/>
      </c>
      <c r="I2591" s="29">
        <f>H2591-G2591</f>
        <v/>
      </c>
      <c r="J2591" s="30">
        <f>IF(H2591=0,IF(I2591=0,0,1),I2591/ABS(H2591))</f>
        <v/>
      </c>
      <c r="K2591" s="29">
        <f>H2591-(Data_thang!O2591-Data_thang!K2591)</f>
        <v/>
      </c>
      <c r="L2591">
        <f>IF(AND(ABS(I2591)&gt;Dashboard!$G$6,ABS(J2591)&gt;Dashboard!$H$6),"⚠ Vượt","")</f>
        <v/>
      </c>
      <c r="M2591">
        <f>IF(AND(A2591=Dashboard!$D$6,OR(Dashboard!$C$6="*",F2591=Dashboard!$C$6),L2591&lt;&gt;""),ABS(I2591)+ROW()/1000000000,0)</f>
        <v/>
      </c>
    </row>
    <row r="2592">
      <c r="A2592">
        <f>Data_thang!A2592</f>
        <v/>
      </c>
      <c r="B2592">
        <f>Data_thang!B2592</f>
        <v/>
      </c>
      <c r="C2592">
        <f>Data_thang!D2592</f>
        <v/>
      </c>
      <c r="D2592">
        <f>Data_thang!E2592</f>
        <v/>
      </c>
      <c r="E2592">
        <f>Data_thang!F2592</f>
        <v/>
      </c>
      <c r="F2592">
        <f>Data_thang!G2592</f>
        <v/>
      </c>
      <c r="G2592" s="29">
        <f>Data_thang!J2592-Data_thang!K2592</f>
        <v/>
      </c>
      <c r="H2592" s="29">
        <f>Data_thang!N2592</f>
        <v/>
      </c>
      <c r="I2592" s="29">
        <f>H2592-G2592</f>
        <v/>
      </c>
      <c r="J2592" s="30">
        <f>IF(H2592=0,IF(I2592=0,0,1),I2592/ABS(H2592))</f>
        <v/>
      </c>
      <c r="K2592" s="29">
        <f>H2592-(Data_thang!O2592-Data_thang!K2592)</f>
        <v/>
      </c>
      <c r="L2592">
        <f>IF(AND(ABS(I2592)&gt;Dashboard!$G$6,ABS(J2592)&gt;Dashboard!$H$6),"⚠ Vượt","")</f>
        <v/>
      </c>
      <c r="M2592">
        <f>IF(AND(A2592=Dashboard!$D$6,OR(Dashboard!$C$6="*",F2592=Dashboard!$C$6),L2592&lt;&gt;""),ABS(I2592)+ROW()/1000000000,0)</f>
        <v/>
      </c>
    </row>
    <row r="2593">
      <c r="A2593">
        <f>Data_thang!A2593</f>
        <v/>
      </c>
      <c r="B2593">
        <f>Data_thang!B2593</f>
        <v/>
      </c>
      <c r="C2593">
        <f>Data_thang!D2593</f>
        <v/>
      </c>
      <c r="D2593">
        <f>Data_thang!E2593</f>
        <v/>
      </c>
      <c r="E2593">
        <f>Data_thang!F2593</f>
        <v/>
      </c>
      <c r="F2593">
        <f>Data_thang!G2593</f>
        <v/>
      </c>
      <c r="G2593" s="29">
        <f>Data_thang!J2593-Data_thang!K2593</f>
        <v/>
      </c>
      <c r="H2593" s="29">
        <f>Data_thang!N2593</f>
        <v/>
      </c>
      <c r="I2593" s="29">
        <f>H2593-G2593</f>
        <v/>
      </c>
      <c r="J2593" s="30">
        <f>IF(H2593=0,IF(I2593=0,0,1),I2593/ABS(H2593))</f>
        <v/>
      </c>
      <c r="K2593" s="29">
        <f>H2593-(Data_thang!O2593-Data_thang!K2593)</f>
        <v/>
      </c>
      <c r="L2593">
        <f>IF(AND(ABS(I2593)&gt;Dashboard!$G$6,ABS(J2593)&gt;Dashboard!$H$6),"⚠ Vượt","")</f>
        <v/>
      </c>
      <c r="M2593">
        <f>IF(AND(A2593=Dashboard!$D$6,OR(Dashboard!$C$6="*",F2593=Dashboard!$C$6),L2593&lt;&gt;""),ABS(I2593)+ROW()/1000000000,0)</f>
        <v/>
      </c>
    </row>
    <row r="2594">
      <c r="A2594">
        <f>Data_thang!A2594</f>
        <v/>
      </c>
      <c r="B2594">
        <f>Data_thang!B2594</f>
        <v/>
      </c>
      <c r="C2594">
        <f>Data_thang!D2594</f>
        <v/>
      </c>
      <c r="D2594">
        <f>Data_thang!E2594</f>
        <v/>
      </c>
      <c r="E2594">
        <f>Data_thang!F2594</f>
        <v/>
      </c>
      <c r="F2594">
        <f>Data_thang!G2594</f>
        <v/>
      </c>
      <c r="G2594" s="29">
        <f>Data_thang!J2594-Data_thang!K2594</f>
        <v/>
      </c>
      <c r="H2594" s="29">
        <f>Data_thang!N2594</f>
        <v/>
      </c>
      <c r="I2594" s="29">
        <f>H2594-G2594</f>
        <v/>
      </c>
      <c r="J2594" s="30">
        <f>IF(H2594=0,IF(I2594=0,0,1),I2594/ABS(H2594))</f>
        <v/>
      </c>
      <c r="K2594" s="29">
        <f>H2594-(Data_thang!O2594-Data_thang!K2594)</f>
        <v/>
      </c>
      <c r="L2594">
        <f>IF(AND(ABS(I2594)&gt;Dashboard!$G$6,ABS(J2594)&gt;Dashboard!$H$6),"⚠ Vượt","")</f>
        <v/>
      </c>
      <c r="M2594">
        <f>IF(AND(A2594=Dashboard!$D$6,OR(Dashboard!$C$6="*",F2594=Dashboard!$C$6),L2594&lt;&gt;""),ABS(I2594)+ROW()/1000000000,0)</f>
        <v/>
      </c>
    </row>
    <row r="2595">
      <c r="A2595">
        <f>Data_thang!A2595</f>
        <v/>
      </c>
      <c r="B2595">
        <f>Data_thang!B2595</f>
        <v/>
      </c>
      <c r="C2595">
        <f>Data_thang!D2595</f>
        <v/>
      </c>
      <c r="D2595">
        <f>Data_thang!E2595</f>
        <v/>
      </c>
      <c r="E2595">
        <f>Data_thang!F2595</f>
        <v/>
      </c>
      <c r="F2595">
        <f>Data_thang!G2595</f>
        <v/>
      </c>
      <c r="G2595" s="29">
        <f>Data_thang!J2595-Data_thang!K2595</f>
        <v/>
      </c>
      <c r="H2595" s="29">
        <f>Data_thang!N2595</f>
        <v/>
      </c>
      <c r="I2595" s="29">
        <f>H2595-G2595</f>
        <v/>
      </c>
      <c r="J2595" s="30">
        <f>IF(H2595=0,IF(I2595=0,0,1),I2595/ABS(H2595))</f>
        <v/>
      </c>
      <c r="K2595" s="29">
        <f>H2595-(Data_thang!O2595-Data_thang!K2595)</f>
        <v/>
      </c>
      <c r="L2595">
        <f>IF(AND(ABS(I2595)&gt;Dashboard!$G$6,ABS(J2595)&gt;Dashboard!$H$6),"⚠ Vượt","")</f>
        <v/>
      </c>
      <c r="M2595">
        <f>IF(AND(A2595=Dashboard!$D$6,OR(Dashboard!$C$6="*",F2595=Dashboard!$C$6),L2595&lt;&gt;""),ABS(I2595)+ROW()/1000000000,0)</f>
        <v/>
      </c>
    </row>
    <row r="2596">
      <c r="A2596">
        <f>Data_thang!A2596</f>
        <v/>
      </c>
      <c r="B2596">
        <f>Data_thang!B2596</f>
        <v/>
      </c>
      <c r="C2596">
        <f>Data_thang!D2596</f>
        <v/>
      </c>
      <c r="D2596">
        <f>Data_thang!E2596</f>
        <v/>
      </c>
      <c r="E2596">
        <f>Data_thang!F2596</f>
        <v/>
      </c>
      <c r="F2596">
        <f>Data_thang!G2596</f>
        <v/>
      </c>
      <c r="G2596" s="29">
        <f>Data_thang!J2596-Data_thang!K2596</f>
        <v/>
      </c>
      <c r="H2596" s="29">
        <f>Data_thang!N2596</f>
        <v/>
      </c>
      <c r="I2596" s="29">
        <f>H2596-G2596</f>
        <v/>
      </c>
      <c r="J2596" s="30">
        <f>IF(H2596=0,IF(I2596=0,0,1),I2596/ABS(H2596))</f>
        <v/>
      </c>
      <c r="K2596" s="29">
        <f>H2596-(Data_thang!O2596-Data_thang!K2596)</f>
        <v/>
      </c>
      <c r="L2596">
        <f>IF(AND(ABS(I2596)&gt;Dashboard!$G$6,ABS(J2596)&gt;Dashboard!$H$6),"⚠ Vượt","")</f>
        <v/>
      </c>
      <c r="M2596">
        <f>IF(AND(A2596=Dashboard!$D$6,OR(Dashboard!$C$6="*",F2596=Dashboard!$C$6),L2596&lt;&gt;""),ABS(I2596)+ROW()/1000000000,0)</f>
        <v/>
      </c>
    </row>
    <row r="2597">
      <c r="A2597">
        <f>Data_thang!A2597</f>
        <v/>
      </c>
      <c r="B2597">
        <f>Data_thang!B2597</f>
        <v/>
      </c>
      <c r="C2597">
        <f>Data_thang!D2597</f>
        <v/>
      </c>
      <c r="D2597">
        <f>Data_thang!E2597</f>
        <v/>
      </c>
      <c r="E2597">
        <f>Data_thang!F2597</f>
        <v/>
      </c>
      <c r="F2597">
        <f>Data_thang!G2597</f>
        <v/>
      </c>
      <c r="G2597" s="29">
        <f>Data_thang!J2597-Data_thang!K2597</f>
        <v/>
      </c>
      <c r="H2597" s="29">
        <f>Data_thang!N2597</f>
        <v/>
      </c>
      <c r="I2597" s="29">
        <f>H2597-G2597</f>
        <v/>
      </c>
      <c r="J2597" s="30">
        <f>IF(H2597=0,IF(I2597=0,0,1),I2597/ABS(H2597))</f>
        <v/>
      </c>
      <c r="K2597" s="29">
        <f>H2597-(Data_thang!O2597-Data_thang!K2597)</f>
        <v/>
      </c>
      <c r="L2597">
        <f>IF(AND(ABS(I2597)&gt;Dashboard!$G$6,ABS(J2597)&gt;Dashboard!$H$6),"⚠ Vượt","")</f>
        <v/>
      </c>
      <c r="M2597">
        <f>IF(AND(A2597=Dashboard!$D$6,OR(Dashboard!$C$6="*",F2597=Dashboard!$C$6),L2597&lt;&gt;""),ABS(I2597)+ROW()/1000000000,0)</f>
        <v/>
      </c>
    </row>
    <row r="2598">
      <c r="A2598">
        <f>Data_thang!A2598</f>
        <v/>
      </c>
      <c r="B2598">
        <f>Data_thang!B2598</f>
        <v/>
      </c>
      <c r="C2598">
        <f>Data_thang!D2598</f>
        <v/>
      </c>
      <c r="D2598">
        <f>Data_thang!E2598</f>
        <v/>
      </c>
      <c r="E2598">
        <f>Data_thang!F2598</f>
        <v/>
      </c>
      <c r="F2598">
        <f>Data_thang!G2598</f>
        <v/>
      </c>
      <c r="G2598" s="29">
        <f>Data_thang!J2598-Data_thang!K2598</f>
        <v/>
      </c>
      <c r="H2598" s="29">
        <f>Data_thang!N2598</f>
        <v/>
      </c>
      <c r="I2598" s="29">
        <f>H2598-G2598</f>
        <v/>
      </c>
      <c r="J2598" s="30">
        <f>IF(H2598=0,IF(I2598=0,0,1),I2598/ABS(H2598))</f>
        <v/>
      </c>
      <c r="K2598" s="29">
        <f>H2598-(Data_thang!O2598-Data_thang!K2598)</f>
        <v/>
      </c>
      <c r="L2598">
        <f>IF(AND(ABS(I2598)&gt;Dashboard!$G$6,ABS(J2598)&gt;Dashboard!$H$6),"⚠ Vượt","")</f>
        <v/>
      </c>
      <c r="M2598">
        <f>IF(AND(A2598=Dashboard!$D$6,OR(Dashboard!$C$6="*",F2598=Dashboard!$C$6),L2598&lt;&gt;""),ABS(I2598)+ROW()/1000000000,0)</f>
        <v/>
      </c>
    </row>
    <row r="2599">
      <c r="A2599">
        <f>Data_thang!A2599</f>
        <v/>
      </c>
      <c r="B2599">
        <f>Data_thang!B2599</f>
        <v/>
      </c>
      <c r="C2599">
        <f>Data_thang!D2599</f>
        <v/>
      </c>
      <c r="D2599">
        <f>Data_thang!E2599</f>
        <v/>
      </c>
      <c r="E2599">
        <f>Data_thang!F2599</f>
        <v/>
      </c>
      <c r="F2599">
        <f>Data_thang!G2599</f>
        <v/>
      </c>
      <c r="G2599" s="29">
        <f>Data_thang!J2599-Data_thang!K2599</f>
        <v/>
      </c>
      <c r="H2599" s="29">
        <f>Data_thang!N2599</f>
        <v/>
      </c>
      <c r="I2599" s="29">
        <f>H2599-G2599</f>
        <v/>
      </c>
      <c r="J2599" s="30">
        <f>IF(H2599=0,IF(I2599=0,0,1),I2599/ABS(H2599))</f>
        <v/>
      </c>
      <c r="K2599" s="29">
        <f>H2599-(Data_thang!O2599-Data_thang!K2599)</f>
        <v/>
      </c>
      <c r="L2599">
        <f>IF(AND(ABS(I2599)&gt;Dashboard!$G$6,ABS(J2599)&gt;Dashboard!$H$6),"⚠ Vượt","")</f>
        <v/>
      </c>
      <c r="M2599">
        <f>IF(AND(A2599=Dashboard!$D$6,OR(Dashboard!$C$6="*",F2599=Dashboard!$C$6),L2599&lt;&gt;""),ABS(I2599)+ROW()/1000000000,0)</f>
        <v/>
      </c>
    </row>
    <row r="2600">
      <c r="A2600">
        <f>Data_thang!A2600</f>
        <v/>
      </c>
      <c r="B2600">
        <f>Data_thang!B2600</f>
        <v/>
      </c>
      <c r="C2600">
        <f>Data_thang!D2600</f>
        <v/>
      </c>
      <c r="D2600">
        <f>Data_thang!E2600</f>
        <v/>
      </c>
      <c r="E2600">
        <f>Data_thang!F2600</f>
        <v/>
      </c>
      <c r="F2600">
        <f>Data_thang!G2600</f>
        <v/>
      </c>
      <c r="G2600" s="29">
        <f>Data_thang!J2600-Data_thang!K2600</f>
        <v/>
      </c>
      <c r="H2600" s="29">
        <f>Data_thang!N2600</f>
        <v/>
      </c>
      <c r="I2600" s="29">
        <f>H2600-G2600</f>
        <v/>
      </c>
      <c r="J2600" s="30">
        <f>IF(H2600=0,IF(I2600=0,0,1),I2600/ABS(H2600))</f>
        <v/>
      </c>
      <c r="K2600" s="29">
        <f>H2600-(Data_thang!O2600-Data_thang!K2600)</f>
        <v/>
      </c>
      <c r="L2600">
        <f>IF(AND(ABS(I2600)&gt;Dashboard!$G$6,ABS(J2600)&gt;Dashboard!$H$6),"⚠ Vượt","")</f>
        <v/>
      </c>
      <c r="M2600">
        <f>IF(AND(A2600=Dashboard!$D$6,OR(Dashboard!$C$6="*",F2600=Dashboard!$C$6),L2600&lt;&gt;""),ABS(I2600)+ROW()/1000000000,0)</f>
        <v/>
      </c>
    </row>
    <row r="2601">
      <c r="A2601">
        <f>Data_thang!A2601</f>
        <v/>
      </c>
      <c r="B2601">
        <f>Data_thang!B2601</f>
        <v/>
      </c>
      <c r="C2601">
        <f>Data_thang!D2601</f>
        <v/>
      </c>
      <c r="D2601">
        <f>Data_thang!E2601</f>
        <v/>
      </c>
      <c r="E2601">
        <f>Data_thang!F2601</f>
        <v/>
      </c>
      <c r="F2601">
        <f>Data_thang!G2601</f>
        <v/>
      </c>
      <c r="G2601" s="29">
        <f>Data_thang!J2601-Data_thang!K2601</f>
        <v/>
      </c>
      <c r="H2601" s="29">
        <f>Data_thang!N2601</f>
        <v/>
      </c>
      <c r="I2601" s="29">
        <f>H2601-G2601</f>
        <v/>
      </c>
      <c r="J2601" s="30">
        <f>IF(H2601=0,IF(I2601=0,0,1),I2601/ABS(H2601))</f>
        <v/>
      </c>
      <c r="K2601" s="29">
        <f>H2601-(Data_thang!O2601-Data_thang!K2601)</f>
        <v/>
      </c>
      <c r="L2601">
        <f>IF(AND(ABS(I2601)&gt;Dashboard!$G$6,ABS(J2601)&gt;Dashboard!$H$6),"⚠ Vượt","")</f>
        <v/>
      </c>
      <c r="M2601">
        <f>IF(AND(A2601=Dashboard!$D$6,OR(Dashboard!$C$6="*",F2601=Dashboard!$C$6),L2601&lt;&gt;""),ABS(I2601)+ROW()/1000000000,0)</f>
        <v/>
      </c>
    </row>
    <row r="2602">
      <c r="A2602">
        <f>Data_thang!A2602</f>
        <v/>
      </c>
      <c r="B2602">
        <f>Data_thang!B2602</f>
        <v/>
      </c>
      <c r="C2602">
        <f>Data_thang!D2602</f>
        <v/>
      </c>
      <c r="D2602">
        <f>Data_thang!E2602</f>
        <v/>
      </c>
      <c r="E2602">
        <f>Data_thang!F2602</f>
        <v/>
      </c>
      <c r="F2602">
        <f>Data_thang!G2602</f>
        <v/>
      </c>
      <c r="G2602" s="29">
        <f>Data_thang!J2602-Data_thang!K2602</f>
        <v/>
      </c>
      <c r="H2602" s="29">
        <f>Data_thang!N2602</f>
        <v/>
      </c>
      <c r="I2602" s="29">
        <f>H2602-G2602</f>
        <v/>
      </c>
      <c r="J2602" s="30">
        <f>IF(H2602=0,IF(I2602=0,0,1),I2602/ABS(H2602))</f>
        <v/>
      </c>
      <c r="K2602" s="29">
        <f>H2602-(Data_thang!O2602-Data_thang!K2602)</f>
        <v/>
      </c>
      <c r="L2602">
        <f>IF(AND(ABS(I2602)&gt;Dashboard!$G$6,ABS(J2602)&gt;Dashboard!$H$6),"⚠ Vượt","")</f>
        <v/>
      </c>
      <c r="M2602">
        <f>IF(AND(A2602=Dashboard!$D$6,OR(Dashboard!$C$6="*",F2602=Dashboard!$C$6),L2602&lt;&gt;""),ABS(I2602)+ROW()/1000000000,0)</f>
        <v/>
      </c>
    </row>
    <row r="2603">
      <c r="A2603">
        <f>Data_thang!A2603</f>
        <v/>
      </c>
      <c r="B2603">
        <f>Data_thang!B2603</f>
        <v/>
      </c>
      <c r="C2603">
        <f>Data_thang!D2603</f>
        <v/>
      </c>
      <c r="D2603">
        <f>Data_thang!E2603</f>
        <v/>
      </c>
      <c r="E2603">
        <f>Data_thang!F2603</f>
        <v/>
      </c>
      <c r="F2603">
        <f>Data_thang!G2603</f>
        <v/>
      </c>
      <c r="G2603" s="29">
        <f>Data_thang!J2603-Data_thang!K2603</f>
        <v/>
      </c>
      <c r="H2603" s="29">
        <f>Data_thang!N2603</f>
        <v/>
      </c>
      <c r="I2603" s="29">
        <f>H2603-G2603</f>
        <v/>
      </c>
      <c r="J2603" s="30">
        <f>IF(H2603=0,IF(I2603=0,0,1),I2603/ABS(H2603))</f>
        <v/>
      </c>
      <c r="K2603" s="29">
        <f>H2603-(Data_thang!O2603-Data_thang!K2603)</f>
        <v/>
      </c>
      <c r="L2603">
        <f>IF(AND(ABS(I2603)&gt;Dashboard!$G$6,ABS(J2603)&gt;Dashboard!$H$6),"⚠ Vượt","")</f>
        <v/>
      </c>
      <c r="M2603">
        <f>IF(AND(A2603=Dashboard!$D$6,OR(Dashboard!$C$6="*",F2603=Dashboard!$C$6),L2603&lt;&gt;""),ABS(I2603)+ROW()/1000000000,0)</f>
        <v/>
      </c>
    </row>
    <row r="2604">
      <c r="A2604">
        <f>Data_thang!A2604</f>
        <v/>
      </c>
      <c r="B2604">
        <f>Data_thang!B2604</f>
        <v/>
      </c>
      <c r="C2604">
        <f>Data_thang!D2604</f>
        <v/>
      </c>
      <c r="D2604">
        <f>Data_thang!E2604</f>
        <v/>
      </c>
      <c r="E2604">
        <f>Data_thang!F2604</f>
        <v/>
      </c>
      <c r="F2604">
        <f>Data_thang!G2604</f>
        <v/>
      </c>
      <c r="G2604" s="29">
        <f>Data_thang!J2604-Data_thang!K2604</f>
        <v/>
      </c>
      <c r="H2604" s="29">
        <f>Data_thang!N2604</f>
        <v/>
      </c>
      <c r="I2604" s="29">
        <f>H2604-G2604</f>
        <v/>
      </c>
      <c r="J2604" s="30">
        <f>IF(H2604=0,IF(I2604=0,0,1),I2604/ABS(H2604))</f>
        <v/>
      </c>
      <c r="K2604" s="29">
        <f>H2604-(Data_thang!O2604-Data_thang!K2604)</f>
        <v/>
      </c>
      <c r="L2604">
        <f>IF(AND(ABS(I2604)&gt;Dashboard!$G$6,ABS(J2604)&gt;Dashboard!$H$6),"⚠ Vượt","")</f>
        <v/>
      </c>
      <c r="M2604">
        <f>IF(AND(A2604=Dashboard!$D$6,OR(Dashboard!$C$6="*",F2604=Dashboard!$C$6),L2604&lt;&gt;""),ABS(I2604)+ROW()/1000000000,0)</f>
        <v/>
      </c>
    </row>
    <row r="2605">
      <c r="A2605">
        <f>Data_thang!A2605</f>
        <v/>
      </c>
      <c r="B2605">
        <f>Data_thang!B2605</f>
        <v/>
      </c>
      <c r="C2605">
        <f>Data_thang!D2605</f>
        <v/>
      </c>
      <c r="D2605">
        <f>Data_thang!E2605</f>
        <v/>
      </c>
      <c r="E2605">
        <f>Data_thang!F2605</f>
        <v/>
      </c>
      <c r="F2605">
        <f>Data_thang!G2605</f>
        <v/>
      </c>
      <c r="G2605" s="29">
        <f>Data_thang!J2605-Data_thang!K2605</f>
        <v/>
      </c>
      <c r="H2605" s="29">
        <f>Data_thang!N2605</f>
        <v/>
      </c>
      <c r="I2605" s="29">
        <f>H2605-G2605</f>
        <v/>
      </c>
      <c r="J2605" s="30">
        <f>IF(H2605=0,IF(I2605=0,0,1),I2605/ABS(H2605))</f>
        <v/>
      </c>
      <c r="K2605" s="29">
        <f>H2605-(Data_thang!O2605-Data_thang!K2605)</f>
        <v/>
      </c>
      <c r="L2605">
        <f>IF(AND(ABS(I2605)&gt;Dashboard!$G$6,ABS(J2605)&gt;Dashboard!$H$6),"⚠ Vượt","")</f>
        <v/>
      </c>
      <c r="M2605">
        <f>IF(AND(A2605=Dashboard!$D$6,OR(Dashboard!$C$6="*",F2605=Dashboard!$C$6),L2605&lt;&gt;""),ABS(I2605)+ROW()/1000000000,0)</f>
        <v/>
      </c>
    </row>
    <row r="2606">
      <c r="A2606">
        <f>Data_thang!A2606</f>
        <v/>
      </c>
      <c r="B2606">
        <f>Data_thang!B2606</f>
        <v/>
      </c>
      <c r="C2606">
        <f>Data_thang!D2606</f>
        <v/>
      </c>
      <c r="D2606">
        <f>Data_thang!E2606</f>
        <v/>
      </c>
      <c r="E2606">
        <f>Data_thang!F2606</f>
        <v/>
      </c>
      <c r="F2606">
        <f>Data_thang!G2606</f>
        <v/>
      </c>
      <c r="G2606" s="29">
        <f>Data_thang!J2606-Data_thang!K2606</f>
        <v/>
      </c>
      <c r="H2606" s="29">
        <f>Data_thang!N2606</f>
        <v/>
      </c>
      <c r="I2606" s="29">
        <f>H2606-G2606</f>
        <v/>
      </c>
      <c r="J2606" s="30">
        <f>IF(H2606=0,IF(I2606=0,0,1),I2606/ABS(H2606))</f>
        <v/>
      </c>
      <c r="K2606" s="29">
        <f>H2606-(Data_thang!O2606-Data_thang!K2606)</f>
        <v/>
      </c>
      <c r="L2606">
        <f>IF(AND(ABS(I2606)&gt;Dashboard!$G$6,ABS(J2606)&gt;Dashboard!$H$6),"⚠ Vượt","")</f>
        <v/>
      </c>
      <c r="M2606">
        <f>IF(AND(A2606=Dashboard!$D$6,OR(Dashboard!$C$6="*",F2606=Dashboard!$C$6),L2606&lt;&gt;""),ABS(I2606)+ROW()/1000000000,0)</f>
        <v/>
      </c>
    </row>
    <row r="2607">
      <c r="A2607">
        <f>Data_thang!A2607</f>
        <v/>
      </c>
      <c r="B2607">
        <f>Data_thang!B2607</f>
        <v/>
      </c>
      <c r="C2607">
        <f>Data_thang!D2607</f>
        <v/>
      </c>
      <c r="D2607">
        <f>Data_thang!E2607</f>
        <v/>
      </c>
      <c r="E2607">
        <f>Data_thang!F2607</f>
        <v/>
      </c>
      <c r="F2607">
        <f>Data_thang!G2607</f>
        <v/>
      </c>
      <c r="G2607" s="29">
        <f>Data_thang!J2607-Data_thang!K2607</f>
        <v/>
      </c>
      <c r="H2607" s="29">
        <f>Data_thang!N2607</f>
        <v/>
      </c>
      <c r="I2607" s="29">
        <f>H2607-G2607</f>
        <v/>
      </c>
      <c r="J2607" s="30">
        <f>IF(H2607=0,IF(I2607=0,0,1),I2607/ABS(H2607))</f>
        <v/>
      </c>
      <c r="K2607" s="29">
        <f>H2607-(Data_thang!O2607-Data_thang!K2607)</f>
        <v/>
      </c>
      <c r="L2607">
        <f>IF(AND(ABS(I2607)&gt;Dashboard!$G$6,ABS(J2607)&gt;Dashboard!$H$6),"⚠ Vượt","")</f>
        <v/>
      </c>
      <c r="M2607">
        <f>IF(AND(A2607=Dashboard!$D$6,OR(Dashboard!$C$6="*",F2607=Dashboard!$C$6),L2607&lt;&gt;""),ABS(I2607)+ROW()/1000000000,0)</f>
        <v/>
      </c>
    </row>
    <row r="2608">
      <c r="A2608">
        <f>Data_thang!A2608</f>
        <v/>
      </c>
      <c r="B2608">
        <f>Data_thang!B2608</f>
        <v/>
      </c>
      <c r="C2608">
        <f>Data_thang!D2608</f>
        <v/>
      </c>
      <c r="D2608">
        <f>Data_thang!E2608</f>
        <v/>
      </c>
      <c r="E2608">
        <f>Data_thang!F2608</f>
        <v/>
      </c>
      <c r="F2608">
        <f>Data_thang!G2608</f>
        <v/>
      </c>
      <c r="G2608" s="29">
        <f>Data_thang!J2608-Data_thang!K2608</f>
        <v/>
      </c>
      <c r="H2608" s="29">
        <f>Data_thang!N2608</f>
        <v/>
      </c>
      <c r="I2608" s="29">
        <f>H2608-G2608</f>
        <v/>
      </c>
      <c r="J2608" s="30">
        <f>IF(H2608=0,IF(I2608=0,0,1),I2608/ABS(H2608))</f>
        <v/>
      </c>
      <c r="K2608" s="29">
        <f>H2608-(Data_thang!O2608-Data_thang!K2608)</f>
        <v/>
      </c>
      <c r="L2608">
        <f>IF(AND(ABS(I2608)&gt;Dashboard!$G$6,ABS(J2608)&gt;Dashboard!$H$6),"⚠ Vượt","")</f>
        <v/>
      </c>
      <c r="M2608">
        <f>IF(AND(A2608=Dashboard!$D$6,OR(Dashboard!$C$6="*",F2608=Dashboard!$C$6),L2608&lt;&gt;""),ABS(I2608)+ROW()/1000000000,0)</f>
        <v/>
      </c>
    </row>
    <row r="2609">
      <c r="A2609">
        <f>Data_thang!A2609</f>
        <v/>
      </c>
      <c r="B2609">
        <f>Data_thang!B2609</f>
        <v/>
      </c>
      <c r="C2609">
        <f>Data_thang!D2609</f>
        <v/>
      </c>
      <c r="D2609">
        <f>Data_thang!E2609</f>
        <v/>
      </c>
      <c r="E2609">
        <f>Data_thang!F2609</f>
        <v/>
      </c>
      <c r="F2609">
        <f>Data_thang!G2609</f>
        <v/>
      </c>
      <c r="G2609" s="29">
        <f>Data_thang!J2609-Data_thang!K2609</f>
        <v/>
      </c>
      <c r="H2609" s="29">
        <f>Data_thang!N2609</f>
        <v/>
      </c>
      <c r="I2609" s="29">
        <f>H2609-G2609</f>
        <v/>
      </c>
      <c r="J2609" s="30">
        <f>IF(H2609=0,IF(I2609=0,0,1),I2609/ABS(H2609))</f>
        <v/>
      </c>
      <c r="K2609" s="29">
        <f>H2609-(Data_thang!O2609-Data_thang!K2609)</f>
        <v/>
      </c>
      <c r="L2609">
        <f>IF(AND(ABS(I2609)&gt;Dashboard!$G$6,ABS(J2609)&gt;Dashboard!$H$6),"⚠ Vượt","")</f>
        <v/>
      </c>
      <c r="M2609">
        <f>IF(AND(A2609=Dashboard!$D$6,OR(Dashboard!$C$6="*",F2609=Dashboard!$C$6),L2609&lt;&gt;""),ABS(I2609)+ROW()/1000000000,0)</f>
        <v/>
      </c>
    </row>
    <row r="2610">
      <c r="A2610">
        <f>Data_thang!A2610</f>
        <v/>
      </c>
      <c r="B2610">
        <f>Data_thang!B2610</f>
        <v/>
      </c>
      <c r="C2610">
        <f>Data_thang!D2610</f>
        <v/>
      </c>
      <c r="D2610">
        <f>Data_thang!E2610</f>
        <v/>
      </c>
      <c r="E2610">
        <f>Data_thang!F2610</f>
        <v/>
      </c>
      <c r="F2610">
        <f>Data_thang!G2610</f>
        <v/>
      </c>
      <c r="G2610" s="29">
        <f>Data_thang!J2610-Data_thang!K2610</f>
        <v/>
      </c>
      <c r="H2610" s="29">
        <f>Data_thang!N2610</f>
        <v/>
      </c>
      <c r="I2610" s="29">
        <f>H2610-G2610</f>
        <v/>
      </c>
      <c r="J2610" s="30">
        <f>IF(H2610=0,IF(I2610=0,0,1),I2610/ABS(H2610))</f>
        <v/>
      </c>
      <c r="K2610" s="29">
        <f>H2610-(Data_thang!O2610-Data_thang!K2610)</f>
        <v/>
      </c>
      <c r="L2610">
        <f>IF(AND(ABS(I2610)&gt;Dashboard!$G$6,ABS(J2610)&gt;Dashboard!$H$6),"⚠ Vượt","")</f>
        <v/>
      </c>
      <c r="M2610">
        <f>IF(AND(A2610=Dashboard!$D$6,OR(Dashboard!$C$6="*",F2610=Dashboard!$C$6),L2610&lt;&gt;""),ABS(I2610)+ROW()/1000000000,0)</f>
        <v/>
      </c>
    </row>
    <row r="2611">
      <c r="A2611">
        <f>Data_thang!A2611</f>
        <v/>
      </c>
      <c r="B2611">
        <f>Data_thang!B2611</f>
        <v/>
      </c>
      <c r="C2611">
        <f>Data_thang!D2611</f>
        <v/>
      </c>
      <c r="D2611">
        <f>Data_thang!E2611</f>
        <v/>
      </c>
      <c r="E2611">
        <f>Data_thang!F2611</f>
        <v/>
      </c>
      <c r="F2611">
        <f>Data_thang!G2611</f>
        <v/>
      </c>
      <c r="G2611" s="29">
        <f>Data_thang!J2611-Data_thang!K2611</f>
        <v/>
      </c>
      <c r="H2611" s="29">
        <f>Data_thang!N2611</f>
        <v/>
      </c>
      <c r="I2611" s="29">
        <f>H2611-G2611</f>
        <v/>
      </c>
      <c r="J2611" s="30">
        <f>IF(H2611=0,IF(I2611=0,0,1),I2611/ABS(H2611))</f>
        <v/>
      </c>
      <c r="K2611" s="29">
        <f>H2611-(Data_thang!O2611-Data_thang!K2611)</f>
        <v/>
      </c>
      <c r="L2611">
        <f>IF(AND(ABS(I2611)&gt;Dashboard!$G$6,ABS(J2611)&gt;Dashboard!$H$6),"⚠ Vượt","")</f>
        <v/>
      </c>
      <c r="M2611">
        <f>IF(AND(A2611=Dashboard!$D$6,OR(Dashboard!$C$6="*",F2611=Dashboard!$C$6),L2611&lt;&gt;""),ABS(I2611)+ROW()/1000000000,0)</f>
        <v/>
      </c>
    </row>
    <row r="2612">
      <c r="A2612">
        <f>Data_thang!A2612</f>
        <v/>
      </c>
      <c r="B2612">
        <f>Data_thang!B2612</f>
        <v/>
      </c>
      <c r="C2612">
        <f>Data_thang!D2612</f>
        <v/>
      </c>
      <c r="D2612">
        <f>Data_thang!E2612</f>
        <v/>
      </c>
      <c r="E2612">
        <f>Data_thang!F2612</f>
        <v/>
      </c>
      <c r="F2612">
        <f>Data_thang!G2612</f>
        <v/>
      </c>
      <c r="G2612" s="29">
        <f>Data_thang!J2612-Data_thang!K2612</f>
        <v/>
      </c>
      <c r="H2612" s="29">
        <f>Data_thang!N2612</f>
        <v/>
      </c>
      <c r="I2612" s="29">
        <f>H2612-G2612</f>
        <v/>
      </c>
      <c r="J2612" s="30">
        <f>IF(H2612=0,IF(I2612=0,0,1),I2612/ABS(H2612))</f>
        <v/>
      </c>
      <c r="K2612" s="29">
        <f>H2612-(Data_thang!O2612-Data_thang!K2612)</f>
        <v/>
      </c>
      <c r="L2612">
        <f>IF(AND(ABS(I2612)&gt;Dashboard!$G$6,ABS(J2612)&gt;Dashboard!$H$6),"⚠ Vượt","")</f>
        <v/>
      </c>
      <c r="M2612">
        <f>IF(AND(A2612=Dashboard!$D$6,OR(Dashboard!$C$6="*",F2612=Dashboard!$C$6),L2612&lt;&gt;""),ABS(I2612)+ROW()/1000000000,0)</f>
        <v/>
      </c>
    </row>
    <row r="2613">
      <c r="A2613">
        <f>Data_thang!A2613</f>
        <v/>
      </c>
      <c r="B2613">
        <f>Data_thang!B2613</f>
        <v/>
      </c>
      <c r="C2613">
        <f>Data_thang!D2613</f>
        <v/>
      </c>
      <c r="D2613">
        <f>Data_thang!E2613</f>
        <v/>
      </c>
      <c r="E2613">
        <f>Data_thang!F2613</f>
        <v/>
      </c>
      <c r="F2613">
        <f>Data_thang!G2613</f>
        <v/>
      </c>
      <c r="G2613" s="29">
        <f>Data_thang!J2613-Data_thang!K2613</f>
        <v/>
      </c>
      <c r="H2613" s="29">
        <f>Data_thang!N2613</f>
        <v/>
      </c>
      <c r="I2613" s="29">
        <f>H2613-G2613</f>
        <v/>
      </c>
      <c r="J2613" s="30">
        <f>IF(H2613=0,IF(I2613=0,0,1),I2613/ABS(H2613))</f>
        <v/>
      </c>
      <c r="K2613" s="29">
        <f>H2613-(Data_thang!O2613-Data_thang!K2613)</f>
        <v/>
      </c>
      <c r="L2613">
        <f>IF(AND(ABS(I2613)&gt;Dashboard!$G$6,ABS(J2613)&gt;Dashboard!$H$6),"⚠ Vượt","")</f>
        <v/>
      </c>
      <c r="M2613">
        <f>IF(AND(A2613=Dashboard!$D$6,OR(Dashboard!$C$6="*",F2613=Dashboard!$C$6),L2613&lt;&gt;""),ABS(I2613)+ROW()/1000000000,0)</f>
        <v/>
      </c>
    </row>
    <row r="2614">
      <c r="A2614">
        <f>Data_thang!A2614</f>
        <v/>
      </c>
      <c r="B2614">
        <f>Data_thang!B2614</f>
        <v/>
      </c>
      <c r="C2614">
        <f>Data_thang!D2614</f>
        <v/>
      </c>
      <c r="D2614">
        <f>Data_thang!E2614</f>
        <v/>
      </c>
      <c r="E2614">
        <f>Data_thang!F2614</f>
        <v/>
      </c>
      <c r="F2614">
        <f>Data_thang!G2614</f>
        <v/>
      </c>
      <c r="G2614" s="29">
        <f>Data_thang!J2614-Data_thang!K2614</f>
        <v/>
      </c>
      <c r="H2614" s="29">
        <f>Data_thang!N2614</f>
        <v/>
      </c>
      <c r="I2614" s="29">
        <f>H2614-G2614</f>
        <v/>
      </c>
      <c r="J2614" s="30">
        <f>IF(H2614=0,IF(I2614=0,0,1),I2614/ABS(H2614))</f>
        <v/>
      </c>
      <c r="K2614" s="29">
        <f>H2614-(Data_thang!O2614-Data_thang!K2614)</f>
        <v/>
      </c>
      <c r="L2614">
        <f>IF(AND(ABS(I2614)&gt;Dashboard!$G$6,ABS(J2614)&gt;Dashboard!$H$6),"⚠ Vượt","")</f>
        <v/>
      </c>
      <c r="M2614">
        <f>IF(AND(A2614=Dashboard!$D$6,OR(Dashboard!$C$6="*",F2614=Dashboard!$C$6),L2614&lt;&gt;""),ABS(I2614)+ROW()/1000000000,0)</f>
        <v/>
      </c>
    </row>
    <row r="2615">
      <c r="A2615">
        <f>Data_thang!A2615</f>
        <v/>
      </c>
      <c r="B2615">
        <f>Data_thang!B2615</f>
        <v/>
      </c>
      <c r="C2615">
        <f>Data_thang!D2615</f>
        <v/>
      </c>
      <c r="D2615">
        <f>Data_thang!E2615</f>
        <v/>
      </c>
      <c r="E2615">
        <f>Data_thang!F2615</f>
        <v/>
      </c>
      <c r="F2615">
        <f>Data_thang!G2615</f>
        <v/>
      </c>
      <c r="G2615" s="29">
        <f>Data_thang!J2615-Data_thang!K2615</f>
        <v/>
      </c>
      <c r="H2615" s="29">
        <f>Data_thang!N2615</f>
        <v/>
      </c>
      <c r="I2615" s="29">
        <f>H2615-G2615</f>
        <v/>
      </c>
      <c r="J2615" s="30">
        <f>IF(H2615=0,IF(I2615=0,0,1),I2615/ABS(H2615))</f>
        <v/>
      </c>
      <c r="K2615" s="29">
        <f>H2615-(Data_thang!O2615-Data_thang!K2615)</f>
        <v/>
      </c>
      <c r="L2615">
        <f>IF(AND(ABS(I2615)&gt;Dashboard!$G$6,ABS(J2615)&gt;Dashboard!$H$6),"⚠ Vượt","")</f>
        <v/>
      </c>
      <c r="M2615">
        <f>IF(AND(A2615=Dashboard!$D$6,OR(Dashboard!$C$6="*",F2615=Dashboard!$C$6),L2615&lt;&gt;""),ABS(I2615)+ROW()/1000000000,0)</f>
        <v/>
      </c>
    </row>
    <row r="2616">
      <c r="A2616">
        <f>Data_thang!A2616</f>
        <v/>
      </c>
      <c r="B2616">
        <f>Data_thang!B2616</f>
        <v/>
      </c>
      <c r="C2616">
        <f>Data_thang!D2616</f>
        <v/>
      </c>
      <c r="D2616">
        <f>Data_thang!E2616</f>
        <v/>
      </c>
      <c r="E2616">
        <f>Data_thang!F2616</f>
        <v/>
      </c>
      <c r="F2616">
        <f>Data_thang!G2616</f>
        <v/>
      </c>
      <c r="G2616" s="29">
        <f>Data_thang!J2616-Data_thang!K2616</f>
        <v/>
      </c>
      <c r="H2616" s="29">
        <f>Data_thang!N2616</f>
        <v/>
      </c>
      <c r="I2616" s="29">
        <f>H2616-G2616</f>
        <v/>
      </c>
      <c r="J2616" s="30">
        <f>IF(H2616=0,IF(I2616=0,0,1),I2616/ABS(H2616))</f>
        <v/>
      </c>
      <c r="K2616" s="29">
        <f>H2616-(Data_thang!O2616-Data_thang!K2616)</f>
        <v/>
      </c>
      <c r="L2616">
        <f>IF(AND(ABS(I2616)&gt;Dashboard!$G$6,ABS(J2616)&gt;Dashboard!$H$6),"⚠ Vượt","")</f>
        <v/>
      </c>
      <c r="M2616">
        <f>IF(AND(A2616=Dashboard!$D$6,OR(Dashboard!$C$6="*",F2616=Dashboard!$C$6),L2616&lt;&gt;""),ABS(I2616)+ROW()/1000000000,0)</f>
        <v/>
      </c>
    </row>
    <row r="2617">
      <c r="A2617">
        <f>Data_thang!A2617</f>
        <v/>
      </c>
      <c r="B2617">
        <f>Data_thang!B2617</f>
        <v/>
      </c>
      <c r="C2617">
        <f>Data_thang!D2617</f>
        <v/>
      </c>
      <c r="D2617">
        <f>Data_thang!E2617</f>
        <v/>
      </c>
      <c r="E2617">
        <f>Data_thang!F2617</f>
        <v/>
      </c>
      <c r="F2617">
        <f>Data_thang!G2617</f>
        <v/>
      </c>
      <c r="G2617" s="29">
        <f>Data_thang!J2617-Data_thang!K2617</f>
        <v/>
      </c>
      <c r="H2617" s="29">
        <f>Data_thang!N2617</f>
        <v/>
      </c>
      <c r="I2617" s="29">
        <f>H2617-G2617</f>
        <v/>
      </c>
      <c r="J2617" s="30">
        <f>IF(H2617=0,IF(I2617=0,0,1),I2617/ABS(H2617))</f>
        <v/>
      </c>
      <c r="K2617" s="29">
        <f>H2617-(Data_thang!O2617-Data_thang!K2617)</f>
        <v/>
      </c>
      <c r="L2617">
        <f>IF(AND(ABS(I2617)&gt;Dashboard!$G$6,ABS(J2617)&gt;Dashboard!$H$6),"⚠ Vượt","")</f>
        <v/>
      </c>
      <c r="M2617">
        <f>IF(AND(A2617=Dashboard!$D$6,OR(Dashboard!$C$6="*",F2617=Dashboard!$C$6),L2617&lt;&gt;""),ABS(I2617)+ROW()/1000000000,0)</f>
        <v/>
      </c>
    </row>
    <row r="2618">
      <c r="A2618">
        <f>Data_thang!A2618</f>
        <v/>
      </c>
      <c r="B2618">
        <f>Data_thang!B2618</f>
        <v/>
      </c>
      <c r="C2618">
        <f>Data_thang!D2618</f>
        <v/>
      </c>
      <c r="D2618">
        <f>Data_thang!E2618</f>
        <v/>
      </c>
      <c r="E2618">
        <f>Data_thang!F2618</f>
        <v/>
      </c>
      <c r="F2618">
        <f>Data_thang!G2618</f>
        <v/>
      </c>
      <c r="G2618" s="29">
        <f>Data_thang!J2618-Data_thang!K2618</f>
        <v/>
      </c>
      <c r="H2618" s="29">
        <f>Data_thang!N2618</f>
        <v/>
      </c>
      <c r="I2618" s="29">
        <f>H2618-G2618</f>
        <v/>
      </c>
      <c r="J2618" s="30">
        <f>IF(H2618=0,IF(I2618=0,0,1),I2618/ABS(H2618))</f>
        <v/>
      </c>
      <c r="K2618" s="29">
        <f>H2618-(Data_thang!O2618-Data_thang!K2618)</f>
        <v/>
      </c>
      <c r="L2618">
        <f>IF(AND(ABS(I2618)&gt;Dashboard!$G$6,ABS(J2618)&gt;Dashboard!$H$6),"⚠ Vượt","")</f>
        <v/>
      </c>
      <c r="M2618">
        <f>IF(AND(A2618=Dashboard!$D$6,OR(Dashboard!$C$6="*",F2618=Dashboard!$C$6),L2618&lt;&gt;""),ABS(I2618)+ROW()/1000000000,0)</f>
        <v/>
      </c>
    </row>
    <row r="2619">
      <c r="A2619">
        <f>Data_thang!A2619</f>
        <v/>
      </c>
      <c r="B2619">
        <f>Data_thang!B2619</f>
        <v/>
      </c>
      <c r="C2619">
        <f>Data_thang!D2619</f>
        <v/>
      </c>
      <c r="D2619">
        <f>Data_thang!E2619</f>
        <v/>
      </c>
      <c r="E2619">
        <f>Data_thang!F2619</f>
        <v/>
      </c>
      <c r="F2619">
        <f>Data_thang!G2619</f>
        <v/>
      </c>
      <c r="G2619" s="29">
        <f>Data_thang!J2619-Data_thang!K2619</f>
        <v/>
      </c>
      <c r="H2619" s="29">
        <f>Data_thang!N2619</f>
        <v/>
      </c>
      <c r="I2619" s="29">
        <f>H2619-G2619</f>
        <v/>
      </c>
      <c r="J2619" s="30">
        <f>IF(H2619=0,IF(I2619=0,0,1),I2619/ABS(H2619))</f>
        <v/>
      </c>
      <c r="K2619" s="29">
        <f>H2619-(Data_thang!O2619-Data_thang!K2619)</f>
        <v/>
      </c>
      <c r="L2619">
        <f>IF(AND(ABS(I2619)&gt;Dashboard!$G$6,ABS(J2619)&gt;Dashboard!$H$6),"⚠ Vượt","")</f>
        <v/>
      </c>
      <c r="M2619">
        <f>IF(AND(A2619=Dashboard!$D$6,OR(Dashboard!$C$6="*",F2619=Dashboard!$C$6),L2619&lt;&gt;""),ABS(I2619)+ROW()/1000000000,0)</f>
        <v/>
      </c>
    </row>
    <row r="2620">
      <c r="A2620">
        <f>Data_thang!A2620</f>
        <v/>
      </c>
      <c r="B2620">
        <f>Data_thang!B2620</f>
        <v/>
      </c>
      <c r="C2620">
        <f>Data_thang!D2620</f>
        <v/>
      </c>
      <c r="D2620">
        <f>Data_thang!E2620</f>
        <v/>
      </c>
      <c r="E2620">
        <f>Data_thang!F2620</f>
        <v/>
      </c>
      <c r="F2620">
        <f>Data_thang!G2620</f>
        <v/>
      </c>
      <c r="G2620" s="29">
        <f>Data_thang!J2620-Data_thang!K2620</f>
        <v/>
      </c>
      <c r="H2620" s="29">
        <f>Data_thang!N2620</f>
        <v/>
      </c>
      <c r="I2620" s="29">
        <f>H2620-G2620</f>
        <v/>
      </c>
      <c r="J2620" s="30">
        <f>IF(H2620=0,IF(I2620=0,0,1),I2620/ABS(H2620))</f>
        <v/>
      </c>
      <c r="K2620" s="29">
        <f>H2620-(Data_thang!O2620-Data_thang!K2620)</f>
        <v/>
      </c>
      <c r="L2620">
        <f>IF(AND(ABS(I2620)&gt;Dashboard!$G$6,ABS(J2620)&gt;Dashboard!$H$6),"⚠ Vượt","")</f>
        <v/>
      </c>
      <c r="M2620">
        <f>IF(AND(A2620=Dashboard!$D$6,OR(Dashboard!$C$6="*",F2620=Dashboard!$C$6),L2620&lt;&gt;""),ABS(I2620)+ROW()/1000000000,0)</f>
        <v/>
      </c>
    </row>
    <row r="2621">
      <c r="A2621">
        <f>Data_thang!A2621</f>
        <v/>
      </c>
      <c r="B2621">
        <f>Data_thang!B2621</f>
        <v/>
      </c>
      <c r="C2621">
        <f>Data_thang!D2621</f>
        <v/>
      </c>
      <c r="D2621">
        <f>Data_thang!E2621</f>
        <v/>
      </c>
      <c r="E2621">
        <f>Data_thang!F2621</f>
        <v/>
      </c>
      <c r="F2621">
        <f>Data_thang!G2621</f>
        <v/>
      </c>
      <c r="G2621" s="29">
        <f>Data_thang!J2621-Data_thang!K2621</f>
        <v/>
      </c>
      <c r="H2621" s="29">
        <f>Data_thang!N2621</f>
        <v/>
      </c>
      <c r="I2621" s="29">
        <f>H2621-G2621</f>
        <v/>
      </c>
      <c r="J2621" s="30">
        <f>IF(H2621=0,IF(I2621=0,0,1),I2621/ABS(H2621))</f>
        <v/>
      </c>
      <c r="K2621" s="29">
        <f>H2621-(Data_thang!O2621-Data_thang!K2621)</f>
        <v/>
      </c>
      <c r="L2621">
        <f>IF(AND(ABS(I2621)&gt;Dashboard!$G$6,ABS(J2621)&gt;Dashboard!$H$6),"⚠ Vượt","")</f>
        <v/>
      </c>
      <c r="M2621">
        <f>IF(AND(A2621=Dashboard!$D$6,OR(Dashboard!$C$6="*",F2621=Dashboard!$C$6),L2621&lt;&gt;""),ABS(I2621)+ROW()/1000000000,0)</f>
        <v/>
      </c>
    </row>
    <row r="2622">
      <c r="A2622">
        <f>Data_thang!A2622</f>
        <v/>
      </c>
      <c r="B2622">
        <f>Data_thang!B2622</f>
        <v/>
      </c>
      <c r="C2622">
        <f>Data_thang!D2622</f>
        <v/>
      </c>
      <c r="D2622">
        <f>Data_thang!E2622</f>
        <v/>
      </c>
      <c r="E2622">
        <f>Data_thang!F2622</f>
        <v/>
      </c>
      <c r="F2622">
        <f>Data_thang!G2622</f>
        <v/>
      </c>
      <c r="G2622" s="29">
        <f>Data_thang!J2622-Data_thang!K2622</f>
        <v/>
      </c>
      <c r="H2622" s="29">
        <f>Data_thang!N2622</f>
        <v/>
      </c>
      <c r="I2622" s="29">
        <f>H2622-G2622</f>
        <v/>
      </c>
      <c r="J2622" s="30">
        <f>IF(H2622=0,IF(I2622=0,0,1),I2622/ABS(H2622))</f>
        <v/>
      </c>
      <c r="K2622" s="29">
        <f>H2622-(Data_thang!O2622-Data_thang!K2622)</f>
        <v/>
      </c>
      <c r="L2622">
        <f>IF(AND(ABS(I2622)&gt;Dashboard!$G$6,ABS(J2622)&gt;Dashboard!$H$6),"⚠ Vượt","")</f>
        <v/>
      </c>
      <c r="M2622">
        <f>IF(AND(A2622=Dashboard!$D$6,OR(Dashboard!$C$6="*",F2622=Dashboard!$C$6),L2622&lt;&gt;""),ABS(I2622)+ROW()/1000000000,0)</f>
        <v/>
      </c>
    </row>
    <row r="2623">
      <c r="A2623">
        <f>Data_thang!A2623</f>
        <v/>
      </c>
      <c r="B2623">
        <f>Data_thang!B2623</f>
        <v/>
      </c>
      <c r="C2623">
        <f>Data_thang!D2623</f>
        <v/>
      </c>
      <c r="D2623">
        <f>Data_thang!E2623</f>
        <v/>
      </c>
      <c r="E2623">
        <f>Data_thang!F2623</f>
        <v/>
      </c>
      <c r="F2623">
        <f>Data_thang!G2623</f>
        <v/>
      </c>
      <c r="G2623" s="29">
        <f>Data_thang!J2623-Data_thang!K2623</f>
        <v/>
      </c>
      <c r="H2623" s="29">
        <f>Data_thang!N2623</f>
        <v/>
      </c>
      <c r="I2623" s="29">
        <f>H2623-G2623</f>
        <v/>
      </c>
      <c r="J2623" s="30">
        <f>IF(H2623=0,IF(I2623=0,0,1),I2623/ABS(H2623))</f>
        <v/>
      </c>
      <c r="K2623" s="29">
        <f>H2623-(Data_thang!O2623-Data_thang!K2623)</f>
        <v/>
      </c>
      <c r="L2623">
        <f>IF(AND(ABS(I2623)&gt;Dashboard!$G$6,ABS(J2623)&gt;Dashboard!$H$6),"⚠ Vượt","")</f>
        <v/>
      </c>
      <c r="M2623">
        <f>IF(AND(A2623=Dashboard!$D$6,OR(Dashboard!$C$6="*",F2623=Dashboard!$C$6),L2623&lt;&gt;""),ABS(I2623)+ROW()/1000000000,0)</f>
        <v/>
      </c>
    </row>
    <row r="2624">
      <c r="A2624">
        <f>Data_thang!A2624</f>
        <v/>
      </c>
      <c r="B2624">
        <f>Data_thang!B2624</f>
        <v/>
      </c>
      <c r="C2624">
        <f>Data_thang!D2624</f>
        <v/>
      </c>
      <c r="D2624">
        <f>Data_thang!E2624</f>
        <v/>
      </c>
      <c r="E2624">
        <f>Data_thang!F2624</f>
        <v/>
      </c>
      <c r="F2624">
        <f>Data_thang!G2624</f>
        <v/>
      </c>
      <c r="G2624" s="29">
        <f>Data_thang!J2624-Data_thang!K2624</f>
        <v/>
      </c>
      <c r="H2624" s="29">
        <f>Data_thang!N2624</f>
        <v/>
      </c>
      <c r="I2624" s="29">
        <f>H2624-G2624</f>
        <v/>
      </c>
      <c r="J2624" s="30">
        <f>IF(H2624=0,IF(I2624=0,0,1),I2624/ABS(H2624))</f>
        <v/>
      </c>
      <c r="K2624" s="29">
        <f>H2624-(Data_thang!O2624-Data_thang!K2624)</f>
        <v/>
      </c>
      <c r="L2624">
        <f>IF(AND(ABS(I2624)&gt;Dashboard!$G$6,ABS(J2624)&gt;Dashboard!$H$6),"⚠ Vượt","")</f>
        <v/>
      </c>
      <c r="M2624">
        <f>IF(AND(A2624=Dashboard!$D$6,OR(Dashboard!$C$6="*",F2624=Dashboard!$C$6),L2624&lt;&gt;""),ABS(I2624)+ROW()/1000000000,0)</f>
        <v/>
      </c>
    </row>
    <row r="2625">
      <c r="A2625">
        <f>Data_thang!A2625</f>
        <v/>
      </c>
      <c r="B2625">
        <f>Data_thang!B2625</f>
        <v/>
      </c>
      <c r="C2625">
        <f>Data_thang!D2625</f>
        <v/>
      </c>
      <c r="D2625">
        <f>Data_thang!E2625</f>
        <v/>
      </c>
      <c r="E2625">
        <f>Data_thang!F2625</f>
        <v/>
      </c>
      <c r="F2625">
        <f>Data_thang!G2625</f>
        <v/>
      </c>
      <c r="G2625" s="29">
        <f>Data_thang!J2625-Data_thang!K2625</f>
        <v/>
      </c>
      <c r="H2625" s="29">
        <f>Data_thang!N2625</f>
        <v/>
      </c>
      <c r="I2625" s="29">
        <f>H2625-G2625</f>
        <v/>
      </c>
      <c r="J2625" s="30">
        <f>IF(H2625=0,IF(I2625=0,0,1),I2625/ABS(H2625))</f>
        <v/>
      </c>
      <c r="K2625" s="29">
        <f>H2625-(Data_thang!O2625-Data_thang!K2625)</f>
        <v/>
      </c>
      <c r="L2625">
        <f>IF(AND(ABS(I2625)&gt;Dashboard!$G$6,ABS(J2625)&gt;Dashboard!$H$6),"⚠ Vượt","")</f>
        <v/>
      </c>
      <c r="M2625">
        <f>IF(AND(A2625=Dashboard!$D$6,OR(Dashboard!$C$6="*",F2625=Dashboard!$C$6),L2625&lt;&gt;""),ABS(I2625)+ROW()/1000000000,0)</f>
        <v/>
      </c>
    </row>
    <row r="2626">
      <c r="A2626">
        <f>Data_thang!A2626</f>
        <v/>
      </c>
      <c r="B2626">
        <f>Data_thang!B2626</f>
        <v/>
      </c>
      <c r="C2626">
        <f>Data_thang!D2626</f>
        <v/>
      </c>
      <c r="D2626">
        <f>Data_thang!E2626</f>
        <v/>
      </c>
      <c r="E2626">
        <f>Data_thang!F2626</f>
        <v/>
      </c>
      <c r="F2626">
        <f>Data_thang!G2626</f>
        <v/>
      </c>
      <c r="G2626" s="29">
        <f>Data_thang!J2626-Data_thang!K2626</f>
        <v/>
      </c>
      <c r="H2626" s="29">
        <f>Data_thang!N2626</f>
        <v/>
      </c>
      <c r="I2626" s="29">
        <f>H2626-G2626</f>
        <v/>
      </c>
      <c r="J2626" s="30">
        <f>IF(H2626=0,IF(I2626=0,0,1),I2626/ABS(H2626))</f>
        <v/>
      </c>
      <c r="K2626" s="29">
        <f>H2626-(Data_thang!O2626-Data_thang!K2626)</f>
        <v/>
      </c>
      <c r="L2626">
        <f>IF(AND(ABS(I2626)&gt;Dashboard!$G$6,ABS(J2626)&gt;Dashboard!$H$6),"⚠ Vượt","")</f>
        <v/>
      </c>
      <c r="M2626">
        <f>IF(AND(A2626=Dashboard!$D$6,OR(Dashboard!$C$6="*",F2626=Dashboard!$C$6),L2626&lt;&gt;""),ABS(I2626)+ROW()/1000000000,0)</f>
        <v/>
      </c>
    </row>
    <row r="2627">
      <c r="A2627">
        <f>Data_thang!A2627</f>
        <v/>
      </c>
      <c r="B2627">
        <f>Data_thang!B2627</f>
        <v/>
      </c>
      <c r="C2627">
        <f>Data_thang!D2627</f>
        <v/>
      </c>
      <c r="D2627">
        <f>Data_thang!E2627</f>
        <v/>
      </c>
      <c r="E2627">
        <f>Data_thang!F2627</f>
        <v/>
      </c>
      <c r="F2627">
        <f>Data_thang!G2627</f>
        <v/>
      </c>
      <c r="G2627" s="29">
        <f>Data_thang!J2627-Data_thang!K2627</f>
        <v/>
      </c>
      <c r="H2627" s="29">
        <f>Data_thang!N2627</f>
        <v/>
      </c>
      <c r="I2627" s="29">
        <f>H2627-G2627</f>
        <v/>
      </c>
      <c r="J2627" s="30">
        <f>IF(H2627=0,IF(I2627=0,0,1),I2627/ABS(H2627))</f>
        <v/>
      </c>
      <c r="K2627" s="29">
        <f>H2627-(Data_thang!O2627-Data_thang!K2627)</f>
        <v/>
      </c>
      <c r="L2627">
        <f>IF(AND(ABS(I2627)&gt;Dashboard!$G$6,ABS(J2627)&gt;Dashboard!$H$6),"⚠ Vượt","")</f>
        <v/>
      </c>
      <c r="M2627">
        <f>IF(AND(A2627=Dashboard!$D$6,OR(Dashboard!$C$6="*",F2627=Dashboard!$C$6),L2627&lt;&gt;""),ABS(I2627)+ROW()/1000000000,0)</f>
        <v/>
      </c>
    </row>
    <row r="2628">
      <c r="A2628">
        <f>Data_thang!A2628</f>
        <v/>
      </c>
      <c r="B2628">
        <f>Data_thang!B2628</f>
        <v/>
      </c>
      <c r="C2628">
        <f>Data_thang!D2628</f>
        <v/>
      </c>
      <c r="D2628">
        <f>Data_thang!E2628</f>
        <v/>
      </c>
      <c r="E2628">
        <f>Data_thang!F2628</f>
        <v/>
      </c>
      <c r="F2628">
        <f>Data_thang!G2628</f>
        <v/>
      </c>
      <c r="G2628" s="29">
        <f>Data_thang!J2628-Data_thang!K2628</f>
        <v/>
      </c>
      <c r="H2628" s="29">
        <f>Data_thang!N2628</f>
        <v/>
      </c>
      <c r="I2628" s="29">
        <f>H2628-G2628</f>
        <v/>
      </c>
      <c r="J2628" s="30">
        <f>IF(H2628=0,IF(I2628=0,0,1),I2628/ABS(H2628))</f>
        <v/>
      </c>
      <c r="K2628" s="29">
        <f>H2628-(Data_thang!O2628-Data_thang!K2628)</f>
        <v/>
      </c>
      <c r="L2628">
        <f>IF(AND(ABS(I2628)&gt;Dashboard!$G$6,ABS(J2628)&gt;Dashboard!$H$6),"⚠ Vượt","")</f>
        <v/>
      </c>
      <c r="M2628">
        <f>IF(AND(A2628=Dashboard!$D$6,OR(Dashboard!$C$6="*",F2628=Dashboard!$C$6),L2628&lt;&gt;""),ABS(I2628)+ROW()/1000000000,0)</f>
        <v/>
      </c>
    </row>
    <row r="2629">
      <c r="A2629">
        <f>Data_thang!A2629</f>
        <v/>
      </c>
      <c r="B2629">
        <f>Data_thang!B2629</f>
        <v/>
      </c>
      <c r="C2629">
        <f>Data_thang!D2629</f>
        <v/>
      </c>
      <c r="D2629">
        <f>Data_thang!E2629</f>
        <v/>
      </c>
      <c r="E2629">
        <f>Data_thang!F2629</f>
        <v/>
      </c>
      <c r="F2629">
        <f>Data_thang!G2629</f>
        <v/>
      </c>
      <c r="G2629" s="29">
        <f>Data_thang!J2629-Data_thang!K2629</f>
        <v/>
      </c>
      <c r="H2629" s="29">
        <f>Data_thang!N2629</f>
        <v/>
      </c>
      <c r="I2629" s="29">
        <f>H2629-G2629</f>
        <v/>
      </c>
      <c r="J2629" s="30">
        <f>IF(H2629=0,IF(I2629=0,0,1),I2629/ABS(H2629))</f>
        <v/>
      </c>
      <c r="K2629" s="29">
        <f>H2629-(Data_thang!O2629-Data_thang!K2629)</f>
        <v/>
      </c>
      <c r="L2629">
        <f>IF(AND(ABS(I2629)&gt;Dashboard!$G$6,ABS(J2629)&gt;Dashboard!$H$6),"⚠ Vượt","")</f>
        <v/>
      </c>
      <c r="M2629">
        <f>IF(AND(A2629=Dashboard!$D$6,OR(Dashboard!$C$6="*",F2629=Dashboard!$C$6),L2629&lt;&gt;""),ABS(I2629)+ROW()/1000000000,0)</f>
        <v/>
      </c>
    </row>
    <row r="2630">
      <c r="A2630">
        <f>Data_thang!A2630</f>
        <v/>
      </c>
      <c r="B2630">
        <f>Data_thang!B2630</f>
        <v/>
      </c>
      <c r="C2630">
        <f>Data_thang!D2630</f>
        <v/>
      </c>
      <c r="D2630">
        <f>Data_thang!E2630</f>
        <v/>
      </c>
      <c r="E2630">
        <f>Data_thang!F2630</f>
        <v/>
      </c>
      <c r="F2630">
        <f>Data_thang!G2630</f>
        <v/>
      </c>
      <c r="G2630" s="29">
        <f>Data_thang!J2630-Data_thang!K2630</f>
        <v/>
      </c>
      <c r="H2630" s="29">
        <f>Data_thang!N2630</f>
        <v/>
      </c>
      <c r="I2630" s="29">
        <f>H2630-G2630</f>
        <v/>
      </c>
      <c r="J2630" s="30">
        <f>IF(H2630=0,IF(I2630=0,0,1),I2630/ABS(H2630))</f>
        <v/>
      </c>
      <c r="K2630" s="29">
        <f>H2630-(Data_thang!O2630-Data_thang!K2630)</f>
        <v/>
      </c>
      <c r="L2630">
        <f>IF(AND(ABS(I2630)&gt;Dashboard!$G$6,ABS(J2630)&gt;Dashboard!$H$6),"⚠ Vượt","")</f>
        <v/>
      </c>
      <c r="M2630">
        <f>IF(AND(A2630=Dashboard!$D$6,OR(Dashboard!$C$6="*",F2630=Dashboard!$C$6),L2630&lt;&gt;""),ABS(I2630)+ROW()/1000000000,0)</f>
        <v/>
      </c>
    </row>
    <row r="2631">
      <c r="A2631">
        <f>Data_thang!A2631</f>
        <v/>
      </c>
      <c r="B2631">
        <f>Data_thang!B2631</f>
        <v/>
      </c>
      <c r="C2631">
        <f>Data_thang!D2631</f>
        <v/>
      </c>
      <c r="D2631">
        <f>Data_thang!E2631</f>
        <v/>
      </c>
      <c r="E2631">
        <f>Data_thang!F2631</f>
        <v/>
      </c>
      <c r="F2631">
        <f>Data_thang!G2631</f>
        <v/>
      </c>
      <c r="G2631" s="29">
        <f>Data_thang!J2631-Data_thang!K2631</f>
        <v/>
      </c>
      <c r="H2631" s="29">
        <f>Data_thang!N2631</f>
        <v/>
      </c>
      <c r="I2631" s="29">
        <f>H2631-G2631</f>
        <v/>
      </c>
      <c r="J2631" s="30">
        <f>IF(H2631=0,IF(I2631=0,0,1),I2631/ABS(H2631))</f>
        <v/>
      </c>
      <c r="K2631" s="29">
        <f>H2631-(Data_thang!O2631-Data_thang!K2631)</f>
        <v/>
      </c>
      <c r="L2631">
        <f>IF(AND(ABS(I2631)&gt;Dashboard!$G$6,ABS(J2631)&gt;Dashboard!$H$6),"⚠ Vượt","")</f>
        <v/>
      </c>
      <c r="M2631">
        <f>IF(AND(A2631=Dashboard!$D$6,OR(Dashboard!$C$6="*",F2631=Dashboard!$C$6),L2631&lt;&gt;""),ABS(I2631)+ROW()/1000000000,0)</f>
        <v/>
      </c>
    </row>
    <row r="2632">
      <c r="A2632">
        <f>Data_thang!A2632</f>
        <v/>
      </c>
      <c r="B2632">
        <f>Data_thang!B2632</f>
        <v/>
      </c>
      <c r="C2632">
        <f>Data_thang!D2632</f>
        <v/>
      </c>
      <c r="D2632">
        <f>Data_thang!E2632</f>
        <v/>
      </c>
      <c r="E2632">
        <f>Data_thang!F2632</f>
        <v/>
      </c>
      <c r="F2632">
        <f>Data_thang!G2632</f>
        <v/>
      </c>
      <c r="G2632" s="29">
        <f>Data_thang!J2632-Data_thang!K2632</f>
        <v/>
      </c>
      <c r="H2632" s="29">
        <f>Data_thang!N2632</f>
        <v/>
      </c>
      <c r="I2632" s="29">
        <f>H2632-G2632</f>
        <v/>
      </c>
      <c r="J2632" s="30">
        <f>IF(H2632=0,IF(I2632=0,0,1),I2632/ABS(H2632))</f>
        <v/>
      </c>
      <c r="K2632" s="29">
        <f>H2632-(Data_thang!O2632-Data_thang!K2632)</f>
        <v/>
      </c>
      <c r="L2632">
        <f>IF(AND(ABS(I2632)&gt;Dashboard!$G$6,ABS(J2632)&gt;Dashboard!$H$6),"⚠ Vượt","")</f>
        <v/>
      </c>
      <c r="M2632">
        <f>IF(AND(A2632=Dashboard!$D$6,OR(Dashboard!$C$6="*",F2632=Dashboard!$C$6),L2632&lt;&gt;""),ABS(I2632)+ROW()/1000000000,0)</f>
        <v/>
      </c>
    </row>
    <row r="2633">
      <c r="A2633">
        <f>Data_thang!A2633</f>
        <v/>
      </c>
      <c r="B2633">
        <f>Data_thang!B2633</f>
        <v/>
      </c>
      <c r="C2633">
        <f>Data_thang!D2633</f>
        <v/>
      </c>
      <c r="D2633">
        <f>Data_thang!E2633</f>
        <v/>
      </c>
      <c r="E2633">
        <f>Data_thang!F2633</f>
        <v/>
      </c>
      <c r="F2633">
        <f>Data_thang!G2633</f>
        <v/>
      </c>
      <c r="G2633" s="29">
        <f>Data_thang!J2633-Data_thang!K2633</f>
        <v/>
      </c>
      <c r="H2633" s="29">
        <f>Data_thang!N2633</f>
        <v/>
      </c>
      <c r="I2633" s="29">
        <f>H2633-G2633</f>
        <v/>
      </c>
      <c r="J2633" s="30">
        <f>IF(H2633=0,IF(I2633=0,0,1),I2633/ABS(H2633))</f>
        <v/>
      </c>
      <c r="K2633" s="29">
        <f>H2633-(Data_thang!O2633-Data_thang!K2633)</f>
        <v/>
      </c>
      <c r="L2633">
        <f>IF(AND(ABS(I2633)&gt;Dashboard!$G$6,ABS(J2633)&gt;Dashboard!$H$6),"⚠ Vượt","")</f>
        <v/>
      </c>
      <c r="M2633">
        <f>IF(AND(A2633=Dashboard!$D$6,OR(Dashboard!$C$6="*",F2633=Dashboard!$C$6),L2633&lt;&gt;""),ABS(I2633)+ROW()/1000000000,0)</f>
        <v/>
      </c>
    </row>
    <row r="2634">
      <c r="A2634">
        <f>Data_thang!A2634</f>
        <v/>
      </c>
      <c r="B2634">
        <f>Data_thang!B2634</f>
        <v/>
      </c>
      <c r="C2634">
        <f>Data_thang!D2634</f>
        <v/>
      </c>
      <c r="D2634">
        <f>Data_thang!E2634</f>
        <v/>
      </c>
      <c r="E2634">
        <f>Data_thang!F2634</f>
        <v/>
      </c>
      <c r="F2634">
        <f>Data_thang!G2634</f>
        <v/>
      </c>
      <c r="G2634" s="29">
        <f>Data_thang!J2634-Data_thang!K2634</f>
        <v/>
      </c>
      <c r="H2634" s="29">
        <f>Data_thang!N2634</f>
        <v/>
      </c>
      <c r="I2634" s="29">
        <f>H2634-G2634</f>
        <v/>
      </c>
      <c r="J2634" s="30">
        <f>IF(H2634=0,IF(I2634=0,0,1),I2634/ABS(H2634))</f>
        <v/>
      </c>
      <c r="K2634" s="29">
        <f>H2634-(Data_thang!O2634-Data_thang!K2634)</f>
        <v/>
      </c>
      <c r="L2634">
        <f>IF(AND(ABS(I2634)&gt;Dashboard!$G$6,ABS(J2634)&gt;Dashboard!$H$6),"⚠ Vượt","")</f>
        <v/>
      </c>
      <c r="M2634">
        <f>IF(AND(A2634=Dashboard!$D$6,OR(Dashboard!$C$6="*",F2634=Dashboard!$C$6),L2634&lt;&gt;""),ABS(I2634)+ROW()/1000000000,0)</f>
        <v/>
      </c>
    </row>
    <row r="2635">
      <c r="A2635">
        <f>Data_thang!A2635</f>
        <v/>
      </c>
      <c r="B2635">
        <f>Data_thang!B2635</f>
        <v/>
      </c>
      <c r="C2635">
        <f>Data_thang!D2635</f>
        <v/>
      </c>
      <c r="D2635">
        <f>Data_thang!E2635</f>
        <v/>
      </c>
      <c r="E2635">
        <f>Data_thang!F2635</f>
        <v/>
      </c>
      <c r="F2635">
        <f>Data_thang!G2635</f>
        <v/>
      </c>
      <c r="G2635" s="29">
        <f>Data_thang!J2635-Data_thang!K2635</f>
        <v/>
      </c>
      <c r="H2635" s="29">
        <f>Data_thang!N2635</f>
        <v/>
      </c>
      <c r="I2635" s="29">
        <f>H2635-G2635</f>
        <v/>
      </c>
      <c r="J2635" s="30">
        <f>IF(H2635=0,IF(I2635=0,0,1),I2635/ABS(H2635))</f>
        <v/>
      </c>
      <c r="K2635" s="29">
        <f>H2635-(Data_thang!O2635-Data_thang!K2635)</f>
        <v/>
      </c>
      <c r="L2635">
        <f>IF(AND(ABS(I2635)&gt;Dashboard!$G$6,ABS(J2635)&gt;Dashboard!$H$6),"⚠ Vượt","")</f>
        <v/>
      </c>
      <c r="M2635">
        <f>IF(AND(A2635=Dashboard!$D$6,OR(Dashboard!$C$6="*",F2635=Dashboard!$C$6),L2635&lt;&gt;""),ABS(I2635)+ROW()/1000000000,0)</f>
        <v/>
      </c>
    </row>
    <row r="2636">
      <c r="A2636">
        <f>Data_thang!A2636</f>
        <v/>
      </c>
      <c r="B2636">
        <f>Data_thang!B2636</f>
        <v/>
      </c>
      <c r="C2636">
        <f>Data_thang!D2636</f>
        <v/>
      </c>
      <c r="D2636">
        <f>Data_thang!E2636</f>
        <v/>
      </c>
      <c r="E2636">
        <f>Data_thang!F2636</f>
        <v/>
      </c>
      <c r="F2636">
        <f>Data_thang!G2636</f>
        <v/>
      </c>
      <c r="G2636" s="29">
        <f>Data_thang!J2636-Data_thang!K2636</f>
        <v/>
      </c>
      <c r="H2636" s="29">
        <f>Data_thang!N2636</f>
        <v/>
      </c>
      <c r="I2636" s="29">
        <f>H2636-G2636</f>
        <v/>
      </c>
      <c r="J2636" s="30">
        <f>IF(H2636=0,IF(I2636=0,0,1),I2636/ABS(H2636))</f>
        <v/>
      </c>
      <c r="K2636" s="29">
        <f>H2636-(Data_thang!O2636-Data_thang!K2636)</f>
        <v/>
      </c>
      <c r="L2636">
        <f>IF(AND(ABS(I2636)&gt;Dashboard!$G$6,ABS(J2636)&gt;Dashboard!$H$6),"⚠ Vượt","")</f>
        <v/>
      </c>
      <c r="M2636">
        <f>IF(AND(A2636=Dashboard!$D$6,OR(Dashboard!$C$6="*",F2636=Dashboard!$C$6),L2636&lt;&gt;""),ABS(I2636)+ROW()/1000000000,0)</f>
        <v/>
      </c>
    </row>
    <row r="2637">
      <c r="A2637">
        <f>Data_thang!A2637</f>
        <v/>
      </c>
      <c r="B2637">
        <f>Data_thang!B2637</f>
        <v/>
      </c>
      <c r="C2637">
        <f>Data_thang!D2637</f>
        <v/>
      </c>
      <c r="D2637">
        <f>Data_thang!E2637</f>
        <v/>
      </c>
      <c r="E2637">
        <f>Data_thang!F2637</f>
        <v/>
      </c>
      <c r="F2637">
        <f>Data_thang!G2637</f>
        <v/>
      </c>
      <c r="G2637" s="29">
        <f>Data_thang!J2637-Data_thang!K2637</f>
        <v/>
      </c>
      <c r="H2637" s="29">
        <f>Data_thang!N2637</f>
        <v/>
      </c>
      <c r="I2637" s="29">
        <f>H2637-G2637</f>
        <v/>
      </c>
      <c r="J2637" s="30">
        <f>IF(H2637=0,IF(I2637=0,0,1),I2637/ABS(H2637))</f>
        <v/>
      </c>
      <c r="K2637" s="29">
        <f>H2637-(Data_thang!O2637-Data_thang!K2637)</f>
        <v/>
      </c>
      <c r="L2637">
        <f>IF(AND(ABS(I2637)&gt;Dashboard!$G$6,ABS(J2637)&gt;Dashboard!$H$6),"⚠ Vượt","")</f>
        <v/>
      </c>
      <c r="M2637">
        <f>IF(AND(A2637=Dashboard!$D$6,OR(Dashboard!$C$6="*",F2637=Dashboard!$C$6),L2637&lt;&gt;""),ABS(I2637)+ROW()/1000000000,0)</f>
        <v/>
      </c>
    </row>
    <row r="2638">
      <c r="A2638">
        <f>Data_thang!A2638</f>
        <v/>
      </c>
      <c r="B2638">
        <f>Data_thang!B2638</f>
        <v/>
      </c>
      <c r="C2638">
        <f>Data_thang!D2638</f>
        <v/>
      </c>
      <c r="D2638">
        <f>Data_thang!E2638</f>
        <v/>
      </c>
      <c r="E2638">
        <f>Data_thang!F2638</f>
        <v/>
      </c>
      <c r="F2638">
        <f>Data_thang!G2638</f>
        <v/>
      </c>
      <c r="G2638" s="29">
        <f>Data_thang!J2638-Data_thang!K2638</f>
        <v/>
      </c>
      <c r="H2638" s="29">
        <f>Data_thang!N2638</f>
        <v/>
      </c>
      <c r="I2638" s="29">
        <f>H2638-G2638</f>
        <v/>
      </c>
      <c r="J2638" s="30">
        <f>IF(H2638=0,IF(I2638=0,0,1),I2638/ABS(H2638))</f>
        <v/>
      </c>
      <c r="K2638" s="29">
        <f>H2638-(Data_thang!O2638-Data_thang!K2638)</f>
        <v/>
      </c>
      <c r="L2638">
        <f>IF(AND(ABS(I2638)&gt;Dashboard!$G$6,ABS(J2638)&gt;Dashboard!$H$6),"⚠ Vượt","")</f>
        <v/>
      </c>
      <c r="M2638">
        <f>IF(AND(A2638=Dashboard!$D$6,OR(Dashboard!$C$6="*",F2638=Dashboard!$C$6),L2638&lt;&gt;""),ABS(I2638)+ROW()/1000000000,0)</f>
        <v/>
      </c>
    </row>
    <row r="2639">
      <c r="A2639">
        <f>Data_thang!A2639</f>
        <v/>
      </c>
      <c r="B2639">
        <f>Data_thang!B2639</f>
        <v/>
      </c>
      <c r="C2639">
        <f>Data_thang!D2639</f>
        <v/>
      </c>
      <c r="D2639">
        <f>Data_thang!E2639</f>
        <v/>
      </c>
      <c r="E2639">
        <f>Data_thang!F2639</f>
        <v/>
      </c>
      <c r="F2639">
        <f>Data_thang!G2639</f>
        <v/>
      </c>
      <c r="G2639" s="29">
        <f>Data_thang!J2639-Data_thang!K2639</f>
        <v/>
      </c>
      <c r="H2639" s="29">
        <f>Data_thang!N2639</f>
        <v/>
      </c>
      <c r="I2639" s="29">
        <f>H2639-G2639</f>
        <v/>
      </c>
      <c r="J2639" s="30">
        <f>IF(H2639=0,IF(I2639=0,0,1),I2639/ABS(H2639))</f>
        <v/>
      </c>
      <c r="K2639" s="29">
        <f>H2639-(Data_thang!O2639-Data_thang!K2639)</f>
        <v/>
      </c>
      <c r="L2639">
        <f>IF(AND(ABS(I2639)&gt;Dashboard!$G$6,ABS(J2639)&gt;Dashboard!$H$6),"⚠ Vượt","")</f>
        <v/>
      </c>
      <c r="M2639">
        <f>IF(AND(A2639=Dashboard!$D$6,OR(Dashboard!$C$6="*",F2639=Dashboard!$C$6),L2639&lt;&gt;""),ABS(I2639)+ROW()/1000000000,0)</f>
        <v/>
      </c>
    </row>
    <row r="2640">
      <c r="A2640">
        <f>Data_thang!A2640</f>
        <v/>
      </c>
      <c r="B2640">
        <f>Data_thang!B2640</f>
        <v/>
      </c>
      <c r="C2640">
        <f>Data_thang!D2640</f>
        <v/>
      </c>
      <c r="D2640">
        <f>Data_thang!E2640</f>
        <v/>
      </c>
      <c r="E2640">
        <f>Data_thang!F2640</f>
        <v/>
      </c>
      <c r="F2640">
        <f>Data_thang!G2640</f>
        <v/>
      </c>
      <c r="G2640" s="29">
        <f>Data_thang!J2640-Data_thang!K2640</f>
        <v/>
      </c>
      <c r="H2640" s="29">
        <f>Data_thang!N2640</f>
        <v/>
      </c>
      <c r="I2640" s="29">
        <f>H2640-G2640</f>
        <v/>
      </c>
      <c r="J2640" s="30">
        <f>IF(H2640=0,IF(I2640=0,0,1),I2640/ABS(H2640))</f>
        <v/>
      </c>
      <c r="K2640" s="29">
        <f>H2640-(Data_thang!O2640-Data_thang!K2640)</f>
        <v/>
      </c>
      <c r="L2640">
        <f>IF(AND(ABS(I2640)&gt;Dashboard!$G$6,ABS(J2640)&gt;Dashboard!$H$6),"⚠ Vượt","")</f>
        <v/>
      </c>
      <c r="M2640">
        <f>IF(AND(A2640=Dashboard!$D$6,OR(Dashboard!$C$6="*",F2640=Dashboard!$C$6),L2640&lt;&gt;""),ABS(I2640)+ROW()/1000000000,0)</f>
        <v/>
      </c>
    </row>
    <row r="2641">
      <c r="A2641">
        <f>Data_thang!A2641</f>
        <v/>
      </c>
      <c r="B2641">
        <f>Data_thang!B2641</f>
        <v/>
      </c>
      <c r="C2641">
        <f>Data_thang!D2641</f>
        <v/>
      </c>
      <c r="D2641">
        <f>Data_thang!E2641</f>
        <v/>
      </c>
      <c r="E2641">
        <f>Data_thang!F2641</f>
        <v/>
      </c>
      <c r="F2641">
        <f>Data_thang!G2641</f>
        <v/>
      </c>
      <c r="G2641" s="29">
        <f>Data_thang!J2641-Data_thang!K2641</f>
        <v/>
      </c>
      <c r="H2641" s="29">
        <f>Data_thang!N2641</f>
        <v/>
      </c>
      <c r="I2641" s="29">
        <f>H2641-G2641</f>
        <v/>
      </c>
      <c r="J2641" s="30">
        <f>IF(H2641=0,IF(I2641=0,0,1),I2641/ABS(H2641))</f>
        <v/>
      </c>
      <c r="K2641" s="29">
        <f>H2641-(Data_thang!O2641-Data_thang!K2641)</f>
        <v/>
      </c>
      <c r="L2641">
        <f>IF(AND(ABS(I2641)&gt;Dashboard!$G$6,ABS(J2641)&gt;Dashboard!$H$6),"⚠ Vượt","")</f>
        <v/>
      </c>
      <c r="M2641">
        <f>IF(AND(A2641=Dashboard!$D$6,OR(Dashboard!$C$6="*",F2641=Dashboard!$C$6),L2641&lt;&gt;""),ABS(I2641)+ROW()/1000000000,0)</f>
        <v/>
      </c>
    </row>
    <row r="2642">
      <c r="A2642">
        <f>Data_thang!A2642</f>
        <v/>
      </c>
      <c r="B2642">
        <f>Data_thang!B2642</f>
        <v/>
      </c>
      <c r="C2642">
        <f>Data_thang!D2642</f>
        <v/>
      </c>
      <c r="D2642">
        <f>Data_thang!E2642</f>
        <v/>
      </c>
      <c r="E2642">
        <f>Data_thang!F2642</f>
        <v/>
      </c>
      <c r="F2642">
        <f>Data_thang!G2642</f>
        <v/>
      </c>
      <c r="G2642" s="29">
        <f>Data_thang!J2642-Data_thang!K2642</f>
        <v/>
      </c>
      <c r="H2642" s="29">
        <f>Data_thang!N2642</f>
        <v/>
      </c>
      <c r="I2642" s="29">
        <f>H2642-G2642</f>
        <v/>
      </c>
      <c r="J2642" s="30">
        <f>IF(H2642=0,IF(I2642=0,0,1),I2642/ABS(H2642))</f>
        <v/>
      </c>
      <c r="K2642" s="29">
        <f>H2642-(Data_thang!O2642-Data_thang!K2642)</f>
        <v/>
      </c>
      <c r="L2642">
        <f>IF(AND(ABS(I2642)&gt;Dashboard!$G$6,ABS(J2642)&gt;Dashboard!$H$6),"⚠ Vượt","")</f>
        <v/>
      </c>
      <c r="M2642">
        <f>IF(AND(A2642=Dashboard!$D$6,OR(Dashboard!$C$6="*",F2642=Dashboard!$C$6),L2642&lt;&gt;""),ABS(I2642)+ROW()/1000000000,0)</f>
        <v/>
      </c>
    </row>
    <row r="2643">
      <c r="A2643">
        <f>Data_thang!A2643</f>
        <v/>
      </c>
      <c r="B2643">
        <f>Data_thang!B2643</f>
        <v/>
      </c>
      <c r="C2643">
        <f>Data_thang!D2643</f>
        <v/>
      </c>
      <c r="D2643">
        <f>Data_thang!E2643</f>
        <v/>
      </c>
      <c r="E2643">
        <f>Data_thang!F2643</f>
        <v/>
      </c>
      <c r="F2643">
        <f>Data_thang!G2643</f>
        <v/>
      </c>
      <c r="G2643" s="29">
        <f>Data_thang!J2643-Data_thang!K2643</f>
        <v/>
      </c>
      <c r="H2643" s="29">
        <f>Data_thang!N2643</f>
        <v/>
      </c>
      <c r="I2643" s="29">
        <f>H2643-G2643</f>
        <v/>
      </c>
      <c r="J2643" s="30">
        <f>IF(H2643=0,IF(I2643=0,0,1),I2643/ABS(H2643))</f>
        <v/>
      </c>
      <c r="K2643" s="29">
        <f>H2643-(Data_thang!O2643-Data_thang!K2643)</f>
        <v/>
      </c>
      <c r="L2643">
        <f>IF(AND(ABS(I2643)&gt;Dashboard!$G$6,ABS(J2643)&gt;Dashboard!$H$6),"⚠ Vượt","")</f>
        <v/>
      </c>
      <c r="M2643">
        <f>IF(AND(A2643=Dashboard!$D$6,OR(Dashboard!$C$6="*",F2643=Dashboard!$C$6),L2643&lt;&gt;""),ABS(I2643)+ROW()/1000000000,0)</f>
        <v/>
      </c>
    </row>
    <row r="2644">
      <c r="A2644">
        <f>Data_thang!A2644</f>
        <v/>
      </c>
      <c r="B2644">
        <f>Data_thang!B2644</f>
        <v/>
      </c>
      <c r="C2644">
        <f>Data_thang!D2644</f>
        <v/>
      </c>
      <c r="D2644">
        <f>Data_thang!E2644</f>
        <v/>
      </c>
      <c r="E2644">
        <f>Data_thang!F2644</f>
        <v/>
      </c>
      <c r="F2644">
        <f>Data_thang!G2644</f>
        <v/>
      </c>
      <c r="G2644" s="29">
        <f>Data_thang!J2644-Data_thang!K2644</f>
        <v/>
      </c>
      <c r="H2644" s="29">
        <f>Data_thang!N2644</f>
        <v/>
      </c>
      <c r="I2644" s="29">
        <f>H2644-G2644</f>
        <v/>
      </c>
      <c r="J2644" s="30">
        <f>IF(H2644=0,IF(I2644=0,0,1),I2644/ABS(H2644))</f>
        <v/>
      </c>
      <c r="K2644" s="29">
        <f>H2644-(Data_thang!O2644-Data_thang!K2644)</f>
        <v/>
      </c>
      <c r="L2644">
        <f>IF(AND(ABS(I2644)&gt;Dashboard!$G$6,ABS(J2644)&gt;Dashboard!$H$6),"⚠ Vượt","")</f>
        <v/>
      </c>
      <c r="M2644">
        <f>IF(AND(A2644=Dashboard!$D$6,OR(Dashboard!$C$6="*",F2644=Dashboard!$C$6),L2644&lt;&gt;""),ABS(I2644)+ROW()/1000000000,0)</f>
        <v/>
      </c>
    </row>
    <row r="2645">
      <c r="A2645">
        <f>Data_thang!A2645</f>
        <v/>
      </c>
      <c r="B2645">
        <f>Data_thang!B2645</f>
        <v/>
      </c>
      <c r="C2645">
        <f>Data_thang!D2645</f>
        <v/>
      </c>
      <c r="D2645">
        <f>Data_thang!E2645</f>
        <v/>
      </c>
      <c r="E2645">
        <f>Data_thang!F2645</f>
        <v/>
      </c>
      <c r="F2645">
        <f>Data_thang!G2645</f>
        <v/>
      </c>
      <c r="G2645" s="29">
        <f>Data_thang!J2645-Data_thang!K2645</f>
        <v/>
      </c>
      <c r="H2645" s="29">
        <f>Data_thang!N2645</f>
        <v/>
      </c>
      <c r="I2645" s="29">
        <f>H2645-G2645</f>
        <v/>
      </c>
      <c r="J2645" s="30">
        <f>IF(H2645=0,IF(I2645=0,0,1),I2645/ABS(H2645))</f>
        <v/>
      </c>
      <c r="K2645" s="29">
        <f>H2645-(Data_thang!O2645-Data_thang!K2645)</f>
        <v/>
      </c>
      <c r="L2645">
        <f>IF(AND(ABS(I2645)&gt;Dashboard!$G$6,ABS(J2645)&gt;Dashboard!$H$6),"⚠ Vượt","")</f>
        <v/>
      </c>
      <c r="M2645">
        <f>IF(AND(A2645=Dashboard!$D$6,OR(Dashboard!$C$6="*",F2645=Dashboard!$C$6),L2645&lt;&gt;""),ABS(I2645)+ROW()/1000000000,0)</f>
        <v/>
      </c>
    </row>
    <row r="2646">
      <c r="A2646">
        <f>Data_thang!A2646</f>
        <v/>
      </c>
      <c r="B2646">
        <f>Data_thang!B2646</f>
        <v/>
      </c>
      <c r="C2646">
        <f>Data_thang!D2646</f>
        <v/>
      </c>
      <c r="D2646">
        <f>Data_thang!E2646</f>
        <v/>
      </c>
      <c r="E2646">
        <f>Data_thang!F2646</f>
        <v/>
      </c>
      <c r="F2646">
        <f>Data_thang!G2646</f>
        <v/>
      </c>
      <c r="G2646" s="29">
        <f>Data_thang!J2646-Data_thang!K2646</f>
        <v/>
      </c>
      <c r="H2646" s="29">
        <f>Data_thang!N2646</f>
        <v/>
      </c>
      <c r="I2646" s="29">
        <f>H2646-G2646</f>
        <v/>
      </c>
      <c r="J2646" s="30">
        <f>IF(H2646=0,IF(I2646=0,0,1),I2646/ABS(H2646))</f>
        <v/>
      </c>
      <c r="K2646" s="29">
        <f>H2646-(Data_thang!O2646-Data_thang!K2646)</f>
        <v/>
      </c>
      <c r="L2646">
        <f>IF(AND(ABS(I2646)&gt;Dashboard!$G$6,ABS(J2646)&gt;Dashboard!$H$6),"⚠ Vượt","")</f>
        <v/>
      </c>
      <c r="M2646">
        <f>IF(AND(A2646=Dashboard!$D$6,OR(Dashboard!$C$6="*",F2646=Dashboard!$C$6),L2646&lt;&gt;""),ABS(I2646)+ROW()/1000000000,0)</f>
        <v/>
      </c>
    </row>
    <row r="2647">
      <c r="A2647">
        <f>Data_thang!A2647</f>
        <v/>
      </c>
      <c r="B2647">
        <f>Data_thang!B2647</f>
        <v/>
      </c>
      <c r="C2647">
        <f>Data_thang!D2647</f>
        <v/>
      </c>
      <c r="D2647">
        <f>Data_thang!E2647</f>
        <v/>
      </c>
      <c r="E2647">
        <f>Data_thang!F2647</f>
        <v/>
      </c>
      <c r="F2647">
        <f>Data_thang!G2647</f>
        <v/>
      </c>
      <c r="G2647" s="29">
        <f>Data_thang!J2647-Data_thang!K2647</f>
        <v/>
      </c>
      <c r="H2647" s="29">
        <f>Data_thang!N2647</f>
        <v/>
      </c>
      <c r="I2647" s="29">
        <f>H2647-G2647</f>
        <v/>
      </c>
      <c r="J2647" s="30">
        <f>IF(H2647=0,IF(I2647=0,0,1),I2647/ABS(H2647))</f>
        <v/>
      </c>
      <c r="K2647" s="29">
        <f>H2647-(Data_thang!O2647-Data_thang!K2647)</f>
        <v/>
      </c>
      <c r="L2647">
        <f>IF(AND(ABS(I2647)&gt;Dashboard!$G$6,ABS(J2647)&gt;Dashboard!$H$6),"⚠ Vượt","")</f>
        <v/>
      </c>
      <c r="M2647">
        <f>IF(AND(A2647=Dashboard!$D$6,OR(Dashboard!$C$6="*",F2647=Dashboard!$C$6),L2647&lt;&gt;""),ABS(I2647)+ROW()/1000000000,0)</f>
        <v/>
      </c>
    </row>
    <row r="2648">
      <c r="A2648">
        <f>Data_thang!A2648</f>
        <v/>
      </c>
      <c r="B2648">
        <f>Data_thang!B2648</f>
        <v/>
      </c>
      <c r="C2648">
        <f>Data_thang!D2648</f>
        <v/>
      </c>
      <c r="D2648">
        <f>Data_thang!E2648</f>
        <v/>
      </c>
      <c r="E2648">
        <f>Data_thang!F2648</f>
        <v/>
      </c>
      <c r="F2648">
        <f>Data_thang!G2648</f>
        <v/>
      </c>
      <c r="G2648" s="29">
        <f>Data_thang!J2648-Data_thang!K2648</f>
        <v/>
      </c>
      <c r="H2648" s="29">
        <f>Data_thang!N2648</f>
        <v/>
      </c>
      <c r="I2648" s="29">
        <f>H2648-G2648</f>
        <v/>
      </c>
      <c r="J2648" s="30">
        <f>IF(H2648=0,IF(I2648=0,0,1),I2648/ABS(H2648))</f>
        <v/>
      </c>
      <c r="K2648" s="29">
        <f>H2648-(Data_thang!O2648-Data_thang!K2648)</f>
        <v/>
      </c>
      <c r="L2648">
        <f>IF(AND(ABS(I2648)&gt;Dashboard!$G$6,ABS(J2648)&gt;Dashboard!$H$6),"⚠ Vượt","")</f>
        <v/>
      </c>
      <c r="M2648">
        <f>IF(AND(A2648=Dashboard!$D$6,OR(Dashboard!$C$6="*",F2648=Dashboard!$C$6),L2648&lt;&gt;""),ABS(I2648)+ROW()/1000000000,0)</f>
        <v/>
      </c>
    </row>
    <row r="2649">
      <c r="A2649">
        <f>Data_thang!A2649</f>
        <v/>
      </c>
      <c r="B2649">
        <f>Data_thang!B2649</f>
        <v/>
      </c>
      <c r="C2649">
        <f>Data_thang!D2649</f>
        <v/>
      </c>
      <c r="D2649">
        <f>Data_thang!E2649</f>
        <v/>
      </c>
      <c r="E2649">
        <f>Data_thang!F2649</f>
        <v/>
      </c>
      <c r="F2649">
        <f>Data_thang!G2649</f>
        <v/>
      </c>
      <c r="G2649" s="29">
        <f>Data_thang!J2649-Data_thang!K2649</f>
        <v/>
      </c>
      <c r="H2649" s="29">
        <f>Data_thang!N2649</f>
        <v/>
      </c>
      <c r="I2649" s="29">
        <f>H2649-G2649</f>
        <v/>
      </c>
      <c r="J2649" s="30">
        <f>IF(H2649=0,IF(I2649=0,0,1),I2649/ABS(H2649))</f>
        <v/>
      </c>
      <c r="K2649" s="29">
        <f>H2649-(Data_thang!O2649-Data_thang!K2649)</f>
        <v/>
      </c>
      <c r="L2649">
        <f>IF(AND(ABS(I2649)&gt;Dashboard!$G$6,ABS(J2649)&gt;Dashboard!$H$6),"⚠ Vượt","")</f>
        <v/>
      </c>
      <c r="M2649">
        <f>IF(AND(A2649=Dashboard!$D$6,OR(Dashboard!$C$6="*",F2649=Dashboard!$C$6),L2649&lt;&gt;""),ABS(I2649)+ROW()/1000000000,0)</f>
        <v/>
      </c>
    </row>
    <row r="2650">
      <c r="A2650">
        <f>Data_thang!A2650</f>
        <v/>
      </c>
      <c r="B2650">
        <f>Data_thang!B2650</f>
        <v/>
      </c>
      <c r="C2650">
        <f>Data_thang!D2650</f>
        <v/>
      </c>
      <c r="D2650">
        <f>Data_thang!E2650</f>
        <v/>
      </c>
      <c r="E2650">
        <f>Data_thang!F2650</f>
        <v/>
      </c>
      <c r="F2650">
        <f>Data_thang!G2650</f>
        <v/>
      </c>
      <c r="G2650" s="29">
        <f>Data_thang!J2650-Data_thang!K2650</f>
        <v/>
      </c>
      <c r="H2650" s="29">
        <f>Data_thang!N2650</f>
        <v/>
      </c>
      <c r="I2650" s="29">
        <f>H2650-G2650</f>
        <v/>
      </c>
      <c r="J2650" s="30">
        <f>IF(H2650=0,IF(I2650=0,0,1),I2650/ABS(H2650))</f>
        <v/>
      </c>
      <c r="K2650" s="29">
        <f>H2650-(Data_thang!O2650-Data_thang!K2650)</f>
        <v/>
      </c>
      <c r="L2650">
        <f>IF(AND(ABS(I2650)&gt;Dashboard!$G$6,ABS(J2650)&gt;Dashboard!$H$6),"⚠ Vượt","")</f>
        <v/>
      </c>
      <c r="M2650">
        <f>IF(AND(A2650=Dashboard!$D$6,OR(Dashboard!$C$6="*",F2650=Dashboard!$C$6),L2650&lt;&gt;""),ABS(I2650)+ROW()/1000000000,0)</f>
        <v/>
      </c>
    </row>
    <row r="2651">
      <c r="A2651">
        <f>Data_thang!A2651</f>
        <v/>
      </c>
      <c r="B2651">
        <f>Data_thang!B2651</f>
        <v/>
      </c>
      <c r="C2651">
        <f>Data_thang!D2651</f>
        <v/>
      </c>
      <c r="D2651">
        <f>Data_thang!E2651</f>
        <v/>
      </c>
      <c r="E2651">
        <f>Data_thang!F2651</f>
        <v/>
      </c>
      <c r="F2651">
        <f>Data_thang!G2651</f>
        <v/>
      </c>
      <c r="G2651" s="29">
        <f>Data_thang!J2651-Data_thang!K2651</f>
        <v/>
      </c>
      <c r="H2651" s="29">
        <f>Data_thang!N2651</f>
        <v/>
      </c>
      <c r="I2651" s="29">
        <f>H2651-G2651</f>
        <v/>
      </c>
      <c r="J2651" s="30">
        <f>IF(H2651=0,IF(I2651=0,0,1),I2651/ABS(H2651))</f>
        <v/>
      </c>
      <c r="K2651" s="29">
        <f>H2651-(Data_thang!O2651-Data_thang!K2651)</f>
        <v/>
      </c>
      <c r="L2651">
        <f>IF(AND(ABS(I2651)&gt;Dashboard!$G$6,ABS(J2651)&gt;Dashboard!$H$6),"⚠ Vượt","")</f>
        <v/>
      </c>
      <c r="M2651">
        <f>IF(AND(A2651=Dashboard!$D$6,OR(Dashboard!$C$6="*",F2651=Dashboard!$C$6),L2651&lt;&gt;""),ABS(I2651)+ROW()/1000000000,0)</f>
        <v/>
      </c>
    </row>
    <row r="2652">
      <c r="A2652">
        <f>Data_thang!A2652</f>
        <v/>
      </c>
      <c r="B2652">
        <f>Data_thang!B2652</f>
        <v/>
      </c>
      <c r="C2652">
        <f>Data_thang!D2652</f>
        <v/>
      </c>
      <c r="D2652">
        <f>Data_thang!E2652</f>
        <v/>
      </c>
      <c r="E2652">
        <f>Data_thang!F2652</f>
        <v/>
      </c>
      <c r="F2652">
        <f>Data_thang!G2652</f>
        <v/>
      </c>
      <c r="G2652" s="29">
        <f>Data_thang!J2652-Data_thang!K2652</f>
        <v/>
      </c>
      <c r="H2652" s="29">
        <f>Data_thang!N2652</f>
        <v/>
      </c>
      <c r="I2652" s="29">
        <f>H2652-G2652</f>
        <v/>
      </c>
      <c r="J2652" s="30">
        <f>IF(H2652=0,IF(I2652=0,0,1),I2652/ABS(H2652))</f>
        <v/>
      </c>
      <c r="K2652" s="29">
        <f>H2652-(Data_thang!O2652-Data_thang!K2652)</f>
        <v/>
      </c>
      <c r="L2652">
        <f>IF(AND(ABS(I2652)&gt;Dashboard!$G$6,ABS(J2652)&gt;Dashboard!$H$6),"⚠ Vượt","")</f>
        <v/>
      </c>
      <c r="M2652">
        <f>IF(AND(A2652=Dashboard!$D$6,OR(Dashboard!$C$6="*",F2652=Dashboard!$C$6),L2652&lt;&gt;""),ABS(I2652)+ROW()/1000000000,0)</f>
        <v/>
      </c>
    </row>
    <row r="2653">
      <c r="A2653">
        <f>Data_thang!A2653</f>
        <v/>
      </c>
      <c r="B2653">
        <f>Data_thang!B2653</f>
        <v/>
      </c>
      <c r="C2653">
        <f>Data_thang!D2653</f>
        <v/>
      </c>
      <c r="D2653">
        <f>Data_thang!E2653</f>
        <v/>
      </c>
      <c r="E2653">
        <f>Data_thang!F2653</f>
        <v/>
      </c>
      <c r="F2653">
        <f>Data_thang!G2653</f>
        <v/>
      </c>
      <c r="G2653" s="29">
        <f>Data_thang!J2653-Data_thang!K2653</f>
        <v/>
      </c>
      <c r="H2653" s="29">
        <f>Data_thang!N2653</f>
        <v/>
      </c>
      <c r="I2653" s="29">
        <f>H2653-G2653</f>
        <v/>
      </c>
      <c r="J2653" s="30">
        <f>IF(H2653=0,IF(I2653=0,0,1),I2653/ABS(H2653))</f>
        <v/>
      </c>
      <c r="K2653" s="29">
        <f>H2653-(Data_thang!O2653-Data_thang!K2653)</f>
        <v/>
      </c>
      <c r="L2653">
        <f>IF(AND(ABS(I2653)&gt;Dashboard!$G$6,ABS(J2653)&gt;Dashboard!$H$6),"⚠ Vượt","")</f>
        <v/>
      </c>
      <c r="M2653">
        <f>IF(AND(A2653=Dashboard!$D$6,OR(Dashboard!$C$6="*",F2653=Dashboard!$C$6),L2653&lt;&gt;""),ABS(I2653)+ROW()/1000000000,0)</f>
        <v/>
      </c>
    </row>
    <row r="2654">
      <c r="A2654">
        <f>Data_thang!A2654</f>
        <v/>
      </c>
      <c r="B2654">
        <f>Data_thang!B2654</f>
        <v/>
      </c>
      <c r="C2654">
        <f>Data_thang!D2654</f>
        <v/>
      </c>
      <c r="D2654">
        <f>Data_thang!E2654</f>
        <v/>
      </c>
      <c r="E2654">
        <f>Data_thang!F2654</f>
        <v/>
      </c>
      <c r="F2654">
        <f>Data_thang!G2654</f>
        <v/>
      </c>
      <c r="G2654" s="29">
        <f>Data_thang!J2654-Data_thang!K2654</f>
        <v/>
      </c>
      <c r="H2654" s="29">
        <f>Data_thang!N2654</f>
        <v/>
      </c>
      <c r="I2654" s="29">
        <f>H2654-G2654</f>
        <v/>
      </c>
      <c r="J2654" s="30">
        <f>IF(H2654=0,IF(I2654=0,0,1),I2654/ABS(H2654))</f>
        <v/>
      </c>
      <c r="K2654" s="29">
        <f>H2654-(Data_thang!O2654-Data_thang!K2654)</f>
        <v/>
      </c>
      <c r="L2654">
        <f>IF(AND(ABS(I2654)&gt;Dashboard!$G$6,ABS(J2654)&gt;Dashboard!$H$6),"⚠ Vượt","")</f>
        <v/>
      </c>
      <c r="M2654">
        <f>IF(AND(A2654=Dashboard!$D$6,OR(Dashboard!$C$6="*",F2654=Dashboard!$C$6),L2654&lt;&gt;""),ABS(I2654)+ROW()/1000000000,0)</f>
        <v/>
      </c>
    </row>
    <row r="2655">
      <c r="A2655">
        <f>Data_thang!A2655</f>
        <v/>
      </c>
      <c r="B2655">
        <f>Data_thang!B2655</f>
        <v/>
      </c>
      <c r="C2655">
        <f>Data_thang!D2655</f>
        <v/>
      </c>
      <c r="D2655">
        <f>Data_thang!E2655</f>
        <v/>
      </c>
      <c r="E2655">
        <f>Data_thang!F2655</f>
        <v/>
      </c>
      <c r="F2655">
        <f>Data_thang!G2655</f>
        <v/>
      </c>
      <c r="G2655" s="29">
        <f>Data_thang!J2655-Data_thang!K2655</f>
        <v/>
      </c>
      <c r="H2655" s="29">
        <f>Data_thang!N2655</f>
        <v/>
      </c>
      <c r="I2655" s="29">
        <f>H2655-G2655</f>
        <v/>
      </c>
      <c r="J2655" s="30">
        <f>IF(H2655=0,IF(I2655=0,0,1),I2655/ABS(H2655))</f>
        <v/>
      </c>
      <c r="K2655" s="29">
        <f>H2655-(Data_thang!O2655-Data_thang!K2655)</f>
        <v/>
      </c>
      <c r="L2655">
        <f>IF(AND(ABS(I2655)&gt;Dashboard!$G$6,ABS(J2655)&gt;Dashboard!$H$6),"⚠ Vượt","")</f>
        <v/>
      </c>
      <c r="M2655">
        <f>IF(AND(A2655=Dashboard!$D$6,OR(Dashboard!$C$6="*",F2655=Dashboard!$C$6),L2655&lt;&gt;""),ABS(I2655)+ROW()/1000000000,0)</f>
        <v/>
      </c>
    </row>
    <row r="2656">
      <c r="A2656">
        <f>Data_thang!A2656</f>
        <v/>
      </c>
      <c r="B2656">
        <f>Data_thang!B2656</f>
        <v/>
      </c>
      <c r="C2656">
        <f>Data_thang!D2656</f>
        <v/>
      </c>
      <c r="D2656">
        <f>Data_thang!E2656</f>
        <v/>
      </c>
      <c r="E2656">
        <f>Data_thang!F2656</f>
        <v/>
      </c>
      <c r="F2656">
        <f>Data_thang!G2656</f>
        <v/>
      </c>
      <c r="G2656" s="29">
        <f>Data_thang!J2656-Data_thang!K2656</f>
        <v/>
      </c>
      <c r="H2656" s="29">
        <f>Data_thang!N2656</f>
        <v/>
      </c>
      <c r="I2656" s="29">
        <f>H2656-G2656</f>
        <v/>
      </c>
      <c r="J2656" s="30">
        <f>IF(H2656=0,IF(I2656=0,0,1),I2656/ABS(H2656))</f>
        <v/>
      </c>
      <c r="K2656" s="29">
        <f>H2656-(Data_thang!O2656-Data_thang!K2656)</f>
        <v/>
      </c>
      <c r="L2656">
        <f>IF(AND(ABS(I2656)&gt;Dashboard!$G$6,ABS(J2656)&gt;Dashboard!$H$6),"⚠ Vượt","")</f>
        <v/>
      </c>
      <c r="M2656">
        <f>IF(AND(A2656=Dashboard!$D$6,OR(Dashboard!$C$6="*",F2656=Dashboard!$C$6),L2656&lt;&gt;""),ABS(I2656)+ROW()/1000000000,0)</f>
        <v/>
      </c>
    </row>
    <row r="2657">
      <c r="A2657">
        <f>Data_thang!A2657</f>
        <v/>
      </c>
      <c r="B2657">
        <f>Data_thang!B2657</f>
        <v/>
      </c>
      <c r="C2657">
        <f>Data_thang!D2657</f>
        <v/>
      </c>
      <c r="D2657">
        <f>Data_thang!E2657</f>
        <v/>
      </c>
      <c r="E2657">
        <f>Data_thang!F2657</f>
        <v/>
      </c>
      <c r="F2657">
        <f>Data_thang!G2657</f>
        <v/>
      </c>
      <c r="G2657" s="29">
        <f>Data_thang!J2657-Data_thang!K2657</f>
        <v/>
      </c>
      <c r="H2657" s="29">
        <f>Data_thang!N2657</f>
        <v/>
      </c>
      <c r="I2657" s="29">
        <f>H2657-G2657</f>
        <v/>
      </c>
      <c r="J2657" s="30">
        <f>IF(H2657=0,IF(I2657=0,0,1),I2657/ABS(H2657))</f>
        <v/>
      </c>
      <c r="K2657" s="29">
        <f>H2657-(Data_thang!O2657-Data_thang!K2657)</f>
        <v/>
      </c>
      <c r="L2657">
        <f>IF(AND(ABS(I2657)&gt;Dashboard!$G$6,ABS(J2657)&gt;Dashboard!$H$6),"⚠ Vượt","")</f>
        <v/>
      </c>
      <c r="M2657">
        <f>IF(AND(A2657=Dashboard!$D$6,OR(Dashboard!$C$6="*",F2657=Dashboard!$C$6),L2657&lt;&gt;""),ABS(I2657)+ROW()/1000000000,0)</f>
        <v/>
      </c>
    </row>
    <row r="2658">
      <c r="A2658">
        <f>Data_thang!A2658</f>
        <v/>
      </c>
      <c r="B2658">
        <f>Data_thang!B2658</f>
        <v/>
      </c>
      <c r="C2658">
        <f>Data_thang!D2658</f>
        <v/>
      </c>
      <c r="D2658">
        <f>Data_thang!E2658</f>
        <v/>
      </c>
      <c r="E2658">
        <f>Data_thang!F2658</f>
        <v/>
      </c>
      <c r="F2658">
        <f>Data_thang!G2658</f>
        <v/>
      </c>
      <c r="G2658" s="29">
        <f>Data_thang!J2658-Data_thang!K2658</f>
        <v/>
      </c>
      <c r="H2658" s="29">
        <f>Data_thang!N2658</f>
        <v/>
      </c>
      <c r="I2658" s="29">
        <f>H2658-G2658</f>
        <v/>
      </c>
      <c r="J2658" s="30">
        <f>IF(H2658=0,IF(I2658=0,0,1),I2658/ABS(H2658))</f>
        <v/>
      </c>
      <c r="K2658" s="29">
        <f>H2658-(Data_thang!O2658-Data_thang!K2658)</f>
        <v/>
      </c>
      <c r="L2658">
        <f>IF(AND(ABS(I2658)&gt;Dashboard!$G$6,ABS(J2658)&gt;Dashboard!$H$6),"⚠ Vượt","")</f>
        <v/>
      </c>
      <c r="M2658">
        <f>IF(AND(A2658=Dashboard!$D$6,OR(Dashboard!$C$6="*",F2658=Dashboard!$C$6),L2658&lt;&gt;""),ABS(I2658)+ROW()/1000000000,0)</f>
        <v/>
      </c>
    </row>
    <row r="2659">
      <c r="A2659">
        <f>Data_thang!A2659</f>
        <v/>
      </c>
      <c r="B2659">
        <f>Data_thang!B2659</f>
        <v/>
      </c>
      <c r="C2659">
        <f>Data_thang!D2659</f>
        <v/>
      </c>
      <c r="D2659">
        <f>Data_thang!E2659</f>
        <v/>
      </c>
      <c r="E2659">
        <f>Data_thang!F2659</f>
        <v/>
      </c>
      <c r="F2659">
        <f>Data_thang!G2659</f>
        <v/>
      </c>
      <c r="G2659" s="29">
        <f>Data_thang!J2659-Data_thang!K2659</f>
        <v/>
      </c>
      <c r="H2659" s="29">
        <f>Data_thang!N2659</f>
        <v/>
      </c>
      <c r="I2659" s="29">
        <f>H2659-G2659</f>
        <v/>
      </c>
      <c r="J2659" s="30">
        <f>IF(H2659=0,IF(I2659=0,0,1),I2659/ABS(H2659))</f>
        <v/>
      </c>
      <c r="K2659" s="29">
        <f>H2659-(Data_thang!O2659-Data_thang!K2659)</f>
        <v/>
      </c>
      <c r="L2659">
        <f>IF(AND(ABS(I2659)&gt;Dashboard!$G$6,ABS(J2659)&gt;Dashboard!$H$6),"⚠ Vượt","")</f>
        <v/>
      </c>
      <c r="M2659">
        <f>IF(AND(A2659=Dashboard!$D$6,OR(Dashboard!$C$6="*",F2659=Dashboard!$C$6),L2659&lt;&gt;""),ABS(I2659)+ROW()/1000000000,0)</f>
        <v/>
      </c>
    </row>
    <row r="2660">
      <c r="A2660">
        <f>Data_thang!A2660</f>
        <v/>
      </c>
      <c r="B2660">
        <f>Data_thang!B2660</f>
        <v/>
      </c>
      <c r="C2660">
        <f>Data_thang!D2660</f>
        <v/>
      </c>
      <c r="D2660">
        <f>Data_thang!E2660</f>
        <v/>
      </c>
      <c r="E2660">
        <f>Data_thang!F2660</f>
        <v/>
      </c>
      <c r="F2660">
        <f>Data_thang!G2660</f>
        <v/>
      </c>
      <c r="G2660" s="29">
        <f>Data_thang!J2660-Data_thang!K2660</f>
        <v/>
      </c>
      <c r="H2660" s="29">
        <f>Data_thang!N2660</f>
        <v/>
      </c>
      <c r="I2660" s="29">
        <f>H2660-G2660</f>
        <v/>
      </c>
      <c r="J2660" s="30">
        <f>IF(H2660=0,IF(I2660=0,0,1),I2660/ABS(H2660))</f>
        <v/>
      </c>
      <c r="K2660" s="29">
        <f>H2660-(Data_thang!O2660-Data_thang!K2660)</f>
        <v/>
      </c>
      <c r="L2660">
        <f>IF(AND(ABS(I2660)&gt;Dashboard!$G$6,ABS(J2660)&gt;Dashboard!$H$6),"⚠ Vượt","")</f>
        <v/>
      </c>
      <c r="M2660">
        <f>IF(AND(A2660=Dashboard!$D$6,OR(Dashboard!$C$6="*",F2660=Dashboard!$C$6),L2660&lt;&gt;""),ABS(I2660)+ROW()/1000000000,0)</f>
        <v/>
      </c>
    </row>
    <row r="2661">
      <c r="A2661">
        <f>Data_thang!A2661</f>
        <v/>
      </c>
      <c r="B2661">
        <f>Data_thang!B2661</f>
        <v/>
      </c>
      <c r="C2661">
        <f>Data_thang!D2661</f>
        <v/>
      </c>
      <c r="D2661">
        <f>Data_thang!E2661</f>
        <v/>
      </c>
      <c r="E2661">
        <f>Data_thang!F2661</f>
        <v/>
      </c>
      <c r="F2661">
        <f>Data_thang!G2661</f>
        <v/>
      </c>
      <c r="G2661" s="29">
        <f>Data_thang!J2661-Data_thang!K2661</f>
        <v/>
      </c>
      <c r="H2661" s="29">
        <f>Data_thang!N2661</f>
        <v/>
      </c>
      <c r="I2661" s="29">
        <f>H2661-G2661</f>
        <v/>
      </c>
      <c r="J2661" s="30">
        <f>IF(H2661=0,IF(I2661=0,0,1),I2661/ABS(H2661))</f>
        <v/>
      </c>
      <c r="K2661" s="29">
        <f>H2661-(Data_thang!O2661-Data_thang!K2661)</f>
        <v/>
      </c>
      <c r="L2661">
        <f>IF(AND(ABS(I2661)&gt;Dashboard!$G$6,ABS(J2661)&gt;Dashboard!$H$6),"⚠ Vượt","")</f>
        <v/>
      </c>
      <c r="M2661">
        <f>IF(AND(A2661=Dashboard!$D$6,OR(Dashboard!$C$6="*",F2661=Dashboard!$C$6),L2661&lt;&gt;""),ABS(I2661)+ROW()/1000000000,0)</f>
        <v/>
      </c>
    </row>
    <row r="2662">
      <c r="A2662">
        <f>Data_thang!A2662</f>
        <v/>
      </c>
      <c r="B2662">
        <f>Data_thang!B2662</f>
        <v/>
      </c>
      <c r="C2662">
        <f>Data_thang!D2662</f>
        <v/>
      </c>
      <c r="D2662">
        <f>Data_thang!E2662</f>
        <v/>
      </c>
      <c r="E2662">
        <f>Data_thang!F2662</f>
        <v/>
      </c>
      <c r="F2662">
        <f>Data_thang!G2662</f>
        <v/>
      </c>
      <c r="G2662" s="29">
        <f>Data_thang!J2662-Data_thang!K2662</f>
        <v/>
      </c>
      <c r="H2662" s="29">
        <f>Data_thang!N2662</f>
        <v/>
      </c>
      <c r="I2662" s="29">
        <f>H2662-G2662</f>
        <v/>
      </c>
      <c r="J2662" s="30">
        <f>IF(H2662=0,IF(I2662=0,0,1),I2662/ABS(H2662))</f>
        <v/>
      </c>
      <c r="K2662" s="29">
        <f>H2662-(Data_thang!O2662-Data_thang!K2662)</f>
        <v/>
      </c>
      <c r="L2662">
        <f>IF(AND(ABS(I2662)&gt;Dashboard!$G$6,ABS(J2662)&gt;Dashboard!$H$6),"⚠ Vượt","")</f>
        <v/>
      </c>
      <c r="M2662">
        <f>IF(AND(A2662=Dashboard!$D$6,OR(Dashboard!$C$6="*",F2662=Dashboard!$C$6),L2662&lt;&gt;""),ABS(I2662)+ROW()/1000000000,0)</f>
        <v/>
      </c>
    </row>
    <row r="2663">
      <c r="A2663">
        <f>Data_thang!A2663</f>
        <v/>
      </c>
      <c r="B2663">
        <f>Data_thang!B2663</f>
        <v/>
      </c>
      <c r="C2663">
        <f>Data_thang!D2663</f>
        <v/>
      </c>
      <c r="D2663">
        <f>Data_thang!E2663</f>
        <v/>
      </c>
      <c r="E2663">
        <f>Data_thang!F2663</f>
        <v/>
      </c>
      <c r="F2663">
        <f>Data_thang!G2663</f>
        <v/>
      </c>
      <c r="G2663" s="29">
        <f>Data_thang!J2663-Data_thang!K2663</f>
        <v/>
      </c>
      <c r="H2663" s="29">
        <f>Data_thang!N2663</f>
        <v/>
      </c>
      <c r="I2663" s="29">
        <f>H2663-G2663</f>
        <v/>
      </c>
      <c r="J2663" s="30">
        <f>IF(H2663=0,IF(I2663=0,0,1),I2663/ABS(H2663))</f>
        <v/>
      </c>
      <c r="K2663" s="29">
        <f>H2663-(Data_thang!O2663-Data_thang!K2663)</f>
        <v/>
      </c>
      <c r="L2663">
        <f>IF(AND(ABS(I2663)&gt;Dashboard!$G$6,ABS(J2663)&gt;Dashboard!$H$6),"⚠ Vượt","")</f>
        <v/>
      </c>
      <c r="M2663">
        <f>IF(AND(A2663=Dashboard!$D$6,OR(Dashboard!$C$6="*",F2663=Dashboard!$C$6),L2663&lt;&gt;""),ABS(I2663)+ROW()/1000000000,0)</f>
        <v/>
      </c>
    </row>
    <row r="2664">
      <c r="A2664">
        <f>Data_thang!A2664</f>
        <v/>
      </c>
      <c r="B2664">
        <f>Data_thang!B2664</f>
        <v/>
      </c>
      <c r="C2664">
        <f>Data_thang!D2664</f>
        <v/>
      </c>
      <c r="D2664">
        <f>Data_thang!E2664</f>
        <v/>
      </c>
      <c r="E2664">
        <f>Data_thang!F2664</f>
        <v/>
      </c>
      <c r="F2664">
        <f>Data_thang!G2664</f>
        <v/>
      </c>
      <c r="G2664" s="29">
        <f>Data_thang!J2664-Data_thang!K2664</f>
        <v/>
      </c>
      <c r="H2664" s="29">
        <f>Data_thang!N2664</f>
        <v/>
      </c>
      <c r="I2664" s="29">
        <f>H2664-G2664</f>
        <v/>
      </c>
      <c r="J2664" s="30">
        <f>IF(H2664=0,IF(I2664=0,0,1),I2664/ABS(H2664))</f>
        <v/>
      </c>
      <c r="K2664" s="29">
        <f>H2664-(Data_thang!O2664-Data_thang!K2664)</f>
        <v/>
      </c>
      <c r="L2664">
        <f>IF(AND(ABS(I2664)&gt;Dashboard!$G$6,ABS(J2664)&gt;Dashboard!$H$6),"⚠ Vượt","")</f>
        <v/>
      </c>
      <c r="M2664">
        <f>IF(AND(A2664=Dashboard!$D$6,OR(Dashboard!$C$6="*",F2664=Dashboard!$C$6),L2664&lt;&gt;""),ABS(I2664)+ROW()/1000000000,0)</f>
        <v/>
      </c>
    </row>
    <row r="2665">
      <c r="A2665">
        <f>Data_thang!A2665</f>
        <v/>
      </c>
      <c r="B2665">
        <f>Data_thang!B2665</f>
        <v/>
      </c>
      <c r="C2665">
        <f>Data_thang!D2665</f>
        <v/>
      </c>
      <c r="D2665">
        <f>Data_thang!E2665</f>
        <v/>
      </c>
      <c r="E2665">
        <f>Data_thang!F2665</f>
        <v/>
      </c>
      <c r="F2665">
        <f>Data_thang!G2665</f>
        <v/>
      </c>
      <c r="G2665" s="29">
        <f>Data_thang!J2665-Data_thang!K2665</f>
        <v/>
      </c>
      <c r="H2665" s="29">
        <f>Data_thang!N2665</f>
        <v/>
      </c>
      <c r="I2665" s="29">
        <f>H2665-G2665</f>
        <v/>
      </c>
      <c r="J2665" s="30">
        <f>IF(H2665=0,IF(I2665=0,0,1),I2665/ABS(H2665))</f>
        <v/>
      </c>
      <c r="K2665" s="29">
        <f>H2665-(Data_thang!O2665-Data_thang!K2665)</f>
        <v/>
      </c>
      <c r="L2665">
        <f>IF(AND(ABS(I2665)&gt;Dashboard!$G$6,ABS(J2665)&gt;Dashboard!$H$6),"⚠ Vượt","")</f>
        <v/>
      </c>
      <c r="M2665">
        <f>IF(AND(A2665=Dashboard!$D$6,OR(Dashboard!$C$6="*",F2665=Dashboard!$C$6),L2665&lt;&gt;""),ABS(I2665)+ROW()/1000000000,0)</f>
        <v/>
      </c>
    </row>
    <row r="2666">
      <c r="A2666">
        <f>Data_thang!A2666</f>
        <v/>
      </c>
      <c r="B2666">
        <f>Data_thang!B2666</f>
        <v/>
      </c>
      <c r="C2666">
        <f>Data_thang!D2666</f>
        <v/>
      </c>
      <c r="D2666">
        <f>Data_thang!E2666</f>
        <v/>
      </c>
      <c r="E2666">
        <f>Data_thang!F2666</f>
        <v/>
      </c>
      <c r="F2666">
        <f>Data_thang!G2666</f>
        <v/>
      </c>
      <c r="G2666" s="29">
        <f>Data_thang!J2666-Data_thang!K2666</f>
        <v/>
      </c>
      <c r="H2666" s="29">
        <f>Data_thang!N2666</f>
        <v/>
      </c>
      <c r="I2666" s="29">
        <f>H2666-G2666</f>
        <v/>
      </c>
      <c r="J2666" s="30">
        <f>IF(H2666=0,IF(I2666=0,0,1),I2666/ABS(H2666))</f>
        <v/>
      </c>
      <c r="K2666" s="29">
        <f>H2666-(Data_thang!O2666-Data_thang!K2666)</f>
        <v/>
      </c>
      <c r="L2666">
        <f>IF(AND(ABS(I2666)&gt;Dashboard!$G$6,ABS(J2666)&gt;Dashboard!$H$6),"⚠ Vượt","")</f>
        <v/>
      </c>
      <c r="M2666">
        <f>IF(AND(A2666=Dashboard!$D$6,OR(Dashboard!$C$6="*",F2666=Dashboard!$C$6),L2666&lt;&gt;""),ABS(I2666)+ROW()/1000000000,0)</f>
        <v/>
      </c>
    </row>
    <row r="2667">
      <c r="A2667">
        <f>Data_thang!A2667</f>
        <v/>
      </c>
      <c r="B2667">
        <f>Data_thang!B2667</f>
        <v/>
      </c>
      <c r="C2667">
        <f>Data_thang!D2667</f>
        <v/>
      </c>
      <c r="D2667">
        <f>Data_thang!E2667</f>
        <v/>
      </c>
      <c r="E2667">
        <f>Data_thang!F2667</f>
        <v/>
      </c>
      <c r="F2667">
        <f>Data_thang!G2667</f>
        <v/>
      </c>
      <c r="G2667" s="29">
        <f>Data_thang!J2667-Data_thang!K2667</f>
        <v/>
      </c>
      <c r="H2667" s="29">
        <f>Data_thang!N2667</f>
        <v/>
      </c>
      <c r="I2667" s="29">
        <f>H2667-G2667</f>
        <v/>
      </c>
      <c r="J2667" s="30">
        <f>IF(H2667=0,IF(I2667=0,0,1),I2667/ABS(H2667))</f>
        <v/>
      </c>
      <c r="K2667" s="29">
        <f>H2667-(Data_thang!O2667-Data_thang!K2667)</f>
        <v/>
      </c>
      <c r="L2667">
        <f>IF(AND(ABS(I2667)&gt;Dashboard!$G$6,ABS(J2667)&gt;Dashboard!$H$6),"⚠ Vượt","")</f>
        <v/>
      </c>
      <c r="M2667">
        <f>IF(AND(A2667=Dashboard!$D$6,OR(Dashboard!$C$6="*",F2667=Dashboard!$C$6),L2667&lt;&gt;""),ABS(I2667)+ROW()/1000000000,0)</f>
        <v/>
      </c>
    </row>
    <row r="2668">
      <c r="A2668">
        <f>Data_thang!A2668</f>
        <v/>
      </c>
      <c r="B2668">
        <f>Data_thang!B2668</f>
        <v/>
      </c>
      <c r="C2668">
        <f>Data_thang!D2668</f>
        <v/>
      </c>
      <c r="D2668">
        <f>Data_thang!E2668</f>
        <v/>
      </c>
      <c r="E2668">
        <f>Data_thang!F2668</f>
        <v/>
      </c>
      <c r="F2668">
        <f>Data_thang!G2668</f>
        <v/>
      </c>
      <c r="G2668" s="29">
        <f>Data_thang!J2668-Data_thang!K2668</f>
        <v/>
      </c>
      <c r="H2668" s="29">
        <f>Data_thang!N2668</f>
        <v/>
      </c>
      <c r="I2668" s="29">
        <f>H2668-G2668</f>
        <v/>
      </c>
      <c r="J2668" s="30">
        <f>IF(H2668=0,IF(I2668=0,0,1),I2668/ABS(H2668))</f>
        <v/>
      </c>
      <c r="K2668" s="29">
        <f>H2668-(Data_thang!O2668-Data_thang!K2668)</f>
        <v/>
      </c>
      <c r="L2668">
        <f>IF(AND(ABS(I2668)&gt;Dashboard!$G$6,ABS(J2668)&gt;Dashboard!$H$6),"⚠ Vượt","")</f>
        <v/>
      </c>
      <c r="M2668">
        <f>IF(AND(A2668=Dashboard!$D$6,OR(Dashboard!$C$6="*",F2668=Dashboard!$C$6),L2668&lt;&gt;""),ABS(I2668)+ROW()/1000000000,0)</f>
        <v/>
      </c>
    </row>
    <row r="2669">
      <c r="A2669">
        <f>Data_thang!A2669</f>
        <v/>
      </c>
      <c r="B2669">
        <f>Data_thang!B2669</f>
        <v/>
      </c>
      <c r="C2669">
        <f>Data_thang!D2669</f>
        <v/>
      </c>
      <c r="D2669">
        <f>Data_thang!E2669</f>
        <v/>
      </c>
      <c r="E2669">
        <f>Data_thang!F2669</f>
        <v/>
      </c>
      <c r="F2669">
        <f>Data_thang!G2669</f>
        <v/>
      </c>
      <c r="G2669" s="29">
        <f>Data_thang!J2669-Data_thang!K2669</f>
        <v/>
      </c>
      <c r="H2669" s="29">
        <f>Data_thang!N2669</f>
        <v/>
      </c>
      <c r="I2669" s="29">
        <f>H2669-G2669</f>
        <v/>
      </c>
      <c r="J2669" s="30">
        <f>IF(H2669=0,IF(I2669=0,0,1),I2669/ABS(H2669))</f>
        <v/>
      </c>
      <c r="K2669" s="29">
        <f>H2669-(Data_thang!O2669-Data_thang!K2669)</f>
        <v/>
      </c>
      <c r="L2669">
        <f>IF(AND(ABS(I2669)&gt;Dashboard!$G$6,ABS(J2669)&gt;Dashboard!$H$6),"⚠ Vượt","")</f>
        <v/>
      </c>
      <c r="M2669">
        <f>IF(AND(A2669=Dashboard!$D$6,OR(Dashboard!$C$6="*",F2669=Dashboard!$C$6),L2669&lt;&gt;""),ABS(I2669)+ROW()/1000000000,0)</f>
        <v/>
      </c>
    </row>
    <row r="2670">
      <c r="A2670">
        <f>Data_thang!A2670</f>
        <v/>
      </c>
      <c r="B2670">
        <f>Data_thang!B2670</f>
        <v/>
      </c>
      <c r="C2670">
        <f>Data_thang!D2670</f>
        <v/>
      </c>
      <c r="D2670">
        <f>Data_thang!E2670</f>
        <v/>
      </c>
      <c r="E2670">
        <f>Data_thang!F2670</f>
        <v/>
      </c>
      <c r="F2670">
        <f>Data_thang!G2670</f>
        <v/>
      </c>
      <c r="G2670" s="29">
        <f>Data_thang!J2670-Data_thang!K2670</f>
        <v/>
      </c>
      <c r="H2670" s="29">
        <f>Data_thang!N2670</f>
        <v/>
      </c>
      <c r="I2670" s="29">
        <f>H2670-G2670</f>
        <v/>
      </c>
      <c r="J2670" s="30">
        <f>IF(H2670=0,IF(I2670=0,0,1),I2670/ABS(H2670))</f>
        <v/>
      </c>
      <c r="K2670" s="29">
        <f>H2670-(Data_thang!O2670-Data_thang!K2670)</f>
        <v/>
      </c>
      <c r="L2670">
        <f>IF(AND(ABS(I2670)&gt;Dashboard!$G$6,ABS(J2670)&gt;Dashboard!$H$6),"⚠ Vượt","")</f>
        <v/>
      </c>
      <c r="M2670">
        <f>IF(AND(A2670=Dashboard!$D$6,OR(Dashboard!$C$6="*",F2670=Dashboard!$C$6),L2670&lt;&gt;""),ABS(I2670)+ROW()/1000000000,0)</f>
        <v/>
      </c>
    </row>
    <row r="2671">
      <c r="A2671">
        <f>Data_thang!A2671</f>
        <v/>
      </c>
      <c r="B2671">
        <f>Data_thang!B2671</f>
        <v/>
      </c>
      <c r="C2671">
        <f>Data_thang!D2671</f>
        <v/>
      </c>
      <c r="D2671">
        <f>Data_thang!E2671</f>
        <v/>
      </c>
      <c r="E2671">
        <f>Data_thang!F2671</f>
        <v/>
      </c>
      <c r="F2671">
        <f>Data_thang!G2671</f>
        <v/>
      </c>
      <c r="G2671" s="29">
        <f>Data_thang!J2671-Data_thang!K2671</f>
        <v/>
      </c>
      <c r="H2671" s="29">
        <f>Data_thang!N2671</f>
        <v/>
      </c>
      <c r="I2671" s="29">
        <f>H2671-G2671</f>
        <v/>
      </c>
      <c r="J2671" s="30">
        <f>IF(H2671=0,IF(I2671=0,0,1),I2671/ABS(H2671))</f>
        <v/>
      </c>
      <c r="K2671" s="29">
        <f>H2671-(Data_thang!O2671-Data_thang!K2671)</f>
        <v/>
      </c>
      <c r="L2671">
        <f>IF(AND(ABS(I2671)&gt;Dashboard!$G$6,ABS(J2671)&gt;Dashboard!$H$6),"⚠ Vượt","")</f>
        <v/>
      </c>
      <c r="M2671">
        <f>IF(AND(A2671=Dashboard!$D$6,OR(Dashboard!$C$6="*",F2671=Dashboard!$C$6),L2671&lt;&gt;""),ABS(I2671)+ROW()/1000000000,0)</f>
        <v/>
      </c>
    </row>
    <row r="2672">
      <c r="A2672">
        <f>Data_thang!A2672</f>
        <v/>
      </c>
      <c r="B2672">
        <f>Data_thang!B2672</f>
        <v/>
      </c>
      <c r="C2672">
        <f>Data_thang!D2672</f>
        <v/>
      </c>
      <c r="D2672">
        <f>Data_thang!E2672</f>
        <v/>
      </c>
      <c r="E2672">
        <f>Data_thang!F2672</f>
        <v/>
      </c>
      <c r="F2672">
        <f>Data_thang!G2672</f>
        <v/>
      </c>
      <c r="G2672" s="29">
        <f>Data_thang!J2672-Data_thang!K2672</f>
        <v/>
      </c>
      <c r="H2672" s="29">
        <f>Data_thang!N2672</f>
        <v/>
      </c>
      <c r="I2672" s="29">
        <f>H2672-G2672</f>
        <v/>
      </c>
      <c r="J2672" s="30">
        <f>IF(H2672=0,IF(I2672=0,0,1),I2672/ABS(H2672))</f>
        <v/>
      </c>
      <c r="K2672" s="29">
        <f>H2672-(Data_thang!O2672-Data_thang!K2672)</f>
        <v/>
      </c>
      <c r="L2672">
        <f>IF(AND(ABS(I2672)&gt;Dashboard!$G$6,ABS(J2672)&gt;Dashboard!$H$6),"⚠ Vượt","")</f>
        <v/>
      </c>
      <c r="M2672">
        <f>IF(AND(A2672=Dashboard!$D$6,OR(Dashboard!$C$6="*",F2672=Dashboard!$C$6),L2672&lt;&gt;""),ABS(I2672)+ROW()/1000000000,0)</f>
        <v/>
      </c>
    </row>
    <row r="2673">
      <c r="A2673">
        <f>Data_thang!A2673</f>
        <v/>
      </c>
      <c r="B2673">
        <f>Data_thang!B2673</f>
        <v/>
      </c>
      <c r="C2673">
        <f>Data_thang!D2673</f>
        <v/>
      </c>
      <c r="D2673">
        <f>Data_thang!E2673</f>
        <v/>
      </c>
      <c r="E2673">
        <f>Data_thang!F2673</f>
        <v/>
      </c>
      <c r="F2673">
        <f>Data_thang!G2673</f>
        <v/>
      </c>
      <c r="G2673" s="29">
        <f>Data_thang!J2673-Data_thang!K2673</f>
        <v/>
      </c>
      <c r="H2673" s="29">
        <f>Data_thang!N2673</f>
        <v/>
      </c>
      <c r="I2673" s="29">
        <f>H2673-G2673</f>
        <v/>
      </c>
      <c r="J2673" s="30">
        <f>IF(H2673=0,IF(I2673=0,0,1),I2673/ABS(H2673))</f>
        <v/>
      </c>
      <c r="K2673" s="29">
        <f>H2673-(Data_thang!O2673-Data_thang!K2673)</f>
        <v/>
      </c>
      <c r="L2673">
        <f>IF(AND(ABS(I2673)&gt;Dashboard!$G$6,ABS(J2673)&gt;Dashboard!$H$6),"⚠ Vượt","")</f>
        <v/>
      </c>
      <c r="M2673">
        <f>IF(AND(A2673=Dashboard!$D$6,OR(Dashboard!$C$6="*",F2673=Dashboard!$C$6),L2673&lt;&gt;""),ABS(I2673)+ROW()/1000000000,0)</f>
        <v/>
      </c>
    </row>
    <row r="2674">
      <c r="A2674">
        <f>Data_thang!A2674</f>
        <v/>
      </c>
      <c r="B2674">
        <f>Data_thang!B2674</f>
        <v/>
      </c>
      <c r="C2674">
        <f>Data_thang!D2674</f>
        <v/>
      </c>
      <c r="D2674">
        <f>Data_thang!E2674</f>
        <v/>
      </c>
      <c r="E2674">
        <f>Data_thang!F2674</f>
        <v/>
      </c>
      <c r="F2674">
        <f>Data_thang!G2674</f>
        <v/>
      </c>
      <c r="G2674" s="29">
        <f>Data_thang!J2674-Data_thang!K2674</f>
        <v/>
      </c>
      <c r="H2674" s="29">
        <f>Data_thang!N2674</f>
        <v/>
      </c>
      <c r="I2674" s="29">
        <f>H2674-G2674</f>
        <v/>
      </c>
      <c r="J2674" s="30">
        <f>IF(H2674=0,IF(I2674=0,0,1),I2674/ABS(H2674))</f>
        <v/>
      </c>
      <c r="K2674" s="29">
        <f>H2674-(Data_thang!O2674-Data_thang!K2674)</f>
        <v/>
      </c>
      <c r="L2674">
        <f>IF(AND(ABS(I2674)&gt;Dashboard!$G$6,ABS(J2674)&gt;Dashboard!$H$6),"⚠ Vượt","")</f>
        <v/>
      </c>
      <c r="M2674">
        <f>IF(AND(A2674=Dashboard!$D$6,OR(Dashboard!$C$6="*",F2674=Dashboard!$C$6),L2674&lt;&gt;""),ABS(I2674)+ROW()/1000000000,0)</f>
        <v/>
      </c>
    </row>
    <row r="2675">
      <c r="A2675">
        <f>Data_thang!A2675</f>
        <v/>
      </c>
      <c r="B2675">
        <f>Data_thang!B2675</f>
        <v/>
      </c>
      <c r="C2675">
        <f>Data_thang!D2675</f>
        <v/>
      </c>
      <c r="D2675">
        <f>Data_thang!E2675</f>
        <v/>
      </c>
      <c r="E2675">
        <f>Data_thang!F2675</f>
        <v/>
      </c>
      <c r="F2675">
        <f>Data_thang!G2675</f>
        <v/>
      </c>
      <c r="G2675" s="29">
        <f>Data_thang!J2675-Data_thang!K2675</f>
        <v/>
      </c>
      <c r="H2675" s="29">
        <f>Data_thang!N2675</f>
        <v/>
      </c>
      <c r="I2675" s="29">
        <f>H2675-G2675</f>
        <v/>
      </c>
      <c r="J2675" s="30">
        <f>IF(H2675=0,IF(I2675=0,0,1),I2675/ABS(H2675))</f>
        <v/>
      </c>
      <c r="K2675" s="29">
        <f>H2675-(Data_thang!O2675-Data_thang!K2675)</f>
        <v/>
      </c>
      <c r="L2675">
        <f>IF(AND(ABS(I2675)&gt;Dashboard!$G$6,ABS(J2675)&gt;Dashboard!$H$6),"⚠ Vượt","")</f>
        <v/>
      </c>
      <c r="M2675">
        <f>IF(AND(A2675=Dashboard!$D$6,OR(Dashboard!$C$6="*",F2675=Dashboard!$C$6),L2675&lt;&gt;""),ABS(I2675)+ROW()/1000000000,0)</f>
        <v/>
      </c>
    </row>
    <row r="2676">
      <c r="A2676">
        <f>Data_thang!A2676</f>
        <v/>
      </c>
      <c r="B2676">
        <f>Data_thang!B2676</f>
        <v/>
      </c>
      <c r="C2676">
        <f>Data_thang!D2676</f>
        <v/>
      </c>
      <c r="D2676">
        <f>Data_thang!E2676</f>
        <v/>
      </c>
      <c r="E2676">
        <f>Data_thang!F2676</f>
        <v/>
      </c>
      <c r="F2676">
        <f>Data_thang!G2676</f>
        <v/>
      </c>
      <c r="G2676" s="29">
        <f>Data_thang!J2676-Data_thang!K2676</f>
        <v/>
      </c>
      <c r="H2676" s="29">
        <f>Data_thang!N2676</f>
        <v/>
      </c>
      <c r="I2676" s="29">
        <f>H2676-G2676</f>
        <v/>
      </c>
      <c r="J2676" s="30">
        <f>IF(H2676=0,IF(I2676=0,0,1),I2676/ABS(H2676))</f>
        <v/>
      </c>
      <c r="K2676" s="29">
        <f>H2676-(Data_thang!O2676-Data_thang!K2676)</f>
        <v/>
      </c>
      <c r="L2676">
        <f>IF(AND(ABS(I2676)&gt;Dashboard!$G$6,ABS(J2676)&gt;Dashboard!$H$6),"⚠ Vượt","")</f>
        <v/>
      </c>
      <c r="M2676">
        <f>IF(AND(A2676=Dashboard!$D$6,OR(Dashboard!$C$6="*",F2676=Dashboard!$C$6),L2676&lt;&gt;""),ABS(I2676)+ROW()/1000000000,0)</f>
        <v/>
      </c>
    </row>
    <row r="2677">
      <c r="A2677">
        <f>Data_thang!A2677</f>
        <v/>
      </c>
      <c r="B2677">
        <f>Data_thang!B2677</f>
        <v/>
      </c>
      <c r="C2677">
        <f>Data_thang!D2677</f>
        <v/>
      </c>
      <c r="D2677">
        <f>Data_thang!E2677</f>
        <v/>
      </c>
      <c r="E2677">
        <f>Data_thang!F2677</f>
        <v/>
      </c>
      <c r="F2677">
        <f>Data_thang!G2677</f>
        <v/>
      </c>
      <c r="G2677" s="29">
        <f>Data_thang!J2677-Data_thang!K2677</f>
        <v/>
      </c>
      <c r="H2677" s="29">
        <f>Data_thang!N2677</f>
        <v/>
      </c>
      <c r="I2677" s="29">
        <f>H2677-G2677</f>
        <v/>
      </c>
      <c r="J2677" s="30">
        <f>IF(H2677=0,IF(I2677=0,0,1),I2677/ABS(H2677))</f>
        <v/>
      </c>
      <c r="K2677" s="29">
        <f>H2677-(Data_thang!O2677-Data_thang!K2677)</f>
        <v/>
      </c>
      <c r="L2677">
        <f>IF(AND(ABS(I2677)&gt;Dashboard!$G$6,ABS(J2677)&gt;Dashboard!$H$6),"⚠ Vượt","")</f>
        <v/>
      </c>
      <c r="M2677">
        <f>IF(AND(A2677=Dashboard!$D$6,OR(Dashboard!$C$6="*",F2677=Dashboard!$C$6),L2677&lt;&gt;""),ABS(I2677)+ROW()/1000000000,0)</f>
        <v/>
      </c>
    </row>
    <row r="2678">
      <c r="A2678">
        <f>Data_thang!A2678</f>
        <v/>
      </c>
      <c r="B2678">
        <f>Data_thang!B2678</f>
        <v/>
      </c>
      <c r="C2678">
        <f>Data_thang!D2678</f>
        <v/>
      </c>
      <c r="D2678">
        <f>Data_thang!E2678</f>
        <v/>
      </c>
      <c r="E2678">
        <f>Data_thang!F2678</f>
        <v/>
      </c>
      <c r="F2678">
        <f>Data_thang!G2678</f>
        <v/>
      </c>
      <c r="G2678" s="29">
        <f>Data_thang!J2678-Data_thang!K2678</f>
        <v/>
      </c>
      <c r="H2678" s="29">
        <f>Data_thang!N2678</f>
        <v/>
      </c>
      <c r="I2678" s="29">
        <f>H2678-G2678</f>
        <v/>
      </c>
      <c r="J2678" s="30">
        <f>IF(H2678=0,IF(I2678=0,0,1),I2678/ABS(H2678))</f>
        <v/>
      </c>
      <c r="K2678" s="29">
        <f>H2678-(Data_thang!O2678-Data_thang!K2678)</f>
        <v/>
      </c>
      <c r="L2678">
        <f>IF(AND(ABS(I2678)&gt;Dashboard!$G$6,ABS(J2678)&gt;Dashboard!$H$6),"⚠ Vượt","")</f>
        <v/>
      </c>
      <c r="M2678">
        <f>IF(AND(A2678=Dashboard!$D$6,OR(Dashboard!$C$6="*",F2678=Dashboard!$C$6),L2678&lt;&gt;""),ABS(I2678)+ROW()/1000000000,0)</f>
        <v/>
      </c>
    </row>
    <row r="2679">
      <c r="A2679">
        <f>Data_thang!A2679</f>
        <v/>
      </c>
      <c r="B2679">
        <f>Data_thang!B2679</f>
        <v/>
      </c>
      <c r="C2679">
        <f>Data_thang!D2679</f>
        <v/>
      </c>
      <c r="D2679">
        <f>Data_thang!E2679</f>
        <v/>
      </c>
      <c r="E2679">
        <f>Data_thang!F2679</f>
        <v/>
      </c>
      <c r="F2679">
        <f>Data_thang!G2679</f>
        <v/>
      </c>
      <c r="G2679" s="29">
        <f>Data_thang!J2679-Data_thang!K2679</f>
        <v/>
      </c>
      <c r="H2679" s="29">
        <f>Data_thang!N2679</f>
        <v/>
      </c>
      <c r="I2679" s="29">
        <f>H2679-G2679</f>
        <v/>
      </c>
      <c r="J2679" s="30">
        <f>IF(H2679=0,IF(I2679=0,0,1),I2679/ABS(H2679))</f>
        <v/>
      </c>
      <c r="K2679" s="29">
        <f>H2679-(Data_thang!O2679-Data_thang!K2679)</f>
        <v/>
      </c>
      <c r="L2679">
        <f>IF(AND(ABS(I2679)&gt;Dashboard!$G$6,ABS(J2679)&gt;Dashboard!$H$6),"⚠ Vượt","")</f>
        <v/>
      </c>
      <c r="M2679">
        <f>IF(AND(A2679=Dashboard!$D$6,OR(Dashboard!$C$6="*",F2679=Dashboard!$C$6),L2679&lt;&gt;""),ABS(I2679)+ROW()/1000000000,0)</f>
        <v/>
      </c>
    </row>
    <row r="2680">
      <c r="A2680">
        <f>Data_thang!A2680</f>
        <v/>
      </c>
      <c r="B2680">
        <f>Data_thang!B2680</f>
        <v/>
      </c>
      <c r="C2680">
        <f>Data_thang!D2680</f>
        <v/>
      </c>
      <c r="D2680">
        <f>Data_thang!E2680</f>
        <v/>
      </c>
      <c r="E2680">
        <f>Data_thang!F2680</f>
        <v/>
      </c>
      <c r="F2680">
        <f>Data_thang!G2680</f>
        <v/>
      </c>
      <c r="G2680" s="29">
        <f>Data_thang!J2680-Data_thang!K2680</f>
        <v/>
      </c>
      <c r="H2680" s="29">
        <f>Data_thang!N2680</f>
        <v/>
      </c>
      <c r="I2680" s="29">
        <f>H2680-G2680</f>
        <v/>
      </c>
      <c r="J2680" s="30">
        <f>IF(H2680=0,IF(I2680=0,0,1),I2680/ABS(H2680))</f>
        <v/>
      </c>
      <c r="K2680" s="29">
        <f>H2680-(Data_thang!O2680-Data_thang!K2680)</f>
        <v/>
      </c>
      <c r="L2680">
        <f>IF(AND(ABS(I2680)&gt;Dashboard!$G$6,ABS(J2680)&gt;Dashboard!$H$6),"⚠ Vượt","")</f>
        <v/>
      </c>
      <c r="M2680">
        <f>IF(AND(A2680=Dashboard!$D$6,OR(Dashboard!$C$6="*",F2680=Dashboard!$C$6),L2680&lt;&gt;""),ABS(I2680)+ROW()/1000000000,0)</f>
        <v/>
      </c>
    </row>
    <row r="2681">
      <c r="A2681">
        <f>Data_thang!A2681</f>
        <v/>
      </c>
      <c r="B2681">
        <f>Data_thang!B2681</f>
        <v/>
      </c>
      <c r="C2681">
        <f>Data_thang!D2681</f>
        <v/>
      </c>
      <c r="D2681">
        <f>Data_thang!E2681</f>
        <v/>
      </c>
      <c r="E2681">
        <f>Data_thang!F2681</f>
        <v/>
      </c>
      <c r="F2681">
        <f>Data_thang!G2681</f>
        <v/>
      </c>
      <c r="G2681" s="29">
        <f>Data_thang!J2681-Data_thang!K2681</f>
        <v/>
      </c>
      <c r="H2681" s="29">
        <f>Data_thang!N2681</f>
        <v/>
      </c>
      <c r="I2681" s="29">
        <f>H2681-G2681</f>
        <v/>
      </c>
      <c r="J2681" s="30">
        <f>IF(H2681=0,IF(I2681=0,0,1),I2681/ABS(H2681))</f>
        <v/>
      </c>
      <c r="K2681" s="29">
        <f>H2681-(Data_thang!O2681-Data_thang!K2681)</f>
        <v/>
      </c>
      <c r="L2681">
        <f>IF(AND(ABS(I2681)&gt;Dashboard!$G$6,ABS(J2681)&gt;Dashboard!$H$6),"⚠ Vượt","")</f>
        <v/>
      </c>
      <c r="M2681">
        <f>IF(AND(A2681=Dashboard!$D$6,OR(Dashboard!$C$6="*",F2681=Dashboard!$C$6),L2681&lt;&gt;""),ABS(I2681)+ROW()/1000000000,0)</f>
        <v/>
      </c>
    </row>
    <row r="2682">
      <c r="A2682">
        <f>Data_thang!A2682</f>
        <v/>
      </c>
      <c r="B2682">
        <f>Data_thang!B2682</f>
        <v/>
      </c>
      <c r="C2682">
        <f>Data_thang!D2682</f>
        <v/>
      </c>
      <c r="D2682">
        <f>Data_thang!E2682</f>
        <v/>
      </c>
      <c r="E2682">
        <f>Data_thang!F2682</f>
        <v/>
      </c>
      <c r="F2682">
        <f>Data_thang!G2682</f>
        <v/>
      </c>
      <c r="G2682" s="29">
        <f>Data_thang!J2682-Data_thang!K2682</f>
        <v/>
      </c>
      <c r="H2682" s="29">
        <f>Data_thang!N2682</f>
        <v/>
      </c>
      <c r="I2682" s="29">
        <f>H2682-G2682</f>
        <v/>
      </c>
      <c r="J2682" s="30">
        <f>IF(H2682=0,IF(I2682=0,0,1),I2682/ABS(H2682))</f>
        <v/>
      </c>
      <c r="K2682" s="29">
        <f>H2682-(Data_thang!O2682-Data_thang!K2682)</f>
        <v/>
      </c>
      <c r="L2682">
        <f>IF(AND(ABS(I2682)&gt;Dashboard!$G$6,ABS(J2682)&gt;Dashboard!$H$6),"⚠ Vượt","")</f>
        <v/>
      </c>
      <c r="M2682">
        <f>IF(AND(A2682=Dashboard!$D$6,OR(Dashboard!$C$6="*",F2682=Dashboard!$C$6),L2682&lt;&gt;""),ABS(I2682)+ROW()/1000000000,0)</f>
        <v/>
      </c>
    </row>
    <row r="2683">
      <c r="A2683">
        <f>Data_thang!A2683</f>
        <v/>
      </c>
      <c r="B2683">
        <f>Data_thang!B2683</f>
        <v/>
      </c>
      <c r="C2683">
        <f>Data_thang!D2683</f>
        <v/>
      </c>
      <c r="D2683">
        <f>Data_thang!E2683</f>
        <v/>
      </c>
      <c r="E2683">
        <f>Data_thang!F2683</f>
        <v/>
      </c>
      <c r="F2683">
        <f>Data_thang!G2683</f>
        <v/>
      </c>
      <c r="G2683" s="29">
        <f>Data_thang!J2683-Data_thang!K2683</f>
        <v/>
      </c>
      <c r="H2683" s="29">
        <f>Data_thang!N2683</f>
        <v/>
      </c>
      <c r="I2683" s="29">
        <f>H2683-G2683</f>
        <v/>
      </c>
      <c r="J2683" s="30">
        <f>IF(H2683=0,IF(I2683=0,0,1),I2683/ABS(H2683))</f>
        <v/>
      </c>
      <c r="K2683" s="29">
        <f>H2683-(Data_thang!O2683-Data_thang!K2683)</f>
        <v/>
      </c>
      <c r="L2683">
        <f>IF(AND(ABS(I2683)&gt;Dashboard!$G$6,ABS(J2683)&gt;Dashboard!$H$6),"⚠ Vượt","")</f>
        <v/>
      </c>
      <c r="M2683">
        <f>IF(AND(A2683=Dashboard!$D$6,OR(Dashboard!$C$6="*",F2683=Dashboard!$C$6),L2683&lt;&gt;""),ABS(I2683)+ROW()/1000000000,0)</f>
        <v/>
      </c>
    </row>
    <row r="2684">
      <c r="A2684">
        <f>Data_thang!A2684</f>
        <v/>
      </c>
      <c r="B2684">
        <f>Data_thang!B2684</f>
        <v/>
      </c>
      <c r="C2684">
        <f>Data_thang!D2684</f>
        <v/>
      </c>
      <c r="D2684">
        <f>Data_thang!E2684</f>
        <v/>
      </c>
      <c r="E2684">
        <f>Data_thang!F2684</f>
        <v/>
      </c>
      <c r="F2684">
        <f>Data_thang!G2684</f>
        <v/>
      </c>
      <c r="G2684" s="29">
        <f>Data_thang!J2684-Data_thang!K2684</f>
        <v/>
      </c>
      <c r="H2684" s="29">
        <f>Data_thang!N2684</f>
        <v/>
      </c>
      <c r="I2684" s="29">
        <f>H2684-G2684</f>
        <v/>
      </c>
      <c r="J2684" s="30">
        <f>IF(H2684=0,IF(I2684=0,0,1),I2684/ABS(H2684))</f>
        <v/>
      </c>
      <c r="K2684" s="29">
        <f>H2684-(Data_thang!O2684-Data_thang!K2684)</f>
        <v/>
      </c>
      <c r="L2684">
        <f>IF(AND(ABS(I2684)&gt;Dashboard!$G$6,ABS(J2684)&gt;Dashboard!$H$6),"⚠ Vượt","")</f>
        <v/>
      </c>
      <c r="M2684">
        <f>IF(AND(A2684=Dashboard!$D$6,OR(Dashboard!$C$6="*",F2684=Dashboard!$C$6),L2684&lt;&gt;""),ABS(I2684)+ROW()/1000000000,0)</f>
        <v/>
      </c>
    </row>
    <row r="2685">
      <c r="A2685">
        <f>Data_thang!A2685</f>
        <v/>
      </c>
      <c r="B2685">
        <f>Data_thang!B2685</f>
        <v/>
      </c>
      <c r="C2685">
        <f>Data_thang!D2685</f>
        <v/>
      </c>
      <c r="D2685">
        <f>Data_thang!E2685</f>
        <v/>
      </c>
      <c r="E2685">
        <f>Data_thang!F2685</f>
        <v/>
      </c>
      <c r="F2685">
        <f>Data_thang!G2685</f>
        <v/>
      </c>
      <c r="G2685" s="29">
        <f>Data_thang!J2685-Data_thang!K2685</f>
        <v/>
      </c>
      <c r="H2685" s="29">
        <f>Data_thang!N2685</f>
        <v/>
      </c>
      <c r="I2685" s="29">
        <f>H2685-G2685</f>
        <v/>
      </c>
      <c r="J2685" s="30">
        <f>IF(H2685=0,IF(I2685=0,0,1),I2685/ABS(H2685))</f>
        <v/>
      </c>
      <c r="K2685" s="29">
        <f>H2685-(Data_thang!O2685-Data_thang!K2685)</f>
        <v/>
      </c>
      <c r="L2685">
        <f>IF(AND(ABS(I2685)&gt;Dashboard!$G$6,ABS(J2685)&gt;Dashboard!$H$6),"⚠ Vượt","")</f>
        <v/>
      </c>
      <c r="M2685">
        <f>IF(AND(A2685=Dashboard!$D$6,OR(Dashboard!$C$6="*",F2685=Dashboard!$C$6),L2685&lt;&gt;""),ABS(I2685)+ROW()/1000000000,0)</f>
        <v/>
      </c>
    </row>
    <row r="2686">
      <c r="A2686">
        <f>Data_thang!A2686</f>
        <v/>
      </c>
      <c r="B2686">
        <f>Data_thang!B2686</f>
        <v/>
      </c>
      <c r="C2686">
        <f>Data_thang!D2686</f>
        <v/>
      </c>
      <c r="D2686">
        <f>Data_thang!E2686</f>
        <v/>
      </c>
      <c r="E2686">
        <f>Data_thang!F2686</f>
        <v/>
      </c>
      <c r="F2686">
        <f>Data_thang!G2686</f>
        <v/>
      </c>
      <c r="G2686" s="29">
        <f>Data_thang!J2686-Data_thang!K2686</f>
        <v/>
      </c>
      <c r="H2686" s="29">
        <f>Data_thang!N2686</f>
        <v/>
      </c>
      <c r="I2686" s="29">
        <f>H2686-G2686</f>
        <v/>
      </c>
      <c r="J2686" s="30">
        <f>IF(H2686=0,IF(I2686=0,0,1),I2686/ABS(H2686))</f>
        <v/>
      </c>
      <c r="K2686" s="29">
        <f>H2686-(Data_thang!O2686-Data_thang!K2686)</f>
        <v/>
      </c>
      <c r="L2686">
        <f>IF(AND(ABS(I2686)&gt;Dashboard!$G$6,ABS(J2686)&gt;Dashboard!$H$6),"⚠ Vượt","")</f>
        <v/>
      </c>
      <c r="M2686">
        <f>IF(AND(A2686=Dashboard!$D$6,OR(Dashboard!$C$6="*",F2686=Dashboard!$C$6),L2686&lt;&gt;""),ABS(I2686)+ROW()/1000000000,0)</f>
        <v/>
      </c>
    </row>
    <row r="2687">
      <c r="A2687">
        <f>Data_thang!A2687</f>
        <v/>
      </c>
      <c r="B2687">
        <f>Data_thang!B2687</f>
        <v/>
      </c>
      <c r="C2687">
        <f>Data_thang!D2687</f>
        <v/>
      </c>
      <c r="D2687">
        <f>Data_thang!E2687</f>
        <v/>
      </c>
      <c r="E2687">
        <f>Data_thang!F2687</f>
        <v/>
      </c>
      <c r="F2687">
        <f>Data_thang!G2687</f>
        <v/>
      </c>
      <c r="G2687" s="29">
        <f>Data_thang!J2687-Data_thang!K2687</f>
        <v/>
      </c>
      <c r="H2687" s="29">
        <f>Data_thang!N2687</f>
        <v/>
      </c>
      <c r="I2687" s="29">
        <f>H2687-G2687</f>
        <v/>
      </c>
      <c r="J2687" s="30">
        <f>IF(H2687=0,IF(I2687=0,0,1),I2687/ABS(H2687))</f>
        <v/>
      </c>
      <c r="K2687" s="29">
        <f>H2687-(Data_thang!O2687-Data_thang!K2687)</f>
        <v/>
      </c>
      <c r="L2687">
        <f>IF(AND(ABS(I2687)&gt;Dashboard!$G$6,ABS(J2687)&gt;Dashboard!$H$6),"⚠ Vượt","")</f>
        <v/>
      </c>
      <c r="M2687">
        <f>IF(AND(A2687=Dashboard!$D$6,OR(Dashboard!$C$6="*",F2687=Dashboard!$C$6),L2687&lt;&gt;""),ABS(I2687)+ROW()/1000000000,0)</f>
        <v/>
      </c>
    </row>
    <row r="2688">
      <c r="A2688">
        <f>Data_thang!A2688</f>
        <v/>
      </c>
      <c r="B2688">
        <f>Data_thang!B2688</f>
        <v/>
      </c>
      <c r="C2688">
        <f>Data_thang!D2688</f>
        <v/>
      </c>
      <c r="D2688">
        <f>Data_thang!E2688</f>
        <v/>
      </c>
      <c r="E2688">
        <f>Data_thang!F2688</f>
        <v/>
      </c>
      <c r="F2688">
        <f>Data_thang!G2688</f>
        <v/>
      </c>
      <c r="G2688" s="29">
        <f>Data_thang!J2688-Data_thang!K2688</f>
        <v/>
      </c>
      <c r="H2688" s="29">
        <f>Data_thang!N2688</f>
        <v/>
      </c>
      <c r="I2688" s="29">
        <f>H2688-G2688</f>
        <v/>
      </c>
      <c r="J2688" s="30">
        <f>IF(H2688=0,IF(I2688=0,0,1),I2688/ABS(H2688))</f>
        <v/>
      </c>
      <c r="K2688" s="29">
        <f>H2688-(Data_thang!O2688-Data_thang!K2688)</f>
        <v/>
      </c>
      <c r="L2688">
        <f>IF(AND(ABS(I2688)&gt;Dashboard!$G$6,ABS(J2688)&gt;Dashboard!$H$6),"⚠ Vượt","")</f>
        <v/>
      </c>
      <c r="M2688">
        <f>IF(AND(A2688=Dashboard!$D$6,OR(Dashboard!$C$6="*",F2688=Dashboard!$C$6),L2688&lt;&gt;""),ABS(I2688)+ROW()/1000000000,0)</f>
        <v/>
      </c>
    </row>
    <row r="2689">
      <c r="A2689">
        <f>Data_thang!A2689</f>
        <v/>
      </c>
      <c r="B2689">
        <f>Data_thang!B2689</f>
        <v/>
      </c>
      <c r="C2689">
        <f>Data_thang!D2689</f>
        <v/>
      </c>
      <c r="D2689">
        <f>Data_thang!E2689</f>
        <v/>
      </c>
      <c r="E2689">
        <f>Data_thang!F2689</f>
        <v/>
      </c>
      <c r="F2689">
        <f>Data_thang!G2689</f>
        <v/>
      </c>
      <c r="G2689" s="29">
        <f>Data_thang!J2689-Data_thang!K2689</f>
        <v/>
      </c>
      <c r="H2689" s="29">
        <f>Data_thang!N2689</f>
        <v/>
      </c>
      <c r="I2689" s="29">
        <f>H2689-G2689</f>
        <v/>
      </c>
      <c r="J2689" s="30">
        <f>IF(H2689=0,IF(I2689=0,0,1),I2689/ABS(H2689))</f>
        <v/>
      </c>
      <c r="K2689" s="29">
        <f>H2689-(Data_thang!O2689-Data_thang!K2689)</f>
        <v/>
      </c>
      <c r="L2689">
        <f>IF(AND(ABS(I2689)&gt;Dashboard!$G$6,ABS(J2689)&gt;Dashboard!$H$6),"⚠ Vượt","")</f>
        <v/>
      </c>
      <c r="M2689">
        <f>IF(AND(A2689=Dashboard!$D$6,OR(Dashboard!$C$6="*",F2689=Dashboard!$C$6),L2689&lt;&gt;""),ABS(I2689)+ROW()/1000000000,0)</f>
        <v/>
      </c>
    </row>
    <row r="2690">
      <c r="A2690">
        <f>Data_thang!A2690</f>
        <v/>
      </c>
      <c r="B2690">
        <f>Data_thang!B2690</f>
        <v/>
      </c>
      <c r="C2690">
        <f>Data_thang!D2690</f>
        <v/>
      </c>
      <c r="D2690">
        <f>Data_thang!E2690</f>
        <v/>
      </c>
      <c r="E2690">
        <f>Data_thang!F2690</f>
        <v/>
      </c>
      <c r="F2690">
        <f>Data_thang!G2690</f>
        <v/>
      </c>
      <c r="G2690" s="29">
        <f>Data_thang!J2690-Data_thang!K2690</f>
        <v/>
      </c>
      <c r="H2690" s="29">
        <f>Data_thang!N2690</f>
        <v/>
      </c>
      <c r="I2690" s="29">
        <f>H2690-G2690</f>
        <v/>
      </c>
      <c r="J2690" s="30">
        <f>IF(H2690=0,IF(I2690=0,0,1),I2690/ABS(H2690))</f>
        <v/>
      </c>
      <c r="K2690" s="29">
        <f>H2690-(Data_thang!O2690-Data_thang!K2690)</f>
        <v/>
      </c>
      <c r="L2690">
        <f>IF(AND(ABS(I2690)&gt;Dashboard!$G$6,ABS(J2690)&gt;Dashboard!$H$6),"⚠ Vượt","")</f>
        <v/>
      </c>
      <c r="M2690">
        <f>IF(AND(A2690=Dashboard!$D$6,OR(Dashboard!$C$6="*",F2690=Dashboard!$C$6),L2690&lt;&gt;""),ABS(I2690)+ROW()/1000000000,0)</f>
        <v/>
      </c>
    </row>
    <row r="2691">
      <c r="A2691">
        <f>Data_thang!A2691</f>
        <v/>
      </c>
      <c r="B2691">
        <f>Data_thang!B2691</f>
        <v/>
      </c>
      <c r="C2691">
        <f>Data_thang!D2691</f>
        <v/>
      </c>
      <c r="D2691">
        <f>Data_thang!E2691</f>
        <v/>
      </c>
      <c r="E2691">
        <f>Data_thang!F2691</f>
        <v/>
      </c>
      <c r="F2691">
        <f>Data_thang!G2691</f>
        <v/>
      </c>
      <c r="G2691" s="29">
        <f>Data_thang!J2691-Data_thang!K2691</f>
        <v/>
      </c>
      <c r="H2691" s="29">
        <f>Data_thang!N2691</f>
        <v/>
      </c>
      <c r="I2691" s="29">
        <f>H2691-G2691</f>
        <v/>
      </c>
      <c r="J2691" s="30">
        <f>IF(H2691=0,IF(I2691=0,0,1),I2691/ABS(H2691))</f>
        <v/>
      </c>
      <c r="K2691" s="29">
        <f>H2691-(Data_thang!O2691-Data_thang!K2691)</f>
        <v/>
      </c>
      <c r="L2691">
        <f>IF(AND(ABS(I2691)&gt;Dashboard!$G$6,ABS(J2691)&gt;Dashboard!$H$6),"⚠ Vượt","")</f>
        <v/>
      </c>
      <c r="M2691">
        <f>IF(AND(A2691=Dashboard!$D$6,OR(Dashboard!$C$6="*",F2691=Dashboard!$C$6),L2691&lt;&gt;""),ABS(I2691)+ROW()/1000000000,0)</f>
        <v/>
      </c>
    </row>
    <row r="2692">
      <c r="A2692">
        <f>Data_thang!A2692</f>
        <v/>
      </c>
      <c r="B2692">
        <f>Data_thang!B2692</f>
        <v/>
      </c>
      <c r="C2692">
        <f>Data_thang!D2692</f>
        <v/>
      </c>
      <c r="D2692">
        <f>Data_thang!E2692</f>
        <v/>
      </c>
      <c r="E2692">
        <f>Data_thang!F2692</f>
        <v/>
      </c>
      <c r="F2692">
        <f>Data_thang!G2692</f>
        <v/>
      </c>
      <c r="G2692" s="29">
        <f>Data_thang!J2692-Data_thang!K2692</f>
        <v/>
      </c>
      <c r="H2692" s="29">
        <f>Data_thang!N2692</f>
        <v/>
      </c>
      <c r="I2692" s="29">
        <f>H2692-G2692</f>
        <v/>
      </c>
      <c r="J2692" s="30">
        <f>IF(H2692=0,IF(I2692=0,0,1),I2692/ABS(H2692))</f>
        <v/>
      </c>
      <c r="K2692" s="29">
        <f>H2692-(Data_thang!O2692-Data_thang!K2692)</f>
        <v/>
      </c>
      <c r="L2692">
        <f>IF(AND(ABS(I2692)&gt;Dashboard!$G$6,ABS(J2692)&gt;Dashboard!$H$6),"⚠ Vượt","")</f>
        <v/>
      </c>
      <c r="M2692">
        <f>IF(AND(A2692=Dashboard!$D$6,OR(Dashboard!$C$6="*",F2692=Dashboard!$C$6),L2692&lt;&gt;""),ABS(I2692)+ROW()/1000000000,0)</f>
        <v/>
      </c>
    </row>
    <row r="2693">
      <c r="A2693">
        <f>Data_thang!A2693</f>
        <v/>
      </c>
      <c r="B2693">
        <f>Data_thang!B2693</f>
        <v/>
      </c>
      <c r="C2693">
        <f>Data_thang!D2693</f>
        <v/>
      </c>
      <c r="D2693">
        <f>Data_thang!E2693</f>
        <v/>
      </c>
      <c r="E2693">
        <f>Data_thang!F2693</f>
        <v/>
      </c>
      <c r="F2693">
        <f>Data_thang!G2693</f>
        <v/>
      </c>
      <c r="G2693" s="29">
        <f>Data_thang!J2693-Data_thang!K2693</f>
        <v/>
      </c>
      <c r="H2693" s="29">
        <f>Data_thang!N2693</f>
        <v/>
      </c>
      <c r="I2693" s="29">
        <f>H2693-G2693</f>
        <v/>
      </c>
      <c r="J2693" s="30">
        <f>IF(H2693=0,IF(I2693=0,0,1),I2693/ABS(H2693))</f>
        <v/>
      </c>
      <c r="K2693" s="29">
        <f>H2693-(Data_thang!O2693-Data_thang!K2693)</f>
        <v/>
      </c>
      <c r="L2693">
        <f>IF(AND(ABS(I2693)&gt;Dashboard!$G$6,ABS(J2693)&gt;Dashboard!$H$6),"⚠ Vượt","")</f>
        <v/>
      </c>
      <c r="M2693">
        <f>IF(AND(A2693=Dashboard!$D$6,OR(Dashboard!$C$6="*",F2693=Dashboard!$C$6),L2693&lt;&gt;""),ABS(I2693)+ROW()/1000000000,0)</f>
        <v/>
      </c>
    </row>
    <row r="2694">
      <c r="A2694">
        <f>Data_thang!A2694</f>
        <v/>
      </c>
      <c r="B2694">
        <f>Data_thang!B2694</f>
        <v/>
      </c>
      <c r="C2694">
        <f>Data_thang!D2694</f>
        <v/>
      </c>
      <c r="D2694">
        <f>Data_thang!E2694</f>
        <v/>
      </c>
      <c r="E2694">
        <f>Data_thang!F2694</f>
        <v/>
      </c>
      <c r="F2694">
        <f>Data_thang!G2694</f>
        <v/>
      </c>
      <c r="G2694" s="29">
        <f>Data_thang!J2694-Data_thang!K2694</f>
        <v/>
      </c>
      <c r="H2694" s="29">
        <f>Data_thang!N2694</f>
        <v/>
      </c>
      <c r="I2694" s="29">
        <f>H2694-G2694</f>
        <v/>
      </c>
      <c r="J2694" s="30">
        <f>IF(H2694=0,IF(I2694=0,0,1),I2694/ABS(H2694))</f>
        <v/>
      </c>
      <c r="K2694" s="29">
        <f>H2694-(Data_thang!O2694-Data_thang!K2694)</f>
        <v/>
      </c>
      <c r="L2694">
        <f>IF(AND(ABS(I2694)&gt;Dashboard!$G$6,ABS(J2694)&gt;Dashboard!$H$6),"⚠ Vượt","")</f>
        <v/>
      </c>
      <c r="M2694">
        <f>IF(AND(A2694=Dashboard!$D$6,OR(Dashboard!$C$6="*",F2694=Dashboard!$C$6),L2694&lt;&gt;""),ABS(I2694)+ROW()/1000000000,0)</f>
        <v/>
      </c>
    </row>
    <row r="2695">
      <c r="A2695">
        <f>Data_thang!A2695</f>
        <v/>
      </c>
      <c r="B2695">
        <f>Data_thang!B2695</f>
        <v/>
      </c>
      <c r="C2695">
        <f>Data_thang!D2695</f>
        <v/>
      </c>
      <c r="D2695">
        <f>Data_thang!E2695</f>
        <v/>
      </c>
      <c r="E2695">
        <f>Data_thang!F2695</f>
        <v/>
      </c>
      <c r="F2695">
        <f>Data_thang!G2695</f>
        <v/>
      </c>
      <c r="G2695" s="29">
        <f>Data_thang!J2695-Data_thang!K2695</f>
        <v/>
      </c>
      <c r="H2695" s="29">
        <f>Data_thang!N2695</f>
        <v/>
      </c>
      <c r="I2695" s="29">
        <f>H2695-G2695</f>
        <v/>
      </c>
      <c r="J2695" s="30">
        <f>IF(H2695=0,IF(I2695=0,0,1),I2695/ABS(H2695))</f>
        <v/>
      </c>
      <c r="K2695" s="29">
        <f>H2695-(Data_thang!O2695-Data_thang!K2695)</f>
        <v/>
      </c>
      <c r="L2695">
        <f>IF(AND(ABS(I2695)&gt;Dashboard!$G$6,ABS(J2695)&gt;Dashboard!$H$6),"⚠ Vượt","")</f>
        <v/>
      </c>
      <c r="M2695">
        <f>IF(AND(A2695=Dashboard!$D$6,OR(Dashboard!$C$6="*",F2695=Dashboard!$C$6),L2695&lt;&gt;""),ABS(I2695)+ROW()/1000000000,0)</f>
        <v/>
      </c>
    </row>
    <row r="2696">
      <c r="A2696">
        <f>Data_thang!A2696</f>
        <v/>
      </c>
      <c r="B2696">
        <f>Data_thang!B2696</f>
        <v/>
      </c>
      <c r="C2696">
        <f>Data_thang!D2696</f>
        <v/>
      </c>
      <c r="D2696">
        <f>Data_thang!E2696</f>
        <v/>
      </c>
      <c r="E2696">
        <f>Data_thang!F2696</f>
        <v/>
      </c>
      <c r="F2696">
        <f>Data_thang!G2696</f>
        <v/>
      </c>
      <c r="G2696" s="29">
        <f>Data_thang!J2696-Data_thang!K2696</f>
        <v/>
      </c>
      <c r="H2696" s="29">
        <f>Data_thang!N2696</f>
        <v/>
      </c>
      <c r="I2696" s="29">
        <f>H2696-G2696</f>
        <v/>
      </c>
      <c r="J2696" s="30">
        <f>IF(H2696=0,IF(I2696=0,0,1),I2696/ABS(H2696))</f>
        <v/>
      </c>
      <c r="K2696" s="29">
        <f>H2696-(Data_thang!O2696-Data_thang!K2696)</f>
        <v/>
      </c>
      <c r="L2696">
        <f>IF(AND(ABS(I2696)&gt;Dashboard!$G$6,ABS(J2696)&gt;Dashboard!$H$6),"⚠ Vượt","")</f>
        <v/>
      </c>
      <c r="M2696">
        <f>IF(AND(A2696=Dashboard!$D$6,OR(Dashboard!$C$6="*",F2696=Dashboard!$C$6),L2696&lt;&gt;""),ABS(I2696)+ROW()/1000000000,0)</f>
        <v/>
      </c>
    </row>
    <row r="2697">
      <c r="A2697">
        <f>Data_thang!A2697</f>
        <v/>
      </c>
      <c r="B2697">
        <f>Data_thang!B2697</f>
        <v/>
      </c>
      <c r="C2697">
        <f>Data_thang!D2697</f>
        <v/>
      </c>
      <c r="D2697">
        <f>Data_thang!E2697</f>
        <v/>
      </c>
      <c r="E2697">
        <f>Data_thang!F2697</f>
        <v/>
      </c>
      <c r="F2697">
        <f>Data_thang!G2697</f>
        <v/>
      </c>
      <c r="G2697" s="29">
        <f>Data_thang!J2697-Data_thang!K2697</f>
        <v/>
      </c>
      <c r="H2697" s="29">
        <f>Data_thang!N2697</f>
        <v/>
      </c>
      <c r="I2697" s="29">
        <f>H2697-G2697</f>
        <v/>
      </c>
      <c r="J2697" s="30">
        <f>IF(H2697=0,IF(I2697=0,0,1),I2697/ABS(H2697))</f>
        <v/>
      </c>
      <c r="K2697" s="29">
        <f>H2697-(Data_thang!O2697-Data_thang!K2697)</f>
        <v/>
      </c>
      <c r="L2697">
        <f>IF(AND(ABS(I2697)&gt;Dashboard!$G$6,ABS(J2697)&gt;Dashboard!$H$6),"⚠ Vượt","")</f>
        <v/>
      </c>
      <c r="M2697">
        <f>IF(AND(A2697=Dashboard!$D$6,OR(Dashboard!$C$6="*",F2697=Dashboard!$C$6),L2697&lt;&gt;""),ABS(I2697)+ROW()/1000000000,0)</f>
        <v/>
      </c>
    </row>
    <row r="2698">
      <c r="A2698">
        <f>Data_thang!A2698</f>
        <v/>
      </c>
      <c r="B2698">
        <f>Data_thang!B2698</f>
        <v/>
      </c>
      <c r="C2698">
        <f>Data_thang!D2698</f>
        <v/>
      </c>
      <c r="D2698">
        <f>Data_thang!E2698</f>
        <v/>
      </c>
      <c r="E2698">
        <f>Data_thang!F2698</f>
        <v/>
      </c>
      <c r="F2698">
        <f>Data_thang!G2698</f>
        <v/>
      </c>
      <c r="G2698" s="29">
        <f>Data_thang!J2698-Data_thang!K2698</f>
        <v/>
      </c>
      <c r="H2698" s="29">
        <f>Data_thang!N2698</f>
        <v/>
      </c>
      <c r="I2698" s="29">
        <f>H2698-G2698</f>
        <v/>
      </c>
      <c r="J2698" s="30">
        <f>IF(H2698=0,IF(I2698=0,0,1),I2698/ABS(H2698))</f>
        <v/>
      </c>
      <c r="K2698" s="29">
        <f>H2698-(Data_thang!O2698-Data_thang!K2698)</f>
        <v/>
      </c>
      <c r="L2698">
        <f>IF(AND(ABS(I2698)&gt;Dashboard!$G$6,ABS(J2698)&gt;Dashboard!$H$6),"⚠ Vượt","")</f>
        <v/>
      </c>
      <c r="M2698">
        <f>IF(AND(A2698=Dashboard!$D$6,OR(Dashboard!$C$6="*",F2698=Dashboard!$C$6),L2698&lt;&gt;""),ABS(I2698)+ROW()/1000000000,0)</f>
        <v/>
      </c>
    </row>
    <row r="2699">
      <c r="A2699">
        <f>Data_thang!A2699</f>
        <v/>
      </c>
      <c r="B2699">
        <f>Data_thang!B2699</f>
        <v/>
      </c>
      <c r="C2699">
        <f>Data_thang!D2699</f>
        <v/>
      </c>
      <c r="D2699">
        <f>Data_thang!E2699</f>
        <v/>
      </c>
      <c r="E2699">
        <f>Data_thang!F2699</f>
        <v/>
      </c>
      <c r="F2699">
        <f>Data_thang!G2699</f>
        <v/>
      </c>
      <c r="G2699" s="29">
        <f>Data_thang!J2699-Data_thang!K2699</f>
        <v/>
      </c>
      <c r="H2699" s="29">
        <f>Data_thang!N2699</f>
        <v/>
      </c>
      <c r="I2699" s="29">
        <f>H2699-G2699</f>
        <v/>
      </c>
      <c r="J2699" s="30">
        <f>IF(H2699=0,IF(I2699=0,0,1),I2699/ABS(H2699))</f>
        <v/>
      </c>
      <c r="K2699" s="29">
        <f>H2699-(Data_thang!O2699-Data_thang!K2699)</f>
        <v/>
      </c>
      <c r="L2699">
        <f>IF(AND(ABS(I2699)&gt;Dashboard!$G$6,ABS(J2699)&gt;Dashboard!$H$6),"⚠ Vượt","")</f>
        <v/>
      </c>
      <c r="M2699">
        <f>IF(AND(A2699=Dashboard!$D$6,OR(Dashboard!$C$6="*",F2699=Dashboard!$C$6),L2699&lt;&gt;""),ABS(I2699)+ROW()/1000000000,0)</f>
        <v/>
      </c>
    </row>
    <row r="2700">
      <c r="A2700">
        <f>Data_thang!A2700</f>
        <v/>
      </c>
      <c r="B2700">
        <f>Data_thang!B2700</f>
        <v/>
      </c>
      <c r="C2700">
        <f>Data_thang!D2700</f>
        <v/>
      </c>
      <c r="D2700">
        <f>Data_thang!E2700</f>
        <v/>
      </c>
      <c r="E2700">
        <f>Data_thang!F2700</f>
        <v/>
      </c>
      <c r="F2700">
        <f>Data_thang!G2700</f>
        <v/>
      </c>
      <c r="G2700" s="29">
        <f>Data_thang!J2700-Data_thang!K2700</f>
        <v/>
      </c>
      <c r="H2700" s="29">
        <f>Data_thang!N2700</f>
        <v/>
      </c>
      <c r="I2700" s="29">
        <f>H2700-G2700</f>
        <v/>
      </c>
      <c r="J2700" s="30">
        <f>IF(H2700=0,IF(I2700=0,0,1),I2700/ABS(H2700))</f>
        <v/>
      </c>
      <c r="K2700" s="29">
        <f>H2700-(Data_thang!O2700-Data_thang!K2700)</f>
        <v/>
      </c>
      <c r="L2700">
        <f>IF(AND(ABS(I2700)&gt;Dashboard!$G$6,ABS(J2700)&gt;Dashboard!$H$6),"⚠ Vượt","")</f>
        <v/>
      </c>
      <c r="M2700">
        <f>IF(AND(A2700=Dashboard!$D$6,OR(Dashboard!$C$6="*",F2700=Dashboard!$C$6),L2700&lt;&gt;""),ABS(I2700)+ROW()/1000000000,0)</f>
        <v/>
      </c>
    </row>
    <row r="2701">
      <c r="A2701">
        <f>Data_thang!A2701</f>
        <v/>
      </c>
      <c r="B2701">
        <f>Data_thang!B2701</f>
        <v/>
      </c>
      <c r="C2701">
        <f>Data_thang!D2701</f>
        <v/>
      </c>
      <c r="D2701">
        <f>Data_thang!E2701</f>
        <v/>
      </c>
      <c r="E2701">
        <f>Data_thang!F2701</f>
        <v/>
      </c>
      <c r="F2701">
        <f>Data_thang!G2701</f>
        <v/>
      </c>
      <c r="G2701" s="29">
        <f>Data_thang!J2701-Data_thang!K2701</f>
        <v/>
      </c>
      <c r="H2701" s="29">
        <f>Data_thang!N2701</f>
        <v/>
      </c>
      <c r="I2701" s="29">
        <f>H2701-G2701</f>
        <v/>
      </c>
      <c r="J2701" s="30">
        <f>IF(H2701=0,IF(I2701=0,0,1),I2701/ABS(H2701))</f>
        <v/>
      </c>
      <c r="K2701" s="29">
        <f>H2701-(Data_thang!O2701-Data_thang!K2701)</f>
        <v/>
      </c>
      <c r="L2701">
        <f>IF(AND(ABS(I2701)&gt;Dashboard!$G$6,ABS(J2701)&gt;Dashboard!$H$6),"⚠ Vượt","")</f>
        <v/>
      </c>
      <c r="M2701">
        <f>IF(AND(A2701=Dashboard!$D$6,OR(Dashboard!$C$6="*",F2701=Dashboard!$C$6),L2701&lt;&gt;""),ABS(I2701)+ROW()/1000000000,0)</f>
        <v/>
      </c>
    </row>
    <row r="2702">
      <c r="A2702">
        <f>Data_thang!A2702</f>
        <v/>
      </c>
      <c r="B2702">
        <f>Data_thang!B2702</f>
        <v/>
      </c>
      <c r="C2702">
        <f>Data_thang!D2702</f>
        <v/>
      </c>
      <c r="D2702">
        <f>Data_thang!E2702</f>
        <v/>
      </c>
      <c r="E2702">
        <f>Data_thang!F2702</f>
        <v/>
      </c>
      <c r="F2702">
        <f>Data_thang!G2702</f>
        <v/>
      </c>
      <c r="G2702" s="29">
        <f>Data_thang!J2702-Data_thang!K2702</f>
        <v/>
      </c>
      <c r="H2702" s="29">
        <f>Data_thang!N2702</f>
        <v/>
      </c>
      <c r="I2702" s="29">
        <f>H2702-G2702</f>
        <v/>
      </c>
      <c r="J2702" s="30">
        <f>IF(H2702=0,IF(I2702=0,0,1),I2702/ABS(H2702))</f>
        <v/>
      </c>
      <c r="K2702" s="29">
        <f>H2702-(Data_thang!O2702-Data_thang!K2702)</f>
        <v/>
      </c>
      <c r="L2702">
        <f>IF(AND(ABS(I2702)&gt;Dashboard!$G$6,ABS(J2702)&gt;Dashboard!$H$6),"⚠ Vượt","")</f>
        <v/>
      </c>
      <c r="M2702">
        <f>IF(AND(A2702=Dashboard!$D$6,OR(Dashboard!$C$6="*",F2702=Dashboard!$C$6),L2702&lt;&gt;""),ABS(I2702)+ROW()/1000000000,0)</f>
        <v/>
      </c>
    </row>
    <row r="2703">
      <c r="A2703">
        <f>Data_thang!A2703</f>
        <v/>
      </c>
      <c r="B2703">
        <f>Data_thang!B2703</f>
        <v/>
      </c>
      <c r="C2703">
        <f>Data_thang!D2703</f>
        <v/>
      </c>
      <c r="D2703">
        <f>Data_thang!E2703</f>
        <v/>
      </c>
      <c r="E2703">
        <f>Data_thang!F2703</f>
        <v/>
      </c>
      <c r="F2703">
        <f>Data_thang!G2703</f>
        <v/>
      </c>
      <c r="G2703" s="29">
        <f>Data_thang!J2703-Data_thang!K2703</f>
        <v/>
      </c>
      <c r="H2703" s="29">
        <f>Data_thang!N2703</f>
        <v/>
      </c>
      <c r="I2703" s="29">
        <f>H2703-G2703</f>
        <v/>
      </c>
      <c r="J2703" s="30">
        <f>IF(H2703=0,IF(I2703=0,0,1),I2703/ABS(H2703))</f>
        <v/>
      </c>
      <c r="K2703" s="29">
        <f>H2703-(Data_thang!O2703-Data_thang!K2703)</f>
        <v/>
      </c>
      <c r="L2703">
        <f>IF(AND(ABS(I2703)&gt;Dashboard!$G$6,ABS(J2703)&gt;Dashboard!$H$6),"⚠ Vượt","")</f>
        <v/>
      </c>
      <c r="M2703">
        <f>IF(AND(A2703=Dashboard!$D$6,OR(Dashboard!$C$6="*",F2703=Dashboard!$C$6),L2703&lt;&gt;""),ABS(I2703)+ROW()/1000000000,0)</f>
        <v/>
      </c>
    </row>
    <row r="2704">
      <c r="A2704">
        <f>Data_thang!A2704</f>
        <v/>
      </c>
      <c r="B2704">
        <f>Data_thang!B2704</f>
        <v/>
      </c>
      <c r="C2704">
        <f>Data_thang!D2704</f>
        <v/>
      </c>
      <c r="D2704">
        <f>Data_thang!E2704</f>
        <v/>
      </c>
      <c r="E2704">
        <f>Data_thang!F2704</f>
        <v/>
      </c>
      <c r="F2704">
        <f>Data_thang!G2704</f>
        <v/>
      </c>
      <c r="G2704" s="29">
        <f>Data_thang!J2704-Data_thang!K2704</f>
        <v/>
      </c>
      <c r="H2704" s="29">
        <f>Data_thang!N2704</f>
        <v/>
      </c>
      <c r="I2704" s="29">
        <f>H2704-G2704</f>
        <v/>
      </c>
      <c r="J2704" s="30">
        <f>IF(H2704=0,IF(I2704=0,0,1),I2704/ABS(H2704))</f>
        <v/>
      </c>
      <c r="K2704" s="29">
        <f>H2704-(Data_thang!O2704-Data_thang!K2704)</f>
        <v/>
      </c>
      <c r="L2704">
        <f>IF(AND(ABS(I2704)&gt;Dashboard!$G$6,ABS(J2704)&gt;Dashboard!$H$6),"⚠ Vượt","")</f>
        <v/>
      </c>
      <c r="M2704">
        <f>IF(AND(A2704=Dashboard!$D$6,OR(Dashboard!$C$6="*",F2704=Dashboard!$C$6),L2704&lt;&gt;""),ABS(I2704)+ROW()/1000000000,0)</f>
        <v/>
      </c>
    </row>
    <row r="2705">
      <c r="A2705">
        <f>Data_thang!A2705</f>
        <v/>
      </c>
      <c r="B2705">
        <f>Data_thang!B2705</f>
        <v/>
      </c>
      <c r="C2705">
        <f>Data_thang!D2705</f>
        <v/>
      </c>
      <c r="D2705">
        <f>Data_thang!E2705</f>
        <v/>
      </c>
      <c r="E2705">
        <f>Data_thang!F2705</f>
        <v/>
      </c>
      <c r="F2705">
        <f>Data_thang!G2705</f>
        <v/>
      </c>
      <c r="G2705" s="29">
        <f>Data_thang!J2705-Data_thang!K2705</f>
        <v/>
      </c>
      <c r="H2705" s="29">
        <f>Data_thang!N2705</f>
        <v/>
      </c>
      <c r="I2705" s="29">
        <f>H2705-G2705</f>
        <v/>
      </c>
      <c r="J2705" s="30">
        <f>IF(H2705=0,IF(I2705=0,0,1),I2705/ABS(H2705))</f>
        <v/>
      </c>
      <c r="K2705" s="29">
        <f>H2705-(Data_thang!O2705-Data_thang!K2705)</f>
        <v/>
      </c>
      <c r="L2705">
        <f>IF(AND(ABS(I2705)&gt;Dashboard!$G$6,ABS(J2705)&gt;Dashboard!$H$6),"⚠ Vượt","")</f>
        <v/>
      </c>
      <c r="M2705">
        <f>IF(AND(A2705=Dashboard!$D$6,OR(Dashboard!$C$6="*",F2705=Dashboard!$C$6),L2705&lt;&gt;""),ABS(I2705)+ROW()/1000000000,0)</f>
        <v/>
      </c>
    </row>
    <row r="2706">
      <c r="A2706">
        <f>Data_thang!A2706</f>
        <v/>
      </c>
      <c r="B2706">
        <f>Data_thang!B2706</f>
        <v/>
      </c>
      <c r="C2706">
        <f>Data_thang!D2706</f>
        <v/>
      </c>
      <c r="D2706">
        <f>Data_thang!E2706</f>
        <v/>
      </c>
      <c r="E2706">
        <f>Data_thang!F2706</f>
        <v/>
      </c>
      <c r="F2706">
        <f>Data_thang!G2706</f>
        <v/>
      </c>
      <c r="G2706" s="29">
        <f>Data_thang!J2706-Data_thang!K2706</f>
        <v/>
      </c>
      <c r="H2706" s="29">
        <f>Data_thang!N2706</f>
        <v/>
      </c>
      <c r="I2706" s="29">
        <f>H2706-G2706</f>
        <v/>
      </c>
      <c r="J2706" s="30">
        <f>IF(H2706=0,IF(I2706=0,0,1),I2706/ABS(H2706))</f>
        <v/>
      </c>
      <c r="K2706" s="29">
        <f>H2706-(Data_thang!O2706-Data_thang!K2706)</f>
        <v/>
      </c>
      <c r="L2706">
        <f>IF(AND(ABS(I2706)&gt;Dashboard!$G$6,ABS(J2706)&gt;Dashboard!$H$6),"⚠ Vượt","")</f>
        <v/>
      </c>
      <c r="M2706">
        <f>IF(AND(A2706=Dashboard!$D$6,OR(Dashboard!$C$6="*",F2706=Dashboard!$C$6),L2706&lt;&gt;""),ABS(I2706)+ROW()/1000000000,0)</f>
        <v/>
      </c>
    </row>
    <row r="2707">
      <c r="A2707">
        <f>Data_thang!A2707</f>
        <v/>
      </c>
      <c r="B2707">
        <f>Data_thang!B2707</f>
        <v/>
      </c>
      <c r="C2707">
        <f>Data_thang!D2707</f>
        <v/>
      </c>
      <c r="D2707">
        <f>Data_thang!E2707</f>
        <v/>
      </c>
      <c r="E2707">
        <f>Data_thang!F2707</f>
        <v/>
      </c>
      <c r="F2707">
        <f>Data_thang!G2707</f>
        <v/>
      </c>
      <c r="G2707" s="29">
        <f>Data_thang!J2707-Data_thang!K2707</f>
        <v/>
      </c>
      <c r="H2707" s="29">
        <f>Data_thang!N2707</f>
        <v/>
      </c>
      <c r="I2707" s="29">
        <f>H2707-G2707</f>
        <v/>
      </c>
      <c r="J2707" s="30">
        <f>IF(H2707=0,IF(I2707=0,0,1),I2707/ABS(H2707))</f>
        <v/>
      </c>
      <c r="K2707" s="29">
        <f>H2707-(Data_thang!O2707-Data_thang!K2707)</f>
        <v/>
      </c>
      <c r="L2707">
        <f>IF(AND(ABS(I2707)&gt;Dashboard!$G$6,ABS(J2707)&gt;Dashboard!$H$6),"⚠ Vượt","")</f>
        <v/>
      </c>
      <c r="M2707">
        <f>IF(AND(A2707=Dashboard!$D$6,OR(Dashboard!$C$6="*",F2707=Dashboard!$C$6),L2707&lt;&gt;""),ABS(I2707)+ROW()/1000000000,0)</f>
        <v/>
      </c>
    </row>
    <row r="2708">
      <c r="A2708">
        <f>Data_thang!A2708</f>
        <v/>
      </c>
      <c r="B2708">
        <f>Data_thang!B2708</f>
        <v/>
      </c>
      <c r="C2708">
        <f>Data_thang!D2708</f>
        <v/>
      </c>
      <c r="D2708">
        <f>Data_thang!E2708</f>
        <v/>
      </c>
      <c r="E2708">
        <f>Data_thang!F2708</f>
        <v/>
      </c>
      <c r="F2708">
        <f>Data_thang!G2708</f>
        <v/>
      </c>
      <c r="G2708" s="29">
        <f>Data_thang!J2708-Data_thang!K2708</f>
        <v/>
      </c>
      <c r="H2708" s="29">
        <f>Data_thang!N2708</f>
        <v/>
      </c>
      <c r="I2708" s="29">
        <f>H2708-G2708</f>
        <v/>
      </c>
      <c r="J2708" s="30">
        <f>IF(H2708=0,IF(I2708=0,0,1),I2708/ABS(H2708))</f>
        <v/>
      </c>
      <c r="K2708" s="29">
        <f>H2708-(Data_thang!O2708-Data_thang!K2708)</f>
        <v/>
      </c>
      <c r="L2708">
        <f>IF(AND(ABS(I2708)&gt;Dashboard!$G$6,ABS(J2708)&gt;Dashboard!$H$6),"⚠ Vượt","")</f>
        <v/>
      </c>
      <c r="M2708">
        <f>IF(AND(A2708=Dashboard!$D$6,OR(Dashboard!$C$6="*",F2708=Dashboard!$C$6),L2708&lt;&gt;""),ABS(I2708)+ROW()/1000000000,0)</f>
        <v/>
      </c>
    </row>
    <row r="2709">
      <c r="A2709">
        <f>Data_thang!A2709</f>
        <v/>
      </c>
      <c r="B2709">
        <f>Data_thang!B2709</f>
        <v/>
      </c>
      <c r="C2709">
        <f>Data_thang!D2709</f>
        <v/>
      </c>
      <c r="D2709">
        <f>Data_thang!E2709</f>
        <v/>
      </c>
      <c r="E2709">
        <f>Data_thang!F2709</f>
        <v/>
      </c>
      <c r="F2709">
        <f>Data_thang!G2709</f>
        <v/>
      </c>
      <c r="G2709" s="29">
        <f>Data_thang!J2709-Data_thang!K2709</f>
        <v/>
      </c>
      <c r="H2709" s="29">
        <f>Data_thang!N2709</f>
        <v/>
      </c>
      <c r="I2709" s="29">
        <f>H2709-G2709</f>
        <v/>
      </c>
      <c r="J2709" s="30">
        <f>IF(H2709=0,IF(I2709=0,0,1),I2709/ABS(H2709))</f>
        <v/>
      </c>
      <c r="K2709" s="29">
        <f>H2709-(Data_thang!O2709-Data_thang!K2709)</f>
        <v/>
      </c>
      <c r="L2709">
        <f>IF(AND(ABS(I2709)&gt;Dashboard!$G$6,ABS(J2709)&gt;Dashboard!$H$6),"⚠ Vượt","")</f>
        <v/>
      </c>
      <c r="M2709">
        <f>IF(AND(A2709=Dashboard!$D$6,OR(Dashboard!$C$6="*",F2709=Dashboard!$C$6),L2709&lt;&gt;""),ABS(I2709)+ROW()/1000000000,0)</f>
        <v/>
      </c>
    </row>
    <row r="2710">
      <c r="A2710">
        <f>Data_thang!A2710</f>
        <v/>
      </c>
      <c r="B2710">
        <f>Data_thang!B2710</f>
        <v/>
      </c>
      <c r="C2710">
        <f>Data_thang!D2710</f>
        <v/>
      </c>
      <c r="D2710">
        <f>Data_thang!E2710</f>
        <v/>
      </c>
      <c r="E2710">
        <f>Data_thang!F2710</f>
        <v/>
      </c>
      <c r="F2710">
        <f>Data_thang!G2710</f>
        <v/>
      </c>
      <c r="G2710" s="29">
        <f>Data_thang!J2710-Data_thang!K2710</f>
        <v/>
      </c>
      <c r="H2710" s="29">
        <f>Data_thang!N2710</f>
        <v/>
      </c>
      <c r="I2710" s="29">
        <f>H2710-G2710</f>
        <v/>
      </c>
      <c r="J2710" s="30">
        <f>IF(H2710=0,IF(I2710=0,0,1),I2710/ABS(H2710))</f>
        <v/>
      </c>
      <c r="K2710" s="29">
        <f>H2710-(Data_thang!O2710-Data_thang!K2710)</f>
        <v/>
      </c>
      <c r="L2710">
        <f>IF(AND(ABS(I2710)&gt;Dashboard!$G$6,ABS(J2710)&gt;Dashboard!$H$6),"⚠ Vượt","")</f>
        <v/>
      </c>
      <c r="M2710">
        <f>IF(AND(A2710=Dashboard!$D$6,OR(Dashboard!$C$6="*",F2710=Dashboard!$C$6),L2710&lt;&gt;""),ABS(I2710)+ROW()/1000000000,0)</f>
        <v/>
      </c>
    </row>
    <row r="2711">
      <c r="A2711">
        <f>Data_thang!A2711</f>
        <v/>
      </c>
      <c r="B2711">
        <f>Data_thang!B2711</f>
        <v/>
      </c>
      <c r="C2711">
        <f>Data_thang!D2711</f>
        <v/>
      </c>
      <c r="D2711">
        <f>Data_thang!E2711</f>
        <v/>
      </c>
      <c r="E2711">
        <f>Data_thang!F2711</f>
        <v/>
      </c>
      <c r="F2711">
        <f>Data_thang!G2711</f>
        <v/>
      </c>
      <c r="G2711" s="29">
        <f>Data_thang!J2711-Data_thang!K2711</f>
        <v/>
      </c>
      <c r="H2711" s="29">
        <f>Data_thang!N2711</f>
        <v/>
      </c>
      <c r="I2711" s="29">
        <f>H2711-G2711</f>
        <v/>
      </c>
      <c r="J2711" s="30">
        <f>IF(H2711=0,IF(I2711=0,0,1),I2711/ABS(H2711))</f>
        <v/>
      </c>
      <c r="K2711" s="29">
        <f>H2711-(Data_thang!O2711-Data_thang!K2711)</f>
        <v/>
      </c>
      <c r="L2711">
        <f>IF(AND(ABS(I2711)&gt;Dashboard!$G$6,ABS(J2711)&gt;Dashboard!$H$6),"⚠ Vượt","")</f>
        <v/>
      </c>
      <c r="M2711">
        <f>IF(AND(A2711=Dashboard!$D$6,OR(Dashboard!$C$6="*",F2711=Dashboard!$C$6),L2711&lt;&gt;""),ABS(I2711)+ROW()/1000000000,0)</f>
        <v/>
      </c>
    </row>
    <row r="2712">
      <c r="A2712">
        <f>Data_thang!A2712</f>
        <v/>
      </c>
      <c r="B2712">
        <f>Data_thang!B2712</f>
        <v/>
      </c>
      <c r="C2712">
        <f>Data_thang!D2712</f>
        <v/>
      </c>
      <c r="D2712">
        <f>Data_thang!E2712</f>
        <v/>
      </c>
      <c r="E2712">
        <f>Data_thang!F2712</f>
        <v/>
      </c>
      <c r="F2712">
        <f>Data_thang!G2712</f>
        <v/>
      </c>
      <c r="G2712" s="29">
        <f>Data_thang!J2712-Data_thang!K2712</f>
        <v/>
      </c>
      <c r="H2712" s="29">
        <f>Data_thang!N2712</f>
        <v/>
      </c>
      <c r="I2712" s="29">
        <f>H2712-G2712</f>
        <v/>
      </c>
      <c r="J2712" s="30">
        <f>IF(H2712=0,IF(I2712=0,0,1),I2712/ABS(H2712))</f>
        <v/>
      </c>
      <c r="K2712" s="29">
        <f>H2712-(Data_thang!O2712-Data_thang!K2712)</f>
        <v/>
      </c>
      <c r="L2712">
        <f>IF(AND(ABS(I2712)&gt;Dashboard!$G$6,ABS(J2712)&gt;Dashboard!$H$6),"⚠ Vượt","")</f>
        <v/>
      </c>
      <c r="M2712">
        <f>IF(AND(A2712=Dashboard!$D$6,OR(Dashboard!$C$6="*",F2712=Dashboard!$C$6),L2712&lt;&gt;""),ABS(I2712)+ROW()/1000000000,0)</f>
        <v/>
      </c>
    </row>
    <row r="2713">
      <c r="A2713">
        <f>Data_thang!A2713</f>
        <v/>
      </c>
      <c r="B2713">
        <f>Data_thang!B2713</f>
        <v/>
      </c>
      <c r="C2713">
        <f>Data_thang!D2713</f>
        <v/>
      </c>
      <c r="D2713">
        <f>Data_thang!E2713</f>
        <v/>
      </c>
      <c r="E2713">
        <f>Data_thang!F2713</f>
        <v/>
      </c>
      <c r="F2713">
        <f>Data_thang!G2713</f>
        <v/>
      </c>
      <c r="G2713" s="29">
        <f>Data_thang!J2713-Data_thang!K2713</f>
        <v/>
      </c>
      <c r="H2713" s="29">
        <f>Data_thang!N2713</f>
        <v/>
      </c>
      <c r="I2713" s="29">
        <f>H2713-G2713</f>
        <v/>
      </c>
      <c r="J2713" s="30">
        <f>IF(H2713=0,IF(I2713=0,0,1),I2713/ABS(H2713))</f>
        <v/>
      </c>
      <c r="K2713" s="29">
        <f>H2713-(Data_thang!O2713-Data_thang!K2713)</f>
        <v/>
      </c>
      <c r="L2713">
        <f>IF(AND(ABS(I2713)&gt;Dashboard!$G$6,ABS(J2713)&gt;Dashboard!$H$6),"⚠ Vượt","")</f>
        <v/>
      </c>
      <c r="M2713">
        <f>IF(AND(A2713=Dashboard!$D$6,OR(Dashboard!$C$6="*",F2713=Dashboard!$C$6),L2713&lt;&gt;""),ABS(I2713)+ROW()/1000000000,0)</f>
        <v/>
      </c>
    </row>
    <row r="2714">
      <c r="A2714">
        <f>Data_thang!A2714</f>
        <v/>
      </c>
      <c r="B2714">
        <f>Data_thang!B2714</f>
        <v/>
      </c>
      <c r="C2714">
        <f>Data_thang!D2714</f>
        <v/>
      </c>
      <c r="D2714">
        <f>Data_thang!E2714</f>
        <v/>
      </c>
      <c r="E2714">
        <f>Data_thang!F2714</f>
        <v/>
      </c>
      <c r="F2714">
        <f>Data_thang!G2714</f>
        <v/>
      </c>
      <c r="G2714" s="29">
        <f>Data_thang!J2714-Data_thang!K2714</f>
        <v/>
      </c>
      <c r="H2714" s="29">
        <f>Data_thang!N2714</f>
        <v/>
      </c>
      <c r="I2714" s="29">
        <f>H2714-G2714</f>
        <v/>
      </c>
      <c r="J2714" s="30">
        <f>IF(H2714=0,IF(I2714=0,0,1),I2714/ABS(H2714))</f>
        <v/>
      </c>
      <c r="K2714" s="29">
        <f>H2714-(Data_thang!O2714-Data_thang!K2714)</f>
        <v/>
      </c>
      <c r="L2714">
        <f>IF(AND(ABS(I2714)&gt;Dashboard!$G$6,ABS(J2714)&gt;Dashboard!$H$6),"⚠ Vượt","")</f>
        <v/>
      </c>
      <c r="M2714">
        <f>IF(AND(A2714=Dashboard!$D$6,OR(Dashboard!$C$6="*",F2714=Dashboard!$C$6),L2714&lt;&gt;""),ABS(I2714)+ROW()/1000000000,0)</f>
        <v/>
      </c>
    </row>
    <row r="2715">
      <c r="A2715">
        <f>Data_thang!A2715</f>
        <v/>
      </c>
      <c r="B2715">
        <f>Data_thang!B2715</f>
        <v/>
      </c>
      <c r="C2715">
        <f>Data_thang!D2715</f>
        <v/>
      </c>
      <c r="D2715">
        <f>Data_thang!E2715</f>
        <v/>
      </c>
      <c r="E2715">
        <f>Data_thang!F2715</f>
        <v/>
      </c>
      <c r="F2715">
        <f>Data_thang!G2715</f>
        <v/>
      </c>
      <c r="G2715" s="29">
        <f>Data_thang!J2715-Data_thang!K2715</f>
        <v/>
      </c>
      <c r="H2715" s="29">
        <f>Data_thang!N2715</f>
        <v/>
      </c>
      <c r="I2715" s="29">
        <f>H2715-G2715</f>
        <v/>
      </c>
      <c r="J2715" s="30">
        <f>IF(H2715=0,IF(I2715=0,0,1),I2715/ABS(H2715))</f>
        <v/>
      </c>
      <c r="K2715" s="29">
        <f>H2715-(Data_thang!O2715-Data_thang!K2715)</f>
        <v/>
      </c>
      <c r="L2715">
        <f>IF(AND(ABS(I2715)&gt;Dashboard!$G$6,ABS(J2715)&gt;Dashboard!$H$6),"⚠ Vượt","")</f>
        <v/>
      </c>
      <c r="M2715">
        <f>IF(AND(A2715=Dashboard!$D$6,OR(Dashboard!$C$6="*",F2715=Dashboard!$C$6),L2715&lt;&gt;""),ABS(I2715)+ROW()/1000000000,0)</f>
        <v/>
      </c>
    </row>
    <row r="2716">
      <c r="A2716">
        <f>Data_thang!A2716</f>
        <v/>
      </c>
      <c r="B2716">
        <f>Data_thang!B2716</f>
        <v/>
      </c>
      <c r="C2716">
        <f>Data_thang!D2716</f>
        <v/>
      </c>
      <c r="D2716">
        <f>Data_thang!E2716</f>
        <v/>
      </c>
      <c r="E2716">
        <f>Data_thang!F2716</f>
        <v/>
      </c>
      <c r="F2716">
        <f>Data_thang!G2716</f>
        <v/>
      </c>
      <c r="G2716" s="29">
        <f>Data_thang!J2716-Data_thang!K2716</f>
        <v/>
      </c>
      <c r="H2716" s="29">
        <f>Data_thang!N2716</f>
        <v/>
      </c>
      <c r="I2716" s="29">
        <f>H2716-G2716</f>
        <v/>
      </c>
      <c r="J2716" s="30">
        <f>IF(H2716=0,IF(I2716=0,0,1),I2716/ABS(H2716))</f>
        <v/>
      </c>
      <c r="K2716" s="29">
        <f>H2716-(Data_thang!O2716-Data_thang!K2716)</f>
        <v/>
      </c>
      <c r="L2716">
        <f>IF(AND(ABS(I2716)&gt;Dashboard!$G$6,ABS(J2716)&gt;Dashboard!$H$6),"⚠ Vượt","")</f>
        <v/>
      </c>
      <c r="M2716">
        <f>IF(AND(A2716=Dashboard!$D$6,OR(Dashboard!$C$6="*",F2716=Dashboard!$C$6),L2716&lt;&gt;""),ABS(I2716)+ROW()/1000000000,0)</f>
        <v/>
      </c>
    </row>
    <row r="2717">
      <c r="A2717">
        <f>Data_thang!A2717</f>
        <v/>
      </c>
      <c r="B2717">
        <f>Data_thang!B2717</f>
        <v/>
      </c>
      <c r="C2717">
        <f>Data_thang!D2717</f>
        <v/>
      </c>
      <c r="D2717">
        <f>Data_thang!E2717</f>
        <v/>
      </c>
      <c r="E2717">
        <f>Data_thang!F2717</f>
        <v/>
      </c>
      <c r="F2717">
        <f>Data_thang!G2717</f>
        <v/>
      </c>
      <c r="G2717" s="29">
        <f>Data_thang!J2717-Data_thang!K2717</f>
        <v/>
      </c>
      <c r="H2717" s="29">
        <f>Data_thang!N2717</f>
        <v/>
      </c>
      <c r="I2717" s="29">
        <f>H2717-G2717</f>
        <v/>
      </c>
      <c r="J2717" s="30">
        <f>IF(H2717=0,IF(I2717=0,0,1),I2717/ABS(H2717))</f>
        <v/>
      </c>
      <c r="K2717" s="29">
        <f>H2717-(Data_thang!O2717-Data_thang!K2717)</f>
        <v/>
      </c>
      <c r="L2717">
        <f>IF(AND(ABS(I2717)&gt;Dashboard!$G$6,ABS(J2717)&gt;Dashboard!$H$6),"⚠ Vượt","")</f>
        <v/>
      </c>
      <c r="M2717">
        <f>IF(AND(A2717=Dashboard!$D$6,OR(Dashboard!$C$6="*",F2717=Dashboard!$C$6),L2717&lt;&gt;""),ABS(I2717)+ROW()/1000000000,0)</f>
        <v/>
      </c>
    </row>
    <row r="2718">
      <c r="A2718">
        <f>Data_thang!A2718</f>
        <v/>
      </c>
      <c r="B2718">
        <f>Data_thang!B2718</f>
        <v/>
      </c>
      <c r="C2718">
        <f>Data_thang!D2718</f>
        <v/>
      </c>
      <c r="D2718">
        <f>Data_thang!E2718</f>
        <v/>
      </c>
      <c r="E2718">
        <f>Data_thang!F2718</f>
        <v/>
      </c>
      <c r="F2718">
        <f>Data_thang!G2718</f>
        <v/>
      </c>
      <c r="G2718" s="29">
        <f>Data_thang!J2718-Data_thang!K2718</f>
        <v/>
      </c>
      <c r="H2718" s="29">
        <f>Data_thang!N2718</f>
        <v/>
      </c>
      <c r="I2718" s="29">
        <f>H2718-G2718</f>
        <v/>
      </c>
      <c r="J2718" s="30">
        <f>IF(H2718=0,IF(I2718=0,0,1),I2718/ABS(H2718))</f>
        <v/>
      </c>
      <c r="K2718" s="29">
        <f>H2718-(Data_thang!O2718-Data_thang!K2718)</f>
        <v/>
      </c>
      <c r="L2718">
        <f>IF(AND(ABS(I2718)&gt;Dashboard!$G$6,ABS(J2718)&gt;Dashboard!$H$6),"⚠ Vượt","")</f>
        <v/>
      </c>
      <c r="M2718">
        <f>IF(AND(A2718=Dashboard!$D$6,OR(Dashboard!$C$6="*",F2718=Dashboard!$C$6),L2718&lt;&gt;""),ABS(I2718)+ROW()/1000000000,0)</f>
        <v/>
      </c>
    </row>
    <row r="2719">
      <c r="A2719">
        <f>Data_thang!A2719</f>
        <v/>
      </c>
      <c r="B2719">
        <f>Data_thang!B2719</f>
        <v/>
      </c>
      <c r="C2719">
        <f>Data_thang!D2719</f>
        <v/>
      </c>
      <c r="D2719">
        <f>Data_thang!E2719</f>
        <v/>
      </c>
      <c r="E2719">
        <f>Data_thang!F2719</f>
        <v/>
      </c>
      <c r="F2719">
        <f>Data_thang!G2719</f>
        <v/>
      </c>
      <c r="G2719" s="29">
        <f>Data_thang!J2719-Data_thang!K2719</f>
        <v/>
      </c>
      <c r="H2719" s="29">
        <f>Data_thang!N2719</f>
        <v/>
      </c>
      <c r="I2719" s="29">
        <f>H2719-G2719</f>
        <v/>
      </c>
      <c r="J2719" s="30">
        <f>IF(H2719=0,IF(I2719=0,0,1),I2719/ABS(H2719))</f>
        <v/>
      </c>
      <c r="K2719" s="29">
        <f>H2719-(Data_thang!O2719-Data_thang!K2719)</f>
        <v/>
      </c>
      <c r="L2719">
        <f>IF(AND(ABS(I2719)&gt;Dashboard!$G$6,ABS(J2719)&gt;Dashboard!$H$6),"⚠ Vượt","")</f>
        <v/>
      </c>
      <c r="M2719">
        <f>IF(AND(A2719=Dashboard!$D$6,OR(Dashboard!$C$6="*",F2719=Dashboard!$C$6),L2719&lt;&gt;""),ABS(I2719)+ROW()/1000000000,0)</f>
        <v/>
      </c>
    </row>
    <row r="2720">
      <c r="A2720">
        <f>Data_thang!A2720</f>
        <v/>
      </c>
      <c r="B2720">
        <f>Data_thang!B2720</f>
        <v/>
      </c>
      <c r="C2720">
        <f>Data_thang!D2720</f>
        <v/>
      </c>
      <c r="D2720">
        <f>Data_thang!E2720</f>
        <v/>
      </c>
      <c r="E2720">
        <f>Data_thang!F2720</f>
        <v/>
      </c>
      <c r="F2720">
        <f>Data_thang!G2720</f>
        <v/>
      </c>
      <c r="G2720" s="29">
        <f>Data_thang!J2720-Data_thang!K2720</f>
        <v/>
      </c>
      <c r="H2720" s="29">
        <f>Data_thang!N2720</f>
        <v/>
      </c>
      <c r="I2720" s="29">
        <f>H2720-G2720</f>
        <v/>
      </c>
      <c r="J2720" s="30">
        <f>IF(H2720=0,IF(I2720=0,0,1),I2720/ABS(H2720))</f>
        <v/>
      </c>
      <c r="K2720" s="29">
        <f>H2720-(Data_thang!O2720-Data_thang!K2720)</f>
        <v/>
      </c>
      <c r="L2720">
        <f>IF(AND(ABS(I2720)&gt;Dashboard!$G$6,ABS(J2720)&gt;Dashboard!$H$6),"⚠ Vượt","")</f>
        <v/>
      </c>
      <c r="M2720">
        <f>IF(AND(A2720=Dashboard!$D$6,OR(Dashboard!$C$6="*",F2720=Dashboard!$C$6),L2720&lt;&gt;""),ABS(I2720)+ROW()/1000000000,0)</f>
        <v/>
      </c>
    </row>
    <row r="2721">
      <c r="A2721">
        <f>Data_thang!A2721</f>
        <v/>
      </c>
      <c r="B2721">
        <f>Data_thang!B2721</f>
        <v/>
      </c>
      <c r="C2721">
        <f>Data_thang!D2721</f>
        <v/>
      </c>
      <c r="D2721">
        <f>Data_thang!E2721</f>
        <v/>
      </c>
      <c r="E2721">
        <f>Data_thang!F2721</f>
        <v/>
      </c>
      <c r="F2721">
        <f>Data_thang!G2721</f>
        <v/>
      </c>
      <c r="G2721" s="29">
        <f>Data_thang!J2721-Data_thang!K2721</f>
        <v/>
      </c>
      <c r="H2721" s="29">
        <f>Data_thang!N2721</f>
        <v/>
      </c>
      <c r="I2721" s="29">
        <f>H2721-G2721</f>
        <v/>
      </c>
      <c r="J2721" s="30">
        <f>IF(H2721=0,IF(I2721=0,0,1),I2721/ABS(H2721))</f>
        <v/>
      </c>
      <c r="K2721" s="29">
        <f>H2721-(Data_thang!O2721-Data_thang!K2721)</f>
        <v/>
      </c>
      <c r="L2721">
        <f>IF(AND(ABS(I2721)&gt;Dashboard!$G$6,ABS(J2721)&gt;Dashboard!$H$6),"⚠ Vượt","")</f>
        <v/>
      </c>
      <c r="M2721">
        <f>IF(AND(A2721=Dashboard!$D$6,OR(Dashboard!$C$6="*",F2721=Dashboard!$C$6),L2721&lt;&gt;""),ABS(I2721)+ROW()/1000000000,0)</f>
        <v/>
      </c>
    </row>
    <row r="2722">
      <c r="A2722">
        <f>Data_thang!A2722</f>
        <v/>
      </c>
      <c r="B2722">
        <f>Data_thang!B2722</f>
        <v/>
      </c>
      <c r="C2722">
        <f>Data_thang!D2722</f>
        <v/>
      </c>
      <c r="D2722">
        <f>Data_thang!E2722</f>
        <v/>
      </c>
      <c r="E2722">
        <f>Data_thang!F2722</f>
        <v/>
      </c>
      <c r="F2722">
        <f>Data_thang!G2722</f>
        <v/>
      </c>
      <c r="G2722" s="29">
        <f>Data_thang!J2722-Data_thang!K2722</f>
        <v/>
      </c>
      <c r="H2722" s="29">
        <f>Data_thang!N2722</f>
        <v/>
      </c>
      <c r="I2722" s="29">
        <f>H2722-G2722</f>
        <v/>
      </c>
      <c r="J2722" s="30">
        <f>IF(H2722=0,IF(I2722=0,0,1),I2722/ABS(H2722))</f>
        <v/>
      </c>
      <c r="K2722" s="29">
        <f>H2722-(Data_thang!O2722-Data_thang!K2722)</f>
        <v/>
      </c>
      <c r="L2722">
        <f>IF(AND(ABS(I2722)&gt;Dashboard!$G$6,ABS(J2722)&gt;Dashboard!$H$6),"⚠ Vượt","")</f>
        <v/>
      </c>
      <c r="M2722">
        <f>IF(AND(A2722=Dashboard!$D$6,OR(Dashboard!$C$6="*",F2722=Dashboard!$C$6),L2722&lt;&gt;""),ABS(I2722)+ROW()/1000000000,0)</f>
        <v/>
      </c>
    </row>
    <row r="2723">
      <c r="A2723">
        <f>Data_thang!A2723</f>
        <v/>
      </c>
      <c r="B2723">
        <f>Data_thang!B2723</f>
        <v/>
      </c>
      <c r="C2723">
        <f>Data_thang!D2723</f>
        <v/>
      </c>
      <c r="D2723">
        <f>Data_thang!E2723</f>
        <v/>
      </c>
      <c r="E2723">
        <f>Data_thang!F2723</f>
        <v/>
      </c>
      <c r="F2723">
        <f>Data_thang!G2723</f>
        <v/>
      </c>
      <c r="G2723" s="29">
        <f>Data_thang!J2723-Data_thang!K2723</f>
        <v/>
      </c>
      <c r="H2723" s="29">
        <f>Data_thang!N2723</f>
        <v/>
      </c>
      <c r="I2723" s="29">
        <f>H2723-G2723</f>
        <v/>
      </c>
      <c r="J2723" s="30">
        <f>IF(H2723=0,IF(I2723=0,0,1),I2723/ABS(H2723))</f>
        <v/>
      </c>
      <c r="K2723" s="29">
        <f>H2723-(Data_thang!O2723-Data_thang!K2723)</f>
        <v/>
      </c>
      <c r="L2723">
        <f>IF(AND(ABS(I2723)&gt;Dashboard!$G$6,ABS(J2723)&gt;Dashboard!$H$6),"⚠ Vượt","")</f>
        <v/>
      </c>
      <c r="M2723">
        <f>IF(AND(A2723=Dashboard!$D$6,OR(Dashboard!$C$6="*",F2723=Dashboard!$C$6),L2723&lt;&gt;""),ABS(I2723)+ROW()/1000000000,0)</f>
        <v/>
      </c>
    </row>
    <row r="2724">
      <c r="A2724">
        <f>Data_thang!A2724</f>
        <v/>
      </c>
      <c r="B2724">
        <f>Data_thang!B2724</f>
        <v/>
      </c>
      <c r="C2724">
        <f>Data_thang!D2724</f>
        <v/>
      </c>
      <c r="D2724">
        <f>Data_thang!E2724</f>
        <v/>
      </c>
      <c r="E2724">
        <f>Data_thang!F2724</f>
        <v/>
      </c>
      <c r="F2724">
        <f>Data_thang!G2724</f>
        <v/>
      </c>
      <c r="G2724" s="29">
        <f>Data_thang!J2724-Data_thang!K2724</f>
        <v/>
      </c>
      <c r="H2724" s="29">
        <f>Data_thang!N2724</f>
        <v/>
      </c>
      <c r="I2724" s="29">
        <f>H2724-G2724</f>
        <v/>
      </c>
      <c r="J2724" s="30">
        <f>IF(H2724=0,IF(I2724=0,0,1),I2724/ABS(H2724))</f>
        <v/>
      </c>
      <c r="K2724" s="29">
        <f>H2724-(Data_thang!O2724-Data_thang!K2724)</f>
        <v/>
      </c>
      <c r="L2724">
        <f>IF(AND(ABS(I2724)&gt;Dashboard!$G$6,ABS(J2724)&gt;Dashboard!$H$6),"⚠ Vượt","")</f>
        <v/>
      </c>
      <c r="M2724">
        <f>IF(AND(A2724=Dashboard!$D$6,OR(Dashboard!$C$6="*",F2724=Dashboard!$C$6),L2724&lt;&gt;""),ABS(I2724)+ROW()/1000000000,0)</f>
        <v/>
      </c>
    </row>
    <row r="2725">
      <c r="A2725">
        <f>Data_thang!A2725</f>
        <v/>
      </c>
      <c r="B2725">
        <f>Data_thang!B2725</f>
        <v/>
      </c>
      <c r="C2725">
        <f>Data_thang!D2725</f>
        <v/>
      </c>
      <c r="D2725">
        <f>Data_thang!E2725</f>
        <v/>
      </c>
      <c r="E2725">
        <f>Data_thang!F2725</f>
        <v/>
      </c>
      <c r="F2725">
        <f>Data_thang!G2725</f>
        <v/>
      </c>
      <c r="G2725" s="29">
        <f>Data_thang!J2725-Data_thang!K2725</f>
        <v/>
      </c>
      <c r="H2725" s="29">
        <f>Data_thang!N2725</f>
        <v/>
      </c>
      <c r="I2725" s="29">
        <f>H2725-G2725</f>
        <v/>
      </c>
      <c r="J2725" s="30">
        <f>IF(H2725=0,IF(I2725=0,0,1),I2725/ABS(H2725))</f>
        <v/>
      </c>
      <c r="K2725" s="29">
        <f>H2725-(Data_thang!O2725-Data_thang!K2725)</f>
        <v/>
      </c>
      <c r="L2725">
        <f>IF(AND(ABS(I2725)&gt;Dashboard!$G$6,ABS(J2725)&gt;Dashboard!$H$6),"⚠ Vượt","")</f>
        <v/>
      </c>
      <c r="M2725">
        <f>IF(AND(A2725=Dashboard!$D$6,OR(Dashboard!$C$6="*",F2725=Dashboard!$C$6),L2725&lt;&gt;""),ABS(I2725)+ROW()/1000000000,0)</f>
        <v/>
      </c>
    </row>
    <row r="2726">
      <c r="A2726">
        <f>Data_thang!A2726</f>
        <v/>
      </c>
      <c r="B2726">
        <f>Data_thang!B2726</f>
        <v/>
      </c>
      <c r="C2726">
        <f>Data_thang!D2726</f>
        <v/>
      </c>
      <c r="D2726">
        <f>Data_thang!E2726</f>
        <v/>
      </c>
      <c r="E2726">
        <f>Data_thang!F2726</f>
        <v/>
      </c>
      <c r="F2726">
        <f>Data_thang!G2726</f>
        <v/>
      </c>
      <c r="G2726" s="29">
        <f>Data_thang!J2726-Data_thang!K2726</f>
        <v/>
      </c>
      <c r="H2726" s="29">
        <f>Data_thang!N2726</f>
        <v/>
      </c>
      <c r="I2726" s="29">
        <f>H2726-G2726</f>
        <v/>
      </c>
      <c r="J2726" s="30">
        <f>IF(H2726=0,IF(I2726=0,0,1),I2726/ABS(H2726))</f>
        <v/>
      </c>
      <c r="K2726" s="29">
        <f>H2726-(Data_thang!O2726-Data_thang!K2726)</f>
        <v/>
      </c>
      <c r="L2726">
        <f>IF(AND(ABS(I2726)&gt;Dashboard!$G$6,ABS(J2726)&gt;Dashboard!$H$6),"⚠ Vượt","")</f>
        <v/>
      </c>
      <c r="M2726">
        <f>IF(AND(A2726=Dashboard!$D$6,OR(Dashboard!$C$6="*",F2726=Dashboard!$C$6),L2726&lt;&gt;""),ABS(I2726)+ROW()/1000000000,0)</f>
        <v/>
      </c>
    </row>
    <row r="2727">
      <c r="A2727">
        <f>Data_thang!A2727</f>
        <v/>
      </c>
      <c r="B2727">
        <f>Data_thang!B2727</f>
        <v/>
      </c>
      <c r="C2727">
        <f>Data_thang!D2727</f>
        <v/>
      </c>
      <c r="D2727">
        <f>Data_thang!E2727</f>
        <v/>
      </c>
      <c r="E2727">
        <f>Data_thang!F2727</f>
        <v/>
      </c>
      <c r="F2727">
        <f>Data_thang!G2727</f>
        <v/>
      </c>
      <c r="G2727" s="29">
        <f>Data_thang!J2727-Data_thang!K2727</f>
        <v/>
      </c>
      <c r="H2727" s="29">
        <f>Data_thang!N2727</f>
        <v/>
      </c>
      <c r="I2727" s="29">
        <f>H2727-G2727</f>
        <v/>
      </c>
      <c r="J2727" s="30">
        <f>IF(H2727=0,IF(I2727=0,0,1),I2727/ABS(H2727))</f>
        <v/>
      </c>
      <c r="K2727" s="29">
        <f>H2727-(Data_thang!O2727-Data_thang!K2727)</f>
        <v/>
      </c>
      <c r="L2727">
        <f>IF(AND(ABS(I2727)&gt;Dashboard!$G$6,ABS(J2727)&gt;Dashboard!$H$6),"⚠ Vượt","")</f>
        <v/>
      </c>
      <c r="M2727">
        <f>IF(AND(A2727=Dashboard!$D$6,OR(Dashboard!$C$6="*",F2727=Dashboard!$C$6),L2727&lt;&gt;""),ABS(I2727)+ROW()/1000000000,0)</f>
        <v/>
      </c>
    </row>
    <row r="2728">
      <c r="A2728">
        <f>Data_thang!A2728</f>
        <v/>
      </c>
      <c r="B2728">
        <f>Data_thang!B2728</f>
        <v/>
      </c>
      <c r="C2728">
        <f>Data_thang!D2728</f>
        <v/>
      </c>
      <c r="D2728">
        <f>Data_thang!E2728</f>
        <v/>
      </c>
      <c r="E2728">
        <f>Data_thang!F2728</f>
        <v/>
      </c>
      <c r="F2728">
        <f>Data_thang!G2728</f>
        <v/>
      </c>
      <c r="G2728" s="29">
        <f>Data_thang!J2728-Data_thang!K2728</f>
        <v/>
      </c>
      <c r="H2728" s="29">
        <f>Data_thang!N2728</f>
        <v/>
      </c>
      <c r="I2728" s="29">
        <f>H2728-G2728</f>
        <v/>
      </c>
      <c r="J2728" s="30">
        <f>IF(H2728=0,IF(I2728=0,0,1),I2728/ABS(H2728))</f>
        <v/>
      </c>
      <c r="K2728" s="29">
        <f>H2728-(Data_thang!O2728-Data_thang!K2728)</f>
        <v/>
      </c>
      <c r="L2728">
        <f>IF(AND(ABS(I2728)&gt;Dashboard!$G$6,ABS(J2728)&gt;Dashboard!$H$6),"⚠ Vượt","")</f>
        <v/>
      </c>
      <c r="M2728">
        <f>IF(AND(A2728=Dashboard!$D$6,OR(Dashboard!$C$6="*",F2728=Dashboard!$C$6),L2728&lt;&gt;""),ABS(I2728)+ROW()/1000000000,0)</f>
        <v/>
      </c>
    </row>
    <row r="2729">
      <c r="A2729">
        <f>Data_thang!A2729</f>
        <v/>
      </c>
      <c r="B2729">
        <f>Data_thang!B2729</f>
        <v/>
      </c>
      <c r="C2729">
        <f>Data_thang!D2729</f>
        <v/>
      </c>
      <c r="D2729">
        <f>Data_thang!E2729</f>
        <v/>
      </c>
      <c r="E2729">
        <f>Data_thang!F2729</f>
        <v/>
      </c>
      <c r="F2729">
        <f>Data_thang!G2729</f>
        <v/>
      </c>
      <c r="G2729" s="29">
        <f>Data_thang!J2729-Data_thang!K2729</f>
        <v/>
      </c>
      <c r="H2729" s="29">
        <f>Data_thang!N2729</f>
        <v/>
      </c>
      <c r="I2729" s="29">
        <f>H2729-G2729</f>
        <v/>
      </c>
      <c r="J2729" s="30">
        <f>IF(H2729=0,IF(I2729=0,0,1),I2729/ABS(H2729))</f>
        <v/>
      </c>
      <c r="K2729" s="29">
        <f>H2729-(Data_thang!O2729-Data_thang!K2729)</f>
        <v/>
      </c>
      <c r="L2729">
        <f>IF(AND(ABS(I2729)&gt;Dashboard!$G$6,ABS(J2729)&gt;Dashboard!$H$6),"⚠ Vượt","")</f>
        <v/>
      </c>
      <c r="M2729">
        <f>IF(AND(A2729=Dashboard!$D$6,OR(Dashboard!$C$6="*",F2729=Dashboard!$C$6),L2729&lt;&gt;""),ABS(I2729)+ROW()/1000000000,0)</f>
        <v/>
      </c>
    </row>
    <row r="2730">
      <c r="A2730">
        <f>Data_thang!A2730</f>
        <v/>
      </c>
      <c r="B2730">
        <f>Data_thang!B2730</f>
        <v/>
      </c>
      <c r="C2730">
        <f>Data_thang!D2730</f>
        <v/>
      </c>
      <c r="D2730">
        <f>Data_thang!E2730</f>
        <v/>
      </c>
      <c r="E2730">
        <f>Data_thang!F2730</f>
        <v/>
      </c>
      <c r="F2730">
        <f>Data_thang!G2730</f>
        <v/>
      </c>
      <c r="G2730" s="29">
        <f>Data_thang!J2730-Data_thang!K2730</f>
        <v/>
      </c>
      <c r="H2730" s="29">
        <f>Data_thang!N2730</f>
        <v/>
      </c>
      <c r="I2730" s="29">
        <f>H2730-G2730</f>
        <v/>
      </c>
      <c r="J2730" s="30">
        <f>IF(H2730=0,IF(I2730=0,0,1),I2730/ABS(H2730))</f>
        <v/>
      </c>
      <c r="K2730" s="29">
        <f>H2730-(Data_thang!O2730-Data_thang!K2730)</f>
        <v/>
      </c>
      <c r="L2730">
        <f>IF(AND(ABS(I2730)&gt;Dashboard!$G$6,ABS(J2730)&gt;Dashboard!$H$6),"⚠ Vượt","")</f>
        <v/>
      </c>
      <c r="M2730">
        <f>IF(AND(A2730=Dashboard!$D$6,OR(Dashboard!$C$6="*",F2730=Dashboard!$C$6),L2730&lt;&gt;""),ABS(I2730)+ROW()/1000000000,0)</f>
        <v/>
      </c>
    </row>
    <row r="2731">
      <c r="A2731">
        <f>Data_thang!A2731</f>
        <v/>
      </c>
      <c r="B2731">
        <f>Data_thang!B2731</f>
        <v/>
      </c>
      <c r="C2731">
        <f>Data_thang!D2731</f>
        <v/>
      </c>
      <c r="D2731">
        <f>Data_thang!E2731</f>
        <v/>
      </c>
      <c r="E2731">
        <f>Data_thang!F2731</f>
        <v/>
      </c>
      <c r="F2731">
        <f>Data_thang!G2731</f>
        <v/>
      </c>
      <c r="G2731" s="29">
        <f>Data_thang!J2731-Data_thang!K2731</f>
        <v/>
      </c>
      <c r="H2731" s="29">
        <f>Data_thang!N2731</f>
        <v/>
      </c>
      <c r="I2731" s="29">
        <f>H2731-G2731</f>
        <v/>
      </c>
      <c r="J2731" s="30">
        <f>IF(H2731=0,IF(I2731=0,0,1),I2731/ABS(H2731))</f>
        <v/>
      </c>
      <c r="K2731" s="29">
        <f>H2731-(Data_thang!O2731-Data_thang!K2731)</f>
        <v/>
      </c>
      <c r="L2731">
        <f>IF(AND(ABS(I2731)&gt;Dashboard!$G$6,ABS(J2731)&gt;Dashboard!$H$6),"⚠ Vượt","")</f>
        <v/>
      </c>
      <c r="M2731">
        <f>IF(AND(A2731=Dashboard!$D$6,OR(Dashboard!$C$6="*",F2731=Dashboard!$C$6),L2731&lt;&gt;""),ABS(I2731)+ROW()/1000000000,0)</f>
        <v/>
      </c>
    </row>
    <row r="2732">
      <c r="A2732">
        <f>Data_thang!A2732</f>
        <v/>
      </c>
      <c r="B2732">
        <f>Data_thang!B2732</f>
        <v/>
      </c>
      <c r="C2732">
        <f>Data_thang!D2732</f>
        <v/>
      </c>
      <c r="D2732">
        <f>Data_thang!E2732</f>
        <v/>
      </c>
      <c r="E2732">
        <f>Data_thang!F2732</f>
        <v/>
      </c>
      <c r="F2732">
        <f>Data_thang!G2732</f>
        <v/>
      </c>
      <c r="G2732" s="29">
        <f>Data_thang!J2732-Data_thang!K2732</f>
        <v/>
      </c>
      <c r="H2732" s="29">
        <f>Data_thang!N2732</f>
        <v/>
      </c>
      <c r="I2732" s="29">
        <f>H2732-G2732</f>
        <v/>
      </c>
      <c r="J2732" s="30">
        <f>IF(H2732=0,IF(I2732=0,0,1),I2732/ABS(H2732))</f>
        <v/>
      </c>
      <c r="K2732" s="29">
        <f>H2732-(Data_thang!O2732-Data_thang!K2732)</f>
        <v/>
      </c>
      <c r="L2732">
        <f>IF(AND(ABS(I2732)&gt;Dashboard!$G$6,ABS(J2732)&gt;Dashboard!$H$6),"⚠ Vượt","")</f>
        <v/>
      </c>
      <c r="M2732">
        <f>IF(AND(A2732=Dashboard!$D$6,OR(Dashboard!$C$6="*",F2732=Dashboard!$C$6),L2732&lt;&gt;""),ABS(I2732)+ROW()/1000000000,0)</f>
        <v/>
      </c>
    </row>
    <row r="2733">
      <c r="A2733">
        <f>Data_thang!A2733</f>
        <v/>
      </c>
      <c r="B2733">
        <f>Data_thang!B2733</f>
        <v/>
      </c>
      <c r="C2733">
        <f>Data_thang!D2733</f>
        <v/>
      </c>
      <c r="D2733">
        <f>Data_thang!E2733</f>
        <v/>
      </c>
      <c r="E2733">
        <f>Data_thang!F2733</f>
        <v/>
      </c>
      <c r="F2733">
        <f>Data_thang!G2733</f>
        <v/>
      </c>
      <c r="G2733" s="29">
        <f>Data_thang!J2733-Data_thang!K2733</f>
        <v/>
      </c>
      <c r="H2733" s="29">
        <f>Data_thang!N2733</f>
        <v/>
      </c>
      <c r="I2733" s="29">
        <f>H2733-G2733</f>
        <v/>
      </c>
      <c r="J2733" s="30">
        <f>IF(H2733=0,IF(I2733=0,0,1),I2733/ABS(H2733))</f>
        <v/>
      </c>
      <c r="K2733" s="29">
        <f>H2733-(Data_thang!O2733-Data_thang!K2733)</f>
        <v/>
      </c>
      <c r="L2733">
        <f>IF(AND(ABS(I2733)&gt;Dashboard!$G$6,ABS(J2733)&gt;Dashboard!$H$6),"⚠ Vượt","")</f>
        <v/>
      </c>
      <c r="M2733">
        <f>IF(AND(A2733=Dashboard!$D$6,OR(Dashboard!$C$6="*",F2733=Dashboard!$C$6),L2733&lt;&gt;""),ABS(I2733)+ROW()/1000000000,0)</f>
        <v/>
      </c>
    </row>
    <row r="2734">
      <c r="A2734">
        <f>Data_thang!A2734</f>
        <v/>
      </c>
      <c r="B2734">
        <f>Data_thang!B2734</f>
        <v/>
      </c>
      <c r="C2734">
        <f>Data_thang!D2734</f>
        <v/>
      </c>
      <c r="D2734">
        <f>Data_thang!E2734</f>
        <v/>
      </c>
      <c r="E2734">
        <f>Data_thang!F2734</f>
        <v/>
      </c>
      <c r="F2734">
        <f>Data_thang!G2734</f>
        <v/>
      </c>
      <c r="G2734" s="29">
        <f>Data_thang!J2734-Data_thang!K2734</f>
        <v/>
      </c>
      <c r="H2734" s="29">
        <f>Data_thang!N2734</f>
        <v/>
      </c>
      <c r="I2734" s="29">
        <f>H2734-G2734</f>
        <v/>
      </c>
      <c r="J2734" s="30">
        <f>IF(H2734=0,IF(I2734=0,0,1),I2734/ABS(H2734))</f>
        <v/>
      </c>
      <c r="K2734" s="29">
        <f>H2734-(Data_thang!O2734-Data_thang!K2734)</f>
        <v/>
      </c>
      <c r="L2734">
        <f>IF(AND(ABS(I2734)&gt;Dashboard!$G$6,ABS(J2734)&gt;Dashboard!$H$6),"⚠ Vượt","")</f>
        <v/>
      </c>
      <c r="M2734">
        <f>IF(AND(A2734=Dashboard!$D$6,OR(Dashboard!$C$6="*",F2734=Dashboard!$C$6),L2734&lt;&gt;""),ABS(I2734)+ROW()/1000000000,0)</f>
        <v/>
      </c>
    </row>
    <row r="2735">
      <c r="A2735">
        <f>Data_thang!A2735</f>
        <v/>
      </c>
      <c r="B2735">
        <f>Data_thang!B2735</f>
        <v/>
      </c>
      <c r="C2735">
        <f>Data_thang!D2735</f>
        <v/>
      </c>
      <c r="D2735">
        <f>Data_thang!E2735</f>
        <v/>
      </c>
      <c r="E2735">
        <f>Data_thang!F2735</f>
        <v/>
      </c>
      <c r="F2735">
        <f>Data_thang!G2735</f>
        <v/>
      </c>
      <c r="G2735" s="29">
        <f>Data_thang!J2735-Data_thang!K2735</f>
        <v/>
      </c>
      <c r="H2735" s="29">
        <f>Data_thang!N2735</f>
        <v/>
      </c>
      <c r="I2735" s="29">
        <f>H2735-G2735</f>
        <v/>
      </c>
      <c r="J2735" s="30">
        <f>IF(H2735=0,IF(I2735=0,0,1),I2735/ABS(H2735))</f>
        <v/>
      </c>
      <c r="K2735" s="29">
        <f>H2735-(Data_thang!O2735-Data_thang!K2735)</f>
        <v/>
      </c>
      <c r="L2735">
        <f>IF(AND(ABS(I2735)&gt;Dashboard!$G$6,ABS(J2735)&gt;Dashboard!$H$6),"⚠ Vượt","")</f>
        <v/>
      </c>
      <c r="M2735">
        <f>IF(AND(A2735=Dashboard!$D$6,OR(Dashboard!$C$6="*",F2735=Dashboard!$C$6),L2735&lt;&gt;""),ABS(I2735)+ROW()/1000000000,0)</f>
        <v/>
      </c>
    </row>
    <row r="2736">
      <c r="A2736">
        <f>Data_thang!A2736</f>
        <v/>
      </c>
      <c r="B2736">
        <f>Data_thang!B2736</f>
        <v/>
      </c>
      <c r="C2736">
        <f>Data_thang!D2736</f>
        <v/>
      </c>
      <c r="D2736">
        <f>Data_thang!E2736</f>
        <v/>
      </c>
      <c r="E2736">
        <f>Data_thang!F2736</f>
        <v/>
      </c>
      <c r="F2736">
        <f>Data_thang!G2736</f>
        <v/>
      </c>
      <c r="G2736" s="29">
        <f>Data_thang!J2736-Data_thang!K2736</f>
        <v/>
      </c>
      <c r="H2736" s="29">
        <f>Data_thang!N2736</f>
        <v/>
      </c>
      <c r="I2736" s="29">
        <f>H2736-G2736</f>
        <v/>
      </c>
      <c r="J2736" s="30">
        <f>IF(H2736=0,IF(I2736=0,0,1),I2736/ABS(H2736))</f>
        <v/>
      </c>
      <c r="K2736" s="29">
        <f>H2736-(Data_thang!O2736-Data_thang!K2736)</f>
        <v/>
      </c>
      <c r="L2736">
        <f>IF(AND(ABS(I2736)&gt;Dashboard!$G$6,ABS(J2736)&gt;Dashboard!$H$6),"⚠ Vượt","")</f>
        <v/>
      </c>
      <c r="M2736">
        <f>IF(AND(A2736=Dashboard!$D$6,OR(Dashboard!$C$6="*",F2736=Dashboard!$C$6),L2736&lt;&gt;""),ABS(I2736)+ROW()/1000000000,0)</f>
        <v/>
      </c>
    </row>
    <row r="2737">
      <c r="A2737">
        <f>Data_thang!A2737</f>
        <v/>
      </c>
      <c r="B2737">
        <f>Data_thang!B2737</f>
        <v/>
      </c>
      <c r="C2737">
        <f>Data_thang!D2737</f>
        <v/>
      </c>
      <c r="D2737">
        <f>Data_thang!E2737</f>
        <v/>
      </c>
      <c r="E2737">
        <f>Data_thang!F2737</f>
        <v/>
      </c>
      <c r="F2737">
        <f>Data_thang!G2737</f>
        <v/>
      </c>
      <c r="G2737" s="29">
        <f>Data_thang!J2737-Data_thang!K2737</f>
        <v/>
      </c>
      <c r="H2737" s="29">
        <f>Data_thang!N2737</f>
        <v/>
      </c>
      <c r="I2737" s="29">
        <f>H2737-G2737</f>
        <v/>
      </c>
      <c r="J2737" s="30">
        <f>IF(H2737=0,IF(I2737=0,0,1),I2737/ABS(H2737))</f>
        <v/>
      </c>
      <c r="K2737" s="29">
        <f>H2737-(Data_thang!O2737-Data_thang!K2737)</f>
        <v/>
      </c>
      <c r="L2737">
        <f>IF(AND(ABS(I2737)&gt;Dashboard!$G$6,ABS(J2737)&gt;Dashboard!$H$6),"⚠ Vượt","")</f>
        <v/>
      </c>
      <c r="M2737">
        <f>IF(AND(A2737=Dashboard!$D$6,OR(Dashboard!$C$6="*",F2737=Dashboard!$C$6),L2737&lt;&gt;""),ABS(I2737)+ROW()/1000000000,0)</f>
        <v/>
      </c>
    </row>
    <row r="2738">
      <c r="A2738">
        <f>Data_thang!A2738</f>
        <v/>
      </c>
      <c r="B2738">
        <f>Data_thang!B2738</f>
        <v/>
      </c>
      <c r="C2738">
        <f>Data_thang!D2738</f>
        <v/>
      </c>
      <c r="D2738">
        <f>Data_thang!E2738</f>
        <v/>
      </c>
      <c r="E2738">
        <f>Data_thang!F2738</f>
        <v/>
      </c>
      <c r="F2738">
        <f>Data_thang!G2738</f>
        <v/>
      </c>
      <c r="G2738" s="29">
        <f>Data_thang!J2738-Data_thang!K2738</f>
        <v/>
      </c>
      <c r="H2738" s="29">
        <f>Data_thang!N2738</f>
        <v/>
      </c>
      <c r="I2738" s="29">
        <f>H2738-G2738</f>
        <v/>
      </c>
      <c r="J2738" s="30">
        <f>IF(H2738=0,IF(I2738=0,0,1),I2738/ABS(H2738))</f>
        <v/>
      </c>
      <c r="K2738" s="29">
        <f>H2738-(Data_thang!O2738-Data_thang!K2738)</f>
        <v/>
      </c>
      <c r="L2738">
        <f>IF(AND(ABS(I2738)&gt;Dashboard!$G$6,ABS(J2738)&gt;Dashboard!$H$6),"⚠ Vượt","")</f>
        <v/>
      </c>
      <c r="M2738">
        <f>IF(AND(A2738=Dashboard!$D$6,OR(Dashboard!$C$6="*",F2738=Dashboard!$C$6),L2738&lt;&gt;""),ABS(I2738)+ROW()/1000000000,0)</f>
        <v/>
      </c>
    </row>
    <row r="2739">
      <c r="A2739">
        <f>Data_thang!A2739</f>
        <v/>
      </c>
      <c r="B2739">
        <f>Data_thang!B2739</f>
        <v/>
      </c>
      <c r="C2739">
        <f>Data_thang!D2739</f>
        <v/>
      </c>
      <c r="D2739">
        <f>Data_thang!E2739</f>
        <v/>
      </c>
      <c r="E2739">
        <f>Data_thang!F2739</f>
        <v/>
      </c>
      <c r="F2739">
        <f>Data_thang!G2739</f>
        <v/>
      </c>
      <c r="G2739" s="29">
        <f>Data_thang!J2739-Data_thang!K2739</f>
        <v/>
      </c>
      <c r="H2739" s="29">
        <f>Data_thang!N2739</f>
        <v/>
      </c>
      <c r="I2739" s="29">
        <f>H2739-G2739</f>
        <v/>
      </c>
      <c r="J2739" s="30">
        <f>IF(H2739=0,IF(I2739=0,0,1),I2739/ABS(H2739))</f>
        <v/>
      </c>
      <c r="K2739" s="29">
        <f>H2739-(Data_thang!O2739-Data_thang!K2739)</f>
        <v/>
      </c>
      <c r="L2739">
        <f>IF(AND(ABS(I2739)&gt;Dashboard!$G$6,ABS(J2739)&gt;Dashboard!$H$6),"⚠ Vượt","")</f>
        <v/>
      </c>
      <c r="M2739">
        <f>IF(AND(A2739=Dashboard!$D$6,OR(Dashboard!$C$6="*",F2739=Dashboard!$C$6),L2739&lt;&gt;""),ABS(I2739)+ROW()/1000000000,0)</f>
        <v/>
      </c>
    </row>
    <row r="2740">
      <c r="A2740">
        <f>Data_thang!A2740</f>
        <v/>
      </c>
      <c r="B2740">
        <f>Data_thang!B2740</f>
        <v/>
      </c>
      <c r="C2740">
        <f>Data_thang!D2740</f>
        <v/>
      </c>
      <c r="D2740">
        <f>Data_thang!E2740</f>
        <v/>
      </c>
      <c r="E2740">
        <f>Data_thang!F2740</f>
        <v/>
      </c>
      <c r="F2740">
        <f>Data_thang!G2740</f>
        <v/>
      </c>
      <c r="G2740" s="29">
        <f>Data_thang!J2740-Data_thang!K2740</f>
        <v/>
      </c>
      <c r="H2740" s="29">
        <f>Data_thang!N2740</f>
        <v/>
      </c>
      <c r="I2740" s="29">
        <f>H2740-G2740</f>
        <v/>
      </c>
      <c r="J2740" s="30">
        <f>IF(H2740=0,IF(I2740=0,0,1),I2740/ABS(H2740))</f>
        <v/>
      </c>
      <c r="K2740" s="29">
        <f>H2740-(Data_thang!O2740-Data_thang!K2740)</f>
        <v/>
      </c>
      <c r="L2740">
        <f>IF(AND(ABS(I2740)&gt;Dashboard!$G$6,ABS(J2740)&gt;Dashboard!$H$6),"⚠ Vượt","")</f>
        <v/>
      </c>
      <c r="M2740">
        <f>IF(AND(A2740=Dashboard!$D$6,OR(Dashboard!$C$6="*",F2740=Dashboard!$C$6),L2740&lt;&gt;""),ABS(I2740)+ROW()/1000000000,0)</f>
        <v/>
      </c>
    </row>
    <row r="2741">
      <c r="A2741">
        <f>Data_thang!A2741</f>
        <v/>
      </c>
      <c r="B2741">
        <f>Data_thang!B2741</f>
        <v/>
      </c>
      <c r="C2741">
        <f>Data_thang!D2741</f>
        <v/>
      </c>
      <c r="D2741">
        <f>Data_thang!E2741</f>
        <v/>
      </c>
      <c r="E2741">
        <f>Data_thang!F2741</f>
        <v/>
      </c>
      <c r="F2741">
        <f>Data_thang!G2741</f>
        <v/>
      </c>
      <c r="G2741" s="29">
        <f>Data_thang!J2741-Data_thang!K2741</f>
        <v/>
      </c>
      <c r="H2741" s="29">
        <f>Data_thang!N2741</f>
        <v/>
      </c>
      <c r="I2741" s="29">
        <f>H2741-G2741</f>
        <v/>
      </c>
      <c r="J2741" s="30">
        <f>IF(H2741=0,IF(I2741=0,0,1),I2741/ABS(H2741))</f>
        <v/>
      </c>
      <c r="K2741" s="29">
        <f>H2741-(Data_thang!O2741-Data_thang!K2741)</f>
        <v/>
      </c>
      <c r="L2741">
        <f>IF(AND(ABS(I2741)&gt;Dashboard!$G$6,ABS(J2741)&gt;Dashboard!$H$6),"⚠ Vượt","")</f>
        <v/>
      </c>
      <c r="M2741">
        <f>IF(AND(A2741=Dashboard!$D$6,OR(Dashboard!$C$6="*",F2741=Dashboard!$C$6),L2741&lt;&gt;""),ABS(I2741)+ROW()/1000000000,0)</f>
        <v/>
      </c>
    </row>
    <row r="2742">
      <c r="A2742">
        <f>Data_thang!A2742</f>
        <v/>
      </c>
      <c r="B2742">
        <f>Data_thang!B2742</f>
        <v/>
      </c>
      <c r="C2742">
        <f>Data_thang!D2742</f>
        <v/>
      </c>
      <c r="D2742">
        <f>Data_thang!E2742</f>
        <v/>
      </c>
      <c r="E2742">
        <f>Data_thang!F2742</f>
        <v/>
      </c>
      <c r="F2742">
        <f>Data_thang!G2742</f>
        <v/>
      </c>
      <c r="G2742" s="29">
        <f>Data_thang!J2742-Data_thang!K2742</f>
        <v/>
      </c>
      <c r="H2742" s="29">
        <f>Data_thang!N2742</f>
        <v/>
      </c>
      <c r="I2742" s="29">
        <f>H2742-G2742</f>
        <v/>
      </c>
      <c r="J2742" s="30">
        <f>IF(H2742=0,IF(I2742=0,0,1),I2742/ABS(H2742))</f>
        <v/>
      </c>
      <c r="K2742" s="29">
        <f>H2742-(Data_thang!O2742-Data_thang!K2742)</f>
        <v/>
      </c>
      <c r="L2742">
        <f>IF(AND(ABS(I2742)&gt;Dashboard!$G$6,ABS(J2742)&gt;Dashboard!$H$6),"⚠ Vượt","")</f>
        <v/>
      </c>
      <c r="M2742">
        <f>IF(AND(A2742=Dashboard!$D$6,OR(Dashboard!$C$6="*",F2742=Dashboard!$C$6),L2742&lt;&gt;""),ABS(I2742)+ROW()/1000000000,0)</f>
        <v/>
      </c>
    </row>
    <row r="2743">
      <c r="A2743">
        <f>Data_thang!A2743</f>
        <v/>
      </c>
      <c r="B2743">
        <f>Data_thang!B2743</f>
        <v/>
      </c>
      <c r="C2743">
        <f>Data_thang!D2743</f>
        <v/>
      </c>
      <c r="D2743">
        <f>Data_thang!E2743</f>
        <v/>
      </c>
      <c r="E2743">
        <f>Data_thang!F2743</f>
        <v/>
      </c>
      <c r="F2743">
        <f>Data_thang!G2743</f>
        <v/>
      </c>
      <c r="G2743" s="29">
        <f>Data_thang!J2743-Data_thang!K2743</f>
        <v/>
      </c>
      <c r="H2743" s="29">
        <f>Data_thang!N2743</f>
        <v/>
      </c>
      <c r="I2743" s="29">
        <f>H2743-G2743</f>
        <v/>
      </c>
      <c r="J2743" s="30">
        <f>IF(H2743=0,IF(I2743=0,0,1),I2743/ABS(H2743))</f>
        <v/>
      </c>
      <c r="K2743" s="29">
        <f>H2743-(Data_thang!O2743-Data_thang!K2743)</f>
        <v/>
      </c>
      <c r="L2743">
        <f>IF(AND(ABS(I2743)&gt;Dashboard!$G$6,ABS(J2743)&gt;Dashboard!$H$6),"⚠ Vượt","")</f>
        <v/>
      </c>
      <c r="M2743">
        <f>IF(AND(A2743=Dashboard!$D$6,OR(Dashboard!$C$6="*",F2743=Dashboard!$C$6),L2743&lt;&gt;""),ABS(I2743)+ROW()/1000000000,0)</f>
        <v/>
      </c>
    </row>
    <row r="2744">
      <c r="A2744">
        <f>Data_thang!A2744</f>
        <v/>
      </c>
      <c r="B2744">
        <f>Data_thang!B2744</f>
        <v/>
      </c>
      <c r="C2744">
        <f>Data_thang!D2744</f>
        <v/>
      </c>
      <c r="D2744">
        <f>Data_thang!E2744</f>
        <v/>
      </c>
      <c r="E2744">
        <f>Data_thang!F2744</f>
        <v/>
      </c>
      <c r="F2744">
        <f>Data_thang!G2744</f>
        <v/>
      </c>
      <c r="G2744" s="29">
        <f>Data_thang!J2744-Data_thang!K2744</f>
        <v/>
      </c>
      <c r="H2744" s="29">
        <f>Data_thang!N2744</f>
        <v/>
      </c>
      <c r="I2744" s="29">
        <f>H2744-G2744</f>
        <v/>
      </c>
      <c r="J2744" s="30">
        <f>IF(H2744=0,IF(I2744=0,0,1),I2744/ABS(H2744))</f>
        <v/>
      </c>
      <c r="K2744" s="29">
        <f>H2744-(Data_thang!O2744-Data_thang!K2744)</f>
        <v/>
      </c>
      <c r="L2744">
        <f>IF(AND(ABS(I2744)&gt;Dashboard!$G$6,ABS(J2744)&gt;Dashboard!$H$6),"⚠ Vượt","")</f>
        <v/>
      </c>
      <c r="M2744">
        <f>IF(AND(A2744=Dashboard!$D$6,OR(Dashboard!$C$6="*",F2744=Dashboard!$C$6),L2744&lt;&gt;""),ABS(I2744)+ROW()/1000000000,0)</f>
        <v/>
      </c>
    </row>
    <row r="2745">
      <c r="A2745">
        <f>Data_thang!A2745</f>
        <v/>
      </c>
      <c r="B2745">
        <f>Data_thang!B2745</f>
        <v/>
      </c>
      <c r="C2745">
        <f>Data_thang!D2745</f>
        <v/>
      </c>
      <c r="D2745">
        <f>Data_thang!E2745</f>
        <v/>
      </c>
      <c r="E2745">
        <f>Data_thang!F2745</f>
        <v/>
      </c>
      <c r="F2745">
        <f>Data_thang!G2745</f>
        <v/>
      </c>
      <c r="G2745" s="29">
        <f>Data_thang!J2745-Data_thang!K2745</f>
        <v/>
      </c>
      <c r="H2745" s="29">
        <f>Data_thang!N2745</f>
        <v/>
      </c>
      <c r="I2745" s="29">
        <f>H2745-G2745</f>
        <v/>
      </c>
      <c r="J2745" s="30">
        <f>IF(H2745=0,IF(I2745=0,0,1),I2745/ABS(H2745))</f>
        <v/>
      </c>
      <c r="K2745" s="29">
        <f>H2745-(Data_thang!O2745-Data_thang!K2745)</f>
        <v/>
      </c>
      <c r="L2745">
        <f>IF(AND(ABS(I2745)&gt;Dashboard!$G$6,ABS(J2745)&gt;Dashboard!$H$6),"⚠ Vượt","")</f>
        <v/>
      </c>
      <c r="M2745">
        <f>IF(AND(A2745=Dashboard!$D$6,OR(Dashboard!$C$6="*",F2745=Dashboard!$C$6),L2745&lt;&gt;""),ABS(I2745)+ROW()/1000000000,0)</f>
        <v/>
      </c>
    </row>
    <row r="2746">
      <c r="A2746">
        <f>Data_thang!A2746</f>
        <v/>
      </c>
      <c r="B2746">
        <f>Data_thang!B2746</f>
        <v/>
      </c>
      <c r="C2746">
        <f>Data_thang!D2746</f>
        <v/>
      </c>
      <c r="D2746">
        <f>Data_thang!E2746</f>
        <v/>
      </c>
      <c r="E2746">
        <f>Data_thang!F2746</f>
        <v/>
      </c>
      <c r="F2746">
        <f>Data_thang!G2746</f>
        <v/>
      </c>
      <c r="G2746" s="29">
        <f>Data_thang!J2746-Data_thang!K2746</f>
        <v/>
      </c>
      <c r="H2746" s="29">
        <f>Data_thang!N2746</f>
        <v/>
      </c>
      <c r="I2746" s="29">
        <f>H2746-G2746</f>
        <v/>
      </c>
      <c r="J2746" s="30">
        <f>IF(H2746=0,IF(I2746=0,0,1),I2746/ABS(H2746))</f>
        <v/>
      </c>
      <c r="K2746" s="29">
        <f>H2746-(Data_thang!O2746-Data_thang!K2746)</f>
        <v/>
      </c>
      <c r="L2746">
        <f>IF(AND(ABS(I2746)&gt;Dashboard!$G$6,ABS(J2746)&gt;Dashboard!$H$6),"⚠ Vượt","")</f>
        <v/>
      </c>
      <c r="M2746">
        <f>IF(AND(A2746=Dashboard!$D$6,OR(Dashboard!$C$6="*",F2746=Dashboard!$C$6),L2746&lt;&gt;""),ABS(I2746)+ROW()/1000000000,0)</f>
        <v/>
      </c>
    </row>
    <row r="2747">
      <c r="A2747">
        <f>Data_thang!A2747</f>
        <v/>
      </c>
      <c r="B2747">
        <f>Data_thang!B2747</f>
        <v/>
      </c>
      <c r="C2747">
        <f>Data_thang!D2747</f>
        <v/>
      </c>
      <c r="D2747">
        <f>Data_thang!E2747</f>
        <v/>
      </c>
      <c r="E2747">
        <f>Data_thang!F2747</f>
        <v/>
      </c>
      <c r="F2747">
        <f>Data_thang!G2747</f>
        <v/>
      </c>
      <c r="G2747" s="29">
        <f>Data_thang!J2747-Data_thang!K2747</f>
        <v/>
      </c>
      <c r="H2747" s="29">
        <f>Data_thang!N2747</f>
        <v/>
      </c>
      <c r="I2747" s="29">
        <f>H2747-G2747</f>
        <v/>
      </c>
      <c r="J2747" s="30">
        <f>IF(H2747=0,IF(I2747=0,0,1),I2747/ABS(H2747))</f>
        <v/>
      </c>
      <c r="K2747" s="29">
        <f>H2747-(Data_thang!O2747-Data_thang!K2747)</f>
        <v/>
      </c>
      <c r="L2747">
        <f>IF(AND(ABS(I2747)&gt;Dashboard!$G$6,ABS(J2747)&gt;Dashboard!$H$6),"⚠ Vượt","")</f>
        <v/>
      </c>
      <c r="M2747">
        <f>IF(AND(A2747=Dashboard!$D$6,OR(Dashboard!$C$6="*",F2747=Dashboard!$C$6),L2747&lt;&gt;""),ABS(I2747)+ROW()/1000000000,0)</f>
        <v/>
      </c>
    </row>
    <row r="2748">
      <c r="A2748">
        <f>Data_thang!A2748</f>
        <v/>
      </c>
      <c r="B2748">
        <f>Data_thang!B2748</f>
        <v/>
      </c>
      <c r="C2748">
        <f>Data_thang!D2748</f>
        <v/>
      </c>
      <c r="D2748">
        <f>Data_thang!E2748</f>
        <v/>
      </c>
      <c r="E2748">
        <f>Data_thang!F2748</f>
        <v/>
      </c>
      <c r="F2748">
        <f>Data_thang!G2748</f>
        <v/>
      </c>
      <c r="G2748" s="29">
        <f>Data_thang!J2748-Data_thang!K2748</f>
        <v/>
      </c>
      <c r="H2748" s="29">
        <f>Data_thang!N2748</f>
        <v/>
      </c>
      <c r="I2748" s="29">
        <f>H2748-G2748</f>
        <v/>
      </c>
      <c r="J2748" s="30">
        <f>IF(H2748=0,IF(I2748=0,0,1),I2748/ABS(H2748))</f>
        <v/>
      </c>
      <c r="K2748" s="29">
        <f>H2748-(Data_thang!O2748-Data_thang!K2748)</f>
        <v/>
      </c>
      <c r="L2748">
        <f>IF(AND(ABS(I2748)&gt;Dashboard!$G$6,ABS(J2748)&gt;Dashboard!$H$6),"⚠ Vượt","")</f>
        <v/>
      </c>
      <c r="M2748">
        <f>IF(AND(A2748=Dashboard!$D$6,OR(Dashboard!$C$6="*",F2748=Dashboard!$C$6),L2748&lt;&gt;""),ABS(I2748)+ROW()/1000000000,0)</f>
        <v/>
      </c>
    </row>
    <row r="2749">
      <c r="A2749">
        <f>Data_thang!A2749</f>
        <v/>
      </c>
      <c r="B2749">
        <f>Data_thang!B2749</f>
        <v/>
      </c>
      <c r="C2749">
        <f>Data_thang!D2749</f>
        <v/>
      </c>
      <c r="D2749">
        <f>Data_thang!E2749</f>
        <v/>
      </c>
      <c r="E2749">
        <f>Data_thang!F2749</f>
        <v/>
      </c>
      <c r="F2749">
        <f>Data_thang!G2749</f>
        <v/>
      </c>
      <c r="G2749" s="29">
        <f>Data_thang!J2749-Data_thang!K2749</f>
        <v/>
      </c>
      <c r="H2749" s="29">
        <f>Data_thang!N2749</f>
        <v/>
      </c>
      <c r="I2749" s="29">
        <f>H2749-G2749</f>
        <v/>
      </c>
      <c r="J2749" s="30">
        <f>IF(H2749=0,IF(I2749=0,0,1),I2749/ABS(H2749))</f>
        <v/>
      </c>
      <c r="K2749" s="29">
        <f>H2749-(Data_thang!O2749-Data_thang!K2749)</f>
        <v/>
      </c>
      <c r="L2749">
        <f>IF(AND(ABS(I2749)&gt;Dashboard!$G$6,ABS(J2749)&gt;Dashboard!$H$6),"⚠ Vượt","")</f>
        <v/>
      </c>
      <c r="M2749">
        <f>IF(AND(A2749=Dashboard!$D$6,OR(Dashboard!$C$6="*",F2749=Dashboard!$C$6),L2749&lt;&gt;""),ABS(I2749)+ROW()/1000000000,0)</f>
        <v/>
      </c>
    </row>
    <row r="2750">
      <c r="A2750">
        <f>Data_thang!A2750</f>
        <v/>
      </c>
      <c r="B2750">
        <f>Data_thang!B2750</f>
        <v/>
      </c>
      <c r="C2750">
        <f>Data_thang!D2750</f>
        <v/>
      </c>
      <c r="D2750">
        <f>Data_thang!E2750</f>
        <v/>
      </c>
      <c r="E2750">
        <f>Data_thang!F2750</f>
        <v/>
      </c>
      <c r="F2750">
        <f>Data_thang!G2750</f>
        <v/>
      </c>
      <c r="G2750" s="29">
        <f>Data_thang!J2750-Data_thang!K2750</f>
        <v/>
      </c>
      <c r="H2750" s="29">
        <f>Data_thang!N2750</f>
        <v/>
      </c>
      <c r="I2750" s="29">
        <f>H2750-G2750</f>
        <v/>
      </c>
      <c r="J2750" s="30">
        <f>IF(H2750=0,IF(I2750=0,0,1),I2750/ABS(H2750))</f>
        <v/>
      </c>
      <c r="K2750" s="29">
        <f>H2750-(Data_thang!O2750-Data_thang!K2750)</f>
        <v/>
      </c>
      <c r="L2750">
        <f>IF(AND(ABS(I2750)&gt;Dashboard!$G$6,ABS(J2750)&gt;Dashboard!$H$6),"⚠ Vượt","")</f>
        <v/>
      </c>
      <c r="M2750">
        <f>IF(AND(A2750=Dashboard!$D$6,OR(Dashboard!$C$6="*",F2750=Dashboard!$C$6),L2750&lt;&gt;""),ABS(I2750)+ROW()/1000000000,0)</f>
        <v/>
      </c>
    </row>
    <row r="2751">
      <c r="A2751">
        <f>Data_thang!A2751</f>
        <v/>
      </c>
      <c r="B2751">
        <f>Data_thang!B2751</f>
        <v/>
      </c>
      <c r="C2751">
        <f>Data_thang!D2751</f>
        <v/>
      </c>
      <c r="D2751">
        <f>Data_thang!E2751</f>
        <v/>
      </c>
      <c r="E2751">
        <f>Data_thang!F2751</f>
        <v/>
      </c>
      <c r="F2751">
        <f>Data_thang!G2751</f>
        <v/>
      </c>
      <c r="G2751" s="29">
        <f>Data_thang!J2751-Data_thang!K2751</f>
        <v/>
      </c>
      <c r="H2751" s="29">
        <f>Data_thang!N2751</f>
        <v/>
      </c>
      <c r="I2751" s="29">
        <f>H2751-G2751</f>
        <v/>
      </c>
      <c r="J2751" s="30">
        <f>IF(H2751=0,IF(I2751=0,0,1),I2751/ABS(H2751))</f>
        <v/>
      </c>
      <c r="K2751" s="29">
        <f>H2751-(Data_thang!O2751-Data_thang!K2751)</f>
        <v/>
      </c>
      <c r="L2751">
        <f>IF(AND(ABS(I2751)&gt;Dashboard!$G$6,ABS(J2751)&gt;Dashboard!$H$6),"⚠ Vượt","")</f>
        <v/>
      </c>
      <c r="M2751">
        <f>IF(AND(A2751=Dashboard!$D$6,OR(Dashboard!$C$6="*",F2751=Dashboard!$C$6),L2751&lt;&gt;""),ABS(I2751)+ROW()/1000000000,0)</f>
        <v/>
      </c>
    </row>
    <row r="2752">
      <c r="A2752">
        <f>Data_thang!A2752</f>
        <v/>
      </c>
      <c r="B2752">
        <f>Data_thang!B2752</f>
        <v/>
      </c>
      <c r="C2752">
        <f>Data_thang!D2752</f>
        <v/>
      </c>
      <c r="D2752">
        <f>Data_thang!E2752</f>
        <v/>
      </c>
      <c r="E2752">
        <f>Data_thang!F2752</f>
        <v/>
      </c>
      <c r="F2752">
        <f>Data_thang!G2752</f>
        <v/>
      </c>
      <c r="G2752" s="29">
        <f>Data_thang!J2752-Data_thang!K2752</f>
        <v/>
      </c>
      <c r="H2752" s="29">
        <f>Data_thang!N2752</f>
        <v/>
      </c>
      <c r="I2752" s="29">
        <f>H2752-G2752</f>
        <v/>
      </c>
      <c r="J2752" s="30">
        <f>IF(H2752=0,IF(I2752=0,0,1),I2752/ABS(H2752))</f>
        <v/>
      </c>
      <c r="K2752" s="29">
        <f>H2752-(Data_thang!O2752-Data_thang!K2752)</f>
        <v/>
      </c>
      <c r="L2752">
        <f>IF(AND(ABS(I2752)&gt;Dashboard!$G$6,ABS(J2752)&gt;Dashboard!$H$6),"⚠ Vượt","")</f>
        <v/>
      </c>
      <c r="M2752">
        <f>IF(AND(A2752=Dashboard!$D$6,OR(Dashboard!$C$6="*",F2752=Dashboard!$C$6),L2752&lt;&gt;""),ABS(I2752)+ROW()/1000000000,0)</f>
        <v/>
      </c>
    </row>
    <row r="2753">
      <c r="A2753">
        <f>Data_thang!A2753</f>
        <v/>
      </c>
      <c r="B2753">
        <f>Data_thang!B2753</f>
        <v/>
      </c>
      <c r="C2753">
        <f>Data_thang!D2753</f>
        <v/>
      </c>
      <c r="D2753">
        <f>Data_thang!E2753</f>
        <v/>
      </c>
      <c r="E2753">
        <f>Data_thang!F2753</f>
        <v/>
      </c>
      <c r="F2753">
        <f>Data_thang!G2753</f>
        <v/>
      </c>
      <c r="G2753" s="29">
        <f>Data_thang!J2753-Data_thang!K2753</f>
        <v/>
      </c>
      <c r="H2753" s="29">
        <f>Data_thang!N2753</f>
        <v/>
      </c>
      <c r="I2753" s="29">
        <f>H2753-G2753</f>
        <v/>
      </c>
      <c r="J2753" s="30">
        <f>IF(H2753=0,IF(I2753=0,0,1),I2753/ABS(H2753))</f>
        <v/>
      </c>
      <c r="K2753" s="29">
        <f>H2753-(Data_thang!O2753-Data_thang!K2753)</f>
        <v/>
      </c>
      <c r="L2753">
        <f>IF(AND(ABS(I2753)&gt;Dashboard!$G$6,ABS(J2753)&gt;Dashboard!$H$6),"⚠ Vượt","")</f>
        <v/>
      </c>
      <c r="M2753">
        <f>IF(AND(A2753=Dashboard!$D$6,OR(Dashboard!$C$6="*",F2753=Dashboard!$C$6),L2753&lt;&gt;""),ABS(I2753)+ROW()/1000000000,0)</f>
        <v/>
      </c>
    </row>
    <row r="2754">
      <c r="A2754">
        <f>Data_thang!A2754</f>
        <v/>
      </c>
      <c r="B2754">
        <f>Data_thang!B2754</f>
        <v/>
      </c>
      <c r="C2754">
        <f>Data_thang!D2754</f>
        <v/>
      </c>
      <c r="D2754">
        <f>Data_thang!E2754</f>
        <v/>
      </c>
      <c r="E2754">
        <f>Data_thang!F2754</f>
        <v/>
      </c>
      <c r="F2754">
        <f>Data_thang!G2754</f>
        <v/>
      </c>
      <c r="G2754" s="29">
        <f>Data_thang!J2754-Data_thang!K2754</f>
        <v/>
      </c>
      <c r="H2754" s="29">
        <f>Data_thang!N2754</f>
        <v/>
      </c>
      <c r="I2754" s="29">
        <f>H2754-G2754</f>
        <v/>
      </c>
      <c r="J2754" s="30">
        <f>IF(H2754=0,IF(I2754=0,0,1),I2754/ABS(H2754))</f>
        <v/>
      </c>
      <c r="K2754" s="29">
        <f>H2754-(Data_thang!O2754-Data_thang!K2754)</f>
        <v/>
      </c>
      <c r="L2754">
        <f>IF(AND(ABS(I2754)&gt;Dashboard!$G$6,ABS(J2754)&gt;Dashboard!$H$6),"⚠ Vượt","")</f>
        <v/>
      </c>
      <c r="M2754">
        <f>IF(AND(A2754=Dashboard!$D$6,OR(Dashboard!$C$6="*",F2754=Dashboard!$C$6),L2754&lt;&gt;""),ABS(I2754)+ROW()/1000000000,0)</f>
        <v/>
      </c>
    </row>
    <row r="2755">
      <c r="A2755">
        <f>Data_thang!A2755</f>
        <v/>
      </c>
      <c r="B2755">
        <f>Data_thang!B2755</f>
        <v/>
      </c>
      <c r="C2755">
        <f>Data_thang!D2755</f>
        <v/>
      </c>
      <c r="D2755">
        <f>Data_thang!E2755</f>
        <v/>
      </c>
      <c r="E2755">
        <f>Data_thang!F2755</f>
        <v/>
      </c>
      <c r="F2755">
        <f>Data_thang!G2755</f>
        <v/>
      </c>
      <c r="G2755" s="29">
        <f>Data_thang!J2755-Data_thang!K2755</f>
        <v/>
      </c>
      <c r="H2755" s="29">
        <f>Data_thang!N2755</f>
        <v/>
      </c>
      <c r="I2755" s="29">
        <f>H2755-G2755</f>
        <v/>
      </c>
      <c r="J2755" s="30">
        <f>IF(H2755=0,IF(I2755=0,0,1),I2755/ABS(H2755))</f>
        <v/>
      </c>
      <c r="K2755" s="29">
        <f>H2755-(Data_thang!O2755-Data_thang!K2755)</f>
        <v/>
      </c>
      <c r="L2755">
        <f>IF(AND(ABS(I2755)&gt;Dashboard!$G$6,ABS(J2755)&gt;Dashboard!$H$6),"⚠ Vượt","")</f>
        <v/>
      </c>
      <c r="M2755">
        <f>IF(AND(A2755=Dashboard!$D$6,OR(Dashboard!$C$6="*",F2755=Dashboard!$C$6),L2755&lt;&gt;""),ABS(I2755)+ROW()/1000000000,0)</f>
        <v/>
      </c>
    </row>
    <row r="2756">
      <c r="A2756">
        <f>Data_thang!A2756</f>
        <v/>
      </c>
      <c r="B2756">
        <f>Data_thang!B2756</f>
        <v/>
      </c>
      <c r="C2756">
        <f>Data_thang!D2756</f>
        <v/>
      </c>
      <c r="D2756">
        <f>Data_thang!E2756</f>
        <v/>
      </c>
      <c r="E2756">
        <f>Data_thang!F2756</f>
        <v/>
      </c>
      <c r="F2756">
        <f>Data_thang!G2756</f>
        <v/>
      </c>
      <c r="G2756" s="29">
        <f>Data_thang!J2756-Data_thang!K2756</f>
        <v/>
      </c>
      <c r="H2756" s="29">
        <f>Data_thang!N2756</f>
        <v/>
      </c>
      <c r="I2756" s="29">
        <f>H2756-G2756</f>
        <v/>
      </c>
      <c r="J2756" s="30">
        <f>IF(H2756=0,IF(I2756=0,0,1),I2756/ABS(H2756))</f>
        <v/>
      </c>
      <c r="K2756" s="29">
        <f>H2756-(Data_thang!O2756-Data_thang!K2756)</f>
        <v/>
      </c>
      <c r="L2756">
        <f>IF(AND(ABS(I2756)&gt;Dashboard!$G$6,ABS(J2756)&gt;Dashboard!$H$6),"⚠ Vượt","")</f>
        <v/>
      </c>
      <c r="M2756">
        <f>IF(AND(A2756=Dashboard!$D$6,OR(Dashboard!$C$6="*",F2756=Dashboard!$C$6),L2756&lt;&gt;""),ABS(I2756)+ROW()/1000000000,0)</f>
        <v/>
      </c>
    </row>
    <row r="2757">
      <c r="A2757">
        <f>Data_thang!A2757</f>
        <v/>
      </c>
      <c r="B2757">
        <f>Data_thang!B2757</f>
        <v/>
      </c>
      <c r="C2757">
        <f>Data_thang!D2757</f>
        <v/>
      </c>
      <c r="D2757">
        <f>Data_thang!E2757</f>
        <v/>
      </c>
      <c r="E2757">
        <f>Data_thang!F2757</f>
        <v/>
      </c>
      <c r="F2757">
        <f>Data_thang!G2757</f>
        <v/>
      </c>
      <c r="G2757" s="29">
        <f>Data_thang!J2757-Data_thang!K2757</f>
        <v/>
      </c>
      <c r="H2757" s="29">
        <f>Data_thang!N2757</f>
        <v/>
      </c>
      <c r="I2757" s="29">
        <f>H2757-G2757</f>
        <v/>
      </c>
      <c r="J2757" s="30">
        <f>IF(H2757=0,IF(I2757=0,0,1),I2757/ABS(H2757))</f>
        <v/>
      </c>
      <c r="K2757" s="29">
        <f>H2757-(Data_thang!O2757-Data_thang!K2757)</f>
        <v/>
      </c>
      <c r="L2757">
        <f>IF(AND(ABS(I2757)&gt;Dashboard!$G$6,ABS(J2757)&gt;Dashboard!$H$6),"⚠ Vượt","")</f>
        <v/>
      </c>
      <c r="M2757">
        <f>IF(AND(A2757=Dashboard!$D$6,OR(Dashboard!$C$6="*",F2757=Dashboard!$C$6),L2757&lt;&gt;""),ABS(I2757)+ROW()/1000000000,0)</f>
        <v/>
      </c>
    </row>
    <row r="2758">
      <c r="A2758">
        <f>Data_thang!A2758</f>
        <v/>
      </c>
      <c r="B2758">
        <f>Data_thang!B2758</f>
        <v/>
      </c>
      <c r="C2758">
        <f>Data_thang!D2758</f>
        <v/>
      </c>
      <c r="D2758">
        <f>Data_thang!E2758</f>
        <v/>
      </c>
      <c r="E2758">
        <f>Data_thang!F2758</f>
        <v/>
      </c>
      <c r="F2758">
        <f>Data_thang!G2758</f>
        <v/>
      </c>
      <c r="G2758" s="29">
        <f>Data_thang!J2758-Data_thang!K2758</f>
        <v/>
      </c>
      <c r="H2758" s="29">
        <f>Data_thang!N2758</f>
        <v/>
      </c>
      <c r="I2758" s="29">
        <f>H2758-G2758</f>
        <v/>
      </c>
      <c r="J2758" s="30">
        <f>IF(H2758=0,IF(I2758=0,0,1),I2758/ABS(H2758))</f>
        <v/>
      </c>
      <c r="K2758" s="29">
        <f>H2758-(Data_thang!O2758-Data_thang!K2758)</f>
        <v/>
      </c>
      <c r="L2758">
        <f>IF(AND(ABS(I2758)&gt;Dashboard!$G$6,ABS(J2758)&gt;Dashboard!$H$6),"⚠ Vượt","")</f>
        <v/>
      </c>
      <c r="M2758">
        <f>IF(AND(A2758=Dashboard!$D$6,OR(Dashboard!$C$6="*",F2758=Dashboard!$C$6),L2758&lt;&gt;""),ABS(I2758)+ROW()/1000000000,0)</f>
        <v/>
      </c>
    </row>
    <row r="2759">
      <c r="A2759">
        <f>Data_thang!A2759</f>
        <v/>
      </c>
      <c r="B2759">
        <f>Data_thang!B2759</f>
        <v/>
      </c>
      <c r="C2759">
        <f>Data_thang!D2759</f>
        <v/>
      </c>
      <c r="D2759">
        <f>Data_thang!E2759</f>
        <v/>
      </c>
      <c r="E2759">
        <f>Data_thang!F2759</f>
        <v/>
      </c>
      <c r="F2759">
        <f>Data_thang!G2759</f>
        <v/>
      </c>
      <c r="G2759" s="29">
        <f>Data_thang!J2759-Data_thang!K2759</f>
        <v/>
      </c>
      <c r="H2759" s="29">
        <f>Data_thang!N2759</f>
        <v/>
      </c>
      <c r="I2759" s="29">
        <f>H2759-G2759</f>
        <v/>
      </c>
      <c r="J2759" s="30">
        <f>IF(H2759=0,IF(I2759=0,0,1),I2759/ABS(H2759))</f>
        <v/>
      </c>
      <c r="K2759" s="29">
        <f>H2759-(Data_thang!O2759-Data_thang!K2759)</f>
        <v/>
      </c>
      <c r="L2759">
        <f>IF(AND(ABS(I2759)&gt;Dashboard!$G$6,ABS(J2759)&gt;Dashboard!$H$6),"⚠ Vượt","")</f>
        <v/>
      </c>
      <c r="M2759">
        <f>IF(AND(A2759=Dashboard!$D$6,OR(Dashboard!$C$6="*",F2759=Dashboard!$C$6),L2759&lt;&gt;""),ABS(I2759)+ROW()/1000000000,0)</f>
        <v/>
      </c>
    </row>
    <row r="2760">
      <c r="A2760">
        <f>Data_thang!A2760</f>
        <v/>
      </c>
      <c r="B2760">
        <f>Data_thang!B2760</f>
        <v/>
      </c>
      <c r="C2760">
        <f>Data_thang!D2760</f>
        <v/>
      </c>
      <c r="D2760">
        <f>Data_thang!E2760</f>
        <v/>
      </c>
      <c r="E2760">
        <f>Data_thang!F2760</f>
        <v/>
      </c>
      <c r="F2760">
        <f>Data_thang!G2760</f>
        <v/>
      </c>
      <c r="G2760" s="29">
        <f>Data_thang!J2760-Data_thang!K2760</f>
        <v/>
      </c>
      <c r="H2760" s="29">
        <f>Data_thang!N2760</f>
        <v/>
      </c>
      <c r="I2760" s="29">
        <f>H2760-G2760</f>
        <v/>
      </c>
      <c r="J2760" s="30">
        <f>IF(H2760=0,IF(I2760=0,0,1),I2760/ABS(H2760))</f>
        <v/>
      </c>
      <c r="K2760" s="29">
        <f>H2760-(Data_thang!O2760-Data_thang!K2760)</f>
        <v/>
      </c>
      <c r="L2760">
        <f>IF(AND(ABS(I2760)&gt;Dashboard!$G$6,ABS(J2760)&gt;Dashboard!$H$6),"⚠ Vượt","")</f>
        <v/>
      </c>
      <c r="M2760">
        <f>IF(AND(A2760=Dashboard!$D$6,OR(Dashboard!$C$6="*",F2760=Dashboard!$C$6),L2760&lt;&gt;""),ABS(I2760)+ROW()/1000000000,0)</f>
        <v/>
      </c>
    </row>
    <row r="2761">
      <c r="A2761">
        <f>Data_thang!A2761</f>
        <v/>
      </c>
      <c r="B2761">
        <f>Data_thang!B2761</f>
        <v/>
      </c>
      <c r="C2761">
        <f>Data_thang!D2761</f>
        <v/>
      </c>
      <c r="D2761">
        <f>Data_thang!E2761</f>
        <v/>
      </c>
      <c r="E2761">
        <f>Data_thang!F2761</f>
        <v/>
      </c>
      <c r="F2761">
        <f>Data_thang!G2761</f>
        <v/>
      </c>
      <c r="G2761" s="29">
        <f>Data_thang!J2761-Data_thang!K2761</f>
        <v/>
      </c>
      <c r="H2761" s="29">
        <f>Data_thang!N2761</f>
        <v/>
      </c>
      <c r="I2761" s="29">
        <f>H2761-G2761</f>
        <v/>
      </c>
      <c r="J2761" s="30">
        <f>IF(H2761=0,IF(I2761=0,0,1),I2761/ABS(H2761))</f>
        <v/>
      </c>
      <c r="K2761" s="29">
        <f>H2761-(Data_thang!O2761-Data_thang!K2761)</f>
        <v/>
      </c>
      <c r="L2761">
        <f>IF(AND(ABS(I2761)&gt;Dashboard!$G$6,ABS(J2761)&gt;Dashboard!$H$6),"⚠ Vượt","")</f>
        <v/>
      </c>
      <c r="M2761">
        <f>IF(AND(A2761=Dashboard!$D$6,OR(Dashboard!$C$6="*",F2761=Dashboard!$C$6),L2761&lt;&gt;""),ABS(I2761)+ROW()/1000000000,0)</f>
        <v/>
      </c>
    </row>
    <row r="2762">
      <c r="A2762">
        <f>Data_thang!A2762</f>
        <v/>
      </c>
      <c r="B2762">
        <f>Data_thang!B2762</f>
        <v/>
      </c>
      <c r="C2762">
        <f>Data_thang!D2762</f>
        <v/>
      </c>
      <c r="D2762">
        <f>Data_thang!E2762</f>
        <v/>
      </c>
      <c r="E2762">
        <f>Data_thang!F2762</f>
        <v/>
      </c>
      <c r="F2762">
        <f>Data_thang!G2762</f>
        <v/>
      </c>
      <c r="G2762" s="29">
        <f>Data_thang!J2762-Data_thang!K2762</f>
        <v/>
      </c>
      <c r="H2762" s="29">
        <f>Data_thang!N2762</f>
        <v/>
      </c>
      <c r="I2762" s="29">
        <f>H2762-G2762</f>
        <v/>
      </c>
      <c r="J2762" s="30">
        <f>IF(H2762=0,IF(I2762=0,0,1),I2762/ABS(H2762))</f>
        <v/>
      </c>
      <c r="K2762" s="29">
        <f>H2762-(Data_thang!O2762-Data_thang!K2762)</f>
        <v/>
      </c>
      <c r="L2762">
        <f>IF(AND(ABS(I2762)&gt;Dashboard!$G$6,ABS(J2762)&gt;Dashboard!$H$6),"⚠ Vượt","")</f>
        <v/>
      </c>
      <c r="M2762">
        <f>IF(AND(A2762=Dashboard!$D$6,OR(Dashboard!$C$6="*",F2762=Dashboard!$C$6),L2762&lt;&gt;""),ABS(I2762)+ROW()/1000000000,0)</f>
        <v/>
      </c>
    </row>
    <row r="2763">
      <c r="A2763">
        <f>Data_thang!A2763</f>
        <v/>
      </c>
      <c r="B2763">
        <f>Data_thang!B2763</f>
        <v/>
      </c>
      <c r="C2763">
        <f>Data_thang!D2763</f>
        <v/>
      </c>
      <c r="D2763">
        <f>Data_thang!E2763</f>
        <v/>
      </c>
      <c r="E2763">
        <f>Data_thang!F2763</f>
        <v/>
      </c>
      <c r="F2763">
        <f>Data_thang!G2763</f>
        <v/>
      </c>
      <c r="G2763" s="29">
        <f>Data_thang!J2763-Data_thang!K2763</f>
        <v/>
      </c>
      <c r="H2763" s="29">
        <f>Data_thang!N2763</f>
        <v/>
      </c>
      <c r="I2763" s="29">
        <f>H2763-G2763</f>
        <v/>
      </c>
      <c r="J2763" s="30">
        <f>IF(H2763=0,IF(I2763=0,0,1),I2763/ABS(H2763))</f>
        <v/>
      </c>
      <c r="K2763" s="29">
        <f>H2763-(Data_thang!O2763-Data_thang!K2763)</f>
        <v/>
      </c>
      <c r="L2763">
        <f>IF(AND(ABS(I2763)&gt;Dashboard!$G$6,ABS(J2763)&gt;Dashboard!$H$6),"⚠ Vượt","")</f>
        <v/>
      </c>
      <c r="M2763">
        <f>IF(AND(A2763=Dashboard!$D$6,OR(Dashboard!$C$6="*",F2763=Dashboard!$C$6),L2763&lt;&gt;""),ABS(I2763)+ROW()/1000000000,0)</f>
        <v/>
      </c>
    </row>
    <row r="2764">
      <c r="A2764">
        <f>Data_thang!A2764</f>
        <v/>
      </c>
      <c r="B2764">
        <f>Data_thang!B2764</f>
        <v/>
      </c>
      <c r="C2764">
        <f>Data_thang!D2764</f>
        <v/>
      </c>
      <c r="D2764">
        <f>Data_thang!E2764</f>
        <v/>
      </c>
      <c r="E2764">
        <f>Data_thang!F2764</f>
        <v/>
      </c>
      <c r="F2764">
        <f>Data_thang!G2764</f>
        <v/>
      </c>
      <c r="G2764" s="29">
        <f>Data_thang!J2764-Data_thang!K2764</f>
        <v/>
      </c>
      <c r="H2764" s="29">
        <f>Data_thang!N2764</f>
        <v/>
      </c>
      <c r="I2764" s="29">
        <f>H2764-G2764</f>
        <v/>
      </c>
      <c r="J2764" s="30">
        <f>IF(H2764=0,IF(I2764=0,0,1),I2764/ABS(H2764))</f>
        <v/>
      </c>
      <c r="K2764" s="29">
        <f>H2764-(Data_thang!O2764-Data_thang!K2764)</f>
        <v/>
      </c>
      <c r="L2764">
        <f>IF(AND(ABS(I2764)&gt;Dashboard!$G$6,ABS(J2764)&gt;Dashboard!$H$6),"⚠ Vượt","")</f>
        <v/>
      </c>
      <c r="M2764">
        <f>IF(AND(A2764=Dashboard!$D$6,OR(Dashboard!$C$6="*",F2764=Dashboard!$C$6),L2764&lt;&gt;""),ABS(I2764)+ROW()/1000000000,0)</f>
        <v/>
      </c>
    </row>
    <row r="2765">
      <c r="A2765">
        <f>Data_thang!A2765</f>
        <v/>
      </c>
      <c r="B2765">
        <f>Data_thang!B2765</f>
        <v/>
      </c>
      <c r="C2765">
        <f>Data_thang!D2765</f>
        <v/>
      </c>
      <c r="D2765">
        <f>Data_thang!E2765</f>
        <v/>
      </c>
      <c r="E2765">
        <f>Data_thang!F2765</f>
        <v/>
      </c>
      <c r="F2765">
        <f>Data_thang!G2765</f>
        <v/>
      </c>
      <c r="G2765" s="29">
        <f>Data_thang!J2765-Data_thang!K2765</f>
        <v/>
      </c>
      <c r="H2765" s="29">
        <f>Data_thang!N2765</f>
        <v/>
      </c>
      <c r="I2765" s="29">
        <f>H2765-G2765</f>
        <v/>
      </c>
      <c r="J2765" s="30">
        <f>IF(H2765=0,IF(I2765=0,0,1),I2765/ABS(H2765))</f>
        <v/>
      </c>
      <c r="K2765" s="29">
        <f>H2765-(Data_thang!O2765-Data_thang!K2765)</f>
        <v/>
      </c>
      <c r="L2765">
        <f>IF(AND(ABS(I2765)&gt;Dashboard!$G$6,ABS(J2765)&gt;Dashboard!$H$6),"⚠ Vượt","")</f>
        <v/>
      </c>
      <c r="M2765">
        <f>IF(AND(A2765=Dashboard!$D$6,OR(Dashboard!$C$6="*",F2765=Dashboard!$C$6),L2765&lt;&gt;""),ABS(I2765)+ROW()/1000000000,0)</f>
        <v/>
      </c>
    </row>
    <row r="2766">
      <c r="A2766">
        <f>Data_thang!A2766</f>
        <v/>
      </c>
      <c r="B2766">
        <f>Data_thang!B2766</f>
        <v/>
      </c>
      <c r="C2766">
        <f>Data_thang!D2766</f>
        <v/>
      </c>
      <c r="D2766">
        <f>Data_thang!E2766</f>
        <v/>
      </c>
      <c r="E2766">
        <f>Data_thang!F2766</f>
        <v/>
      </c>
      <c r="F2766">
        <f>Data_thang!G2766</f>
        <v/>
      </c>
      <c r="G2766" s="29">
        <f>Data_thang!J2766-Data_thang!K2766</f>
        <v/>
      </c>
      <c r="H2766" s="29">
        <f>Data_thang!N2766</f>
        <v/>
      </c>
      <c r="I2766" s="29">
        <f>H2766-G2766</f>
        <v/>
      </c>
      <c r="J2766" s="30">
        <f>IF(H2766=0,IF(I2766=0,0,1),I2766/ABS(H2766))</f>
        <v/>
      </c>
      <c r="K2766" s="29">
        <f>H2766-(Data_thang!O2766-Data_thang!K2766)</f>
        <v/>
      </c>
      <c r="L2766">
        <f>IF(AND(ABS(I2766)&gt;Dashboard!$G$6,ABS(J2766)&gt;Dashboard!$H$6),"⚠ Vượt","")</f>
        <v/>
      </c>
      <c r="M2766">
        <f>IF(AND(A2766=Dashboard!$D$6,OR(Dashboard!$C$6="*",F2766=Dashboard!$C$6),L2766&lt;&gt;""),ABS(I2766)+ROW()/1000000000,0)</f>
        <v/>
      </c>
    </row>
    <row r="2767">
      <c r="A2767">
        <f>Data_thang!A2767</f>
        <v/>
      </c>
      <c r="B2767">
        <f>Data_thang!B2767</f>
        <v/>
      </c>
      <c r="C2767">
        <f>Data_thang!D2767</f>
        <v/>
      </c>
      <c r="D2767">
        <f>Data_thang!E2767</f>
        <v/>
      </c>
      <c r="E2767">
        <f>Data_thang!F2767</f>
        <v/>
      </c>
      <c r="F2767">
        <f>Data_thang!G2767</f>
        <v/>
      </c>
      <c r="G2767" s="29">
        <f>Data_thang!J2767-Data_thang!K2767</f>
        <v/>
      </c>
      <c r="H2767" s="29">
        <f>Data_thang!N2767</f>
        <v/>
      </c>
      <c r="I2767" s="29">
        <f>H2767-G2767</f>
        <v/>
      </c>
      <c r="J2767" s="30">
        <f>IF(H2767=0,IF(I2767=0,0,1),I2767/ABS(H2767))</f>
        <v/>
      </c>
      <c r="K2767" s="29">
        <f>H2767-(Data_thang!O2767-Data_thang!K2767)</f>
        <v/>
      </c>
      <c r="L2767">
        <f>IF(AND(ABS(I2767)&gt;Dashboard!$G$6,ABS(J2767)&gt;Dashboard!$H$6),"⚠ Vượt","")</f>
        <v/>
      </c>
      <c r="M2767">
        <f>IF(AND(A2767=Dashboard!$D$6,OR(Dashboard!$C$6="*",F2767=Dashboard!$C$6),L2767&lt;&gt;""),ABS(I2767)+ROW()/1000000000,0)</f>
        <v/>
      </c>
    </row>
    <row r="2768">
      <c r="A2768">
        <f>Data_thang!A2768</f>
        <v/>
      </c>
      <c r="B2768">
        <f>Data_thang!B2768</f>
        <v/>
      </c>
      <c r="C2768">
        <f>Data_thang!D2768</f>
        <v/>
      </c>
      <c r="D2768">
        <f>Data_thang!E2768</f>
        <v/>
      </c>
      <c r="E2768">
        <f>Data_thang!F2768</f>
        <v/>
      </c>
      <c r="F2768">
        <f>Data_thang!G2768</f>
        <v/>
      </c>
      <c r="G2768" s="29">
        <f>Data_thang!J2768-Data_thang!K2768</f>
        <v/>
      </c>
      <c r="H2768" s="29">
        <f>Data_thang!N2768</f>
        <v/>
      </c>
      <c r="I2768" s="29">
        <f>H2768-G2768</f>
        <v/>
      </c>
      <c r="J2768" s="30">
        <f>IF(H2768=0,IF(I2768=0,0,1),I2768/ABS(H2768))</f>
        <v/>
      </c>
      <c r="K2768" s="29">
        <f>H2768-(Data_thang!O2768-Data_thang!K2768)</f>
        <v/>
      </c>
      <c r="L2768">
        <f>IF(AND(ABS(I2768)&gt;Dashboard!$G$6,ABS(J2768)&gt;Dashboard!$H$6),"⚠ Vượt","")</f>
        <v/>
      </c>
      <c r="M2768">
        <f>IF(AND(A2768=Dashboard!$D$6,OR(Dashboard!$C$6="*",F2768=Dashboard!$C$6),L2768&lt;&gt;""),ABS(I2768)+ROW()/1000000000,0)</f>
        <v/>
      </c>
    </row>
    <row r="2769">
      <c r="A2769">
        <f>Data_thang!A2769</f>
        <v/>
      </c>
      <c r="B2769">
        <f>Data_thang!B2769</f>
        <v/>
      </c>
      <c r="C2769">
        <f>Data_thang!D2769</f>
        <v/>
      </c>
      <c r="D2769">
        <f>Data_thang!E2769</f>
        <v/>
      </c>
      <c r="E2769">
        <f>Data_thang!F2769</f>
        <v/>
      </c>
      <c r="F2769">
        <f>Data_thang!G2769</f>
        <v/>
      </c>
      <c r="G2769" s="29">
        <f>Data_thang!J2769-Data_thang!K2769</f>
        <v/>
      </c>
      <c r="H2769" s="29">
        <f>Data_thang!N2769</f>
        <v/>
      </c>
      <c r="I2769" s="29">
        <f>H2769-G2769</f>
        <v/>
      </c>
      <c r="J2769" s="30">
        <f>IF(H2769=0,IF(I2769=0,0,1),I2769/ABS(H2769))</f>
        <v/>
      </c>
      <c r="K2769" s="29">
        <f>H2769-(Data_thang!O2769-Data_thang!K2769)</f>
        <v/>
      </c>
      <c r="L2769">
        <f>IF(AND(ABS(I2769)&gt;Dashboard!$G$6,ABS(J2769)&gt;Dashboard!$H$6),"⚠ Vượt","")</f>
        <v/>
      </c>
      <c r="M2769">
        <f>IF(AND(A2769=Dashboard!$D$6,OR(Dashboard!$C$6="*",F2769=Dashboard!$C$6),L2769&lt;&gt;""),ABS(I2769)+ROW()/1000000000,0)</f>
        <v/>
      </c>
    </row>
    <row r="2770">
      <c r="A2770">
        <f>Data_thang!A2770</f>
        <v/>
      </c>
      <c r="B2770">
        <f>Data_thang!B2770</f>
        <v/>
      </c>
      <c r="C2770">
        <f>Data_thang!D2770</f>
        <v/>
      </c>
      <c r="D2770">
        <f>Data_thang!E2770</f>
        <v/>
      </c>
      <c r="E2770">
        <f>Data_thang!F2770</f>
        <v/>
      </c>
      <c r="F2770">
        <f>Data_thang!G2770</f>
        <v/>
      </c>
      <c r="G2770" s="29">
        <f>Data_thang!J2770-Data_thang!K2770</f>
        <v/>
      </c>
      <c r="H2770" s="29">
        <f>Data_thang!N2770</f>
        <v/>
      </c>
      <c r="I2770" s="29">
        <f>H2770-G2770</f>
        <v/>
      </c>
      <c r="J2770" s="30">
        <f>IF(H2770=0,IF(I2770=0,0,1),I2770/ABS(H2770))</f>
        <v/>
      </c>
      <c r="K2770" s="29">
        <f>H2770-(Data_thang!O2770-Data_thang!K2770)</f>
        <v/>
      </c>
      <c r="L2770">
        <f>IF(AND(ABS(I2770)&gt;Dashboard!$G$6,ABS(J2770)&gt;Dashboard!$H$6),"⚠ Vượt","")</f>
        <v/>
      </c>
      <c r="M2770">
        <f>IF(AND(A2770=Dashboard!$D$6,OR(Dashboard!$C$6="*",F2770=Dashboard!$C$6),L2770&lt;&gt;""),ABS(I2770)+ROW()/1000000000,0)</f>
        <v/>
      </c>
    </row>
    <row r="2771">
      <c r="A2771">
        <f>Data_thang!A2771</f>
        <v/>
      </c>
      <c r="B2771">
        <f>Data_thang!B2771</f>
        <v/>
      </c>
      <c r="C2771">
        <f>Data_thang!D2771</f>
        <v/>
      </c>
      <c r="D2771">
        <f>Data_thang!E2771</f>
        <v/>
      </c>
      <c r="E2771">
        <f>Data_thang!F2771</f>
        <v/>
      </c>
      <c r="F2771">
        <f>Data_thang!G2771</f>
        <v/>
      </c>
      <c r="G2771" s="29">
        <f>Data_thang!J2771-Data_thang!K2771</f>
        <v/>
      </c>
      <c r="H2771" s="29">
        <f>Data_thang!N2771</f>
        <v/>
      </c>
      <c r="I2771" s="29">
        <f>H2771-G2771</f>
        <v/>
      </c>
      <c r="J2771" s="30">
        <f>IF(H2771=0,IF(I2771=0,0,1),I2771/ABS(H2771))</f>
        <v/>
      </c>
      <c r="K2771" s="29">
        <f>H2771-(Data_thang!O2771-Data_thang!K2771)</f>
        <v/>
      </c>
      <c r="L2771">
        <f>IF(AND(ABS(I2771)&gt;Dashboard!$G$6,ABS(J2771)&gt;Dashboard!$H$6),"⚠ Vượt","")</f>
        <v/>
      </c>
      <c r="M2771">
        <f>IF(AND(A2771=Dashboard!$D$6,OR(Dashboard!$C$6="*",F2771=Dashboard!$C$6),L2771&lt;&gt;""),ABS(I2771)+ROW()/1000000000,0)</f>
        <v/>
      </c>
    </row>
    <row r="2772">
      <c r="A2772">
        <f>Data_thang!A2772</f>
        <v/>
      </c>
      <c r="B2772">
        <f>Data_thang!B2772</f>
        <v/>
      </c>
      <c r="C2772">
        <f>Data_thang!D2772</f>
        <v/>
      </c>
      <c r="D2772">
        <f>Data_thang!E2772</f>
        <v/>
      </c>
      <c r="E2772">
        <f>Data_thang!F2772</f>
        <v/>
      </c>
      <c r="F2772">
        <f>Data_thang!G2772</f>
        <v/>
      </c>
      <c r="G2772" s="29">
        <f>Data_thang!J2772-Data_thang!K2772</f>
        <v/>
      </c>
      <c r="H2772" s="29">
        <f>Data_thang!N2772</f>
        <v/>
      </c>
      <c r="I2772" s="29">
        <f>H2772-G2772</f>
        <v/>
      </c>
      <c r="J2772" s="30">
        <f>IF(H2772=0,IF(I2772=0,0,1),I2772/ABS(H2772))</f>
        <v/>
      </c>
      <c r="K2772" s="29">
        <f>H2772-(Data_thang!O2772-Data_thang!K2772)</f>
        <v/>
      </c>
      <c r="L2772">
        <f>IF(AND(ABS(I2772)&gt;Dashboard!$G$6,ABS(J2772)&gt;Dashboard!$H$6),"⚠ Vượt","")</f>
        <v/>
      </c>
      <c r="M2772">
        <f>IF(AND(A2772=Dashboard!$D$6,OR(Dashboard!$C$6="*",F2772=Dashboard!$C$6),L2772&lt;&gt;""),ABS(I2772)+ROW()/1000000000,0)</f>
        <v/>
      </c>
    </row>
    <row r="2773">
      <c r="A2773">
        <f>Data_thang!A2773</f>
        <v/>
      </c>
      <c r="B2773">
        <f>Data_thang!B2773</f>
        <v/>
      </c>
      <c r="C2773">
        <f>Data_thang!D2773</f>
        <v/>
      </c>
      <c r="D2773">
        <f>Data_thang!E2773</f>
        <v/>
      </c>
      <c r="E2773">
        <f>Data_thang!F2773</f>
        <v/>
      </c>
      <c r="F2773">
        <f>Data_thang!G2773</f>
        <v/>
      </c>
      <c r="G2773" s="29">
        <f>Data_thang!J2773-Data_thang!K2773</f>
        <v/>
      </c>
      <c r="H2773" s="29">
        <f>Data_thang!N2773</f>
        <v/>
      </c>
      <c r="I2773" s="29">
        <f>H2773-G2773</f>
        <v/>
      </c>
      <c r="J2773" s="30">
        <f>IF(H2773=0,IF(I2773=0,0,1),I2773/ABS(H2773))</f>
        <v/>
      </c>
      <c r="K2773" s="29">
        <f>H2773-(Data_thang!O2773-Data_thang!K2773)</f>
        <v/>
      </c>
      <c r="L2773">
        <f>IF(AND(ABS(I2773)&gt;Dashboard!$G$6,ABS(J2773)&gt;Dashboard!$H$6),"⚠ Vượt","")</f>
        <v/>
      </c>
      <c r="M2773">
        <f>IF(AND(A2773=Dashboard!$D$6,OR(Dashboard!$C$6="*",F2773=Dashboard!$C$6),L2773&lt;&gt;""),ABS(I2773)+ROW()/1000000000,0)</f>
        <v/>
      </c>
    </row>
    <row r="2774">
      <c r="A2774">
        <f>Data_thang!A2774</f>
        <v/>
      </c>
      <c r="B2774">
        <f>Data_thang!B2774</f>
        <v/>
      </c>
      <c r="C2774">
        <f>Data_thang!D2774</f>
        <v/>
      </c>
      <c r="D2774">
        <f>Data_thang!E2774</f>
        <v/>
      </c>
      <c r="E2774">
        <f>Data_thang!F2774</f>
        <v/>
      </c>
      <c r="F2774">
        <f>Data_thang!G2774</f>
        <v/>
      </c>
      <c r="G2774" s="29">
        <f>Data_thang!J2774-Data_thang!K2774</f>
        <v/>
      </c>
      <c r="H2774" s="29">
        <f>Data_thang!N2774</f>
        <v/>
      </c>
      <c r="I2774" s="29">
        <f>H2774-G2774</f>
        <v/>
      </c>
      <c r="J2774" s="30">
        <f>IF(H2774=0,IF(I2774=0,0,1),I2774/ABS(H2774))</f>
        <v/>
      </c>
      <c r="K2774" s="29">
        <f>H2774-(Data_thang!O2774-Data_thang!K2774)</f>
        <v/>
      </c>
      <c r="L2774">
        <f>IF(AND(ABS(I2774)&gt;Dashboard!$G$6,ABS(J2774)&gt;Dashboard!$H$6),"⚠ Vượt","")</f>
        <v/>
      </c>
      <c r="M2774">
        <f>IF(AND(A2774=Dashboard!$D$6,OR(Dashboard!$C$6="*",F2774=Dashboard!$C$6),L2774&lt;&gt;""),ABS(I2774)+ROW()/1000000000,0)</f>
        <v/>
      </c>
    </row>
    <row r="2775">
      <c r="A2775">
        <f>Data_thang!A2775</f>
        <v/>
      </c>
      <c r="B2775">
        <f>Data_thang!B2775</f>
        <v/>
      </c>
      <c r="C2775">
        <f>Data_thang!D2775</f>
        <v/>
      </c>
      <c r="D2775">
        <f>Data_thang!E2775</f>
        <v/>
      </c>
      <c r="E2775">
        <f>Data_thang!F2775</f>
        <v/>
      </c>
      <c r="F2775">
        <f>Data_thang!G2775</f>
        <v/>
      </c>
      <c r="G2775" s="29">
        <f>Data_thang!J2775-Data_thang!K2775</f>
        <v/>
      </c>
      <c r="H2775" s="29">
        <f>Data_thang!N2775</f>
        <v/>
      </c>
      <c r="I2775" s="29">
        <f>H2775-G2775</f>
        <v/>
      </c>
      <c r="J2775" s="30">
        <f>IF(H2775=0,IF(I2775=0,0,1),I2775/ABS(H2775))</f>
        <v/>
      </c>
      <c r="K2775" s="29">
        <f>H2775-(Data_thang!O2775-Data_thang!K2775)</f>
        <v/>
      </c>
      <c r="L2775">
        <f>IF(AND(ABS(I2775)&gt;Dashboard!$G$6,ABS(J2775)&gt;Dashboard!$H$6),"⚠ Vượt","")</f>
        <v/>
      </c>
      <c r="M2775">
        <f>IF(AND(A2775=Dashboard!$D$6,OR(Dashboard!$C$6="*",F2775=Dashboard!$C$6),L2775&lt;&gt;""),ABS(I2775)+ROW()/1000000000,0)</f>
        <v/>
      </c>
    </row>
    <row r="2776">
      <c r="A2776">
        <f>Data_thang!A2776</f>
        <v/>
      </c>
      <c r="B2776">
        <f>Data_thang!B2776</f>
        <v/>
      </c>
      <c r="C2776">
        <f>Data_thang!D2776</f>
        <v/>
      </c>
      <c r="D2776">
        <f>Data_thang!E2776</f>
        <v/>
      </c>
      <c r="E2776">
        <f>Data_thang!F2776</f>
        <v/>
      </c>
      <c r="F2776">
        <f>Data_thang!G2776</f>
        <v/>
      </c>
      <c r="G2776" s="29">
        <f>Data_thang!J2776-Data_thang!K2776</f>
        <v/>
      </c>
      <c r="H2776" s="29">
        <f>Data_thang!N2776</f>
        <v/>
      </c>
      <c r="I2776" s="29">
        <f>H2776-G2776</f>
        <v/>
      </c>
      <c r="J2776" s="30">
        <f>IF(H2776=0,IF(I2776=0,0,1),I2776/ABS(H2776))</f>
        <v/>
      </c>
      <c r="K2776" s="29">
        <f>H2776-(Data_thang!O2776-Data_thang!K2776)</f>
        <v/>
      </c>
      <c r="L2776">
        <f>IF(AND(ABS(I2776)&gt;Dashboard!$G$6,ABS(J2776)&gt;Dashboard!$H$6),"⚠ Vượt","")</f>
        <v/>
      </c>
      <c r="M2776">
        <f>IF(AND(A2776=Dashboard!$D$6,OR(Dashboard!$C$6="*",F2776=Dashboard!$C$6),L2776&lt;&gt;""),ABS(I2776)+ROW()/1000000000,0)</f>
        <v/>
      </c>
    </row>
    <row r="2777">
      <c r="A2777">
        <f>Data_thang!A2777</f>
        <v/>
      </c>
      <c r="B2777">
        <f>Data_thang!B2777</f>
        <v/>
      </c>
      <c r="C2777">
        <f>Data_thang!D2777</f>
        <v/>
      </c>
      <c r="D2777">
        <f>Data_thang!E2777</f>
        <v/>
      </c>
      <c r="E2777">
        <f>Data_thang!F2777</f>
        <v/>
      </c>
      <c r="F2777">
        <f>Data_thang!G2777</f>
        <v/>
      </c>
      <c r="G2777" s="29">
        <f>Data_thang!J2777-Data_thang!K2777</f>
        <v/>
      </c>
      <c r="H2777" s="29">
        <f>Data_thang!N2777</f>
        <v/>
      </c>
      <c r="I2777" s="29">
        <f>H2777-G2777</f>
        <v/>
      </c>
      <c r="J2777" s="30">
        <f>IF(H2777=0,IF(I2777=0,0,1),I2777/ABS(H2777))</f>
        <v/>
      </c>
      <c r="K2777" s="29">
        <f>H2777-(Data_thang!O2777-Data_thang!K2777)</f>
        <v/>
      </c>
      <c r="L2777">
        <f>IF(AND(ABS(I2777)&gt;Dashboard!$G$6,ABS(J2777)&gt;Dashboard!$H$6),"⚠ Vượt","")</f>
        <v/>
      </c>
      <c r="M2777">
        <f>IF(AND(A2777=Dashboard!$D$6,OR(Dashboard!$C$6="*",F2777=Dashboard!$C$6),L2777&lt;&gt;""),ABS(I2777)+ROW()/1000000000,0)</f>
        <v/>
      </c>
    </row>
    <row r="2778">
      <c r="A2778">
        <f>Data_thang!A2778</f>
        <v/>
      </c>
      <c r="B2778">
        <f>Data_thang!B2778</f>
        <v/>
      </c>
      <c r="C2778">
        <f>Data_thang!D2778</f>
        <v/>
      </c>
      <c r="D2778">
        <f>Data_thang!E2778</f>
        <v/>
      </c>
      <c r="E2778">
        <f>Data_thang!F2778</f>
        <v/>
      </c>
      <c r="F2778">
        <f>Data_thang!G2778</f>
        <v/>
      </c>
      <c r="G2778" s="29">
        <f>Data_thang!J2778-Data_thang!K2778</f>
        <v/>
      </c>
      <c r="H2778" s="29">
        <f>Data_thang!N2778</f>
        <v/>
      </c>
      <c r="I2778" s="29">
        <f>H2778-G2778</f>
        <v/>
      </c>
      <c r="J2778" s="30">
        <f>IF(H2778=0,IF(I2778=0,0,1),I2778/ABS(H2778))</f>
        <v/>
      </c>
      <c r="K2778" s="29">
        <f>H2778-(Data_thang!O2778-Data_thang!K2778)</f>
        <v/>
      </c>
      <c r="L2778">
        <f>IF(AND(ABS(I2778)&gt;Dashboard!$G$6,ABS(J2778)&gt;Dashboard!$H$6),"⚠ Vượt","")</f>
        <v/>
      </c>
      <c r="M2778">
        <f>IF(AND(A2778=Dashboard!$D$6,OR(Dashboard!$C$6="*",F2778=Dashboard!$C$6),L2778&lt;&gt;""),ABS(I2778)+ROW()/1000000000,0)</f>
        <v/>
      </c>
    </row>
    <row r="2779">
      <c r="A2779">
        <f>Data_thang!A2779</f>
        <v/>
      </c>
      <c r="B2779">
        <f>Data_thang!B2779</f>
        <v/>
      </c>
      <c r="C2779">
        <f>Data_thang!D2779</f>
        <v/>
      </c>
      <c r="D2779">
        <f>Data_thang!E2779</f>
        <v/>
      </c>
      <c r="E2779">
        <f>Data_thang!F2779</f>
        <v/>
      </c>
      <c r="F2779">
        <f>Data_thang!G2779</f>
        <v/>
      </c>
      <c r="G2779" s="29">
        <f>Data_thang!J2779-Data_thang!K2779</f>
        <v/>
      </c>
      <c r="H2779" s="29">
        <f>Data_thang!N2779</f>
        <v/>
      </c>
      <c r="I2779" s="29">
        <f>H2779-G2779</f>
        <v/>
      </c>
      <c r="J2779" s="30">
        <f>IF(H2779=0,IF(I2779=0,0,1),I2779/ABS(H2779))</f>
        <v/>
      </c>
      <c r="K2779" s="29">
        <f>H2779-(Data_thang!O2779-Data_thang!K2779)</f>
        <v/>
      </c>
      <c r="L2779">
        <f>IF(AND(ABS(I2779)&gt;Dashboard!$G$6,ABS(J2779)&gt;Dashboard!$H$6),"⚠ Vượt","")</f>
        <v/>
      </c>
      <c r="M2779">
        <f>IF(AND(A2779=Dashboard!$D$6,OR(Dashboard!$C$6="*",F2779=Dashboard!$C$6),L2779&lt;&gt;""),ABS(I2779)+ROW()/1000000000,0)</f>
        <v/>
      </c>
    </row>
    <row r="2780">
      <c r="A2780">
        <f>Data_thang!A2780</f>
        <v/>
      </c>
      <c r="B2780">
        <f>Data_thang!B2780</f>
        <v/>
      </c>
      <c r="C2780">
        <f>Data_thang!D2780</f>
        <v/>
      </c>
      <c r="D2780">
        <f>Data_thang!E2780</f>
        <v/>
      </c>
      <c r="E2780">
        <f>Data_thang!F2780</f>
        <v/>
      </c>
      <c r="F2780">
        <f>Data_thang!G2780</f>
        <v/>
      </c>
      <c r="G2780" s="29">
        <f>Data_thang!J2780-Data_thang!K2780</f>
        <v/>
      </c>
      <c r="H2780" s="29">
        <f>Data_thang!N2780</f>
        <v/>
      </c>
      <c r="I2780" s="29">
        <f>H2780-G2780</f>
        <v/>
      </c>
      <c r="J2780" s="30">
        <f>IF(H2780=0,IF(I2780=0,0,1),I2780/ABS(H2780))</f>
        <v/>
      </c>
      <c r="K2780" s="29">
        <f>H2780-(Data_thang!O2780-Data_thang!K2780)</f>
        <v/>
      </c>
      <c r="L2780">
        <f>IF(AND(ABS(I2780)&gt;Dashboard!$G$6,ABS(J2780)&gt;Dashboard!$H$6),"⚠ Vượt","")</f>
        <v/>
      </c>
      <c r="M2780">
        <f>IF(AND(A2780=Dashboard!$D$6,OR(Dashboard!$C$6="*",F2780=Dashboard!$C$6),L2780&lt;&gt;""),ABS(I2780)+ROW()/1000000000,0)</f>
        <v/>
      </c>
    </row>
    <row r="2781">
      <c r="A2781">
        <f>Data_thang!A2781</f>
        <v/>
      </c>
      <c r="B2781">
        <f>Data_thang!B2781</f>
        <v/>
      </c>
      <c r="C2781">
        <f>Data_thang!D2781</f>
        <v/>
      </c>
      <c r="D2781">
        <f>Data_thang!E2781</f>
        <v/>
      </c>
      <c r="E2781">
        <f>Data_thang!F2781</f>
        <v/>
      </c>
      <c r="F2781">
        <f>Data_thang!G2781</f>
        <v/>
      </c>
      <c r="G2781" s="29">
        <f>Data_thang!J2781-Data_thang!K2781</f>
        <v/>
      </c>
      <c r="H2781" s="29">
        <f>Data_thang!N2781</f>
        <v/>
      </c>
      <c r="I2781" s="29">
        <f>H2781-G2781</f>
        <v/>
      </c>
      <c r="J2781" s="30">
        <f>IF(H2781=0,IF(I2781=0,0,1),I2781/ABS(H2781))</f>
        <v/>
      </c>
      <c r="K2781" s="29">
        <f>H2781-(Data_thang!O2781-Data_thang!K2781)</f>
        <v/>
      </c>
      <c r="L2781">
        <f>IF(AND(ABS(I2781)&gt;Dashboard!$G$6,ABS(J2781)&gt;Dashboard!$H$6),"⚠ Vượt","")</f>
        <v/>
      </c>
      <c r="M2781">
        <f>IF(AND(A2781=Dashboard!$D$6,OR(Dashboard!$C$6="*",F2781=Dashboard!$C$6),L2781&lt;&gt;""),ABS(I2781)+ROW()/1000000000,0)</f>
        <v/>
      </c>
    </row>
    <row r="2782">
      <c r="A2782">
        <f>Data_thang!A2782</f>
        <v/>
      </c>
      <c r="B2782">
        <f>Data_thang!B2782</f>
        <v/>
      </c>
      <c r="C2782">
        <f>Data_thang!D2782</f>
        <v/>
      </c>
      <c r="D2782">
        <f>Data_thang!E2782</f>
        <v/>
      </c>
      <c r="E2782">
        <f>Data_thang!F2782</f>
        <v/>
      </c>
      <c r="F2782">
        <f>Data_thang!G2782</f>
        <v/>
      </c>
      <c r="G2782" s="29">
        <f>Data_thang!J2782-Data_thang!K2782</f>
        <v/>
      </c>
      <c r="H2782" s="29">
        <f>Data_thang!N2782</f>
        <v/>
      </c>
      <c r="I2782" s="29">
        <f>H2782-G2782</f>
        <v/>
      </c>
      <c r="J2782" s="30">
        <f>IF(H2782=0,IF(I2782=0,0,1),I2782/ABS(H2782))</f>
        <v/>
      </c>
      <c r="K2782" s="29">
        <f>H2782-(Data_thang!O2782-Data_thang!K2782)</f>
        <v/>
      </c>
      <c r="L2782">
        <f>IF(AND(ABS(I2782)&gt;Dashboard!$G$6,ABS(J2782)&gt;Dashboard!$H$6),"⚠ Vượt","")</f>
        <v/>
      </c>
      <c r="M2782">
        <f>IF(AND(A2782=Dashboard!$D$6,OR(Dashboard!$C$6="*",F2782=Dashboard!$C$6),L2782&lt;&gt;""),ABS(I2782)+ROW()/1000000000,0)</f>
        <v/>
      </c>
    </row>
    <row r="2783">
      <c r="A2783">
        <f>Data_thang!A2783</f>
        <v/>
      </c>
      <c r="B2783">
        <f>Data_thang!B2783</f>
        <v/>
      </c>
      <c r="C2783">
        <f>Data_thang!D2783</f>
        <v/>
      </c>
      <c r="D2783">
        <f>Data_thang!E2783</f>
        <v/>
      </c>
      <c r="E2783">
        <f>Data_thang!F2783</f>
        <v/>
      </c>
      <c r="F2783">
        <f>Data_thang!G2783</f>
        <v/>
      </c>
      <c r="G2783" s="29">
        <f>Data_thang!J2783-Data_thang!K2783</f>
        <v/>
      </c>
      <c r="H2783" s="29">
        <f>Data_thang!N2783</f>
        <v/>
      </c>
      <c r="I2783" s="29">
        <f>H2783-G2783</f>
        <v/>
      </c>
      <c r="J2783" s="30">
        <f>IF(H2783=0,IF(I2783=0,0,1),I2783/ABS(H2783))</f>
        <v/>
      </c>
      <c r="K2783" s="29">
        <f>H2783-(Data_thang!O2783-Data_thang!K2783)</f>
        <v/>
      </c>
      <c r="L2783">
        <f>IF(AND(ABS(I2783)&gt;Dashboard!$G$6,ABS(J2783)&gt;Dashboard!$H$6),"⚠ Vượt","")</f>
        <v/>
      </c>
      <c r="M2783">
        <f>IF(AND(A2783=Dashboard!$D$6,OR(Dashboard!$C$6="*",F2783=Dashboard!$C$6),L2783&lt;&gt;""),ABS(I2783)+ROW()/1000000000,0)</f>
        <v/>
      </c>
    </row>
    <row r="2784">
      <c r="A2784">
        <f>Data_thang!A2784</f>
        <v/>
      </c>
      <c r="B2784">
        <f>Data_thang!B2784</f>
        <v/>
      </c>
      <c r="C2784">
        <f>Data_thang!D2784</f>
        <v/>
      </c>
      <c r="D2784">
        <f>Data_thang!E2784</f>
        <v/>
      </c>
      <c r="E2784">
        <f>Data_thang!F2784</f>
        <v/>
      </c>
      <c r="F2784">
        <f>Data_thang!G2784</f>
        <v/>
      </c>
      <c r="G2784" s="29">
        <f>Data_thang!J2784-Data_thang!K2784</f>
        <v/>
      </c>
      <c r="H2784" s="29">
        <f>Data_thang!N2784</f>
        <v/>
      </c>
      <c r="I2784" s="29">
        <f>H2784-G2784</f>
        <v/>
      </c>
      <c r="J2784" s="30">
        <f>IF(H2784=0,IF(I2784=0,0,1),I2784/ABS(H2784))</f>
        <v/>
      </c>
      <c r="K2784" s="29">
        <f>H2784-(Data_thang!O2784-Data_thang!K2784)</f>
        <v/>
      </c>
      <c r="L2784">
        <f>IF(AND(ABS(I2784)&gt;Dashboard!$G$6,ABS(J2784)&gt;Dashboard!$H$6),"⚠ Vượt","")</f>
        <v/>
      </c>
      <c r="M2784">
        <f>IF(AND(A2784=Dashboard!$D$6,OR(Dashboard!$C$6="*",F2784=Dashboard!$C$6),L2784&lt;&gt;""),ABS(I2784)+ROW()/1000000000,0)</f>
        <v/>
      </c>
    </row>
    <row r="2785">
      <c r="A2785">
        <f>Data_thang!A2785</f>
        <v/>
      </c>
      <c r="B2785">
        <f>Data_thang!B2785</f>
        <v/>
      </c>
      <c r="C2785">
        <f>Data_thang!D2785</f>
        <v/>
      </c>
      <c r="D2785">
        <f>Data_thang!E2785</f>
        <v/>
      </c>
      <c r="E2785">
        <f>Data_thang!F2785</f>
        <v/>
      </c>
      <c r="F2785">
        <f>Data_thang!G2785</f>
        <v/>
      </c>
      <c r="G2785" s="29">
        <f>Data_thang!J2785-Data_thang!K2785</f>
        <v/>
      </c>
      <c r="H2785" s="29">
        <f>Data_thang!N2785</f>
        <v/>
      </c>
      <c r="I2785" s="29">
        <f>H2785-G2785</f>
        <v/>
      </c>
      <c r="J2785" s="30">
        <f>IF(H2785=0,IF(I2785=0,0,1),I2785/ABS(H2785))</f>
        <v/>
      </c>
      <c r="K2785" s="29">
        <f>H2785-(Data_thang!O2785-Data_thang!K2785)</f>
        <v/>
      </c>
      <c r="L2785">
        <f>IF(AND(ABS(I2785)&gt;Dashboard!$G$6,ABS(J2785)&gt;Dashboard!$H$6),"⚠ Vượt","")</f>
        <v/>
      </c>
      <c r="M2785">
        <f>IF(AND(A2785=Dashboard!$D$6,OR(Dashboard!$C$6="*",F2785=Dashboard!$C$6),L2785&lt;&gt;""),ABS(I2785)+ROW()/1000000000,0)</f>
        <v/>
      </c>
    </row>
    <row r="2786">
      <c r="A2786">
        <f>Data_thang!A2786</f>
        <v/>
      </c>
      <c r="B2786">
        <f>Data_thang!B2786</f>
        <v/>
      </c>
      <c r="C2786">
        <f>Data_thang!D2786</f>
        <v/>
      </c>
      <c r="D2786">
        <f>Data_thang!E2786</f>
        <v/>
      </c>
      <c r="E2786">
        <f>Data_thang!F2786</f>
        <v/>
      </c>
      <c r="F2786">
        <f>Data_thang!G2786</f>
        <v/>
      </c>
      <c r="G2786" s="29">
        <f>Data_thang!J2786-Data_thang!K2786</f>
        <v/>
      </c>
      <c r="H2786" s="29">
        <f>Data_thang!N2786</f>
        <v/>
      </c>
      <c r="I2786" s="29">
        <f>H2786-G2786</f>
        <v/>
      </c>
      <c r="J2786" s="30">
        <f>IF(H2786=0,IF(I2786=0,0,1),I2786/ABS(H2786))</f>
        <v/>
      </c>
      <c r="K2786" s="29">
        <f>H2786-(Data_thang!O2786-Data_thang!K2786)</f>
        <v/>
      </c>
      <c r="L2786">
        <f>IF(AND(ABS(I2786)&gt;Dashboard!$G$6,ABS(J2786)&gt;Dashboard!$H$6),"⚠ Vượt","")</f>
        <v/>
      </c>
      <c r="M2786">
        <f>IF(AND(A2786=Dashboard!$D$6,OR(Dashboard!$C$6="*",F2786=Dashboard!$C$6),L2786&lt;&gt;""),ABS(I2786)+ROW()/1000000000,0)</f>
        <v/>
      </c>
    </row>
    <row r="2787">
      <c r="A2787">
        <f>Data_thang!A2787</f>
        <v/>
      </c>
      <c r="B2787">
        <f>Data_thang!B2787</f>
        <v/>
      </c>
      <c r="C2787">
        <f>Data_thang!D2787</f>
        <v/>
      </c>
      <c r="D2787">
        <f>Data_thang!E2787</f>
        <v/>
      </c>
      <c r="E2787">
        <f>Data_thang!F2787</f>
        <v/>
      </c>
      <c r="F2787">
        <f>Data_thang!G2787</f>
        <v/>
      </c>
      <c r="G2787" s="29">
        <f>Data_thang!J2787-Data_thang!K2787</f>
        <v/>
      </c>
      <c r="H2787" s="29">
        <f>Data_thang!N2787</f>
        <v/>
      </c>
      <c r="I2787" s="29">
        <f>H2787-G2787</f>
        <v/>
      </c>
      <c r="J2787" s="30">
        <f>IF(H2787=0,IF(I2787=0,0,1),I2787/ABS(H2787))</f>
        <v/>
      </c>
      <c r="K2787" s="29">
        <f>H2787-(Data_thang!O2787-Data_thang!K2787)</f>
        <v/>
      </c>
      <c r="L2787">
        <f>IF(AND(ABS(I2787)&gt;Dashboard!$G$6,ABS(J2787)&gt;Dashboard!$H$6),"⚠ Vượt","")</f>
        <v/>
      </c>
      <c r="M2787">
        <f>IF(AND(A2787=Dashboard!$D$6,OR(Dashboard!$C$6="*",F2787=Dashboard!$C$6),L2787&lt;&gt;""),ABS(I2787)+ROW()/1000000000,0)</f>
        <v/>
      </c>
    </row>
    <row r="2788">
      <c r="A2788">
        <f>Data_thang!A2788</f>
        <v/>
      </c>
      <c r="B2788">
        <f>Data_thang!B2788</f>
        <v/>
      </c>
      <c r="C2788">
        <f>Data_thang!D2788</f>
        <v/>
      </c>
      <c r="D2788">
        <f>Data_thang!E2788</f>
        <v/>
      </c>
      <c r="E2788">
        <f>Data_thang!F2788</f>
        <v/>
      </c>
      <c r="F2788">
        <f>Data_thang!G2788</f>
        <v/>
      </c>
      <c r="G2788" s="29">
        <f>Data_thang!J2788-Data_thang!K2788</f>
        <v/>
      </c>
      <c r="H2788" s="29">
        <f>Data_thang!N2788</f>
        <v/>
      </c>
      <c r="I2788" s="29">
        <f>H2788-G2788</f>
        <v/>
      </c>
      <c r="J2788" s="30">
        <f>IF(H2788=0,IF(I2788=0,0,1),I2788/ABS(H2788))</f>
        <v/>
      </c>
      <c r="K2788" s="29">
        <f>H2788-(Data_thang!O2788-Data_thang!K2788)</f>
        <v/>
      </c>
      <c r="L2788">
        <f>IF(AND(ABS(I2788)&gt;Dashboard!$G$6,ABS(J2788)&gt;Dashboard!$H$6),"⚠ Vượt","")</f>
        <v/>
      </c>
      <c r="M2788">
        <f>IF(AND(A2788=Dashboard!$D$6,OR(Dashboard!$C$6="*",F2788=Dashboard!$C$6),L2788&lt;&gt;""),ABS(I2788)+ROW()/1000000000,0)</f>
        <v/>
      </c>
    </row>
    <row r="2789">
      <c r="A2789">
        <f>Data_thang!A2789</f>
        <v/>
      </c>
      <c r="B2789">
        <f>Data_thang!B2789</f>
        <v/>
      </c>
      <c r="C2789">
        <f>Data_thang!D2789</f>
        <v/>
      </c>
      <c r="D2789">
        <f>Data_thang!E2789</f>
        <v/>
      </c>
      <c r="E2789">
        <f>Data_thang!F2789</f>
        <v/>
      </c>
      <c r="F2789">
        <f>Data_thang!G2789</f>
        <v/>
      </c>
      <c r="G2789" s="29">
        <f>Data_thang!J2789-Data_thang!K2789</f>
        <v/>
      </c>
      <c r="H2789" s="29">
        <f>Data_thang!N2789</f>
        <v/>
      </c>
      <c r="I2789" s="29">
        <f>H2789-G2789</f>
        <v/>
      </c>
      <c r="J2789" s="30">
        <f>IF(H2789=0,IF(I2789=0,0,1),I2789/ABS(H2789))</f>
        <v/>
      </c>
      <c r="K2789" s="29">
        <f>H2789-(Data_thang!O2789-Data_thang!K2789)</f>
        <v/>
      </c>
      <c r="L2789">
        <f>IF(AND(ABS(I2789)&gt;Dashboard!$G$6,ABS(J2789)&gt;Dashboard!$H$6),"⚠ Vượt","")</f>
        <v/>
      </c>
      <c r="M2789">
        <f>IF(AND(A2789=Dashboard!$D$6,OR(Dashboard!$C$6="*",F2789=Dashboard!$C$6),L2789&lt;&gt;""),ABS(I2789)+ROW()/1000000000,0)</f>
        <v/>
      </c>
    </row>
    <row r="2790">
      <c r="A2790">
        <f>Data_thang!A2790</f>
        <v/>
      </c>
      <c r="B2790">
        <f>Data_thang!B2790</f>
        <v/>
      </c>
      <c r="C2790">
        <f>Data_thang!D2790</f>
        <v/>
      </c>
      <c r="D2790">
        <f>Data_thang!E2790</f>
        <v/>
      </c>
      <c r="E2790">
        <f>Data_thang!F2790</f>
        <v/>
      </c>
      <c r="F2790">
        <f>Data_thang!G2790</f>
        <v/>
      </c>
      <c r="G2790" s="29">
        <f>Data_thang!J2790-Data_thang!K2790</f>
        <v/>
      </c>
      <c r="H2790" s="29">
        <f>Data_thang!N2790</f>
        <v/>
      </c>
      <c r="I2790" s="29">
        <f>H2790-G2790</f>
        <v/>
      </c>
      <c r="J2790" s="30">
        <f>IF(H2790=0,IF(I2790=0,0,1),I2790/ABS(H2790))</f>
        <v/>
      </c>
      <c r="K2790" s="29">
        <f>H2790-(Data_thang!O2790-Data_thang!K2790)</f>
        <v/>
      </c>
      <c r="L2790">
        <f>IF(AND(ABS(I2790)&gt;Dashboard!$G$6,ABS(J2790)&gt;Dashboard!$H$6),"⚠ Vượt","")</f>
        <v/>
      </c>
      <c r="M2790">
        <f>IF(AND(A2790=Dashboard!$D$6,OR(Dashboard!$C$6="*",F2790=Dashboard!$C$6),L2790&lt;&gt;""),ABS(I2790)+ROW()/1000000000,0)</f>
        <v/>
      </c>
    </row>
    <row r="2791">
      <c r="A2791">
        <f>Data_thang!A2791</f>
        <v/>
      </c>
      <c r="B2791">
        <f>Data_thang!B2791</f>
        <v/>
      </c>
      <c r="C2791">
        <f>Data_thang!D2791</f>
        <v/>
      </c>
      <c r="D2791">
        <f>Data_thang!E2791</f>
        <v/>
      </c>
      <c r="E2791">
        <f>Data_thang!F2791</f>
        <v/>
      </c>
      <c r="F2791">
        <f>Data_thang!G2791</f>
        <v/>
      </c>
      <c r="G2791" s="29">
        <f>Data_thang!J2791-Data_thang!K2791</f>
        <v/>
      </c>
      <c r="H2791" s="29">
        <f>Data_thang!N2791</f>
        <v/>
      </c>
      <c r="I2791" s="29">
        <f>H2791-G2791</f>
        <v/>
      </c>
      <c r="J2791" s="30">
        <f>IF(H2791=0,IF(I2791=0,0,1),I2791/ABS(H2791))</f>
        <v/>
      </c>
      <c r="K2791" s="29">
        <f>H2791-(Data_thang!O2791-Data_thang!K2791)</f>
        <v/>
      </c>
      <c r="L2791">
        <f>IF(AND(ABS(I2791)&gt;Dashboard!$G$6,ABS(J2791)&gt;Dashboard!$H$6),"⚠ Vượt","")</f>
        <v/>
      </c>
      <c r="M2791">
        <f>IF(AND(A2791=Dashboard!$D$6,OR(Dashboard!$C$6="*",F2791=Dashboard!$C$6),L2791&lt;&gt;""),ABS(I2791)+ROW()/1000000000,0)</f>
        <v/>
      </c>
    </row>
    <row r="2792">
      <c r="A2792">
        <f>Data_thang!A2792</f>
        <v/>
      </c>
      <c r="B2792">
        <f>Data_thang!B2792</f>
        <v/>
      </c>
      <c r="C2792">
        <f>Data_thang!D2792</f>
        <v/>
      </c>
      <c r="D2792">
        <f>Data_thang!E2792</f>
        <v/>
      </c>
      <c r="E2792">
        <f>Data_thang!F2792</f>
        <v/>
      </c>
      <c r="F2792">
        <f>Data_thang!G2792</f>
        <v/>
      </c>
      <c r="G2792" s="29">
        <f>Data_thang!J2792-Data_thang!K2792</f>
        <v/>
      </c>
      <c r="H2792" s="29">
        <f>Data_thang!N2792</f>
        <v/>
      </c>
      <c r="I2792" s="29">
        <f>H2792-G2792</f>
        <v/>
      </c>
      <c r="J2792" s="30">
        <f>IF(H2792=0,IF(I2792=0,0,1),I2792/ABS(H2792))</f>
        <v/>
      </c>
      <c r="K2792" s="29">
        <f>H2792-(Data_thang!O2792-Data_thang!K2792)</f>
        <v/>
      </c>
      <c r="L2792">
        <f>IF(AND(ABS(I2792)&gt;Dashboard!$G$6,ABS(J2792)&gt;Dashboard!$H$6),"⚠ Vượt","")</f>
        <v/>
      </c>
      <c r="M2792">
        <f>IF(AND(A2792=Dashboard!$D$6,OR(Dashboard!$C$6="*",F2792=Dashboard!$C$6),L2792&lt;&gt;""),ABS(I2792)+ROW()/1000000000,0)</f>
        <v/>
      </c>
    </row>
    <row r="2793">
      <c r="A2793">
        <f>Data_thang!A2793</f>
        <v/>
      </c>
      <c r="B2793">
        <f>Data_thang!B2793</f>
        <v/>
      </c>
      <c r="C2793">
        <f>Data_thang!D2793</f>
        <v/>
      </c>
      <c r="D2793">
        <f>Data_thang!E2793</f>
        <v/>
      </c>
      <c r="E2793">
        <f>Data_thang!F2793</f>
        <v/>
      </c>
      <c r="F2793">
        <f>Data_thang!G2793</f>
        <v/>
      </c>
      <c r="G2793" s="29">
        <f>Data_thang!J2793-Data_thang!K2793</f>
        <v/>
      </c>
      <c r="H2793" s="29">
        <f>Data_thang!N2793</f>
        <v/>
      </c>
      <c r="I2793" s="29">
        <f>H2793-G2793</f>
        <v/>
      </c>
      <c r="J2793" s="30">
        <f>IF(H2793=0,IF(I2793=0,0,1),I2793/ABS(H2793))</f>
        <v/>
      </c>
      <c r="K2793" s="29">
        <f>H2793-(Data_thang!O2793-Data_thang!K2793)</f>
        <v/>
      </c>
      <c r="L2793">
        <f>IF(AND(ABS(I2793)&gt;Dashboard!$G$6,ABS(J2793)&gt;Dashboard!$H$6),"⚠ Vượt","")</f>
        <v/>
      </c>
      <c r="M2793">
        <f>IF(AND(A2793=Dashboard!$D$6,OR(Dashboard!$C$6="*",F2793=Dashboard!$C$6),L2793&lt;&gt;""),ABS(I2793)+ROW()/1000000000,0)</f>
        <v/>
      </c>
    </row>
    <row r="2794">
      <c r="A2794">
        <f>Data_thang!A2794</f>
        <v/>
      </c>
      <c r="B2794">
        <f>Data_thang!B2794</f>
        <v/>
      </c>
      <c r="C2794">
        <f>Data_thang!D2794</f>
        <v/>
      </c>
      <c r="D2794">
        <f>Data_thang!E2794</f>
        <v/>
      </c>
      <c r="E2794">
        <f>Data_thang!F2794</f>
        <v/>
      </c>
      <c r="F2794">
        <f>Data_thang!G2794</f>
        <v/>
      </c>
      <c r="G2794" s="29">
        <f>Data_thang!J2794-Data_thang!K2794</f>
        <v/>
      </c>
      <c r="H2794" s="29">
        <f>Data_thang!N2794</f>
        <v/>
      </c>
      <c r="I2794" s="29">
        <f>H2794-G2794</f>
        <v/>
      </c>
      <c r="J2794" s="30">
        <f>IF(H2794=0,IF(I2794=0,0,1),I2794/ABS(H2794))</f>
        <v/>
      </c>
      <c r="K2794" s="29">
        <f>H2794-(Data_thang!O2794-Data_thang!K2794)</f>
        <v/>
      </c>
      <c r="L2794">
        <f>IF(AND(ABS(I2794)&gt;Dashboard!$G$6,ABS(J2794)&gt;Dashboard!$H$6),"⚠ Vượt","")</f>
        <v/>
      </c>
      <c r="M2794">
        <f>IF(AND(A2794=Dashboard!$D$6,OR(Dashboard!$C$6="*",F2794=Dashboard!$C$6),L2794&lt;&gt;""),ABS(I2794)+ROW()/1000000000,0)</f>
        <v/>
      </c>
    </row>
    <row r="2795">
      <c r="A2795">
        <f>Data_thang!A2795</f>
        <v/>
      </c>
      <c r="B2795">
        <f>Data_thang!B2795</f>
        <v/>
      </c>
      <c r="C2795">
        <f>Data_thang!D2795</f>
        <v/>
      </c>
      <c r="D2795">
        <f>Data_thang!E2795</f>
        <v/>
      </c>
      <c r="E2795">
        <f>Data_thang!F2795</f>
        <v/>
      </c>
      <c r="F2795">
        <f>Data_thang!G2795</f>
        <v/>
      </c>
      <c r="G2795" s="29">
        <f>Data_thang!J2795-Data_thang!K2795</f>
        <v/>
      </c>
      <c r="H2795" s="29">
        <f>Data_thang!N2795</f>
        <v/>
      </c>
      <c r="I2795" s="29">
        <f>H2795-G2795</f>
        <v/>
      </c>
      <c r="J2795" s="30">
        <f>IF(H2795=0,IF(I2795=0,0,1),I2795/ABS(H2795))</f>
        <v/>
      </c>
      <c r="K2795" s="29">
        <f>H2795-(Data_thang!O2795-Data_thang!K2795)</f>
        <v/>
      </c>
      <c r="L2795">
        <f>IF(AND(ABS(I2795)&gt;Dashboard!$G$6,ABS(J2795)&gt;Dashboard!$H$6),"⚠ Vượt","")</f>
        <v/>
      </c>
      <c r="M2795">
        <f>IF(AND(A2795=Dashboard!$D$6,OR(Dashboard!$C$6="*",F2795=Dashboard!$C$6),L2795&lt;&gt;""),ABS(I2795)+ROW()/1000000000,0)</f>
        <v/>
      </c>
    </row>
    <row r="2796">
      <c r="A2796">
        <f>Data_thang!A2796</f>
        <v/>
      </c>
      <c r="B2796">
        <f>Data_thang!B2796</f>
        <v/>
      </c>
      <c r="C2796">
        <f>Data_thang!D2796</f>
        <v/>
      </c>
      <c r="D2796">
        <f>Data_thang!E2796</f>
        <v/>
      </c>
      <c r="E2796">
        <f>Data_thang!F2796</f>
        <v/>
      </c>
      <c r="F2796">
        <f>Data_thang!G2796</f>
        <v/>
      </c>
      <c r="G2796" s="29">
        <f>Data_thang!J2796-Data_thang!K2796</f>
        <v/>
      </c>
      <c r="H2796" s="29">
        <f>Data_thang!N2796</f>
        <v/>
      </c>
      <c r="I2796" s="29">
        <f>H2796-G2796</f>
        <v/>
      </c>
      <c r="J2796" s="30">
        <f>IF(H2796=0,IF(I2796=0,0,1),I2796/ABS(H2796))</f>
        <v/>
      </c>
      <c r="K2796" s="29">
        <f>H2796-(Data_thang!O2796-Data_thang!K2796)</f>
        <v/>
      </c>
      <c r="L2796">
        <f>IF(AND(ABS(I2796)&gt;Dashboard!$G$6,ABS(J2796)&gt;Dashboard!$H$6),"⚠ Vượt","")</f>
        <v/>
      </c>
      <c r="M2796">
        <f>IF(AND(A2796=Dashboard!$D$6,OR(Dashboard!$C$6="*",F2796=Dashboard!$C$6),L2796&lt;&gt;""),ABS(I2796)+ROW()/1000000000,0)</f>
        <v/>
      </c>
    </row>
    <row r="2797">
      <c r="A2797">
        <f>Data_thang!A2797</f>
        <v/>
      </c>
      <c r="B2797">
        <f>Data_thang!B2797</f>
        <v/>
      </c>
      <c r="C2797">
        <f>Data_thang!D2797</f>
        <v/>
      </c>
      <c r="D2797">
        <f>Data_thang!E2797</f>
        <v/>
      </c>
      <c r="E2797">
        <f>Data_thang!F2797</f>
        <v/>
      </c>
      <c r="F2797">
        <f>Data_thang!G2797</f>
        <v/>
      </c>
      <c r="G2797" s="29">
        <f>Data_thang!J2797-Data_thang!K2797</f>
        <v/>
      </c>
      <c r="H2797" s="29">
        <f>Data_thang!N2797</f>
        <v/>
      </c>
      <c r="I2797" s="29">
        <f>H2797-G2797</f>
        <v/>
      </c>
      <c r="J2797" s="30">
        <f>IF(H2797=0,IF(I2797=0,0,1),I2797/ABS(H2797))</f>
        <v/>
      </c>
      <c r="K2797" s="29">
        <f>H2797-(Data_thang!O2797-Data_thang!K2797)</f>
        <v/>
      </c>
      <c r="L2797">
        <f>IF(AND(ABS(I2797)&gt;Dashboard!$G$6,ABS(J2797)&gt;Dashboard!$H$6),"⚠ Vượt","")</f>
        <v/>
      </c>
      <c r="M2797">
        <f>IF(AND(A2797=Dashboard!$D$6,OR(Dashboard!$C$6="*",F2797=Dashboard!$C$6),L2797&lt;&gt;""),ABS(I2797)+ROW()/1000000000,0)</f>
        <v/>
      </c>
    </row>
    <row r="2798">
      <c r="A2798">
        <f>Data_thang!A2798</f>
        <v/>
      </c>
      <c r="B2798">
        <f>Data_thang!B2798</f>
        <v/>
      </c>
      <c r="C2798">
        <f>Data_thang!D2798</f>
        <v/>
      </c>
      <c r="D2798">
        <f>Data_thang!E2798</f>
        <v/>
      </c>
      <c r="E2798">
        <f>Data_thang!F2798</f>
        <v/>
      </c>
      <c r="F2798">
        <f>Data_thang!G2798</f>
        <v/>
      </c>
      <c r="G2798" s="29">
        <f>Data_thang!J2798-Data_thang!K2798</f>
        <v/>
      </c>
      <c r="H2798" s="29">
        <f>Data_thang!N2798</f>
        <v/>
      </c>
      <c r="I2798" s="29">
        <f>H2798-G2798</f>
        <v/>
      </c>
      <c r="J2798" s="30">
        <f>IF(H2798=0,IF(I2798=0,0,1),I2798/ABS(H2798))</f>
        <v/>
      </c>
      <c r="K2798" s="29">
        <f>H2798-(Data_thang!O2798-Data_thang!K2798)</f>
        <v/>
      </c>
      <c r="L2798">
        <f>IF(AND(ABS(I2798)&gt;Dashboard!$G$6,ABS(J2798)&gt;Dashboard!$H$6),"⚠ Vượt","")</f>
        <v/>
      </c>
      <c r="M2798">
        <f>IF(AND(A2798=Dashboard!$D$6,OR(Dashboard!$C$6="*",F2798=Dashboard!$C$6),L2798&lt;&gt;""),ABS(I2798)+ROW()/1000000000,0)</f>
        <v/>
      </c>
    </row>
    <row r="2799">
      <c r="A2799">
        <f>Data_thang!A2799</f>
        <v/>
      </c>
      <c r="B2799">
        <f>Data_thang!B2799</f>
        <v/>
      </c>
      <c r="C2799">
        <f>Data_thang!D2799</f>
        <v/>
      </c>
      <c r="D2799">
        <f>Data_thang!E2799</f>
        <v/>
      </c>
      <c r="E2799">
        <f>Data_thang!F2799</f>
        <v/>
      </c>
      <c r="F2799">
        <f>Data_thang!G2799</f>
        <v/>
      </c>
      <c r="G2799" s="29">
        <f>Data_thang!J2799-Data_thang!K2799</f>
        <v/>
      </c>
      <c r="H2799" s="29">
        <f>Data_thang!N2799</f>
        <v/>
      </c>
      <c r="I2799" s="29">
        <f>H2799-G2799</f>
        <v/>
      </c>
      <c r="J2799" s="30">
        <f>IF(H2799=0,IF(I2799=0,0,1),I2799/ABS(H2799))</f>
        <v/>
      </c>
      <c r="K2799" s="29">
        <f>H2799-(Data_thang!O2799-Data_thang!K2799)</f>
        <v/>
      </c>
      <c r="L2799">
        <f>IF(AND(ABS(I2799)&gt;Dashboard!$G$6,ABS(J2799)&gt;Dashboard!$H$6),"⚠ Vượt","")</f>
        <v/>
      </c>
      <c r="M2799">
        <f>IF(AND(A2799=Dashboard!$D$6,OR(Dashboard!$C$6="*",F2799=Dashboard!$C$6),L2799&lt;&gt;""),ABS(I2799)+ROW()/1000000000,0)</f>
        <v/>
      </c>
    </row>
    <row r="2800">
      <c r="A2800">
        <f>Data_thang!A2800</f>
        <v/>
      </c>
      <c r="B2800">
        <f>Data_thang!B2800</f>
        <v/>
      </c>
      <c r="C2800">
        <f>Data_thang!D2800</f>
        <v/>
      </c>
      <c r="D2800">
        <f>Data_thang!E2800</f>
        <v/>
      </c>
      <c r="E2800">
        <f>Data_thang!F2800</f>
        <v/>
      </c>
      <c r="F2800">
        <f>Data_thang!G2800</f>
        <v/>
      </c>
      <c r="G2800" s="29">
        <f>Data_thang!J2800-Data_thang!K2800</f>
        <v/>
      </c>
      <c r="H2800" s="29">
        <f>Data_thang!N2800</f>
        <v/>
      </c>
      <c r="I2800" s="29">
        <f>H2800-G2800</f>
        <v/>
      </c>
      <c r="J2800" s="30">
        <f>IF(H2800=0,IF(I2800=0,0,1),I2800/ABS(H2800))</f>
        <v/>
      </c>
      <c r="K2800" s="29">
        <f>H2800-(Data_thang!O2800-Data_thang!K2800)</f>
        <v/>
      </c>
      <c r="L2800">
        <f>IF(AND(ABS(I2800)&gt;Dashboard!$G$6,ABS(J2800)&gt;Dashboard!$H$6),"⚠ Vượt","")</f>
        <v/>
      </c>
      <c r="M2800">
        <f>IF(AND(A2800=Dashboard!$D$6,OR(Dashboard!$C$6="*",F2800=Dashboard!$C$6),L2800&lt;&gt;""),ABS(I2800)+ROW()/1000000000,0)</f>
        <v/>
      </c>
    </row>
    <row r="2801">
      <c r="A2801">
        <f>Data_thang!A2801</f>
        <v/>
      </c>
      <c r="B2801">
        <f>Data_thang!B2801</f>
        <v/>
      </c>
      <c r="C2801">
        <f>Data_thang!D2801</f>
        <v/>
      </c>
      <c r="D2801">
        <f>Data_thang!E2801</f>
        <v/>
      </c>
      <c r="E2801">
        <f>Data_thang!F2801</f>
        <v/>
      </c>
      <c r="F2801">
        <f>Data_thang!G2801</f>
        <v/>
      </c>
      <c r="G2801" s="29">
        <f>Data_thang!J2801-Data_thang!K2801</f>
        <v/>
      </c>
      <c r="H2801" s="29">
        <f>Data_thang!N2801</f>
        <v/>
      </c>
      <c r="I2801" s="29">
        <f>H2801-G2801</f>
        <v/>
      </c>
      <c r="J2801" s="30">
        <f>IF(H2801=0,IF(I2801=0,0,1),I2801/ABS(H2801))</f>
        <v/>
      </c>
      <c r="K2801" s="29">
        <f>H2801-(Data_thang!O2801-Data_thang!K2801)</f>
        <v/>
      </c>
      <c r="L2801">
        <f>IF(AND(ABS(I2801)&gt;Dashboard!$G$6,ABS(J2801)&gt;Dashboard!$H$6),"⚠ Vượt","")</f>
        <v/>
      </c>
      <c r="M2801">
        <f>IF(AND(A2801=Dashboard!$D$6,OR(Dashboard!$C$6="*",F2801=Dashboard!$C$6),L2801&lt;&gt;""),ABS(I2801)+ROW()/1000000000,0)</f>
        <v/>
      </c>
    </row>
    <row r="2802">
      <c r="A2802">
        <f>Data_thang!A2802</f>
        <v/>
      </c>
      <c r="B2802">
        <f>Data_thang!B2802</f>
        <v/>
      </c>
      <c r="C2802">
        <f>Data_thang!D2802</f>
        <v/>
      </c>
      <c r="D2802">
        <f>Data_thang!E2802</f>
        <v/>
      </c>
      <c r="E2802">
        <f>Data_thang!F2802</f>
        <v/>
      </c>
      <c r="F2802">
        <f>Data_thang!G2802</f>
        <v/>
      </c>
      <c r="G2802" s="29">
        <f>Data_thang!J2802-Data_thang!K2802</f>
        <v/>
      </c>
      <c r="H2802" s="29">
        <f>Data_thang!N2802</f>
        <v/>
      </c>
      <c r="I2802" s="29">
        <f>H2802-G2802</f>
        <v/>
      </c>
      <c r="J2802" s="30">
        <f>IF(H2802=0,IF(I2802=0,0,1),I2802/ABS(H2802))</f>
        <v/>
      </c>
      <c r="K2802" s="29">
        <f>H2802-(Data_thang!O2802-Data_thang!K2802)</f>
        <v/>
      </c>
      <c r="L2802">
        <f>IF(AND(ABS(I2802)&gt;Dashboard!$G$6,ABS(J2802)&gt;Dashboard!$H$6),"⚠ Vượt","")</f>
        <v/>
      </c>
      <c r="M2802">
        <f>IF(AND(A2802=Dashboard!$D$6,OR(Dashboard!$C$6="*",F2802=Dashboard!$C$6),L2802&lt;&gt;""),ABS(I2802)+ROW()/1000000000,0)</f>
        <v/>
      </c>
    </row>
    <row r="2803">
      <c r="A2803">
        <f>Data_thang!A2803</f>
        <v/>
      </c>
      <c r="B2803">
        <f>Data_thang!B2803</f>
        <v/>
      </c>
      <c r="C2803">
        <f>Data_thang!D2803</f>
        <v/>
      </c>
      <c r="D2803">
        <f>Data_thang!E2803</f>
        <v/>
      </c>
      <c r="E2803">
        <f>Data_thang!F2803</f>
        <v/>
      </c>
      <c r="F2803">
        <f>Data_thang!G2803</f>
        <v/>
      </c>
      <c r="G2803" s="29">
        <f>Data_thang!J2803-Data_thang!K2803</f>
        <v/>
      </c>
      <c r="H2803" s="29">
        <f>Data_thang!N2803</f>
        <v/>
      </c>
      <c r="I2803" s="29">
        <f>H2803-G2803</f>
        <v/>
      </c>
      <c r="J2803" s="30">
        <f>IF(H2803=0,IF(I2803=0,0,1),I2803/ABS(H2803))</f>
        <v/>
      </c>
      <c r="K2803" s="29">
        <f>H2803-(Data_thang!O2803-Data_thang!K2803)</f>
        <v/>
      </c>
      <c r="L2803">
        <f>IF(AND(ABS(I2803)&gt;Dashboard!$G$6,ABS(J2803)&gt;Dashboard!$H$6),"⚠ Vượt","")</f>
        <v/>
      </c>
      <c r="M2803">
        <f>IF(AND(A2803=Dashboard!$D$6,OR(Dashboard!$C$6="*",F2803=Dashboard!$C$6),L2803&lt;&gt;""),ABS(I2803)+ROW()/1000000000,0)</f>
        <v/>
      </c>
    </row>
    <row r="2804">
      <c r="A2804">
        <f>Data_thang!A2804</f>
        <v/>
      </c>
      <c r="B2804">
        <f>Data_thang!B2804</f>
        <v/>
      </c>
      <c r="C2804">
        <f>Data_thang!D2804</f>
        <v/>
      </c>
      <c r="D2804">
        <f>Data_thang!E2804</f>
        <v/>
      </c>
      <c r="E2804">
        <f>Data_thang!F2804</f>
        <v/>
      </c>
      <c r="F2804">
        <f>Data_thang!G2804</f>
        <v/>
      </c>
      <c r="G2804" s="29">
        <f>Data_thang!J2804-Data_thang!K2804</f>
        <v/>
      </c>
      <c r="H2804" s="29">
        <f>Data_thang!N2804</f>
        <v/>
      </c>
      <c r="I2804" s="29">
        <f>H2804-G2804</f>
        <v/>
      </c>
      <c r="J2804" s="30">
        <f>IF(H2804=0,IF(I2804=0,0,1),I2804/ABS(H2804))</f>
        <v/>
      </c>
      <c r="K2804" s="29">
        <f>H2804-(Data_thang!O2804-Data_thang!K2804)</f>
        <v/>
      </c>
      <c r="L2804">
        <f>IF(AND(ABS(I2804)&gt;Dashboard!$G$6,ABS(J2804)&gt;Dashboard!$H$6),"⚠ Vượt","")</f>
        <v/>
      </c>
      <c r="M2804">
        <f>IF(AND(A2804=Dashboard!$D$6,OR(Dashboard!$C$6="*",F2804=Dashboard!$C$6),L2804&lt;&gt;""),ABS(I2804)+ROW()/1000000000,0)</f>
        <v/>
      </c>
    </row>
    <row r="2805">
      <c r="A2805">
        <f>Data_thang!A2805</f>
        <v/>
      </c>
      <c r="B2805">
        <f>Data_thang!B2805</f>
        <v/>
      </c>
      <c r="C2805">
        <f>Data_thang!D2805</f>
        <v/>
      </c>
      <c r="D2805">
        <f>Data_thang!E2805</f>
        <v/>
      </c>
      <c r="E2805">
        <f>Data_thang!F2805</f>
        <v/>
      </c>
      <c r="F2805">
        <f>Data_thang!G2805</f>
        <v/>
      </c>
      <c r="G2805" s="29">
        <f>Data_thang!J2805-Data_thang!K2805</f>
        <v/>
      </c>
      <c r="H2805" s="29">
        <f>Data_thang!N2805</f>
        <v/>
      </c>
      <c r="I2805" s="29">
        <f>H2805-G2805</f>
        <v/>
      </c>
      <c r="J2805" s="30">
        <f>IF(H2805=0,IF(I2805=0,0,1),I2805/ABS(H2805))</f>
        <v/>
      </c>
      <c r="K2805" s="29">
        <f>H2805-(Data_thang!O2805-Data_thang!K2805)</f>
        <v/>
      </c>
      <c r="L2805">
        <f>IF(AND(ABS(I2805)&gt;Dashboard!$G$6,ABS(J2805)&gt;Dashboard!$H$6),"⚠ Vượt","")</f>
        <v/>
      </c>
      <c r="M2805">
        <f>IF(AND(A2805=Dashboard!$D$6,OR(Dashboard!$C$6="*",F2805=Dashboard!$C$6),L2805&lt;&gt;""),ABS(I2805)+ROW()/1000000000,0)</f>
        <v/>
      </c>
    </row>
    <row r="2806">
      <c r="A2806">
        <f>Data_thang!A2806</f>
        <v/>
      </c>
      <c r="B2806">
        <f>Data_thang!B2806</f>
        <v/>
      </c>
      <c r="C2806">
        <f>Data_thang!D2806</f>
        <v/>
      </c>
      <c r="D2806">
        <f>Data_thang!E2806</f>
        <v/>
      </c>
      <c r="E2806">
        <f>Data_thang!F2806</f>
        <v/>
      </c>
      <c r="F2806">
        <f>Data_thang!G2806</f>
        <v/>
      </c>
      <c r="G2806" s="29">
        <f>Data_thang!J2806-Data_thang!K2806</f>
        <v/>
      </c>
      <c r="H2806" s="29">
        <f>Data_thang!N2806</f>
        <v/>
      </c>
      <c r="I2806" s="29">
        <f>H2806-G2806</f>
        <v/>
      </c>
      <c r="J2806" s="30">
        <f>IF(H2806=0,IF(I2806=0,0,1),I2806/ABS(H2806))</f>
        <v/>
      </c>
      <c r="K2806" s="29">
        <f>H2806-(Data_thang!O2806-Data_thang!K2806)</f>
        <v/>
      </c>
      <c r="L2806">
        <f>IF(AND(ABS(I2806)&gt;Dashboard!$G$6,ABS(J2806)&gt;Dashboard!$H$6),"⚠ Vượt","")</f>
        <v/>
      </c>
      <c r="M2806">
        <f>IF(AND(A2806=Dashboard!$D$6,OR(Dashboard!$C$6="*",F2806=Dashboard!$C$6),L2806&lt;&gt;""),ABS(I2806)+ROW()/1000000000,0)</f>
        <v/>
      </c>
    </row>
    <row r="2807">
      <c r="A2807">
        <f>Data_thang!A2807</f>
        <v/>
      </c>
      <c r="B2807">
        <f>Data_thang!B2807</f>
        <v/>
      </c>
      <c r="C2807">
        <f>Data_thang!D2807</f>
        <v/>
      </c>
      <c r="D2807">
        <f>Data_thang!E2807</f>
        <v/>
      </c>
      <c r="E2807">
        <f>Data_thang!F2807</f>
        <v/>
      </c>
      <c r="F2807">
        <f>Data_thang!G2807</f>
        <v/>
      </c>
      <c r="G2807" s="29">
        <f>Data_thang!J2807-Data_thang!K2807</f>
        <v/>
      </c>
      <c r="H2807" s="29">
        <f>Data_thang!N2807</f>
        <v/>
      </c>
      <c r="I2807" s="29">
        <f>H2807-G2807</f>
        <v/>
      </c>
      <c r="J2807" s="30">
        <f>IF(H2807=0,IF(I2807=0,0,1),I2807/ABS(H2807))</f>
        <v/>
      </c>
      <c r="K2807" s="29">
        <f>H2807-(Data_thang!O2807-Data_thang!K2807)</f>
        <v/>
      </c>
      <c r="L2807">
        <f>IF(AND(ABS(I2807)&gt;Dashboard!$G$6,ABS(J2807)&gt;Dashboard!$H$6),"⚠ Vượt","")</f>
        <v/>
      </c>
      <c r="M2807">
        <f>IF(AND(A2807=Dashboard!$D$6,OR(Dashboard!$C$6="*",F2807=Dashboard!$C$6),L2807&lt;&gt;""),ABS(I2807)+ROW()/1000000000,0)</f>
        <v/>
      </c>
    </row>
    <row r="2808">
      <c r="A2808">
        <f>Data_thang!A2808</f>
        <v/>
      </c>
      <c r="B2808">
        <f>Data_thang!B2808</f>
        <v/>
      </c>
      <c r="C2808">
        <f>Data_thang!D2808</f>
        <v/>
      </c>
      <c r="D2808">
        <f>Data_thang!E2808</f>
        <v/>
      </c>
      <c r="E2808">
        <f>Data_thang!F2808</f>
        <v/>
      </c>
      <c r="F2808">
        <f>Data_thang!G2808</f>
        <v/>
      </c>
      <c r="G2808" s="29">
        <f>Data_thang!J2808-Data_thang!K2808</f>
        <v/>
      </c>
      <c r="H2808" s="29">
        <f>Data_thang!N2808</f>
        <v/>
      </c>
      <c r="I2808" s="29">
        <f>H2808-G2808</f>
        <v/>
      </c>
      <c r="J2808" s="30">
        <f>IF(H2808=0,IF(I2808=0,0,1),I2808/ABS(H2808))</f>
        <v/>
      </c>
      <c r="K2808" s="29">
        <f>H2808-(Data_thang!O2808-Data_thang!K2808)</f>
        <v/>
      </c>
      <c r="L2808">
        <f>IF(AND(ABS(I2808)&gt;Dashboard!$G$6,ABS(J2808)&gt;Dashboard!$H$6),"⚠ Vượt","")</f>
        <v/>
      </c>
      <c r="M2808">
        <f>IF(AND(A2808=Dashboard!$D$6,OR(Dashboard!$C$6="*",F2808=Dashboard!$C$6),L2808&lt;&gt;""),ABS(I2808)+ROW()/1000000000,0)</f>
        <v/>
      </c>
    </row>
    <row r="2809">
      <c r="A2809">
        <f>Data_thang!A2809</f>
        <v/>
      </c>
      <c r="B2809">
        <f>Data_thang!B2809</f>
        <v/>
      </c>
      <c r="C2809">
        <f>Data_thang!D2809</f>
        <v/>
      </c>
      <c r="D2809">
        <f>Data_thang!E2809</f>
        <v/>
      </c>
      <c r="E2809">
        <f>Data_thang!F2809</f>
        <v/>
      </c>
      <c r="F2809">
        <f>Data_thang!G2809</f>
        <v/>
      </c>
      <c r="G2809" s="29">
        <f>Data_thang!J2809-Data_thang!K2809</f>
        <v/>
      </c>
      <c r="H2809" s="29">
        <f>Data_thang!N2809</f>
        <v/>
      </c>
      <c r="I2809" s="29">
        <f>H2809-G2809</f>
        <v/>
      </c>
      <c r="J2809" s="30">
        <f>IF(H2809=0,IF(I2809=0,0,1),I2809/ABS(H2809))</f>
        <v/>
      </c>
      <c r="K2809" s="29">
        <f>H2809-(Data_thang!O2809-Data_thang!K2809)</f>
        <v/>
      </c>
      <c r="L2809">
        <f>IF(AND(ABS(I2809)&gt;Dashboard!$G$6,ABS(J2809)&gt;Dashboard!$H$6),"⚠ Vượt","")</f>
        <v/>
      </c>
      <c r="M2809">
        <f>IF(AND(A2809=Dashboard!$D$6,OR(Dashboard!$C$6="*",F2809=Dashboard!$C$6),L2809&lt;&gt;""),ABS(I2809)+ROW()/1000000000,0)</f>
        <v/>
      </c>
    </row>
    <row r="2810">
      <c r="A2810">
        <f>Data_thang!A2810</f>
        <v/>
      </c>
      <c r="B2810">
        <f>Data_thang!B2810</f>
        <v/>
      </c>
      <c r="C2810">
        <f>Data_thang!D2810</f>
        <v/>
      </c>
      <c r="D2810">
        <f>Data_thang!E2810</f>
        <v/>
      </c>
      <c r="E2810">
        <f>Data_thang!F2810</f>
        <v/>
      </c>
      <c r="F2810">
        <f>Data_thang!G2810</f>
        <v/>
      </c>
      <c r="G2810" s="29">
        <f>Data_thang!J2810-Data_thang!K2810</f>
        <v/>
      </c>
      <c r="H2810" s="29">
        <f>Data_thang!N2810</f>
        <v/>
      </c>
      <c r="I2810" s="29">
        <f>H2810-G2810</f>
        <v/>
      </c>
      <c r="J2810" s="30">
        <f>IF(H2810=0,IF(I2810=0,0,1),I2810/ABS(H2810))</f>
        <v/>
      </c>
      <c r="K2810" s="29">
        <f>H2810-(Data_thang!O2810-Data_thang!K2810)</f>
        <v/>
      </c>
      <c r="L2810">
        <f>IF(AND(ABS(I2810)&gt;Dashboard!$G$6,ABS(J2810)&gt;Dashboard!$H$6),"⚠ Vượt","")</f>
        <v/>
      </c>
      <c r="M2810">
        <f>IF(AND(A2810=Dashboard!$D$6,OR(Dashboard!$C$6="*",F2810=Dashboard!$C$6),L2810&lt;&gt;""),ABS(I2810)+ROW()/1000000000,0)</f>
        <v/>
      </c>
    </row>
    <row r="2811">
      <c r="A2811">
        <f>Data_thang!A2811</f>
        <v/>
      </c>
      <c r="B2811">
        <f>Data_thang!B2811</f>
        <v/>
      </c>
      <c r="C2811">
        <f>Data_thang!D2811</f>
        <v/>
      </c>
      <c r="D2811">
        <f>Data_thang!E2811</f>
        <v/>
      </c>
      <c r="E2811">
        <f>Data_thang!F2811</f>
        <v/>
      </c>
      <c r="F2811">
        <f>Data_thang!G2811</f>
        <v/>
      </c>
      <c r="G2811" s="29">
        <f>Data_thang!J2811-Data_thang!K2811</f>
        <v/>
      </c>
      <c r="H2811" s="29">
        <f>Data_thang!N2811</f>
        <v/>
      </c>
      <c r="I2811" s="29">
        <f>H2811-G2811</f>
        <v/>
      </c>
      <c r="J2811" s="30">
        <f>IF(H2811=0,IF(I2811=0,0,1),I2811/ABS(H2811))</f>
        <v/>
      </c>
      <c r="K2811" s="29">
        <f>H2811-(Data_thang!O2811-Data_thang!K2811)</f>
        <v/>
      </c>
      <c r="L2811">
        <f>IF(AND(ABS(I2811)&gt;Dashboard!$G$6,ABS(J2811)&gt;Dashboard!$H$6),"⚠ Vượt","")</f>
        <v/>
      </c>
      <c r="M2811">
        <f>IF(AND(A2811=Dashboard!$D$6,OR(Dashboard!$C$6="*",F2811=Dashboard!$C$6),L2811&lt;&gt;""),ABS(I2811)+ROW()/1000000000,0)</f>
        <v/>
      </c>
    </row>
    <row r="2812">
      <c r="A2812">
        <f>Data_thang!A2812</f>
        <v/>
      </c>
      <c r="B2812">
        <f>Data_thang!B2812</f>
        <v/>
      </c>
      <c r="C2812">
        <f>Data_thang!D2812</f>
        <v/>
      </c>
      <c r="D2812">
        <f>Data_thang!E2812</f>
        <v/>
      </c>
      <c r="E2812">
        <f>Data_thang!F2812</f>
        <v/>
      </c>
      <c r="F2812">
        <f>Data_thang!G2812</f>
        <v/>
      </c>
      <c r="G2812" s="29">
        <f>Data_thang!J2812-Data_thang!K2812</f>
        <v/>
      </c>
      <c r="H2812" s="29">
        <f>Data_thang!N2812</f>
        <v/>
      </c>
      <c r="I2812" s="29">
        <f>H2812-G2812</f>
        <v/>
      </c>
      <c r="J2812" s="30">
        <f>IF(H2812=0,IF(I2812=0,0,1),I2812/ABS(H2812))</f>
        <v/>
      </c>
      <c r="K2812" s="29">
        <f>H2812-(Data_thang!O2812-Data_thang!K2812)</f>
        <v/>
      </c>
      <c r="L2812">
        <f>IF(AND(ABS(I2812)&gt;Dashboard!$G$6,ABS(J2812)&gt;Dashboard!$H$6),"⚠ Vượt","")</f>
        <v/>
      </c>
      <c r="M2812">
        <f>IF(AND(A2812=Dashboard!$D$6,OR(Dashboard!$C$6="*",F2812=Dashboard!$C$6),L2812&lt;&gt;""),ABS(I2812)+ROW()/1000000000,0)</f>
        <v/>
      </c>
    </row>
    <row r="2813">
      <c r="A2813">
        <f>Data_thang!A2813</f>
        <v/>
      </c>
      <c r="B2813">
        <f>Data_thang!B2813</f>
        <v/>
      </c>
      <c r="C2813">
        <f>Data_thang!D2813</f>
        <v/>
      </c>
      <c r="D2813">
        <f>Data_thang!E2813</f>
        <v/>
      </c>
      <c r="E2813">
        <f>Data_thang!F2813</f>
        <v/>
      </c>
      <c r="F2813">
        <f>Data_thang!G2813</f>
        <v/>
      </c>
      <c r="G2813" s="29">
        <f>Data_thang!J2813-Data_thang!K2813</f>
        <v/>
      </c>
      <c r="H2813" s="29">
        <f>Data_thang!N2813</f>
        <v/>
      </c>
      <c r="I2813" s="29">
        <f>H2813-G2813</f>
        <v/>
      </c>
      <c r="J2813" s="30">
        <f>IF(H2813=0,IF(I2813=0,0,1),I2813/ABS(H2813))</f>
        <v/>
      </c>
      <c r="K2813" s="29">
        <f>H2813-(Data_thang!O2813-Data_thang!K2813)</f>
        <v/>
      </c>
      <c r="L2813">
        <f>IF(AND(ABS(I2813)&gt;Dashboard!$G$6,ABS(J2813)&gt;Dashboard!$H$6),"⚠ Vượt","")</f>
        <v/>
      </c>
      <c r="M2813">
        <f>IF(AND(A2813=Dashboard!$D$6,OR(Dashboard!$C$6="*",F2813=Dashboard!$C$6),L2813&lt;&gt;""),ABS(I2813)+ROW()/1000000000,0)</f>
        <v/>
      </c>
    </row>
    <row r="2814">
      <c r="A2814">
        <f>Data_thang!A2814</f>
        <v/>
      </c>
      <c r="B2814">
        <f>Data_thang!B2814</f>
        <v/>
      </c>
      <c r="C2814">
        <f>Data_thang!D2814</f>
        <v/>
      </c>
      <c r="D2814">
        <f>Data_thang!E2814</f>
        <v/>
      </c>
      <c r="E2814">
        <f>Data_thang!F2814</f>
        <v/>
      </c>
      <c r="F2814">
        <f>Data_thang!G2814</f>
        <v/>
      </c>
      <c r="G2814" s="29">
        <f>Data_thang!J2814-Data_thang!K2814</f>
        <v/>
      </c>
      <c r="H2814" s="29">
        <f>Data_thang!N2814</f>
        <v/>
      </c>
      <c r="I2814" s="29">
        <f>H2814-G2814</f>
        <v/>
      </c>
      <c r="J2814" s="30">
        <f>IF(H2814=0,IF(I2814=0,0,1),I2814/ABS(H2814))</f>
        <v/>
      </c>
      <c r="K2814" s="29">
        <f>H2814-(Data_thang!O2814-Data_thang!K2814)</f>
        <v/>
      </c>
      <c r="L2814">
        <f>IF(AND(ABS(I2814)&gt;Dashboard!$G$6,ABS(J2814)&gt;Dashboard!$H$6),"⚠ Vượt","")</f>
        <v/>
      </c>
      <c r="M2814">
        <f>IF(AND(A2814=Dashboard!$D$6,OR(Dashboard!$C$6="*",F2814=Dashboard!$C$6),L2814&lt;&gt;""),ABS(I2814)+ROW()/1000000000,0)</f>
        <v/>
      </c>
    </row>
    <row r="2815">
      <c r="A2815">
        <f>Data_thang!A2815</f>
        <v/>
      </c>
      <c r="B2815">
        <f>Data_thang!B2815</f>
        <v/>
      </c>
      <c r="C2815">
        <f>Data_thang!D2815</f>
        <v/>
      </c>
      <c r="D2815">
        <f>Data_thang!E2815</f>
        <v/>
      </c>
      <c r="E2815">
        <f>Data_thang!F2815</f>
        <v/>
      </c>
      <c r="F2815">
        <f>Data_thang!G2815</f>
        <v/>
      </c>
      <c r="G2815" s="29">
        <f>Data_thang!J2815-Data_thang!K2815</f>
        <v/>
      </c>
      <c r="H2815" s="29">
        <f>Data_thang!N2815</f>
        <v/>
      </c>
      <c r="I2815" s="29">
        <f>H2815-G2815</f>
        <v/>
      </c>
      <c r="J2815" s="30">
        <f>IF(H2815=0,IF(I2815=0,0,1),I2815/ABS(H2815))</f>
        <v/>
      </c>
      <c r="K2815" s="29">
        <f>H2815-(Data_thang!O2815-Data_thang!K2815)</f>
        <v/>
      </c>
      <c r="L2815">
        <f>IF(AND(ABS(I2815)&gt;Dashboard!$G$6,ABS(J2815)&gt;Dashboard!$H$6),"⚠ Vượt","")</f>
        <v/>
      </c>
      <c r="M2815">
        <f>IF(AND(A2815=Dashboard!$D$6,OR(Dashboard!$C$6="*",F2815=Dashboard!$C$6),L2815&lt;&gt;""),ABS(I2815)+ROW()/1000000000,0)</f>
        <v/>
      </c>
    </row>
    <row r="2816">
      <c r="A2816">
        <f>Data_thang!A2816</f>
        <v/>
      </c>
      <c r="B2816">
        <f>Data_thang!B2816</f>
        <v/>
      </c>
      <c r="C2816">
        <f>Data_thang!D2816</f>
        <v/>
      </c>
      <c r="D2816">
        <f>Data_thang!E2816</f>
        <v/>
      </c>
      <c r="E2816">
        <f>Data_thang!F2816</f>
        <v/>
      </c>
      <c r="F2816">
        <f>Data_thang!G2816</f>
        <v/>
      </c>
      <c r="G2816" s="29">
        <f>Data_thang!J2816-Data_thang!K2816</f>
        <v/>
      </c>
      <c r="H2816" s="29">
        <f>Data_thang!N2816</f>
        <v/>
      </c>
      <c r="I2816" s="29">
        <f>H2816-G2816</f>
        <v/>
      </c>
      <c r="J2816" s="30">
        <f>IF(H2816=0,IF(I2816=0,0,1),I2816/ABS(H2816))</f>
        <v/>
      </c>
      <c r="K2816" s="29">
        <f>H2816-(Data_thang!O2816-Data_thang!K2816)</f>
        <v/>
      </c>
      <c r="L2816">
        <f>IF(AND(ABS(I2816)&gt;Dashboard!$G$6,ABS(J2816)&gt;Dashboard!$H$6),"⚠ Vượt","")</f>
        <v/>
      </c>
      <c r="M2816">
        <f>IF(AND(A2816=Dashboard!$D$6,OR(Dashboard!$C$6="*",F2816=Dashboard!$C$6),L2816&lt;&gt;""),ABS(I2816)+ROW()/1000000000,0)</f>
        <v/>
      </c>
    </row>
    <row r="2817">
      <c r="A2817">
        <f>Data_thang!A2817</f>
        <v/>
      </c>
      <c r="B2817">
        <f>Data_thang!B2817</f>
        <v/>
      </c>
      <c r="C2817">
        <f>Data_thang!D2817</f>
        <v/>
      </c>
      <c r="D2817">
        <f>Data_thang!E2817</f>
        <v/>
      </c>
      <c r="E2817">
        <f>Data_thang!F2817</f>
        <v/>
      </c>
      <c r="F2817">
        <f>Data_thang!G2817</f>
        <v/>
      </c>
      <c r="G2817" s="29">
        <f>Data_thang!J2817-Data_thang!K2817</f>
        <v/>
      </c>
      <c r="H2817" s="29">
        <f>Data_thang!N2817</f>
        <v/>
      </c>
      <c r="I2817" s="29">
        <f>H2817-G2817</f>
        <v/>
      </c>
      <c r="J2817" s="30">
        <f>IF(H2817=0,IF(I2817=0,0,1),I2817/ABS(H2817))</f>
        <v/>
      </c>
      <c r="K2817" s="29">
        <f>H2817-(Data_thang!O2817-Data_thang!K2817)</f>
        <v/>
      </c>
      <c r="L2817">
        <f>IF(AND(ABS(I2817)&gt;Dashboard!$G$6,ABS(J2817)&gt;Dashboard!$H$6),"⚠ Vượt","")</f>
        <v/>
      </c>
      <c r="M2817">
        <f>IF(AND(A2817=Dashboard!$D$6,OR(Dashboard!$C$6="*",F2817=Dashboard!$C$6),L2817&lt;&gt;""),ABS(I2817)+ROW()/1000000000,0)</f>
        <v/>
      </c>
    </row>
    <row r="2818">
      <c r="A2818">
        <f>Data_thang!A2818</f>
        <v/>
      </c>
      <c r="B2818">
        <f>Data_thang!B2818</f>
        <v/>
      </c>
      <c r="C2818">
        <f>Data_thang!D2818</f>
        <v/>
      </c>
      <c r="D2818">
        <f>Data_thang!E2818</f>
        <v/>
      </c>
      <c r="E2818">
        <f>Data_thang!F2818</f>
        <v/>
      </c>
      <c r="F2818">
        <f>Data_thang!G2818</f>
        <v/>
      </c>
      <c r="G2818" s="29">
        <f>Data_thang!J2818-Data_thang!K2818</f>
        <v/>
      </c>
      <c r="H2818" s="29">
        <f>Data_thang!N2818</f>
        <v/>
      </c>
      <c r="I2818" s="29">
        <f>H2818-G2818</f>
        <v/>
      </c>
      <c r="J2818" s="30">
        <f>IF(H2818=0,IF(I2818=0,0,1),I2818/ABS(H2818))</f>
        <v/>
      </c>
      <c r="K2818" s="29">
        <f>H2818-(Data_thang!O2818-Data_thang!K2818)</f>
        <v/>
      </c>
      <c r="L2818">
        <f>IF(AND(ABS(I2818)&gt;Dashboard!$G$6,ABS(J2818)&gt;Dashboard!$H$6),"⚠ Vượt","")</f>
        <v/>
      </c>
      <c r="M2818">
        <f>IF(AND(A2818=Dashboard!$D$6,OR(Dashboard!$C$6="*",F2818=Dashboard!$C$6),L2818&lt;&gt;""),ABS(I2818)+ROW()/1000000000,0)</f>
        <v/>
      </c>
    </row>
    <row r="2819">
      <c r="A2819">
        <f>Data_thang!A2819</f>
        <v/>
      </c>
      <c r="B2819">
        <f>Data_thang!B2819</f>
        <v/>
      </c>
      <c r="C2819">
        <f>Data_thang!D2819</f>
        <v/>
      </c>
      <c r="D2819">
        <f>Data_thang!E2819</f>
        <v/>
      </c>
      <c r="E2819">
        <f>Data_thang!F2819</f>
        <v/>
      </c>
      <c r="F2819">
        <f>Data_thang!G2819</f>
        <v/>
      </c>
      <c r="G2819" s="29">
        <f>Data_thang!J2819-Data_thang!K2819</f>
        <v/>
      </c>
      <c r="H2819" s="29">
        <f>Data_thang!N2819</f>
        <v/>
      </c>
      <c r="I2819" s="29">
        <f>H2819-G2819</f>
        <v/>
      </c>
      <c r="J2819" s="30">
        <f>IF(H2819=0,IF(I2819=0,0,1),I2819/ABS(H2819))</f>
        <v/>
      </c>
      <c r="K2819" s="29">
        <f>H2819-(Data_thang!O2819-Data_thang!K2819)</f>
        <v/>
      </c>
      <c r="L2819">
        <f>IF(AND(ABS(I2819)&gt;Dashboard!$G$6,ABS(J2819)&gt;Dashboard!$H$6),"⚠ Vượt","")</f>
        <v/>
      </c>
      <c r="M2819">
        <f>IF(AND(A2819=Dashboard!$D$6,OR(Dashboard!$C$6="*",F2819=Dashboard!$C$6),L2819&lt;&gt;""),ABS(I2819)+ROW()/1000000000,0)</f>
        <v/>
      </c>
    </row>
    <row r="2820">
      <c r="A2820">
        <f>Data_thang!A2820</f>
        <v/>
      </c>
      <c r="B2820">
        <f>Data_thang!B2820</f>
        <v/>
      </c>
      <c r="C2820">
        <f>Data_thang!D2820</f>
        <v/>
      </c>
      <c r="D2820">
        <f>Data_thang!E2820</f>
        <v/>
      </c>
      <c r="E2820">
        <f>Data_thang!F2820</f>
        <v/>
      </c>
      <c r="F2820">
        <f>Data_thang!G2820</f>
        <v/>
      </c>
      <c r="G2820" s="29">
        <f>Data_thang!J2820-Data_thang!K2820</f>
        <v/>
      </c>
      <c r="H2820" s="29">
        <f>Data_thang!N2820</f>
        <v/>
      </c>
      <c r="I2820" s="29">
        <f>H2820-G2820</f>
        <v/>
      </c>
      <c r="J2820" s="30">
        <f>IF(H2820=0,IF(I2820=0,0,1),I2820/ABS(H2820))</f>
        <v/>
      </c>
      <c r="K2820" s="29">
        <f>H2820-(Data_thang!O2820-Data_thang!K2820)</f>
        <v/>
      </c>
      <c r="L2820">
        <f>IF(AND(ABS(I2820)&gt;Dashboard!$G$6,ABS(J2820)&gt;Dashboard!$H$6),"⚠ Vượt","")</f>
        <v/>
      </c>
      <c r="M2820">
        <f>IF(AND(A2820=Dashboard!$D$6,OR(Dashboard!$C$6="*",F2820=Dashboard!$C$6),L2820&lt;&gt;""),ABS(I2820)+ROW()/1000000000,0)</f>
        <v/>
      </c>
    </row>
    <row r="2821">
      <c r="A2821">
        <f>Data_thang!A2821</f>
        <v/>
      </c>
      <c r="B2821">
        <f>Data_thang!B2821</f>
        <v/>
      </c>
      <c r="C2821">
        <f>Data_thang!D2821</f>
        <v/>
      </c>
      <c r="D2821">
        <f>Data_thang!E2821</f>
        <v/>
      </c>
      <c r="E2821">
        <f>Data_thang!F2821</f>
        <v/>
      </c>
      <c r="F2821">
        <f>Data_thang!G2821</f>
        <v/>
      </c>
      <c r="G2821" s="29">
        <f>Data_thang!J2821-Data_thang!K2821</f>
        <v/>
      </c>
      <c r="H2821" s="29">
        <f>Data_thang!N2821</f>
        <v/>
      </c>
      <c r="I2821" s="29">
        <f>H2821-G2821</f>
        <v/>
      </c>
      <c r="J2821" s="30">
        <f>IF(H2821=0,IF(I2821=0,0,1),I2821/ABS(H2821))</f>
        <v/>
      </c>
      <c r="K2821" s="29">
        <f>H2821-(Data_thang!O2821-Data_thang!K2821)</f>
        <v/>
      </c>
      <c r="L2821">
        <f>IF(AND(ABS(I2821)&gt;Dashboard!$G$6,ABS(J2821)&gt;Dashboard!$H$6),"⚠ Vượt","")</f>
        <v/>
      </c>
      <c r="M2821">
        <f>IF(AND(A2821=Dashboard!$D$6,OR(Dashboard!$C$6="*",F2821=Dashboard!$C$6),L2821&lt;&gt;""),ABS(I2821)+ROW()/1000000000,0)</f>
        <v/>
      </c>
    </row>
    <row r="2822">
      <c r="A2822">
        <f>Data_thang!A2822</f>
        <v/>
      </c>
      <c r="B2822">
        <f>Data_thang!B2822</f>
        <v/>
      </c>
      <c r="C2822">
        <f>Data_thang!D2822</f>
        <v/>
      </c>
      <c r="D2822">
        <f>Data_thang!E2822</f>
        <v/>
      </c>
      <c r="E2822">
        <f>Data_thang!F2822</f>
        <v/>
      </c>
      <c r="F2822">
        <f>Data_thang!G2822</f>
        <v/>
      </c>
      <c r="G2822" s="29">
        <f>Data_thang!J2822-Data_thang!K2822</f>
        <v/>
      </c>
      <c r="H2822" s="29">
        <f>Data_thang!N2822</f>
        <v/>
      </c>
      <c r="I2822" s="29">
        <f>H2822-G2822</f>
        <v/>
      </c>
      <c r="J2822" s="30">
        <f>IF(H2822=0,IF(I2822=0,0,1),I2822/ABS(H2822))</f>
        <v/>
      </c>
      <c r="K2822" s="29">
        <f>H2822-(Data_thang!O2822-Data_thang!K2822)</f>
        <v/>
      </c>
      <c r="L2822">
        <f>IF(AND(ABS(I2822)&gt;Dashboard!$G$6,ABS(J2822)&gt;Dashboard!$H$6),"⚠ Vượt","")</f>
        <v/>
      </c>
      <c r="M2822">
        <f>IF(AND(A2822=Dashboard!$D$6,OR(Dashboard!$C$6="*",F2822=Dashboard!$C$6),L2822&lt;&gt;""),ABS(I2822)+ROW()/1000000000,0)</f>
        <v/>
      </c>
    </row>
    <row r="2823">
      <c r="A2823">
        <f>Data_thang!A2823</f>
        <v/>
      </c>
      <c r="B2823">
        <f>Data_thang!B2823</f>
        <v/>
      </c>
      <c r="C2823">
        <f>Data_thang!D2823</f>
        <v/>
      </c>
      <c r="D2823">
        <f>Data_thang!E2823</f>
        <v/>
      </c>
      <c r="E2823">
        <f>Data_thang!F2823</f>
        <v/>
      </c>
      <c r="F2823">
        <f>Data_thang!G2823</f>
        <v/>
      </c>
      <c r="G2823" s="29">
        <f>Data_thang!J2823-Data_thang!K2823</f>
        <v/>
      </c>
      <c r="H2823" s="29">
        <f>Data_thang!N2823</f>
        <v/>
      </c>
      <c r="I2823" s="29">
        <f>H2823-G2823</f>
        <v/>
      </c>
      <c r="J2823" s="30">
        <f>IF(H2823=0,IF(I2823=0,0,1),I2823/ABS(H2823))</f>
        <v/>
      </c>
      <c r="K2823" s="29">
        <f>H2823-(Data_thang!O2823-Data_thang!K2823)</f>
        <v/>
      </c>
      <c r="L2823">
        <f>IF(AND(ABS(I2823)&gt;Dashboard!$G$6,ABS(J2823)&gt;Dashboard!$H$6),"⚠ Vượt","")</f>
        <v/>
      </c>
      <c r="M2823">
        <f>IF(AND(A2823=Dashboard!$D$6,OR(Dashboard!$C$6="*",F2823=Dashboard!$C$6),L2823&lt;&gt;""),ABS(I2823)+ROW()/1000000000,0)</f>
        <v/>
      </c>
    </row>
    <row r="2824">
      <c r="A2824">
        <f>Data_thang!A2824</f>
        <v/>
      </c>
      <c r="B2824">
        <f>Data_thang!B2824</f>
        <v/>
      </c>
      <c r="C2824">
        <f>Data_thang!D2824</f>
        <v/>
      </c>
      <c r="D2824">
        <f>Data_thang!E2824</f>
        <v/>
      </c>
      <c r="E2824">
        <f>Data_thang!F2824</f>
        <v/>
      </c>
      <c r="F2824">
        <f>Data_thang!G2824</f>
        <v/>
      </c>
      <c r="G2824" s="29">
        <f>Data_thang!J2824-Data_thang!K2824</f>
        <v/>
      </c>
      <c r="H2824" s="29">
        <f>Data_thang!N2824</f>
        <v/>
      </c>
      <c r="I2824" s="29">
        <f>H2824-G2824</f>
        <v/>
      </c>
      <c r="J2824" s="30">
        <f>IF(H2824=0,IF(I2824=0,0,1),I2824/ABS(H2824))</f>
        <v/>
      </c>
      <c r="K2824" s="29">
        <f>H2824-(Data_thang!O2824-Data_thang!K2824)</f>
        <v/>
      </c>
      <c r="L2824">
        <f>IF(AND(ABS(I2824)&gt;Dashboard!$G$6,ABS(J2824)&gt;Dashboard!$H$6),"⚠ Vượt","")</f>
        <v/>
      </c>
      <c r="M2824">
        <f>IF(AND(A2824=Dashboard!$D$6,OR(Dashboard!$C$6="*",F2824=Dashboard!$C$6),L2824&lt;&gt;""),ABS(I2824)+ROW()/1000000000,0)</f>
        <v/>
      </c>
    </row>
    <row r="2825">
      <c r="A2825">
        <f>Data_thang!A2825</f>
        <v/>
      </c>
      <c r="B2825">
        <f>Data_thang!B2825</f>
        <v/>
      </c>
      <c r="C2825">
        <f>Data_thang!D2825</f>
        <v/>
      </c>
      <c r="D2825">
        <f>Data_thang!E2825</f>
        <v/>
      </c>
      <c r="E2825">
        <f>Data_thang!F2825</f>
        <v/>
      </c>
      <c r="F2825">
        <f>Data_thang!G2825</f>
        <v/>
      </c>
      <c r="G2825" s="29">
        <f>Data_thang!J2825-Data_thang!K2825</f>
        <v/>
      </c>
      <c r="H2825" s="29">
        <f>Data_thang!N2825</f>
        <v/>
      </c>
      <c r="I2825" s="29">
        <f>H2825-G2825</f>
        <v/>
      </c>
      <c r="J2825" s="30">
        <f>IF(H2825=0,IF(I2825=0,0,1),I2825/ABS(H2825))</f>
        <v/>
      </c>
      <c r="K2825" s="29">
        <f>H2825-(Data_thang!O2825-Data_thang!K2825)</f>
        <v/>
      </c>
      <c r="L2825">
        <f>IF(AND(ABS(I2825)&gt;Dashboard!$G$6,ABS(J2825)&gt;Dashboard!$H$6),"⚠ Vượt","")</f>
        <v/>
      </c>
      <c r="M2825">
        <f>IF(AND(A2825=Dashboard!$D$6,OR(Dashboard!$C$6="*",F2825=Dashboard!$C$6),L2825&lt;&gt;""),ABS(I2825)+ROW()/1000000000,0)</f>
        <v/>
      </c>
    </row>
    <row r="2826">
      <c r="A2826">
        <f>Data_thang!A2826</f>
        <v/>
      </c>
      <c r="B2826">
        <f>Data_thang!B2826</f>
        <v/>
      </c>
      <c r="C2826">
        <f>Data_thang!D2826</f>
        <v/>
      </c>
      <c r="D2826">
        <f>Data_thang!E2826</f>
        <v/>
      </c>
      <c r="E2826">
        <f>Data_thang!F2826</f>
        <v/>
      </c>
      <c r="F2826">
        <f>Data_thang!G2826</f>
        <v/>
      </c>
      <c r="G2826" s="29">
        <f>Data_thang!J2826-Data_thang!K2826</f>
        <v/>
      </c>
      <c r="H2826" s="29">
        <f>Data_thang!N2826</f>
        <v/>
      </c>
      <c r="I2826" s="29">
        <f>H2826-G2826</f>
        <v/>
      </c>
      <c r="J2826" s="30">
        <f>IF(H2826=0,IF(I2826=0,0,1),I2826/ABS(H2826))</f>
        <v/>
      </c>
      <c r="K2826" s="29">
        <f>H2826-(Data_thang!O2826-Data_thang!K2826)</f>
        <v/>
      </c>
      <c r="L2826">
        <f>IF(AND(ABS(I2826)&gt;Dashboard!$G$6,ABS(J2826)&gt;Dashboard!$H$6),"⚠ Vượt","")</f>
        <v/>
      </c>
      <c r="M2826">
        <f>IF(AND(A2826=Dashboard!$D$6,OR(Dashboard!$C$6="*",F2826=Dashboard!$C$6),L2826&lt;&gt;""),ABS(I2826)+ROW()/1000000000,0)</f>
        <v/>
      </c>
    </row>
    <row r="2827">
      <c r="A2827">
        <f>Data_thang!A2827</f>
        <v/>
      </c>
      <c r="B2827">
        <f>Data_thang!B2827</f>
        <v/>
      </c>
      <c r="C2827">
        <f>Data_thang!D2827</f>
        <v/>
      </c>
      <c r="D2827">
        <f>Data_thang!E2827</f>
        <v/>
      </c>
      <c r="E2827">
        <f>Data_thang!F2827</f>
        <v/>
      </c>
      <c r="F2827">
        <f>Data_thang!G2827</f>
        <v/>
      </c>
      <c r="G2827" s="29">
        <f>Data_thang!J2827-Data_thang!K2827</f>
        <v/>
      </c>
      <c r="H2827" s="29">
        <f>Data_thang!N2827</f>
        <v/>
      </c>
      <c r="I2827" s="29">
        <f>H2827-G2827</f>
        <v/>
      </c>
      <c r="J2827" s="30">
        <f>IF(H2827=0,IF(I2827=0,0,1),I2827/ABS(H2827))</f>
        <v/>
      </c>
      <c r="K2827" s="29">
        <f>H2827-(Data_thang!O2827-Data_thang!K2827)</f>
        <v/>
      </c>
      <c r="L2827">
        <f>IF(AND(ABS(I2827)&gt;Dashboard!$G$6,ABS(J2827)&gt;Dashboard!$H$6),"⚠ Vượt","")</f>
        <v/>
      </c>
      <c r="M2827">
        <f>IF(AND(A2827=Dashboard!$D$6,OR(Dashboard!$C$6="*",F2827=Dashboard!$C$6),L2827&lt;&gt;""),ABS(I2827)+ROW()/1000000000,0)</f>
        <v/>
      </c>
    </row>
    <row r="2828">
      <c r="A2828">
        <f>Data_thang!A2828</f>
        <v/>
      </c>
      <c r="B2828">
        <f>Data_thang!B2828</f>
        <v/>
      </c>
      <c r="C2828">
        <f>Data_thang!D2828</f>
        <v/>
      </c>
      <c r="D2828">
        <f>Data_thang!E2828</f>
        <v/>
      </c>
      <c r="E2828">
        <f>Data_thang!F2828</f>
        <v/>
      </c>
      <c r="F2828">
        <f>Data_thang!G2828</f>
        <v/>
      </c>
      <c r="G2828" s="29">
        <f>Data_thang!J2828-Data_thang!K2828</f>
        <v/>
      </c>
      <c r="H2828" s="29">
        <f>Data_thang!N2828</f>
        <v/>
      </c>
      <c r="I2828" s="29">
        <f>H2828-G2828</f>
        <v/>
      </c>
      <c r="J2828" s="30">
        <f>IF(H2828=0,IF(I2828=0,0,1),I2828/ABS(H2828))</f>
        <v/>
      </c>
      <c r="K2828" s="29">
        <f>H2828-(Data_thang!O2828-Data_thang!K2828)</f>
        <v/>
      </c>
      <c r="L2828">
        <f>IF(AND(ABS(I2828)&gt;Dashboard!$G$6,ABS(J2828)&gt;Dashboard!$H$6),"⚠ Vượt","")</f>
        <v/>
      </c>
      <c r="M2828">
        <f>IF(AND(A2828=Dashboard!$D$6,OR(Dashboard!$C$6="*",F2828=Dashboard!$C$6),L2828&lt;&gt;""),ABS(I2828)+ROW()/1000000000,0)</f>
        <v/>
      </c>
    </row>
    <row r="2829">
      <c r="A2829">
        <f>Data_thang!A2829</f>
        <v/>
      </c>
      <c r="B2829">
        <f>Data_thang!B2829</f>
        <v/>
      </c>
      <c r="C2829">
        <f>Data_thang!D2829</f>
        <v/>
      </c>
      <c r="D2829">
        <f>Data_thang!E2829</f>
        <v/>
      </c>
      <c r="E2829">
        <f>Data_thang!F2829</f>
        <v/>
      </c>
      <c r="F2829">
        <f>Data_thang!G2829</f>
        <v/>
      </c>
      <c r="G2829" s="29">
        <f>Data_thang!J2829-Data_thang!K2829</f>
        <v/>
      </c>
      <c r="H2829" s="29">
        <f>Data_thang!N2829</f>
        <v/>
      </c>
      <c r="I2829" s="29">
        <f>H2829-G2829</f>
        <v/>
      </c>
      <c r="J2829" s="30">
        <f>IF(H2829=0,IF(I2829=0,0,1),I2829/ABS(H2829))</f>
        <v/>
      </c>
      <c r="K2829" s="29">
        <f>H2829-(Data_thang!O2829-Data_thang!K2829)</f>
        <v/>
      </c>
      <c r="L2829">
        <f>IF(AND(ABS(I2829)&gt;Dashboard!$G$6,ABS(J2829)&gt;Dashboard!$H$6),"⚠ Vượt","")</f>
        <v/>
      </c>
      <c r="M2829">
        <f>IF(AND(A2829=Dashboard!$D$6,OR(Dashboard!$C$6="*",F2829=Dashboard!$C$6),L2829&lt;&gt;""),ABS(I2829)+ROW()/1000000000,0)</f>
        <v/>
      </c>
    </row>
    <row r="2830">
      <c r="A2830">
        <f>Data_thang!A2830</f>
        <v/>
      </c>
      <c r="B2830">
        <f>Data_thang!B2830</f>
        <v/>
      </c>
      <c r="C2830">
        <f>Data_thang!D2830</f>
        <v/>
      </c>
      <c r="D2830">
        <f>Data_thang!E2830</f>
        <v/>
      </c>
      <c r="E2830">
        <f>Data_thang!F2830</f>
        <v/>
      </c>
      <c r="F2830">
        <f>Data_thang!G2830</f>
        <v/>
      </c>
      <c r="G2830" s="29">
        <f>Data_thang!J2830-Data_thang!K2830</f>
        <v/>
      </c>
      <c r="H2830" s="29">
        <f>Data_thang!N2830</f>
        <v/>
      </c>
      <c r="I2830" s="29">
        <f>H2830-G2830</f>
        <v/>
      </c>
      <c r="J2830" s="30">
        <f>IF(H2830=0,IF(I2830=0,0,1),I2830/ABS(H2830))</f>
        <v/>
      </c>
      <c r="K2830" s="29">
        <f>H2830-(Data_thang!O2830-Data_thang!K2830)</f>
        <v/>
      </c>
      <c r="L2830">
        <f>IF(AND(ABS(I2830)&gt;Dashboard!$G$6,ABS(J2830)&gt;Dashboard!$H$6),"⚠ Vượt","")</f>
        <v/>
      </c>
      <c r="M2830">
        <f>IF(AND(A2830=Dashboard!$D$6,OR(Dashboard!$C$6="*",F2830=Dashboard!$C$6),L2830&lt;&gt;""),ABS(I2830)+ROW()/1000000000,0)</f>
        <v/>
      </c>
    </row>
    <row r="2831">
      <c r="A2831">
        <f>Data_thang!A2831</f>
        <v/>
      </c>
      <c r="B2831">
        <f>Data_thang!B2831</f>
        <v/>
      </c>
      <c r="C2831">
        <f>Data_thang!D2831</f>
        <v/>
      </c>
      <c r="D2831">
        <f>Data_thang!E2831</f>
        <v/>
      </c>
      <c r="E2831">
        <f>Data_thang!F2831</f>
        <v/>
      </c>
      <c r="F2831">
        <f>Data_thang!G2831</f>
        <v/>
      </c>
      <c r="G2831" s="29">
        <f>Data_thang!J2831-Data_thang!K2831</f>
        <v/>
      </c>
      <c r="H2831" s="29">
        <f>Data_thang!N2831</f>
        <v/>
      </c>
      <c r="I2831" s="29">
        <f>H2831-G2831</f>
        <v/>
      </c>
      <c r="J2831" s="30">
        <f>IF(H2831=0,IF(I2831=0,0,1),I2831/ABS(H2831))</f>
        <v/>
      </c>
      <c r="K2831" s="29">
        <f>H2831-(Data_thang!O2831-Data_thang!K2831)</f>
        <v/>
      </c>
      <c r="L2831">
        <f>IF(AND(ABS(I2831)&gt;Dashboard!$G$6,ABS(J2831)&gt;Dashboard!$H$6),"⚠ Vượt","")</f>
        <v/>
      </c>
      <c r="M2831">
        <f>IF(AND(A2831=Dashboard!$D$6,OR(Dashboard!$C$6="*",F2831=Dashboard!$C$6),L2831&lt;&gt;""),ABS(I2831)+ROW()/1000000000,0)</f>
        <v/>
      </c>
    </row>
    <row r="2832">
      <c r="A2832">
        <f>Data_thang!A2832</f>
        <v/>
      </c>
      <c r="B2832">
        <f>Data_thang!B2832</f>
        <v/>
      </c>
      <c r="C2832">
        <f>Data_thang!D2832</f>
        <v/>
      </c>
      <c r="D2832">
        <f>Data_thang!E2832</f>
        <v/>
      </c>
      <c r="E2832">
        <f>Data_thang!F2832</f>
        <v/>
      </c>
      <c r="F2832">
        <f>Data_thang!G2832</f>
        <v/>
      </c>
      <c r="G2832" s="29">
        <f>Data_thang!J2832-Data_thang!K2832</f>
        <v/>
      </c>
      <c r="H2832" s="29">
        <f>Data_thang!N2832</f>
        <v/>
      </c>
      <c r="I2832" s="29">
        <f>H2832-G2832</f>
        <v/>
      </c>
      <c r="J2832" s="30">
        <f>IF(H2832=0,IF(I2832=0,0,1),I2832/ABS(H2832))</f>
        <v/>
      </c>
      <c r="K2832" s="29">
        <f>H2832-(Data_thang!O2832-Data_thang!K2832)</f>
        <v/>
      </c>
      <c r="L2832">
        <f>IF(AND(ABS(I2832)&gt;Dashboard!$G$6,ABS(J2832)&gt;Dashboard!$H$6),"⚠ Vượt","")</f>
        <v/>
      </c>
      <c r="M2832">
        <f>IF(AND(A2832=Dashboard!$D$6,OR(Dashboard!$C$6="*",F2832=Dashboard!$C$6),L2832&lt;&gt;""),ABS(I2832)+ROW()/1000000000,0)</f>
        <v/>
      </c>
    </row>
    <row r="2833">
      <c r="A2833">
        <f>Data_thang!A2833</f>
        <v/>
      </c>
      <c r="B2833">
        <f>Data_thang!B2833</f>
        <v/>
      </c>
      <c r="C2833">
        <f>Data_thang!D2833</f>
        <v/>
      </c>
      <c r="D2833">
        <f>Data_thang!E2833</f>
        <v/>
      </c>
      <c r="E2833">
        <f>Data_thang!F2833</f>
        <v/>
      </c>
      <c r="F2833">
        <f>Data_thang!G2833</f>
        <v/>
      </c>
      <c r="G2833" s="29">
        <f>Data_thang!J2833-Data_thang!K2833</f>
        <v/>
      </c>
      <c r="H2833" s="29">
        <f>Data_thang!N2833</f>
        <v/>
      </c>
      <c r="I2833" s="29">
        <f>H2833-G2833</f>
        <v/>
      </c>
      <c r="J2833" s="30">
        <f>IF(H2833=0,IF(I2833=0,0,1),I2833/ABS(H2833))</f>
        <v/>
      </c>
      <c r="K2833" s="29">
        <f>H2833-(Data_thang!O2833-Data_thang!K2833)</f>
        <v/>
      </c>
      <c r="L2833">
        <f>IF(AND(ABS(I2833)&gt;Dashboard!$G$6,ABS(J2833)&gt;Dashboard!$H$6),"⚠ Vượt","")</f>
        <v/>
      </c>
      <c r="M2833">
        <f>IF(AND(A2833=Dashboard!$D$6,OR(Dashboard!$C$6="*",F2833=Dashboard!$C$6),L2833&lt;&gt;""),ABS(I2833)+ROW()/1000000000,0)</f>
        <v/>
      </c>
    </row>
    <row r="2834">
      <c r="A2834">
        <f>Data_thang!A2834</f>
        <v/>
      </c>
      <c r="B2834">
        <f>Data_thang!B2834</f>
        <v/>
      </c>
      <c r="C2834">
        <f>Data_thang!D2834</f>
        <v/>
      </c>
      <c r="D2834">
        <f>Data_thang!E2834</f>
        <v/>
      </c>
      <c r="E2834">
        <f>Data_thang!F2834</f>
        <v/>
      </c>
      <c r="F2834">
        <f>Data_thang!G2834</f>
        <v/>
      </c>
      <c r="G2834" s="29">
        <f>Data_thang!J2834-Data_thang!K2834</f>
        <v/>
      </c>
      <c r="H2834" s="29">
        <f>Data_thang!N2834</f>
        <v/>
      </c>
      <c r="I2834" s="29">
        <f>H2834-G2834</f>
        <v/>
      </c>
      <c r="J2834" s="30">
        <f>IF(H2834=0,IF(I2834=0,0,1),I2834/ABS(H2834))</f>
        <v/>
      </c>
      <c r="K2834" s="29">
        <f>H2834-(Data_thang!O2834-Data_thang!K2834)</f>
        <v/>
      </c>
      <c r="L2834">
        <f>IF(AND(ABS(I2834)&gt;Dashboard!$G$6,ABS(J2834)&gt;Dashboard!$H$6),"⚠ Vượt","")</f>
        <v/>
      </c>
      <c r="M2834">
        <f>IF(AND(A2834=Dashboard!$D$6,OR(Dashboard!$C$6="*",F2834=Dashboard!$C$6),L2834&lt;&gt;""),ABS(I2834)+ROW()/1000000000,0)</f>
        <v/>
      </c>
    </row>
    <row r="2835">
      <c r="A2835">
        <f>Data_thang!A2835</f>
        <v/>
      </c>
      <c r="B2835">
        <f>Data_thang!B2835</f>
        <v/>
      </c>
      <c r="C2835">
        <f>Data_thang!D2835</f>
        <v/>
      </c>
      <c r="D2835">
        <f>Data_thang!E2835</f>
        <v/>
      </c>
      <c r="E2835">
        <f>Data_thang!F2835</f>
        <v/>
      </c>
      <c r="F2835">
        <f>Data_thang!G2835</f>
        <v/>
      </c>
      <c r="G2835" s="29">
        <f>Data_thang!J2835-Data_thang!K2835</f>
        <v/>
      </c>
      <c r="H2835" s="29">
        <f>Data_thang!N2835</f>
        <v/>
      </c>
      <c r="I2835" s="29">
        <f>H2835-G2835</f>
        <v/>
      </c>
      <c r="J2835" s="30">
        <f>IF(H2835=0,IF(I2835=0,0,1),I2835/ABS(H2835))</f>
        <v/>
      </c>
      <c r="K2835" s="29">
        <f>H2835-(Data_thang!O2835-Data_thang!K2835)</f>
        <v/>
      </c>
      <c r="L2835">
        <f>IF(AND(ABS(I2835)&gt;Dashboard!$G$6,ABS(J2835)&gt;Dashboard!$H$6),"⚠ Vượt","")</f>
        <v/>
      </c>
      <c r="M2835">
        <f>IF(AND(A2835=Dashboard!$D$6,OR(Dashboard!$C$6="*",F2835=Dashboard!$C$6),L2835&lt;&gt;""),ABS(I2835)+ROW()/1000000000,0)</f>
        <v/>
      </c>
    </row>
    <row r="2836">
      <c r="A2836">
        <f>Data_thang!A2836</f>
        <v/>
      </c>
      <c r="B2836">
        <f>Data_thang!B2836</f>
        <v/>
      </c>
      <c r="C2836">
        <f>Data_thang!D2836</f>
        <v/>
      </c>
      <c r="D2836">
        <f>Data_thang!E2836</f>
        <v/>
      </c>
      <c r="E2836">
        <f>Data_thang!F2836</f>
        <v/>
      </c>
      <c r="F2836">
        <f>Data_thang!G2836</f>
        <v/>
      </c>
      <c r="G2836" s="29">
        <f>Data_thang!J2836-Data_thang!K2836</f>
        <v/>
      </c>
      <c r="H2836" s="29">
        <f>Data_thang!N2836</f>
        <v/>
      </c>
      <c r="I2836" s="29">
        <f>H2836-G2836</f>
        <v/>
      </c>
      <c r="J2836" s="30">
        <f>IF(H2836=0,IF(I2836=0,0,1),I2836/ABS(H2836))</f>
        <v/>
      </c>
      <c r="K2836" s="29">
        <f>H2836-(Data_thang!O2836-Data_thang!K2836)</f>
        <v/>
      </c>
      <c r="L2836">
        <f>IF(AND(ABS(I2836)&gt;Dashboard!$G$6,ABS(J2836)&gt;Dashboard!$H$6),"⚠ Vượt","")</f>
        <v/>
      </c>
      <c r="M2836">
        <f>IF(AND(A2836=Dashboard!$D$6,OR(Dashboard!$C$6="*",F2836=Dashboard!$C$6),L2836&lt;&gt;""),ABS(I2836)+ROW()/1000000000,0)</f>
        <v/>
      </c>
    </row>
    <row r="2837">
      <c r="A2837">
        <f>Data_thang!A2837</f>
        <v/>
      </c>
      <c r="B2837">
        <f>Data_thang!B2837</f>
        <v/>
      </c>
      <c r="C2837">
        <f>Data_thang!D2837</f>
        <v/>
      </c>
      <c r="D2837">
        <f>Data_thang!E2837</f>
        <v/>
      </c>
      <c r="E2837">
        <f>Data_thang!F2837</f>
        <v/>
      </c>
      <c r="F2837">
        <f>Data_thang!G2837</f>
        <v/>
      </c>
      <c r="G2837" s="29">
        <f>Data_thang!J2837-Data_thang!K2837</f>
        <v/>
      </c>
      <c r="H2837" s="29">
        <f>Data_thang!N2837</f>
        <v/>
      </c>
      <c r="I2837" s="29">
        <f>H2837-G2837</f>
        <v/>
      </c>
      <c r="J2837" s="30">
        <f>IF(H2837=0,IF(I2837=0,0,1),I2837/ABS(H2837))</f>
        <v/>
      </c>
      <c r="K2837" s="29">
        <f>H2837-(Data_thang!O2837-Data_thang!K2837)</f>
        <v/>
      </c>
      <c r="L2837">
        <f>IF(AND(ABS(I2837)&gt;Dashboard!$G$6,ABS(J2837)&gt;Dashboard!$H$6),"⚠ Vượt","")</f>
        <v/>
      </c>
      <c r="M2837">
        <f>IF(AND(A2837=Dashboard!$D$6,OR(Dashboard!$C$6="*",F2837=Dashboard!$C$6),L2837&lt;&gt;""),ABS(I2837)+ROW()/1000000000,0)</f>
        <v/>
      </c>
    </row>
    <row r="2838">
      <c r="A2838">
        <f>Data_thang!A2838</f>
        <v/>
      </c>
      <c r="B2838">
        <f>Data_thang!B2838</f>
        <v/>
      </c>
      <c r="C2838">
        <f>Data_thang!D2838</f>
        <v/>
      </c>
      <c r="D2838">
        <f>Data_thang!E2838</f>
        <v/>
      </c>
      <c r="E2838">
        <f>Data_thang!F2838</f>
        <v/>
      </c>
      <c r="F2838">
        <f>Data_thang!G2838</f>
        <v/>
      </c>
      <c r="G2838" s="29">
        <f>Data_thang!J2838-Data_thang!K2838</f>
        <v/>
      </c>
      <c r="H2838" s="29">
        <f>Data_thang!N2838</f>
        <v/>
      </c>
      <c r="I2838" s="29">
        <f>H2838-G2838</f>
        <v/>
      </c>
      <c r="J2838" s="30">
        <f>IF(H2838=0,IF(I2838=0,0,1),I2838/ABS(H2838))</f>
        <v/>
      </c>
      <c r="K2838" s="29">
        <f>H2838-(Data_thang!O2838-Data_thang!K2838)</f>
        <v/>
      </c>
      <c r="L2838">
        <f>IF(AND(ABS(I2838)&gt;Dashboard!$G$6,ABS(J2838)&gt;Dashboard!$H$6),"⚠ Vượt","")</f>
        <v/>
      </c>
      <c r="M2838">
        <f>IF(AND(A2838=Dashboard!$D$6,OR(Dashboard!$C$6="*",F2838=Dashboard!$C$6),L2838&lt;&gt;""),ABS(I2838)+ROW()/1000000000,0)</f>
        <v/>
      </c>
    </row>
    <row r="2839">
      <c r="A2839">
        <f>Data_thang!A2839</f>
        <v/>
      </c>
      <c r="B2839">
        <f>Data_thang!B2839</f>
        <v/>
      </c>
      <c r="C2839">
        <f>Data_thang!D2839</f>
        <v/>
      </c>
      <c r="D2839">
        <f>Data_thang!E2839</f>
        <v/>
      </c>
      <c r="E2839">
        <f>Data_thang!F2839</f>
        <v/>
      </c>
      <c r="F2839">
        <f>Data_thang!G2839</f>
        <v/>
      </c>
      <c r="G2839" s="29">
        <f>Data_thang!J2839-Data_thang!K2839</f>
        <v/>
      </c>
      <c r="H2839" s="29">
        <f>Data_thang!N2839</f>
        <v/>
      </c>
      <c r="I2839" s="29">
        <f>H2839-G2839</f>
        <v/>
      </c>
      <c r="J2839" s="30">
        <f>IF(H2839=0,IF(I2839=0,0,1),I2839/ABS(H2839))</f>
        <v/>
      </c>
      <c r="K2839" s="29">
        <f>H2839-(Data_thang!O2839-Data_thang!K2839)</f>
        <v/>
      </c>
      <c r="L2839">
        <f>IF(AND(ABS(I2839)&gt;Dashboard!$G$6,ABS(J2839)&gt;Dashboard!$H$6),"⚠ Vượt","")</f>
        <v/>
      </c>
      <c r="M2839">
        <f>IF(AND(A2839=Dashboard!$D$6,OR(Dashboard!$C$6="*",F2839=Dashboard!$C$6),L2839&lt;&gt;""),ABS(I2839)+ROW()/1000000000,0)</f>
        <v/>
      </c>
    </row>
    <row r="2840">
      <c r="A2840">
        <f>Data_thang!A2840</f>
        <v/>
      </c>
      <c r="B2840">
        <f>Data_thang!B2840</f>
        <v/>
      </c>
      <c r="C2840">
        <f>Data_thang!D2840</f>
        <v/>
      </c>
      <c r="D2840">
        <f>Data_thang!E2840</f>
        <v/>
      </c>
      <c r="E2840">
        <f>Data_thang!F2840</f>
        <v/>
      </c>
      <c r="F2840">
        <f>Data_thang!G2840</f>
        <v/>
      </c>
      <c r="G2840" s="29">
        <f>Data_thang!J2840-Data_thang!K2840</f>
        <v/>
      </c>
      <c r="H2840" s="29">
        <f>Data_thang!N2840</f>
        <v/>
      </c>
      <c r="I2840" s="29">
        <f>H2840-G2840</f>
        <v/>
      </c>
      <c r="J2840" s="30">
        <f>IF(H2840=0,IF(I2840=0,0,1),I2840/ABS(H2840))</f>
        <v/>
      </c>
      <c r="K2840" s="29">
        <f>H2840-(Data_thang!O2840-Data_thang!K2840)</f>
        <v/>
      </c>
      <c r="L2840">
        <f>IF(AND(ABS(I2840)&gt;Dashboard!$G$6,ABS(J2840)&gt;Dashboard!$H$6),"⚠ Vượt","")</f>
        <v/>
      </c>
      <c r="M2840">
        <f>IF(AND(A2840=Dashboard!$D$6,OR(Dashboard!$C$6="*",F2840=Dashboard!$C$6),L2840&lt;&gt;""),ABS(I2840)+ROW()/1000000000,0)</f>
        <v/>
      </c>
    </row>
    <row r="2841">
      <c r="A2841">
        <f>Data_thang!A2841</f>
        <v/>
      </c>
      <c r="B2841">
        <f>Data_thang!B2841</f>
        <v/>
      </c>
      <c r="C2841">
        <f>Data_thang!D2841</f>
        <v/>
      </c>
      <c r="D2841">
        <f>Data_thang!E2841</f>
        <v/>
      </c>
      <c r="E2841">
        <f>Data_thang!F2841</f>
        <v/>
      </c>
      <c r="F2841">
        <f>Data_thang!G2841</f>
        <v/>
      </c>
      <c r="G2841" s="29">
        <f>Data_thang!J2841-Data_thang!K2841</f>
        <v/>
      </c>
      <c r="H2841" s="29">
        <f>Data_thang!N2841</f>
        <v/>
      </c>
      <c r="I2841" s="29">
        <f>H2841-G2841</f>
        <v/>
      </c>
      <c r="J2841" s="30">
        <f>IF(H2841=0,IF(I2841=0,0,1),I2841/ABS(H2841))</f>
        <v/>
      </c>
      <c r="K2841" s="29">
        <f>H2841-(Data_thang!O2841-Data_thang!K2841)</f>
        <v/>
      </c>
      <c r="L2841">
        <f>IF(AND(ABS(I2841)&gt;Dashboard!$G$6,ABS(J2841)&gt;Dashboard!$H$6),"⚠ Vượt","")</f>
        <v/>
      </c>
      <c r="M2841">
        <f>IF(AND(A2841=Dashboard!$D$6,OR(Dashboard!$C$6="*",F2841=Dashboard!$C$6),L2841&lt;&gt;""),ABS(I2841)+ROW()/1000000000,0)</f>
        <v/>
      </c>
    </row>
    <row r="2842">
      <c r="A2842">
        <f>Data_thang!A2842</f>
        <v/>
      </c>
      <c r="B2842">
        <f>Data_thang!B2842</f>
        <v/>
      </c>
      <c r="C2842">
        <f>Data_thang!D2842</f>
        <v/>
      </c>
      <c r="D2842">
        <f>Data_thang!E2842</f>
        <v/>
      </c>
      <c r="E2842">
        <f>Data_thang!F2842</f>
        <v/>
      </c>
      <c r="F2842">
        <f>Data_thang!G2842</f>
        <v/>
      </c>
      <c r="G2842" s="29">
        <f>Data_thang!J2842-Data_thang!K2842</f>
        <v/>
      </c>
      <c r="H2842" s="29">
        <f>Data_thang!N2842</f>
        <v/>
      </c>
      <c r="I2842" s="29">
        <f>H2842-G2842</f>
        <v/>
      </c>
      <c r="J2842" s="30">
        <f>IF(H2842=0,IF(I2842=0,0,1),I2842/ABS(H2842))</f>
        <v/>
      </c>
      <c r="K2842" s="29">
        <f>H2842-(Data_thang!O2842-Data_thang!K2842)</f>
        <v/>
      </c>
      <c r="L2842">
        <f>IF(AND(ABS(I2842)&gt;Dashboard!$G$6,ABS(J2842)&gt;Dashboard!$H$6),"⚠ Vượt","")</f>
        <v/>
      </c>
      <c r="M2842">
        <f>IF(AND(A2842=Dashboard!$D$6,OR(Dashboard!$C$6="*",F2842=Dashboard!$C$6),L2842&lt;&gt;""),ABS(I2842)+ROW()/1000000000,0)</f>
        <v/>
      </c>
    </row>
    <row r="2843">
      <c r="A2843">
        <f>Data_thang!A2843</f>
        <v/>
      </c>
      <c r="B2843">
        <f>Data_thang!B2843</f>
        <v/>
      </c>
      <c r="C2843">
        <f>Data_thang!D2843</f>
        <v/>
      </c>
      <c r="D2843">
        <f>Data_thang!E2843</f>
        <v/>
      </c>
      <c r="E2843">
        <f>Data_thang!F2843</f>
        <v/>
      </c>
      <c r="F2843">
        <f>Data_thang!G2843</f>
        <v/>
      </c>
      <c r="G2843" s="29">
        <f>Data_thang!J2843-Data_thang!K2843</f>
        <v/>
      </c>
      <c r="H2843" s="29">
        <f>Data_thang!N2843</f>
        <v/>
      </c>
      <c r="I2843" s="29">
        <f>H2843-G2843</f>
        <v/>
      </c>
      <c r="J2843" s="30">
        <f>IF(H2843=0,IF(I2843=0,0,1),I2843/ABS(H2843))</f>
        <v/>
      </c>
      <c r="K2843" s="29">
        <f>H2843-(Data_thang!O2843-Data_thang!K2843)</f>
        <v/>
      </c>
      <c r="L2843">
        <f>IF(AND(ABS(I2843)&gt;Dashboard!$G$6,ABS(J2843)&gt;Dashboard!$H$6),"⚠ Vượt","")</f>
        <v/>
      </c>
      <c r="M2843">
        <f>IF(AND(A2843=Dashboard!$D$6,OR(Dashboard!$C$6="*",F2843=Dashboard!$C$6),L2843&lt;&gt;""),ABS(I2843)+ROW()/1000000000,0)</f>
        <v/>
      </c>
    </row>
    <row r="2844">
      <c r="A2844">
        <f>Data_thang!A2844</f>
        <v/>
      </c>
      <c r="B2844">
        <f>Data_thang!B2844</f>
        <v/>
      </c>
      <c r="C2844">
        <f>Data_thang!D2844</f>
        <v/>
      </c>
      <c r="D2844">
        <f>Data_thang!E2844</f>
        <v/>
      </c>
      <c r="E2844">
        <f>Data_thang!F2844</f>
        <v/>
      </c>
      <c r="F2844">
        <f>Data_thang!G2844</f>
        <v/>
      </c>
      <c r="G2844" s="29">
        <f>Data_thang!J2844-Data_thang!K2844</f>
        <v/>
      </c>
      <c r="H2844" s="29">
        <f>Data_thang!N2844</f>
        <v/>
      </c>
      <c r="I2844" s="29">
        <f>H2844-G2844</f>
        <v/>
      </c>
      <c r="J2844" s="30">
        <f>IF(H2844=0,IF(I2844=0,0,1),I2844/ABS(H2844))</f>
        <v/>
      </c>
      <c r="K2844" s="29">
        <f>H2844-(Data_thang!O2844-Data_thang!K2844)</f>
        <v/>
      </c>
      <c r="L2844">
        <f>IF(AND(ABS(I2844)&gt;Dashboard!$G$6,ABS(J2844)&gt;Dashboard!$H$6),"⚠ Vượt","")</f>
        <v/>
      </c>
      <c r="M2844">
        <f>IF(AND(A2844=Dashboard!$D$6,OR(Dashboard!$C$6="*",F2844=Dashboard!$C$6),L2844&lt;&gt;""),ABS(I2844)+ROW()/1000000000,0)</f>
        <v/>
      </c>
    </row>
    <row r="2845">
      <c r="A2845">
        <f>Data_thang!A2845</f>
        <v/>
      </c>
      <c r="B2845">
        <f>Data_thang!B2845</f>
        <v/>
      </c>
      <c r="C2845">
        <f>Data_thang!D2845</f>
        <v/>
      </c>
      <c r="D2845">
        <f>Data_thang!E2845</f>
        <v/>
      </c>
      <c r="E2845">
        <f>Data_thang!F2845</f>
        <v/>
      </c>
      <c r="F2845">
        <f>Data_thang!G2845</f>
        <v/>
      </c>
      <c r="G2845" s="29">
        <f>Data_thang!J2845-Data_thang!K2845</f>
        <v/>
      </c>
      <c r="H2845" s="29">
        <f>Data_thang!N2845</f>
        <v/>
      </c>
      <c r="I2845" s="29">
        <f>H2845-G2845</f>
        <v/>
      </c>
      <c r="J2845" s="30">
        <f>IF(H2845=0,IF(I2845=0,0,1),I2845/ABS(H2845))</f>
        <v/>
      </c>
      <c r="K2845" s="29">
        <f>H2845-(Data_thang!O2845-Data_thang!K2845)</f>
        <v/>
      </c>
      <c r="L2845">
        <f>IF(AND(ABS(I2845)&gt;Dashboard!$G$6,ABS(J2845)&gt;Dashboard!$H$6),"⚠ Vượt","")</f>
        <v/>
      </c>
      <c r="M2845">
        <f>IF(AND(A2845=Dashboard!$D$6,OR(Dashboard!$C$6="*",F2845=Dashboard!$C$6),L2845&lt;&gt;""),ABS(I2845)+ROW()/1000000000,0)</f>
        <v/>
      </c>
    </row>
    <row r="2846">
      <c r="A2846">
        <f>Data_thang!A2846</f>
        <v/>
      </c>
      <c r="B2846">
        <f>Data_thang!B2846</f>
        <v/>
      </c>
      <c r="C2846">
        <f>Data_thang!D2846</f>
        <v/>
      </c>
      <c r="D2846">
        <f>Data_thang!E2846</f>
        <v/>
      </c>
      <c r="E2846">
        <f>Data_thang!F2846</f>
        <v/>
      </c>
      <c r="F2846">
        <f>Data_thang!G2846</f>
        <v/>
      </c>
      <c r="G2846" s="29">
        <f>Data_thang!J2846-Data_thang!K2846</f>
        <v/>
      </c>
      <c r="H2846" s="29">
        <f>Data_thang!N2846</f>
        <v/>
      </c>
      <c r="I2846" s="29">
        <f>H2846-G2846</f>
        <v/>
      </c>
      <c r="J2846" s="30">
        <f>IF(H2846=0,IF(I2846=0,0,1),I2846/ABS(H2846))</f>
        <v/>
      </c>
      <c r="K2846" s="29">
        <f>H2846-(Data_thang!O2846-Data_thang!K2846)</f>
        <v/>
      </c>
      <c r="L2846">
        <f>IF(AND(ABS(I2846)&gt;Dashboard!$G$6,ABS(J2846)&gt;Dashboard!$H$6),"⚠ Vượt","")</f>
        <v/>
      </c>
      <c r="M2846">
        <f>IF(AND(A2846=Dashboard!$D$6,OR(Dashboard!$C$6="*",F2846=Dashboard!$C$6),L2846&lt;&gt;""),ABS(I2846)+ROW()/1000000000,0)</f>
        <v/>
      </c>
    </row>
    <row r="2847">
      <c r="A2847">
        <f>Data_thang!A2847</f>
        <v/>
      </c>
      <c r="B2847">
        <f>Data_thang!B2847</f>
        <v/>
      </c>
      <c r="C2847">
        <f>Data_thang!D2847</f>
        <v/>
      </c>
      <c r="D2847">
        <f>Data_thang!E2847</f>
        <v/>
      </c>
      <c r="E2847">
        <f>Data_thang!F2847</f>
        <v/>
      </c>
      <c r="F2847">
        <f>Data_thang!G2847</f>
        <v/>
      </c>
      <c r="G2847" s="29">
        <f>Data_thang!J2847-Data_thang!K2847</f>
        <v/>
      </c>
      <c r="H2847" s="29">
        <f>Data_thang!N2847</f>
        <v/>
      </c>
      <c r="I2847" s="29">
        <f>H2847-G2847</f>
        <v/>
      </c>
      <c r="J2847" s="30">
        <f>IF(H2847=0,IF(I2847=0,0,1),I2847/ABS(H2847))</f>
        <v/>
      </c>
      <c r="K2847" s="29">
        <f>H2847-(Data_thang!O2847-Data_thang!K2847)</f>
        <v/>
      </c>
      <c r="L2847">
        <f>IF(AND(ABS(I2847)&gt;Dashboard!$G$6,ABS(J2847)&gt;Dashboard!$H$6),"⚠ Vượt","")</f>
        <v/>
      </c>
      <c r="M2847">
        <f>IF(AND(A2847=Dashboard!$D$6,OR(Dashboard!$C$6="*",F2847=Dashboard!$C$6),L2847&lt;&gt;""),ABS(I2847)+ROW()/1000000000,0)</f>
        <v/>
      </c>
    </row>
    <row r="2848">
      <c r="A2848">
        <f>Data_thang!A2848</f>
        <v/>
      </c>
      <c r="B2848">
        <f>Data_thang!B2848</f>
        <v/>
      </c>
      <c r="C2848">
        <f>Data_thang!D2848</f>
        <v/>
      </c>
      <c r="D2848">
        <f>Data_thang!E2848</f>
        <v/>
      </c>
      <c r="E2848">
        <f>Data_thang!F2848</f>
        <v/>
      </c>
      <c r="F2848">
        <f>Data_thang!G2848</f>
        <v/>
      </c>
      <c r="G2848" s="29">
        <f>Data_thang!J2848-Data_thang!K2848</f>
        <v/>
      </c>
      <c r="H2848" s="29">
        <f>Data_thang!N2848</f>
        <v/>
      </c>
      <c r="I2848" s="29">
        <f>H2848-G2848</f>
        <v/>
      </c>
      <c r="J2848" s="30">
        <f>IF(H2848=0,IF(I2848=0,0,1),I2848/ABS(H2848))</f>
        <v/>
      </c>
      <c r="K2848" s="29">
        <f>H2848-(Data_thang!O2848-Data_thang!K2848)</f>
        <v/>
      </c>
      <c r="L2848">
        <f>IF(AND(ABS(I2848)&gt;Dashboard!$G$6,ABS(J2848)&gt;Dashboard!$H$6),"⚠ Vượt","")</f>
        <v/>
      </c>
      <c r="M2848">
        <f>IF(AND(A2848=Dashboard!$D$6,OR(Dashboard!$C$6="*",F2848=Dashboard!$C$6),L2848&lt;&gt;""),ABS(I2848)+ROW()/1000000000,0)</f>
        <v/>
      </c>
    </row>
    <row r="2849">
      <c r="A2849">
        <f>Data_thang!A2849</f>
        <v/>
      </c>
      <c r="B2849">
        <f>Data_thang!B2849</f>
        <v/>
      </c>
      <c r="C2849">
        <f>Data_thang!D2849</f>
        <v/>
      </c>
      <c r="D2849">
        <f>Data_thang!E2849</f>
        <v/>
      </c>
      <c r="E2849">
        <f>Data_thang!F2849</f>
        <v/>
      </c>
      <c r="F2849">
        <f>Data_thang!G2849</f>
        <v/>
      </c>
      <c r="G2849" s="29">
        <f>Data_thang!J2849-Data_thang!K2849</f>
        <v/>
      </c>
      <c r="H2849" s="29">
        <f>Data_thang!N2849</f>
        <v/>
      </c>
      <c r="I2849" s="29">
        <f>H2849-G2849</f>
        <v/>
      </c>
      <c r="J2849" s="30">
        <f>IF(H2849=0,IF(I2849=0,0,1),I2849/ABS(H2849))</f>
        <v/>
      </c>
      <c r="K2849" s="29">
        <f>H2849-(Data_thang!O2849-Data_thang!K2849)</f>
        <v/>
      </c>
      <c r="L2849">
        <f>IF(AND(ABS(I2849)&gt;Dashboard!$G$6,ABS(J2849)&gt;Dashboard!$H$6),"⚠ Vượt","")</f>
        <v/>
      </c>
      <c r="M2849">
        <f>IF(AND(A2849=Dashboard!$D$6,OR(Dashboard!$C$6="*",F2849=Dashboard!$C$6),L2849&lt;&gt;""),ABS(I2849)+ROW()/1000000000,0)</f>
        <v/>
      </c>
    </row>
    <row r="2850">
      <c r="A2850">
        <f>Data_thang!A2850</f>
        <v/>
      </c>
      <c r="B2850">
        <f>Data_thang!B2850</f>
        <v/>
      </c>
      <c r="C2850">
        <f>Data_thang!D2850</f>
        <v/>
      </c>
      <c r="D2850">
        <f>Data_thang!E2850</f>
        <v/>
      </c>
      <c r="E2850">
        <f>Data_thang!F2850</f>
        <v/>
      </c>
      <c r="F2850">
        <f>Data_thang!G2850</f>
        <v/>
      </c>
      <c r="G2850" s="29">
        <f>Data_thang!J2850-Data_thang!K2850</f>
        <v/>
      </c>
      <c r="H2850" s="29">
        <f>Data_thang!N2850</f>
        <v/>
      </c>
      <c r="I2850" s="29">
        <f>H2850-G2850</f>
        <v/>
      </c>
      <c r="J2850" s="30">
        <f>IF(H2850=0,IF(I2850=0,0,1),I2850/ABS(H2850))</f>
        <v/>
      </c>
      <c r="K2850" s="29">
        <f>H2850-(Data_thang!O2850-Data_thang!K2850)</f>
        <v/>
      </c>
      <c r="L2850">
        <f>IF(AND(ABS(I2850)&gt;Dashboard!$G$6,ABS(J2850)&gt;Dashboard!$H$6),"⚠ Vượt","")</f>
        <v/>
      </c>
      <c r="M2850">
        <f>IF(AND(A2850=Dashboard!$D$6,OR(Dashboard!$C$6="*",F2850=Dashboard!$C$6),L2850&lt;&gt;""),ABS(I2850)+ROW()/1000000000,0)</f>
        <v/>
      </c>
    </row>
    <row r="2851">
      <c r="A2851">
        <f>Data_thang!A2851</f>
        <v/>
      </c>
      <c r="B2851">
        <f>Data_thang!B2851</f>
        <v/>
      </c>
      <c r="C2851">
        <f>Data_thang!D2851</f>
        <v/>
      </c>
      <c r="D2851">
        <f>Data_thang!E2851</f>
        <v/>
      </c>
      <c r="E2851">
        <f>Data_thang!F2851</f>
        <v/>
      </c>
      <c r="F2851">
        <f>Data_thang!G2851</f>
        <v/>
      </c>
      <c r="G2851" s="29">
        <f>Data_thang!J2851-Data_thang!K2851</f>
        <v/>
      </c>
      <c r="H2851" s="29">
        <f>Data_thang!N2851</f>
        <v/>
      </c>
      <c r="I2851" s="29">
        <f>H2851-G2851</f>
        <v/>
      </c>
      <c r="J2851" s="30">
        <f>IF(H2851=0,IF(I2851=0,0,1),I2851/ABS(H2851))</f>
        <v/>
      </c>
      <c r="K2851" s="29">
        <f>H2851-(Data_thang!O2851-Data_thang!K2851)</f>
        <v/>
      </c>
      <c r="L2851">
        <f>IF(AND(ABS(I2851)&gt;Dashboard!$G$6,ABS(J2851)&gt;Dashboard!$H$6),"⚠ Vượt","")</f>
        <v/>
      </c>
      <c r="M2851">
        <f>IF(AND(A2851=Dashboard!$D$6,OR(Dashboard!$C$6="*",F2851=Dashboard!$C$6),L2851&lt;&gt;""),ABS(I2851)+ROW()/1000000000,0)</f>
        <v/>
      </c>
    </row>
    <row r="2852">
      <c r="A2852">
        <f>Data_thang!A2852</f>
        <v/>
      </c>
      <c r="B2852">
        <f>Data_thang!B2852</f>
        <v/>
      </c>
      <c r="C2852">
        <f>Data_thang!D2852</f>
        <v/>
      </c>
      <c r="D2852">
        <f>Data_thang!E2852</f>
        <v/>
      </c>
      <c r="E2852">
        <f>Data_thang!F2852</f>
        <v/>
      </c>
      <c r="F2852">
        <f>Data_thang!G2852</f>
        <v/>
      </c>
      <c r="G2852" s="29">
        <f>Data_thang!J2852-Data_thang!K2852</f>
        <v/>
      </c>
      <c r="H2852" s="29">
        <f>Data_thang!N2852</f>
        <v/>
      </c>
      <c r="I2852" s="29">
        <f>H2852-G2852</f>
        <v/>
      </c>
      <c r="J2852" s="30">
        <f>IF(H2852=0,IF(I2852=0,0,1),I2852/ABS(H2852))</f>
        <v/>
      </c>
      <c r="K2852" s="29">
        <f>H2852-(Data_thang!O2852-Data_thang!K2852)</f>
        <v/>
      </c>
      <c r="L2852">
        <f>IF(AND(ABS(I2852)&gt;Dashboard!$G$6,ABS(J2852)&gt;Dashboard!$H$6),"⚠ Vượt","")</f>
        <v/>
      </c>
      <c r="M2852">
        <f>IF(AND(A2852=Dashboard!$D$6,OR(Dashboard!$C$6="*",F2852=Dashboard!$C$6),L2852&lt;&gt;""),ABS(I2852)+ROW()/1000000000,0)</f>
        <v/>
      </c>
    </row>
    <row r="2853">
      <c r="A2853">
        <f>Data_thang!A2853</f>
        <v/>
      </c>
      <c r="B2853">
        <f>Data_thang!B2853</f>
        <v/>
      </c>
      <c r="C2853">
        <f>Data_thang!D2853</f>
        <v/>
      </c>
      <c r="D2853">
        <f>Data_thang!E2853</f>
        <v/>
      </c>
      <c r="E2853">
        <f>Data_thang!F2853</f>
        <v/>
      </c>
      <c r="F2853">
        <f>Data_thang!G2853</f>
        <v/>
      </c>
      <c r="G2853" s="29">
        <f>Data_thang!J2853-Data_thang!K2853</f>
        <v/>
      </c>
      <c r="H2853" s="29">
        <f>Data_thang!N2853</f>
        <v/>
      </c>
      <c r="I2853" s="29">
        <f>H2853-G2853</f>
        <v/>
      </c>
      <c r="J2853" s="30">
        <f>IF(H2853=0,IF(I2853=0,0,1),I2853/ABS(H2853))</f>
        <v/>
      </c>
      <c r="K2853" s="29">
        <f>H2853-(Data_thang!O2853-Data_thang!K2853)</f>
        <v/>
      </c>
      <c r="L2853">
        <f>IF(AND(ABS(I2853)&gt;Dashboard!$G$6,ABS(J2853)&gt;Dashboard!$H$6),"⚠ Vượt","")</f>
        <v/>
      </c>
      <c r="M2853">
        <f>IF(AND(A2853=Dashboard!$D$6,OR(Dashboard!$C$6="*",F2853=Dashboard!$C$6),L2853&lt;&gt;""),ABS(I2853)+ROW()/1000000000,0)</f>
        <v/>
      </c>
    </row>
    <row r="2854">
      <c r="A2854">
        <f>Data_thang!A2854</f>
        <v/>
      </c>
      <c r="B2854">
        <f>Data_thang!B2854</f>
        <v/>
      </c>
      <c r="C2854">
        <f>Data_thang!D2854</f>
        <v/>
      </c>
      <c r="D2854">
        <f>Data_thang!E2854</f>
        <v/>
      </c>
      <c r="E2854">
        <f>Data_thang!F2854</f>
        <v/>
      </c>
      <c r="F2854">
        <f>Data_thang!G2854</f>
        <v/>
      </c>
      <c r="G2854" s="29">
        <f>Data_thang!J2854-Data_thang!K2854</f>
        <v/>
      </c>
      <c r="H2854" s="29">
        <f>Data_thang!N2854</f>
        <v/>
      </c>
      <c r="I2854" s="29">
        <f>H2854-G2854</f>
        <v/>
      </c>
      <c r="J2854" s="30">
        <f>IF(H2854=0,IF(I2854=0,0,1),I2854/ABS(H2854))</f>
        <v/>
      </c>
      <c r="K2854" s="29">
        <f>H2854-(Data_thang!O2854-Data_thang!K2854)</f>
        <v/>
      </c>
      <c r="L2854">
        <f>IF(AND(ABS(I2854)&gt;Dashboard!$G$6,ABS(J2854)&gt;Dashboard!$H$6),"⚠ Vượt","")</f>
        <v/>
      </c>
      <c r="M2854">
        <f>IF(AND(A2854=Dashboard!$D$6,OR(Dashboard!$C$6="*",F2854=Dashboard!$C$6),L2854&lt;&gt;""),ABS(I2854)+ROW()/1000000000,0)</f>
        <v/>
      </c>
    </row>
    <row r="2855">
      <c r="A2855">
        <f>Data_thang!A2855</f>
        <v/>
      </c>
      <c r="B2855">
        <f>Data_thang!B2855</f>
        <v/>
      </c>
      <c r="C2855">
        <f>Data_thang!D2855</f>
        <v/>
      </c>
      <c r="D2855">
        <f>Data_thang!E2855</f>
        <v/>
      </c>
      <c r="E2855">
        <f>Data_thang!F2855</f>
        <v/>
      </c>
      <c r="F2855">
        <f>Data_thang!G2855</f>
        <v/>
      </c>
      <c r="G2855" s="29">
        <f>Data_thang!J2855-Data_thang!K2855</f>
        <v/>
      </c>
      <c r="H2855" s="29">
        <f>Data_thang!N2855</f>
        <v/>
      </c>
      <c r="I2855" s="29">
        <f>H2855-G2855</f>
        <v/>
      </c>
      <c r="J2855" s="30">
        <f>IF(H2855=0,IF(I2855=0,0,1),I2855/ABS(H2855))</f>
        <v/>
      </c>
      <c r="K2855" s="29">
        <f>H2855-(Data_thang!O2855-Data_thang!K2855)</f>
        <v/>
      </c>
      <c r="L2855">
        <f>IF(AND(ABS(I2855)&gt;Dashboard!$G$6,ABS(J2855)&gt;Dashboard!$H$6),"⚠ Vượt","")</f>
        <v/>
      </c>
      <c r="M2855">
        <f>IF(AND(A2855=Dashboard!$D$6,OR(Dashboard!$C$6="*",F2855=Dashboard!$C$6),L2855&lt;&gt;""),ABS(I2855)+ROW()/1000000000,0)</f>
        <v/>
      </c>
    </row>
    <row r="2856">
      <c r="A2856">
        <f>Data_thang!A2856</f>
        <v/>
      </c>
      <c r="B2856">
        <f>Data_thang!B2856</f>
        <v/>
      </c>
      <c r="C2856">
        <f>Data_thang!D2856</f>
        <v/>
      </c>
      <c r="D2856">
        <f>Data_thang!E2856</f>
        <v/>
      </c>
      <c r="E2856">
        <f>Data_thang!F2856</f>
        <v/>
      </c>
      <c r="F2856">
        <f>Data_thang!G2856</f>
        <v/>
      </c>
      <c r="G2856" s="29">
        <f>Data_thang!J2856-Data_thang!K2856</f>
        <v/>
      </c>
      <c r="H2856" s="29">
        <f>Data_thang!N2856</f>
        <v/>
      </c>
      <c r="I2856" s="29">
        <f>H2856-G2856</f>
        <v/>
      </c>
      <c r="J2856" s="30">
        <f>IF(H2856=0,IF(I2856=0,0,1),I2856/ABS(H2856))</f>
        <v/>
      </c>
      <c r="K2856" s="29">
        <f>H2856-(Data_thang!O2856-Data_thang!K2856)</f>
        <v/>
      </c>
      <c r="L2856">
        <f>IF(AND(ABS(I2856)&gt;Dashboard!$G$6,ABS(J2856)&gt;Dashboard!$H$6),"⚠ Vượt","")</f>
        <v/>
      </c>
      <c r="M2856">
        <f>IF(AND(A2856=Dashboard!$D$6,OR(Dashboard!$C$6="*",F2856=Dashboard!$C$6),L2856&lt;&gt;""),ABS(I2856)+ROW()/1000000000,0)</f>
        <v/>
      </c>
    </row>
    <row r="2857">
      <c r="A2857">
        <f>Data_thang!A2857</f>
        <v/>
      </c>
      <c r="B2857">
        <f>Data_thang!B2857</f>
        <v/>
      </c>
      <c r="C2857">
        <f>Data_thang!D2857</f>
        <v/>
      </c>
      <c r="D2857">
        <f>Data_thang!E2857</f>
        <v/>
      </c>
      <c r="E2857">
        <f>Data_thang!F2857</f>
        <v/>
      </c>
      <c r="F2857">
        <f>Data_thang!G2857</f>
        <v/>
      </c>
      <c r="G2857" s="29">
        <f>Data_thang!J2857-Data_thang!K2857</f>
        <v/>
      </c>
      <c r="H2857" s="29">
        <f>Data_thang!N2857</f>
        <v/>
      </c>
      <c r="I2857" s="29">
        <f>H2857-G2857</f>
        <v/>
      </c>
      <c r="J2857" s="30">
        <f>IF(H2857=0,IF(I2857=0,0,1),I2857/ABS(H2857))</f>
        <v/>
      </c>
      <c r="K2857" s="29">
        <f>H2857-(Data_thang!O2857-Data_thang!K2857)</f>
        <v/>
      </c>
      <c r="L2857">
        <f>IF(AND(ABS(I2857)&gt;Dashboard!$G$6,ABS(J2857)&gt;Dashboard!$H$6),"⚠ Vượt","")</f>
        <v/>
      </c>
      <c r="M2857">
        <f>IF(AND(A2857=Dashboard!$D$6,OR(Dashboard!$C$6="*",F2857=Dashboard!$C$6),L2857&lt;&gt;""),ABS(I2857)+ROW()/1000000000,0)</f>
        <v/>
      </c>
    </row>
    <row r="2858">
      <c r="A2858">
        <f>Data_thang!A2858</f>
        <v/>
      </c>
      <c r="B2858">
        <f>Data_thang!B2858</f>
        <v/>
      </c>
      <c r="C2858">
        <f>Data_thang!D2858</f>
        <v/>
      </c>
      <c r="D2858">
        <f>Data_thang!E2858</f>
        <v/>
      </c>
      <c r="E2858">
        <f>Data_thang!F2858</f>
        <v/>
      </c>
      <c r="F2858">
        <f>Data_thang!G2858</f>
        <v/>
      </c>
      <c r="G2858" s="29">
        <f>Data_thang!J2858-Data_thang!K2858</f>
        <v/>
      </c>
      <c r="H2858" s="29">
        <f>Data_thang!N2858</f>
        <v/>
      </c>
      <c r="I2858" s="29">
        <f>H2858-G2858</f>
        <v/>
      </c>
      <c r="J2858" s="30">
        <f>IF(H2858=0,IF(I2858=0,0,1),I2858/ABS(H2858))</f>
        <v/>
      </c>
      <c r="K2858" s="29">
        <f>H2858-(Data_thang!O2858-Data_thang!K2858)</f>
        <v/>
      </c>
      <c r="L2858">
        <f>IF(AND(ABS(I2858)&gt;Dashboard!$G$6,ABS(J2858)&gt;Dashboard!$H$6),"⚠ Vượt","")</f>
        <v/>
      </c>
      <c r="M2858">
        <f>IF(AND(A2858=Dashboard!$D$6,OR(Dashboard!$C$6="*",F2858=Dashboard!$C$6),L2858&lt;&gt;""),ABS(I2858)+ROW()/1000000000,0)</f>
        <v/>
      </c>
    </row>
    <row r="2859">
      <c r="A2859">
        <f>Data_thang!A2859</f>
        <v/>
      </c>
      <c r="B2859">
        <f>Data_thang!B2859</f>
        <v/>
      </c>
      <c r="C2859">
        <f>Data_thang!D2859</f>
        <v/>
      </c>
      <c r="D2859">
        <f>Data_thang!E2859</f>
        <v/>
      </c>
      <c r="E2859">
        <f>Data_thang!F2859</f>
        <v/>
      </c>
      <c r="F2859">
        <f>Data_thang!G2859</f>
        <v/>
      </c>
      <c r="G2859" s="29">
        <f>Data_thang!J2859-Data_thang!K2859</f>
        <v/>
      </c>
      <c r="H2859" s="29">
        <f>Data_thang!N2859</f>
        <v/>
      </c>
      <c r="I2859" s="29">
        <f>H2859-G2859</f>
        <v/>
      </c>
      <c r="J2859" s="30">
        <f>IF(H2859=0,IF(I2859=0,0,1),I2859/ABS(H2859))</f>
        <v/>
      </c>
      <c r="K2859" s="29">
        <f>H2859-(Data_thang!O2859-Data_thang!K2859)</f>
        <v/>
      </c>
      <c r="L2859">
        <f>IF(AND(ABS(I2859)&gt;Dashboard!$G$6,ABS(J2859)&gt;Dashboard!$H$6),"⚠ Vượt","")</f>
        <v/>
      </c>
      <c r="M2859">
        <f>IF(AND(A2859=Dashboard!$D$6,OR(Dashboard!$C$6="*",F2859=Dashboard!$C$6),L2859&lt;&gt;""),ABS(I2859)+ROW()/1000000000,0)</f>
        <v/>
      </c>
    </row>
    <row r="2860">
      <c r="A2860">
        <f>Data_thang!A2860</f>
        <v/>
      </c>
      <c r="B2860">
        <f>Data_thang!B2860</f>
        <v/>
      </c>
      <c r="C2860">
        <f>Data_thang!D2860</f>
        <v/>
      </c>
      <c r="D2860">
        <f>Data_thang!E2860</f>
        <v/>
      </c>
      <c r="E2860">
        <f>Data_thang!F2860</f>
        <v/>
      </c>
      <c r="F2860">
        <f>Data_thang!G2860</f>
        <v/>
      </c>
      <c r="G2860" s="29">
        <f>Data_thang!J2860-Data_thang!K2860</f>
        <v/>
      </c>
      <c r="H2860" s="29">
        <f>Data_thang!N2860</f>
        <v/>
      </c>
      <c r="I2860" s="29">
        <f>H2860-G2860</f>
        <v/>
      </c>
      <c r="J2860" s="30">
        <f>IF(H2860=0,IF(I2860=0,0,1),I2860/ABS(H2860))</f>
        <v/>
      </c>
      <c r="K2860" s="29">
        <f>H2860-(Data_thang!O2860-Data_thang!K2860)</f>
        <v/>
      </c>
      <c r="L2860">
        <f>IF(AND(ABS(I2860)&gt;Dashboard!$G$6,ABS(J2860)&gt;Dashboard!$H$6),"⚠ Vượt","")</f>
        <v/>
      </c>
      <c r="M2860">
        <f>IF(AND(A2860=Dashboard!$D$6,OR(Dashboard!$C$6="*",F2860=Dashboard!$C$6),L2860&lt;&gt;""),ABS(I2860)+ROW()/1000000000,0)</f>
        <v/>
      </c>
    </row>
    <row r="2861">
      <c r="A2861">
        <f>Data_thang!A2861</f>
        <v/>
      </c>
      <c r="B2861">
        <f>Data_thang!B2861</f>
        <v/>
      </c>
      <c r="C2861">
        <f>Data_thang!D2861</f>
        <v/>
      </c>
      <c r="D2861">
        <f>Data_thang!E2861</f>
        <v/>
      </c>
      <c r="E2861">
        <f>Data_thang!F2861</f>
        <v/>
      </c>
      <c r="F2861">
        <f>Data_thang!G2861</f>
        <v/>
      </c>
      <c r="G2861" s="29">
        <f>Data_thang!J2861-Data_thang!K2861</f>
        <v/>
      </c>
      <c r="H2861" s="29">
        <f>Data_thang!N2861</f>
        <v/>
      </c>
      <c r="I2861" s="29">
        <f>H2861-G2861</f>
        <v/>
      </c>
      <c r="J2861" s="30">
        <f>IF(H2861=0,IF(I2861=0,0,1),I2861/ABS(H2861))</f>
        <v/>
      </c>
      <c r="K2861" s="29">
        <f>H2861-(Data_thang!O2861-Data_thang!K2861)</f>
        <v/>
      </c>
      <c r="L2861">
        <f>IF(AND(ABS(I2861)&gt;Dashboard!$G$6,ABS(J2861)&gt;Dashboard!$H$6),"⚠ Vượt","")</f>
        <v/>
      </c>
      <c r="M2861">
        <f>IF(AND(A2861=Dashboard!$D$6,OR(Dashboard!$C$6="*",F2861=Dashboard!$C$6),L2861&lt;&gt;""),ABS(I2861)+ROW()/1000000000,0)</f>
        <v/>
      </c>
    </row>
    <row r="2862">
      <c r="A2862">
        <f>Data_thang!A2862</f>
        <v/>
      </c>
      <c r="B2862">
        <f>Data_thang!B2862</f>
        <v/>
      </c>
      <c r="C2862">
        <f>Data_thang!D2862</f>
        <v/>
      </c>
      <c r="D2862">
        <f>Data_thang!E2862</f>
        <v/>
      </c>
      <c r="E2862">
        <f>Data_thang!F2862</f>
        <v/>
      </c>
      <c r="F2862">
        <f>Data_thang!G2862</f>
        <v/>
      </c>
      <c r="G2862" s="29">
        <f>Data_thang!J2862-Data_thang!K2862</f>
        <v/>
      </c>
      <c r="H2862" s="29">
        <f>Data_thang!N2862</f>
        <v/>
      </c>
      <c r="I2862" s="29">
        <f>H2862-G2862</f>
        <v/>
      </c>
      <c r="J2862" s="30">
        <f>IF(H2862=0,IF(I2862=0,0,1),I2862/ABS(H2862))</f>
        <v/>
      </c>
      <c r="K2862" s="29">
        <f>H2862-(Data_thang!O2862-Data_thang!K2862)</f>
        <v/>
      </c>
      <c r="L2862">
        <f>IF(AND(ABS(I2862)&gt;Dashboard!$G$6,ABS(J2862)&gt;Dashboard!$H$6),"⚠ Vượt","")</f>
        <v/>
      </c>
      <c r="M2862">
        <f>IF(AND(A2862=Dashboard!$D$6,OR(Dashboard!$C$6="*",F2862=Dashboard!$C$6),L2862&lt;&gt;""),ABS(I2862)+ROW()/1000000000,0)</f>
        <v/>
      </c>
    </row>
    <row r="2863">
      <c r="A2863">
        <f>Data_thang!A2863</f>
        <v/>
      </c>
      <c r="B2863">
        <f>Data_thang!B2863</f>
        <v/>
      </c>
      <c r="C2863">
        <f>Data_thang!D2863</f>
        <v/>
      </c>
      <c r="D2863">
        <f>Data_thang!E2863</f>
        <v/>
      </c>
      <c r="E2863">
        <f>Data_thang!F2863</f>
        <v/>
      </c>
      <c r="F2863">
        <f>Data_thang!G2863</f>
        <v/>
      </c>
      <c r="G2863" s="29">
        <f>Data_thang!J2863-Data_thang!K2863</f>
        <v/>
      </c>
      <c r="H2863" s="29">
        <f>Data_thang!N2863</f>
        <v/>
      </c>
      <c r="I2863" s="29">
        <f>H2863-G2863</f>
        <v/>
      </c>
      <c r="J2863" s="30">
        <f>IF(H2863=0,IF(I2863=0,0,1),I2863/ABS(H2863))</f>
        <v/>
      </c>
      <c r="K2863" s="29">
        <f>H2863-(Data_thang!O2863-Data_thang!K2863)</f>
        <v/>
      </c>
      <c r="L2863">
        <f>IF(AND(ABS(I2863)&gt;Dashboard!$G$6,ABS(J2863)&gt;Dashboard!$H$6),"⚠ Vượt","")</f>
        <v/>
      </c>
      <c r="M2863">
        <f>IF(AND(A2863=Dashboard!$D$6,OR(Dashboard!$C$6="*",F2863=Dashboard!$C$6),L2863&lt;&gt;""),ABS(I2863)+ROW()/1000000000,0)</f>
        <v/>
      </c>
    </row>
    <row r="2864">
      <c r="A2864">
        <f>Data_thang!A2864</f>
        <v/>
      </c>
      <c r="B2864">
        <f>Data_thang!B2864</f>
        <v/>
      </c>
      <c r="C2864">
        <f>Data_thang!D2864</f>
        <v/>
      </c>
      <c r="D2864">
        <f>Data_thang!E2864</f>
        <v/>
      </c>
      <c r="E2864">
        <f>Data_thang!F2864</f>
        <v/>
      </c>
      <c r="F2864">
        <f>Data_thang!G2864</f>
        <v/>
      </c>
      <c r="G2864" s="29">
        <f>Data_thang!J2864-Data_thang!K2864</f>
        <v/>
      </c>
      <c r="H2864" s="29">
        <f>Data_thang!N2864</f>
        <v/>
      </c>
      <c r="I2864" s="29">
        <f>H2864-G2864</f>
        <v/>
      </c>
      <c r="J2864" s="30">
        <f>IF(H2864=0,IF(I2864=0,0,1),I2864/ABS(H2864))</f>
        <v/>
      </c>
      <c r="K2864" s="29">
        <f>H2864-(Data_thang!O2864-Data_thang!K2864)</f>
        <v/>
      </c>
      <c r="L2864">
        <f>IF(AND(ABS(I2864)&gt;Dashboard!$G$6,ABS(J2864)&gt;Dashboard!$H$6),"⚠ Vượt","")</f>
        <v/>
      </c>
      <c r="M2864">
        <f>IF(AND(A2864=Dashboard!$D$6,OR(Dashboard!$C$6="*",F2864=Dashboard!$C$6),L2864&lt;&gt;""),ABS(I2864)+ROW()/1000000000,0)</f>
        <v/>
      </c>
    </row>
    <row r="2865">
      <c r="A2865">
        <f>Data_thang!A2865</f>
        <v/>
      </c>
      <c r="B2865">
        <f>Data_thang!B2865</f>
        <v/>
      </c>
      <c r="C2865">
        <f>Data_thang!D2865</f>
        <v/>
      </c>
      <c r="D2865">
        <f>Data_thang!E2865</f>
        <v/>
      </c>
      <c r="E2865">
        <f>Data_thang!F2865</f>
        <v/>
      </c>
      <c r="F2865">
        <f>Data_thang!G2865</f>
        <v/>
      </c>
      <c r="G2865" s="29">
        <f>Data_thang!J2865-Data_thang!K2865</f>
        <v/>
      </c>
      <c r="H2865" s="29">
        <f>Data_thang!N2865</f>
        <v/>
      </c>
      <c r="I2865" s="29">
        <f>H2865-G2865</f>
        <v/>
      </c>
      <c r="J2865" s="30">
        <f>IF(H2865=0,IF(I2865=0,0,1),I2865/ABS(H2865))</f>
        <v/>
      </c>
      <c r="K2865" s="29">
        <f>H2865-(Data_thang!O2865-Data_thang!K2865)</f>
        <v/>
      </c>
      <c r="L2865">
        <f>IF(AND(ABS(I2865)&gt;Dashboard!$G$6,ABS(J2865)&gt;Dashboard!$H$6),"⚠ Vượt","")</f>
        <v/>
      </c>
      <c r="M2865">
        <f>IF(AND(A2865=Dashboard!$D$6,OR(Dashboard!$C$6="*",F2865=Dashboard!$C$6),L2865&lt;&gt;""),ABS(I2865)+ROW()/1000000000,0)</f>
        <v/>
      </c>
    </row>
    <row r="2866">
      <c r="A2866">
        <f>Data_thang!A2866</f>
        <v/>
      </c>
      <c r="B2866">
        <f>Data_thang!B2866</f>
        <v/>
      </c>
      <c r="C2866">
        <f>Data_thang!D2866</f>
        <v/>
      </c>
      <c r="D2866">
        <f>Data_thang!E2866</f>
        <v/>
      </c>
      <c r="E2866">
        <f>Data_thang!F2866</f>
        <v/>
      </c>
      <c r="F2866">
        <f>Data_thang!G2866</f>
        <v/>
      </c>
      <c r="G2866" s="29">
        <f>Data_thang!J2866-Data_thang!K2866</f>
        <v/>
      </c>
      <c r="H2866" s="29">
        <f>Data_thang!N2866</f>
        <v/>
      </c>
      <c r="I2866" s="29">
        <f>H2866-G2866</f>
        <v/>
      </c>
      <c r="J2866" s="30">
        <f>IF(H2866=0,IF(I2866=0,0,1),I2866/ABS(H2866))</f>
        <v/>
      </c>
      <c r="K2866" s="29">
        <f>H2866-(Data_thang!O2866-Data_thang!K2866)</f>
        <v/>
      </c>
      <c r="L2866">
        <f>IF(AND(ABS(I2866)&gt;Dashboard!$G$6,ABS(J2866)&gt;Dashboard!$H$6),"⚠ Vượt","")</f>
        <v/>
      </c>
      <c r="M2866">
        <f>IF(AND(A2866=Dashboard!$D$6,OR(Dashboard!$C$6="*",F2866=Dashboard!$C$6),L2866&lt;&gt;""),ABS(I2866)+ROW()/1000000000,0)</f>
        <v/>
      </c>
    </row>
    <row r="2867">
      <c r="A2867">
        <f>Data_thang!A2867</f>
        <v/>
      </c>
      <c r="B2867">
        <f>Data_thang!B2867</f>
        <v/>
      </c>
      <c r="C2867">
        <f>Data_thang!D2867</f>
        <v/>
      </c>
      <c r="D2867">
        <f>Data_thang!E2867</f>
        <v/>
      </c>
      <c r="E2867">
        <f>Data_thang!F2867</f>
        <v/>
      </c>
      <c r="F2867">
        <f>Data_thang!G2867</f>
        <v/>
      </c>
      <c r="G2867" s="29">
        <f>Data_thang!J2867-Data_thang!K2867</f>
        <v/>
      </c>
      <c r="H2867" s="29">
        <f>Data_thang!N2867</f>
        <v/>
      </c>
      <c r="I2867" s="29">
        <f>H2867-G2867</f>
        <v/>
      </c>
      <c r="J2867" s="30">
        <f>IF(H2867=0,IF(I2867=0,0,1),I2867/ABS(H2867))</f>
        <v/>
      </c>
      <c r="K2867" s="29">
        <f>H2867-(Data_thang!O2867-Data_thang!K2867)</f>
        <v/>
      </c>
      <c r="L2867">
        <f>IF(AND(ABS(I2867)&gt;Dashboard!$G$6,ABS(J2867)&gt;Dashboard!$H$6),"⚠ Vượt","")</f>
        <v/>
      </c>
      <c r="M2867">
        <f>IF(AND(A2867=Dashboard!$D$6,OR(Dashboard!$C$6="*",F2867=Dashboard!$C$6),L2867&lt;&gt;""),ABS(I2867)+ROW()/1000000000,0)</f>
        <v/>
      </c>
    </row>
    <row r="2868">
      <c r="A2868">
        <f>Data_thang!A2868</f>
        <v/>
      </c>
      <c r="B2868">
        <f>Data_thang!B2868</f>
        <v/>
      </c>
      <c r="C2868">
        <f>Data_thang!D2868</f>
        <v/>
      </c>
      <c r="D2868">
        <f>Data_thang!E2868</f>
        <v/>
      </c>
      <c r="E2868">
        <f>Data_thang!F2868</f>
        <v/>
      </c>
      <c r="F2868">
        <f>Data_thang!G2868</f>
        <v/>
      </c>
      <c r="G2868" s="29">
        <f>Data_thang!J2868-Data_thang!K2868</f>
        <v/>
      </c>
      <c r="H2868" s="29">
        <f>Data_thang!N2868</f>
        <v/>
      </c>
      <c r="I2868" s="29">
        <f>H2868-G2868</f>
        <v/>
      </c>
      <c r="J2868" s="30">
        <f>IF(H2868=0,IF(I2868=0,0,1),I2868/ABS(H2868))</f>
        <v/>
      </c>
      <c r="K2868" s="29">
        <f>H2868-(Data_thang!O2868-Data_thang!K2868)</f>
        <v/>
      </c>
      <c r="L2868">
        <f>IF(AND(ABS(I2868)&gt;Dashboard!$G$6,ABS(J2868)&gt;Dashboard!$H$6),"⚠ Vượt","")</f>
        <v/>
      </c>
      <c r="M2868">
        <f>IF(AND(A2868=Dashboard!$D$6,OR(Dashboard!$C$6="*",F2868=Dashboard!$C$6),L2868&lt;&gt;""),ABS(I2868)+ROW()/1000000000,0)</f>
        <v/>
      </c>
    </row>
    <row r="2869">
      <c r="A2869">
        <f>Data_thang!A2869</f>
        <v/>
      </c>
      <c r="B2869">
        <f>Data_thang!B2869</f>
        <v/>
      </c>
      <c r="C2869">
        <f>Data_thang!D2869</f>
        <v/>
      </c>
      <c r="D2869">
        <f>Data_thang!E2869</f>
        <v/>
      </c>
      <c r="E2869">
        <f>Data_thang!F2869</f>
        <v/>
      </c>
      <c r="F2869">
        <f>Data_thang!G2869</f>
        <v/>
      </c>
      <c r="G2869" s="29">
        <f>Data_thang!J2869-Data_thang!K2869</f>
        <v/>
      </c>
      <c r="H2869" s="29">
        <f>Data_thang!N2869</f>
        <v/>
      </c>
      <c r="I2869" s="29">
        <f>H2869-G2869</f>
        <v/>
      </c>
      <c r="J2869" s="30">
        <f>IF(H2869=0,IF(I2869=0,0,1),I2869/ABS(H2869))</f>
        <v/>
      </c>
      <c r="K2869" s="29">
        <f>H2869-(Data_thang!O2869-Data_thang!K2869)</f>
        <v/>
      </c>
      <c r="L2869">
        <f>IF(AND(ABS(I2869)&gt;Dashboard!$G$6,ABS(J2869)&gt;Dashboard!$H$6),"⚠ Vượt","")</f>
        <v/>
      </c>
      <c r="M2869">
        <f>IF(AND(A2869=Dashboard!$D$6,OR(Dashboard!$C$6="*",F2869=Dashboard!$C$6),L2869&lt;&gt;""),ABS(I2869)+ROW()/1000000000,0)</f>
        <v/>
      </c>
    </row>
    <row r="2870">
      <c r="A2870">
        <f>Data_thang!A2870</f>
        <v/>
      </c>
      <c r="B2870">
        <f>Data_thang!B2870</f>
        <v/>
      </c>
      <c r="C2870">
        <f>Data_thang!D2870</f>
        <v/>
      </c>
      <c r="D2870">
        <f>Data_thang!E2870</f>
        <v/>
      </c>
      <c r="E2870">
        <f>Data_thang!F2870</f>
        <v/>
      </c>
      <c r="F2870">
        <f>Data_thang!G2870</f>
        <v/>
      </c>
      <c r="G2870" s="29">
        <f>Data_thang!J2870-Data_thang!K2870</f>
        <v/>
      </c>
      <c r="H2870" s="29">
        <f>Data_thang!N2870</f>
        <v/>
      </c>
      <c r="I2870" s="29">
        <f>H2870-G2870</f>
        <v/>
      </c>
      <c r="J2870" s="30">
        <f>IF(H2870=0,IF(I2870=0,0,1),I2870/ABS(H2870))</f>
        <v/>
      </c>
      <c r="K2870" s="29">
        <f>H2870-(Data_thang!O2870-Data_thang!K2870)</f>
        <v/>
      </c>
      <c r="L2870">
        <f>IF(AND(ABS(I2870)&gt;Dashboard!$G$6,ABS(J2870)&gt;Dashboard!$H$6),"⚠ Vượt","")</f>
        <v/>
      </c>
      <c r="M2870">
        <f>IF(AND(A2870=Dashboard!$D$6,OR(Dashboard!$C$6="*",F2870=Dashboard!$C$6),L2870&lt;&gt;""),ABS(I2870)+ROW()/1000000000,0)</f>
        <v/>
      </c>
    </row>
    <row r="2871">
      <c r="A2871">
        <f>Data_thang!A2871</f>
        <v/>
      </c>
      <c r="B2871">
        <f>Data_thang!B2871</f>
        <v/>
      </c>
      <c r="C2871">
        <f>Data_thang!D2871</f>
        <v/>
      </c>
      <c r="D2871">
        <f>Data_thang!E2871</f>
        <v/>
      </c>
      <c r="E2871">
        <f>Data_thang!F2871</f>
        <v/>
      </c>
      <c r="F2871">
        <f>Data_thang!G2871</f>
        <v/>
      </c>
      <c r="G2871" s="29">
        <f>Data_thang!J2871-Data_thang!K2871</f>
        <v/>
      </c>
      <c r="H2871" s="29">
        <f>Data_thang!N2871</f>
        <v/>
      </c>
      <c r="I2871" s="29">
        <f>H2871-G2871</f>
        <v/>
      </c>
      <c r="J2871" s="30">
        <f>IF(H2871=0,IF(I2871=0,0,1),I2871/ABS(H2871))</f>
        <v/>
      </c>
      <c r="K2871" s="29">
        <f>H2871-(Data_thang!O2871-Data_thang!K2871)</f>
        <v/>
      </c>
      <c r="L2871">
        <f>IF(AND(ABS(I2871)&gt;Dashboard!$G$6,ABS(J2871)&gt;Dashboard!$H$6),"⚠ Vượt","")</f>
        <v/>
      </c>
      <c r="M2871">
        <f>IF(AND(A2871=Dashboard!$D$6,OR(Dashboard!$C$6="*",F2871=Dashboard!$C$6),L2871&lt;&gt;""),ABS(I2871)+ROW()/1000000000,0)</f>
        <v/>
      </c>
    </row>
    <row r="2872">
      <c r="A2872">
        <f>Data_thang!A2872</f>
        <v/>
      </c>
      <c r="B2872">
        <f>Data_thang!B2872</f>
        <v/>
      </c>
      <c r="C2872">
        <f>Data_thang!D2872</f>
        <v/>
      </c>
      <c r="D2872">
        <f>Data_thang!E2872</f>
        <v/>
      </c>
      <c r="E2872">
        <f>Data_thang!F2872</f>
        <v/>
      </c>
      <c r="F2872">
        <f>Data_thang!G2872</f>
        <v/>
      </c>
      <c r="G2872" s="29">
        <f>Data_thang!J2872-Data_thang!K2872</f>
        <v/>
      </c>
      <c r="H2872" s="29">
        <f>Data_thang!N2872</f>
        <v/>
      </c>
      <c r="I2872" s="29">
        <f>H2872-G2872</f>
        <v/>
      </c>
      <c r="J2872" s="30">
        <f>IF(H2872=0,IF(I2872=0,0,1),I2872/ABS(H2872))</f>
        <v/>
      </c>
      <c r="K2872" s="29">
        <f>H2872-(Data_thang!O2872-Data_thang!K2872)</f>
        <v/>
      </c>
      <c r="L2872">
        <f>IF(AND(ABS(I2872)&gt;Dashboard!$G$6,ABS(J2872)&gt;Dashboard!$H$6),"⚠ Vượt","")</f>
        <v/>
      </c>
      <c r="M2872">
        <f>IF(AND(A2872=Dashboard!$D$6,OR(Dashboard!$C$6="*",F2872=Dashboard!$C$6),L2872&lt;&gt;""),ABS(I2872)+ROW()/1000000000,0)</f>
        <v/>
      </c>
    </row>
    <row r="2873">
      <c r="A2873">
        <f>Data_thang!A2873</f>
        <v/>
      </c>
      <c r="B2873">
        <f>Data_thang!B2873</f>
        <v/>
      </c>
      <c r="C2873">
        <f>Data_thang!D2873</f>
        <v/>
      </c>
      <c r="D2873">
        <f>Data_thang!E2873</f>
        <v/>
      </c>
      <c r="E2873">
        <f>Data_thang!F2873</f>
        <v/>
      </c>
      <c r="F2873">
        <f>Data_thang!G2873</f>
        <v/>
      </c>
      <c r="G2873" s="29">
        <f>Data_thang!J2873-Data_thang!K2873</f>
        <v/>
      </c>
      <c r="H2873" s="29">
        <f>Data_thang!N2873</f>
        <v/>
      </c>
      <c r="I2873" s="29">
        <f>H2873-G2873</f>
        <v/>
      </c>
      <c r="J2873" s="30">
        <f>IF(H2873=0,IF(I2873=0,0,1),I2873/ABS(H2873))</f>
        <v/>
      </c>
      <c r="K2873" s="29">
        <f>H2873-(Data_thang!O2873-Data_thang!K2873)</f>
        <v/>
      </c>
      <c r="L2873">
        <f>IF(AND(ABS(I2873)&gt;Dashboard!$G$6,ABS(J2873)&gt;Dashboard!$H$6),"⚠ Vượt","")</f>
        <v/>
      </c>
      <c r="M2873">
        <f>IF(AND(A2873=Dashboard!$D$6,OR(Dashboard!$C$6="*",F2873=Dashboard!$C$6),L2873&lt;&gt;""),ABS(I2873)+ROW()/1000000000,0)</f>
        <v/>
      </c>
    </row>
    <row r="2874">
      <c r="A2874">
        <f>Data_thang!A2874</f>
        <v/>
      </c>
      <c r="B2874">
        <f>Data_thang!B2874</f>
        <v/>
      </c>
      <c r="C2874">
        <f>Data_thang!D2874</f>
        <v/>
      </c>
      <c r="D2874">
        <f>Data_thang!E2874</f>
        <v/>
      </c>
      <c r="E2874">
        <f>Data_thang!F2874</f>
        <v/>
      </c>
      <c r="F2874">
        <f>Data_thang!G2874</f>
        <v/>
      </c>
      <c r="G2874" s="29">
        <f>Data_thang!J2874-Data_thang!K2874</f>
        <v/>
      </c>
      <c r="H2874" s="29">
        <f>Data_thang!N2874</f>
        <v/>
      </c>
      <c r="I2874" s="29">
        <f>H2874-G2874</f>
        <v/>
      </c>
      <c r="J2874" s="30">
        <f>IF(H2874=0,IF(I2874=0,0,1),I2874/ABS(H2874))</f>
        <v/>
      </c>
      <c r="K2874" s="29">
        <f>H2874-(Data_thang!O2874-Data_thang!K2874)</f>
        <v/>
      </c>
      <c r="L2874">
        <f>IF(AND(ABS(I2874)&gt;Dashboard!$G$6,ABS(J2874)&gt;Dashboard!$H$6),"⚠ Vượt","")</f>
        <v/>
      </c>
      <c r="M2874">
        <f>IF(AND(A2874=Dashboard!$D$6,OR(Dashboard!$C$6="*",F2874=Dashboard!$C$6),L2874&lt;&gt;""),ABS(I2874)+ROW()/1000000000,0)</f>
        <v/>
      </c>
    </row>
    <row r="2875">
      <c r="A2875">
        <f>Data_thang!A2875</f>
        <v/>
      </c>
      <c r="B2875">
        <f>Data_thang!B2875</f>
        <v/>
      </c>
      <c r="C2875">
        <f>Data_thang!D2875</f>
        <v/>
      </c>
      <c r="D2875">
        <f>Data_thang!E2875</f>
        <v/>
      </c>
      <c r="E2875">
        <f>Data_thang!F2875</f>
        <v/>
      </c>
      <c r="F2875">
        <f>Data_thang!G2875</f>
        <v/>
      </c>
      <c r="G2875" s="29">
        <f>Data_thang!J2875-Data_thang!K2875</f>
        <v/>
      </c>
      <c r="H2875" s="29">
        <f>Data_thang!N2875</f>
        <v/>
      </c>
      <c r="I2875" s="29">
        <f>H2875-G2875</f>
        <v/>
      </c>
      <c r="J2875" s="30">
        <f>IF(H2875=0,IF(I2875=0,0,1),I2875/ABS(H2875))</f>
        <v/>
      </c>
      <c r="K2875" s="29">
        <f>H2875-(Data_thang!O2875-Data_thang!K2875)</f>
        <v/>
      </c>
      <c r="L2875">
        <f>IF(AND(ABS(I2875)&gt;Dashboard!$G$6,ABS(J2875)&gt;Dashboard!$H$6),"⚠ Vượt","")</f>
        <v/>
      </c>
      <c r="M2875">
        <f>IF(AND(A2875=Dashboard!$D$6,OR(Dashboard!$C$6="*",F2875=Dashboard!$C$6),L2875&lt;&gt;""),ABS(I2875)+ROW()/1000000000,0)</f>
        <v/>
      </c>
    </row>
    <row r="2876">
      <c r="A2876">
        <f>Data_thang!A2876</f>
        <v/>
      </c>
      <c r="B2876">
        <f>Data_thang!B2876</f>
        <v/>
      </c>
      <c r="C2876">
        <f>Data_thang!D2876</f>
        <v/>
      </c>
      <c r="D2876">
        <f>Data_thang!E2876</f>
        <v/>
      </c>
      <c r="E2876">
        <f>Data_thang!F2876</f>
        <v/>
      </c>
      <c r="F2876">
        <f>Data_thang!G2876</f>
        <v/>
      </c>
      <c r="G2876" s="29">
        <f>Data_thang!J2876-Data_thang!K2876</f>
        <v/>
      </c>
      <c r="H2876" s="29">
        <f>Data_thang!N2876</f>
        <v/>
      </c>
      <c r="I2876" s="29">
        <f>H2876-G2876</f>
        <v/>
      </c>
      <c r="J2876" s="30">
        <f>IF(H2876=0,IF(I2876=0,0,1),I2876/ABS(H2876))</f>
        <v/>
      </c>
      <c r="K2876" s="29">
        <f>H2876-(Data_thang!O2876-Data_thang!K2876)</f>
        <v/>
      </c>
      <c r="L2876">
        <f>IF(AND(ABS(I2876)&gt;Dashboard!$G$6,ABS(J2876)&gt;Dashboard!$H$6),"⚠ Vượt","")</f>
        <v/>
      </c>
      <c r="M2876">
        <f>IF(AND(A2876=Dashboard!$D$6,OR(Dashboard!$C$6="*",F2876=Dashboard!$C$6),L2876&lt;&gt;""),ABS(I2876)+ROW()/1000000000,0)</f>
        <v/>
      </c>
    </row>
    <row r="2877">
      <c r="A2877">
        <f>Data_thang!A2877</f>
        <v/>
      </c>
      <c r="B2877">
        <f>Data_thang!B2877</f>
        <v/>
      </c>
      <c r="C2877">
        <f>Data_thang!D2877</f>
        <v/>
      </c>
      <c r="D2877">
        <f>Data_thang!E2877</f>
        <v/>
      </c>
      <c r="E2877">
        <f>Data_thang!F2877</f>
        <v/>
      </c>
      <c r="F2877">
        <f>Data_thang!G2877</f>
        <v/>
      </c>
      <c r="G2877" s="29">
        <f>Data_thang!J2877-Data_thang!K2877</f>
        <v/>
      </c>
      <c r="H2877" s="29">
        <f>Data_thang!N2877</f>
        <v/>
      </c>
      <c r="I2877" s="29">
        <f>H2877-G2877</f>
        <v/>
      </c>
      <c r="J2877" s="30">
        <f>IF(H2877=0,IF(I2877=0,0,1),I2877/ABS(H2877))</f>
        <v/>
      </c>
      <c r="K2877" s="29">
        <f>H2877-(Data_thang!O2877-Data_thang!K2877)</f>
        <v/>
      </c>
      <c r="L2877">
        <f>IF(AND(ABS(I2877)&gt;Dashboard!$G$6,ABS(J2877)&gt;Dashboard!$H$6),"⚠ Vượt","")</f>
        <v/>
      </c>
      <c r="M2877">
        <f>IF(AND(A2877=Dashboard!$D$6,OR(Dashboard!$C$6="*",F2877=Dashboard!$C$6),L2877&lt;&gt;""),ABS(I2877)+ROW()/1000000000,0)</f>
        <v/>
      </c>
    </row>
    <row r="2878">
      <c r="A2878">
        <f>Data_thang!A2878</f>
        <v/>
      </c>
      <c r="B2878">
        <f>Data_thang!B2878</f>
        <v/>
      </c>
      <c r="C2878">
        <f>Data_thang!D2878</f>
        <v/>
      </c>
      <c r="D2878">
        <f>Data_thang!E2878</f>
        <v/>
      </c>
      <c r="E2878">
        <f>Data_thang!F2878</f>
        <v/>
      </c>
      <c r="F2878">
        <f>Data_thang!G2878</f>
        <v/>
      </c>
      <c r="G2878" s="29">
        <f>Data_thang!J2878-Data_thang!K2878</f>
        <v/>
      </c>
      <c r="H2878" s="29">
        <f>Data_thang!N2878</f>
        <v/>
      </c>
      <c r="I2878" s="29">
        <f>H2878-G2878</f>
        <v/>
      </c>
      <c r="J2878" s="30">
        <f>IF(H2878=0,IF(I2878=0,0,1),I2878/ABS(H2878))</f>
        <v/>
      </c>
      <c r="K2878" s="29">
        <f>H2878-(Data_thang!O2878-Data_thang!K2878)</f>
        <v/>
      </c>
      <c r="L2878">
        <f>IF(AND(ABS(I2878)&gt;Dashboard!$G$6,ABS(J2878)&gt;Dashboard!$H$6),"⚠ Vượt","")</f>
        <v/>
      </c>
      <c r="M2878">
        <f>IF(AND(A2878=Dashboard!$D$6,OR(Dashboard!$C$6="*",F2878=Dashboard!$C$6),L2878&lt;&gt;""),ABS(I2878)+ROW()/1000000000,0)</f>
        <v/>
      </c>
    </row>
    <row r="2879">
      <c r="A2879">
        <f>Data_thang!A2879</f>
        <v/>
      </c>
      <c r="B2879">
        <f>Data_thang!B2879</f>
        <v/>
      </c>
      <c r="C2879">
        <f>Data_thang!D2879</f>
        <v/>
      </c>
      <c r="D2879">
        <f>Data_thang!E2879</f>
        <v/>
      </c>
      <c r="E2879">
        <f>Data_thang!F2879</f>
        <v/>
      </c>
      <c r="F2879">
        <f>Data_thang!G2879</f>
        <v/>
      </c>
      <c r="G2879" s="29">
        <f>Data_thang!J2879-Data_thang!K2879</f>
        <v/>
      </c>
      <c r="H2879" s="29">
        <f>Data_thang!N2879</f>
        <v/>
      </c>
      <c r="I2879" s="29">
        <f>H2879-G2879</f>
        <v/>
      </c>
      <c r="J2879" s="30">
        <f>IF(H2879=0,IF(I2879=0,0,1),I2879/ABS(H2879))</f>
        <v/>
      </c>
      <c r="K2879" s="29">
        <f>H2879-(Data_thang!O2879-Data_thang!K2879)</f>
        <v/>
      </c>
      <c r="L2879">
        <f>IF(AND(ABS(I2879)&gt;Dashboard!$G$6,ABS(J2879)&gt;Dashboard!$H$6),"⚠ Vượt","")</f>
        <v/>
      </c>
      <c r="M2879">
        <f>IF(AND(A2879=Dashboard!$D$6,OR(Dashboard!$C$6="*",F2879=Dashboard!$C$6),L2879&lt;&gt;""),ABS(I2879)+ROW()/1000000000,0)</f>
        <v/>
      </c>
    </row>
    <row r="2880">
      <c r="A2880">
        <f>Data_thang!A2880</f>
        <v/>
      </c>
      <c r="B2880">
        <f>Data_thang!B2880</f>
        <v/>
      </c>
      <c r="C2880">
        <f>Data_thang!D2880</f>
        <v/>
      </c>
      <c r="D2880">
        <f>Data_thang!E2880</f>
        <v/>
      </c>
      <c r="E2880">
        <f>Data_thang!F2880</f>
        <v/>
      </c>
      <c r="F2880">
        <f>Data_thang!G2880</f>
        <v/>
      </c>
      <c r="G2880" s="29">
        <f>Data_thang!J2880-Data_thang!K2880</f>
        <v/>
      </c>
      <c r="H2880" s="29">
        <f>Data_thang!N2880</f>
        <v/>
      </c>
      <c r="I2880" s="29">
        <f>H2880-G2880</f>
        <v/>
      </c>
      <c r="J2880" s="30">
        <f>IF(H2880=0,IF(I2880=0,0,1),I2880/ABS(H2880))</f>
        <v/>
      </c>
      <c r="K2880" s="29">
        <f>H2880-(Data_thang!O2880-Data_thang!K2880)</f>
        <v/>
      </c>
      <c r="L2880">
        <f>IF(AND(ABS(I2880)&gt;Dashboard!$G$6,ABS(J2880)&gt;Dashboard!$H$6),"⚠ Vượt","")</f>
        <v/>
      </c>
      <c r="M2880">
        <f>IF(AND(A2880=Dashboard!$D$6,OR(Dashboard!$C$6="*",F2880=Dashboard!$C$6),L2880&lt;&gt;""),ABS(I2880)+ROW()/1000000000,0)</f>
        <v/>
      </c>
    </row>
    <row r="2881">
      <c r="A2881">
        <f>Data_thang!A2881</f>
        <v/>
      </c>
      <c r="B2881">
        <f>Data_thang!B2881</f>
        <v/>
      </c>
      <c r="C2881">
        <f>Data_thang!D2881</f>
        <v/>
      </c>
      <c r="D2881">
        <f>Data_thang!E2881</f>
        <v/>
      </c>
      <c r="E2881">
        <f>Data_thang!F2881</f>
        <v/>
      </c>
      <c r="F2881">
        <f>Data_thang!G2881</f>
        <v/>
      </c>
      <c r="G2881" s="29">
        <f>Data_thang!J2881-Data_thang!K2881</f>
        <v/>
      </c>
      <c r="H2881" s="29">
        <f>Data_thang!N2881</f>
        <v/>
      </c>
      <c r="I2881" s="29">
        <f>H2881-G2881</f>
        <v/>
      </c>
      <c r="J2881" s="30">
        <f>IF(H2881=0,IF(I2881=0,0,1),I2881/ABS(H2881))</f>
        <v/>
      </c>
      <c r="K2881" s="29">
        <f>H2881-(Data_thang!O2881-Data_thang!K2881)</f>
        <v/>
      </c>
      <c r="L2881">
        <f>IF(AND(ABS(I2881)&gt;Dashboard!$G$6,ABS(J2881)&gt;Dashboard!$H$6),"⚠ Vượt","")</f>
        <v/>
      </c>
      <c r="M2881">
        <f>IF(AND(A2881=Dashboard!$D$6,OR(Dashboard!$C$6="*",F2881=Dashboard!$C$6),L2881&lt;&gt;""),ABS(I2881)+ROW()/1000000000,0)</f>
        <v/>
      </c>
    </row>
    <row r="2882">
      <c r="A2882">
        <f>Data_thang!A2882</f>
        <v/>
      </c>
      <c r="B2882">
        <f>Data_thang!B2882</f>
        <v/>
      </c>
      <c r="C2882">
        <f>Data_thang!D2882</f>
        <v/>
      </c>
      <c r="D2882">
        <f>Data_thang!E2882</f>
        <v/>
      </c>
      <c r="E2882">
        <f>Data_thang!F2882</f>
        <v/>
      </c>
      <c r="F2882">
        <f>Data_thang!G2882</f>
        <v/>
      </c>
      <c r="G2882" s="29">
        <f>Data_thang!J2882-Data_thang!K2882</f>
        <v/>
      </c>
      <c r="H2882" s="29">
        <f>Data_thang!N2882</f>
        <v/>
      </c>
      <c r="I2882" s="29">
        <f>H2882-G2882</f>
        <v/>
      </c>
      <c r="J2882" s="30">
        <f>IF(H2882=0,IF(I2882=0,0,1),I2882/ABS(H2882))</f>
        <v/>
      </c>
      <c r="K2882" s="29">
        <f>H2882-(Data_thang!O2882-Data_thang!K2882)</f>
        <v/>
      </c>
      <c r="L2882">
        <f>IF(AND(ABS(I2882)&gt;Dashboard!$G$6,ABS(J2882)&gt;Dashboard!$H$6),"⚠ Vượt","")</f>
        <v/>
      </c>
      <c r="M2882">
        <f>IF(AND(A2882=Dashboard!$D$6,OR(Dashboard!$C$6="*",F2882=Dashboard!$C$6),L2882&lt;&gt;""),ABS(I2882)+ROW()/1000000000,0)</f>
        <v/>
      </c>
    </row>
    <row r="2883">
      <c r="A2883">
        <f>Data_thang!A2883</f>
        <v/>
      </c>
      <c r="B2883">
        <f>Data_thang!B2883</f>
        <v/>
      </c>
      <c r="C2883">
        <f>Data_thang!D2883</f>
        <v/>
      </c>
      <c r="D2883">
        <f>Data_thang!E2883</f>
        <v/>
      </c>
      <c r="E2883">
        <f>Data_thang!F2883</f>
        <v/>
      </c>
      <c r="F2883">
        <f>Data_thang!G2883</f>
        <v/>
      </c>
      <c r="G2883" s="29">
        <f>Data_thang!J2883-Data_thang!K2883</f>
        <v/>
      </c>
      <c r="H2883" s="29">
        <f>Data_thang!N2883</f>
        <v/>
      </c>
      <c r="I2883" s="29">
        <f>H2883-G2883</f>
        <v/>
      </c>
      <c r="J2883" s="30">
        <f>IF(H2883=0,IF(I2883=0,0,1),I2883/ABS(H2883))</f>
        <v/>
      </c>
      <c r="K2883" s="29">
        <f>H2883-(Data_thang!O2883-Data_thang!K2883)</f>
        <v/>
      </c>
      <c r="L2883">
        <f>IF(AND(ABS(I2883)&gt;Dashboard!$G$6,ABS(J2883)&gt;Dashboard!$H$6),"⚠ Vượt","")</f>
        <v/>
      </c>
      <c r="M2883">
        <f>IF(AND(A2883=Dashboard!$D$6,OR(Dashboard!$C$6="*",F2883=Dashboard!$C$6),L2883&lt;&gt;""),ABS(I2883)+ROW()/1000000000,0)</f>
        <v/>
      </c>
    </row>
    <row r="2884">
      <c r="A2884">
        <f>Data_thang!A2884</f>
        <v/>
      </c>
      <c r="B2884">
        <f>Data_thang!B2884</f>
        <v/>
      </c>
      <c r="C2884">
        <f>Data_thang!D2884</f>
        <v/>
      </c>
      <c r="D2884">
        <f>Data_thang!E2884</f>
        <v/>
      </c>
      <c r="E2884">
        <f>Data_thang!F2884</f>
        <v/>
      </c>
      <c r="F2884">
        <f>Data_thang!G2884</f>
        <v/>
      </c>
      <c r="G2884" s="29">
        <f>Data_thang!J2884-Data_thang!K2884</f>
        <v/>
      </c>
      <c r="H2884" s="29">
        <f>Data_thang!N2884</f>
        <v/>
      </c>
      <c r="I2884" s="29">
        <f>H2884-G2884</f>
        <v/>
      </c>
      <c r="J2884" s="30">
        <f>IF(H2884=0,IF(I2884=0,0,1),I2884/ABS(H2884))</f>
        <v/>
      </c>
      <c r="K2884" s="29">
        <f>H2884-(Data_thang!O2884-Data_thang!K2884)</f>
        <v/>
      </c>
      <c r="L2884">
        <f>IF(AND(ABS(I2884)&gt;Dashboard!$G$6,ABS(J2884)&gt;Dashboard!$H$6),"⚠ Vượt","")</f>
        <v/>
      </c>
      <c r="M2884">
        <f>IF(AND(A2884=Dashboard!$D$6,OR(Dashboard!$C$6="*",F2884=Dashboard!$C$6),L2884&lt;&gt;""),ABS(I2884)+ROW()/1000000000,0)</f>
        <v/>
      </c>
    </row>
    <row r="2885">
      <c r="A2885">
        <f>Data_thang!A2885</f>
        <v/>
      </c>
      <c r="B2885">
        <f>Data_thang!B2885</f>
        <v/>
      </c>
      <c r="C2885">
        <f>Data_thang!D2885</f>
        <v/>
      </c>
      <c r="D2885">
        <f>Data_thang!E2885</f>
        <v/>
      </c>
      <c r="E2885">
        <f>Data_thang!F2885</f>
        <v/>
      </c>
      <c r="F2885">
        <f>Data_thang!G2885</f>
        <v/>
      </c>
      <c r="G2885" s="29">
        <f>Data_thang!J2885-Data_thang!K2885</f>
        <v/>
      </c>
      <c r="H2885" s="29">
        <f>Data_thang!N2885</f>
        <v/>
      </c>
      <c r="I2885" s="29">
        <f>H2885-G2885</f>
        <v/>
      </c>
      <c r="J2885" s="30">
        <f>IF(H2885=0,IF(I2885=0,0,1),I2885/ABS(H2885))</f>
        <v/>
      </c>
      <c r="K2885" s="29">
        <f>H2885-(Data_thang!O2885-Data_thang!K2885)</f>
        <v/>
      </c>
      <c r="L2885">
        <f>IF(AND(ABS(I2885)&gt;Dashboard!$G$6,ABS(J2885)&gt;Dashboard!$H$6),"⚠ Vượt","")</f>
        <v/>
      </c>
      <c r="M2885">
        <f>IF(AND(A2885=Dashboard!$D$6,OR(Dashboard!$C$6="*",F2885=Dashboard!$C$6),L2885&lt;&gt;""),ABS(I2885)+ROW()/1000000000,0)</f>
        <v/>
      </c>
    </row>
    <row r="2886">
      <c r="A2886">
        <f>Data_thang!A2886</f>
        <v/>
      </c>
      <c r="B2886">
        <f>Data_thang!B2886</f>
        <v/>
      </c>
      <c r="C2886">
        <f>Data_thang!D2886</f>
        <v/>
      </c>
      <c r="D2886">
        <f>Data_thang!E2886</f>
        <v/>
      </c>
      <c r="E2886">
        <f>Data_thang!F2886</f>
        <v/>
      </c>
      <c r="F2886">
        <f>Data_thang!G2886</f>
        <v/>
      </c>
      <c r="G2886" s="29">
        <f>Data_thang!J2886-Data_thang!K2886</f>
        <v/>
      </c>
      <c r="H2886" s="29">
        <f>Data_thang!N2886</f>
        <v/>
      </c>
      <c r="I2886" s="29">
        <f>H2886-G2886</f>
        <v/>
      </c>
      <c r="J2886" s="30">
        <f>IF(H2886=0,IF(I2886=0,0,1),I2886/ABS(H2886))</f>
        <v/>
      </c>
      <c r="K2886" s="29">
        <f>H2886-(Data_thang!O2886-Data_thang!K2886)</f>
        <v/>
      </c>
      <c r="L2886">
        <f>IF(AND(ABS(I2886)&gt;Dashboard!$G$6,ABS(J2886)&gt;Dashboard!$H$6),"⚠ Vượt","")</f>
        <v/>
      </c>
      <c r="M2886">
        <f>IF(AND(A2886=Dashboard!$D$6,OR(Dashboard!$C$6="*",F2886=Dashboard!$C$6),L2886&lt;&gt;""),ABS(I2886)+ROW()/1000000000,0)</f>
        <v/>
      </c>
    </row>
    <row r="2887">
      <c r="A2887">
        <f>Data_thang!A2887</f>
        <v/>
      </c>
      <c r="B2887">
        <f>Data_thang!B2887</f>
        <v/>
      </c>
      <c r="C2887">
        <f>Data_thang!D2887</f>
        <v/>
      </c>
      <c r="D2887">
        <f>Data_thang!E2887</f>
        <v/>
      </c>
      <c r="E2887">
        <f>Data_thang!F2887</f>
        <v/>
      </c>
      <c r="F2887">
        <f>Data_thang!G2887</f>
        <v/>
      </c>
      <c r="G2887" s="29">
        <f>Data_thang!J2887-Data_thang!K2887</f>
        <v/>
      </c>
      <c r="H2887" s="29">
        <f>Data_thang!N2887</f>
        <v/>
      </c>
      <c r="I2887" s="29">
        <f>H2887-G2887</f>
        <v/>
      </c>
      <c r="J2887" s="30">
        <f>IF(H2887=0,IF(I2887=0,0,1),I2887/ABS(H2887))</f>
        <v/>
      </c>
      <c r="K2887" s="29">
        <f>H2887-(Data_thang!O2887-Data_thang!K2887)</f>
        <v/>
      </c>
      <c r="L2887">
        <f>IF(AND(ABS(I2887)&gt;Dashboard!$G$6,ABS(J2887)&gt;Dashboard!$H$6),"⚠ Vượt","")</f>
        <v/>
      </c>
      <c r="M2887">
        <f>IF(AND(A2887=Dashboard!$D$6,OR(Dashboard!$C$6="*",F2887=Dashboard!$C$6),L2887&lt;&gt;""),ABS(I2887)+ROW()/1000000000,0)</f>
        <v/>
      </c>
    </row>
    <row r="2888">
      <c r="A2888">
        <f>Data_thang!A2888</f>
        <v/>
      </c>
      <c r="B2888">
        <f>Data_thang!B2888</f>
        <v/>
      </c>
      <c r="C2888">
        <f>Data_thang!D2888</f>
        <v/>
      </c>
      <c r="D2888">
        <f>Data_thang!E2888</f>
        <v/>
      </c>
      <c r="E2888">
        <f>Data_thang!F2888</f>
        <v/>
      </c>
      <c r="F2888">
        <f>Data_thang!G2888</f>
        <v/>
      </c>
      <c r="G2888" s="29">
        <f>Data_thang!J2888-Data_thang!K2888</f>
        <v/>
      </c>
      <c r="H2888" s="29">
        <f>Data_thang!N2888</f>
        <v/>
      </c>
      <c r="I2888" s="29">
        <f>H2888-G2888</f>
        <v/>
      </c>
      <c r="J2888" s="30">
        <f>IF(H2888=0,IF(I2888=0,0,1),I2888/ABS(H2888))</f>
        <v/>
      </c>
      <c r="K2888" s="29">
        <f>H2888-(Data_thang!O2888-Data_thang!K2888)</f>
        <v/>
      </c>
      <c r="L2888">
        <f>IF(AND(ABS(I2888)&gt;Dashboard!$G$6,ABS(J2888)&gt;Dashboard!$H$6),"⚠ Vượt","")</f>
        <v/>
      </c>
      <c r="M2888">
        <f>IF(AND(A2888=Dashboard!$D$6,OR(Dashboard!$C$6="*",F2888=Dashboard!$C$6),L2888&lt;&gt;""),ABS(I2888)+ROW()/1000000000,0)</f>
        <v/>
      </c>
    </row>
    <row r="2889">
      <c r="A2889">
        <f>Data_thang!A2889</f>
        <v/>
      </c>
      <c r="B2889">
        <f>Data_thang!B2889</f>
        <v/>
      </c>
      <c r="C2889">
        <f>Data_thang!D2889</f>
        <v/>
      </c>
      <c r="D2889">
        <f>Data_thang!E2889</f>
        <v/>
      </c>
      <c r="E2889">
        <f>Data_thang!F2889</f>
        <v/>
      </c>
      <c r="F2889">
        <f>Data_thang!G2889</f>
        <v/>
      </c>
      <c r="G2889" s="29">
        <f>Data_thang!J2889-Data_thang!K2889</f>
        <v/>
      </c>
      <c r="H2889" s="29">
        <f>Data_thang!N2889</f>
        <v/>
      </c>
      <c r="I2889" s="29">
        <f>H2889-G2889</f>
        <v/>
      </c>
      <c r="J2889" s="30">
        <f>IF(H2889=0,IF(I2889=0,0,1),I2889/ABS(H2889))</f>
        <v/>
      </c>
      <c r="K2889" s="29">
        <f>H2889-(Data_thang!O2889-Data_thang!K2889)</f>
        <v/>
      </c>
      <c r="L2889">
        <f>IF(AND(ABS(I2889)&gt;Dashboard!$G$6,ABS(J2889)&gt;Dashboard!$H$6),"⚠ Vượt","")</f>
        <v/>
      </c>
      <c r="M2889">
        <f>IF(AND(A2889=Dashboard!$D$6,OR(Dashboard!$C$6="*",F2889=Dashboard!$C$6),L2889&lt;&gt;""),ABS(I2889)+ROW()/1000000000,0)</f>
        <v/>
      </c>
    </row>
    <row r="2890">
      <c r="A2890">
        <f>Data_thang!A2890</f>
        <v/>
      </c>
      <c r="B2890">
        <f>Data_thang!B2890</f>
        <v/>
      </c>
      <c r="C2890">
        <f>Data_thang!D2890</f>
        <v/>
      </c>
      <c r="D2890">
        <f>Data_thang!E2890</f>
        <v/>
      </c>
      <c r="E2890">
        <f>Data_thang!F2890</f>
        <v/>
      </c>
      <c r="F2890">
        <f>Data_thang!G2890</f>
        <v/>
      </c>
      <c r="G2890" s="29">
        <f>Data_thang!J2890-Data_thang!K2890</f>
        <v/>
      </c>
      <c r="H2890" s="29">
        <f>Data_thang!N2890</f>
        <v/>
      </c>
      <c r="I2890" s="29">
        <f>H2890-G2890</f>
        <v/>
      </c>
      <c r="J2890" s="30">
        <f>IF(H2890=0,IF(I2890=0,0,1),I2890/ABS(H2890))</f>
        <v/>
      </c>
      <c r="K2890" s="29">
        <f>H2890-(Data_thang!O2890-Data_thang!K2890)</f>
        <v/>
      </c>
      <c r="L2890">
        <f>IF(AND(ABS(I2890)&gt;Dashboard!$G$6,ABS(J2890)&gt;Dashboard!$H$6),"⚠ Vượt","")</f>
        <v/>
      </c>
      <c r="M2890">
        <f>IF(AND(A2890=Dashboard!$D$6,OR(Dashboard!$C$6="*",F2890=Dashboard!$C$6),L2890&lt;&gt;""),ABS(I2890)+ROW()/1000000000,0)</f>
        <v/>
      </c>
    </row>
    <row r="2891">
      <c r="A2891">
        <f>Data_thang!A2891</f>
        <v/>
      </c>
      <c r="B2891">
        <f>Data_thang!B2891</f>
        <v/>
      </c>
      <c r="C2891">
        <f>Data_thang!D2891</f>
        <v/>
      </c>
      <c r="D2891">
        <f>Data_thang!E2891</f>
        <v/>
      </c>
      <c r="E2891">
        <f>Data_thang!F2891</f>
        <v/>
      </c>
      <c r="F2891">
        <f>Data_thang!G2891</f>
        <v/>
      </c>
      <c r="G2891" s="29">
        <f>Data_thang!J2891-Data_thang!K2891</f>
        <v/>
      </c>
      <c r="H2891" s="29">
        <f>Data_thang!N2891</f>
        <v/>
      </c>
      <c r="I2891" s="29">
        <f>H2891-G2891</f>
        <v/>
      </c>
      <c r="J2891" s="30">
        <f>IF(H2891=0,IF(I2891=0,0,1),I2891/ABS(H2891))</f>
        <v/>
      </c>
      <c r="K2891" s="29">
        <f>H2891-(Data_thang!O2891-Data_thang!K2891)</f>
        <v/>
      </c>
      <c r="L2891">
        <f>IF(AND(ABS(I2891)&gt;Dashboard!$G$6,ABS(J2891)&gt;Dashboard!$H$6),"⚠ Vượt","")</f>
        <v/>
      </c>
      <c r="M2891">
        <f>IF(AND(A2891=Dashboard!$D$6,OR(Dashboard!$C$6="*",F2891=Dashboard!$C$6),L2891&lt;&gt;""),ABS(I2891)+ROW()/1000000000,0)</f>
        <v/>
      </c>
    </row>
    <row r="2892">
      <c r="A2892">
        <f>Data_thang!A2892</f>
        <v/>
      </c>
      <c r="B2892">
        <f>Data_thang!B2892</f>
        <v/>
      </c>
      <c r="C2892">
        <f>Data_thang!D2892</f>
        <v/>
      </c>
      <c r="D2892">
        <f>Data_thang!E2892</f>
        <v/>
      </c>
      <c r="E2892">
        <f>Data_thang!F2892</f>
        <v/>
      </c>
      <c r="F2892">
        <f>Data_thang!G2892</f>
        <v/>
      </c>
      <c r="G2892" s="29">
        <f>Data_thang!J2892-Data_thang!K2892</f>
        <v/>
      </c>
      <c r="H2892" s="29">
        <f>Data_thang!N2892</f>
        <v/>
      </c>
      <c r="I2892" s="29">
        <f>H2892-G2892</f>
        <v/>
      </c>
      <c r="J2892" s="30">
        <f>IF(H2892=0,IF(I2892=0,0,1),I2892/ABS(H2892))</f>
        <v/>
      </c>
      <c r="K2892" s="29">
        <f>H2892-(Data_thang!O2892-Data_thang!K2892)</f>
        <v/>
      </c>
      <c r="L2892">
        <f>IF(AND(ABS(I2892)&gt;Dashboard!$G$6,ABS(J2892)&gt;Dashboard!$H$6),"⚠ Vượt","")</f>
        <v/>
      </c>
      <c r="M2892">
        <f>IF(AND(A2892=Dashboard!$D$6,OR(Dashboard!$C$6="*",F2892=Dashboard!$C$6),L2892&lt;&gt;""),ABS(I2892)+ROW()/1000000000,0)</f>
        <v/>
      </c>
    </row>
    <row r="2893">
      <c r="A2893">
        <f>Data_thang!A2893</f>
        <v/>
      </c>
      <c r="B2893">
        <f>Data_thang!B2893</f>
        <v/>
      </c>
      <c r="C2893">
        <f>Data_thang!D2893</f>
        <v/>
      </c>
      <c r="D2893">
        <f>Data_thang!E2893</f>
        <v/>
      </c>
      <c r="E2893">
        <f>Data_thang!F2893</f>
        <v/>
      </c>
      <c r="F2893">
        <f>Data_thang!G2893</f>
        <v/>
      </c>
      <c r="G2893" s="29">
        <f>Data_thang!J2893-Data_thang!K2893</f>
        <v/>
      </c>
      <c r="H2893" s="29">
        <f>Data_thang!N2893</f>
        <v/>
      </c>
      <c r="I2893" s="29">
        <f>H2893-G2893</f>
        <v/>
      </c>
      <c r="J2893" s="30">
        <f>IF(H2893=0,IF(I2893=0,0,1),I2893/ABS(H2893))</f>
        <v/>
      </c>
      <c r="K2893" s="29">
        <f>H2893-(Data_thang!O2893-Data_thang!K2893)</f>
        <v/>
      </c>
      <c r="L2893">
        <f>IF(AND(ABS(I2893)&gt;Dashboard!$G$6,ABS(J2893)&gt;Dashboard!$H$6),"⚠ Vượt","")</f>
        <v/>
      </c>
      <c r="M2893">
        <f>IF(AND(A2893=Dashboard!$D$6,OR(Dashboard!$C$6="*",F2893=Dashboard!$C$6),L2893&lt;&gt;""),ABS(I2893)+ROW()/1000000000,0)</f>
        <v/>
      </c>
    </row>
    <row r="2894">
      <c r="A2894">
        <f>Data_thang!A2894</f>
        <v/>
      </c>
      <c r="B2894">
        <f>Data_thang!B2894</f>
        <v/>
      </c>
      <c r="C2894">
        <f>Data_thang!D2894</f>
        <v/>
      </c>
      <c r="D2894">
        <f>Data_thang!E2894</f>
        <v/>
      </c>
      <c r="E2894">
        <f>Data_thang!F2894</f>
        <v/>
      </c>
      <c r="F2894">
        <f>Data_thang!G2894</f>
        <v/>
      </c>
      <c r="G2894" s="29">
        <f>Data_thang!J2894-Data_thang!K2894</f>
        <v/>
      </c>
      <c r="H2894" s="29">
        <f>Data_thang!N2894</f>
        <v/>
      </c>
      <c r="I2894" s="29">
        <f>H2894-G2894</f>
        <v/>
      </c>
      <c r="J2894" s="30">
        <f>IF(H2894=0,IF(I2894=0,0,1),I2894/ABS(H2894))</f>
        <v/>
      </c>
      <c r="K2894" s="29">
        <f>H2894-(Data_thang!O2894-Data_thang!K2894)</f>
        <v/>
      </c>
      <c r="L2894">
        <f>IF(AND(ABS(I2894)&gt;Dashboard!$G$6,ABS(J2894)&gt;Dashboard!$H$6),"⚠ Vượt","")</f>
        <v/>
      </c>
      <c r="M2894">
        <f>IF(AND(A2894=Dashboard!$D$6,OR(Dashboard!$C$6="*",F2894=Dashboard!$C$6),L2894&lt;&gt;""),ABS(I2894)+ROW()/1000000000,0)</f>
        <v/>
      </c>
    </row>
    <row r="2895">
      <c r="A2895">
        <f>Data_thang!A2895</f>
        <v/>
      </c>
      <c r="B2895">
        <f>Data_thang!B2895</f>
        <v/>
      </c>
      <c r="C2895">
        <f>Data_thang!D2895</f>
        <v/>
      </c>
      <c r="D2895">
        <f>Data_thang!E2895</f>
        <v/>
      </c>
      <c r="E2895">
        <f>Data_thang!F2895</f>
        <v/>
      </c>
      <c r="F2895">
        <f>Data_thang!G2895</f>
        <v/>
      </c>
      <c r="G2895" s="29">
        <f>Data_thang!J2895-Data_thang!K2895</f>
        <v/>
      </c>
      <c r="H2895" s="29">
        <f>Data_thang!N2895</f>
        <v/>
      </c>
      <c r="I2895" s="29">
        <f>H2895-G2895</f>
        <v/>
      </c>
      <c r="J2895" s="30">
        <f>IF(H2895=0,IF(I2895=0,0,1),I2895/ABS(H2895))</f>
        <v/>
      </c>
      <c r="K2895" s="29">
        <f>H2895-(Data_thang!O2895-Data_thang!K2895)</f>
        <v/>
      </c>
      <c r="L2895">
        <f>IF(AND(ABS(I2895)&gt;Dashboard!$G$6,ABS(J2895)&gt;Dashboard!$H$6),"⚠ Vượt","")</f>
        <v/>
      </c>
      <c r="M2895">
        <f>IF(AND(A2895=Dashboard!$D$6,OR(Dashboard!$C$6="*",F2895=Dashboard!$C$6),L2895&lt;&gt;""),ABS(I2895)+ROW()/1000000000,0)</f>
        <v/>
      </c>
    </row>
    <row r="2896">
      <c r="A2896">
        <f>Data_thang!A2896</f>
        <v/>
      </c>
      <c r="B2896">
        <f>Data_thang!B2896</f>
        <v/>
      </c>
      <c r="C2896">
        <f>Data_thang!D2896</f>
        <v/>
      </c>
      <c r="D2896">
        <f>Data_thang!E2896</f>
        <v/>
      </c>
      <c r="E2896">
        <f>Data_thang!F2896</f>
        <v/>
      </c>
      <c r="F2896">
        <f>Data_thang!G2896</f>
        <v/>
      </c>
      <c r="G2896" s="29">
        <f>Data_thang!J2896-Data_thang!K2896</f>
        <v/>
      </c>
      <c r="H2896" s="29">
        <f>Data_thang!N2896</f>
        <v/>
      </c>
      <c r="I2896" s="29">
        <f>H2896-G2896</f>
        <v/>
      </c>
      <c r="J2896" s="30">
        <f>IF(H2896=0,IF(I2896=0,0,1),I2896/ABS(H2896))</f>
        <v/>
      </c>
      <c r="K2896" s="29">
        <f>H2896-(Data_thang!O2896-Data_thang!K2896)</f>
        <v/>
      </c>
      <c r="L2896">
        <f>IF(AND(ABS(I2896)&gt;Dashboard!$G$6,ABS(J2896)&gt;Dashboard!$H$6),"⚠ Vượt","")</f>
        <v/>
      </c>
      <c r="M2896">
        <f>IF(AND(A2896=Dashboard!$D$6,OR(Dashboard!$C$6="*",F2896=Dashboard!$C$6),L2896&lt;&gt;""),ABS(I2896)+ROW()/1000000000,0)</f>
        <v/>
      </c>
    </row>
    <row r="2897">
      <c r="A2897">
        <f>Data_thang!A2897</f>
        <v/>
      </c>
      <c r="B2897">
        <f>Data_thang!B2897</f>
        <v/>
      </c>
      <c r="C2897">
        <f>Data_thang!D2897</f>
        <v/>
      </c>
      <c r="D2897">
        <f>Data_thang!E2897</f>
        <v/>
      </c>
      <c r="E2897">
        <f>Data_thang!F2897</f>
        <v/>
      </c>
      <c r="F2897">
        <f>Data_thang!G2897</f>
        <v/>
      </c>
      <c r="G2897" s="29">
        <f>Data_thang!J2897-Data_thang!K2897</f>
        <v/>
      </c>
      <c r="H2897" s="29">
        <f>Data_thang!N2897</f>
        <v/>
      </c>
      <c r="I2897" s="29">
        <f>H2897-G2897</f>
        <v/>
      </c>
      <c r="J2897" s="30">
        <f>IF(H2897=0,IF(I2897=0,0,1),I2897/ABS(H2897))</f>
        <v/>
      </c>
      <c r="K2897" s="29">
        <f>H2897-(Data_thang!O2897-Data_thang!K2897)</f>
        <v/>
      </c>
      <c r="L2897">
        <f>IF(AND(ABS(I2897)&gt;Dashboard!$G$6,ABS(J2897)&gt;Dashboard!$H$6),"⚠ Vượt","")</f>
        <v/>
      </c>
      <c r="M2897">
        <f>IF(AND(A2897=Dashboard!$D$6,OR(Dashboard!$C$6="*",F2897=Dashboard!$C$6),L2897&lt;&gt;""),ABS(I2897)+ROW()/1000000000,0)</f>
        <v/>
      </c>
    </row>
    <row r="2898">
      <c r="A2898">
        <f>Data_thang!A2898</f>
        <v/>
      </c>
      <c r="B2898">
        <f>Data_thang!B2898</f>
        <v/>
      </c>
      <c r="C2898">
        <f>Data_thang!D2898</f>
        <v/>
      </c>
      <c r="D2898">
        <f>Data_thang!E2898</f>
        <v/>
      </c>
      <c r="E2898">
        <f>Data_thang!F2898</f>
        <v/>
      </c>
      <c r="F2898">
        <f>Data_thang!G2898</f>
        <v/>
      </c>
      <c r="G2898" s="29">
        <f>Data_thang!J2898-Data_thang!K2898</f>
        <v/>
      </c>
      <c r="H2898" s="29">
        <f>Data_thang!N2898</f>
        <v/>
      </c>
      <c r="I2898" s="29">
        <f>H2898-G2898</f>
        <v/>
      </c>
      <c r="J2898" s="30">
        <f>IF(H2898=0,IF(I2898=0,0,1),I2898/ABS(H2898))</f>
        <v/>
      </c>
      <c r="K2898" s="29">
        <f>H2898-(Data_thang!O2898-Data_thang!K2898)</f>
        <v/>
      </c>
      <c r="L2898">
        <f>IF(AND(ABS(I2898)&gt;Dashboard!$G$6,ABS(J2898)&gt;Dashboard!$H$6),"⚠ Vượt","")</f>
        <v/>
      </c>
      <c r="M2898">
        <f>IF(AND(A2898=Dashboard!$D$6,OR(Dashboard!$C$6="*",F2898=Dashboard!$C$6),L2898&lt;&gt;""),ABS(I2898)+ROW()/1000000000,0)</f>
        <v/>
      </c>
    </row>
    <row r="2899">
      <c r="A2899">
        <f>Data_thang!A2899</f>
        <v/>
      </c>
      <c r="B2899">
        <f>Data_thang!B2899</f>
        <v/>
      </c>
      <c r="C2899">
        <f>Data_thang!D2899</f>
        <v/>
      </c>
      <c r="D2899">
        <f>Data_thang!E2899</f>
        <v/>
      </c>
      <c r="E2899">
        <f>Data_thang!F2899</f>
        <v/>
      </c>
      <c r="F2899">
        <f>Data_thang!G2899</f>
        <v/>
      </c>
      <c r="G2899" s="29">
        <f>Data_thang!J2899-Data_thang!K2899</f>
        <v/>
      </c>
      <c r="H2899" s="29">
        <f>Data_thang!N2899</f>
        <v/>
      </c>
      <c r="I2899" s="29">
        <f>H2899-G2899</f>
        <v/>
      </c>
      <c r="J2899" s="30">
        <f>IF(H2899=0,IF(I2899=0,0,1),I2899/ABS(H2899))</f>
        <v/>
      </c>
      <c r="K2899" s="29">
        <f>H2899-(Data_thang!O2899-Data_thang!K2899)</f>
        <v/>
      </c>
      <c r="L2899">
        <f>IF(AND(ABS(I2899)&gt;Dashboard!$G$6,ABS(J2899)&gt;Dashboard!$H$6),"⚠ Vượt","")</f>
        <v/>
      </c>
      <c r="M2899">
        <f>IF(AND(A2899=Dashboard!$D$6,OR(Dashboard!$C$6="*",F2899=Dashboard!$C$6),L2899&lt;&gt;""),ABS(I2899)+ROW()/1000000000,0)</f>
        <v/>
      </c>
    </row>
    <row r="2900">
      <c r="A2900">
        <f>Data_thang!A2900</f>
        <v/>
      </c>
      <c r="B2900">
        <f>Data_thang!B2900</f>
        <v/>
      </c>
      <c r="C2900">
        <f>Data_thang!D2900</f>
        <v/>
      </c>
      <c r="D2900">
        <f>Data_thang!E2900</f>
        <v/>
      </c>
      <c r="E2900">
        <f>Data_thang!F2900</f>
        <v/>
      </c>
      <c r="F2900">
        <f>Data_thang!G2900</f>
        <v/>
      </c>
      <c r="G2900" s="29">
        <f>Data_thang!J2900-Data_thang!K2900</f>
        <v/>
      </c>
      <c r="H2900" s="29">
        <f>Data_thang!N2900</f>
        <v/>
      </c>
      <c r="I2900" s="29">
        <f>H2900-G2900</f>
        <v/>
      </c>
      <c r="J2900" s="30">
        <f>IF(H2900=0,IF(I2900=0,0,1),I2900/ABS(H2900))</f>
        <v/>
      </c>
      <c r="K2900" s="29">
        <f>H2900-(Data_thang!O2900-Data_thang!K2900)</f>
        <v/>
      </c>
      <c r="L2900">
        <f>IF(AND(ABS(I2900)&gt;Dashboard!$G$6,ABS(J2900)&gt;Dashboard!$H$6),"⚠ Vượt","")</f>
        <v/>
      </c>
      <c r="M2900">
        <f>IF(AND(A2900=Dashboard!$D$6,OR(Dashboard!$C$6="*",F2900=Dashboard!$C$6),L2900&lt;&gt;""),ABS(I2900)+ROW()/1000000000,0)</f>
        <v/>
      </c>
    </row>
    <row r="2901">
      <c r="A2901">
        <f>Data_thang!A2901</f>
        <v/>
      </c>
      <c r="B2901">
        <f>Data_thang!B2901</f>
        <v/>
      </c>
      <c r="C2901">
        <f>Data_thang!D2901</f>
        <v/>
      </c>
      <c r="D2901">
        <f>Data_thang!E2901</f>
        <v/>
      </c>
      <c r="E2901">
        <f>Data_thang!F2901</f>
        <v/>
      </c>
      <c r="F2901">
        <f>Data_thang!G2901</f>
        <v/>
      </c>
      <c r="G2901" s="29">
        <f>Data_thang!J2901-Data_thang!K2901</f>
        <v/>
      </c>
      <c r="H2901" s="29">
        <f>Data_thang!N2901</f>
        <v/>
      </c>
      <c r="I2901" s="29">
        <f>H2901-G2901</f>
        <v/>
      </c>
      <c r="J2901" s="30">
        <f>IF(H2901=0,IF(I2901=0,0,1),I2901/ABS(H2901))</f>
        <v/>
      </c>
      <c r="K2901" s="29">
        <f>H2901-(Data_thang!O2901-Data_thang!K2901)</f>
        <v/>
      </c>
      <c r="L2901">
        <f>IF(AND(ABS(I2901)&gt;Dashboard!$G$6,ABS(J2901)&gt;Dashboard!$H$6),"⚠ Vượt","")</f>
        <v/>
      </c>
      <c r="M2901">
        <f>IF(AND(A2901=Dashboard!$D$6,OR(Dashboard!$C$6="*",F2901=Dashboard!$C$6),L2901&lt;&gt;""),ABS(I2901)+ROW()/1000000000,0)</f>
        <v/>
      </c>
    </row>
    <row r="2902">
      <c r="A2902">
        <f>Data_thang!A2902</f>
        <v/>
      </c>
      <c r="B2902">
        <f>Data_thang!B2902</f>
        <v/>
      </c>
      <c r="C2902">
        <f>Data_thang!D2902</f>
        <v/>
      </c>
      <c r="D2902">
        <f>Data_thang!E2902</f>
        <v/>
      </c>
      <c r="E2902">
        <f>Data_thang!F2902</f>
        <v/>
      </c>
      <c r="F2902">
        <f>Data_thang!G2902</f>
        <v/>
      </c>
      <c r="G2902" s="29">
        <f>Data_thang!J2902-Data_thang!K2902</f>
        <v/>
      </c>
      <c r="H2902" s="29">
        <f>Data_thang!N2902</f>
        <v/>
      </c>
      <c r="I2902" s="29">
        <f>H2902-G2902</f>
        <v/>
      </c>
      <c r="J2902" s="30">
        <f>IF(H2902=0,IF(I2902=0,0,1),I2902/ABS(H2902))</f>
        <v/>
      </c>
      <c r="K2902" s="29">
        <f>H2902-(Data_thang!O2902-Data_thang!K2902)</f>
        <v/>
      </c>
      <c r="L2902">
        <f>IF(AND(ABS(I2902)&gt;Dashboard!$G$6,ABS(J2902)&gt;Dashboard!$H$6),"⚠ Vượt","")</f>
        <v/>
      </c>
      <c r="M2902">
        <f>IF(AND(A2902=Dashboard!$D$6,OR(Dashboard!$C$6="*",F2902=Dashboard!$C$6),L2902&lt;&gt;""),ABS(I2902)+ROW()/1000000000,0)</f>
        <v/>
      </c>
    </row>
    <row r="2903">
      <c r="A2903">
        <f>Data_thang!A2903</f>
        <v/>
      </c>
      <c r="B2903">
        <f>Data_thang!B2903</f>
        <v/>
      </c>
      <c r="C2903">
        <f>Data_thang!D2903</f>
        <v/>
      </c>
      <c r="D2903">
        <f>Data_thang!E2903</f>
        <v/>
      </c>
      <c r="E2903">
        <f>Data_thang!F2903</f>
        <v/>
      </c>
      <c r="F2903">
        <f>Data_thang!G2903</f>
        <v/>
      </c>
      <c r="G2903" s="29">
        <f>Data_thang!J2903-Data_thang!K2903</f>
        <v/>
      </c>
      <c r="H2903" s="29">
        <f>Data_thang!N2903</f>
        <v/>
      </c>
      <c r="I2903" s="29">
        <f>H2903-G2903</f>
        <v/>
      </c>
      <c r="J2903" s="30">
        <f>IF(H2903=0,IF(I2903=0,0,1),I2903/ABS(H2903))</f>
        <v/>
      </c>
      <c r="K2903" s="29">
        <f>H2903-(Data_thang!O2903-Data_thang!K2903)</f>
        <v/>
      </c>
      <c r="L2903">
        <f>IF(AND(ABS(I2903)&gt;Dashboard!$G$6,ABS(J2903)&gt;Dashboard!$H$6),"⚠ Vượt","")</f>
        <v/>
      </c>
      <c r="M2903">
        <f>IF(AND(A2903=Dashboard!$D$6,OR(Dashboard!$C$6="*",F2903=Dashboard!$C$6),L2903&lt;&gt;""),ABS(I2903)+ROW()/1000000000,0)</f>
        <v/>
      </c>
    </row>
    <row r="2904">
      <c r="A2904">
        <f>Data_thang!A2904</f>
        <v/>
      </c>
      <c r="B2904">
        <f>Data_thang!B2904</f>
        <v/>
      </c>
      <c r="C2904">
        <f>Data_thang!D2904</f>
        <v/>
      </c>
      <c r="D2904">
        <f>Data_thang!E2904</f>
        <v/>
      </c>
      <c r="E2904">
        <f>Data_thang!F2904</f>
        <v/>
      </c>
      <c r="F2904">
        <f>Data_thang!G2904</f>
        <v/>
      </c>
      <c r="G2904" s="29">
        <f>Data_thang!J2904-Data_thang!K2904</f>
        <v/>
      </c>
      <c r="H2904" s="29">
        <f>Data_thang!N2904</f>
        <v/>
      </c>
      <c r="I2904" s="29">
        <f>H2904-G2904</f>
        <v/>
      </c>
      <c r="J2904" s="30">
        <f>IF(H2904=0,IF(I2904=0,0,1),I2904/ABS(H2904))</f>
        <v/>
      </c>
      <c r="K2904" s="29">
        <f>H2904-(Data_thang!O2904-Data_thang!K2904)</f>
        <v/>
      </c>
      <c r="L2904">
        <f>IF(AND(ABS(I2904)&gt;Dashboard!$G$6,ABS(J2904)&gt;Dashboard!$H$6),"⚠ Vượt","")</f>
        <v/>
      </c>
      <c r="M2904">
        <f>IF(AND(A2904=Dashboard!$D$6,OR(Dashboard!$C$6="*",F2904=Dashboard!$C$6),L2904&lt;&gt;""),ABS(I2904)+ROW()/1000000000,0)</f>
        <v/>
      </c>
    </row>
    <row r="2905">
      <c r="A2905">
        <f>Data_thang!A2905</f>
        <v/>
      </c>
      <c r="B2905">
        <f>Data_thang!B2905</f>
        <v/>
      </c>
      <c r="C2905">
        <f>Data_thang!D2905</f>
        <v/>
      </c>
      <c r="D2905">
        <f>Data_thang!E2905</f>
        <v/>
      </c>
      <c r="E2905">
        <f>Data_thang!F2905</f>
        <v/>
      </c>
      <c r="F2905">
        <f>Data_thang!G2905</f>
        <v/>
      </c>
      <c r="G2905" s="29">
        <f>Data_thang!J2905-Data_thang!K2905</f>
        <v/>
      </c>
      <c r="H2905" s="29">
        <f>Data_thang!N2905</f>
        <v/>
      </c>
      <c r="I2905" s="29">
        <f>H2905-G2905</f>
        <v/>
      </c>
      <c r="J2905" s="30">
        <f>IF(H2905=0,IF(I2905=0,0,1),I2905/ABS(H2905))</f>
        <v/>
      </c>
      <c r="K2905" s="29">
        <f>H2905-(Data_thang!O2905-Data_thang!K2905)</f>
        <v/>
      </c>
      <c r="L2905">
        <f>IF(AND(ABS(I2905)&gt;Dashboard!$G$6,ABS(J2905)&gt;Dashboard!$H$6),"⚠ Vượt","")</f>
        <v/>
      </c>
      <c r="M2905">
        <f>IF(AND(A2905=Dashboard!$D$6,OR(Dashboard!$C$6="*",F2905=Dashboard!$C$6),L2905&lt;&gt;""),ABS(I2905)+ROW()/1000000000,0)</f>
        <v/>
      </c>
    </row>
    <row r="2906">
      <c r="A2906">
        <f>Data_thang!A2906</f>
        <v/>
      </c>
      <c r="B2906">
        <f>Data_thang!B2906</f>
        <v/>
      </c>
      <c r="C2906">
        <f>Data_thang!D2906</f>
        <v/>
      </c>
      <c r="D2906">
        <f>Data_thang!E2906</f>
        <v/>
      </c>
      <c r="E2906">
        <f>Data_thang!F2906</f>
        <v/>
      </c>
      <c r="F2906">
        <f>Data_thang!G2906</f>
        <v/>
      </c>
      <c r="G2906" s="29">
        <f>Data_thang!J2906-Data_thang!K2906</f>
        <v/>
      </c>
      <c r="H2906" s="29">
        <f>Data_thang!N2906</f>
        <v/>
      </c>
      <c r="I2906" s="29">
        <f>H2906-G2906</f>
        <v/>
      </c>
      <c r="J2906" s="30">
        <f>IF(H2906=0,IF(I2906=0,0,1),I2906/ABS(H2906))</f>
        <v/>
      </c>
      <c r="K2906" s="29">
        <f>H2906-(Data_thang!O2906-Data_thang!K2906)</f>
        <v/>
      </c>
      <c r="L2906">
        <f>IF(AND(ABS(I2906)&gt;Dashboard!$G$6,ABS(J2906)&gt;Dashboard!$H$6),"⚠ Vượt","")</f>
        <v/>
      </c>
      <c r="M2906">
        <f>IF(AND(A2906=Dashboard!$D$6,OR(Dashboard!$C$6="*",F2906=Dashboard!$C$6),L2906&lt;&gt;""),ABS(I2906)+ROW()/1000000000,0)</f>
        <v/>
      </c>
    </row>
    <row r="2907">
      <c r="A2907">
        <f>Data_thang!A2907</f>
        <v/>
      </c>
      <c r="B2907">
        <f>Data_thang!B2907</f>
        <v/>
      </c>
      <c r="C2907">
        <f>Data_thang!D2907</f>
        <v/>
      </c>
      <c r="D2907">
        <f>Data_thang!E2907</f>
        <v/>
      </c>
      <c r="E2907">
        <f>Data_thang!F2907</f>
        <v/>
      </c>
      <c r="F2907">
        <f>Data_thang!G2907</f>
        <v/>
      </c>
      <c r="G2907" s="29">
        <f>Data_thang!J2907-Data_thang!K2907</f>
        <v/>
      </c>
      <c r="H2907" s="29">
        <f>Data_thang!N2907</f>
        <v/>
      </c>
      <c r="I2907" s="29">
        <f>H2907-G2907</f>
        <v/>
      </c>
      <c r="J2907" s="30">
        <f>IF(H2907=0,IF(I2907=0,0,1),I2907/ABS(H2907))</f>
        <v/>
      </c>
      <c r="K2907" s="29">
        <f>H2907-(Data_thang!O2907-Data_thang!K2907)</f>
        <v/>
      </c>
      <c r="L2907">
        <f>IF(AND(ABS(I2907)&gt;Dashboard!$G$6,ABS(J2907)&gt;Dashboard!$H$6),"⚠ Vượt","")</f>
        <v/>
      </c>
      <c r="M2907">
        <f>IF(AND(A2907=Dashboard!$D$6,OR(Dashboard!$C$6="*",F2907=Dashboard!$C$6),L2907&lt;&gt;""),ABS(I2907)+ROW()/1000000000,0)</f>
        <v/>
      </c>
    </row>
    <row r="2908">
      <c r="A2908">
        <f>Data_thang!A2908</f>
        <v/>
      </c>
      <c r="B2908">
        <f>Data_thang!B2908</f>
        <v/>
      </c>
      <c r="C2908">
        <f>Data_thang!D2908</f>
        <v/>
      </c>
      <c r="D2908">
        <f>Data_thang!E2908</f>
        <v/>
      </c>
      <c r="E2908">
        <f>Data_thang!F2908</f>
        <v/>
      </c>
      <c r="F2908">
        <f>Data_thang!G2908</f>
        <v/>
      </c>
      <c r="G2908" s="29">
        <f>Data_thang!J2908-Data_thang!K2908</f>
        <v/>
      </c>
      <c r="H2908" s="29">
        <f>Data_thang!N2908</f>
        <v/>
      </c>
      <c r="I2908" s="29">
        <f>H2908-G2908</f>
        <v/>
      </c>
      <c r="J2908" s="30">
        <f>IF(H2908=0,IF(I2908=0,0,1),I2908/ABS(H2908))</f>
        <v/>
      </c>
      <c r="K2908" s="29">
        <f>H2908-(Data_thang!O2908-Data_thang!K2908)</f>
        <v/>
      </c>
      <c r="L2908">
        <f>IF(AND(ABS(I2908)&gt;Dashboard!$G$6,ABS(J2908)&gt;Dashboard!$H$6),"⚠ Vượt","")</f>
        <v/>
      </c>
      <c r="M2908">
        <f>IF(AND(A2908=Dashboard!$D$6,OR(Dashboard!$C$6="*",F2908=Dashboard!$C$6),L2908&lt;&gt;""),ABS(I2908)+ROW()/1000000000,0)</f>
        <v/>
      </c>
    </row>
    <row r="2909">
      <c r="A2909">
        <f>Data_thang!A2909</f>
        <v/>
      </c>
      <c r="B2909">
        <f>Data_thang!B2909</f>
        <v/>
      </c>
      <c r="C2909">
        <f>Data_thang!D2909</f>
        <v/>
      </c>
      <c r="D2909">
        <f>Data_thang!E2909</f>
        <v/>
      </c>
      <c r="E2909">
        <f>Data_thang!F2909</f>
        <v/>
      </c>
      <c r="F2909">
        <f>Data_thang!G2909</f>
        <v/>
      </c>
      <c r="G2909" s="29">
        <f>Data_thang!J2909-Data_thang!K2909</f>
        <v/>
      </c>
      <c r="H2909" s="29">
        <f>Data_thang!N2909</f>
        <v/>
      </c>
      <c r="I2909" s="29">
        <f>H2909-G2909</f>
        <v/>
      </c>
      <c r="J2909" s="30">
        <f>IF(H2909=0,IF(I2909=0,0,1),I2909/ABS(H2909))</f>
        <v/>
      </c>
      <c r="K2909" s="29">
        <f>H2909-(Data_thang!O2909-Data_thang!K2909)</f>
        <v/>
      </c>
      <c r="L2909">
        <f>IF(AND(ABS(I2909)&gt;Dashboard!$G$6,ABS(J2909)&gt;Dashboard!$H$6),"⚠ Vượt","")</f>
        <v/>
      </c>
      <c r="M2909">
        <f>IF(AND(A2909=Dashboard!$D$6,OR(Dashboard!$C$6="*",F2909=Dashboard!$C$6),L2909&lt;&gt;""),ABS(I2909)+ROW()/1000000000,0)</f>
        <v/>
      </c>
    </row>
    <row r="2910">
      <c r="A2910">
        <f>Data_thang!A2910</f>
        <v/>
      </c>
      <c r="B2910">
        <f>Data_thang!B2910</f>
        <v/>
      </c>
      <c r="C2910">
        <f>Data_thang!D2910</f>
        <v/>
      </c>
      <c r="D2910">
        <f>Data_thang!E2910</f>
        <v/>
      </c>
      <c r="E2910">
        <f>Data_thang!F2910</f>
        <v/>
      </c>
      <c r="F2910">
        <f>Data_thang!G2910</f>
        <v/>
      </c>
      <c r="G2910" s="29">
        <f>Data_thang!J2910-Data_thang!K2910</f>
        <v/>
      </c>
      <c r="H2910" s="29">
        <f>Data_thang!N2910</f>
        <v/>
      </c>
      <c r="I2910" s="29">
        <f>H2910-G2910</f>
        <v/>
      </c>
      <c r="J2910" s="30">
        <f>IF(H2910=0,IF(I2910=0,0,1),I2910/ABS(H2910))</f>
        <v/>
      </c>
      <c r="K2910" s="29">
        <f>H2910-(Data_thang!O2910-Data_thang!K2910)</f>
        <v/>
      </c>
      <c r="L2910">
        <f>IF(AND(ABS(I2910)&gt;Dashboard!$G$6,ABS(J2910)&gt;Dashboard!$H$6),"⚠ Vượt","")</f>
        <v/>
      </c>
      <c r="M2910">
        <f>IF(AND(A2910=Dashboard!$D$6,OR(Dashboard!$C$6="*",F2910=Dashboard!$C$6),L2910&lt;&gt;""),ABS(I2910)+ROW()/1000000000,0)</f>
        <v/>
      </c>
    </row>
    <row r="2911">
      <c r="A2911">
        <f>Data_thang!A2911</f>
        <v/>
      </c>
      <c r="B2911">
        <f>Data_thang!B2911</f>
        <v/>
      </c>
      <c r="C2911">
        <f>Data_thang!D2911</f>
        <v/>
      </c>
      <c r="D2911">
        <f>Data_thang!E2911</f>
        <v/>
      </c>
      <c r="E2911">
        <f>Data_thang!F2911</f>
        <v/>
      </c>
      <c r="F2911">
        <f>Data_thang!G2911</f>
        <v/>
      </c>
      <c r="G2911" s="29">
        <f>Data_thang!J2911-Data_thang!K2911</f>
        <v/>
      </c>
      <c r="H2911" s="29">
        <f>Data_thang!N2911</f>
        <v/>
      </c>
      <c r="I2911" s="29">
        <f>H2911-G2911</f>
        <v/>
      </c>
      <c r="J2911" s="30">
        <f>IF(H2911=0,IF(I2911=0,0,1),I2911/ABS(H2911))</f>
        <v/>
      </c>
      <c r="K2911" s="29">
        <f>H2911-(Data_thang!O2911-Data_thang!K2911)</f>
        <v/>
      </c>
      <c r="L2911">
        <f>IF(AND(ABS(I2911)&gt;Dashboard!$G$6,ABS(J2911)&gt;Dashboard!$H$6),"⚠ Vượt","")</f>
        <v/>
      </c>
      <c r="M2911">
        <f>IF(AND(A2911=Dashboard!$D$6,OR(Dashboard!$C$6="*",F2911=Dashboard!$C$6),L2911&lt;&gt;""),ABS(I2911)+ROW()/1000000000,0)</f>
        <v/>
      </c>
    </row>
    <row r="2912">
      <c r="A2912">
        <f>Data_thang!A2912</f>
        <v/>
      </c>
      <c r="B2912">
        <f>Data_thang!B2912</f>
        <v/>
      </c>
      <c r="C2912">
        <f>Data_thang!D2912</f>
        <v/>
      </c>
      <c r="D2912">
        <f>Data_thang!E2912</f>
        <v/>
      </c>
      <c r="E2912">
        <f>Data_thang!F2912</f>
        <v/>
      </c>
      <c r="F2912">
        <f>Data_thang!G2912</f>
        <v/>
      </c>
      <c r="G2912" s="29">
        <f>Data_thang!J2912-Data_thang!K2912</f>
        <v/>
      </c>
      <c r="H2912" s="29">
        <f>Data_thang!N2912</f>
        <v/>
      </c>
      <c r="I2912" s="29">
        <f>H2912-G2912</f>
        <v/>
      </c>
      <c r="J2912" s="30">
        <f>IF(H2912=0,IF(I2912=0,0,1),I2912/ABS(H2912))</f>
        <v/>
      </c>
      <c r="K2912" s="29">
        <f>H2912-(Data_thang!O2912-Data_thang!K2912)</f>
        <v/>
      </c>
      <c r="L2912">
        <f>IF(AND(ABS(I2912)&gt;Dashboard!$G$6,ABS(J2912)&gt;Dashboard!$H$6),"⚠ Vượt","")</f>
        <v/>
      </c>
      <c r="M2912">
        <f>IF(AND(A2912=Dashboard!$D$6,OR(Dashboard!$C$6="*",F2912=Dashboard!$C$6),L2912&lt;&gt;""),ABS(I2912)+ROW()/1000000000,0)</f>
        <v/>
      </c>
    </row>
    <row r="2913">
      <c r="A2913">
        <f>Data_thang!A2913</f>
        <v/>
      </c>
      <c r="B2913">
        <f>Data_thang!B2913</f>
        <v/>
      </c>
      <c r="C2913">
        <f>Data_thang!D2913</f>
        <v/>
      </c>
      <c r="D2913">
        <f>Data_thang!E2913</f>
        <v/>
      </c>
      <c r="E2913">
        <f>Data_thang!F2913</f>
        <v/>
      </c>
      <c r="F2913">
        <f>Data_thang!G2913</f>
        <v/>
      </c>
      <c r="G2913" s="29">
        <f>Data_thang!J2913-Data_thang!K2913</f>
        <v/>
      </c>
      <c r="H2913" s="29">
        <f>Data_thang!N2913</f>
        <v/>
      </c>
      <c r="I2913" s="29">
        <f>H2913-G2913</f>
        <v/>
      </c>
      <c r="J2913" s="30">
        <f>IF(H2913=0,IF(I2913=0,0,1),I2913/ABS(H2913))</f>
        <v/>
      </c>
      <c r="K2913" s="29">
        <f>H2913-(Data_thang!O2913-Data_thang!K2913)</f>
        <v/>
      </c>
      <c r="L2913">
        <f>IF(AND(ABS(I2913)&gt;Dashboard!$G$6,ABS(J2913)&gt;Dashboard!$H$6),"⚠ Vượt","")</f>
        <v/>
      </c>
      <c r="M2913">
        <f>IF(AND(A2913=Dashboard!$D$6,OR(Dashboard!$C$6="*",F2913=Dashboard!$C$6),L2913&lt;&gt;""),ABS(I2913)+ROW()/1000000000,0)</f>
        <v/>
      </c>
    </row>
    <row r="2914">
      <c r="A2914">
        <f>Data_thang!A2914</f>
        <v/>
      </c>
      <c r="B2914">
        <f>Data_thang!B2914</f>
        <v/>
      </c>
      <c r="C2914">
        <f>Data_thang!D2914</f>
        <v/>
      </c>
      <c r="D2914">
        <f>Data_thang!E2914</f>
        <v/>
      </c>
      <c r="E2914">
        <f>Data_thang!F2914</f>
        <v/>
      </c>
      <c r="F2914">
        <f>Data_thang!G2914</f>
        <v/>
      </c>
      <c r="G2914" s="29">
        <f>Data_thang!J2914-Data_thang!K2914</f>
        <v/>
      </c>
      <c r="H2914" s="29">
        <f>Data_thang!N2914</f>
        <v/>
      </c>
      <c r="I2914" s="29">
        <f>H2914-G2914</f>
        <v/>
      </c>
      <c r="J2914" s="30">
        <f>IF(H2914=0,IF(I2914=0,0,1),I2914/ABS(H2914))</f>
        <v/>
      </c>
      <c r="K2914" s="29">
        <f>H2914-(Data_thang!O2914-Data_thang!K2914)</f>
        <v/>
      </c>
      <c r="L2914">
        <f>IF(AND(ABS(I2914)&gt;Dashboard!$G$6,ABS(J2914)&gt;Dashboard!$H$6),"⚠ Vượt","")</f>
        <v/>
      </c>
      <c r="M2914">
        <f>IF(AND(A2914=Dashboard!$D$6,OR(Dashboard!$C$6="*",F2914=Dashboard!$C$6),L2914&lt;&gt;""),ABS(I2914)+ROW()/1000000000,0)</f>
        <v/>
      </c>
    </row>
    <row r="2915">
      <c r="A2915">
        <f>Data_thang!A2915</f>
        <v/>
      </c>
      <c r="B2915">
        <f>Data_thang!B2915</f>
        <v/>
      </c>
      <c r="C2915">
        <f>Data_thang!D2915</f>
        <v/>
      </c>
      <c r="D2915">
        <f>Data_thang!E2915</f>
        <v/>
      </c>
      <c r="E2915">
        <f>Data_thang!F2915</f>
        <v/>
      </c>
      <c r="F2915">
        <f>Data_thang!G2915</f>
        <v/>
      </c>
      <c r="G2915" s="29">
        <f>Data_thang!J2915-Data_thang!K2915</f>
        <v/>
      </c>
      <c r="H2915" s="29">
        <f>Data_thang!N2915</f>
        <v/>
      </c>
      <c r="I2915" s="29">
        <f>H2915-G2915</f>
        <v/>
      </c>
      <c r="J2915" s="30">
        <f>IF(H2915=0,IF(I2915=0,0,1),I2915/ABS(H2915))</f>
        <v/>
      </c>
      <c r="K2915" s="29">
        <f>H2915-(Data_thang!O2915-Data_thang!K2915)</f>
        <v/>
      </c>
      <c r="L2915">
        <f>IF(AND(ABS(I2915)&gt;Dashboard!$G$6,ABS(J2915)&gt;Dashboard!$H$6),"⚠ Vượt","")</f>
        <v/>
      </c>
      <c r="M2915">
        <f>IF(AND(A2915=Dashboard!$D$6,OR(Dashboard!$C$6="*",F2915=Dashboard!$C$6),L2915&lt;&gt;""),ABS(I2915)+ROW()/1000000000,0)</f>
        <v/>
      </c>
    </row>
    <row r="2916">
      <c r="A2916">
        <f>Data_thang!A2916</f>
        <v/>
      </c>
      <c r="B2916">
        <f>Data_thang!B2916</f>
        <v/>
      </c>
      <c r="C2916">
        <f>Data_thang!D2916</f>
        <v/>
      </c>
      <c r="D2916">
        <f>Data_thang!E2916</f>
        <v/>
      </c>
      <c r="E2916">
        <f>Data_thang!F2916</f>
        <v/>
      </c>
      <c r="F2916">
        <f>Data_thang!G2916</f>
        <v/>
      </c>
      <c r="G2916" s="29">
        <f>Data_thang!J2916-Data_thang!K2916</f>
        <v/>
      </c>
      <c r="H2916" s="29">
        <f>Data_thang!N2916</f>
        <v/>
      </c>
      <c r="I2916" s="29">
        <f>H2916-G2916</f>
        <v/>
      </c>
      <c r="J2916" s="30">
        <f>IF(H2916=0,IF(I2916=0,0,1),I2916/ABS(H2916))</f>
        <v/>
      </c>
      <c r="K2916" s="29">
        <f>H2916-(Data_thang!O2916-Data_thang!K2916)</f>
        <v/>
      </c>
      <c r="L2916">
        <f>IF(AND(ABS(I2916)&gt;Dashboard!$G$6,ABS(J2916)&gt;Dashboard!$H$6),"⚠ Vượt","")</f>
        <v/>
      </c>
      <c r="M2916">
        <f>IF(AND(A2916=Dashboard!$D$6,OR(Dashboard!$C$6="*",F2916=Dashboard!$C$6),L2916&lt;&gt;""),ABS(I2916)+ROW()/1000000000,0)</f>
        <v/>
      </c>
    </row>
    <row r="2917">
      <c r="A2917">
        <f>Data_thang!A2917</f>
        <v/>
      </c>
      <c r="B2917">
        <f>Data_thang!B2917</f>
        <v/>
      </c>
      <c r="C2917">
        <f>Data_thang!D2917</f>
        <v/>
      </c>
      <c r="D2917">
        <f>Data_thang!E2917</f>
        <v/>
      </c>
      <c r="E2917">
        <f>Data_thang!F2917</f>
        <v/>
      </c>
      <c r="F2917">
        <f>Data_thang!G2917</f>
        <v/>
      </c>
      <c r="G2917" s="29">
        <f>Data_thang!J2917-Data_thang!K2917</f>
        <v/>
      </c>
      <c r="H2917" s="29">
        <f>Data_thang!N2917</f>
        <v/>
      </c>
      <c r="I2917" s="29">
        <f>H2917-G2917</f>
        <v/>
      </c>
      <c r="J2917" s="30">
        <f>IF(H2917=0,IF(I2917=0,0,1),I2917/ABS(H2917))</f>
        <v/>
      </c>
      <c r="K2917" s="29">
        <f>H2917-(Data_thang!O2917-Data_thang!K2917)</f>
        <v/>
      </c>
      <c r="L2917">
        <f>IF(AND(ABS(I2917)&gt;Dashboard!$G$6,ABS(J2917)&gt;Dashboard!$H$6),"⚠ Vượt","")</f>
        <v/>
      </c>
      <c r="M2917">
        <f>IF(AND(A2917=Dashboard!$D$6,OR(Dashboard!$C$6="*",F2917=Dashboard!$C$6),L2917&lt;&gt;""),ABS(I2917)+ROW()/1000000000,0)</f>
        <v/>
      </c>
    </row>
    <row r="2918">
      <c r="A2918">
        <f>Data_thang!A2918</f>
        <v/>
      </c>
      <c r="B2918">
        <f>Data_thang!B2918</f>
        <v/>
      </c>
      <c r="C2918">
        <f>Data_thang!D2918</f>
        <v/>
      </c>
      <c r="D2918">
        <f>Data_thang!E2918</f>
        <v/>
      </c>
      <c r="E2918">
        <f>Data_thang!F2918</f>
        <v/>
      </c>
      <c r="F2918">
        <f>Data_thang!G2918</f>
        <v/>
      </c>
      <c r="G2918" s="29">
        <f>Data_thang!J2918-Data_thang!K2918</f>
        <v/>
      </c>
      <c r="H2918" s="29">
        <f>Data_thang!N2918</f>
        <v/>
      </c>
      <c r="I2918" s="29">
        <f>H2918-G2918</f>
        <v/>
      </c>
      <c r="J2918" s="30">
        <f>IF(H2918=0,IF(I2918=0,0,1),I2918/ABS(H2918))</f>
        <v/>
      </c>
      <c r="K2918" s="29">
        <f>H2918-(Data_thang!O2918-Data_thang!K2918)</f>
        <v/>
      </c>
      <c r="L2918">
        <f>IF(AND(ABS(I2918)&gt;Dashboard!$G$6,ABS(J2918)&gt;Dashboard!$H$6),"⚠ Vượt","")</f>
        <v/>
      </c>
      <c r="M2918">
        <f>IF(AND(A2918=Dashboard!$D$6,OR(Dashboard!$C$6="*",F2918=Dashboard!$C$6),L2918&lt;&gt;""),ABS(I2918)+ROW()/1000000000,0)</f>
        <v/>
      </c>
    </row>
    <row r="2919">
      <c r="A2919">
        <f>Data_thang!A2919</f>
        <v/>
      </c>
      <c r="B2919">
        <f>Data_thang!B2919</f>
        <v/>
      </c>
      <c r="C2919">
        <f>Data_thang!D2919</f>
        <v/>
      </c>
      <c r="D2919">
        <f>Data_thang!E2919</f>
        <v/>
      </c>
      <c r="E2919">
        <f>Data_thang!F2919</f>
        <v/>
      </c>
      <c r="F2919">
        <f>Data_thang!G2919</f>
        <v/>
      </c>
      <c r="G2919" s="29">
        <f>Data_thang!J2919-Data_thang!K2919</f>
        <v/>
      </c>
      <c r="H2919" s="29">
        <f>Data_thang!N2919</f>
        <v/>
      </c>
      <c r="I2919" s="29">
        <f>H2919-G2919</f>
        <v/>
      </c>
      <c r="J2919" s="30">
        <f>IF(H2919=0,IF(I2919=0,0,1),I2919/ABS(H2919))</f>
        <v/>
      </c>
      <c r="K2919" s="29">
        <f>H2919-(Data_thang!O2919-Data_thang!K2919)</f>
        <v/>
      </c>
      <c r="L2919">
        <f>IF(AND(ABS(I2919)&gt;Dashboard!$G$6,ABS(J2919)&gt;Dashboard!$H$6),"⚠ Vượt","")</f>
        <v/>
      </c>
      <c r="M2919">
        <f>IF(AND(A2919=Dashboard!$D$6,OR(Dashboard!$C$6="*",F2919=Dashboard!$C$6),L2919&lt;&gt;""),ABS(I2919)+ROW()/1000000000,0)</f>
        <v/>
      </c>
    </row>
    <row r="2920">
      <c r="A2920">
        <f>Data_thang!A2920</f>
        <v/>
      </c>
      <c r="B2920">
        <f>Data_thang!B2920</f>
        <v/>
      </c>
      <c r="C2920">
        <f>Data_thang!D2920</f>
        <v/>
      </c>
      <c r="D2920">
        <f>Data_thang!E2920</f>
        <v/>
      </c>
      <c r="E2920">
        <f>Data_thang!F2920</f>
        <v/>
      </c>
      <c r="F2920">
        <f>Data_thang!G2920</f>
        <v/>
      </c>
      <c r="G2920" s="29">
        <f>Data_thang!J2920-Data_thang!K2920</f>
        <v/>
      </c>
      <c r="H2920" s="29">
        <f>Data_thang!N2920</f>
        <v/>
      </c>
      <c r="I2920" s="29">
        <f>H2920-G2920</f>
        <v/>
      </c>
      <c r="J2920" s="30">
        <f>IF(H2920=0,IF(I2920=0,0,1),I2920/ABS(H2920))</f>
        <v/>
      </c>
      <c r="K2920" s="29">
        <f>H2920-(Data_thang!O2920-Data_thang!K2920)</f>
        <v/>
      </c>
      <c r="L2920">
        <f>IF(AND(ABS(I2920)&gt;Dashboard!$G$6,ABS(J2920)&gt;Dashboard!$H$6),"⚠ Vượt","")</f>
        <v/>
      </c>
      <c r="M2920">
        <f>IF(AND(A2920=Dashboard!$D$6,OR(Dashboard!$C$6="*",F2920=Dashboard!$C$6),L2920&lt;&gt;""),ABS(I2920)+ROW()/1000000000,0)</f>
        <v/>
      </c>
    </row>
    <row r="2921">
      <c r="A2921">
        <f>Data_thang!A2921</f>
        <v/>
      </c>
      <c r="B2921">
        <f>Data_thang!B2921</f>
        <v/>
      </c>
      <c r="C2921">
        <f>Data_thang!D2921</f>
        <v/>
      </c>
      <c r="D2921">
        <f>Data_thang!E2921</f>
        <v/>
      </c>
      <c r="E2921">
        <f>Data_thang!F2921</f>
        <v/>
      </c>
      <c r="F2921">
        <f>Data_thang!G2921</f>
        <v/>
      </c>
      <c r="G2921" s="29">
        <f>Data_thang!J2921-Data_thang!K2921</f>
        <v/>
      </c>
      <c r="H2921" s="29">
        <f>Data_thang!N2921</f>
        <v/>
      </c>
      <c r="I2921" s="29">
        <f>H2921-G2921</f>
        <v/>
      </c>
      <c r="J2921" s="30">
        <f>IF(H2921=0,IF(I2921=0,0,1),I2921/ABS(H2921))</f>
        <v/>
      </c>
      <c r="K2921" s="29">
        <f>H2921-(Data_thang!O2921-Data_thang!K2921)</f>
        <v/>
      </c>
      <c r="L2921">
        <f>IF(AND(ABS(I2921)&gt;Dashboard!$G$6,ABS(J2921)&gt;Dashboard!$H$6),"⚠ Vượt","")</f>
        <v/>
      </c>
      <c r="M2921">
        <f>IF(AND(A2921=Dashboard!$D$6,OR(Dashboard!$C$6="*",F2921=Dashboard!$C$6),L2921&lt;&gt;""),ABS(I2921)+ROW()/1000000000,0)</f>
        <v/>
      </c>
    </row>
    <row r="2922">
      <c r="A2922">
        <f>Data_thang!A2922</f>
        <v/>
      </c>
      <c r="B2922">
        <f>Data_thang!B2922</f>
        <v/>
      </c>
      <c r="C2922">
        <f>Data_thang!D2922</f>
        <v/>
      </c>
      <c r="D2922">
        <f>Data_thang!E2922</f>
        <v/>
      </c>
      <c r="E2922">
        <f>Data_thang!F2922</f>
        <v/>
      </c>
      <c r="F2922">
        <f>Data_thang!G2922</f>
        <v/>
      </c>
      <c r="G2922" s="29">
        <f>Data_thang!J2922-Data_thang!K2922</f>
        <v/>
      </c>
      <c r="H2922" s="29">
        <f>Data_thang!N2922</f>
        <v/>
      </c>
      <c r="I2922" s="29">
        <f>H2922-G2922</f>
        <v/>
      </c>
      <c r="J2922" s="30">
        <f>IF(H2922=0,IF(I2922=0,0,1),I2922/ABS(H2922))</f>
        <v/>
      </c>
      <c r="K2922" s="29">
        <f>H2922-(Data_thang!O2922-Data_thang!K2922)</f>
        <v/>
      </c>
      <c r="L2922">
        <f>IF(AND(ABS(I2922)&gt;Dashboard!$G$6,ABS(J2922)&gt;Dashboard!$H$6),"⚠ Vượt","")</f>
        <v/>
      </c>
      <c r="M2922">
        <f>IF(AND(A2922=Dashboard!$D$6,OR(Dashboard!$C$6="*",F2922=Dashboard!$C$6),L2922&lt;&gt;""),ABS(I2922)+ROW()/1000000000,0)</f>
        <v/>
      </c>
    </row>
    <row r="2923">
      <c r="A2923">
        <f>Data_thang!A2923</f>
        <v/>
      </c>
      <c r="B2923">
        <f>Data_thang!B2923</f>
        <v/>
      </c>
      <c r="C2923">
        <f>Data_thang!D2923</f>
        <v/>
      </c>
      <c r="D2923">
        <f>Data_thang!E2923</f>
        <v/>
      </c>
      <c r="E2923">
        <f>Data_thang!F2923</f>
        <v/>
      </c>
      <c r="F2923">
        <f>Data_thang!G2923</f>
        <v/>
      </c>
      <c r="G2923" s="29">
        <f>Data_thang!J2923-Data_thang!K2923</f>
        <v/>
      </c>
      <c r="H2923" s="29">
        <f>Data_thang!N2923</f>
        <v/>
      </c>
      <c r="I2923" s="29">
        <f>H2923-G2923</f>
        <v/>
      </c>
      <c r="J2923" s="30">
        <f>IF(H2923=0,IF(I2923=0,0,1),I2923/ABS(H2923))</f>
        <v/>
      </c>
      <c r="K2923" s="29">
        <f>H2923-(Data_thang!O2923-Data_thang!K2923)</f>
        <v/>
      </c>
      <c r="L2923">
        <f>IF(AND(ABS(I2923)&gt;Dashboard!$G$6,ABS(J2923)&gt;Dashboard!$H$6),"⚠ Vượt","")</f>
        <v/>
      </c>
      <c r="M2923">
        <f>IF(AND(A2923=Dashboard!$D$6,OR(Dashboard!$C$6="*",F2923=Dashboard!$C$6),L2923&lt;&gt;""),ABS(I2923)+ROW()/1000000000,0)</f>
        <v/>
      </c>
    </row>
    <row r="2924">
      <c r="A2924">
        <f>Data_thang!A2924</f>
        <v/>
      </c>
      <c r="B2924">
        <f>Data_thang!B2924</f>
        <v/>
      </c>
      <c r="C2924">
        <f>Data_thang!D2924</f>
        <v/>
      </c>
      <c r="D2924">
        <f>Data_thang!E2924</f>
        <v/>
      </c>
      <c r="E2924">
        <f>Data_thang!F2924</f>
        <v/>
      </c>
      <c r="F2924">
        <f>Data_thang!G2924</f>
        <v/>
      </c>
      <c r="G2924" s="29">
        <f>Data_thang!J2924-Data_thang!K2924</f>
        <v/>
      </c>
      <c r="H2924" s="29">
        <f>Data_thang!N2924</f>
        <v/>
      </c>
      <c r="I2924" s="29">
        <f>H2924-G2924</f>
        <v/>
      </c>
      <c r="J2924" s="30">
        <f>IF(H2924=0,IF(I2924=0,0,1),I2924/ABS(H2924))</f>
        <v/>
      </c>
      <c r="K2924" s="29">
        <f>H2924-(Data_thang!O2924-Data_thang!K2924)</f>
        <v/>
      </c>
      <c r="L2924">
        <f>IF(AND(ABS(I2924)&gt;Dashboard!$G$6,ABS(J2924)&gt;Dashboard!$H$6),"⚠ Vượt","")</f>
        <v/>
      </c>
      <c r="M2924">
        <f>IF(AND(A2924=Dashboard!$D$6,OR(Dashboard!$C$6="*",F2924=Dashboard!$C$6),L2924&lt;&gt;""),ABS(I2924)+ROW()/1000000000,0)</f>
        <v/>
      </c>
    </row>
    <row r="2925">
      <c r="A2925">
        <f>Data_thang!A2925</f>
        <v/>
      </c>
      <c r="B2925">
        <f>Data_thang!B2925</f>
        <v/>
      </c>
      <c r="C2925">
        <f>Data_thang!D2925</f>
        <v/>
      </c>
      <c r="D2925">
        <f>Data_thang!E2925</f>
        <v/>
      </c>
      <c r="E2925">
        <f>Data_thang!F2925</f>
        <v/>
      </c>
      <c r="F2925">
        <f>Data_thang!G2925</f>
        <v/>
      </c>
      <c r="G2925" s="29">
        <f>Data_thang!J2925-Data_thang!K2925</f>
        <v/>
      </c>
      <c r="H2925" s="29">
        <f>Data_thang!N2925</f>
        <v/>
      </c>
      <c r="I2925" s="29">
        <f>H2925-G2925</f>
        <v/>
      </c>
      <c r="J2925" s="30">
        <f>IF(H2925=0,IF(I2925=0,0,1),I2925/ABS(H2925))</f>
        <v/>
      </c>
      <c r="K2925" s="29">
        <f>H2925-(Data_thang!O2925-Data_thang!K2925)</f>
        <v/>
      </c>
      <c r="L2925">
        <f>IF(AND(ABS(I2925)&gt;Dashboard!$G$6,ABS(J2925)&gt;Dashboard!$H$6),"⚠ Vượt","")</f>
        <v/>
      </c>
      <c r="M2925">
        <f>IF(AND(A2925=Dashboard!$D$6,OR(Dashboard!$C$6="*",F2925=Dashboard!$C$6),L2925&lt;&gt;""),ABS(I2925)+ROW()/1000000000,0)</f>
        <v/>
      </c>
    </row>
    <row r="2926">
      <c r="A2926">
        <f>Data_thang!A2926</f>
        <v/>
      </c>
      <c r="B2926">
        <f>Data_thang!B2926</f>
        <v/>
      </c>
      <c r="C2926">
        <f>Data_thang!D2926</f>
        <v/>
      </c>
      <c r="D2926">
        <f>Data_thang!E2926</f>
        <v/>
      </c>
      <c r="E2926">
        <f>Data_thang!F2926</f>
        <v/>
      </c>
      <c r="F2926">
        <f>Data_thang!G2926</f>
        <v/>
      </c>
      <c r="G2926" s="29">
        <f>Data_thang!J2926-Data_thang!K2926</f>
        <v/>
      </c>
      <c r="H2926" s="29">
        <f>Data_thang!N2926</f>
        <v/>
      </c>
      <c r="I2926" s="29">
        <f>H2926-G2926</f>
        <v/>
      </c>
      <c r="J2926" s="30">
        <f>IF(H2926=0,IF(I2926=0,0,1),I2926/ABS(H2926))</f>
        <v/>
      </c>
      <c r="K2926" s="29">
        <f>H2926-(Data_thang!O2926-Data_thang!K2926)</f>
        <v/>
      </c>
      <c r="L2926">
        <f>IF(AND(ABS(I2926)&gt;Dashboard!$G$6,ABS(J2926)&gt;Dashboard!$H$6),"⚠ Vượt","")</f>
        <v/>
      </c>
      <c r="M2926">
        <f>IF(AND(A2926=Dashboard!$D$6,OR(Dashboard!$C$6="*",F2926=Dashboard!$C$6),L2926&lt;&gt;""),ABS(I2926)+ROW()/1000000000,0)</f>
        <v/>
      </c>
    </row>
    <row r="2927">
      <c r="A2927">
        <f>Data_thang!A2927</f>
        <v/>
      </c>
      <c r="B2927">
        <f>Data_thang!B2927</f>
        <v/>
      </c>
      <c r="C2927">
        <f>Data_thang!D2927</f>
        <v/>
      </c>
      <c r="D2927">
        <f>Data_thang!E2927</f>
        <v/>
      </c>
      <c r="E2927">
        <f>Data_thang!F2927</f>
        <v/>
      </c>
      <c r="F2927">
        <f>Data_thang!G2927</f>
        <v/>
      </c>
      <c r="G2927" s="29">
        <f>Data_thang!J2927-Data_thang!K2927</f>
        <v/>
      </c>
      <c r="H2927" s="29">
        <f>Data_thang!N2927</f>
        <v/>
      </c>
      <c r="I2927" s="29">
        <f>H2927-G2927</f>
        <v/>
      </c>
      <c r="J2927" s="30">
        <f>IF(H2927=0,IF(I2927=0,0,1),I2927/ABS(H2927))</f>
        <v/>
      </c>
      <c r="K2927" s="29">
        <f>H2927-(Data_thang!O2927-Data_thang!K2927)</f>
        <v/>
      </c>
      <c r="L2927">
        <f>IF(AND(ABS(I2927)&gt;Dashboard!$G$6,ABS(J2927)&gt;Dashboard!$H$6),"⚠ Vượt","")</f>
        <v/>
      </c>
      <c r="M2927">
        <f>IF(AND(A2927=Dashboard!$D$6,OR(Dashboard!$C$6="*",F2927=Dashboard!$C$6),L2927&lt;&gt;""),ABS(I2927)+ROW()/1000000000,0)</f>
        <v/>
      </c>
    </row>
    <row r="2928">
      <c r="A2928">
        <f>Data_thang!A2928</f>
        <v/>
      </c>
      <c r="B2928">
        <f>Data_thang!B2928</f>
        <v/>
      </c>
      <c r="C2928">
        <f>Data_thang!D2928</f>
        <v/>
      </c>
      <c r="D2928">
        <f>Data_thang!E2928</f>
        <v/>
      </c>
      <c r="E2928">
        <f>Data_thang!F2928</f>
        <v/>
      </c>
      <c r="F2928">
        <f>Data_thang!G2928</f>
        <v/>
      </c>
      <c r="G2928" s="29">
        <f>Data_thang!J2928-Data_thang!K2928</f>
        <v/>
      </c>
      <c r="H2928" s="29">
        <f>Data_thang!N2928</f>
        <v/>
      </c>
      <c r="I2928" s="29">
        <f>H2928-G2928</f>
        <v/>
      </c>
      <c r="J2928" s="30">
        <f>IF(H2928=0,IF(I2928=0,0,1),I2928/ABS(H2928))</f>
        <v/>
      </c>
      <c r="K2928" s="29">
        <f>H2928-(Data_thang!O2928-Data_thang!K2928)</f>
        <v/>
      </c>
      <c r="L2928">
        <f>IF(AND(ABS(I2928)&gt;Dashboard!$G$6,ABS(J2928)&gt;Dashboard!$H$6),"⚠ Vượt","")</f>
        <v/>
      </c>
      <c r="M2928">
        <f>IF(AND(A2928=Dashboard!$D$6,OR(Dashboard!$C$6="*",F2928=Dashboard!$C$6),L2928&lt;&gt;""),ABS(I2928)+ROW()/1000000000,0)</f>
        <v/>
      </c>
    </row>
    <row r="2929">
      <c r="A2929">
        <f>Data_thang!A2929</f>
        <v/>
      </c>
      <c r="B2929">
        <f>Data_thang!B2929</f>
        <v/>
      </c>
      <c r="C2929">
        <f>Data_thang!D2929</f>
        <v/>
      </c>
      <c r="D2929">
        <f>Data_thang!E2929</f>
        <v/>
      </c>
      <c r="E2929">
        <f>Data_thang!F2929</f>
        <v/>
      </c>
      <c r="F2929">
        <f>Data_thang!G2929</f>
        <v/>
      </c>
      <c r="G2929" s="29">
        <f>Data_thang!J2929-Data_thang!K2929</f>
        <v/>
      </c>
      <c r="H2929" s="29">
        <f>Data_thang!N2929</f>
        <v/>
      </c>
      <c r="I2929" s="29">
        <f>H2929-G2929</f>
        <v/>
      </c>
      <c r="J2929" s="30">
        <f>IF(H2929=0,IF(I2929=0,0,1),I2929/ABS(H2929))</f>
        <v/>
      </c>
      <c r="K2929" s="29">
        <f>H2929-(Data_thang!O2929-Data_thang!K2929)</f>
        <v/>
      </c>
      <c r="L2929">
        <f>IF(AND(ABS(I2929)&gt;Dashboard!$G$6,ABS(J2929)&gt;Dashboard!$H$6),"⚠ Vượt","")</f>
        <v/>
      </c>
      <c r="M2929">
        <f>IF(AND(A2929=Dashboard!$D$6,OR(Dashboard!$C$6="*",F2929=Dashboard!$C$6),L2929&lt;&gt;""),ABS(I2929)+ROW()/1000000000,0)</f>
        <v/>
      </c>
    </row>
    <row r="2930">
      <c r="A2930">
        <f>Data_thang!A2930</f>
        <v/>
      </c>
      <c r="B2930">
        <f>Data_thang!B2930</f>
        <v/>
      </c>
      <c r="C2930">
        <f>Data_thang!D2930</f>
        <v/>
      </c>
      <c r="D2930">
        <f>Data_thang!E2930</f>
        <v/>
      </c>
      <c r="E2930">
        <f>Data_thang!F2930</f>
        <v/>
      </c>
      <c r="F2930">
        <f>Data_thang!G2930</f>
        <v/>
      </c>
      <c r="G2930" s="29">
        <f>Data_thang!J2930-Data_thang!K2930</f>
        <v/>
      </c>
      <c r="H2930" s="29">
        <f>Data_thang!N2930</f>
        <v/>
      </c>
      <c r="I2930" s="29">
        <f>H2930-G2930</f>
        <v/>
      </c>
      <c r="J2930" s="30">
        <f>IF(H2930=0,IF(I2930=0,0,1),I2930/ABS(H2930))</f>
        <v/>
      </c>
      <c r="K2930" s="29">
        <f>H2930-(Data_thang!O2930-Data_thang!K2930)</f>
        <v/>
      </c>
      <c r="L2930">
        <f>IF(AND(ABS(I2930)&gt;Dashboard!$G$6,ABS(J2930)&gt;Dashboard!$H$6),"⚠ Vượt","")</f>
        <v/>
      </c>
      <c r="M2930">
        <f>IF(AND(A2930=Dashboard!$D$6,OR(Dashboard!$C$6="*",F2930=Dashboard!$C$6),L2930&lt;&gt;""),ABS(I2930)+ROW()/1000000000,0)</f>
        <v/>
      </c>
    </row>
    <row r="2931">
      <c r="A2931">
        <f>Data_thang!A2931</f>
        <v/>
      </c>
      <c r="B2931">
        <f>Data_thang!B2931</f>
        <v/>
      </c>
      <c r="C2931">
        <f>Data_thang!D2931</f>
        <v/>
      </c>
      <c r="D2931">
        <f>Data_thang!E2931</f>
        <v/>
      </c>
      <c r="E2931">
        <f>Data_thang!F2931</f>
        <v/>
      </c>
      <c r="F2931">
        <f>Data_thang!G2931</f>
        <v/>
      </c>
      <c r="G2931" s="29">
        <f>Data_thang!J2931-Data_thang!K2931</f>
        <v/>
      </c>
      <c r="H2931" s="29">
        <f>Data_thang!N2931</f>
        <v/>
      </c>
      <c r="I2931" s="29">
        <f>H2931-G2931</f>
        <v/>
      </c>
      <c r="J2931" s="30">
        <f>IF(H2931=0,IF(I2931=0,0,1),I2931/ABS(H2931))</f>
        <v/>
      </c>
      <c r="K2931" s="29">
        <f>H2931-(Data_thang!O2931-Data_thang!K2931)</f>
        <v/>
      </c>
      <c r="L2931">
        <f>IF(AND(ABS(I2931)&gt;Dashboard!$G$6,ABS(J2931)&gt;Dashboard!$H$6),"⚠ Vượt","")</f>
        <v/>
      </c>
      <c r="M2931">
        <f>IF(AND(A2931=Dashboard!$D$6,OR(Dashboard!$C$6="*",F2931=Dashboard!$C$6),L2931&lt;&gt;""),ABS(I2931)+ROW()/1000000000,0)</f>
        <v/>
      </c>
    </row>
    <row r="2932">
      <c r="A2932">
        <f>Data_thang!A2932</f>
        <v/>
      </c>
      <c r="B2932">
        <f>Data_thang!B2932</f>
        <v/>
      </c>
      <c r="C2932">
        <f>Data_thang!D2932</f>
        <v/>
      </c>
      <c r="D2932">
        <f>Data_thang!E2932</f>
        <v/>
      </c>
      <c r="E2932">
        <f>Data_thang!F2932</f>
        <v/>
      </c>
      <c r="F2932">
        <f>Data_thang!G2932</f>
        <v/>
      </c>
      <c r="G2932" s="29">
        <f>Data_thang!J2932-Data_thang!K2932</f>
        <v/>
      </c>
      <c r="H2932" s="29">
        <f>Data_thang!N2932</f>
        <v/>
      </c>
      <c r="I2932" s="29">
        <f>H2932-G2932</f>
        <v/>
      </c>
      <c r="J2932" s="30">
        <f>IF(H2932=0,IF(I2932=0,0,1),I2932/ABS(H2932))</f>
        <v/>
      </c>
      <c r="K2932" s="29">
        <f>H2932-(Data_thang!O2932-Data_thang!K2932)</f>
        <v/>
      </c>
      <c r="L2932">
        <f>IF(AND(ABS(I2932)&gt;Dashboard!$G$6,ABS(J2932)&gt;Dashboard!$H$6),"⚠ Vượt","")</f>
        <v/>
      </c>
      <c r="M2932">
        <f>IF(AND(A2932=Dashboard!$D$6,OR(Dashboard!$C$6="*",F2932=Dashboard!$C$6),L2932&lt;&gt;""),ABS(I2932)+ROW()/1000000000,0)</f>
        <v/>
      </c>
    </row>
    <row r="2933">
      <c r="A2933">
        <f>Data_thang!A2933</f>
        <v/>
      </c>
      <c r="B2933">
        <f>Data_thang!B2933</f>
        <v/>
      </c>
      <c r="C2933">
        <f>Data_thang!D2933</f>
        <v/>
      </c>
      <c r="D2933">
        <f>Data_thang!E2933</f>
        <v/>
      </c>
      <c r="E2933">
        <f>Data_thang!F2933</f>
        <v/>
      </c>
      <c r="F2933">
        <f>Data_thang!G2933</f>
        <v/>
      </c>
      <c r="G2933" s="29">
        <f>Data_thang!J2933-Data_thang!K2933</f>
        <v/>
      </c>
      <c r="H2933" s="29">
        <f>Data_thang!N2933</f>
        <v/>
      </c>
      <c r="I2933" s="29">
        <f>H2933-G2933</f>
        <v/>
      </c>
      <c r="J2933" s="30">
        <f>IF(H2933=0,IF(I2933=0,0,1),I2933/ABS(H2933))</f>
        <v/>
      </c>
      <c r="K2933" s="29">
        <f>H2933-(Data_thang!O2933-Data_thang!K2933)</f>
        <v/>
      </c>
      <c r="L2933">
        <f>IF(AND(ABS(I2933)&gt;Dashboard!$G$6,ABS(J2933)&gt;Dashboard!$H$6),"⚠ Vượt","")</f>
        <v/>
      </c>
      <c r="M2933">
        <f>IF(AND(A2933=Dashboard!$D$6,OR(Dashboard!$C$6="*",F2933=Dashboard!$C$6),L2933&lt;&gt;""),ABS(I2933)+ROW()/1000000000,0)</f>
        <v/>
      </c>
    </row>
    <row r="2934">
      <c r="A2934">
        <f>Data_thang!A2934</f>
        <v/>
      </c>
      <c r="B2934">
        <f>Data_thang!B2934</f>
        <v/>
      </c>
      <c r="C2934">
        <f>Data_thang!D2934</f>
        <v/>
      </c>
      <c r="D2934">
        <f>Data_thang!E2934</f>
        <v/>
      </c>
      <c r="E2934">
        <f>Data_thang!F2934</f>
        <v/>
      </c>
      <c r="F2934">
        <f>Data_thang!G2934</f>
        <v/>
      </c>
      <c r="G2934" s="29">
        <f>Data_thang!J2934-Data_thang!K2934</f>
        <v/>
      </c>
      <c r="H2934" s="29">
        <f>Data_thang!N2934</f>
        <v/>
      </c>
      <c r="I2934" s="29">
        <f>H2934-G2934</f>
        <v/>
      </c>
      <c r="J2934" s="30">
        <f>IF(H2934=0,IF(I2934=0,0,1),I2934/ABS(H2934))</f>
        <v/>
      </c>
      <c r="K2934" s="29">
        <f>H2934-(Data_thang!O2934-Data_thang!K2934)</f>
        <v/>
      </c>
      <c r="L2934">
        <f>IF(AND(ABS(I2934)&gt;Dashboard!$G$6,ABS(J2934)&gt;Dashboard!$H$6),"⚠ Vượt","")</f>
        <v/>
      </c>
      <c r="M2934">
        <f>IF(AND(A2934=Dashboard!$D$6,OR(Dashboard!$C$6="*",F2934=Dashboard!$C$6),L2934&lt;&gt;""),ABS(I2934)+ROW()/1000000000,0)</f>
        <v/>
      </c>
    </row>
    <row r="2935">
      <c r="A2935">
        <f>Data_thang!A2935</f>
        <v/>
      </c>
      <c r="B2935">
        <f>Data_thang!B2935</f>
        <v/>
      </c>
      <c r="C2935">
        <f>Data_thang!D2935</f>
        <v/>
      </c>
      <c r="D2935">
        <f>Data_thang!E2935</f>
        <v/>
      </c>
      <c r="E2935">
        <f>Data_thang!F2935</f>
        <v/>
      </c>
      <c r="F2935">
        <f>Data_thang!G2935</f>
        <v/>
      </c>
      <c r="G2935" s="29">
        <f>Data_thang!J2935-Data_thang!K2935</f>
        <v/>
      </c>
      <c r="H2935" s="29">
        <f>Data_thang!N2935</f>
        <v/>
      </c>
      <c r="I2935" s="29">
        <f>H2935-G2935</f>
        <v/>
      </c>
      <c r="J2935" s="30">
        <f>IF(H2935=0,IF(I2935=0,0,1),I2935/ABS(H2935))</f>
        <v/>
      </c>
      <c r="K2935" s="29">
        <f>H2935-(Data_thang!O2935-Data_thang!K2935)</f>
        <v/>
      </c>
      <c r="L2935">
        <f>IF(AND(ABS(I2935)&gt;Dashboard!$G$6,ABS(J2935)&gt;Dashboard!$H$6),"⚠ Vượt","")</f>
        <v/>
      </c>
      <c r="M2935">
        <f>IF(AND(A2935=Dashboard!$D$6,OR(Dashboard!$C$6="*",F2935=Dashboard!$C$6),L2935&lt;&gt;""),ABS(I2935)+ROW()/1000000000,0)</f>
        <v/>
      </c>
    </row>
    <row r="2936">
      <c r="A2936">
        <f>Data_thang!A2936</f>
        <v/>
      </c>
      <c r="B2936">
        <f>Data_thang!B2936</f>
        <v/>
      </c>
      <c r="C2936">
        <f>Data_thang!D2936</f>
        <v/>
      </c>
      <c r="D2936">
        <f>Data_thang!E2936</f>
        <v/>
      </c>
      <c r="E2936">
        <f>Data_thang!F2936</f>
        <v/>
      </c>
      <c r="F2936">
        <f>Data_thang!G2936</f>
        <v/>
      </c>
      <c r="G2936" s="29">
        <f>Data_thang!J2936-Data_thang!K2936</f>
        <v/>
      </c>
      <c r="H2936" s="29">
        <f>Data_thang!N2936</f>
        <v/>
      </c>
      <c r="I2936" s="29">
        <f>H2936-G2936</f>
        <v/>
      </c>
      <c r="J2936" s="30">
        <f>IF(H2936=0,IF(I2936=0,0,1),I2936/ABS(H2936))</f>
        <v/>
      </c>
      <c r="K2936" s="29">
        <f>H2936-(Data_thang!O2936-Data_thang!K2936)</f>
        <v/>
      </c>
      <c r="L2936">
        <f>IF(AND(ABS(I2936)&gt;Dashboard!$G$6,ABS(J2936)&gt;Dashboard!$H$6),"⚠ Vượt","")</f>
        <v/>
      </c>
      <c r="M2936">
        <f>IF(AND(A2936=Dashboard!$D$6,OR(Dashboard!$C$6="*",F2936=Dashboard!$C$6),L2936&lt;&gt;""),ABS(I2936)+ROW()/1000000000,0)</f>
        <v/>
      </c>
    </row>
    <row r="2937">
      <c r="A2937">
        <f>Data_thang!A2937</f>
        <v/>
      </c>
      <c r="B2937">
        <f>Data_thang!B2937</f>
        <v/>
      </c>
      <c r="C2937">
        <f>Data_thang!D2937</f>
        <v/>
      </c>
      <c r="D2937">
        <f>Data_thang!E2937</f>
        <v/>
      </c>
      <c r="E2937">
        <f>Data_thang!F2937</f>
        <v/>
      </c>
      <c r="F2937">
        <f>Data_thang!G2937</f>
        <v/>
      </c>
      <c r="G2937" s="29">
        <f>Data_thang!J2937-Data_thang!K2937</f>
        <v/>
      </c>
      <c r="H2937" s="29">
        <f>Data_thang!N2937</f>
        <v/>
      </c>
      <c r="I2937" s="29">
        <f>H2937-G2937</f>
        <v/>
      </c>
      <c r="J2937" s="30">
        <f>IF(H2937=0,IF(I2937=0,0,1),I2937/ABS(H2937))</f>
        <v/>
      </c>
      <c r="K2937" s="29">
        <f>H2937-(Data_thang!O2937-Data_thang!K2937)</f>
        <v/>
      </c>
      <c r="L2937">
        <f>IF(AND(ABS(I2937)&gt;Dashboard!$G$6,ABS(J2937)&gt;Dashboard!$H$6),"⚠ Vượt","")</f>
        <v/>
      </c>
      <c r="M2937">
        <f>IF(AND(A2937=Dashboard!$D$6,OR(Dashboard!$C$6="*",F2937=Dashboard!$C$6),L2937&lt;&gt;""),ABS(I2937)+ROW()/1000000000,0)</f>
        <v/>
      </c>
    </row>
    <row r="2938">
      <c r="A2938">
        <f>Data_thang!A2938</f>
        <v/>
      </c>
      <c r="B2938">
        <f>Data_thang!B2938</f>
        <v/>
      </c>
      <c r="C2938">
        <f>Data_thang!D2938</f>
        <v/>
      </c>
      <c r="D2938">
        <f>Data_thang!E2938</f>
        <v/>
      </c>
      <c r="E2938">
        <f>Data_thang!F2938</f>
        <v/>
      </c>
      <c r="F2938">
        <f>Data_thang!G2938</f>
        <v/>
      </c>
      <c r="G2938" s="29">
        <f>Data_thang!J2938-Data_thang!K2938</f>
        <v/>
      </c>
      <c r="H2938" s="29">
        <f>Data_thang!N2938</f>
        <v/>
      </c>
      <c r="I2938" s="29">
        <f>H2938-G2938</f>
        <v/>
      </c>
      <c r="J2938" s="30">
        <f>IF(H2938=0,IF(I2938=0,0,1),I2938/ABS(H2938))</f>
        <v/>
      </c>
      <c r="K2938" s="29">
        <f>H2938-(Data_thang!O2938-Data_thang!K2938)</f>
        <v/>
      </c>
      <c r="L2938">
        <f>IF(AND(ABS(I2938)&gt;Dashboard!$G$6,ABS(J2938)&gt;Dashboard!$H$6),"⚠ Vượt","")</f>
        <v/>
      </c>
      <c r="M2938">
        <f>IF(AND(A2938=Dashboard!$D$6,OR(Dashboard!$C$6="*",F2938=Dashboard!$C$6),L2938&lt;&gt;""),ABS(I2938)+ROW()/1000000000,0)</f>
        <v/>
      </c>
    </row>
    <row r="2939">
      <c r="A2939">
        <f>Data_thang!A2939</f>
        <v/>
      </c>
      <c r="B2939">
        <f>Data_thang!B2939</f>
        <v/>
      </c>
      <c r="C2939">
        <f>Data_thang!D2939</f>
        <v/>
      </c>
      <c r="D2939">
        <f>Data_thang!E2939</f>
        <v/>
      </c>
      <c r="E2939">
        <f>Data_thang!F2939</f>
        <v/>
      </c>
      <c r="F2939">
        <f>Data_thang!G2939</f>
        <v/>
      </c>
      <c r="G2939" s="29">
        <f>Data_thang!J2939-Data_thang!K2939</f>
        <v/>
      </c>
      <c r="H2939" s="29">
        <f>Data_thang!N2939</f>
        <v/>
      </c>
      <c r="I2939" s="29">
        <f>H2939-G2939</f>
        <v/>
      </c>
      <c r="J2939" s="30">
        <f>IF(H2939=0,IF(I2939=0,0,1),I2939/ABS(H2939))</f>
        <v/>
      </c>
      <c r="K2939" s="29">
        <f>H2939-(Data_thang!O2939-Data_thang!K2939)</f>
        <v/>
      </c>
      <c r="L2939">
        <f>IF(AND(ABS(I2939)&gt;Dashboard!$G$6,ABS(J2939)&gt;Dashboard!$H$6),"⚠ Vượt","")</f>
        <v/>
      </c>
      <c r="M2939">
        <f>IF(AND(A2939=Dashboard!$D$6,OR(Dashboard!$C$6="*",F2939=Dashboard!$C$6),L2939&lt;&gt;""),ABS(I2939)+ROW()/1000000000,0)</f>
        <v/>
      </c>
    </row>
    <row r="2940">
      <c r="A2940">
        <f>Data_thang!A2940</f>
        <v/>
      </c>
      <c r="B2940">
        <f>Data_thang!B2940</f>
        <v/>
      </c>
      <c r="C2940">
        <f>Data_thang!D2940</f>
        <v/>
      </c>
      <c r="D2940">
        <f>Data_thang!E2940</f>
        <v/>
      </c>
      <c r="E2940">
        <f>Data_thang!F2940</f>
        <v/>
      </c>
      <c r="F2940">
        <f>Data_thang!G2940</f>
        <v/>
      </c>
      <c r="G2940" s="29">
        <f>Data_thang!J2940-Data_thang!K2940</f>
        <v/>
      </c>
      <c r="H2940" s="29">
        <f>Data_thang!N2940</f>
        <v/>
      </c>
      <c r="I2940" s="29">
        <f>H2940-G2940</f>
        <v/>
      </c>
      <c r="J2940" s="30">
        <f>IF(H2940=0,IF(I2940=0,0,1),I2940/ABS(H2940))</f>
        <v/>
      </c>
      <c r="K2940" s="29">
        <f>H2940-(Data_thang!O2940-Data_thang!K2940)</f>
        <v/>
      </c>
      <c r="L2940">
        <f>IF(AND(ABS(I2940)&gt;Dashboard!$G$6,ABS(J2940)&gt;Dashboard!$H$6),"⚠ Vượt","")</f>
        <v/>
      </c>
      <c r="M2940">
        <f>IF(AND(A2940=Dashboard!$D$6,OR(Dashboard!$C$6="*",F2940=Dashboard!$C$6),L2940&lt;&gt;""),ABS(I2940)+ROW()/1000000000,0)</f>
        <v/>
      </c>
    </row>
    <row r="2941">
      <c r="A2941">
        <f>Data_thang!A2941</f>
        <v/>
      </c>
      <c r="B2941">
        <f>Data_thang!B2941</f>
        <v/>
      </c>
      <c r="C2941">
        <f>Data_thang!D2941</f>
        <v/>
      </c>
      <c r="D2941">
        <f>Data_thang!E2941</f>
        <v/>
      </c>
      <c r="E2941">
        <f>Data_thang!F2941</f>
        <v/>
      </c>
      <c r="F2941">
        <f>Data_thang!G2941</f>
        <v/>
      </c>
      <c r="G2941" s="29">
        <f>Data_thang!J2941-Data_thang!K2941</f>
        <v/>
      </c>
      <c r="H2941" s="29">
        <f>Data_thang!N2941</f>
        <v/>
      </c>
      <c r="I2941" s="29">
        <f>H2941-G2941</f>
        <v/>
      </c>
      <c r="J2941" s="30">
        <f>IF(H2941=0,IF(I2941=0,0,1),I2941/ABS(H2941))</f>
        <v/>
      </c>
      <c r="K2941" s="29">
        <f>H2941-(Data_thang!O2941-Data_thang!K2941)</f>
        <v/>
      </c>
      <c r="L2941">
        <f>IF(AND(ABS(I2941)&gt;Dashboard!$G$6,ABS(J2941)&gt;Dashboard!$H$6),"⚠ Vượt","")</f>
        <v/>
      </c>
      <c r="M2941">
        <f>IF(AND(A2941=Dashboard!$D$6,OR(Dashboard!$C$6="*",F2941=Dashboard!$C$6),L2941&lt;&gt;""),ABS(I2941)+ROW()/1000000000,0)</f>
        <v/>
      </c>
    </row>
    <row r="2942">
      <c r="A2942">
        <f>Data_thang!A2942</f>
        <v/>
      </c>
      <c r="B2942">
        <f>Data_thang!B2942</f>
        <v/>
      </c>
      <c r="C2942">
        <f>Data_thang!D2942</f>
        <v/>
      </c>
      <c r="D2942">
        <f>Data_thang!E2942</f>
        <v/>
      </c>
      <c r="E2942">
        <f>Data_thang!F2942</f>
        <v/>
      </c>
      <c r="F2942">
        <f>Data_thang!G2942</f>
        <v/>
      </c>
      <c r="G2942" s="29">
        <f>Data_thang!J2942-Data_thang!K2942</f>
        <v/>
      </c>
      <c r="H2942" s="29">
        <f>Data_thang!N2942</f>
        <v/>
      </c>
      <c r="I2942" s="29">
        <f>H2942-G2942</f>
        <v/>
      </c>
      <c r="J2942" s="30">
        <f>IF(H2942=0,IF(I2942=0,0,1),I2942/ABS(H2942))</f>
        <v/>
      </c>
      <c r="K2942" s="29">
        <f>H2942-(Data_thang!O2942-Data_thang!K2942)</f>
        <v/>
      </c>
      <c r="L2942">
        <f>IF(AND(ABS(I2942)&gt;Dashboard!$G$6,ABS(J2942)&gt;Dashboard!$H$6),"⚠ Vượt","")</f>
        <v/>
      </c>
      <c r="M2942">
        <f>IF(AND(A2942=Dashboard!$D$6,OR(Dashboard!$C$6="*",F2942=Dashboard!$C$6),L2942&lt;&gt;""),ABS(I2942)+ROW()/1000000000,0)</f>
        <v/>
      </c>
    </row>
    <row r="2943">
      <c r="A2943">
        <f>Data_thang!A2943</f>
        <v/>
      </c>
      <c r="B2943">
        <f>Data_thang!B2943</f>
        <v/>
      </c>
      <c r="C2943">
        <f>Data_thang!D2943</f>
        <v/>
      </c>
      <c r="D2943">
        <f>Data_thang!E2943</f>
        <v/>
      </c>
      <c r="E2943">
        <f>Data_thang!F2943</f>
        <v/>
      </c>
      <c r="F2943">
        <f>Data_thang!G2943</f>
        <v/>
      </c>
      <c r="G2943" s="29">
        <f>Data_thang!J2943-Data_thang!K2943</f>
        <v/>
      </c>
      <c r="H2943" s="29">
        <f>Data_thang!N2943</f>
        <v/>
      </c>
      <c r="I2943" s="29">
        <f>H2943-G2943</f>
        <v/>
      </c>
      <c r="J2943" s="30">
        <f>IF(H2943=0,IF(I2943=0,0,1),I2943/ABS(H2943))</f>
        <v/>
      </c>
      <c r="K2943" s="29">
        <f>H2943-(Data_thang!O2943-Data_thang!K2943)</f>
        <v/>
      </c>
      <c r="L2943">
        <f>IF(AND(ABS(I2943)&gt;Dashboard!$G$6,ABS(J2943)&gt;Dashboard!$H$6),"⚠ Vượt","")</f>
        <v/>
      </c>
      <c r="M2943">
        <f>IF(AND(A2943=Dashboard!$D$6,OR(Dashboard!$C$6="*",F2943=Dashboard!$C$6),L2943&lt;&gt;""),ABS(I2943)+ROW()/1000000000,0)</f>
        <v/>
      </c>
    </row>
    <row r="2944">
      <c r="A2944">
        <f>Data_thang!A2944</f>
        <v/>
      </c>
      <c r="B2944">
        <f>Data_thang!B2944</f>
        <v/>
      </c>
      <c r="C2944">
        <f>Data_thang!D2944</f>
        <v/>
      </c>
      <c r="D2944">
        <f>Data_thang!E2944</f>
        <v/>
      </c>
      <c r="E2944">
        <f>Data_thang!F2944</f>
        <v/>
      </c>
      <c r="F2944">
        <f>Data_thang!G2944</f>
        <v/>
      </c>
      <c r="G2944" s="29">
        <f>Data_thang!J2944-Data_thang!K2944</f>
        <v/>
      </c>
      <c r="H2944" s="29">
        <f>Data_thang!N2944</f>
        <v/>
      </c>
      <c r="I2944" s="29">
        <f>H2944-G2944</f>
        <v/>
      </c>
      <c r="J2944" s="30">
        <f>IF(H2944=0,IF(I2944=0,0,1),I2944/ABS(H2944))</f>
        <v/>
      </c>
      <c r="K2944" s="29">
        <f>H2944-(Data_thang!O2944-Data_thang!K2944)</f>
        <v/>
      </c>
      <c r="L2944">
        <f>IF(AND(ABS(I2944)&gt;Dashboard!$G$6,ABS(J2944)&gt;Dashboard!$H$6),"⚠ Vượt","")</f>
        <v/>
      </c>
      <c r="M2944">
        <f>IF(AND(A2944=Dashboard!$D$6,OR(Dashboard!$C$6="*",F2944=Dashboard!$C$6),L2944&lt;&gt;""),ABS(I2944)+ROW()/1000000000,0)</f>
        <v/>
      </c>
    </row>
    <row r="2945">
      <c r="A2945">
        <f>Data_thang!A2945</f>
        <v/>
      </c>
      <c r="B2945">
        <f>Data_thang!B2945</f>
        <v/>
      </c>
      <c r="C2945">
        <f>Data_thang!D2945</f>
        <v/>
      </c>
      <c r="D2945">
        <f>Data_thang!E2945</f>
        <v/>
      </c>
      <c r="E2945">
        <f>Data_thang!F2945</f>
        <v/>
      </c>
      <c r="F2945">
        <f>Data_thang!G2945</f>
        <v/>
      </c>
      <c r="G2945" s="29">
        <f>Data_thang!J2945-Data_thang!K2945</f>
        <v/>
      </c>
      <c r="H2945" s="29">
        <f>Data_thang!N2945</f>
        <v/>
      </c>
      <c r="I2945" s="29">
        <f>H2945-G2945</f>
        <v/>
      </c>
      <c r="J2945" s="30">
        <f>IF(H2945=0,IF(I2945=0,0,1),I2945/ABS(H2945))</f>
        <v/>
      </c>
      <c r="K2945" s="29">
        <f>H2945-(Data_thang!O2945-Data_thang!K2945)</f>
        <v/>
      </c>
      <c r="L2945">
        <f>IF(AND(ABS(I2945)&gt;Dashboard!$G$6,ABS(J2945)&gt;Dashboard!$H$6),"⚠ Vượt","")</f>
        <v/>
      </c>
      <c r="M2945">
        <f>IF(AND(A2945=Dashboard!$D$6,OR(Dashboard!$C$6="*",F2945=Dashboard!$C$6),L2945&lt;&gt;""),ABS(I2945)+ROW()/1000000000,0)</f>
        <v/>
      </c>
    </row>
    <row r="2946">
      <c r="A2946">
        <f>Data_thang!A2946</f>
        <v/>
      </c>
      <c r="B2946">
        <f>Data_thang!B2946</f>
        <v/>
      </c>
      <c r="C2946">
        <f>Data_thang!D2946</f>
        <v/>
      </c>
      <c r="D2946">
        <f>Data_thang!E2946</f>
        <v/>
      </c>
      <c r="E2946">
        <f>Data_thang!F2946</f>
        <v/>
      </c>
      <c r="F2946">
        <f>Data_thang!G2946</f>
        <v/>
      </c>
      <c r="G2946" s="29">
        <f>Data_thang!J2946-Data_thang!K2946</f>
        <v/>
      </c>
      <c r="H2946" s="29">
        <f>Data_thang!N2946</f>
        <v/>
      </c>
      <c r="I2946" s="29">
        <f>H2946-G2946</f>
        <v/>
      </c>
      <c r="J2946" s="30">
        <f>IF(H2946=0,IF(I2946=0,0,1),I2946/ABS(H2946))</f>
        <v/>
      </c>
      <c r="K2946" s="29">
        <f>H2946-(Data_thang!O2946-Data_thang!K2946)</f>
        <v/>
      </c>
      <c r="L2946">
        <f>IF(AND(ABS(I2946)&gt;Dashboard!$G$6,ABS(J2946)&gt;Dashboard!$H$6),"⚠ Vượt","")</f>
        <v/>
      </c>
      <c r="M2946">
        <f>IF(AND(A2946=Dashboard!$D$6,OR(Dashboard!$C$6="*",F2946=Dashboard!$C$6),L2946&lt;&gt;""),ABS(I2946)+ROW()/1000000000,0)</f>
        <v/>
      </c>
    </row>
    <row r="2947">
      <c r="A2947">
        <f>Data_thang!A2947</f>
        <v/>
      </c>
      <c r="B2947">
        <f>Data_thang!B2947</f>
        <v/>
      </c>
      <c r="C2947">
        <f>Data_thang!D2947</f>
        <v/>
      </c>
      <c r="D2947">
        <f>Data_thang!E2947</f>
        <v/>
      </c>
      <c r="E2947">
        <f>Data_thang!F2947</f>
        <v/>
      </c>
      <c r="F2947">
        <f>Data_thang!G2947</f>
        <v/>
      </c>
      <c r="G2947" s="29">
        <f>Data_thang!J2947-Data_thang!K2947</f>
        <v/>
      </c>
      <c r="H2947" s="29">
        <f>Data_thang!N2947</f>
        <v/>
      </c>
      <c r="I2947" s="29">
        <f>H2947-G2947</f>
        <v/>
      </c>
      <c r="J2947" s="30">
        <f>IF(H2947=0,IF(I2947=0,0,1),I2947/ABS(H2947))</f>
        <v/>
      </c>
      <c r="K2947" s="29">
        <f>H2947-(Data_thang!O2947-Data_thang!K2947)</f>
        <v/>
      </c>
      <c r="L2947">
        <f>IF(AND(ABS(I2947)&gt;Dashboard!$G$6,ABS(J2947)&gt;Dashboard!$H$6),"⚠ Vượt","")</f>
        <v/>
      </c>
      <c r="M2947">
        <f>IF(AND(A2947=Dashboard!$D$6,OR(Dashboard!$C$6="*",F2947=Dashboard!$C$6),L2947&lt;&gt;""),ABS(I2947)+ROW()/1000000000,0)</f>
        <v/>
      </c>
    </row>
    <row r="2948">
      <c r="A2948">
        <f>Data_thang!A2948</f>
        <v/>
      </c>
      <c r="B2948">
        <f>Data_thang!B2948</f>
        <v/>
      </c>
      <c r="C2948">
        <f>Data_thang!D2948</f>
        <v/>
      </c>
      <c r="D2948">
        <f>Data_thang!E2948</f>
        <v/>
      </c>
      <c r="E2948">
        <f>Data_thang!F2948</f>
        <v/>
      </c>
      <c r="F2948">
        <f>Data_thang!G2948</f>
        <v/>
      </c>
      <c r="G2948" s="29">
        <f>Data_thang!J2948-Data_thang!K2948</f>
        <v/>
      </c>
      <c r="H2948" s="29">
        <f>Data_thang!N2948</f>
        <v/>
      </c>
      <c r="I2948" s="29">
        <f>H2948-G2948</f>
        <v/>
      </c>
      <c r="J2948" s="30">
        <f>IF(H2948=0,IF(I2948=0,0,1),I2948/ABS(H2948))</f>
        <v/>
      </c>
      <c r="K2948" s="29">
        <f>H2948-(Data_thang!O2948-Data_thang!K2948)</f>
        <v/>
      </c>
      <c r="L2948">
        <f>IF(AND(ABS(I2948)&gt;Dashboard!$G$6,ABS(J2948)&gt;Dashboard!$H$6),"⚠ Vượt","")</f>
        <v/>
      </c>
      <c r="M2948">
        <f>IF(AND(A2948=Dashboard!$D$6,OR(Dashboard!$C$6="*",F2948=Dashboard!$C$6),L2948&lt;&gt;""),ABS(I2948)+ROW()/1000000000,0)</f>
        <v/>
      </c>
    </row>
    <row r="2949">
      <c r="A2949">
        <f>Data_thang!A2949</f>
        <v/>
      </c>
      <c r="B2949">
        <f>Data_thang!B2949</f>
        <v/>
      </c>
      <c r="C2949">
        <f>Data_thang!D2949</f>
        <v/>
      </c>
      <c r="D2949">
        <f>Data_thang!E2949</f>
        <v/>
      </c>
      <c r="E2949">
        <f>Data_thang!F2949</f>
        <v/>
      </c>
      <c r="F2949">
        <f>Data_thang!G2949</f>
        <v/>
      </c>
      <c r="G2949" s="29">
        <f>Data_thang!J2949-Data_thang!K2949</f>
        <v/>
      </c>
      <c r="H2949" s="29">
        <f>Data_thang!N2949</f>
        <v/>
      </c>
      <c r="I2949" s="29">
        <f>H2949-G2949</f>
        <v/>
      </c>
      <c r="J2949" s="30">
        <f>IF(H2949=0,IF(I2949=0,0,1),I2949/ABS(H2949))</f>
        <v/>
      </c>
      <c r="K2949" s="29">
        <f>H2949-(Data_thang!O2949-Data_thang!K2949)</f>
        <v/>
      </c>
      <c r="L2949">
        <f>IF(AND(ABS(I2949)&gt;Dashboard!$G$6,ABS(J2949)&gt;Dashboard!$H$6),"⚠ Vượt","")</f>
        <v/>
      </c>
      <c r="M2949">
        <f>IF(AND(A2949=Dashboard!$D$6,OR(Dashboard!$C$6="*",F2949=Dashboard!$C$6),L2949&lt;&gt;""),ABS(I2949)+ROW()/1000000000,0)</f>
        <v/>
      </c>
    </row>
    <row r="2950">
      <c r="A2950">
        <f>Data_thang!A2950</f>
        <v/>
      </c>
      <c r="B2950">
        <f>Data_thang!B2950</f>
        <v/>
      </c>
      <c r="C2950">
        <f>Data_thang!D2950</f>
        <v/>
      </c>
      <c r="D2950">
        <f>Data_thang!E2950</f>
        <v/>
      </c>
      <c r="E2950">
        <f>Data_thang!F2950</f>
        <v/>
      </c>
      <c r="F2950">
        <f>Data_thang!G2950</f>
        <v/>
      </c>
      <c r="G2950" s="29">
        <f>Data_thang!J2950-Data_thang!K2950</f>
        <v/>
      </c>
      <c r="H2950" s="29">
        <f>Data_thang!N2950</f>
        <v/>
      </c>
      <c r="I2950" s="29">
        <f>H2950-G2950</f>
        <v/>
      </c>
      <c r="J2950" s="30">
        <f>IF(H2950=0,IF(I2950=0,0,1),I2950/ABS(H2950))</f>
        <v/>
      </c>
      <c r="K2950" s="29">
        <f>H2950-(Data_thang!O2950-Data_thang!K2950)</f>
        <v/>
      </c>
      <c r="L2950">
        <f>IF(AND(ABS(I2950)&gt;Dashboard!$G$6,ABS(J2950)&gt;Dashboard!$H$6),"⚠ Vượt","")</f>
        <v/>
      </c>
      <c r="M2950">
        <f>IF(AND(A2950=Dashboard!$D$6,OR(Dashboard!$C$6="*",F2950=Dashboard!$C$6),L2950&lt;&gt;""),ABS(I2950)+ROW()/1000000000,0)</f>
        <v/>
      </c>
    </row>
    <row r="2951">
      <c r="A2951">
        <f>Data_thang!A2951</f>
        <v/>
      </c>
      <c r="B2951">
        <f>Data_thang!B2951</f>
        <v/>
      </c>
      <c r="C2951">
        <f>Data_thang!D2951</f>
        <v/>
      </c>
      <c r="D2951">
        <f>Data_thang!E2951</f>
        <v/>
      </c>
      <c r="E2951">
        <f>Data_thang!F2951</f>
        <v/>
      </c>
      <c r="F2951">
        <f>Data_thang!G2951</f>
        <v/>
      </c>
      <c r="G2951" s="29">
        <f>Data_thang!J2951-Data_thang!K2951</f>
        <v/>
      </c>
      <c r="H2951" s="29">
        <f>Data_thang!N2951</f>
        <v/>
      </c>
      <c r="I2951" s="29">
        <f>H2951-G2951</f>
        <v/>
      </c>
      <c r="J2951" s="30">
        <f>IF(H2951=0,IF(I2951=0,0,1),I2951/ABS(H2951))</f>
        <v/>
      </c>
      <c r="K2951" s="29">
        <f>H2951-(Data_thang!O2951-Data_thang!K2951)</f>
        <v/>
      </c>
      <c r="L2951">
        <f>IF(AND(ABS(I2951)&gt;Dashboard!$G$6,ABS(J2951)&gt;Dashboard!$H$6),"⚠ Vượt","")</f>
        <v/>
      </c>
      <c r="M2951">
        <f>IF(AND(A2951=Dashboard!$D$6,OR(Dashboard!$C$6="*",F2951=Dashboard!$C$6),L2951&lt;&gt;""),ABS(I2951)+ROW()/1000000000,0)</f>
        <v/>
      </c>
    </row>
    <row r="2952">
      <c r="A2952">
        <f>Data_thang!A2952</f>
        <v/>
      </c>
      <c r="B2952">
        <f>Data_thang!B2952</f>
        <v/>
      </c>
      <c r="C2952">
        <f>Data_thang!D2952</f>
        <v/>
      </c>
      <c r="D2952">
        <f>Data_thang!E2952</f>
        <v/>
      </c>
      <c r="E2952">
        <f>Data_thang!F2952</f>
        <v/>
      </c>
      <c r="F2952">
        <f>Data_thang!G2952</f>
        <v/>
      </c>
      <c r="G2952" s="29">
        <f>Data_thang!J2952-Data_thang!K2952</f>
        <v/>
      </c>
      <c r="H2952" s="29">
        <f>Data_thang!N2952</f>
        <v/>
      </c>
      <c r="I2952" s="29">
        <f>H2952-G2952</f>
        <v/>
      </c>
      <c r="J2952" s="30">
        <f>IF(H2952=0,IF(I2952=0,0,1),I2952/ABS(H2952))</f>
        <v/>
      </c>
      <c r="K2952" s="29">
        <f>H2952-(Data_thang!O2952-Data_thang!K2952)</f>
        <v/>
      </c>
      <c r="L2952">
        <f>IF(AND(ABS(I2952)&gt;Dashboard!$G$6,ABS(J2952)&gt;Dashboard!$H$6),"⚠ Vượt","")</f>
        <v/>
      </c>
      <c r="M2952">
        <f>IF(AND(A2952=Dashboard!$D$6,OR(Dashboard!$C$6="*",F2952=Dashboard!$C$6),L2952&lt;&gt;""),ABS(I2952)+ROW()/1000000000,0)</f>
        <v/>
      </c>
    </row>
    <row r="2953">
      <c r="A2953">
        <f>Data_thang!A2953</f>
        <v/>
      </c>
      <c r="B2953">
        <f>Data_thang!B2953</f>
        <v/>
      </c>
      <c r="C2953">
        <f>Data_thang!D2953</f>
        <v/>
      </c>
      <c r="D2953">
        <f>Data_thang!E2953</f>
        <v/>
      </c>
      <c r="E2953">
        <f>Data_thang!F2953</f>
        <v/>
      </c>
      <c r="F2953">
        <f>Data_thang!G2953</f>
        <v/>
      </c>
      <c r="G2953" s="29">
        <f>Data_thang!J2953-Data_thang!K2953</f>
        <v/>
      </c>
      <c r="H2953" s="29">
        <f>Data_thang!N2953</f>
        <v/>
      </c>
      <c r="I2953" s="29">
        <f>H2953-G2953</f>
        <v/>
      </c>
      <c r="J2953" s="30">
        <f>IF(H2953=0,IF(I2953=0,0,1),I2953/ABS(H2953))</f>
        <v/>
      </c>
      <c r="K2953" s="29">
        <f>H2953-(Data_thang!O2953-Data_thang!K2953)</f>
        <v/>
      </c>
      <c r="L2953">
        <f>IF(AND(ABS(I2953)&gt;Dashboard!$G$6,ABS(J2953)&gt;Dashboard!$H$6),"⚠ Vượt","")</f>
        <v/>
      </c>
      <c r="M2953">
        <f>IF(AND(A2953=Dashboard!$D$6,OR(Dashboard!$C$6="*",F2953=Dashboard!$C$6),L2953&lt;&gt;""),ABS(I2953)+ROW()/1000000000,0)</f>
        <v/>
      </c>
    </row>
    <row r="2954">
      <c r="A2954">
        <f>Data_thang!A2954</f>
        <v/>
      </c>
      <c r="B2954">
        <f>Data_thang!B2954</f>
        <v/>
      </c>
      <c r="C2954">
        <f>Data_thang!D2954</f>
        <v/>
      </c>
      <c r="D2954">
        <f>Data_thang!E2954</f>
        <v/>
      </c>
      <c r="E2954">
        <f>Data_thang!F2954</f>
        <v/>
      </c>
      <c r="F2954">
        <f>Data_thang!G2954</f>
        <v/>
      </c>
      <c r="G2954" s="29">
        <f>Data_thang!J2954-Data_thang!K2954</f>
        <v/>
      </c>
      <c r="H2954" s="29">
        <f>Data_thang!N2954</f>
        <v/>
      </c>
      <c r="I2954" s="29">
        <f>H2954-G2954</f>
        <v/>
      </c>
      <c r="J2954" s="30">
        <f>IF(H2954=0,IF(I2954=0,0,1),I2954/ABS(H2954))</f>
        <v/>
      </c>
      <c r="K2954" s="29">
        <f>H2954-(Data_thang!O2954-Data_thang!K2954)</f>
        <v/>
      </c>
      <c r="L2954">
        <f>IF(AND(ABS(I2954)&gt;Dashboard!$G$6,ABS(J2954)&gt;Dashboard!$H$6),"⚠ Vượt","")</f>
        <v/>
      </c>
      <c r="M2954">
        <f>IF(AND(A2954=Dashboard!$D$6,OR(Dashboard!$C$6="*",F2954=Dashboard!$C$6),L2954&lt;&gt;""),ABS(I2954)+ROW()/1000000000,0)</f>
        <v/>
      </c>
    </row>
    <row r="2955">
      <c r="A2955">
        <f>Data_thang!A2955</f>
        <v/>
      </c>
      <c r="B2955">
        <f>Data_thang!B2955</f>
        <v/>
      </c>
      <c r="C2955">
        <f>Data_thang!D2955</f>
        <v/>
      </c>
      <c r="D2955">
        <f>Data_thang!E2955</f>
        <v/>
      </c>
      <c r="E2955">
        <f>Data_thang!F2955</f>
        <v/>
      </c>
      <c r="F2955">
        <f>Data_thang!G2955</f>
        <v/>
      </c>
      <c r="G2955" s="29">
        <f>Data_thang!J2955-Data_thang!K2955</f>
        <v/>
      </c>
      <c r="H2955" s="29">
        <f>Data_thang!N2955</f>
        <v/>
      </c>
      <c r="I2955" s="29">
        <f>H2955-G2955</f>
        <v/>
      </c>
      <c r="J2955" s="30">
        <f>IF(H2955=0,IF(I2955=0,0,1),I2955/ABS(H2955))</f>
        <v/>
      </c>
      <c r="K2955" s="29">
        <f>H2955-(Data_thang!O2955-Data_thang!K2955)</f>
        <v/>
      </c>
      <c r="L2955">
        <f>IF(AND(ABS(I2955)&gt;Dashboard!$G$6,ABS(J2955)&gt;Dashboard!$H$6),"⚠ Vượt","")</f>
        <v/>
      </c>
      <c r="M2955">
        <f>IF(AND(A2955=Dashboard!$D$6,OR(Dashboard!$C$6="*",F2955=Dashboard!$C$6),L2955&lt;&gt;""),ABS(I2955)+ROW()/1000000000,0)</f>
        <v/>
      </c>
    </row>
    <row r="2956">
      <c r="A2956">
        <f>Data_thang!A2956</f>
        <v/>
      </c>
      <c r="B2956">
        <f>Data_thang!B2956</f>
        <v/>
      </c>
      <c r="C2956">
        <f>Data_thang!D2956</f>
        <v/>
      </c>
      <c r="D2956">
        <f>Data_thang!E2956</f>
        <v/>
      </c>
      <c r="E2956">
        <f>Data_thang!F2956</f>
        <v/>
      </c>
      <c r="F2956">
        <f>Data_thang!G2956</f>
        <v/>
      </c>
      <c r="G2956" s="29">
        <f>Data_thang!J2956-Data_thang!K2956</f>
        <v/>
      </c>
      <c r="H2956" s="29">
        <f>Data_thang!N2956</f>
        <v/>
      </c>
      <c r="I2956" s="29">
        <f>H2956-G2956</f>
        <v/>
      </c>
      <c r="J2956" s="30">
        <f>IF(H2956=0,IF(I2956=0,0,1),I2956/ABS(H2956))</f>
        <v/>
      </c>
      <c r="K2956" s="29">
        <f>H2956-(Data_thang!O2956-Data_thang!K2956)</f>
        <v/>
      </c>
      <c r="L2956">
        <f>IF(AND(ABS(I2956)&gt;Dashboard!$G$6,ABS(J2956)&gt;Dashboard!$H$6),"⚠ Vượt","")</f>
        <v/>
      </c>
      <c r="M2956">
        <f>IF(AND(A2956=Dashboard!$D$6,OR(Dashboard!$C$6="*",F2956=Dashboard!$C$6),L2956&lt;&gt;""),ABS(I2956)+ROW()/1000000000,0)</f>
        <v/>
      </c>
    </row>
    <row r="2957">
      <c r="A2957">
        <f>Data_thang!A2957</f>
        <v/>
      </c>
      <c r="B2957">
        <f>Data_thang!B2957</f>
        <v/>
      </c>
      <c r="C2957">
        <f>Data_thang!D2957</f>
        <v/>
      </c>
      <c r="D2957">
        <f>Data_thang!E2957</f>
        <v/>
      </c>
      <c r="E2957">
        <f>Data_thang!F2957</f>
        <v/>
      </c>
      <c r="F2957">
        <f>Data_thang!G2957</f>
        <v/>
      </c>
      <c r="G2957" s="29">
        <f>Data_thang!J2957-Data_thang!K2957</f>
        <v/>
      </c>
      <c r="H2957" s="29">
        <f>Data_thang!N2957</f>
        <v/>
      </c>
      <c r="I2957" s="29">
        <f>H2957-G2957</f>
        <v/>
      </c>
      <c r="J2957" s="30">
        <f>IF(H2957=0,IF(I2957=0,0,1),I2957/ABS(H2957))</f>
        <v/>
      </c>
      <c r="K2957" s="29">
        <f>H2957-(Data_thang!O2957-Data_thang!K2957)</f>
        <v/>
      </c>
      <c r="L2957">
        <f>IF(AND(ABS(I2957)&gt;Dashboard!$G$6,ABS(J2957)&gt;Dashboard!$H$6),"⚠ Vượt","")</f>
        <v/>
      </c>
      <c r="M2957">
        <f>IF(AND(A2957=Dashboard!$D$6,OR(Dashboard!$C$6="*",F2957=Dashboard!$C$6),L2957&lt;&gt;""),ABS(I2957)+ROW()/1000000000,0)</f>
        <v/>
      </c>
    </row>
    <row r="2958">
      <c r="A2958">
        <f>Data_thang!A2958</f>
        <v/>
      </c>
      <c r="B2958">
        <f>Data_thang!B2958</f>
        <v/>
      </c>
      <c r="C2958">
        <f>Data_thang!D2958</f>
        <v/>
      </c>
      <c r="D2958">
        <f>Data_thang!E2958</f>
        <v/>
      </c>
      <c r="E2958">
        <f>Data_thang!F2958</f>
        <v/>
      </c>
      <c r="F2958">
        <f>Data_thang!G2958</f>
        <v/>
      </c>
      <c r="G2958" s="29">
        <f>Data_thang!J2958-Data_thang!K2958</f>
        <v/>
      </c>
      <c r="H2958" s="29">
        <f>Data_thang!N2958</f>
        <v/>
      </c>
      <c r="I2958" s="29">
        <f>H2958-G2958</f>
        <v/>
      </c>
      <c r="J2958" s="30">
        <f>IF(H2958=0,IF(I2958=0,0,1),I2958/ABS(H2958))</f>
        <v/>
      </c>
      <c r="K2958" s="29">
        <f>H2958-(Data_thang!O2958-Data_thang!K2958)</f>
        <v/>
      </c>
      <c r="L2958">
        <f>IF(AND(ABS(I2958)&gt;Dashboard!$G$6,ABS(J2958)&gt;Dashboard!$H$6),"⚠ Vượt","")</f>
        <v/>
      </c>
      <c r="M2958">
        <f>IF(AND(A2958=Dashboard!$D$6,OR(Dashboard!$C$6="*",F2958=Dashboard!$C$6),L2958&lt;&gt;""),ABS(I2958)+ROW()/1000000000,0)</f>
        <v/>
      </c>
    </row>
    <row r="2959">
      <c r="A2959">
        <f>Data_thang!A2959</f>
        <v/>
      </c>
      <c r="B2959">
        <f>Data_thang!B2959</f>
        <v/>
      </c>
      <c r="C2959">
        <f>Data_thang!D2959</f>
        <v/>
      </c>
      <c r="D2959">
        <f>Data_thang!E2959</f>
        <v/>
      </c>
      <c r="E2959">
        <f>Data_thang!F2959</f>
        <v/>
      </c>
      <c r="F2959">
        <f>Data_thang!G2959</f>
        <v/>
      </c>
      <c r="G2959" s="29">
        <f>Data_thang!J2959-Data_thang!K2959</f>
        <v/>
      </c>
      <c r="H2959" s="29">
        <f>Data_thang!N2959</f>
        <v/>
      </c>
      <c r="I2959" s="29">
        <f>H2959-G2959</f>
        <v/>
      </c>
      <c r="J2959" s="30">
        <f>IF(H2959=0,IF(I2959=0,0,1),I2959/ABS(H2959))</f>
        <v/>
      </c>
      <c r="K2959" s="29">
        <f>H2959-(Data_thang!O2959-Data_thang!K2959)</f>
        <v/>
      </c>
      <c r="L2959">
        <f>IF(AND(ABS(I2959)&gt;Dashboard!$G$6,ABS(J2959)&gt;Dashboard!$H$6),"⚠ Vượt","")</f>
        <v/>
      </c>
      <c r="M2959">
        <f>IF(AND(A2959=Dashboard!$D$6,OR(Dashboard!$C$6="*",F2959=Dashboard!$C$6),L2959&lt;&gt;""),ABS(I2959)+ROW()/1000000000,0)</f>
        <v/>
      </c>
    </row>
    <row r="2960">
      <c r="A2960">
        <f>Data_thang!A2960</f>
        <v/>
      </c>
      <c r="B2960">
        <f>Data_thang!B2960</f>
        <v/>
      </c>
      <c r="C2960">
        <f>Data_thang!D2960</f>
        <v/>
      </c>
      <c r="D2960">
        <f>Data_thang!E2960</f>
        <v/>
      </c>
      <c r="E2960">
        <f>Data_thang!F2960</f>
        <v/>
      </c>
      <c r="F2960">
        <f>Data_thang!G2960</f>
        <v/>
      </c>
      <c r="G2960" s="29">
        <f>Data_thang!J2960-Data_thang!K2960</f>
        <v/>
      </c>
      <c r="H2960" s="29">
        <f>Data_thang!N2960</f>
        <v/>
      </c>
      <c r="I2960" s="29">
        <f>H2960-G2960</f>
        <v/>
      </c>
      <c r="J2960" s="30">
        <f>IF(H2960=0,IF(I2960=0,0,1),I2960/ABS(H2960))</f>
        <v/>
      </c>
      <c r="K2960" s="29">
        <f>H2960-(Data_thang!O2960-Data_thang!K2960)</f>
        <v/>
      </c>
      <c r="L2960">
        <f>IF(AND(ABS(I2960)&gt;Dashboard!$G$6,ABS(J2960)&gt;Dashboard!$H$6),"⚠ Vượt","")</f>
        <v/>
      </c>
      <c r="M2960">
        <f>IF(AND(A2960=Dashboard!$D$6,OR(Dashboard!$C$6="*",F2960=Dashboard!$C$6),L2960&lt;&gt;""),ABS(I2960)+ROW()/1000000000,0)</f>
        <v/>
      </c>
    </row>
    <row r="2961">
      <c r="A2961">
        <f>Data_thang!A2961</f>
        <v/>
      </c>
      <c r="B2961">
        <f>Data_thang!B2961</f>
        <v/>
      </c>
      <c r="C2961">
        <f>Data_thang!D2961</f>
        <v/>
      </c>
      <c r="D2961">
        <f>Data_thang!E2961</f>
        <v/>
      </c>
      <c r="E2961">
        <f>Data_thang!F2961</f>
        <v/>
      </c>
      <c r="F2961">
        <f>Data_thang!G2961</f>
        <v/>
      </c>
      <c r="G2961" s="29">
        <f>Data_thang!J2961-Data_thang!K2961</f>
        <v/>
      </c>
      <c r="H2961" s="29">
        <f>Data_thang!N2961</f>
        <v/>
      </c>
      <c r="I2961" s="29">
        <f>H2961-G2961</f>
        <v/>
      </c>
      <c r="J2961" s="30">
        <f>IF(H2961=0,IF(I2961=0,0,1),I2961/ABS(H2961))</f>
        <v/>
      </c>
      <c r="K2961" s="29">
        <f>H2961-(Data_thang!O2961-Data_thang!K2961)</f>
        <v/>
      </c>
      <c r="L2961">
        <f>IF(AND(ABS(I2961)&gt;Dashboard!$G$6,ABS(J2961)&gt;Dashboard!$H$6),"⚠ Vượt","")</f>
        <v/>
      </c>
      <c r="M2961">
        <f>IF(AND(A2961=Dashboard!$D$6,OR(Dashboard!$C$6="*",F2961=Dashboard!$C$6),L2961&lt;&gt;""),ABS(I2961)+ROW()/1000000000,0)</f>
        <v/>
      </c>
    </row>
    <row r="2962">
      <c r="A2962">
        <f>Data_thang!A2962</f>
        <v/>
      </c>
      <c r="B2962">
        <f>Data_thang!B2962</f>
        <v/>
      </c>
      <c r="C2962">
        <f>Data_thang!D2962</f>
        <v/>
      </c>
      <c r="D2962">
        <f>Data_thang!E2962</f>
        <v/>
      </c>
      <c r="E2962">
        <f>Data_thang!F2962</f>
        <v/>
      </c>
      <c r="F2962">
        <f>Data_thang!G2962</f>
        <v/>
      </c>
      <c r="G2962" s="29">
        <f>Data_thang!J2962-Data_thang!K2962</f>
        <v/>
      </c>
      <c r="H2962" s="29">
        <f>Data_thang!N2962</f>
        <v/>
      </c>
      <c r="I2962" s="29">
        <f>H2962-G2962</f>
        <v/>
      </c>
      <c r="J2962" s="30">
        <f>IF(H2962=0,IF(I2962=0,0,1),I2962/ABS(H2962))</f>
        <v/>
      </c>
      <c r="K2962" s="29">
        <f>H2962-(Data_thang!O2962-Data_thang!K2962)</f>
        <v/>
      </c>
      <c r="L2962">
        <f>IF(AND(ABS(I2962)&gt;Dashboard!$G$6,ABS(J2962)&gt;Dashboard!$H$6),"⚠ Vượt","")</f>
        <v/>
      </c>
      <c r="M2962">
        <f>IF(AND(A2962=Dashboard!$D$6,OR(Dashboard!$C$6="*",F2962=Dashboard!$C$6),L2962&lt;&gt;""),ABS(I2962)+ROW()/1000000000,0)</f>
        <v/>
      </c>
    </row>
    <row r="2963">
      <c r="A2963">
        <f>Data_thang!A2963</f>
        <v/>
      </c>
      <c r="B2963">
        <f>Data_thang!B2963</f>
        <v/>
      </c>
      <c r="C2963">
        <f>Data_thang!D2963</f>
        <v/>
      </c>
      <c r="D2963">
        <f>Data_thang!E2963</f>
        <v/>
      </c>
      <c r="E2963">
        <f>Data_thang!F2963</f>
        <v/>
      </c>
      <c r="F2963">
        <f>Data_thang!G2963</f>
        <v/>
      </c>
      <c r="G2963" s="29">
        <f>Data_thang!J2963-Data_thang!K2963</f>
        <v/>
      </c>
      <c r="H2963" s="29">
        <f>Data_thang!N2963</f>
        <v/>
      </c>
      <c r="I2963" s="29">
        <f>H2963-G2963</f>
        <v/>
      </c>
      <c r="J2963" s="30">
        <f>IF(H2963=0,IF(I2963=0,0,1),I2963/ABS(H2963))</f>
        <v/>
      </c>
      <c r="K2963" s="29">
        <f>H2963-(Data_thang!O2963-Data_thang!K2963)</f>
        <v/>
      </c>
      <c r="L2963">
        <f>IF(AND(ABS(I2963)&gt;Dashboard!$G$6,ABS(J2963)&gt;Dashboard!$H$6),"⚠ Vượt","")</f>
        <v/>
      </c>
      <c r="M2963">
        <f>IF(AND(A2963=Dashboard!$D$6,OR(Dashboard!$C$6="*",F2963=Dashboard!$C$6),L2963&lt;&gt;""),ABS(I2963)+ROW()/1000000000,0)</f>
        <v/>
      </c>
    </row>
    <row r="2964">
      <c r="A2964">
        <f>Data_thang!A2964</f>
        <v/>
      </c>
      <c r="B2964">
        <f>Data_thang!B2964</f>
        <v/>
      </c>
      <c r="C2964">
        <f>Data_thang!D2964</f>
        <v/>
      </c>
      <c r="D2964">
        <f>Data_thang!E2964</f>
        <v/>
      </c>
      <c r="E2964">
        <f>Data_thang!F2964</f>
        <v/>
      </c>
      <c r="F2964">
        <f>Data_thang!G2964</f>
        <v/>
      </c>
      <c r="G2964" s="29">
        <f>Data_thang!J2964-Data_thang!K2964</f>
        <v/>
      </c>
      <c r="H2964" s="29">
        <f>Data_thang!N2964</f>
        <v/>
      </c>
      <c r="I2964" s="29">
        <f>H2964-G2964</f>
        <v/>
      </c>
      <c r="J2964" s="30">
        <f>IF(H2964=0,IF(I2964=0,0,1),I2964/ABS(H2964))</f>
        <v/>
      </c>
      <c r="K2964" s="29">
        <f>H2964-(Data_thang!O2964-Data_thang!K2964)</f>
        <v/>
      </c>
      <c r="L2964">
        <f>IF(AND(ABS(I2964)&gt;Dashboard!$G$6,ABS(J2964)&gt;Dashboard!$H$6),"⚠ Vượt","")</f>
        <v/>
      </c>
      <c r="M2964">
        <f>IF(AND(A2964=Dashboard!$D$6,OR(Dashboard!$C$6="*",F2964=Dashboard!$C$6),L2964&lt;&gt;""),ABS(I2964)+ROW()/1000000000,0)</f>
        <v/>
      </c>
    </row>
    <row r="2965">
      <c r="A2965">
        <f>Data_thang!A2965</f>
        <v/>
      </c>
      <c r="B2965">
        <f>Data_thang!B2965</f>
        <v/>
      </c>
      <c r="C2965">
        <f>Data_thang!D2965</f>
        <v/>
      </c>
      <c r="D2965">
        <f>Data_thang!E2965</f>
        <v/>
      </c>
      <c r="E2965">
        <f>Data_thang!F2965</f>
        <v/>
      </c>
      <c r="F2965">
        <f>Data_thang!G2965</f>
        <v/>
      </c>
      <c r="G2965" s="29">
        <f>Data_thang!J2965-Data_thang!K2965</f>
        <v/>
      </c>
      <c r="H2965" s="29">
        <f>Data_thang!N2965</f>
        <v/>
      </c>
      <c r="I2965" s="29">
        <f>H2965-G2965</f>
        <v/>
      </c>
      <c r="J2965" s="30">
        <f>IF(H2965=0,IF(I2965=0,0,1),I2965/ABS(H2965))</f>
        <v/>
      </c>
      <c r="K2965" s="29">
        <f>H2965-(Data_thang!O2965-Data_thang!K2965)</f>
        <v/>
      </c>
      <c r="L2965">
        <f>IF(AND(ABS(I2965)&gt;Dashboard!$G$6,ABS(J2965)&gt;Dashboard!$H$6),"⚠ Vượt","")</f>
        <v/>
      </c>
      <c r="M2965">
        <f>IF(AND(A2965=Dashboard!$D$6,OR(Dashboard!$C$6="*",F2965=Dashboard!$C$6),L2965&lt;&gt;""),ABS(I2965)+ROW()/1000000000,0)</f>
        <v/>
      </c>
    </row>
    <row r="2966">
      <c r="A2966">
        <f>Data_thang!A2966</f>
        <v/>
      </c>
      <c r="B2966">
        <f>Data_thang!B2966</f>
        <v/>
      </c>
      <c r="C2966">
        <f>Data_thang!D2966</f>
        <v/>
      </c>
      <c r="D2966">
        <f>Data_thang!E2966</f>
        <v/>
      </c>
      <c r="E2966">
        <f>Data_thang!F2966</f>
        <v/>
      </c>
      <c r="F2966">
        <f>Data_thang!G2966</f>
        <v/>
      </c>
      <c r="G2966" s="29">
        <f>Data_thang!J2966-Data_thang!K2966</f>
        <v/>
      </c>
      <c r="H2966" s="29">
        <f>Data_thang!N2966</f>
        <v/>
      </c>
      <c r="I2966" s="29">
        <f>H2966-G2966</f>
        <v/>
      </c>
      <c r="J2966" s="30">
        <f>IF(H2966=0,IF(I2966=0,0,1),I2966/ABS(H2966))</f>
        <v/>
      </c>
      <c r="K2966" s="29">
        <f>H2966-(Data_thang!O2966-Data_thang!K2966)</f>
        <v/>
      </c>
      <c r="L2966">
        <f>IF(AND(ABS(I2966)&gt;Dashboard!$G$6,ABS(J2966)&gt;Dashboard!$H$6),"⚠ Vượt","")</f>
        <v/>
      </c>
      <c r="M2966">
        <f>IF(AND(A2966=Dashboard!$D$6,OR(Dashboard!$C$6="*",F2966=Dashboard!$C$6),L2966&lt;&gt;""),ABS(I2966)+ROW()/1000000000,0)</f>
        <v/>
      </c>
    </row>
    <row r="2967">
      <c r="A2967">
        <f>Data_thang!A2967</f>
        <v/>
      </c>
      <c r="B2967">
        <f>Data_thang!B2967</f>
        <v/>
      </c>
      <c r="C2967">
        <f>Data_thang!D2967</f>
        <v/>
      </c>
      <c r="D2967">
        <f>Data_thang!E2967</f>
        <v/>
      </c>
      <c r="E2967">
        <f>Data_thang!F2967</f>
        <v/>
      </c>
      <c r="F2967">
        <f>Data_thang!G2967</f>
        <v/>
      </c>
      <c r="G2967" s="29">
        <f>Data_thang!J2967-Data_thang!K2967</f>
        <v/>
      </c>
      <c r="H2967" s="29">
        <f>Data_thang!N2967</f>
        <v/>
      </c>
      <c r="I2967" s="29">
        <f>H2967-G2967</f>
        <v/>
      </c>
      <c r="J2967" s="30">
        <f>IF(H2967=0,IF(I2967=0,0,1),I2967/ABS(H2967))</f>
        <v/>
      </c>
      <c r="K2967" s="29">
        <f>H2967-(Data_thang!O2967-Data_thang!K2967)</f>
        <v/>
      </c>
      <c r="L2967">
        <f>IF(AND(ABS(I2967)&gt;Dashboard!$G$6,ABS(J2967)&gt;Dashboard!$H$6),"⚠ Vượt","")</f>
        <v/>
      </c>
      <c r="M2967">
        <f>IF(AND(A2967=Dashboard!$D$6,OR(Dashboard!$C$6="*",F2967=Dashboard!$C$6),L2967&lt;&gt;""),ABS(I2967)+ROW()/1000000000,0)</f>
        <v/>
      </c>
    </row>
    <row r="2968">
      <c r="A2968">
        <f>Data_thang!A2968</f>
        <v/>
      </c>
      <c r="B2968">
        <f>Data_thang!B2968</f>
        <v/>
      </c>
      <c r="C2968">
        <f>Data_thang!D2968</f>
        <v/>
      </c>
      <c r="D2968">
        <f>Data_thang!E2968</f>
        <v/>
      </c>
      <c r="E2968">
        <f>Data_thang!F2968</f>
        <v/>
      </c>
      <c r="F2968">
        <f>Data_thang!G2968</f>
        <v/>
      </c>
      <c r="G2968" s="29">
        <f>Data_thang!J2968-Data_thang!K2968</f>
        <v/>
      </c>
      <c r="H2968" s="29">
        <f>Data_thang!N2968</f>
        <v/>
      </c>
      <c r="I2968" s="29">
        <f>H2968-G2968</f>
        <v/>
      </c>
      <c r="J2968" s="30">
        <f>IF(H2968=0,IF(I2968=0,0,1),I2968/ABS(H2968))</f>
        <v/>
      </c>
      <c r="K2968" s="29">
        <f>H2968-(Data_thang!O2968-Data_thang!K2968)</f>
        <v/>
      </c>
      <c r="L2968">
        <f>IF(AND(ABS(I2968)&gt;Dashboard!$G$6,ABS(J2968)&gt;Dashboard!$H$6),"⚠ Vượt","")</f>
        <v/>
      </c>
      <c r="M2968">
        <f>IF(AND(A2968=Dashboard!$D$6,OR(Dashboard!$C$6="*",F2968=Dashboard!$C$6),L2968&lt;&gt;""),ABS(I2968)+ROW()/1000000000,0)</f>
        <v/>
      </c>
    </row>
    <row r="2969">
      <c r="A2969">
        <f>Data_thang!A2969</f>
        <v/>
      </c>
      <c r="B2969">
        <f>Data_thang!B2969</f>
        <v/>
      </c>
      <c r="C2969">
        <f>Data_thang!D2969</f>
        <v/>
      </c>
      <c r="D2969">
        <f>Data_thang!E2969</f>
        <v/>
      </c>
      <c r="E2969">
        <f>Data_thang!F2969</f>
        <v/>
      </c>
      <c r="F2969">
        <f>Data_thang!G2969</f>
        <v/>
      </c>
      <c r="G2969" s="29">
        <f>Data_thang!J2969-Data_thang!K2969</f>
        <v/>
      </c>
      <c r="H2969" s="29">
        <f>Data_thang!N2969</f>
        <v/>
      </c>
      <c r="I2969" s="29">
        <f>H2969-G2969</f>
        <v/>
      </c>
      <c r="J2969" s="30">
        <f>IF(H2969=0,IF(I2969=0,0,1),I2969/ABS(H2969))</f>
        <v/>
      </c>
      <c r="K2969" s="29">
        <f>H2969-(Data_thang!O2969-Data_thang!K2969)</f>
        <v/>
      </c>
      <c r="L2969">
        <f>IF(AND(ABS(I2969)&gt;Dashboard!$G$6,ABS(J2969)&gt;Dashboard!$H$6),"⚠ Vượt","")</f>
        <v/>
      </c>
      <c r="M2969">
        <f>IF(AND(A2969=Dashboard!$D$6,OR(Dashboard!$C$6="*",F2969=Dashboard!$C$6),L2969&lt;&gt;""),ABS(I2969)+ROW()/1000000000,0)</f>
        <v/>
      </c>
    </row>
    <row r="2970">
      <c r="A2970">
        <f>Data_thang!A2970</f>
        <v/>
      </c>
      <c r="B2970">
        <f>Data_thang!B2970</f>
        <v/>
      </c>
      <c r="C2970">
        <f>Data_thang!D2970</f>
        <v/>
      </c>
      <c r="D2970">
        <f>Data_thang!E2970</f>
        <v/>
      </c>
      <c r="E2970">
        <f>Data_thang!F2970</f>
        <v/>
      </c>
      <c r="F2970">
        <f>Data_thang!G2970</f>
        <v/>
      </c>
      <c r="G2970" s="29">
        <f>Data_thang!J2970-Data_thang!K2970</f>
        <v/>
      </c>
      <c r="H2970" s="29">
        <f>Data_thang!N2970</f>
        <v/>
      </c>
      <c r="I2970" s="29">
        <f>H2970-G2970</f>
        <v/>
      </c>
      <c r="J2970" s="30">
        <f>IF(H2970=0,IF(I2970=0,0,1),I2970/ABS(H2970))</f>
        <v/>
      </c>
      <c r="K2970" s="29">
        <f>H2970-(Data_thang!O2970-Data_thang!K2970)</f>
        <v/>
      </c>
      <c r="L2970">
        <f>IF(AND(ABS(I2970)&gt;Dashboard!$G$6,ABS(J2970)&gt;Dashboard!$H$6),"⚠ Vượt","")</f>
        <v/>
      </c>
      <c r="M2970">
        <f>IF(AND(A2970=Dashboard!$D$6,OR(Dashboard!$C$6="*",F2970=Dashboard!$C$6),L2970&lt;&gt;""),ABS(I2970)+ROW()/1000000000,0)</f>
        <v/>
      </c>
    </row>
    <row r="2971">
      <c r="A2971">
        <f>Data_thang!A2971</f>
        <v/>
      </c>
      <c r="B2971">
        <f>Data_thang!B2971</f>
        <v/>
      </c>
      <c r="C2971">
        <f>Data_thang!D2971</f>
        <v/>
      </c>
      <c r="D2971">
        <f>Data_thang!E2971</f>
        <v/>
      </c>
      <c r="E2971">
        <f>Data_thang!F2971</f>
        <v/>
      </c>
      <c r="F2971">
        <f>Data_thang!G2971</f>
        <v/>
      </c>
      <c r="G2971" s="29">
        <f>Data_thang!J2971-Data_thang!K2971</f>
        <v/>
      </c>
      <c r="H2971" s="29">
        <f>Data_thang!N2971</f>
        <v/>
      </c>
      <c r="I2971" s="29">
        <f>H2971-G2971</f>
        <v/>
      </c>
      <c r="J2971" s="30">
        <f>IF(H2971=0,IF(I2971=0,0,1),I2971/ABS(H2971))</f>
        <v/>
      </c>
      <c r="K2971" s="29">
        <f>H2971-(Data_thang!O2971-Data_thang!K2971)</f>
        <v/>
      </c>
      <c r="L2971">
        <f>IF(AND(ABS(I2971)&gt;Dashboard!$G$6,ABS(J2971)&gt;Dashboard!$H$6),"⚠ Vượt","")</f>
        <v/>
      </c>
      <c r="M2971">
        <f>IF(AND(A2971=Dashboard!$D$6,OR(Dashboard!$C$6="*",F2971=Dashboard!$C$6),L2971&lt;&gt;""),ABS(I2971)+ROW()/1000000000,0)</f>
        <v/>
      </c>
    </row>
    <row r="2972">
      <c r="A2972">
        <f>Data_thang!A2972</f>
        <v/>
      </c>
      <c r="B2972">
        <f>Data_thang!B2972</f>
        <v/>
      </c>
      <c r="C2972">
        <f>Data_thang!D2972</f>
        <v/>
      </c>
      <c r="D2972">
        <f>Data_thang!E2972</f>
        <v/>
      </c>
      <c r="E2972">
        <f>Data_thang!F2972</f>
        <v/>
      </c>
      <c r="F2972">
        <f>Data_thang!G2972</f>
        <v/>
      </c>
      <c r="G2972" s="29">
        <f>Data_thang!J2972-Data_thang!K2972</f>
        <v/>
      </c>
      <c r="H2972" s="29">
        <f>Data_thang!N2972</f>
        <v/>
      </c>
      <c r="I2972" s="29">
        <f>H2972-G2972</f>
        <v/>
      </c>
      <c r="J2972" s="30">
        <f>IF(H2972=0,IF(I2972=0,0,1),I2972/ABS(H2972))</f>
        <v/>
      </c>
      <c r="K2972" s="29">
        <f>H2972-(Data_thang!O2972-Data_thang!K2972)</f>
        <v/>
      </c>
      <c r="L2972">
        <f>IF(AND(ABS(I2972)&gt;Dashboard!$G$6,ABS(J2972)&gt;Dashboard!$H$6),"⚠ Vượt","")</f>
        <v/>
      </c>
      <c r="M2972">
        <f>IF(AND(A2972=Dashboard!$D$6,OR(Dashboard!$C$6="*",F2972=Dashboard!$C$6),L2972&lt;&gt;""),ABS(I2972)+ROW()/1000000000,0)</f>
        <v/>
      </c>
    </row>
    <row r="2973">
      <c r="A2973">
        <f>Data_thang!A2973</f>
        <v/>
      </c>
      <c r="B2973">
        <f>Data_thang!B2973</f>
        <v/>
      </c>
      <c r="C2973">
        <f>Data_thang!D2973</f>
        <v/>
      </c>
      <c r="D2973">
        <f>Data_thang!E2973</f>
        <v/>
      </c>
      <c r="E2973">
        <f>Data_thang!F2973</f>
        <v/>
      </c>
      <c r="F2973">
        <f>Data_thang!G2973</f>
        <v/>
      </c>
      <c r="G2973" s="29">
        <f>Data_thang!J2973-Data_thang!K2973</f>
        <v/>
      </c>
      <c r="H2973" s="29">
        <f>Data_thang!N2973</f>
        <v/>
      </c>
      <c r="I2973" s="29">
        <f>H2973-G2973</f>
        <v/>
      </c>
      <c r="J2973" s="30">
        <f>IF(H2973=0,IF(I2973=0,0,1),I2973/ABS(H2973))</f>
        <v/>
      </c>
      <c r="K2973" s="29">
        <f>H2973-(Data_thang!O2973-Data_thang!K2973)</f>
        <v/>
      </c>
      <c r="L2973">
        <f>IF(AND(ABS(I2973)&gt;Dashboard!$G$6,ABS(J2973)&gt;Dashboard!$H$6),"⚠ Vượt","")</f>
        <v/>
      </c>
      <c r="M2973">
        <f>IF(AND(A2973=Dashboard!$D$6,OR(Dashboard!$C$6="*",F2973=Dashboard!$C$6),L2973&lt;&gt;""),ABS(I2973)+ROW()/1000000000,0)</f>
        <v/>
      </c>
    </row>
    <row r="2974">
      <c r="A2974">
        <f>Data_thang!A2974</f>
        <v/>
      </c>
      <c r="B2974">
        <f>Data_thang!B2974</f>
        <v/>
      </c>
      <c r="C2974">
        <f>Data_thang!D2974</f>
        <v/>
      </c>
      <c r="D2974">
        <f>Data_thang!E2974</f>
        <v/>
      </c>
      <c r="E2974">
        <f>Data_thang!F2974</f>
        <v/>
      </c>
      <c r="F2974">
        <f>Data_thang!G2974</f>
        <v/>
      </c>
      <c r="G2974" s="29">
        <f>Data_thang!J2974-Data_thang!K2974</f>
        <v/>
      </c>
      <c r="H2974" s="29">
        <f>Data_thang!N2974</f>
        <v/>
      </c>
      <c r="I2974" s="29">
        <f>H2974-G2974</f>
        <v/>
      </c>
      <c r="J2974" s="30">
        <f>IF(H2974=0,IF(I2974=0,0,1),I2974/ABS(H2974))</f>
        <v/>
      </c>
      <c r="K2974" s="29">
        <f>H2974-(Data_thang!O2974-Data_thang!K2974)</f>
        <v/>
      </c>
      <c r="L2974">
        <f>IF(AND(ABS(I2974)&gt;Dashboard!$G$6,ABS(J2974)&gt;Dashboard!$H$6),"⚠ Vượt","")</f>
        <v/>
      </c>
      <c r="M2974">
        <f>IF(AND(A2974=Dashboard!$D$6,OR(Dashboard!$C$6="*",F2974=Dashboard!$C$6),L2974&lt;&gt;""),ABS(I2974)+ROW()/1000000000,0)</f>
        <v/>
      </c>
    </row>
  </sheetData>
  <conditionalFormatting sqref="L2:L2974">
    <cfRule type="expression" priority="1" dxfId="2">
      <formula>L2&lt;&gt;""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24" t="inlineStr">
        <is>
          <t>month_id</t>
        </is>
      </c>
      <c r="B1" s="24" t="inlineStr">
        <is>
          <t>month_label</t>
        </is>
      </c>
      <c r="C1" s="24" t="inlineStr">
        <is>
          <t>store_key</t>
        </is>
      </c>
      <c r="D1" s="24" t="inlineStr">
        <is>
          <t>store_code</t>
        </is>
      </c>
      <c r="E1" s="24" t="inlineStr">
        <is>
          <t>store_name</t>
        </is>
      </c>
      <c r="F1" s="24" t="inlineStr">
        <is>
          <t>country</t>
        </is>
      </c>
      <c r="G1" s="24" t="inlineStr">
        <is>
          <t>channel</t>
        </is>
      </c>
      <c r="H1" s="24" t="inlineStr">
        <is>
          <t>gross_sales</t>
        </is>
      </c>
      <c r="I1" s="24" t="inlineStr">
        <is>
          <t>discounts</t>
        </is>
      </c>
      <c r="J1" s="24" t="inlineStr">
        <is>
          <t>net_sales</t>
        </is>
      </c>
      <c r="K1" s="24" t="inlineStr">
        <is>
          <t>returns</t>
        </is>
      </c>
      <c r="L1" s="24" t="inlineStr">
        <is>
          <t>orders</t>
        </is>
      </c>
      <c r="M1" s="24" t="inlineStr">
        <is>
          <t>units</t>
        </is>
      </c>
      <c r="N1" s="24" t="inlineStr">
        <is>
          <t>finance_net_revenue</t>
        </is>
      </c>
      <c r="O1" s="24" t="inlineStr">
        <is>
          <t>net_sales_delivery_basis</t>
        </is>
      </c>
      <c r="P1" s="24" t="inlineStr">
        <is>
          <t>cancelled_orders</t>
        </is>
      </c>
      <c r="Q1" s="24" t="inlineStr">
        <is>
          <t>pending_orders</t>
        </is>
      </c>
      <c r="R1" s="24" t="inlineStr">
        <is>
          <t>duplicate_lines</t>
        </is>
      </c>
    </row>
    <row r="2">
      <c r="A2" s="22" t="n">
        <v>201601</v>
      </c>
      <c r="B2" s="22" t="inlineStr">
        <is>
          <t>01/2016</t>
        </is>
      </c>
      <c r="C2" s="22" t="n">
        <v>0</v>
      </c>
      <c r="D2" s="22" t="inlineStr">
        <is>
          <t>ONL</t>
        </is>
      </c>
      <c r="E2" s="22" t="inlineStr">
        <is>
          <t>Nexa Online (website/app)</t>
        </is>
      </c>
      <c r="F2" s="22" t="inlineStr">
        <is>
          <t>Online</t>
        </is>
      </c>
      <c r="G2" s="22" t="inlineStr">
        <is>
          <t>ONLINE</t>
        </is>
      </c>
      <c r="H2" s="31" t="n">
        <v>68194.13</v>
      </c>
      <c r="I2" s="31" t="n">
        <v>2744.77</v>
      </c>
      <c r="J2" s="31" t="n">
        <v>65449.36</v>
      </c>
      <c r="K2" s="31" t="n">
        <v>538.65</v>
      </c>
      <c r="L2" s="32" t="n">
        <v>43</v>
      </c>
      <c r="M2" s="32" t="n">
        <v>299</v>
      </c>
      <c r="N2" s="31" t="n">
        <v>53383.77</v>
      </c>
      <c r="O2" s="31" t="n">
        <v>53922.42</v>
      </c>
      <c r="P2" s="22" t="n">
        <v>0</v>
      </c>
      <c r="Q2" s="22" t="n">
        <v>0</v>
      </c>
      <c r="R2" s="22" t="n">
        <v>0</v>
      </c>
    </row>
    <row r="3">
      <c r="A3" s="22" t="n">
        <v>201601</v>
      </c>
      <c r="B3" s="22" t="inlineStr">
        <is>
          <t>01/2016</t>
        </is>
      </c>
      <c r="C3" s="22" t="n">
        <v>2</v>
      </c>
      <c r="D3" s="22" t="inlineStr">
        <is>
          <t>S02</t>
        </is>
      </c>
      <c r="E3" s="22" t="inlineStr">
        <is>
          <t>Nexa Northern Territory (S02)</t>
        </is>
      </c>
      <c r="F3" s="22" t="inlineStr">
        <is>
          <t>Úc</t>
        </is>
      </c>
      <c r="G3" s="22" t="inlineStr">
        <is>
          <t>POS</t>
        </is>
      </c>
      <c r="H3" s="31" t="n">
        <v>3846.85</v>
      </c>
      <c r="I3" s="31" t="n">
        <v>93.84</v>
      </c>
      <c r="J3" s="31" t="n">
        <v>3753.01</v>
      </c>
      <c r="K3" s="31" t="n">
        <v>0</v>
      </c>
      <c r="L3" s="32" t="n">
        <v>2</v>
      </c>
      <c r="M3" s="32" t="n">
        <v>18</v>
      </c>
      <c r="N3" s="31" t="n">
        <v>3753.01</v>
      </c>
      <c r="O3" s="31" t="n">
        <v>3753.01</v>
      </c>
      <c r="P3" s="22" t="n">
        <v>0</v>
      </c>
      <c r="Q3" s="22" t="n">
        <v>0</v>
      </c>
      <c r="R3" s="22" t="n">
        <v>0</v>
      </c>
    </row>
    <row r="4">
      <c r="A4" s="22" t="n">
        <v>201601</v>
      </c>
      <c r="B4" s="22" t="inlineStr">
        <is>
          <t>01/2016</t>
        </is>
      </c>
      <c r="C4" s="22" t="n">
        <v>4</v>
      </c>
      <c r="D4" s="22" t="inlineStr">
        <is>
          <t>S04</t>
        </is>
      </c>
      <c r="E4" s="22" t="inlineStr">
        <is>
          <t>Nexa Tasmania (S04)</t>
        </is>
      </c>
      <c r="F4" s="22" t="inlineStr">
        <is>
          <t>Úc</t>
        </is>
      </c>
      <c r="G4" s="22" t="inlineStr">
        <is>
          <t>POS</t>
        </is>
      </c>
      <c r="H4" s="31" t="n">
        <v>1914.9</v>
      </c>
      <c r="I4" s="31" t="n">
        <v>95.75</v>
      </c>
      <c r="J4" s="31" t="n">
        <v>1819.15</v>
      </c>
      <c r="K4" s="31" t="n">
        <v>0</v>
      </c>
      <c r="L4" s="32" t="n">
        <v>2</v>
      </c>
      <c r="M4" s="32" t="n">
        <v>3</v>
      </c>
      <c r="N4" s="31" t="n">
        <v>1819.15</v>
      </c>
      <c r="O4" s="31" t="n">
        <v>1819.15</v>
      </c>
      <c r="P4" s="22" t="n">
        <v>0</v>
      </c>
      <c r="Q4" s="22" t="n">
        <v>0</v>
      </c>
      <c r="R4" s="22" t="n">
        <v>0</v>
      </c>
    </row>
    <row r="5">
      <c r="A5" s="22" t="n">
        <v>201601</v>
      </c>
      <c r="B5" s="22" t="inlineStr">
        <is>
          <t>01/2016</t>
        </is>
      </c>
      <c r="C5" s="22" t="n">
        <v>5</v>
      </c>
      <c r="D5" s="22" t="inlineStr">
        <is>
          <t>S05</t>
        </is>
      </c>
      <c r="E5" s="22" t="inlineStr">
        <is>
          <t>Nexa Victoria (S05)</t>
        </is>
      </c>
      <c r="F5" s="22" t="inlineStr">
        <is>
          <t>Úc</t>
        </is>
      </c>
      <c r="G5" s="22" t="inlineStr">
        <is>
          <t>POS</t>
        </is>
      </c>
      <c r="H5" s="31" t="n">
        <v>20142.69</v>
      </c>
      <c r="I5" s="31" t="n">
        <v>0</v>
      </c>
      <c r="J5" s="31" t="n">
        <v>20142.69</v>
      </c>
      <c r="K5" s="31" t="n">
        <v>0</v>
      </c>
      <c r="L5" s="32" t="n">
        <v>4</v>
      </c>
      <c r="M5" s="32" t="n">
        <v>54</v>
      </c>
      <c r="N5" s="31" t="n">
        <v>20142.69</v>
      </c>
      <c r="O5" s="31" t="n">
        <v>20142.69</v>
      </c>
      <c r="P5" s="22" t="n">
        <v>0</v>
      </c>
      <c r="Q5" s="22" t="n">
        <v>0</v>
      </c>
      <c r="R5" s="22" t="n">
        <v>0</v>
      </c>
    </row>
    <row r="6">
      <c r="A6" s="22" t="n">
        <v>201601</v>
      </c>
      <c r="B6" s="22" t="inlineStr">
        <is>
          <t>01/2016</t>
        </is>
      </c>
      <c r="C6" s="22" t="n">
        <v>6</v>
      </c>
      <c r="D6" s="22" t="inlineStr">
        <is>
          <t>S06</t>
        </is>
      </c>
      <c r="E6" s="22" t="inlineStr">
        <is>
          <t>Nexa Western Australia (S06)</t>
        </is>
      </c>
      <c r="F6" s="22" t="inlineStr">
        <is>
          <t>Úc</t>
        </is>
      </c>
      <c r="G6" s="22" t="inlineStr">
        <is>
          <t>POS</t>
        </is>
      </c>
      <c r="H6" s="31" t="n">
        <v>11067.21</v>
      </c>
      <c r="I6" s="31" t="n">
        <v>2.16</v>
      </c>
      <c r="J6" s="31" t="n">
        <v>11065.05</v>
      </c>
      <c r="K6" s="31" t="n">
        <v>219.95</v>
      </c>
      <c r="L6" s="32" t="n">
        <v>6</v>
      </c>
      <c r="M6" s="32" t="n">
        <v>35</v>
      </c>
      <c r="N6" s="31" t="n">
        <v>10845.1</v>
      </c>
      <c r="O6" s="31" t="n">
        <v>11065.05</v>
      </c>
      <c r="P6" s="22" t="n">
        <v>0</v>
      </c>
      <c r="Q6" s="22" t="n">
        <v>0</v>
      </c>
      <c r="R6" s="22" t="n">
        <v>0</v>
      </c>
    </row>
    <row r="7">
      <c r="A7" s="22" t="n">
        <v>201601</v>
      </c>
      <c r="B7" s="22" t="inlineStr">
        <is>
          <t>01/2016</t>
        </is>
      </c>
      <c r="C7" s="22" t="n">
        <v>8</v>
      </c>
      <c r="D7" s="22" t="inlineStr">
        <is>
          <t>S08</t>
        </is>
      </c>
      <c r="E7" s="22" t="inlineStr">
        <is>
          <t>Nexa Newfoundland and Labrador (S08)</t>
        </is>
      </c>
      <c r="F7" s="22" t="inlineStr">
        <is>
          <t>Canada</t>
        </is>
      </c>
      <c r="G7" s="22" t="inlineStr">
        <is>
          <t>POS</t>
        </is>
      </c>
      <c r="H7" s="31" t="n">
        <v>25219.43</v>
      </c>
      <c r="I7" s="31" t="n">
        <v>310.78</v>
      </c>
      <c r="J7" s="31" t="n">
        <v>24908.65</v>
      </c>
      <c r="K7" s="31" t="n">
        <v>0</v>
      </c>
      <c r="L7" s="32" t="n">
        <v>12</v>
      </c>
      <c r="M7" s="32" t="n">
        <v>93</v>
      </c>
      <c r="N7" s="31" t="n">
        <v>24908.65</v>
      </c>
      <c r="O7" s="31" t="n">
        <v>24908.65</v>
      </c>
      <c r="P7" s="22" t="n">
        <v>0</v>
      </c>
      <c r="Q7" s="22" t="n">
        <v>0</v>
      </c>
      <c r="R7" s="22" t="n">
        <v>0</v>
      </c>
    </row>
    <row r="8">
      <c r="A8" s="22" t="n">
        <v>201601</v>
      </c>
      <c r="B8" s="22" t="inlineStr">
        <is>
          <t>01/2016</t>
        </is>
      </c>
      <c r="C8" s="22" t="n">
        <v>9</v>
      </c>
      <c r="D8" s="22" t="inlineStr">
        <is>
          <t>S09</t>
        </is>
      </c>
      <c r="E8" s="22" t="inlineStr">
        <is>
          <t>Nexa Northwest Territories (S09)</t>
        </is>
      </c>
      <c r="F8" s="22" t="inlineStr">
        <is>
          <t>Canada</t>
        </is>
      </c>
      <c r="G8" s="22" t="inlineStr">
        <is>
          <t>POS</t>
        </is>
      </c>
      <c r="H8" s="31" t="n">
        <v>19769.88</v>
      </c>
      <c r="I8" s="31" t="n">
        <v>840.59</v>
      </c>
      <c r="J8" s="31" t="n">
        <v>18929.29</v>
      </c>
      <c r="K8" s="31" t="n">
        <v>104.49</v>
      </c>
      <c r="L8" s="32" t="n">
        <v>4</v>
      </c>
      <c r="M8" s="32" t="n">
        <v>51</v>
      </c>
      <c r="N8" s="31" t="n">
        <v>18824.8</v>
      </c>
      <c r="O8" s="31" t="n">
        <v>18929.29</v>
      </c>
      <c r="P8" s="22" t="n">
        <v>0</v>
      </c>
      <c r="Q8" s="22" t="n">
        <v>0</v>
      </c>
      <c r="R8" s="22" t="n">
        <v>0</v>
      </c>
    </row>
    <row r="9">
      <c r="A9" s="22" t="n">
        <v>201601</v>
      </c>
      <c r="B9" s="22" t="inlineStr">
        <is>
          <t>01/2016</t>
        </is>
      </c>
      <c r="C9" s="22" t="n">
        <v>10</v>
      </c>
      <c r="D9" s="22" t="inlineStr">
        <is>
          <t>S10</t>
        </is>
      </c>
      <c r="E9" s="22" t="inlineStr">
        <is>
          <t>Nexa Nunavut (S10)</t>
        </is>
      </c>
      <c r="F9" s="22" t="inlineStr">
        <is>
          <t>Canada</t>
        </is>
      </c>
      <c r="G9" s="22" t="inlineStr">
        <is>
          <t>POS</t>
        </is>
      </c>
      <c r="H9" s="31" t="n">
        <v>6571.03</v>
      </c>
      <c r="I9" s="31" t="n">
        <v>3.4</v>
      </c>
      <c r="J9" s="31" t="n">
        <v>6567.63</v>
      </c>
      <c r="K9" s="31" t="n">
        <v>0</v>
      </c>
      <c r="L9" s="32" t="n">
        <v>6</v>
      </c>
      <c r="M9" s="32" t="n">
        <v>43</v>
      </c>
      <c r="N9" s="31" t="n">
        <v>6567.63</v>
      </c>
      <c r="O9" s="31" t="n">
        <v>6567.63</v>
      </c>
      <c r="P9" s="22" t="n">
        <v>0</v>
      </c>
      <c r="Q9" s="22" t="n">
        <v>0</v>
      </c>
      <c r="R9" s="22" t="n">
        <v>0</v>
      </c>
    </row>
    <row r="10">
      <c r="A10" s="22" t="n">
        <v>201601</v>
      </c>
      <c r="B10" s="22" t="inlineStr">
        <is>
          <t>01/2016</t>
        </is>
      </c>
      <c r="C10" s="22" t="n">
        <v>12</v>
      </c>
      <c r="D10" s="22" t="inlineStr">
        <is>
          <t>S12</t>
        </is>
      </c>
      <c r="E10" s="22" t="inlineStr">
        <is>
          <t>Nexa Basse-Normandie (S12)</t>
        </is>
      </c>
      <c r="F10" s="22" t="inlineStr">
        <is>
          <t>Pháp</t>
        </is>
      </c>
      <c r="G10" s="22" t="inlineStr">
        <is>
          <t>POS</t>
        </is>
      </c>
      <c r="H10" s="31" t="n">
        <v>5515.2</v>
      </c>
      <c r="I10" s="31" t="n">
        <v>275.76</v>
      </c>
      <c r="J10" s="31" t="n">
        <v>5239.44</v>
      </c>
      <c r="K10" s="31" t="n">
        <v>0</v>
      </c>
      <c r="L10" s="32" t="n">
        <v>1</v>
      </c>
      <c r="M10" s="32" t="n">
        <v>24</v>
      </c>
      <c r="N10" s="31" t="n">
        <v>5239.44</v>
      </c>
      <c r="O10" s="31" t="n">
        <v>5239.44</v>
      </c>
      <c r="P10" s="22" t="n">
        <v>0</v>
      </c>
      <c r="Q10" s="22" t="n">
        <v>0</v>
      </c>
      <c r="R10" s="22" t="n">
        <v>1</v>
      </c>
    </row>
    <row r="11">
      <c r="A11" s="22" t="n">
        <v>201601</v>
      </c>
      <c r="B11" s="22" t="inlineStr">
        <is>
          <t>01/2016</t>
        </is>
      </c>
      <c r="C11" s="22" t="n">
        <v>15</v>
      </c>
      <c r="D11" s="22" t="inlineStr">
        <is>
          <t>S15</t>
        </is>
      </c>
      <c r="E11" s="22" t="inlineStr">
        <is>
          <t>Nexa La Réunion (S15)</t>
        </is>
      </c>
      <c r="F11" s="22" t="inlineStr">
        <is>
          <t>Pháp</t>
        </is>
      </c>
      <c r="G11" s="22" t="inlineStr">
        <is>
          <t>POS</t>
        </is>
      </c>
      <c r="H11" s="31" t="n">
        <v>1332.8</v>
      </c>
      <c r="I11" s="31" t="n">
        <v>66.64</v>
      </c>
      <c r="J11" s="31" t="n">
        <v>1266.16</v>
      </c>
      <c r="K11" s="31" t="n">
        <v>0</v>
      </c>
      <c r="L11" s="32" t="n">
        <v>1</v>
      </c>
      <c r="M11" s="32" t="n">
        <v>8</v>
      </c>
      <c r="N11" s="31" t="n">
        <v>1266.16</v>
      </c>
      <c r="O11" s="31" t="n">
        <v>1266.16</v>
      </c>
      <c r="P11" s="22" t="n">
        <v>0</v>
      </c>
      <c r="Q11" s="22" t="n">
        <v>0</v>
      </c>
      <c r="R11" s="22" t="n">
        <v>0</v>
      </c>
    </row>
    <row r="12">
      <c r="A12" s="22" t="n">
        <v>201601</v>
      </c>
      <c r="B12" s="22" t="inlineStr">
        <is>
          <t>01/2016</t>
        </is>
      </c>
      <c r="C12" s="22" t="n">
        <v>16</v>
      </c>
      <c r="D12" s="22" t="inlineStr">
        <is>
          <t>S16</t>
        </is>
      </c>
      <c r="E12" s="22" t="inlineStr">
        <is>
          <t>Nexa Limousin (S16)</t>
        </is>
      </c>
      <c r="F12" s="22" t="inlineStr">
        <is>
          <t>Pháp</t>
        </is>
      </c>
      <c r="G12" s="22" t="inlineStr">
        <is>
          <t>POS</t>
        </is>
      </c>
      <c r="H12" s="31" t="n">
        <v>1954.6</v>
      </c>
      <c r="I12" s="31" t="n">
        <v>2.08</v>
      </c>
      <c r="J12" s="31" t="n">
        <v>1952.52</v>
      </c>
      <c r="K12" s="31" t="n">
        <v>0</v>
      </c>
      <c r="L12" s="32" t="n">
        <v>3</v>
      </c>
      <c r="M12" s="32" t="n">
        <v>12</v>
      </c>
      <c r="N12" s="31" t="n">
        <v>1952.52</v>
      </c>
      <c r="O12" s="31" t="n">
        <v>1952.52</v>
      </c>
      <c r="P12" s="22" t="n">
        <v>0</v>
      </c>
      <c r="Q12" s="22" t="n">
        <v>0</v>
      </c>
      <c r="R12" s="22" t="n">
        <v>0</v>
      </c>
    </row>
    <row r="13">
      <c r="A13" s="22" t="n">
        <v>201601</v>
      </c>
      <c r="B13" s="22" t="inlineStr">
        <is>
          <t>01/2016</t>
        </is>
      </c>
      <c r="C13" s="22" t="n">
        <v>17</v>
      </c>
      <c r="D13" s="22" t="inlineStr">
        <is>
          <t>S17</t>
        </is>
      </c>
      <c r="E13" s="22" t="inlineStr">
        <is>
          <t>Nexa Martinique (S17)</t>
        </is>
      </c>
      <c r="F13" s="22" t="inlineStr">
        <is>
          <t>Pháp</t>
        </is>
      </c>
      <c r="G13" s="22" t="inlineStr">
        <is>
          <t>POS</t>
        </is>
      </c>
      <c r="H13" s="31" t="n">
        <v>2201.15</v>
      </c>
      <c r="I13" s="31" t="n">
        <v>25.35</v>
      </c>
      <c r="J13" s="31" t="n">
        <v>2175.8</v>
      </c>
      <c r="K13" s="31" t="n">
        <v>0</v>
      </c>
      <c r="L13" s="32" t="n">
        <v>2</v>
      </c>
      <c r="M13" s="32" t="n">
        <v>13</v>
      </c>
      <c r="N13" s="31" t="n">
        <v>2175.8</v>
      </c>
      <c r="O13" s="31" t="n">
        <v>2175.8</v>
      </c>
      <c r="P13" s="22" t="n">
        <v>0</v>
      </c>
      <c r="Q13" s="22" t="n">
        <v>0</v>
      </c>
      <c r="R13" s="22" t="n">
        <v>0</v>
      </c>
    </row>
    <row r="14">
      <c r="A14" s="22" t="n">
        <v>201601</v>
      </c>
      <c r="B14" s="22" t="inlineStr">
        <is>
          <t>01/2016</t>
        </is>
      </c>
      <c r="C14" s="22" t="n">
        <v>18</v>
      </c>
      <c r="D14" s="22" t="inlineStr">
        <is>
          <t>S18</t>
        </is>
      </c>
      <c r="E14" s="22" t="inlineStr">
        <is>
          <t>Nexa Mayotte (S18)</t>
        </is>
      </c>
      <c r="F14" s="22" t="inlineStr">
        <is>
          <t>Pháp</t>
        </is>
      </c>
      <c r="G14" s="22" t="inlineStr">
        <is>
          <t>POS</t>
        </is>
      </c>
      <c r="H14" s="31" t="n">
        <v>5496</v>
      </c>
      <c r="I14" s="31" t="n">
        <v>0.75</v>
      </c>
      <c r="J14" s="31" t="n">
        <v>5495.25</v>
      </c>
      <c r="K14" s="31" t="n">
        <v>0</v>
      </c>
      <c r="L14" s="32" t="n">
        <v>3</v>
      </c>
      <c r="M14" s="32" t="n">
        <v>25</v>
      </c>
      <c r="N14" s="31" t="n">
        <v>5495.25</v>
      </c>
      <c r="O14" s="31" t="n">
        <v>5495.25</v>
      </c>
      <c r="P14" s="22" t="n">
        <v>0</v>
      </c>
      <c r="Q14" s="22" t="n">
        <v>0</v>
      </c>
      <c r="R14" s="22" t="n">
        <v>0</v>
      </c>
    </row>
    <row r="15">
      <c r="A15" s="22" t="n">
        <v>201601</v>
      </c>
      <c r="B15" s="22" t="inlineStr">
        <is>
          <t>01/2016</t>
        </is>
      </c>
      <c r="C15" s="22" t="n">
        <v>19</v>
      </c>
      <c r="D15" s="22" t="inlineStr">
        <is>
          <t>S19</t>
        </is>
      </c>
      <c r="E15" s="22" t="inlineStr">
        <is>
          <t>Nexa Berlin (S19)</t>
        </is>
      </c>
      <c r="F15" s="22" t="inlineStr">
        <is>
          <t>Đức</t>
        </is>
      </c>
      <c r="G15" s="22" t="inlineStr">
        <is>
          <t>POS</t>
        </is>
      </c>
      <c r="H15" s="31" t="n">
        <v>40940.95</v>
      </c>
      <c r="I15" s="31" t="n">
        <v>540</v>
      </c>
      <c r="J15" s="31" t="n">
        <v>40400.95</v>
      </c>
      <c r="K15" s="31" t="n">
        <v>299.99</v>
      </c>
      <c r="L15" s="32" t="n">
        <v>6</v>
      </c>
      <c r="M15" s="32" t="n">
        <v>59</v>
      </c>
      <c r="N15" s="31" t="n">
        <v>40100.96</v>
      </c>
      <c r="O15" s="31" t="n">
        <v>40400.95</v>
      </c>
      <c r="P15" s="22" t="n">
        <v>0</v>
      </c>
      <c r="Q15" s="22" t="n">
        <v>0</v>
      </c>
      <c r="R15" s="22" t="n">
        <v>0</v>
      </c>
    </row>
    <row r="16">
      <c r="A16" s="22" t="n">
        <v>201601</v>
      </c>
      <c r="B16" s="22" t="inlineStr">
        <is>
          <t>01/2016</t>
        </is>
      </c>
      <c r="C16" s="22" t="n">
        <v>20</v>
      </c>
      <c r="D16" s="22" t="inlineStr">
        <is>
          <t>S20</t>
        </is>
      </c>
      <c r="E16" s="22" t="inlineStr">
        <is>
          <t>Nexa Brandenburg (S20)</t>
        </is>
      </c>
      <c r="F16" s="22" t="inlineStr">
        <is>
          <t>Đức</t>
        </is>
      </c>
      <c r="G16" s="22" t="inlineStr">
        <is>
          <t>POS</t>
        </is>
      </c>
      <c r="H16" s="31" t="n">
        <v>2650.18</v>
      </c>
      <c r="I16" s="31" t="n">
        <v>58.86</v>
      </c>
      <c r="J16" s="31" t="n">
        <v>2591.32</v>
      </c>
      <c r="K16" s="31" t="n">
        <v>0</v>
      </c>
      <c r="L16" s="32" t="n">
        <v>2</v>
      </c>
      <c r="M16" s="32" t="n">
        <v>16</v>
      </c>
      <c r="N16" s="31" t="n">
        <v>2591.32</v>
      </c>
      <c r="O16" s="31" t="n">
        <v>2591.32</v>
      </c>
      <c r="P16" s="22" t="n">
        <v>0</v>
      </c>
      <c r="Q16" s="22" t="n">
        <v>0</v>
      </c>
      <c r="R16" s="22" t="n">
        <v>0</v>
      </c>
    </row>
    <row r="17">
      <c r="A17" s="22" t="n">
        <v>201601</v>
      </c>
      <c r="B17" s="22" t="inlineStr">
        <is>
          <t>01/2016</t>
        </is>
      </c>
      <c r="C17" s="22" t="n">
        <v>22</v>
      </c>
      <c r="D17" s="22" t="inlineStr">
        <is>
          <t>S22</t>
        </is>
      </c>
      <c r="E17" s="22" t="inlineStr">
        <is>
          <t>Nexa Freistaat Thüringen (S22)</t>
        </is>
      </c>
      <c r="F17" s="22" t="inlineStr">
        <is>
          <t>Đức</t>
        </is>
      </c>
      <c r="G17" s="22" t="inlineStr">
        <is>
          <t>POS</t>
        </is>
      </c>
      <c r="H17" s="31" t="n">
        <v>1449.22</v>
      </c>
      <c r="I17" s="31" t="n">
        <v>14.96</v>
      </c>
      <c r="J17" s="31" t="n">
        <v>1434.26</v>
      </c>
      <c r="K17" s="31" t="n">
        <v>0</v>
      </c>
      <c r="L17" s="32" t="n">
        <v>2</v>
      </c>
      <c r="M17" s="32" t="n">
        <v>5</v>
      </c>
      <c r="N17" s="31" t="n">
        <v>1434.26</v>
      </c>
      <c r="O17" s="31" t="n">
        <v>1434.26</v>
      </c>
      <c r="P17" s="22" t="n">
        <v>0</v>
      </c>
      <c r="Q17" s="22" t="n">
        <v>0</v>
      </c>
      <c r="R17" s="22" t="n">
        <v>0</v>
      </c>
    </row>
    <row r="18">
      <c r="A18" s="22" t="n">
        <v>201601</v>
      </c>
      <c r="B18" s="22" t="inlineStr">
        <is>
          <t>01/2016</t>
        </is>
      </c>
      <c r="C18" s="22" t="n">
        <v>23</v>
      </c>
      <c r="D18" s="22" t="inlineStr">
        <is>
          <t>S23</t>
        </is>
      </c>
      <c r="E18" s="22" t="inlineStr">
        <is>
          <t>Nexa Hamburg (S23)</t>
        </is>
      </c>
      <c r="F18" s="22" t="inlineStr">
        <is>
          <t>Đức</t>
        </is>
      </c>
      <c r="G18" s="22" t="inlineStr">
        <is>
          <t>POS</t>
        </is>
      </c>
      <c r="H18" s="31" t="n">
        <v>2211.47</v>
      </c>
      <c r="I18" s="31" t="n">
        <v>0</v>
      </c>
      <c r="J18" s="31" t="n">
        <v>2211.47</v>
      </c>
      <c r="K18" s="31" t="n">
        <v>0</v>
      </c>
      <c r="L18" s="32" t="n">
        <v>1</v>
      </c>
      <c r="M18" s="32" t="n">
        <v>11</v>
      </c>
      <c r="N18" s="31" t="n">
        <v>2211.47</v>
      </c>
      <c r="O18" s="31" t="n">
        <v>2211.47</v>
      </c>
      <c r="P18" s="22" t="n">
        <v>0</v>
      </c>
      <c r="Q18" s="22" t="n">
        <v>0</v>
      </c>
      <c r="R18" s="22" t="n">
        <v>0</v>
      </c>
    </row>
    <row r="19">
      <c r="A19" s="22" t="n">
        <v>201601</v>
      </c>
      <c r="B19" s="22" t="inlineStr">
        <is>
          <t>01/2016</t>
        </is>
      </c>
      <c r="C19" s="22" t="n">
        <v>24</v>
      </c>
      <c r="D19" s="22" t="inlineStr">
        <is>
          <t>S24</t>
        </is>
      </c>
      <c r="E19" s="22" t="inlineStr">
        <is>
          <t>Nexa Hessen (S24)</t>
        </is>
      </c>
      <c r="F19" s="22" t="inlineStr">
        <is>
          <t>Đức</t>
        </is>
      </c>
      <c r="G19" s="22" t="inlineStr">
        <is>
          <t>POS</t>
        </is>
      </c>
      <c r="H19" s="31" t="n">
        <v>4041.28</v>
      </c>
      <c r="I19" s="31" t="n">
        <v>89.81999999999999</v>
      </c>
      <c r="J19" s="31" t="n">
        <v>3951.46</v>
      </c>
      <c r="K19" s="31" t="n">
        <v>179.99</v>
      </c>
      <c r="L19" s="32" t="n">
        <v>3</v>
      </c>
      <c r="M19" s="32" t="n">
        <v>18</v>
      </c>
      <c r="N19" s="31" t="n">
        <v>3771.47</v>
      </c>
      <c r="O19" s="31" t="n">
        <v>3951.46</v>
      </c>
      <c r="P19" s="22" t="n">
        <v>0</v>
      </c>
      <c r="Q19" s="22" t="n">
        <v>0</v>
      </c>
      <c r="R19" s="22" t="n">
        <v>0</v>
      </c>
    </row>
    <row r="20">
      <c r="A20" s="22" t="n">
        <v>201601</v>
      </c>
      <c r="B20" s="22" t="inlineStr">
        <is>
          <t>01/2016</t>
        </is>
      </c>
      <c r="C20" s="22" t="n">
        <v>27</v>
      </c>
      <c r="D20" s="22" t="inlineStr">
        <is>
          <t>S27</t>
        </is>
      </c>
      <c r="E20" s="22" t="inlineStr">
        <is>
          <t>Nexa Sachsen-Anhalt (S27)</t>
        </is>
      </c>
      <c r="F20" s="22" t="inlineStr">
        <is>
          <t>Đức</t>
        </is>
      </c>
      <c r="G20" s="22" t="inlineStr">
        <is>
          <t>POS</t>
        </is>
      </c>
      <c r="H20" s="31" t="n">
        <v>26184.78</v>
      </c>
      <c r="I20" s="31" t="n">
        <v>1120</v>
      </c>
      <c r="J20" s="31" t="n">
        <v>25064.78</v>
      </c>
      <c r="K20" s="31" t="n">
        <v>0</v>
      </c>
      <c r="L20" s="32" t="n">
        <v>4</v>
      </c>
      <c r="M20" s="32" t="n">
        <v>33</v>
      </c>
      <c r="N20" s="31" t="n">
        <v>25064.78</v>
      </c>
      <c r="O20" s="31" t="n">
        <v>25064.78</v>
      </c>
      <c r="P20" s="22" t="n">
        <v>0</v>
      </c>
      <c r="Q20" s="22" t="n">
        <v>0</v>
      </c>
      <c r="R20" s="22" t="n">
        <v>0</v>
      </c>
    </row>
    <row r="21">
      <c r="A21" s="22" t="n">
        <v>201601</v>
      </c>
      <c r="B21" s="22" t="inlineStr">
        <is>
          <t>01/2016</t>
        </is>
      </c>
      <c r="C21" s="22" t="n">
        <v>28</v>
      </c>
      <c r="D21" s="22" t="inlineStr">
        <is>
          <t>S28</t>
        </is>
      </c>
      <c r="E21" s="22" t="inlineStr">
        <is>
          <t>Nexa Caltanissetta (S28)</t>
        </is>
      </c>
      <c r="F21" s="22" t="inlineStr">
        <is>
          <t>Ý</t>
        </is>
      </c>
      <c r="G21" s="22" t="inlineStr">
        <is>
          <t>POS</t>
        </is>
      </c>
      <c r="H21" s="31" t="n">
        <v>18779.5</v>
      </c>
      <c r="I21" s="31" t="n">
        <v>713.79</v>
      </c>
      <c r="J21" s="31" t="n">
        <v>18065.71</v>
      </c>
      <c r="K21" s="31" t="n">
        <v>6079.98</v>
      </c>
      <c r="L21" s="32" t="n">
        <v>5</v>
      </c>
      <c r="M21" s="32" t="n">
        <v>39</v>
      </c>
      <c r="N21" s="31" t="n">
        <v>11985.73</v>
      </c>
      <c r="O21" s="31" t="n">
        <v>18065.71</v>
      </c>
      <c r="P21" s="22" t="n">
        <v>0</v>
      </c>
      <c r="Q21" s="22" t="n">
        <v>0</v>
      </c>
      <c r="R21" s="22" t="n">
        <v>0</v>
      </c>
    </row>
    <row r="22">
      <c r="A22" s="22" t="n">
        <v>201601</v>
      </c>
      <c r="B22" s="22" t="inlineStr">
        <is>
          <t>01/2016</t>
        </is>
      </c>
      <c r="C22" s="22" t="n">
        <v>29</v>
      </c>
      <c r="D22" s="22" t="inlineStr">
        <is>
          <t>S29</t>
        </is>
      </c>
      <c r="E22" s="22" t="inlineStr">
        <is>
          <t>Nexa Enna (S29)</t>
        </is>
      </c>
      <c r="F22" s="22" t="inlineStr">
        <is>
          <t>Ý</t>
        </is>
      </c>
      <c r="G22" s="22" t="inlineStr">
        <is>
          <t>POS</t>
        </is>
      </c>
      <c r="H22" s="31" t="n">
        <v>52921.39</v>
      </c>
      <c r="I22" s="31" t="n">
        <v>418.55</v>
      </c>
      <c r="J22" s="31" t="n">
        <v>52502.84</v>
      </c>
      <c r="K22" s="31" t="n">
        <v>0</v>
      </c>
      <c r="L22" s="32" t="n">
        <v>11</v>
      </c>
      <c r="M22" s="32" t="n">
        <v>95</v>
      </c>
      <c r="N22" s="31" t="n">
        <v>52502.84</v>
      </c>
      <c r="O22" s="31" t="n">
        <v>52502.84</v>
      </c>
      <c r="P22" s="22" t="n">
        <v>0</v>
      </c>
      <c r="Q22" s="22" t="n">
        <v>0</v>
      </c>
      <c r="R22" s="22" t="n">
        <v>0</v>
      </c>
    </row>
    <row r="23">
      <c r="A23" s="22" t="n">
        <v>201601</v>
      </c>
      <c r="B23" s="22" t="inlineStr">
        <is>
          <t>01/2016</t>
        </is>
      </c>
      <c r="C23" s="22" t="n">
        <v>30</v>
      </c>
      <c r="D23" s="22" t="inlineStr">
        <is>
          <t>S30</t>
        </is>
      </c>
      <c r="E23" s="22" t="inlineStr">
        <is>
          <t>Nexa Pesaro (S30)</t>
        </is>
      </c>
      <c r="F23" s="22" t="inlineStr">
        <is>
          <t>Ý</t>
        </is>
      </c>
      <c r="G23" s="22" t="inlineStr">
        <is>
          <t>POS</t>
        </is>
      </c>
      <c r="H23" s="31" t="n">
        <v>11486.77</v>
      </c>
      <c r="I23" s="31" t="n">
        <v>249.11</v>
      </c>
      <c r="J23" s="31" t="n">
        <v>11237.66</v>
      </c>
      <c r="K23" s="31" t="n">
        <v>3.8</v>
      </c>
      <c r="L23" s="32" t="n">
        <v>8</v>
      </c>
      <c r="M23" s="32" t="n">
        <v>54</v>
      </c>
      <c r="N23" s="31" t="n">
        <v>11233.86</v>
      </c>
      <c r="O23" s="31" t="n">
        <v>11237.66</v>
      </c>
      <c r="P23" s="22" t="n">
        <v>0</v>
      </c>
      <c r="Q23" s="22" t="n">
        <v>0</v>
      </c>
      <c r="R23" s="22" t="n">
        <v>0</v>
      </c>
    </row>
    <row r="24">
      <c r="A24" s="22" t="n">
        <v>201601</v>
      </c>
      <c r="B24" s="22" t="inlineStr">
        <is>
          <t>01/2016</t>
        </is>
      </c>
      <c r="C24" s="22" t="n">
        <v>31</v>
      </c>
      <c r="D24" s="22" t="inlineStr">
        <is>
          <t>S31</t>
        </is>
      </c>
      <c r="E24" s="22" t="inlineStr">
        <is>
          <t>Nexa Drenthe (S31)</t>
        </is>
      </c>
      <c r="F24" s="22" t="inlineStr">
        <is>
          <t>Hà Lan</t>
        </is>
      </c>
      <c r="G24" s="22" t="inlineStr">
        <is>
          <t>POS</t>
        </is>
      </c>
      <c r="H24" s="31" t="n">
        <v>2607.46</v>
      </c>
      <c r="I24" s="31" t="n">
        <v>73.78</v>
      </c>
      <c r="J24" s="31" t="n">
        <v>2533.68</v>
      </c>
      <c r="K24" s="31" t="n">
        <v>0</v>
      </c>
      <c r="L24" s="32" t="n">
        <v>3</v>
      </c>
      <c r="M24" s="32" t="n">
        <v>15</v>
      </c>
      <c r="N24" s="31" t="n">
        <v>2533.68</v>
      </c>
      <c r="O24" s="31" t="n">
        <v>2533.68</v>
      </c>
      <c r="P24" s="22" t="n">
        <v>0</v>
      </c>
      <c r="Q24" s="22" t="n">
        <v>0</v>
      </c>
      <c r="R24" s="22" t="n">
        <v>0</v>
      </c>
    </row>
    <row r="25">
      <c r="A25" s="22" t="n">
        <v>201601</v>
      </c>
      <c r="B25" s="22" t="inlineStr">
        <is>
          <t>01/2016</t>
        </is>
      </c>
      <c r="C25" s="22" t="n">
        <v>32</v>
      </c>
      <c r="D25" s="22" t="inlineStr">
        <is>
          <t>S32</t>
        </is>
      </c>
      <c r="E25" s="22" t="inlineStr">
        <is>
          <t>Nexa Flevoland (S32)</t>
        </is>
      </c>
      <c r="F25" s="22" t="inlineStr">
        <is>
          <t>Hà Lan</t>
        </is>
      </c>
      <c r="G25" s="22" t="inlineStr">
        <is>
          <t>POS</t>
        </is>
      </c>
      <c r="H25" s="31" t="n">
        <v>2058.54</v>
      </c>
      <c r="I25" s="31" t="n">
        <v>10.15</v>
      </c>
      <c r="J25" s="31" t="n">
        <v>2048.39</v>
      </c>
      <c r="K25" s="31" t="n">
        <v>0</v>
      </c>
      <c r="L25" s="32" t="n">
        <v>5</v>
      </c>
      <c r="M25" s="32" t="n">
        <v>13</v>
      </c>
      <c r="N25" s="31" t="n">
        <v>2048.39</v>
      </c>
      <c r="O25" s="31" t="n">
        <v>2048.39</v>
      </c>
      <c r="P25" s="22" t="n">
        <v>0</v>
      </c>
      <c r="Q25" s="22" t="n">
        <v>0</v>
      </c>
      <c r="R25" s="22" t="n">
        <v>0</v>
      </c>
    </row>
    <row r="26">
      <c r="A26" s="22" t="n">
        <v>201601</v>
      </c>
      <c r="B26" s="22" t="inlineStr">
        <is>
          <t>01/2016</t>
        </is>
      </c>
      <c r="C26" s="22" t="n">
        <v>33</v>
      </c>
      <c r="D26" s="22" t="inlineStr">
        <is>
          <t>S33</t>
        </is>
      </c>
      <c r="E26" s="22" t="inlineStr">
        <is>
          <t>Nexa Friesland (S33)</t>
        </is>
      </c>
      <c r="F26" s="22" t="inlineStr">
        <is>
          <t>Hà Lan</t>
        </is>
      </c>
      <c r="G26" s="22" t="inlineStr">
        <is>
          <t>POS</t>
        </is>
      </c>
      <c r="H26" s="31" t="n">
        <v>1876</v>
      </c>
      <c r="I26" s="31" t="n">
        <v>93.8</v>
      </c>
      <c r="J26" s="31" t="n">
        <v>1782.2</v>
      </c>
      <c r="K26" s="31" t="n">
        <v>0</v>
      </c>
      <c r="L26" s="32" t="n">
        <v>1</v>
      </c>
      <c r="M26" s="32" t="n">
        <v>4</v>
      </c>
      <c r="N26" s="31" t="n">
        <v>1782.2</v>
      </c>
      <c r="O26" s="31" t="n">
        <v>1782.2</v>
      </c>
      <c r="P26" s="22" t="n">
        <v>0</v>
      </c>
      <c r="Q26" s="22" t="n">
        <v>0</v>
      </c>
      <c r="R26" s="22" t="n">
        <v>0</v>
      </c>
    </row>
    <row r="27">
      <c r="A27" s="22" t="n">
        <v>201601</v>
      </c>
      <c r="B27" s="22" t="inlineStr">
        <is>
          <t>01/2016</t>
        </is>
      </c>
      <c r="C27" s="22" t="n">
        <v>36</v>
      </c>
      <c r="D27" s="22" t="inlineStr">
        <is>
          <t>S36</t>
        </is>
      </c>
      <c r="E27" s="22" t="inlineStr">
        <is>
          <t>Nexa Armagh (S36)</t>
        </is>
      </c>
      <c r="F27" s="22" t="inlineStr">
        <is>
          <t>Anh</t>
        </is>
      </c>
      <c r="G27" s="22" t="inlineStr">
        <is>
          <t>POS</t>
        </is>
      </c>
      <c r="H27" s="31" t="n">
        <v>17153.91</v>
      </c>
      <c r="I27" s="31" t="n">
        <v>197.92</v>
      </c>
      <c r="J27" s="31" t="n">
        <v>16955.99</v>
      </c>
      <c r="K27" s="31" t="n">
        <v>855</v>
      </c>
      <c r="L27" s="32" t="n">
        <v>4</v>
      </c>
      <c r="M27" s="32" t="n">
        <v>37</v>
      </c>
      <c r="N27" s="31" t="n">
        <v>16100.99</v>
      </c>
      <c r="O27" s="31" t="n">
        <v>16955.99</v>
      </c>
      <c r="P27" s="22" t="n">
        <v>0</v>
      </c>
      <c r="Q27" s="22" t="n">
        <v>0</v>
      </c>
      <c r="R27" s="22" t="n">
        <v>0</v>
      </c>
    </row>
    <row r="28">
      <c r="A28" s="22" t="n">
        <v>201601</v>
      </c>
      <c r="B28" s="22" t="inlineStr">
        <is>
          <t>01/2016</t>
        </is>
      </c>
      <c r="C28" s="22" t="n">
        <v>37</v>
      </c>
      <c r="D28" s="22" t="inlineStr">
        <is>
          <t>S37</t>
        </is>
      </c>
      <c r="E28" s="22" t="inlineStr">
        <is>
          <t>Nexa Ayrshire (S37)</t>
        </is>
      </c>
      <c r="F28" s="22" t="inlineStr">
        <is>
          <t>Anh</t>
        </is>
      </c>
      <c r="G28" s="22" t="inlineStr">
        <is>
          <t>POS</t>
        </is>
      </c>
      <c r="H28" s="31" t="n">
        <v>15724.37</v>
      </c>
      <c r="I28" s="31" t="n">
        <v>165.65</v>
      </c>
      <c r="J28" s="31" t="n">
        <v>15558.72</v>
      </c>
      <c r="K28" s="31" t="n">
        <v>0</v>
      </c>
      <c r="L28" s="32" t="n">
        <v>6</v>
      </c>
      <c r="M28" s="32" t="n">
        <v>47</v>
      </c>
      <c r="N28" s="31" t="n">
        <v>15558.72</v>
      </c>
      <c r="O28" s="31" t="n">
        <v>15558.72</v>
      </c>
      <c r="P28" s="22" t="n">
        <v>0</v>
      </c>
      <c r="Q28" s="22" t="n">
        <v>0</v>
      </c>
      <c r="R28" s="22" t="n">
        <v>0</v>
      </c>
    </row>
    <row r="29">
      <c r="A29" s="22" t="n">
        <v>201601</v>
      </c>
      <c r="B29" s="22" t="inlineStr">
        <is>
          <t>01/2016</t>
        </is>
      </c>
      <c r="C29" s="22" t="n">
        <v>38</v>
      </c>
      <c r="D29" s="22" t="inlineStr">
        <is>
          <t>S38</t>
        </is>
      </c>
      <c r="E29" s="22" t="inlineStr">
        <is>
          <t>Nexa Belfast (S38)</t>
        </is>
      </c>
      <c r="F29" s="22" t="inlineStr">
        <is>
          <t>Anh</t>
        </is>
      </c>
      <c r="G29" s="22" t="inlineStr">
        <is>
          <t>POS</t>
        </is>
      </c>
      <c r="H29" s="31" t="n">
        <v>14459.69</v>
      </c>
      <c r="I29" s="31" t="n">
        <v>533.95</v>
      </c>
      <c r="J29" s="31" t="n">
        <v>13925.74</v>
      </c>
      <c r="K29" s="31" t="n">
        <v>0</v>
      </c>
      <c r="L29" s="32" t="n">
        <v>6</v>
      </c>
      <c r="M29" s="32" t="n">
        <v>39</v>
      </c>
      <c r="N29" s="31" t="n">
        <v>13925.74</v>
      </c>
      <c r="O29" s="31" t="n">
        <v>13925.74</v>
      </c>
      <c r="P29" s="22" t="n">
        <v>0</v>
      </c>
      <c r="Q29" s="22" t="n">
        <v>0</v>
      </c>
      <c r="R29" s="22" t="n">
        <v>0</v>
      </c>
    </row>
    <row r="30">
      <c r="A30" s="22" t="n">
        <v>201601</v>
      </c>
      <c r="B30" s="22" t="inlineStr">
        <is>
          <t>01/2016</t>
        </is>
      </c>
      <c r="C30" s="22" t="n">
        <v>39</v>
      </c>
      <c r="D30" s="22" t="inlineStr">
        <is>
          <t>S39</t>
        </is>
      </c>
      <c r="E30" s="22" t="inlineStr">
        <is>
          <t>Nexa Blaenau Gwent (S39)</t>
        </is>
      </c>
      <c r="F30" s="22" t="inlineStr">
        <is>
          <t>Anh</t>
        </is>
      </c>
      <c r="G30" s="22" t="inlineStr">
        <is>
          <t>POS</t>
        </is>
      </c>
      <c r="H30" s="31" t="n">
        <v>5207.04</v>
      </c>
      <c r="I30" s="31" t="n">
        <v>75.8</v>
      </c>
      <c r="J30" s="31" t="n">
        <v>5131.24</v>
      </c>
      <c r="K30" s="31" t="n">
        <v>0</v>
      </c>
      <c r="L30" s="32" t="n">
        <v>5</v>
      </c>
      <c r="M30" s="32" t="n">
        <v>27</v>
      </c>
      <c r="N30" s="31" t="n">
        <v>5131.24</v>
      </c>
      <c r="O30" s="31" t="n">
        <v>5131.24</v>
      </c>
      <c r="P30" s="22" t="n">
        <v>0</v>
      </c>
      <c r="Q30" s="22" t="n">
        <v>0</v>
      </c>
      <c r="R30" s="22" t="n">
        <v>0</v>
      </c>
    </row>
    <row r="31">
      <c r="A31" s="22" t="n">
        <v>201601</v>
      </c>
      <c r="B31" s="22" t="inlineStr">
        <is>
          <t>01/2016</t>
        </is>
      </c>
      <c r="C31" s="22" t="n">
        <v>40</v>
      </c>
      <c r="D31" s="22" t="inlineStr">
        <is>
          <t>S40</t>
        </is>
      </c>
      <c r="E31" s="22" t="inlineStr">
        <is>
          <t>Nexa Dungannon and South Tyrone (S40)</t>
        </is>
      </c>
      <c r="F31" s="22" t="inlineStr">
        <is>
          <t>Anh</t>
        </is>
      </c>
      <c r="G31" s="22" t="inlineStr">
        <is>
          <t>POS</t>
        </is>
      </c>
      <c r="H31" s="31" t="n">
        <v>13828.4</v>
      </c>
      <c r="I31" s="31" t="n">
        <v>550.99</v>
      </c>
      <c r="J31" s="31" t="n">
        <v>13277.41</v>
      </c>
      <c r="K31" s="31" t="n">
        <v>0</v>
      </c>
      <c r="L31" s="32" t="n">
        <v>5</v>
      </c>
      <c r="M31" s="32" t="n">
        <v>43</v>
      </c>
      <c r="N31" s="31" t="n">
        <v>13277.41</v>
      </c>
      <c r="O31" s="31" t="n">
        <v>13277.41</v>
      </c>
      <c r="P31" s="22" t="n">
        <v>0</v>
      </c>
      <c r="Q31" s="22" t="n">
        <v>0</v>
      </c>
      <c r="R31" s="22" t="n">
        <v>0</v>
      </c>
    </row>
    <row r="32">
      <c r="A32" s="22" t="n">
        <v>201601</v>
      </c>
      <c r="B32" s="22" t="inlineStr">
        <is>
          <t>01/2016</t>
        </is>
      </c>
      <c r="C32" s="22" t="n">
        <v>41</v>
      </c>
      <c r="D32" s="22" t="inlineStr">
        <is>
          <t>S41</t>
        </is>
      </c>
      <c r="E32" s="22" t="inlineStr">
        <is>
          <t>Nexa Fermanagh (S41)</t>
        </is>
      </c>
      <c r="F32" s="22" t="inlineStr">
        <is>
          <t>Anh</t>
        </is>
      </c>
      <c r="G32" s="22" t="inlineStr">
        <is>
          <t>POS</t>
        </is>
      </c>
      <c r="H32" s="31" t="n">
        <v>7552.3</v>
      </c>
      <c r="I32" s="31" t="n">
        <v>0</v>
      </c>
      <c r="J32" s="31" t="n">
        <v>7552.3</v>
      </c>
      <c r="K32" s="31" t="n">
        <v>0</v>
      </c>
      <c r="L32" s="32" t="n">
        <v>5</v>
      </c>
      <c r="M32" s="32" t="n">
        <v>40</v>
      </c>
      <c r="N32" s="31" t="n">
        <v>7552.3</v>
      </c>
      <c r="O32" s="31" t="n">
        <v>7552.3</v>
      </c>
      <c r="P32" s="22" t="n">
        <v>0</v>
      </c>
      <c r="Q32" s="22" t="n">
        <v>0</v>
      </c>
      <c r="R32" s="22" t="n">
        <v>0</v>
      </c>
    </row>
    <row r="33">
      <c r="A33" s="22" t="n">
        <v>201601</v>
      </c>
      <c r="B33" s="22" t="inlineStr">
        <is>
          <t>01/2016</t>
        </is>
      </c>
      <c r="C33" s="22" t="n">
        <v>42</v>
      </c>
      <c r="D33" s="22" t="inlineStr">
        <is>
          <t>S42</t>
        </is>
      </c>
      <c r="E33" s="22" t="inlineStr">
        <is>
          <t>Nexa North Down (S42)</t>
        </is>
      </c>
      <c r="F33" s="22" t="inlineStr">
        <is>
          <t>Anh</t>
        </is>
      </c>
      <c r="G33" s="22" t="inlineStr">
        <is>
          <t>POS</t>
        </is>
      </c>
      <c r="H33" s="31" t="n">
        <v>16650.16</v>
      </c>
      <c r="I33" s="31" t="n">
        <v>353.85</v>
      </c>
      <c r="J33" s="31" t="n">
        <v>16296.31</v>
      </c>
      <c r="K33" s="31" t="n">
        <v>40.98</v>
      </c>
      <c r="L33" s="32" t="n">
        <v>8</v>
      </c>
      <c r="M33" s="32" t="n">
        <v>56</v>
      </c>
      <c r="N33" s="31" t="n">
        <v>16255.33</v>
      </c>
      <c r="O33" s="31" t="n">
        <v>16296.31</v>
      </c>
      <c r="P33" s="22" t="n">
        <v>0</v>
      </c>
      <c r="Q33" s="22" t="n">
        <v>0</v>
      </c>
      <c r="R33" s="22" t="n">
        <v>0</v>
      </c>
    </row>
    <row r="34">
      <c r="A34" s="22" t="n">
        <v>201601</v>
      </c>
      <c r="B34" s="22" t="inlineStr">
        <is>
          <t>01/2016</t>
        </is>
      </c>
      <c r="C34" s="22" t="n">
        <v>43</v>
      </c>
      <c r="D34" s="22" t="inlineStr">
        <is>
          <t>S43</t>
        </is>
      </c>
      <c r="E34" s="22" t="inlineStr">
        <is>
          <t>Nexa Alaska (S43)</t>
        </is>
      </c>
      <c r="F34" s="22" t="inlineStr">
        <is>
          <t>Mỹ</t>
        </is>
      </c>
      <c r="G34" s="22" t="inlineStr">
        <is>
          <t>POS</t>
        </is>
      </c>
      <c r="H34" s="31" t="n">
        <v>4232.66</v>
      </c>
      <c r="I34" s="31" t="n">
        <v>7.28</v>
      </c>
      <c r="J34" s="31" t="n">
        <v>4225.38</v>
      </c>
      <c r="K34" s="31" t="n">
        <v>0</v>
      </c>
      <c r="L34" s="32" t="n">
        <v>5</v>
      </c>
      <c r="M34" s="32" t="n">
        <v>15</v>
      </c>
      <c r="N34" s="31" t="n">
        <v>4225.38</v>
      </c>
      <c r="O34" s="31" t="n">
        <v>4225.38</v>
      </c>
      <c r="P34" s="22" t="n">
        <v>0</v>
      </c>
      <c r="Q34" s="22" t="n">
        <v>0</v>
      </c>
      <c r="R34" s="22" t="n">
        <v>0</v>
      </c>
    </row>
    <row r="35">
      <c r="A35" s="22" t="n">
        <v>201601</v>
      </c>
      <c r="B35" s="22" t="inlineStr">
        <is>
          <t>01/2016</t>
        </is>
      </c>
      <c r="C35" s="22" t="n">
        <v>44</v>
      </c>
      <c r="D35" s="22" t="inlineStr">
        <is>
          <t>S44</t>
        </is>
      </c>
      <c r="E35" s="22" t="inlineStr">
        <is>
          <t>Nexa Arkansas (S44)</t>
        </is>
      </c>
      <c r="F35" s="22" t="inlineStr">
        <is>
          <t>Mỹ</t>
        </is>
      </c>
      <c r="G35" s="22" t="inlineStr">
        <is>
          <t>POS</t>
        </is>
      </c>
      <c r="H35" s="31" t="n">
        <v>12069.59</v>
      </c>
      <c r="I35" s="31" t="n">
        <v>531.83</v>
      </c>
      <c r="J35" s="31" t="n">
        <v>11537.76</v>
      </c>
      <c r="K35" s="31" t="n">
        <v>0</v>
      </c>
      <c r="L35" s="32" t="n">
        <v>3</v>
      </c>
      <c r="M35" s="32" t="n">
        <v>41</v>
      </c>
      <c r="N35" s="31" t="n">
        <v>11537.76</v>
      </c>
      <c r="O35" s="31" t="n">
        <v>11537.76</v>
      </c>
      <c r="P35" s="22" t="n">
        <v>0</v>
      </c>
      <c r="Q35" s="22" t="n">
        <v>0</v>
      </c>
      <c r="R35" s="22" t="n">
        <v>0</v>
      </c>
    </row>
    <row r="36">
      <c r="A36" s="22" t="n">
        <v>201601</v>
      </c>
      <c r="B36" s="22" t="inlineStr">
        <is>
          <t>01/2016</t>
        </is>
      </c>
      <c r="C36" s="22" t="n">
        <v>45</v>
      </c>
      <c r="D36" s="22" t="inlineStr">
        <is>
          <t>S45</t>
        </is>
      </c>
      <c r="E36" s="22" t="inlineStr">
        <is>
          <t>Nexa Connecticut (S45)</t>
        </is>
      </c>
      <c r="F36" s="22" t="inlineStr">
        <is>
          <t>Mỹ</t>
        </is>
      </c>
      <c r="G36" s="22" t="inlineStr">
        <is>
          <t>POS</t>
        </is>
      </c>
      <c r="H36" s="31" t="n">
        <v>8754.26</v>
      </c>
      <c r="I36" s="31" t="n">
        <v>29.35</v>
      </c>
      <c r="J36" s="31" t="n">
        <v>8724.91</v>
      </c>
      <c r="K36" s="31" t="n">
        <v>0</v>
      </c>
      <c r="L36" s="32" t="n">
        <v>7</v>
      </c>
      <c r="M36" s="32" t="n">
        <v>37</v>
      </c>
      <c r="N36" s="31" t="n">
        <v>8724.91</v>
      </c>
      <c r="O36" s="31" t="n">
        <v>8724.91</v>
      </c>
      <c r="P36" s="22" t="n">
        <v>1</v>
      </c>
      <c r="Q36" s="22" t="n">
        <v>0</v>
      </c>
      <c r="R36" s="22" t="n">
        <v>0</v>
      </c>
    </row>
    <row r="37">
      <c r="A37" s="22" t="n">
        <v>201601</v>
      </c>
      <c r="B37" s="22" t="inlineStr">
        <is>
          <t>01/2016</t>
        </is>
      </c>
      <c r="C37" s="22" t="n">
        <v>47</v>
      </c>
      <c r="D37" s="22" t="inlineStr">
        <is>
          <t>S47</t>
        </is>
      </c>
      <c r="E37" s="22" t="inlineStr">
        <is>
          <t>Nexa Hawaii (S47)</t>
        </is>
      </c>
      <c r="F37" s="22" t="inlineStr">
        <is>
          <t>Mỹ</t>
        </is>
      </c>
      <c r="G37" s="22" t="inlineStr">
        <is>
          <t>POS</t>
        </is>
      </c>
      <c r="H37" s="31" t="n">
        <v>5353</v>
      </c>
      <c r="I37" s="31" t="n">
        <v>242.15</v>
      </c>
      <c r="J37" s="31" t="n">
        <v>5110.85</v>
      </c>
      <c r="K37" s="31" t="n">
        <v>0</v>
      </c>
      <c r="L37" s="32" t="n">
        <v>4</v>
      </c>
      <c r="M37" s="32" t="n">
        <v>15</v>
      </c>
      <c r="N37" s="31" t="n">
        <v>5110.85</v>
      </c>
      <c r="O37" s="31" t="n">
        <v>5110.85</v>
      </c>
      <c r="P37" s="22" t="n">
        <v>0</v>
      </c>
      <c r="Q37" s="22" t="n">
        <v>0</v>
      </c>
      <c r="R37" s="22" t="n">
        <v>0</v>
      </c>
    </row>
    <row r="38">
      <c r="A38" s="22" t="n">
        <v>201601</v>
      </c>
      <c r="B38" s="22" t="inlineStr">
        <is>
          <t>01/2016</t>
        </is>
      </c>
      <c r="C38" s="22" t="n">
        <v>48</v>
      </c>
      <c r="D38" s="22" t="inlineStr">
        <is>
          <t>S48</t>
        </is>
      </c>
      <c r="E38" s="22" t="inlineStr">
        <is>
          <t>Nexa Idaho (S48)</t>
        </is>
      </c>
      <c r="F38" s="22" t="inlineStr">
        <is>
          <t>Mỹ</t>
        </is>
      </c>
      <c r="G38" s="22" t="inlineStr">
        <is>
          <t>POS</t>
        </is>
      </c>
      <c r="H38" s="31" t="n">
        <v>28359.12</v>
      </c>
      <c r="I38" s="31" t="n">
        <v>770.04</v>
      </c>
      <c r="J38" s="31" t="n">
        <v>27589.08</v>
      </c>
      <c r="K38" s="31" t="n">
        <v>129</v>
      </c>
      <c r="L38" s="32" t="n">
        <v>8</v>
      </c>
      <c r="M38" s="32" t="n">
        <v>85</v>
      </c>
      <c r="N38" s="31" t="n">
        <v>27589.08</v>
      </c>
      <c r="O38" s="31" t="n">
        <v>27589.08</v>
      </c>
      <c r="P38" s="22" t="n">
        <v>0</v>
      </c>
      <c r="Q38" s="22" t="n">
        <v>0</v>
      </c>
      <c r="R38" s="22" t="n">
        <v>0</v>
      </c>
    </row>
    <row r="39">
      <c r="A39" s="22" t="n">
        <v>201601</v>
      </c>
      <c r="B39" s="22" t="inlineStr">
        <is>
          <t>01/2016</t>
        </is>
      </c>
      <c r="C39" s="22" t="n">
        <v>50</v>
      </c>
      <c r="D39" s="22" t="inlineStr">
        <is>
          <t>S50</t>
        </is>
      </c>
      <c r="E39" s="22" t="inlineStr">
        <is>
          <t>Nexa Kansas (S50)</t>
        </is>
      </c>
      <c r="F39" s="22" t="inlineStr">
        <is>
          <t>Mỹ</t>
        </is>
      </c>
      <c r="G39" s="22" t="inlineStr">
        <is>
          <t>POS</t>
        </is>
      </c>
      <c r="H39" s="31" t="n">
        <v>25172.1</v>
      </c>
      <c r="I39" s="31" t="n">
        <v>768.35</v>
      </c>
      <c r="J39" s="31" t="n">
        <v>24403.75</v>
      </c>
      <c r="K39" s="31" t="n">
        <v>0</v>
      </c>
      <c r="L39" s="32" t="n">
        <v>4</v>
      </c>
      <c r="M39" s="32" t="n">
        <v>30</v>
      </c>
      <c r="N39" s="31" t="n">
        <v>24403.75</v>
      </c>
      <c r="O39" s="31" t="n">
        <v>24403.75</v>
      </c>
      <c r="P39" s="22" t="n">
        <v>1</v>
      </c>
      <c r="Q39" s="22" t="n">
        <v>0</v>
      </c>
      <c r="R39" s="22" t="n">
        <v>0</v>
      </c>
    </row>
    <row r="40">
      <c r="A40" s="22" t="n">
        <v>201601</v>
      </c>
      <c r="B40" s="22" t="inlineStr">
        <is>
          <t>01/2016</t>
        </is>
      </c>
      <c r="C40" s="22" t="n">
        <v>51</v>
      </c>
      <c r="D40" s="22" t="inlineStr">
        <is>
          <t>S51</t>
        </is>
      </c>
      <c r="E40" s="22" t="inlineStr">
        <is>
          <t>Nexa Maine (S51)</t>
        </is>
      </c>
      <c r="F40" s="22" t="inlineStr">
        <is>
          <t>Mỹ</t>
        </is>
      </c>
      <c r="G40" s="22" t="inlineStr">
        <is>
          <t>POS</t>
        </is>
      </c>
      <c r="H40" s="31" t="n">
        <v>16271.64</v>
      </c>
      <c r="I40" s="31" t="n">
        <v>170.54</v>
      </c>
      <c r="J40" s="31" t="n">
        <v>16101.1</v>
      </c>
      <c r="K40" s="31" t="n">
        <v>0</v>
      </c>
      <c r="L40" s="32" t="n">
        <v>10</v>
      </c>
      <c r="M40" s="32" t="n">
        <v>57</v>
      </c>
      <c r="N40" s="31" t="n">
        <v>16101.1</v>
      </c>
      <c r="O40" s="31" t="n">
        <v>16101.1</v>
      </c>
      <c r="P40" s="22" t="n">
        <v>0</v>
      </c>
      <c r="Q40" s="22" t="n">
        <v>0</v>
      </c>
      <c r="R40" s="22" t="n">
        <v>0</v>
      </c>
    </row>
    <row r="41">
      <c r="A41" s="22" t="n">
        <v>201601</v>
      </c>
      <c r="B41" s="22" t="inlineStr">
        <is>
          <t>01/2016</t>
        </is>
      </c>
      <c r="C41" s="22" t="n">
        <v>53</v>
      </c>
      <c r="D41" s="22" t="inlineStr">
        <is>
          <t>S53</t>
        </is>
      </c>
      <c r="E41" s="22" t="inlineStr">
        <is>
          <t>Nexa Montana (S53)</t>
        </is>
      </c>
      <c r="F41" s="22" t="inlineStr">
        <is>
          <t>Mỹ</t>
        </is>
      </c>
      <c r="G41" s="22" t="inlineStr">
        <is>
          <t>POS</t>
        </is>
      </c>
      <c r="H41" s="31" t="n">
        <v>5774.3</v>
      </c>
      <c r="I41" s="31" t="n">
        <v>135.38</v>
      </c>
      <c r="J41" s="31" t="n">
        <v>5638.92</v>
      </c>
      <c r="K41" s="31" t="n">
        <v>146.98</v>
      </c>
      <c r="L41" s="32" t="n">
        <v>8</v>
      </c>
      <c r="M41" s="32" t="n">
        <v>48</v>
      </c>
      <c r="N41" s="31" t="n">
        <v>5491.94</v>
      </c>
      <c r="O41" s="31" t="n">
        <v>5638.92</v>
      </c>
      <c r="P41" s="22" t="n">
        <v>0</v>
      </c>
      <c r="Q41" s="22" t="n">
        <v>0</v>
      </c>
      <c r="R41" s="22" t="n">
        <v>0</v>
      </c>
    </row>
    <row r="42">
      <c r="A42" s="22" t="n">
        <v>201601</v>
      </c>
      <c r="B42" s="22" t="inlineStr">
        <is>
          <t>01/2016</t>
        </is>
      </c>
      <c r="C42" s="22" t="n">
        <v>54</v>
      </c>
      <c r="D42" s="22" t="inlineStr">
        <is>
          <t>S54</t>
        </is>
      </c>
      <c r="E42" s="22" t="inlineStr">
        <is>
          <t>Nexa Nebraska (S54)</t>
        </is>
      </c>
      <c r="F42" s="22" t="inlineStr">
        <is>
          <t>Mỹ</t>
        </is>
      </c>
      <c r="G42" s="22" t="inlineStr">
        <is>
          <t>POS</t>
        </is>
      </c>
      <c r="H42" s="31" t="n">
        <v>7706.7</v>
      </c>
      <c r="I42" s="31" t="n">
        <v>0</v>
      </c>
      <c r="J42" s="31" t="n">
        <v>7706.7</v>
      </c>
      <c r="K42" s="31" t="n">
        <v>0</v>
      </c>
      <c r="L42" s="32" t="n">
        <v>4</v>
      </c>
      <c r="M42" s="32" t="n">
        <v>32</v>
      </c>
      <c r="N42" s="31" t="n">
        <v>7706.7</v>
      </c>
      <c r="O42" s="31" t="n">
        <v>7706.7</v>
      </c>
      <c r="P42" s="22" t="n">
        <v>1</v>
      </c>
      <c r="Q42" s="22" t="n">
        <v>0</v>
      </c>
      <c r="R42" s="22" t="n">
        <v>0</v>
      </c>
    </row>
    <row r="43">
      <c r="A43" s="22" t="n">
        <v>201601</v>
      </c>
      <c r="B43" s="22" t="inlineStr">
        <is>
          <t>01/2016</t>
        </is>
      </c>
      <c r="C43" s="22" t="n">
        <v>55</v>
      </c>
      <c r="D43" s="22" t="inlineStr">
        <is>
          <t>S55</t>
        </is>
      </c>
      <c r="E43" s="22" t="inlineStr">
        <is>
          <t>Nexa Nevada (S55)</t>
        </is>
      </c>
      <c r="F43" s="22" t="inlineStr">
        <is>
          <t>Mỹ</t>
        </is>
      </c>
      <c r="G43" s="22" t="inlineStr">
        <is>
          <t>POS</t>
        </is>
      </c>
      <c r="H43" s="31" t="n">
        <v>6555.8</v>
      </c>
      <c r="I43" s="31" t="n">
        <v>46.55</v>
      </c>
      <c r="J43" s="31" t="n">
        <v>6509.25</v>
      </c>
      <c r="K43" s="31" t="n">
        <v>252.68</v>
      </c>
      <c r="L43" s="32" t="n">
        <v>3</v>
      </c>
      <c r="M43" s="32" t="n">
        <v>25</v>
      </c>
      <c r="N43" s="31" t="n">
        <v>6256.57</v>
      </c>
      <c r="O43" s="31" t="n">
        <v>6509.25</v>
      </c>
      <c r="P43" s="22" t="n">
        <v>0</v>
      </c>
      <c r="Q43" s="22" t="n">
        <v>0</v>
      </c>
      <c r="R43" s="22" t="n">
        <v>0</v>
      </c>
    </row>
    <row r="44">
      <c r="A44" s="22" t="n">
        <v>201601</v>
      </c>
      <c r="B44" s="22" t="inlineStr">
        <is>
          <t>01/2016</t>
        </is>
      </c>
      <c r="C44" s="22" t="n">
        <v>56</v>
      </c>
      <c r="D44" s="22" t="inlineStr">
        <is>
          <t>S56</t>
        </is>
      </c>
      <c r="E44" s="22" t="inlineStr">
        <is>
          <t>Nexa New Hampshire (S56)</t>
        </is>
      </c>
      <c r="F44" s="22" t="inlineStr">
        <is>
          <t>Mỹ</t>
        </is>
      </c>
      <c r="G44" s="22" t="inlineStr">
        <is>
          <t>POS</t>
        </is>
      </c>
      <c r="H44" s="31" t="n">
        <v>8513.75</v>
      </c>
      <c r="I44" s="31" t="n">
        <v>220.37</v>
      </c>
      <c r="J44" s="31" t="n">
        <v>8293.379999999999</v>
      </c>
      <c r="K44" s="31" t="n">
        <v>0</v>
      </c>
      <c r="L44" s="32" t="n">
        <v>8</v>
      </c>
      <c r="M44" s="32" t="n">
        <v>38</v>
      </c>
      <c r="N44" s="31" t="n">
        <v>8293.379999999999</v>
      </c>
      <c r="O44" s="31" t="n">
        <v>8293.379999999999</v>
      </c>
      <c r="P44" s="22" t="n">
        <v>0</v>
      </c>
      <c r="Q44" s="22" t="n">
        <v>0</v>
      </c>
      <c r="R44" s="22" t="n">
        <v>0</v>
      </c>
    </row>
    <row r="45">
      <c r="A45" s="22" t="n">
        <v>201601</v>
      </c>
      <c r="B45" s="22" t="inlineStr">
        <is>
          <t>01/2016</t>
        </is>
      </c>
      <c r="C45" s="22" t="n">
        <v>57</v>
      </c>
      <c r="D45" s="22" t="inlineStr">
        <is>
          <t>S57</t>
        </is>
      </c>
      <c r="E45" s="22" t="inlineStr">
        <is>
          <t>Nexa New Mexico (S57)</t>
        </is>
      </c>
      <c r="F45" s="22" t="inlineStr">
        <is>
          <t>Mỹ</t>
        </is>
      </c>
      <c r="G45" s="22" t="inlineStr">
        <is>
          <t>POS</t>
        </is>
      </c>
      <c r="H45" s="31" t="n">
        <v>15203.43</v>
      </c>
      <c r="I45" s="31" t="n">
        <v>458.38</v>
      </c>
      <c r="J45" s="31" t="n">
        <v>14745.05</v>
      </c>
      <c r="K45" s="31" t="n">
        <v>589.72</v>
      </c>
      <c r="L45" s="32" t="n">
        <v>8</v>
      </c>
      <c r="M45" s="32" t="n">
        <v>74</v>
      </c>
      <c r="N45" s="31" t="n">
        <v>14155.33</v>
      </c>
      <c r="O45" s="31" t="n">
        <v>14745.05</v>
      </c>
      <c r="P45" s="22" t="n">
        <v>0</v>
      </c>
      <c r="Q45" s="22" t="n">
        <v>0</v>
      </c>
      <c r="R45" s="22" t="n">
        <v>0</v>
      </c>
    </row>
    <row r="46">
      <c r="A46" s="22" t="n">
        <v>201601</v>
      </c>
      <c r="B46" s="22" t="inlineStr">
        <is>
          <t>01/2016</t>
        </is>
      </c>
      <c r="C46" s="22" t="n">
        <v>59</v>
      </c>
      <c r="D46" s="22" t="inlineStr">
        <is>
          <t>S59</t>
        </is>
      </c>
      <c r="E46" s="22" t="inlineStr">
        <is>
          <t>Nexa Oregon (S59)</t>
        </is>
      </c>
      <c r="F46" s="22" t="inlineStr">
        <is>
          <t>Mỹ</t>
        </is>
      </c>
      <c r="G46" s="22" t="inlineStr">
        <is>
          <t>POS</t>
        </is>
      </c>
      <c r="H46" s="31" t="n">
        <v>4970.8</v>
      </c>
      <c r="I46" s="31" t="n">
        <v>98.59999999999999</v>
      </c>
      <c r="J46" s="31" t="n">
        <v>4872.2</v>
      </c>
      <c r="K46" s="31" t="n">
        <v>0</v>
      </c>
      <c r="L46" s="32" t="n">
        <v>3</v>
      </c>
      <c r="M46" s="32" t="n">
        <v>20</v>
      </c>
      <c r="N46" s="31" t="n">
        <v>4872.2</v>
      </c>
      <c r="O46" s="31" t="n">
        <v>4872.2</v>
      </c>
      <c r="P46" s="22" t="n">
        <v>1</v>
      </c>
      <c r="Q46" s="22" t="n">
        <v>0</v>
      </c>
      <c r="R46" s="22" t="n">
        <v>0</v>
      </c>
    </row>
    <row r="47">
      <c r="A47" s="22" t="n">
        <v>201601</v>
      </c>
      <c r="B47" s="22" t="inlineStr">
        <is>
          <t>01/2016</t>
        </is>
      </c>
      <c r="C47" s="22" t="n">
        <v>61</v>
      </c>
      <c r="D47" s="22" t="inlineStr">
        <is>
          <t>S61</t>
        </is>
      </c>
      <c r="E47" s="22" t="inlineStr">
        <is>
          <t>Nexa South Carolina (S61)</t>
        </is>
      </c>
      <c r="F47" s="22" t="inlineStr">
        <is>
          <t>Mỹ</t>
        </is>
      </c>
      <c r="G47" s="22" t="inlineStr">
        <is>
          <t>POS</t>
        </is>
      </c>
      <c r="H47" s="31" t="n">
        <v>26454.02</v>
      </c>
      <c r="I47" s="31" t="n">
        <v>339.85</v>
      </c>
      <c r="J47" s="31" t="n">
        <v>26114.17</v>
      </c>
      <c r="K47" s="31" t="n">
        <v>0</v>
      </c>
      <c r="L47" s="32" t="n">
        <v>10</v>
      </c>
      <c r="M47" s="32" t="n">
        <v>75</v>
      </c>
      <c r="N47" s="31" t="n">
        <v>26114.17</v>
      </c>
      <c r="O47" s="31" t="n">
        <v>26114.17</v>
      </c>
      <c r="P47" s="22" t="n">
        <v>0</v>
      </c>
      <c r="Q47" s="22" t="n">
        <v>0</v>
      </c>
      <c r="R47" s="22" t="n">
        <v>0</v>
      </c>
    </row>
    <row r="48">
      <c r="A48" s="22" t="n">
        <v>201601</v>
      </c>
      <c r="B48" s="22" t="inlineStr">
        <is>
          <t>01/2016</t>
        </is>
      </c>
      <c r="C48" s="22" t="n">
        <v>63</v>
      </c>
      <c r="D48" s="22" t="inlineStr">
        <is>
          <t>S63</t>
        </is>
      </c>
      <c r="E48" s="22" t="inlineStr">
        <is>
          <t>Nexa Utah (S63)</t>
        </is>
      </c>
      <c r="F48" s="22" t="inlineStr">
        <is>
          <t>Mỹ</t>
        </is>
      </c>
      <c r="G48" s="22" t="inlineStr">
        <is>
          <t>POS</t>
        </is>
      </c>
      <c r="H48" s="31" t="n">
        <v>4828.43</v>
      </c>
      <c r="I48" s="31" t="n">
        <v>204.49</v>
      </c>
      <c r="J48" s="31" t="n">
        <v>4623.94</v>
      </c>
      <c r="K48" s="31" t="n">
        <v>0</v>
      </c>
      <c r="L48" s="32" t="n">
        <v>5</v>
      </c>
      <c r="M48" s="32" t="n">
        <v>28</v>
      </c>
      <c r="N48" s="31" t="n">
        <v>4623.94</v>
      </c>
      <c r="O48" s="31" t="n">
        <v>4623.94</v>
      </c>
      <c r="P48" s="22" t="n">
        <v>0</v>
      </c>
      <c r="Q48" s="22" t="n">
        <v>0</v>
      </c>
      <c r="R48" s="22" t="n">
        <v>0</v>
      </c>
    </row>
    <row r="49">
      <c r="A49" s="22" t="n">
        <v>201601</v>
      </c>
      <c r="B49" s="22" t="inlineStr">
        <is>
          <t>01/2016</t>
        </is>
      </c>
      <c r="C49" s="22" t="n">
        <v>64</v>
      </c>
      <c r="D49" s="22" t="inlineStr">
        <is>
          <t>S64</t>
        </is>
      </c>
      <c r="E49" s="22" t="inlineStr">
        <is>
          <t>Nexa Washington DC (S64)</t>
        </is>
      </c>
      <c r="F49" s="22" t="inlineStr">
        <is>
          <t>Mỹ</t>
        </is>
      </c>
      <c r="G49" s="22" t="inlineStr">
        <is>
          <t>POS</t>
        </is>
      </c>
      <c r="H49" s="31" t="n">
        <v>4226.59</v>
      </c>
      <c r="I49" s="31" t="n">
        <v>201.33</v>
      </c>
      <c r="J49" s="31" t="n">
        <v>4025.26</v>
      </c>
      <c r="K49" s="31" t="n">
        <v>0</v>
      </c>
      <c r="L49" s="32" t="n">
        <v>3</v>
      </c>
      <c r="M49" s="32" t="n">
        <v>25</v>
      </c>
      <c r="N49" s="31" t="n">
        <v>4025.26</v>
      </c>
      <c r="O49" s="31" t="n">
        <v>4025.26</v>
      </c>
      <c r="P49" s="22" t="n">
        <v>1</v>
      </c>
      <c r="Q49" s="22" t="n">
        <v>0</v>
      </c>
      <c r="R49" s="22" t="n">
        <v>0</v>
      </c>
    </row>
    <row r="50">
      <c r="A50" s="22" t="n">
        <v>201601</v>
      </c>
      <c r="B50" s="22" t="inlineStr">
        <is>
          <t>01/2016</t>
        </is>
      </c>
      <c r="C50" s="22" t="n">
        <v>65</v>
      </c>
      <c r="D50" s="22" t="inlineStr">
        <is>
          <t>S65</t>
        </is>
      </c>
      <c r="E50" s="22" t="inlineStr">
        <is>
          <t>Nexa West Virginia (S65)</t>
        </is>
      </c>
      <c r="F50" s="22" t="inlineStr">
        <is>
          <t>Mỹ</t>
        </is>
      </c>
      <c r="G50" s="22" t="inlineStr">
        <is>
          <t>POS</t>
        </is>
      </c>
      <c r="H50" s="31" t="n">
        <v>18082.88</v>
      </c>
      <c r="I50" s="31" t="n">
        <v>162.7</v>
      </c>
      <c r="J50" s="31" t="n">
        <v>17920.18</v>
      </c>
      <c r="K50" s="31" t="n">
        <v>0</v>
      </c>
      <c r="L50" s="32" t="n">
        <v>7</v>
      </c>
      <c r="M50" s="32" t="n">
        <v>51</v>
      </c>
      <c r="N50" s="31" t="n">
        <v>17920.18</v>
      </c>
      <c r="O50" s="31" t="n">
        <v>17920.18</v>
      </c>
      <c r="P50" s="22" t="n">
        <v>0</v>
      </c>
      <c r="Q50" s="22" t="n">
        <v>0</v>
      </c>
      <c r="R50" s="22" t="n">
        <v>0</v>
      </c>
    </row>
    <row r="51">
      <c r="A51" s="22" t="n">
        <v>201601</v>
      </c>
      <c r="B51" s="22" t="inlineStr">
        <is>
          <t>01/2016</t>
        </is>
      </c>
      <c r="C51" s="22" t="n">
        <v>66</v>
      </c>
      <c r="D51" s="22" t="inlineStr">
        <is>
          <t>S66</t>
        </is>
      </c>
      <c r="E51" s="22" t="inlineStr">
        <is>
          <t>Nexa Wyoming (S66)</t>
        </is>
      </c>
      <c r="F51" s="22" t="inlineStr">
        <is>
          <t>Mỹ</t>
        </is>
      </c>
      <c r="G51" s="22" t="inlineStr">
        <is>
          <t>POS</t>
        </is>
      </c>
      <c r="H51" s="31" t="n">
        <v>11700.4</v>
      </c>
      <c r="I51" s="31" t="n">
        <v>463.72</v>
      </c>
      <c r="J51" s="31" t="n">
        <v>11236.68</v>
      </c>
      <c r="K51" s="31" t="n">
        <v>15.1</v>
      </c>
      <c r="L51" s="32" t="n">
        <v>8</v>
      </c>
      <c r="M51" s="32" t="n">
        <v>56</v>
      </c>
      <c r="N51" s="31" t="n">
        <v>11236.68</v>
      </c>
      <c r="O51" s="31" t="n">
        <v>11236.68</v>
      </c>
      <c r="P51" s="22" t="n">
        <v>0</v>
      </c>
      <c r="Q51" s="22" t="n">
        <v>0</v>
      </c>
      <c r="R51" s="22" t="n">
        <v>0</v>
      </c>
    </row>
    <row r="52">
      <c r="A52" s="22" t="n">
        <v>201602</v>
      </c>
      <c r="B52" s="22" t="inlineStr">
        <is>
          <t>02/2016</t>
        </is>
      </c>
      <c r="C52" s="22" t="n">
        <v>0</v>
      </c>
      <c r="D52" s="22" t="inlineStr">
        <is>
          <t>ONL</t>
        </is>
      </c>
      <c r="E52" s="22" t="inlineStr">
        <is>
          <t>Nexa Online (website/app)</t>
        </is>
      </c>
      <c r="F52" s="22" t="inlineStr">
        <is>
          <t>Online</t>
        </is>
      </c>
      <c r="G52" s="22" t="inlineStr">
        <is>
          <t>ONLINE</t>
        </is>
      </c>
      <c r="H52" s="31" t="n">
        <v>97945.22</v>
      </c>
      <c r="I52" s="31" t="n">
        <v>3744.28</v>
      </c>
      <c r="J52" s="31" t="n">
        <v>94200.94</v>
      </c>
      <c r="K52" s="31" t="n">
        <v>1502.62</v>
      </c>
      <c r="L52" s="32" t="n">
        <v>50</v>
      </c>
      <c r="M52" s="32" t="n">
        <v>330</v>
      </c>
      <c r="N52" s="31" t="n">
        <v>77868.35000000001</v>
      </c>
      <c r="O52" s="31" t="n">
        <v>79370.97</v>
      </c>
      <c r="P52" s="22" t="n">
        <v>0</v>
      </c>
      <c r="Q52" s="22" t="n">
        <v>0</v>
      </c>
      <c r="R52" s="22" t="n">
        <v>0</v>
      </c>
    </row>
    <row r="53">
      <c r="A53" s="22" t="n">
        <v>201602</v>
      </c>
      <c r="B53" s="22" t="inlineStr">
        <is>
          <t>02/2016</t>
        </is>
      </c>
      <c r="C53" s="22" t="n">
        <v>4</v>
      </c>
      <c r="D53" s="22" t="inlineStr">
        <is>
          <t>S04</t>
        </is>
      </c>
      <c r="E53" s="22" t="inlineStr">
        <is>
          <t>Nexa Tasmania (S04)</t>
        </is>
      </c>
      <c r="F53" s="22" t="inlineStr">
        <is>
          <t>Úc</t>
        </is>
      </c>
      <c r="G53" s="22" t="inlineStr">
        <is>
          <t>POS</t>
        </is>
      </c>
      <c r="H53" s="31" t="n">
        <v>13458.64</v>
      </c>
      <c r="I53" s="31" t="n">
        <v>0</v>
      </c>
      <c r="J53" s="31" t="n">
        <v>13458.64</v>
      </c>
      <c r="K53" s="31" t="n">
        <v>0</v>
      </c>
      <c r="L53" s="32" t="n">
        <v>4</v>
      </c>
      <c r="M53" s="32" t="n">
        <v>53</v>
      </c>
      <c r="N53" s="31" t="n">
        <v>13458.64</v>
      </c>
      <c r="O53" s="31" t="n">
        <v>13458.64</v>
      </c>
      <c r="P53" s="22" t="n">
        <v>0</v>
      </c>
      <c r="Q53" s="22" t="n">
        <v>0</v>
      </c>
      <c r="R53" s="22" t="n">
        <v>0</v>
      </c>
    </row>
    <row r="54">
      <c r="A54" s="22" t="n">
        <v>201602</v>
      </c>
      <c r="B54" s="22" t="inlineStr">
        <is>
          <t>02/2016</t>
        </is>
      </c>
      <c r="C54" s="22" t="n">
        <v>5</v>
      </c>
      <c r="D54" s="22" t="inlineStr">
        <is>
          <t>S05</t>
        </is>
      </c>
      <c r="E54" s="22" t="inlineStr">
        <is>
          <t>Nexa Victoria (S05)</t>
        </is>
      </c>
      <c r="F54" s="22" t="inlineStr">
        <is>
          <t>Úc</t>
        </is>
      </c>
      <c r="G54" s="22" t="inlineStr">
        <is>
          <t>POS</t>
        </is>
      </c>
      <c r="H54" s="31" t="n">
        <v>36520.89</v>
      </c>
      <c r="I54" s="31" t="n">
        <v>0</v>
      </c>
      <c r="J54" s="31" t="n">
        <v>36520.89</v>
      </c>
      <c r="K54" s="31" t="n">
        <v>0</v>
      </c>
      <c r="L54" s="32" t="n">
        <v>6</v>
      </c>
      <c r="M54" s="32" t="n">
        <v>70</v>
      </c>
      <c r="N54" s="31" t="n">
        <v>36520.89</v>
      </c>
      <c r="O54" s="31" t="n">
        <v>36520.89</v>
      </c>
      <c r="P54" s="22" t="n">
        <v>0</v>
      </c>
      <c r="Q54" s="22" t="n">
        <v>0</v>
      </c>
      <c r="R54" s="22" t="n">
        <v>0</v>
      </c>
    </row>
    <row r="55">
      <c r="A55" s="22" t="n">
        <v>201602</v>
      </c>
      <c r="B55" s="22" t="inlineStr">
        <is>
          <t>02/2016</t>
        </is>
      </c>
      <c r="C55" s="22" t="n">
        <v>6</v>
      </c>
      <c r="D55" s="22" t="inlineStr">
        <is>
          <t>S06</t>
        </is>
      </c>
      <c r="E55" s="22" t="inlineStr">
        <is>
          <t>Nexa Western Australia (S06)</t>
        </is>
      </c>
      <c r="F55" s="22" t="inlineStr">
        <is>
          <t>Úc</t>
        </is>
      </c>
      <c r="G55" s="22" t="inlineStr">
        <is>
          <t>POS</t>
        </is>
      </c>
      <c r="H55" s="31" t="n">
        <v>7991.99</v>
      </c>
      <c r="I55" s="31" t="n">
        <v>0</v>
      </c>
      <c r="J55" s="31" t="n">
        <v>7991.99</v>
      </c>
      <c r="K55" s="31" t="n">
        <v>0</v>
      </c>
      <c r="L55" s="32" t="n">
        <v>3</v>
      </c>
      <c r="M55" s="32" t="n">
        <v>25</v>
      </c>
      <c r="N55" s="31" t="n">
        <v>7991.99</v>
      </c>
      <c r="O55" s="31" t="n">
        <v>7991.99</v>
      </c>
      <c r="P55" s="22" t="n">
        <v>0</v>
      </c>
      <c r="Q55" s="22" t="n">
        <v>0</v>
      </c>
      <c r="R55" s="22" t="n">
        <v>0</v>
      </c>
    </row>
    <row r="56">
      <c r="A56" s="22" t="n">
        <v>201602</v>
      </c>
      <c r="B56" s="22" t="inlineStr">
        <is>
          <t>02/2016</t>
        </is>
      </c>
      <c r="C56" s="22" t="n">
        <v>8</v>
      </c>
      <c r="D56" s="22" t="inlineStr">
        <is>
          <t>S08</t>
        </is>
      </c>
      <c r="E56" s="22" t="inlineStr">
        <is>
          <t>Nexa Newfoundland and Labrador (S08)</t>
        </is>
      </c>
      <c r="F56" s="22" t="inlineStr">
        <is>
          <t>Canada</t>
        </is>
      </c>
      <c r="G56" s="22" t="inlineStr">
        <is>
          <t>POS</t>
        </is>
      </c>
      <c r="H56" s="31" t="n">
        <v>26214.13</v>
      </c>
      <c r="I56" s="31" t="n">
        <v>0</v>
      </c>
      <c r="J56" s="31" t="n">
        <v>26214.13</v>
      </c>
      <c r="K56" s="31" t="n">
        <v>115</v>
      </c>
      <c r="L56" s="32" t="n">
        <v>11</v>
      </c>
      <c r="M56" s="32" t="n">
        <v>95</v>
      </c>
      <c r="N56" s="31" t="n">
        <v>26099.13</v>
      </c>
      <c r="O56" s="31" t="n">
        <v>26214.13</v>
      </c>
      <c r="P56" s="22" t="n">
        <v>0</v>
      </c>
      <c r="Q56" s="22" t="n">
        <v>0</v>
      </c>
      <c r="R56" s="22" t="n">
        <v>0</v>
      </c>
    </row>
    <row r="57">
      <c r="A57" s="22" t="n">
        <v>201602</v>
      </c>
      <c r="B57" s="22" t="inlineStr">
        <is>
          <t>02/2016</t>
        </is>
      </c>
      <c r="C57" s="22" t="n">
        <v>9</v>
      </c>
      <c r="D57" s="22" t="inlineStr">
        <is>
          <t>S09</t>
        </is>
      </c>
      <c r="E57" s="22" t="inlineStr">
        <is>
          <t>Nexa Northwest Territories (S09)</t>
        </is>
      </c>
      <c r="F57" s="22" t="inlineStr">
        <is>
          <t>Canada</t>
        </is>
      </c>
      <c r="G57" s="22" t="inlineStr">
        <is>
          <t>POS</t>
        </is>
      </c>
      <c r="H57" s="31" t="n">
        <v>24528.05</v>
      </c>
      <c r="I57" s="31" t="n">
        <v>0</v>
      </c>
      <c r="J57" s="31" t="n">
        <v>24528.05</v>
      </c>
      <c r="K57" s="31" t="n">
        <v>0</v>
      </c>
      <c r="L57" s="32" t="n">
        <v>6</v>
      </c>
      <c r="M57" s="32" t="n">
        <v>57</v>
      </c>
      <c r="N57" s="31" t="n">
        <v>24528.05</v>
      </c>
      <c r="O57" s="31" t="n">
        <v>24528.05</v>
      </c>
      <c r="P57" s="22" t="n">
        <v>1</v>
      </c>
      <c r="Q57" s="22" t="n">
        <v>0</v>
      </c>
      <c r="R57" s="22" t="n">
        <v>0</v>
      </c>
    </row>
    <row r="58">
      <c r="A58" s="22" t="n">
        <v>201602</v>
      </c>
      <c r="B58" s="22" t="inlineStr">
        <is>
          <t>02/2016</t>
        </is>
      </c>
      <c r="C58" s="22" t="n">
        <v>10</v>
      </c>
      <c r="D58" s="22" t="inlineStr">
        <is>
          <t>S10</t>
        </is>
      </c>
      <c r="E58" s="22" t="inlineStr">
        <is>
          <t>Nexa Nunavut (S10)</t>
        </is>
      </c>
      <c r="F58" s="22" t="inlineStr">
        <is>
          <t>Canada</t>
        </is>
      </c>
      <c r="G58" s="22" t="inlineStr">
        <is>
          <t>POS</t>
        </is>
      </c>
      <c r="H58" s="31" t="n">
        <v>13824.86</v>
      </c>
      <c r="I58" s="31" t="n">
        <v>0</v>
      </c>
      <c r="J58" s="31" t="n">
        <v>13824.86</v>
      </c>
      <c r="K58" s="31" t="n">
        <v>0</v>
      </c>
      <c r="L58" s="32" t="n">
        <v>11</v>
      </c>
      <c r="M58" s="32" t="n">
        <v>82</v>
      </c>
      <c r="N58" s="31" t="n">
        <v>13824.86</v>
      </c>
      <c r="O58" s="31" t="n">
        <v>13824.86</v>
      </c>
      <c r="P58" s="22" t="n">
        <v>1</v>
      </c>
      <c r="Q58" s="22" t="n">
        <v>0</v>
      </c>
      <c r="R58" s="22" t="n">
        <v>0</v>
      </c>
    </row>
    <row r="59">
      <c r="A59" s="22" t="n">
        <v>201602</v>
      </c>
      <c r="B59" s="22" t="inlineStr">
        <is>
          <t>02/2016</t>
        </is>
      </c>
      <c r="C59" s="22" t="n">
        <v>12</v>
      </c>
      <c r="D59" s="22" t="inlineStr">
        <is>
          <t>S12</t>
        </is>
      </c>
      <c r="E59" s="22" t="inlineStr">
        <is>
          <t>Nexa Basse-Normandie (S12)</t>
        </is>
      </c>
      <c r="F59" s="22" t="inlineStr">
        <is>
          <t>Pháp</t>
        </is>
      </c>
      <c r="G59" s="22" t="inlineStr">
        <is>
          <t>POS</t>
        </is>
      </c>
      <c r="H59" s="31" t="n">
        <v>939.64</v>
      </c>
      <c r="I59" s="31" t="n">
        <v>0</v>
      </c>
      <c r="J59" s="31" t="n">
        <v>939.64</v>
      </c>
      <c r="K59" s="31" t="n">
        <v>0</v>
      </c>
      <c r="L59" s="32" t="n">
        <v>2</v>
      </c>
      <c r="M59" s="32" t="n">
        <v>15</v>
      </c>
      <c r="N59" s="31" t="n">
        <v>939.64</v>
      </c>
      <c r="O59" s="31" t="n">
        <v>939.64</v>
      </c>
      <c r="P59" s="22" t="n">
        <v>0</v>
      </c>
      <c r="Q59" s="22" t="n">
        <v>0</v>
      </c>
      <c r="R59" s="22" t="n">
        <v>0</v>
      </c>
    </row>
    <row r="60">
      <c r="A60" s="22" t="n">
        <v>201602</v>
      </c>
      <c r="B60" s="22" t="inlineStr">
        <is>
          <t>02/2016</t>
        </is>
      </c>
      <c r="C60" s="22" t="n">
        <v>13</v>
      </c>
      <c r="D60" s="22" t="inlineStr">
        <is>
          <t>S13</t>
        </is>
      </c>
      <c r="E60" s="22" t="inlineStr">
        <is>
          <t>Nexa Corse (S13)</t>
        </is>
      </c>
      <c r="F60" s="22" t="inlineStr">
        <is>
          <t>Pháp</t>
        </is>
      </c>
      <c r="G60" s="22" t="inlineStr">
        <is>
          <t>POS</t>
        </is>
      </c>
      <c r="H60" s="31" t="n">
        <v>983.96</v>
      </c>
      <c r="I60" s="31" t="n">
        <v>0</v>
      </c>
      <c r="J60" s="31" t="n">
        <v>983.96</v>
      </c>
      <c r="K60" s="31" t="n">
        <v>0</v>
      </c>
      <c r="L60" s="32" t="n">
        <v>1</v>
      </c>
      <c r="M60" s="32" t="n">
        <v>8</v>
      </c>
      <c r="N60" s="31" t="n">
        <v>983.96</v>
      </c>
      <c r="O60" s="31" t="n">
        <v>983.96</v>
      </c>
      <c r="P60" s="22" t="n">
        <v>0</v>
      </c>
      <c r="Q60" s="22" t="n">
        <v>0</v>
      </c>
      <c r="R60" s="22" t="n">
        <v>0</v>
      </c>
    </row>
    <row r="61">
      <c r="A61" s="22" t="n">
        <v>201602</v>
      </c>
      <c r="B61" s="22" t="inlineStr">
        <is>
          <t>02/2016</t>
        </is>
      </c>
      <c r="C61" s="22" t="n">
        <v>14</v>
      </c>
      <c r="D61" s="22" t="inlineStr">
        <is>
          <t>S14</t>
        </is>
      </c>
      <c r="E61" s="22" t="inlineStr">
        <is>
          <t>Nexa Franche-Comté (S14)</t>
        </is>
      </c>
      <c r="F61" s="22" t="inlineStr">
        <is>
          <t>Pháp</t>
        </is>
      </c>
      <c r="G61" s="22" t="inlineStr">
        <is>
          <t>POS</t>
        </is>
      </c>
      <c r="H61" s="31" t="n">
        <v>3946.5</v>
      </c>
      <c r="I61" s="31" t="n">
        <v>0</v>
      </c>
      <c r="J61" s="31" t="n">
        <v>3946.5</v>
      </c>
      <c r="K61" s="31" t="n">
        <v>0</v>
      </c>
      <c r="L61" s="32" t="n">
        <v>2</v>
      </c>
      <c r="M61" s="32" t="n">
        <v>11</v>
      </c>
      <c r="N61" s="31" t="n">
        <v>3946.5</v>
      </c>
      <c r="O61" s="31" t="n">
        <v>3946.5</v>
      </c>
      <c r="P61" s="22" t="n">
        <v>0</v>
      </c>
      <c r="Q61" s="22" t="n">
        <v>0</v>
      </c>
      <c r="R61" s="22" t="n">
        <v>0</v>
      </c>
    </row>
    <row r="62">
      <c r="A62" s="22" t="n">
        <v>201602</v>
      </c>
      <c r="B62" s="22" t="inlineStr">
        <is>
          <t>02/2016</t>
        </is>
      </c>
      <c r="C62" s="22" t="n">
        <v>15</v>
      </c>
      <c r="D62" s="22" t="inlineStr">
        <is>
          <t>S15</t>
        </is>
      </c>
      <c r="E62" s="22" t="inlineStr">
        <is>
          <t>Nexa La Réunion (S15)</t>
        </is>
      </c>
      <c r="F62" s="22" t="inlineStr">
        <is>
          <t>Pháp</t>
        </is>
      </c>
      <c r="G62" s="22" t="inlineStr">
        <is>
          <t>POS</t>
        </is>
      </c>
      <c r="H62" s="31" t="n">
        <v>968.45</v>
      </c>
      <c r="I62" s="31" t="n">
        <v>0</v>
      </c>
      <c r="J62" s="31" t="n">
        <v>968.45</v>
      </c>
      <c r="K62" s="31" t="n">
        <v>0</v>
      </c>
      <c r="L62" s="32" t="n">
        <v>2</v>
      </c>
      <c r="M62" s="32" t="n">
        <v>9</v>
      </c>
      <c r="N62" s="31" t="n">
        <v>968.45</v>
      </c>
      <c r="O62" s="31" t="n">
        <v>968.45</v>
      </c>
      <c r="P62" s="22" t="n">
        <v>0</v>
      </c>
      <c r="Q62" s="22" t="n">
        <v>0</v>
      </c>
      <c r="R62" s="22" t="n">
        <v>0</v>
      </c>
    </row>
    <row r="63">
      <c r="A63" s="22" t="n">
        <v>201602</v>
      </c>
      <c r="B63" s="22" t="inlineStr">
        <is>
          <t>02/2016</t>
        </is>
      </c>
      <c r="C63" s="22" t="n">
        <v>16</v>
      </c>
      <c r="D63" s="22" t="inlineStr">
        <is>
          <t>S16</t>
        </is>
      </c>
      <c r="E63" s="22" t="inlineStr">
        <is>
          <t>Nexa Limousin (S16)</t>
        </is>
      </c>
      <c r="F63" s="22" t="inlineStr">
        <is>
          <t>Pháp</t>
        </is>
      </c>
      <c r="G63" s="22" t="inlineStr">
        <is>
          <t>POS</t>
        </is>
      </c>
      <c r="H63" s="31" t="n">
        <v>9900.9</v>
      </c>
      <c r="I63" s="31" t="n">
        <v>0</v>
      </c>
      <c r="J63" s="31" t="n">
        <v>9900.9</v>
      </c>
      <c r="K63" s="31" t="n">
        <v>0</v>
      </c>
      <c r="L63" s="32" t="n">
        <v>2</v>
      </c>
      <c r="M63" s="32" t="n">
        <v>17</v>
      </c>
      <c r="N63" s="31" t="n">
        <v>9900.9</v>
      </c>
      <c r="O63" s="31" t="n">
        <v>9900.9</v>
      </c>
      <c r="P63" s="22" t="n">
        <v>0</v>
      </c>
      <c r="Q63" s="22" t="n">
        <v>0</v>
      </c>
      <c r="R63" s="22" t="n">
        <v>0</v>
      </c>
    </row>
    <row r="64">
      <c r="A64" s="22" t="n">
        <v>201602</v>
      </c>
      <c r="B64" s="22" t="inlineStr">
        <is>
          <t>02/2016</t>
        </is>
      </c>
      <c r="C64" s="22" t="n">
        <v>17</v>
      </c>
      <c r="D64" s="22" t="inlineStr">
        <is>
          <t>S17</t>
        </is>
      </c>
      <c r="E64" s="22" t="inlineStr">
        <is>
          <t>Nexa Martinique (S17)</t>
        </is>
      </c>
      <c r="F64" s="22" t="inlineStr">
        <is>
          <t>Pháp</t>
        </is>
      </c>
      <c r="G64" s="22" t="inlineStr">
        <is>
          <t>POS</t>
        </is>
      </c>
      <c r="H64" s="31" t="n">
        <v>5197.45</v>
      </c>
      <c r="I64" s="31" t="n">
        <v>0</v>
      </c>
      <c r="J64" s="31" t="n">
        <v>5197.45</v>
      </c>
      <c r="K64" s="31" t="n">
        <v>0</v>
      </c>
      <c r="L64" s="32" t="n">
        <v>3</v>
      </c>
      <c r="M64" s="32" t="n">
        <v>28</v>
      </c>
      <c r="N64" s="31" t="n">
        <v>5197.45</v>
      </c>
      <c r="O64" s="31" t="n">
        <v>5197.45</v>
      </c>
      <c r="P64" s="22" t="n">
        <v>0</v>
      </c>
      <c r="Q64" s="22" t="n">
        <v>0</v>
      </c>
      <c r="R64" s="22" t="n">
        <v>0</v>
      </c>
    </row>
    <row r="65">
      <c r="A65" s="22" t="n">
        <v>201602</v>
      </c>
      <c r="B65" s="22" t="inlineStr">
        <is>
          <t>02/2016</t>
        </is>
      </c>
      <c r="C65" s="22" t="n">
        <v>18</v>
      </c>
      <c r="D65" s="22" t="inlineStr">
        <is>
          <t>S18</t>
        </is>
      </c>
      <c r="E65" s="22" t="inlineStr">
        <is>
          <t>Nexa Mayotte (S18)</t>
        </is>
      </c>
      <c r="F65" s="22" t="inlineStr">
        <is>
          <t>Pháp</t>
        </is>
      </c>
      <c r="G65" s="22" t="inlineStr">
        <is>
          <t>POS</t>
        </is>
      </c>
      <c r="H65" s="31" t="n">
        <v>2507.96</v>
      </c>
      <c r="I65" s="31" t="n">
        <v>0</v>
      </c>
      <c r="J65" s="31" t="n">
        <v>2507.96</v>
      </c>
      <c r="K65" s="31" t="n">
        <v>0</v>
      </c>
      <c r="L65" s="32" t="n">
        <v>1</v>
      </c>
      <c r="M65" s="32" t="n">
        <v>5</v>
      </c>
      <c r="N65" s="31" t="n">
        <v>2507.96</v>
      </c>
      <c r="O65" s="31" t="n">
        <v>2507.96</v>
      </c>
      <c r="P65" s="22" t="n">
        <v>0</v>
      </c>
      <c r="Q65" s="22" t="n">
        <v>0</v>
      </c>
      <c r="R65" s="22" t="n">
        <v>0</v>
      </c>
    </row>
    <row r="66">
      <c r="A66" s="22" t="n">
        <v>201602</v>
      </c>
      <c r="B66" s="22" t="inlineStr">
        <is>
          <t>02/2016</t>
        </is>
      </c>
      <c r="C66" s="22" t="n">
        <v>19</v>
      </c>
      <c r="D66" s="22" t="inlineStr">
        <is>
          <t>S19</t>
        </is>
      </c>
      <c r="E66" s="22" t="inlineStr">
        <is>
          <t>Nexa Berlin (S19)</t>
        </is>
      </c>
      <c r="F66" s="22" t="inlineStr">
        <is>
          <t>Đức</t>
        </is>
      </c>
      <c r="G66" s="22" t="inlineStr">
        <is>
          <t>POS</t>
        </is>
      </c>
      <c r="H66" s="31" t="n">
        <v>10882.56</v>
      </c>
      <c r="I66" s="31" t="n">
        <v>0</v>
      </c>
      <c r="J66" s="31" t="n">
        <v>10882.56</v>
      </c>
      <c r="K66" s="31" t="n">
        <v>4860</v>
      </c>
      <c r="L66" s="32" t="n">
        <v>4</v>
      </c>
      <c r="M66" s="32" t="n">
        <v>24</v>
      </c>
      <c r="N66" s="31" t="n">
        <v>6022.56</v>
      </c>
      <c r="O66" s="31" t="n">
        <v>10882.56</v>
      </c>
      <c r="P66" s="22" t="n">
        <v>0</v>
      </c>
      <c r="Q66" s="22" t="n">
        <v>0</v>
      </c>
      <c r="R66" s="22" t="n">
        <v>0</v>
      </c>
    </row>
    <row r="67">
      <c r="A67" s="22" t="n">
        <v>201602</v>
      </c>
      <c r="B67" s="22" t="inlineStr">
        <is>
          <t>02/2016</t>
        </is>
      </c>
      <c r="C67" s="22" t="n">
        <v>20</v>
      </c>
      <c r="D67" s="22" t="inlineStr">
        <is>
          <t>S20</t>
        </is>
      </c>
      <c r="E67" s="22" t="inlineStr">
        <is>
          <t>Nexa Brandenburg (S20)</t>
        </is>
      </c>
      <c r="F67" s="22" t="inlineStr">
        <is>
          <t>Đức</t>
        </is>
      </c>
      <c r="G67" s="22" t="inlineStr">
        <is>
          <t>POS</t>
        </is>
      </c>
      <c r="H67" s="31" t="n">
        <v>3122.48</v>
      </c>
      <c r="I67" s="31" t="n">
        <v>0</v>
      </c>
      <c r="J67" s="31" t="n">
        <v>3122.48</v>
      </c>
      <c r="K67" s="31" t="n">
        <v>0</v>
      </c>
      <c r="L67" s="32" t="n">
        <v>2</v>
      </c>
      <c r="M67" s="32" t="n">
        <v>19</v>
      </c>
      <c r="N67" s="31" t="n">
        <v>3122.48</v>
      </c>
      <c r="O67" s="31" t="n">
        <v>3122.48</v>
      </c>
      <c r="P67" s="22" t="n">
        <v>0</v>
      </c>
      <c r="Q67" s="22" t="n">
        <v>0</v>
      </c>
      <c r="R67" s="22" t="n">
        <v>0</v>
      </c>
    </row>
    <row r="68">
      <c r="A68" s="22" t="n">
        <v>201602</v>
      </c>
      <c r="B68" s="22" t="inlineStr">
        <is>
          <t>02/2016</t>
        </is>
      </c>
      <c r="C68" s="22" t="n">
        <v>22</v>
      </c>
      <c r="D68" s="22" t="inlineStr">
        <is>
          <t>S22</t>
        </is>
      </c>
      <c r="E68" s="22" t="inlineStr">
        <is>
          <t>Nexa Freistaat Thüringen (S22)</t>
        </is>
      </c>
      <c r="F68" s="22" t="inlineStr">
        <is>
          <t>Đức</t>
        </is>
      </c>
      <c r="G68" s="22" t="inlineStr">
        <is>
          <t>POS</t>
        </is>
      </c>
      <c r="H68" s="31" t="n">
        <v>14784.69</v>
      </c>
      <c r="I68" s="31" t="n">
        <v>0</v>
      </c>
      <c r="J68" s="31" t="n">
        <v>14784.69</v>
      </c>
      <c r="K68" s="31" t="n">
        <v>0</v>
      </c>
      <c r="L68" s="32" t="n">
        <v>4</v>
      </c>
      <c r="M68" s="32" t="n">
        <v>20</v>
      </c>
      <c r="N68" s="31" t="n">
        <v>14784.69</v>
      </c>
      <c r="O68" s="31" t="n">
        <v>14784.69</v>
      </c>
      <c r="P68" s="22" t="n">
        <v>0</v>
      </c>
      <c r="Q68" s="22" t="n">
        <v>0</v>
      </c>
      <c r="R68" s="22" t="n">
        <v>0</v>
      </c>
    </row>
    <row r="69">
      <c r="A69" s="22" t="n">
        <v>201602</v>
      </c>
      <c r="B69" s="22" t="inlineStr">
        <is>
          <t>02/2016</t>
        </is>
      </c>
      <c r="C69" s="22" t="n">
        <v>23</v>
      </c>
      <c r="D69" s="22" t="inlineStr">
        <is>
          <t>S23</t>
        </is>
      </c>
      <c r="E69" s="22" t="inlineStr">
        <is>
          <t>Nexa Hamburg (S23)</t>
        </is>
      </c>
      <c r="F69" s="22" t="inlineStr">
        <is>
          <t>Đức</t>
        </is>
      </c>
      <c r="G69" s="22" t="inlineStr">
        <is>
          <t>POS</t>
        </is>
      </c>
      <c r="H69" s="31" t="n">
        <v>8102.01</v>
      </c>
      <c r="I69" s="31" t="n">
        <v>0</v>
      </c>
      <c r="J69" s="31" t="n">
        <v>8102.01</v>
      </c>
      <c r="K69" s="31" t="n">
        <v>358</v>
      </c>
      <c r="L69" s="32" t="n">
        <v>4</v>
      </c>
      <c r="M69" s="32" t="n">
        <v>31</v>
      </c>
      <c r="N69" s="31" t="n">
        <v>7744.01</v>
      </c>
      <c r="O69" s="31" t="n">
        <v>8102.01</v>
      </c>
      <c r="P69" s="22" t="n">
        <v>0</v>
      </c>
      <c r="Q69" s="22" t="n">
        <v>0</v>
      </c>
      <c r="R69" s="22" t="n">
        <v>0</v>
      </c>
    </row>
    <row r="70">
      <c r="A70" s="22" t="n">
        <v>201602</v>
      </c>
      <c r="B70" s="22" t="inlineStr">
        <is>
          <t>02/2016</t>
        </is>
      </c>
      <c r="C70" s="22" t="n">
        <v>24</v>
      </c>
      <c r="D70" s="22" t="inlineStr">
        <is>
          <t>S24</t>
        </is>
      </c>
      <c r="E70" s="22" t="inlineStr">
        <is>
          <t>Nexa Hessen (S24)</t>
        </is>
      </c>
      <c r="F70" s="22" t="inlineStr">
        <is>
          <t>Đức</t>
        </is>
      </c>
      <c r="G70" s="22" t="inlineStr">
        <is>
          <t>POS</t>
        </is>
      </c>
      <c r="H70" s="31" t="n">
        <v>42272.02</v>
      </c>
      <c r="I70" s="31" t="n">
        <v>0</v>
      </c>
      <c r="J70" s="31" t="n">
        <v>42272.02</v>
      </c>
      <c r="K70" s="31" t="n">
        <v>0</v>
      </c>
      <c r="L70" s="32" t="n">
        <v>3</v>
      </c>
      <c r="M70" s="32" t="n">
        <v>23</v>
      </c>
      <c r="N70" s="31" t="n">
        <v>42272.02</v>
      </c>
      <c r="O70" s="31" t="n">
        <v>42272.02</v>
      </c>
      <c r="P70" s="22" t="n">
        <v>0</v>
      </c>
      <c r="Q70" s="22" t="n">
        <v>0</v>
      </c>
      <c r="R70" s="22" t="n">
        <v>0</v>
      </c>
    </row>
    <row r="71">
      <c r="A71" s="22" t="n">
        <v>201602</v>
      </c>
      <c r="B71" s="22" t="inlineStr">
        <is>
          <t>02/2016</t>
        </is>
      </c>
      <c r="C71" s="22" t="n">
        <v>27</v>
      </c>
      <c r="D71" s="22" t="inlineStr">
        <is>
          <t>S27</t>
        </is>
      </c>
      <c r="E71" s="22" t="inlineStr">
        <is>
          <t>Nexa Sachsen-Anhalt (S27)</t>
        </is>
      </c>
      <c r="F71" s="22" t="inlineStr">
        <is>
          <t>Đức</t>
        </is>
      </c>
      <c r="G71" s="22" t="inlineStr">
        <is>
          <t>POS</t>
        </is>
      </c>
      <c r="H71" s="31" t="n">
        <v>37382.25</v>
      </c>
      <c r="I71" s="31" t="n">
        <v>0</v>
      </c>
      <c r="J71" s="31" t="n">
        <v>37382.25</v>
      </c>
      <c r="K71" s="31" t="n">
        <v>0</v>
      </c>
      <c r="L71" s="32" t="n">
        <v>5</v>
      </c>
      <c r="M71" s="32" t="n">
        <v>51</v>
      </c>
      <c r="N71" s="31" t="n">
        <v>37382.25</v>
      </c>
      <c r="O71" s="31" t="n">
        <v>37382.25</v>
      </c>
      <c r="P71" s="22" t="n">
        <v>0</v>
      </c>
      <c r="Q71" s="22" t="n">
        <v>0</v>
      </c>
      <c r="R71" s="22" t="n">
        <v>0</v>
      </c>
    </row>
    <row r="72">
      <c r="A72" s="22" t="n">
        <v>201602</v>
      </c>
      <c r="B72" s="22" t="inlineStr">
        <is>
          <t>02/2016</t>
        </is>
      </c>
      <c r="C72" s="22" t="n">
        <v>28</v>
      </c>
      <c r="D72" s="22" t="inlineStr">
        <is>
          <t>S28</t>
        </is>
      </c>
      <c r="E72" s="22" t="inlineStr">
        <is>
          <t>Nexa Caltanissetta (S28)</t>
        </is>
      </c>
      <c r="F72" s="22" t="inlineStr">
        <is>
          <t>Ý</t>
        </is>
      </c>
      <c r="G72" s="22" t="inlineStr">
        <is>
          <t>POS</t>
        </is>
      </c>
      <c r="H72" s="31" t="n">
        <v>19966.69</v>
      </c>
      <c r="I72" s="31" t="n">
        <v>0</v>
      </c>
      <c r="J72" s="31" t="n">
        <v>19966.69</v>
      </c>
      <c r="K72" s="31" t="n">
        <v>0</v>
      </c>
      <c r="L72" s="32" t="n">
        <v>7</v>
      </c>
      <c r="M72" s="32" t="n">
        <v>54</v>
      </c>
      <c r="N72" s="31" t="n">
        <v>19966.69</v>
      </c>
      <c r="O72" s="31" t="n">
        <v>19966.69</v>
      </c>
      <c r="P72" s="22" t="n">
        <v>0</v>
      </c>
      <c r="Q72" s="22" t="n">
        <v>0</v>
      </c>
      <c r="R72" s="22" t="n">
        <v>0</v>
      </c>
    </row>
    <row r="73">
      <c r="A73" s="22" t="n">
        <v>201602</v>
      </c>
      <c r="B73" s="22" t="inlineStr">
        <is>
          <t>02/2016</t>
        </is>
      </c>
      <c r="C73" s="22" t="n">
        <v>29</v>
      </c>
      <c r="D73" s="22" t="inlineStr">
        <is>
          <t>S29</t>
        </is>
      </c>
      <c r="E73" s="22" t="inlineStr">
        <is>
          <t>Nexa Enna (S29)</t>
        </is>
      </c>
      <c r="F73" s="22" t="inlineStr">
        <is>
          <t>Ý</t>
        </is>
      </c>
      <c r="G73" s="22" t="inlineStr">
        <is>
          <t>POS</t>
        </is>
      </c>
      <c r="H73" s="31" t="n">
        <v>6011.41</v>
      </c>
      <c r="I73" s="31" t="n">
        <v>0</v>
      </c>
      <c r="J73" s="31" t="n">
        <v>6011.41</v>
      </c>
      <c r="K73" s="31" t="n">
        <v>0</v>
      </c>
      <c r="L73" s="32" t="n">
        <v>3</v>
      </c>
      <c r="M73" s="32" t="n">
        <v>24</v>
      </c>
      <c r="N73" s="31" t="n">
        <v>6011.41</v>
      </c>
      <c r="O73" s="31" t="n">
        <v>6011.41</v>
      </c>
      <c r="P73" s="22" t="n">
        <v>0</v>
      </c>
      <c r="Q73" s="22" t="n">
        <v>0</v>
      </c>
      <c r="R73" s="22" t="n">
        <v>0</v>
      </c>
    </row>
    <row r="74">
      <c r="A74" s="22" t="n">
        <v>201602</v>
      </c>
      <c r="B74" s="22" t="inlineStr">
        <is>
          <t>02/2016</t>
        </is>
      </c>
      <c r="C74" s="22" t="n">
        <v>30</v>
      </c>
      <c r="D74" s="22" t="inlineStr">
        <is>
          <t>S30</t>
        </is>
      </c>
      <c r="E74" s="22" t="inlineStr">
        <is>
          <t>Nexa Pesaro (S30)</t>
        </is>
      </c>
      <c r="F74" s="22" t="inlineStr">
        <is>
          <t>Ý</t>
        </is>
      </c>
      <c r="G74" s="22" t="inlineStr">
        <is>
          <t>POS</t>
        </is>
      </c>
      <c r="H74" s="31" t="n">
        <v>24242.46</v>
      </c>
      <c r="I74" s="31" t="n">
        <v>0</v>
      </c>
      <c r="J74" s="31" t="n">
        <v>24242.46</v>
      </c>
      <c r="K74" s="31" t="n">
        <v>0</v>
      </c>
      <c r="L74" s="32" t="n">
        <v>6</v>
      </c>
      <c r="M74" s="32" t="n">
        <v>68</v>
      </c>
      <c r="N74" s="31" t="n">
        <v>24242.46</v>
      </c>
      <c r="O74" s="31" t="n">
        <v>24242.46</v>
      </c>
      <c r="P74" s="22" t="n">
        <v>0</v>
      </c>
      <c r="Q74" s="22" t="n">
        <v>0</v>
      </c>
      <c r="R74" s="22" t="n">
        <v>0</v>
      </c>
    </row>
    <row r="75">
      <c r="A75" s="22" t="n">
        <v>201602</v>
      </c>
      <c r="B75" s="22" t="inlineStr">
        <is>
          <t>02/2016</t>
        </is>
      </c>
      <c r="C75" s="22" t="n">
        <v>31</v>
      </c>
      <c r="D75" s="22" t="inlineStr">
        <is>
          <t>S31</t>
        </is>
      </c>
      <c r="E75" s="22" t="inlineStr">
        <is>
          <t>Nexa Drenthe (S31)</t>
        </is>
      </c>
      <c r="F75" s="22" t="inlineStr">
        <is>
          <t>Hà Lan</t>
        </is>
      </c>
      <c r="G75" s="22" t="inlineStr">
        <is>
          <t>POS</t>
        </is>
      </c>
      <c r="H75" s="31" t="n">
        <v>8441.77</v>
      </c>
      <c r="I75" s="31" t="n">
        <v>0</v>
      </c>
      <c r="J75" s="31" t="n">
        <v>8441.77</v>
      </c>
      <c r="K75" s="31" t="n">
        <v>0</v>
      </c>
      <c r="L75" s="32" t="n">
        <v>2</v>
      </c>
      <c r="M75" s="32" t="n">
        <v>31</v>
      </c>
      <c r="N75" s="31" t="n">
        <v>8441.77</v>
      </c>
      <c r="O75" s="31" t="n">
        <v>8441.77</v>
      </c>
      <c r="P75" s="22" t="n">
        <v>0</v>
      </c>
      <c r="Q75" s="22" t="n">
        <v>0</v>
      </c>
      <c r="R75" s="22" t="n">
        <v>0</v>
      </c>
    </row>
    <row r="76">
      <c r="A76" s="22" t="n">
        <v>201602</v>
      </c>
      <c r="B76" s="22" t="inlineStr">
        <is>
          <t>02/2016</t>
        </is>
      </c>
      <c r="C76" s="22" t="n">
        <v>32</v>
      </c>
      <c r="D76" s="22" t="inlineStr">
        <is>
          <t>S32</t>
        </is>
      </c>
      <c r="E76" s="22" t="inlineStr">
        <is>
          <t>Nexa Flevoland (S32)</t>
        </is>
      </c>
      <c r="F76" s="22" t="inlineStr">
        <is>
          <t>Hà Lan</t>
        </is>
      </c>
      <c r="G76" s="22" t="inlineStr">
        <is>
          <t>POS</t>
        </is>
      </c>
      <c r="H76" s="31" t="n">
        <v>4069.9</v>
      </c>
      <c r="I76" s="31" t="n">
        <v>0</v>
      </c>
      <c r="J76" s="31" t="n">
        <v>4069.9</v>
      </c>
      <c r="K76" s="31" t="n">
        <v>0</v>
      </c>
      <c r="L76" s="32" t="n">
        <v>3</v>
      </c>
      <c r="M76" s="32" t="n">
        <v>22</v>
      </c>
      <c r="N76" s="31" t="n">
        <v>4069.9</v>
      </c>
      <c r="O76" s="31" t="n">
        <v>4069.9</v>
      </c>
      <c r="P76" s="22" t="n">
        <v>0</v>
      </c>
      <c r="Q76" s="22" t="n">
        <v>0</v>
      </c>
      <c r="R76" s="22" t="n">
        <v>0</v>
      </c>
    </row>
    <row r="77">
      <c r="A77" s="22" t="n">
        <v>201602</v>
      </c>
      <c r="B77" s="22" t="inlineStr">
        <is>
          <t>02/2016</t>
        </is>
      </c>
      <c r="C77" s="22" t="n">
        <v>33</v>
      </c>
      <c r="D77" s="22" t="inlineStr">
        <is>
          <t>S33</t>
        </is>
      </c>
      <c r="E77" s="22" t="inlineStr">
        <is>
          <t>Nexa Friesland (S33)</t>
        </is>
      </c>
      <c r="F77" s="22" t="inlineStr">
        <is>
          <t>Hà Lan</t>
        </is>
      </c>
      <c r="G77" s="22" t="inlineStr">
        <is>
          <t>POS</t>
        </is>
      </c>
      <c r="H77" s="31" t="n">
        <v>9288.860000000001</v>
      </c>
      <c r="I77" s="31" t="n">
        <v>0</v>
      </c>
      <c r="J77" s="31" t="n">
        <v>9288.860000000001</v>
      </c>
      <c r="K77" s="31" t="n">
        <v>0</v>
      </c>
      <c r="L77" s="32" t="n">
        <v>3</v>
      </c>
      <c r="M77" s="32" t="n">
        <v>25</v>
      </c>
      <c r="N77" s="31" t="n">
        <v>9288.860000000001</v>
      </c>
      <c r="O77" s="31" t="n">
        <v>9288.860000000001</v>
      </c>
      <c r="P77" s="22" t="n">
        <v>0</v>
      </c>
      <c r="Q77" s="22" t="n">
        <v>0</v>
      </c>
      <c r="R77" s="22" t="n">
        <v>0</v>
      </c>
    </row>
    <row r="78">
      <c r="A78" s="22" t="n">
        <v>201602</v>
      </c>
      <c r="B78" s="22" t="inlineStr">
        <is>
          <t>02/2016</t>
        </is>
      </c>
      <c r="C78" s="22" t="n">
        <v>34</v>
      </c>
      <c r="D78" s="22" t="inlineStr">
        <is>
          <t>S34</t>
        </is>
      </c>
      <c r="E78" s="22" t="inlineStr">
        <is>
          <t>Nexa Groningen (S34)</t>
        </is>
      </c>
      <c r="F78" s="22" t="inlineStr">
        <is>
          <t>Hà Lan</t>
        </is>
      </c>
      <c r="G78" s="22" t="inlineStr">
        <is>
          <t>POS</t>
        </is>
      </c>
      <c r="H78" s="31" t="n">
        <v>2951.09</v>
      </c>
      <c r="I78" s="31" t="n">
        <v>0</v>
      </c>
      <c r="J78" s="31" t="n">
        <v>2951.09</v>
      </c>
      <c r="K78" s="31" t="n">
        <v>237</v>
      </c>
      <c r="L78" s="32" t="n">
        <v>1</v>
      </c>
      <c r="M78" s="32" t="n">
        <v>15</v>
      </c>
      <c r="N78" s="31" t="n">
        <v>2714.09</v>
      </c>
      <c r="O78" s="31" t="n">
        <v>2951.09</v>
      </c>
      <c r="P78" s="22" t="n">
        <v>0</v>
      </c>
      <c r="Q78" s="22" t="n">
        <v>0</v>
      </c>
      <c r="R78" s="22" t="n">
        <v>0</v>
      </c>
    </row>
    <row r="79">
      <c r="A79" s="22" t="n">
        <v>201602</v>
      </c>
      <c r="B79" s="22" t="inlineStr">
        <is>
          <t>02/2016</t>
        </is>
      </c>
      <c r="C79" s="22" t="n">
        <v>36</v>
      </c>
      <c r="D79" s="22" t="inlineStr">
        <is>
          <t>S36</t>
        </is>
      </c>
      <c r="E79" s="22" t="inlineStr">
        <is>
          <t>Nexa Armagh (S36)</t>
        </is>
      </c>
      <c r="F79" s="22" t="inlineStr">
        <is>
          <t>Anh</t>
        </is>
      </c>
      <c r="G79" s="22" t="inlineStr">
        <is>
          <t>POS</t>
        </is>
      </c>
      <c r="H79" s="31" t="n">
        <v>5204.58</v>
      </c>
      <c r="I79" s="31" t="n">
        <v>0</v>
      </c>
      <c r="J79" s="31" t="n">
        <v>5204.58</v>
      </c>
      <c r="K79" s="31" t="n">
        <v>1488.9</v>
      </c>
      <c r="L79" s="32" t="n">
        <v>4</v>
      </c>
      <c r="M79" s="32" t="n">
        <v>45</v>
      </c>
      <c r="N79" s="31" t="n">
        <v>3715.68</v>
      </c>
      <c r="O79" s="31" t="n">
        <v>5204.58</v>
      </c>
      <c r="P79" s="22" t="n">
        <v>0</v>
      </c>
      <c r="Q79" s="22" t="n">
        <v>0</v>
      </c>
      <c r="R79" s="22" t="n">
        <v>0</v>
      </c>
    </row>
    <row r="80">
      <c r="A80" s="22" t="n">
        <v>201602</v>
      </c>
      <c r="B80" s="22" t="inlineStr">
        <is>
          <t>02/2016</t>
        </is>
      </c>
      <c r="C80" s="22" t="n">
        <v>37</v>
      </c>
      <c r="D80" s="22" t="inlineStr">
        <is>
          <t>S37</t>
        </is>
      </c>
      <c r="E80" s="22" t="inlineStr">
        <is>
          <t>Nexa Ayrshire (S37)</t>
        </is>
      </c>
      <c r="F80" s="22" t="inlineStr">
        <is>
          <t>Anh</t>
        </is>
      </c>
      <c r="G80" s="22" t="inlineStr">
        <is>
          <t>POS</t>
        </is>
      </c>
      <c r="H80" s="31" t="n">
        <v>31936.46</v>
      </c>
      <c r="I80" s="31" t="n">
        <v>0</v>
      </c>
      <c r="J80" s="31" t="n">
        <v>31936.46</v>
      </c>
      <c r="K80" s="31" t="n">
        <v>1047.63</v>
      </c>
      <c r="L80" s="32" t="n">
        <v>13</v>
      </c>
      <c r="M80" s="32" t="n">
        <v>94</v>
      </c>
      <c r="N80" s="31" t="n">
        <v>30888.83</v>
      </c>
      <c r="O80" s="31" t="n">
        <v>31936.46</v>
      </c>
      <c r="P80" s="22" t="n">
        <v>0</v>
      </c>
      <c r="Q80" s="22" t="n">
        <v>0</v>
      </c>
      <c r="R80" s="22" t="n">
        <v>0</v>
      </c>
    </row>
    <row r="81">
      <c r="A81" s="22" t="n">
        <v>201602</v>
      </c>
      <c r="B81" s="22" t="inlineStr">
        <is>
          <t>02/2016</t>
        </is>
      </c>
      <c r="C81" s="22" t="n">
        <v>38</v>
      </c>
      <c r="D81" s="22" t="inlineStr">
        <is>
          <t>S38</t>
        </is>
      </c>
      <c r="E81" s="22" t="inlineStr">
        <is>
          <t>Nexa Belfast (S38)</t>
        </is>
      </c>
      <c r="F81" s="22" t="inlineStr">
        <is>
          <t>Anh</t>
        </is>
      </c>
      <c r="G81" s="22" t="inlineStr">
        <is>
          <t>POS</t>
        </is>
      </c>
      <c r="H81" s="31" t="n">
        <v>11303.02</v>
      </c>
      <c r="I81" s="31" t="n">
        <v>0</v>
      </c>
      <c r="J81" s="31" t="n">
        <v>11303.02</v>
      </c>
      <c r="K81" s="31" t="n">
        <v>0</v>
      </c>
      <c r="L81" s="32" t="n">
        <v>7</v>
      </c>
      <c r="M81" s="32" t="n">
        <v>48</v>
      </c>
      <c r="N81" s="31" t="n">
        <v>11303.02</v>
      </c>
      <c r="O81" s="31" t="n">
        <v>11303.02</v>
      </c>
      <c r="P81" s="22" t="n">
        <v>0</v>
      </c>
      <c r="Q81" s="22" t="n">
        <v>0</v>
      </c>
      <c r="R81" s="22" t="n">
        <v>0</v>
      </c>
    </row>
    <row r="82">
      <c r="A82" s="22" t="n">
        <v>201602</v>
      </c>
      <c r="B82" s="22" t="inlineStr">
        <is>
          <t>02/2016</t>
        </is>
      </c>
      <c r="C82" s="22" t="n">
        <v>39</v>
      </c>
      <c r="D82" s="22" t="inlineStr">
        <is>
          <t>S39</t>
        </is>
      </c>
      <c r="E82" s="22" t="inlineStr">
        <is>
          <t>Nexa Blaenau Gwent (S39)</t>
        </is>
      </c>
      <c r="F82" s="22" t="inlineStr">
        <is>
          <t>Anh</t>
        </is>
      </c>
      <c r="G82" s="22" t="inlineStr">
        <is>
          <t>POS</t>
        </is>
      </c>
      <c r="H82" s="31" t="n">
        <v>2529.42</v>
      </c>
      <c r="I82" s="31" t="n">
        <v>0</v>
      </c>
      <c r="J82" s="31" t="n">
        <v>2529.42</v>
      </c>
      <c r="K82" s="31" t="n">
        <v>0</v>
      </c>
      <c r="L82" s="32" t="n">
        <v>3</v>
      </c>
      <c r="M82" s="32" t="n">
        <v>21</v>
      </c>
      <c r="N82" s="31" t="n">
        <v>2529.42</v>
      </c>
      <c r="O82" s="31" t="n">
        <v>2529.42</v>
      </c>
      <c r="P82" s="22" t="n">
        <v>1</v>
      </c>
      <c r="Q82" s="22" t="n">
        <v>0</v>
      </c>
      <c r="R82" s="22" t="n">
        <v>0</v>
      </c>
    </row>
    <row r="83">
      <c r="A83" s="22" t="n">
        <v>201602</v>
      </c>
      <c r="B83" s="22" t="inlineStr">
        <is>
          <t>02/2016</t>
        </is>
      </c>
      <c r="C83" s="22" t="n">
        <v>40</v>
      </c>
      <c r="D83" s="22" t="inlineStr">
        <is>
          <t>S40</t>
        </is>
      </c>
      <c r="E83" s="22" t="inlineStr">
        <is>
          <t>Nexa Dungannon and South Tyrone (S40)</t>
        </is>
      </c>
      <c r="F83" s="22" t="inlineStr">
        <is>
          <t>Anh</t>
        </is>
      </c>
      <c r="G83" s="22" t="inlineStr">
        <is>
          <t>POS</t>
        </is>
      </c>
      <c r="H83" s="31" t="n">
        <v>1499.82</v>
      </c>
      <c r="I83" s="31" t="n">
        <v>0</v>
      </c>
      <c r="J83" s="31" t="n">
        <v>1499.82</v>
      </c>
      <c r="K83" s="31" t="n">
        <v>0</v>
      </c>
      <c r="L83" s="32" t="n">
        <v>3</v>
      </c>
      <c r="M83" s="32" t="n">
        <v>14</v>
      </c>
      <c r="N83" s="31" t="n">
        <v>1499.82</v>
      </c>
      <c r="O83" s="31" t="n">
        <v>1499.82</v>
      </c>
      <c r="P83" s="22" t="n">
        <v>1</v>
      </c>
      <c r="Q83" s="22" t="n">
        <v>0</v>
      </c>
      <c r="R83" s="22" t="n">
        <v>0</v>
      </c>
    </row>
    <row r="84">
      <c r="A84" s="22" t="n">
        <v>201602</v>
      </c>
      <c r="B84" s="22" t="inlineStr">
        <is>
          <t>02/2016</t>
        </is>
      </c>
      <c r="C84" s="22" t="n">
        <v>41</v>
      </c>
      <c r="D84" s="22" t="inlineStr">
        <is>
          <t>S41</t>
        </is>
      </c>
      <c r="E84" s="22" t="inlineStr">
        <is>
          <t>Nexa Fermanagh (S41)</t>
        </is>
      </c>
      <c r="F84" s="22" t="inlineStr">
        <is>
          <t>Anh</t>
        </is>
      </c>
      <c r="G84" s="22" t="inlineStr">
        <is>
          <t>POS</t>
        </is>
      </c>
      <c r="H84" s="31" t="n">
        <v>26548.67</v>
      </c>
      <c r="I84" s="31" t="n">
        <v>0</v>
      </c>
      <c r="J84" s="31" t="n">
        <v>26548.67</v>
      </c>
      <c r="K84" s="31" t="n">
        <v>0</v>
      </c>
      <c r="L84" s="32" t="n">
        <v>9</v>
      </c>
      <c r="M84" s="32" t="n">
        <v>99</v>
      </c>
      <c r="N84" s="31" t="n">
        <v>26548.67</v>
      </c>
      <c r="O84" s="31" t="n">
        <v>26548.67</v>
      </c>
      <c r="P84" s="22" t="n">
        <v>0</v>
      </c>
      <c r="Q84" s="22" t="n">
        <v>0</v>
      </c>
      <c r="R84" s="22" t="n">
        <v>0</v>
      </c>
    </row>
    <row r="85">
      <c r="A85" s="22" t="n">
        <v>201602</v>
      </c>
      <c r="B85" s="22" t="inlineStr">
        <is>
          <t>02/2016</t>
        </is>
      </c>
      <c r="C85" s="22" t="n">
        <v>42</v>
      </c>
      <c r="D85" s="22" t="inlineStr">
        <is>
          <t>S42</t>
        </is>
      </c>
      <c r="E85" s="22" t="inlineStr">
        <is>
          <t>Nexa North Down (S42)</t>
        </is>
      </c>
      <c r="F85" s="22" t="inlineStr">
        <is>
          <t>Anh</t>
        </is>
      </c>
      <c r="G85" s="22" t="inlineStr">
        <is>
          <t>POS</t>
        </is>
      </c>
      <c r="H85" s="31" t="n">
        <v>17334.74</v>
      </c>
      <c r="I85" s="31" t="n">
        <v>0</v>
      </c>
      <c r="J85" s="31" t="n">
        <v>17334.74</v>
      </c>
      <c r="K85" s="31" t="n">
        <v>0</v>
      </c>
      <c r="L85" s="32" t="n">
        <v>8</v>
      </c>
      <c r="M85" s="32" t="n">
        <v>45</v>
      </c>
      <c r="N85" s="31" t="n">
        <v>17334.74</v>
      </c>
      <c r="O85" s="31" t="n">
        <v>17334.74</v>
      </c>
      <c r="P85" s="22" t="n">
        <v>0</v>
      </c>
      <c r="Q85" s="22" t="n">
        <v>0</v>
      </c>
      <c r="R85" s="22" t="n">
        <v>0</v>
      </c>
    </row>
    <row r="86">
      <c r="A86" s="22" t="n">
        <v>201602</v>
      </c>
      <c r="B86" s="22" t="inlineStr">
        <is>
          <t>02/2016</t>
        </is>
      </c>
      <c r="C86" s="22" t="n">
        <v>43</v>
      </c>
      <c r="D86" s="22" t="inlineStr">
        <is>
          <t>S43</t>
        </is>
      </c>
      <c r="E86" s="22" t="inlineStr">
        <is>
          <t>Nexa Alaska (S43)</t>
        </is>
      </c>
      <c r="F86" s="22" t="inlineStr">
        <is>
          <t>Mỹ</t>
        </is>
      </c>
      <c r="G86" s="22" t="inlineStr">
        <is>
          <t>POS</t>
        </is>
      </c>
      <c r="H86" s="31" t="n">
        <v>9585.58</v>
      </c>
      <c r="I86" s="31" t="n">
        <v>0</v>
      </c>
      <c r="J86" s="31" t="n">
        <v>9585.58</v>
      </c>
      <c r="K86" s="31" t="n">
        <v>0</v>
      </c>
      <c r="L86" s="32" t="n">
        <v>6</v>
      </c>
      <c r="M86" s="32" t="n">
        <v>37</v>
      </c>
      <c r="N86" s="31" t="n">
        <v>9585.58</v>
      </c>
      <c r="O86" s="31" t="n">
        <v>9585.58</v>
      </c>
      <c r="P86" s="22" t="n">
        <v>0</v>
      </c>
      <c r="Q86" s="22" t="n">
        <v>0</v>
      </c>
      <c r="R86" s="22" t="n">
        <v>0</v>
      </c>
    </row>
    <row r="87">
      <c r="A87" s="22" t="n">
        <v>201602</v>
      </c>
      <c r="B87" s="22" t="inlineStr">
        <is>
          <t>02/2016</t>
        </is>
      </c>
      <c r="C87" s="22" t="n">
        <v>44</v>
      </c>
      <c r="D87" s="22" t="inlineStr">
        <is>
          <t>S44</t>
        </is>
      </c>
      <c r="E87" s="22" t="inlineStr">
        <is>
          <t>Nexa Arkansas (S44)</t>
        </is>
      </c>
      <c r="F87" s="22" t="inlineStr">
        <is>
          <t>Mỹ</t>
        </is>
      </c>
      <c r="G87" s="22" t="inlineStr">
        <is>
          <t>POS</t>
        </is>
      </c>
      <c r="H87" s="31" t="n">
        <v>49434.22</v>
      </c>
      <c r="I87" s="31" t="n">
        <v>0</v>
      </c>
      <c r="J87" s="31" t="n">
        <v>49434.22</v>
      </c>
      <c r="K87" s="31" t="n">
        <v>143.44</v>
      </c>
      <c r="L87" s="32" t="n">
        <v>11</v>
      </c>
      <c r="M87" s="32" t="n">
        <v>118</v>
      </c>
      <c r="N87" s="31" t="n">
        <v>49290.78</v>
      </c>
      <c r="O87" s="31" t="n">
        <v>49434.22</v>
      </c>
      <c r="P87" s="22" t="n">
        <v>0</v>
      </c>
      <c r="Q87" s="22" t="n">
        <v>0</v>
      </c>
      <c r="R87" s="22" t="n">
        <v>0</v>
      </c>
    </row>
    <row r="88">
      <c r="A88" s="22" t="n">
        <v>201602</v>
      </c>
      <c r="B88" s="22" t="inlineStr">
        <is>
          <t>02/2016</t>
        </is>
      </c>
      <c r="C88" s="22" t="n">
        <v>45</v>
      </c>
      <c r="D88" s="22" t="inlineStr">
        <is>
          <t>S45</t>
        </is>
      </c>
      <c r="E88" s="22" t="inlineStr">
        <is>
          <t>Nexa Connecticut (S45)</t>
        </is>
      </c>
      <c r="F88" s="22" t="inlineStr">
        <is>
          <t>Mỹ</t>
        </is>
      </c>
      <c r="G88" s="22" t="inlineStr">
        <is>
          <t>POS</t>
        </is>
      </c>
      <c r="H88" s="31" t="n">
        <v>949.16</v>
      </c>
      <c r="I88" s="31" t="n">
        <v>0</v>
      </c>
      <c r="J88" s="31" t="n">
        <v>949.16</v>
      </c>
      <c r="K88" s="31" t="n">
        <v>0</v>
      </c>
      <c r="L88" s="32" t="n">
        <v>4</v>
      </c>
      <c r="M88" s="32" t="n">
        <v>14</v>
      </c>
      <c r="N88" s="31" t="n">
        <v>949.16</v>
      </c>
      <c r="O88" s="31" t="n">
        <v>949.16</v>
      </c>
      <c r="P88" s="22" t="n">
        <v>1</v>
      </c>
      <c r="Q88" s="22" t="n">
        <v>0</v>
      </c>
      <c r="R88" s="22" t="n">
        <v>0</v>
      </c>
    </row>
    <row r="89">
      <c r="A89" s="22" t="n">
        <v>201602</v>
      </c>
      <c r="B89" s="22" t="inlineStr">
        <is>
          <t>02/2016</t>
        </is>
      </c>
      <c r="C89" s="22" t="n">
        <v>47</v>
      </c>
      <c r="D89" s="22" t="inlineStr">
        <is>
          <t>S47</t>
        </is>
      </c>
      <c r="E89" s="22" t="inlineStr">
        <is>
          <t>Nexa Hawaii (S47)</t>
        </is>
      </c>
      <c r="F89" s="22" t="inlineStr">
        <is>
          <t>Mỹ</t>
        </is>
      </c>
      <c r="G89" s="22" t="inlineStr">
        <is>
          <t>POS</t>
        </is>
      </c>
      <c r="H89" s="31" t="n">
        <v>9705.85</v>
      </c>
      <c r="I89" s="31" t="n">
        <v>0</v>
      </c>
      <c r="J89" s="31" t="n">
        <v>9705.85</v>
      </c>
      <c r="K89" s="31" t="n">
        <v>0</v>
      </c>
      <c r="L89" s="32" t="n">
        <v>9</v>
      </c>
      <c r="M89" s="32" t="n">
        <v>65</v>
      </c>
      <c r="N89" s="31" t="n">
        <v>9705.85</v>
      </c>
      <c r="O89" s="31" t="n">
        <v>9705.85</v>
      </c>
      <c r="P89" s="22" t="n">
        <v>0</v>
      </c>
      <c r="Q89" s="22" t="n">
        <v>0</v>
      </c>
      <c r="R89" s="22" t="n">
        <v>0</v>
      </c>
    </row>
    <row r="90">
      <c r="A90" s="22" t="n">
        <v>201602</v>
      </c>
      <c r="B90" s="22" t="inlineStr">
        <is>
          <t>02/2016</t>
        </is>
      </c>
      <c r="C90" s="22" t="n">
        <v>48</v>
      </c>
      <c r="D90" s="22" t="inlineStr">
        <is>
          <t>S48</t>
        </is>
      </c>
      <c r="E90" s="22" t="inlineStr">
        <is>
          <t>Nexa Idaho (S48)</t>
        </is>
      </c>
      <c r="F90" s="22" t="inlineStr">
        <is>
          <t>Mỹ</t>
        </is>
      </c>
      <c r="G90" s="22" t="inlineStr">
        <is>
          <t>POS</t>
        </is>
      </c>
      <c r="H90" s="31" t="n">
        <v>5253.77</v>
      </c>
      <c r="I90" s="31" t="n">
        <v>0</v>
      </c>
      <c r="J90" s="31" t="n">
        <v>5253.77</v>
      </c>
      <c r="K90" s="31" t="n">
        <v>0</v>
      </c>
      <c r="L90" s="32" t="n">
        <v>4</v>
      </c>
      <c r="M90" s="32" t="n">
        <v>23</v>
      </c>
      <c r="N90" s="31" t="n">
        <v>5124.77</v>
      </c>
      <c r="O90" s="31" t="n">
        <v>5253.77</v>
      </c>
      <c r="P90" s="22" t="n">
        <v>0</v>
      </c>
      <c r="Q90" s="22" t="n">
        <v>0</v>
      </c>
      <c r="R90" s="22" t="n">
        <v>0</v>
      </c>
    </row>
    <row r="91">
      <c r="A91" s="22" t="n">
        <v>201602</v>
      </c>
      <c r="B91" s="22" t="inlineStr">
        <is>
          <t>02/2016</t>
        </is>
      </c>
      <c r="C91" s="22" t="n">
        <v>50</v>
      </c>
      <c r="D91" s="22" t="inlineStr">
        <is>
          <t>S50</t>
        </is>
      </c>
      <c r="E91" s="22" t="inlineStr">
        <is>
          <t>Nexa Kansas (S50)</t>
        </is>
      </c>
      <c r="F91" s="22" t="inlineStr">
        <is>
          <t>Mỹ</t>
        </is>
      </c>
      <c r="G91" s="22" t="inlineStr">
        <is>
          <t>POS</t>
        </is>
      </c>
      <c r="H91" s="31" t="n">
        <v>18261.45</v>
      </c>
      <c r="I91" s="31" t="n">
        <v>0</v>
      </c>
      <c r="J91" s="31" t="n">
        <v>18261.45</v>
      </c>
      <c r="K91" s="31" t="n">
        <v>0</v>
      </c>
      <c r="L91" s="32" t="n">
        <v>10</v>
      </c>
      <c r="M91" s="32" t="n">
        <v>51</v>
      </c>
      <c r="N91" s="31" t="n">
        <v>18261.45</v>
      </c>
      <c r="O91" s="31" t="n">
        <v>18261.45</v>
      </c>
      <c r="P91" s="22" t="n">
        <v>0</v>
      </c>
      <c r="Q91" s="22" t="n">
        <v>0</v>
      </c>
      <c r="R91" s="22" t="n">
        <v>0</v>
      </c>
    </row>
    <row r="92">
      <c r="A92" s="22" t="n">
        <v>201602</v>
      </c>
      <c r="B92" s="22" t="inlineStr">
        <is>
          <t>02/2016</t>
        </is>
      </c>
      <c r="C92" s="22" t="n">
        <v>51</v>
      </c>
      <c r="D92" s="22" t="inlineStr">
        <is>
          <t>S51</t>
        </is>
      </c>
      <c r="E92" s="22" t="inlineStr">
        <is>
          <t>Nexa Maine (S51)</t>
        </is>
      </c>
      <c r="F92" s="22" t="inlineStr">
        <is>
          <t>Mỹ</t>
        </is>
      </c>
      <c r="G92" s="22" t="inlineStr">
        <is>
          <t>POS</t>
        </is>
      </c>
      <c r="H92" s="31" t="n">
        <v>15730.8</v>
      </c>
      <c r="I92" s="31" t="n">
        <v>0</v>
      </c>
      <c r="J92" s="31" t="n">
        <v>15730.8</v>
      </c>
      <c r="K92" s="31" t="n">
        <v>826.77</v>
      </c>
      <c r="L92" s="32" t="n">
        <v>7</v>
      </c>
      <c r="M92" s="32" t="n">
        <v>39</v>
      </c>
      <c r="N92" s="31" t="n">
        <v>14904.03</v>
      </c>
      <c r="O92" s="31" t="n">
        <v>15730.8</v>
      </c>
      <c r="P92" s="22" t="n">
        <v>1</v>
      </c>
      <c r="Q92" s="22" t="n">
        <v>0</v>
      </c>
      <c r="R92" s="22" t="n">
        <v>0</v>
      </c>
    </row>
    <row r="93">
      <c r="A93" s="22" t="n">
        <v>201602</v>
      </c>
      <c r="B93" s="22" t="inlineStr">
        <is>
          <t>02/2016</t>
        </is>
      </c>
      <c r="C93" s="22" t="n">
        <v>53</v>
      </c>
      <c r="D93" s="22" t="inlineStr">
        <is>
          <t>S53</t>
        </is>
      </c>
      <c r="E93" s="22" t="inlineStr">
        <is>
          <t>Nexa Montana (S53)</t>
        </is>
      </c>
      <c r="F93" s="22" t="inlineStr">
        <is>
          <t>Mỹ</t>
        </is>
      </c>
      <c r="G93" s="22" t="inlineStr">
        <is>
          <t>POS</t>
        </is>
      </c>
      <c r="H93" s="31" t="n">
        <v>14941.33</v>
      </c>
      <c r="I93" s="31" t="n">
        <v>0</v>
      </c>
      <c r="J93" s="31" t="n">
        <v>14941.33</v>
      </c>
      <c r="K93" s="31" t="n">
        <v>0</v>
      </c>
      <c r="L93" s="32" t="n">
        <v>5</v>
      </c>
      <c r="M93" s="32" t="n">
        <v>45</v>
      </c>
      <c r="N93" s="31" t="n">
        <v>14941.33</v>
      </c>
      <c r="O93" s="31" t="n">
        <v>14941.33</v>
      </c>
      <c r="P93" s="22" t="n">
        <v>0</v>
      </c>
      <c r="Q93" s="22" t="n">
        <v>0</v>
      </c>
      <c r="R93" s="22" t="n">
        <v>0</v>
      </c>
    </row>
    <row r="94">
      <c r="A94" s="22" t="n">
        <v>201602</v>
      </c>
      <c r="B94" s="22" t="inlineStr">
        <is>
          <t>02/2016</t>
        </is>
      </c>
      <c r="C94" s="22" t="n">
        <v>54</v>
      </c>
      <c r="D94" s="22" t="inlineStr">
        <is>
          <t>S54</t>
        </is>
      </c>
      <c r="E94" s="22" t="inlineStr">
        <is>
          <t>Nexa Nebraska (S54)</t>
        </is>
      </c>
      <c r="F94" s="22" t="inlineStr">
        <is>
          <t>Mỹ</t>
        </is>
      </c>
      <c r="G94" s="22" t="inlineStr">
        <is>
          <t>POS</t>
        </is>
      </c>
      <c r="H94" s="31" t="n">
        <v>4105.79</v>
      </c>
      <c r="I94" s="31" t="n">
        <v>0</v>
      </c>
      <c r="J94" s="31" t="n">
        <v>4105.79</v>
      </c>
      <c r="K94" s="31" t="n">
        <v>0</v>
      </c>
      <c r="L94" s="32" t="n">
        <v>4</v>
      </c>
      <c r="M94" s="32" t="n">
        <v>25</v>
      </c>
      <c r="N94" s="31" t="n">
        <v>4105.79</v>
      </c>
      <c r="O94" s="31" t="n">
        <v>4105.79</v>
      </c>
      <c r="P94" s="22" t="n">
        <v>0</v>
      </c>
      <c r="Q94" s="22" t="n">
        <v>0</v>
      </c>
      <c r="R94" s="22" t="n">
        <v>0</v>
      </c>
    </row>
    <row r="95">
      <c r="A95" s="22" t="n">
        <v>201602</v>
      </c>
      <c r="B95" s="22" t="inlineStr">
        <is>
          <t>02/2016</t>
        </is>
      </c>
      <c r="C95" s="22" t="n">
        <v>55</v>
      </c>
      <c r="D95" s="22" t="inlineStr">
        <is>
          <t>S55</t>
        </is>
      </c>
      <c r="E95" s="22" t="inlineStr">
        <is>
          <t>Nexa Nevada (S55)</t>
        </is>
      </c>
      <c r="F95" s="22" t="inlineStr">
        <is>
          <t>Mỹ</t>
        </is>
      </c>
      <c r="G95" s="22" t="inlineStr">
        <is>
          <t>POS</t>
        </is>
      </c>
      <c r="H95" s="31" t="n">
        <v>18429.7</v>
      </c>
      <c r="I95" s="31" t="n">
        <v>0</v>
      </c>
      <c r="J95" s="31" t="n">
        <v>18429.7</v>
      </c>
      <c r="K95" s="31" t="n">
        <v>0</v>
      </c>
      <c r="L95" s="32" t="n">
        <v>7</v>
      </c>
      <c r="M95" s="32" t="n">
        <v>66</v>
      </c>
      <c r="N95" s="31" t="n">
        <v>18429.7</v>
      </c>
      <c r="O95" s="31" t="n">
        <v>18429.7</v>
      </c>
      <c r="P95" s="22" t="n">
        <v>0</v>
      </c>
      <c r="Q95" s="22" t="n">
        <v>0</v>
      </c>
      <c r="R95" s="22" t="n">
        <v>0</v>
      </c>
    </row>
    <row r="96">
      <c r="A96" s="22" t="n">
        <v>201602</v>
      </c>
      <c r="B96" s="22" t="inlineStr">
        <is>
          <t>02/2016</t>
        </is>
      </c>
      <c r="C96" s="22" t="n">
        <v>56</v>
      </c>
      <c r="D96" s="22" t="inlineStr">
        <is>
          <t>S56</t>
        </is>
      </c>
      <c r="E96" s="22" t="inlineStr">
        <is>
          <t>Nexa New Hampshire (S56)</t>
        </is>
      </c>
      <c r="F96" s="22" t="inlineStr">
        <is>
          <t>Mỹ</t>
        </is>
      </c>
      <c r="G96" s="22" t="inlineStr">
        <is>
          <t>POS</t>
        </is>
      </c>
      <c r="H96" s="31" t="n">
        <v>9224.610000000001</v>
      </c>
      <c r="I96" s="31" t="n">
        <v>0</v>
      </c>
      <c r="J96" s="31" t="n">
        <v>9224.610000000001</v>
      </c>
      <c r="K96" s="31" t="n">
        <v>0</v>
      </c>
      <c r="L96" s="32" t="n">
        <v>3</v>
      </c>
      <c r="M96" s="32" t="n">
        <v>29</v>
      </c>
      <c r="N96" s="31" t="n">
        <v>9224.610000000001</v>
      </c>
      <c r="O96" s="31" t="n">
        <v>9224.610000000001</v>
      </c>
      <c r="P96" s="22" t="n">
        <v>0</v>
      </c>
      <c r="Q96" s="22" t="n">
        <v>0</v>
      </c>
      <c r="R96" s="22" t="n">
        <v>0</v>
      </c>
    </row>
    <row r="97">
      <c r="A97" s="22" t="n">
        <v>201602</v>
      </c>
      <c r="B97" s="22" t="inlineStr">
        <is>
          <t>02/2016</t>
        </is>
      </c>
      <c r="C97" s="22" t="n">
        <v>57</v>
      </c>
      <c r="D97" s="22" t="inlineStr">
        <is>
          <t>S57</t>
        </is>
      </c>
      <c r="E97" s="22" t="inlineStr">
        <is>
          <t>Nexa New Mexico (S57)</t>
        </is>
      </c>
      <c r="F97" s="22" t="inlineStr">
        <is>
          <t>Mỹ</t>
        </is>
      </c>
      <c r="G97" s="22" t="inlineStr">
        <is>
          <t>POS</t>
        </is>
      </c>
      <c r="H97" s="31" t="n">
        <v>10169.45</v>
      </c>
      <c r="I97" s="31" t="n">
        <v>0</v>
      </c>
      <c r="J97" s="31" t="n">
        <v>10169.45</v>
      </c>
      <c r="K97" s="31" t="n">
        <v>1989</v>
      </c>
      <c r="L97" s="32" t="n">
        <v>6</v>
      </c>
      <c r="M97" s="32" t="n">
        <v>36</v>
      </c>
      <c r="N97" s="31" t="n">
        <v>8180.45</v>
      </c>
      <c r="O97" s="31" t="n">
        <v>10169.45</v>
      </c>
      <c r="P97" s="22" t="n">
        <v>0</v>
      </c>
      <c r="Q97" s="22" t="n">
        <v>0</v>
      </c>
      <c r="R97" s="22" t="n">
        <v>0</v>
      </c>
    </row>
    <row r="98">
      <c r="A98" s="22" t="n">
        <v>201602</v>
      </c>
      <c r="B98" s="22" t="inlineStr">
        <is>
          <t>02/2016</t>
        </is>
      </c>
      <c r="C98" s="22" t="n">
        <v>59</v>
      </c>
      <c r="D98" s="22" t="inlineStr">
        <is>
          <t>S59</t>
        </is>
      </c>
      <c r="E98" s="22" t="inlineStr">
        <is>
          <t>Nexa Oregon (S59)</t>
        </is>
      </c>
      <c r="F98" s="22" t="inlineStr">
        <is>
          <t>Mỹ</t>
        </is>
      </c>
      <c r="G98" s="22" t="inlineStr">
        <is>
          <t>POS</t>
        </is>
      </c>
      <c r="H98" s="31" t="n">
        <v>33259.93</v>
      </c>
      <c r="I98" s="31" t="n">
        <v>0</v>
      </c>
      <c r="J98" s="31" t="n">
        <v>33259.93</v>
      </c>
      <c r="K98" s="31" t="n">
        <v>119.99</v>
      </c>
      <c r="L98" s="32" t="n">
        <v>9</v>
      </c>
      <c r="M98" s="32" t="n">
        <v>76</v>
      </c>
      <c r="N98" s="31" t="n">
        <v>33139.94</v>
      </c>
      <c r="O98" s="31" t="n">
        <v>33259.93</v>
      </c>
      <c r="P98" s="22" t="n">
        <v>0</v>
      </c>
      <c r="Q98" s="22" t="n">
        <v>0</v>
      </c>
      <c r="R98" s="22" t="n">
        <v>0</v>
      </c>
    </row>
    <row r="99">
      <c r="A99" s="22" t="n">
        <v>201602</v>
      </c>
      <c r="B99" s="22" t="inlineStr">
        <is>
          <t>02/2016</t>
        </is>
      </c>
      <c r="C99" s="22" t="n">
        <v>61</v>
      </c>
      <c r="D99" s="22" t="inlineStr">
        <is>
          <t>S61</t>
        </is>
      </c>
      <c r="E99" s="22" t="inlineStr">
        <is>
          <t>Nexa South Carolina (S61)</t>
        </is>
      </c>
      <c r="F99" s="22" t="inlineStr">
        <is>
          <t>Mỹ</t>
        </is>
      </c>
      <c r="G99" s="22" t="inlineStr">
        <is>
          <t>POS</t>
        </is>
      </c>
      <c r="H99" s="31" t="n">
        <v>28535.26</v>
      </c>
      <c r="I99" s="31" t="n">
        <v>0</v>
      </c>
      <c r="J99" s="31" t="n">
        <v>28535.26</v>
      </c>
      <c r="K99" s="31" t="n">
        <v>855.85</v>
      </c>
      <c r="L99" s="32" t="n">
        <v>9</v>
      </c>
      <c r="M99" s="32" t="n">
        <v>80</v>
      </c>
      <c r="N99" s="31" t="n">
        <v>27871.21</v>
      </c>
      <c r="O99" s="31" t="n">
        <v>28535.26</v>
      </c>
      <c r="P99" s="22" t="n">
        <v>0</v>
      </c>
      <c r="Q99" s="22" t="n">
        <v>0</v>
      </c>
      <c r="R99" s="22" t="n">
        <v>0</v>
      </c>
    </row>
    <row r="100">
      <c r="A100" s="22" t="n">
        <v>201602</v>
      </c>
      <c r="B100" s="22" t="inlineStr">
        <is>
          <t>02/2016</t>
        </is>
      </c>
      <c r="C100" s="22" t="n">
        <v>63</v>
      </c>
      <c r="D100" s="22" t="inlineStr">
        <is>
          <t>S63</t>
        </is>
      </c>
      <c r="E100" s="22" t="inlineStr">
        <is>
          <t>Nexa Utah (S63)</t>
        </is>
      </c>
      <c r="F100" s="22" t="inlineStr">
        <is>
          <t>Mỹ</t>
        </is>
      </c>
      <c r="G100" s="22" t="inlineStr">
        <is>
          <t>POS</t>
        </is>
      </c>
      <c r="H100" s="31" t="n">
        <v>25761.49</v>
      </c>
      <c r="I100" s="31" t="n">
        <v>0</v>
      </c>
      <c r="J100" s="31" t="n">
        <v>25761.49</v>
      </c>
      <c r="K100" s="31" t="n">
        <v>989.92</v>
      </c>
      <c r="L100" s="32" t="n">
        <v>12</v>
      </c>
      <c r="M100" s="32" t="n">
        <v>115</v>
      </c>
      <c r="N100" s="31" t="n">
        <v>24771.57</v>
      </c>
      <c r="O100" s="31" t="n">
        <v>25761.49</v>
      </c>
      <c r="P100" s="22" t="n">
        <v>0</v>
      </c>
      <c r="Q100" s="22" t="n">
        <v>0</v>
      </c>
      <c r="R100" s="22" t="n">
        <v>0</v>
      </c>
    </row>
    <row r="101">
      <c r="A101" s="22" t="n">
        <v>201602</v>
      </c>
      <c r="B101" s="22" t="inlineStr">
        <is>
          <t>02/2016</t>
        </is>
      </c>
      <c r="C101" s="22" t="n">
        <v>64</v>
      </c>
      <c r="D101" s="22" t="inlineStr">
        <is>
          <t>S64</t>
        </is>
      </c>
      <c r="E101" s="22" t="inlineStr">
        <is>
          <t>Nexa Washington DC (S64)</t>
        </is>
      </c>
      <c r="F101" s="22" t="inlineStr">
        <is>
          <t>Mỹ</t>
        </is>
      </c>
      <c r="G101" s="22" t="inlineStr">
        <is>
          <t>POS</t>
        </is>
      </c>
      <c r="H101" s="31" t="n">
        <v>53761.47</v>
      </c>
      <c r="I101" s="31" t="n">
        <v>0</v>
      </c>
      <c r="J101" s="31" t="n">
        <v>53761.47</v>
      </c>
      <c r="K101" s="31" t="n">
        <v>0</v>
      </c>
      <c r="L101" s="32" t="n">
        <v>10</v>
      </c>
      <c r="M101" s="32" t="n">
        <v>125</v>
      </c>
      <c r="N101" s="31" t="n">
        <v>53761.47</v>
      </c>
      <c r="O101" s="31" t="n">
        <v>53761.47</v>
      </c>
      <c r="P101" s="22" t="n">
        <v>0</v>
      </c>
      <c r="Q101" s="22" t="n">
        <v>0</v>
      </c>
      <c r="R101" s="22" t="n">
        <v>0</v>
      </c>
    </row>
    <row r="102">
      <c r="A102" s="22" t="n">
        <v>201602</v>
      </c>
      <c r="B102" s="22" t="inlineStr">
        <is>
          <t>02/2016</t>
        </is>
      </c>
      <c r="C102" s="22" t="n">
        <v>65</v>
      </c>
      <c r="D102" s="22" t="inlineStr">
        <is>
          <t>S65</t>
        </is>
      </c>
      <c r="E102" s="22" t="inlineStr">
        <is>
          <t>Nexa West Virginia (S65)</t>
        </is>
      </c>
      <c r="F102" s="22" t="inlineStr">
        <is>
          <t>Mỹ</t>
        </is>
      </c>
      <c r="G102" s="22" t="inlineStr">
        <is>
          <t>POS</t>
        </is>
      </c>
      <c r="H102" s="31" t="n">
        <v>16169.59</v>
      </c>
      <c r="I102" s="31" t="n">
        <v>0</v>
      </c>
      <c r="J102" s="31" t="n">
        <v>16169.59</v>
      </c>
      <c r="K102" s="31" t="n">
        <v>0</v>
      </c>
      <c r="L102" s="32" t="n">
        <v>7</v>
      </c>
      <c r="M102" s="32" t="n">
        <v>49</v>
      </c>
      <c r="N102" s="31" t="n">
        <v>16169.59</v>
      </c>
      <c r="O102" s="31" t="n">
        <v>16169.59</v>
      </c>
      <c r="P102" s="22" t="n">
        <v>0</v>
      </c>
      <c r="Q102" s="22" t="n">
        <v>0</v>
      </c>
      <c r="R102" s="22" t="n">
        <v>0</v>
      </c>
    </row>
    <row r="103">
      <c r="A103" s="22" t="n">
        <v>201602</v>
      </c>
      <c r="B103" s="22" t="inlineStr">
        <is>
          <t>02/2016</t>
        </is>
      </c>
      <c r="C103" s="22" t="n">
        <v>66</v>
      </c>
      <c r="D103" s="22" t="inlineStr">
        <is>
          <t>S66</t>
        </is>
      </c>
      <c r="E103" s="22" t="inlineStr">
        <is>
          <t>Nexa Wyoming (S66)</t>
        </is>
      </c>
      <c r="F103" s="22" t="inlineStr">
        <is>
          <t>Mỹ</t>
        </is>
      </c>
      <c r="G103" s="22" t="inlineStr">
        <is>
          <t>POS</t>
        </is>
      </c>
      <c r="H103" s="31" t="n">
        <v>24402.76</v>
      </c>
      <c r="I103" s="31" t="n">
        <v>0</v>
      </c>
      <c r="J103" s="31" t="n">
        <v>24402.76</v>
      </c>
      <c r="K103" s="31" t="n">
        <v>0</v>
      </c>
      <c r="L103" s="32" t="n">
        <v>7</v>
      </c>
      <c r="M103" s="32" t="n">
        <v>74</v>
      </c>
      <c r="N103" s="31" t="n">
        <v>24387.66</v>
      </c>
      <c r="O103" s="31" t="n">
        <v>24402.76</v>
      </c>
      <c r="P103" s="22" t="n">
        <v>0</v>
      </c>
      <c r="Q103" s="22" t="n">
        <v>0</v>
      </c>
      <c r="R103" s="22" t="n">
        <v>0</v>
      </c>
    </row>
    <row r="104">
      <c r="A104" s="22" t="n">
        <v>201603</v>
      </c>
      <c r="B104" s="22" t="inlineStr">
        <is>
          <t>03/2016</t>
        </is>
      </c>
      <c r="C104" s="22" t="n">
        <v>0</v>
      </c>
      <c r="D104" s="22" t="inlineStr">
        <is>
          <t>ONL</t>
        </is>
      </c>
      <c r="E104" s="22" t="inlineStr">
        <is>
          <t>Nexa Online (website/app)</t>
        </is>
      </c>
      <c r="F104" s="22" t="inlineStr">
        <is>
          <t>Online</t>
        </is>
      </c>
      <c r="G104" s="22" t="inlineStr">
        <is>
          <t>ONLINE</t>
        </is>
      </c>
      <c r="H104" s="31" t="n">
        <v>22409.49</v>
      </c>
      <c r="I104" s="31" t="n">
        <v>642.14</v>
      </c>
      <c r="J104" s="31" t="n">
        <v>21767.35</v>
      </c>
      <c r="K104" s="31" t="n">
        <v>1063.85</v>
      </c>
      <c r="L104" s="32" t="n">
        <v>15</v>
      </c>
      <c r="M104" s="32" t="n">
        <v>70</v>
      </c>
      <c r="N104" s="31" t="n">
        <v>47060.41</v>
      </c>
      <c r="O104" s="31" t="n">
        <v>48124.26</v>
      </c>
      <c r="P104" s="22" t="n">
        <v>0</v>
      </c>
      <c r="Q104" s="22" t="n">
        <v>0</v>
      </c>
      <c r="R104" s="22" t="n">
        <v>0</v>
      </c>
    </row>
    <row r="105">
      <c r="A105" s="22" t="n">
        <v>201603</v>
      </c>
      <c r="B105" s="22" t="inlineStr">
        <is>
          <t>03/2016</t>
        </is>
      </c>
      <c r="C105" s="22" t="n">
        <v>2</v>
      </c>
      <c r="D105" s="22" t="inlineStr">
        <is>
          <t>S02</t>
        </is>
      </c>
      <c r="E105" s="22" t="inlineStr">
        <is>
          <t>Nexa Northern Territory (S02)</t>
        </is>
      </c>
      <c r="F105" s="22" t="inlineStr">
        <is>
          <t>Úc</t>
        </is>
      </c>
      <c r="G105" s="22" t="inlineStr">
        <is>
          <t>POS</t>
        </is>
      </c>
      <c r="H105" s="31" t="n">
        <v>8969.610000000001</v>
      </c>
      <c r="I105" s="31" t="n">
        <v>0</v>
      </c>
      <c r="J105" s="31" t="n">
        <v>8969.610000000001</v>
      </c>
      <c r="K105" s="31" t="n">
        <v>255</v>
      </c>
      <c r="L105" s="32" t="n">
        <v>1</v>
      </c>
      <c r="M105" s="32" t="n">
        <v>26</v>
      </c>
      <c r="N105" s="31" t="n">
        <v>8714.610000000001</v>
      </c>
      <c r="O105" s="31" t="n">
        <v>8969.610000000001</v>
      </c>
      <c r="P105" s="22" t="n">
        <v>0</v>
      </c>
      <c r="Q105" s="22" t="n">
        <v>0</v>
      </c>
      <c r="R105" s="22" t="n">
        <v>0</v>
      </c>
    </row>
    <row r="106">
      <c r="A106" s="22" t="n">
        <v>201603</v>
      </c>
      <c r="B106" s="22" t="inlineStr">
        <is>
          <t>03/2016</t>
        </is>
      </c>
      <c r="C106" s="22" t="n">
        <v>5</v>
      </c>
      <c r="D106" s="22" t="inlineStr">
        <is>
          <t>S05</t>
        </is>
      </c>
      <c r="E106" s="22" t="inlineStr">
        <is>
          <t>Nexa Victoria (S05)</t>
        </is>
      </c>
      <c r="F106" s="22" t="inlineStr">
        <is>
          <t>Úc</t>
        </is>
      </c>
      <c r="G106" s="22" t="inlineStr">
        <is>
          <t>POS</t>
        </is>
      </c>
      <c r="H106" s="31" t="n">
        <v>0</v>
      </c>
      <c r="I106" s="31" t="n">
        <v>0</v>
      </c>
      <c r="J106" s="31" t="n">
        <v>0</v>
      </c>
      <c r="K106" s="31" t="n">
        <v>516</v>
      </c>
      <c r="L106" s="32" t="n">
        <v>0</v>
      </c>
      <c r="M106" s="32" t="n">
        <v>0</v>
      </c>
      <c r="N106" s="31" t="n">
        <v>-516</v>
      </c>
      <c r="O106" s="31" t="n">
        <v>0</v>
      </c>
      <c r="P106" s="22" t="n">
        <v>0</v>
      </c>
      <c r="Q106" s="22" t="n">
        <v>0</v>
      </c>
      <c r="R106" s="22" t="n">
        <v>0</v>
      </c>
    </row>
    <row r="107">
      <c r="A107" s="22" t="n">
        <v>201603</v>
      </c>
      <c r="B107" s="22" t="inlineStr">
        <is>
          <t>03/2016</t>
        </is>
      </c>
      <c r="C107" s="22" t="n">
        <v>6</v>
      </c>
      <c r="D107" s="22" t="inlineStr">
        <is>
          <t>S06</t>
        </is>
      </c>
      <c r="E107" s="22" t="inlineStr">
        <is>
          <t>Nexa Western Australia (S06)</t>
        </is>
      </c>
      <c r="F107" s="22" t="inlineStr">
        <is>
          <t>Úc</t>
        </is>
      </c>
      <c r="G107" s="22" t="inlineStr">
        <is>
          <t>POS</t>
        </is>
      </c>
      <c r="H107" s="31" t="n">
        <v>4863.83</v>
      </c>
      <c r="I107" s="31" t="n">
        <v>0</v>
      </c>
      <c r="J107" s="31" t="n">
        <v>4863.83</v>
      </c>
      <c r="K107" s="31" t="n">
        <v>1317.7</v>
      </c>
      <c r="L107" s="32" t="n">
        <v>1</v>
      </c>
      <c r="M107" s="32" t="n">
        <v>19</v>
      </c>
      <c r="N107" s="31" t="n">
        <v>3546.13</v>
      </c>
      <c r="O107" s="31" t="n">
        <v>4863.83</v>
      </c>
      <c r="P107" s="22" t="n">
        <v>0</v>
      </c>
      <c r="Q107" s="22" t="n">
        <v>0</v>
      </c>
      <c r="R107" s="22" t="n">
        <v>0</v>
      </c>
    </row>
    <row r="108">
      <c r="A108" s="22" t="n">
        <v>201603</v>
      </c>
      <c r="B108" s="22" t="inlineStr">
        <is>
          <t>03/2016</t>
        </is>
      </c>
      <c r="C108" s="22" t="n">
        <v>8</v>
      </c>
      <c r="D108" s="22" t="inlineStr">
        <is>
          <t>S08</t>
        </is>
      </c>
      <c r="E108" s="22" t="inlineStr">
        <is>
          <t>Nexa Newfoundland and Labrador (S08)</t>
        </is>
      </c>
      <c r="F108" s="22" t="inlineStr">
        <is>
          <t>Canada</t>
        </is>
      </c>
      <c r="G108" s="22" t="inlineStr">
        <is>
          <t>POS</t>
        </is>
      </c>
      <c r="H108" s="31" t="n">
        <v>12299.91</v>
      </c>
      <c r="I108" s="31" t="n">
        <v>0</v>
      </c>
      <c r="J108" s="31" t="n">
        <v>12299.91</v>
      </c>
      <c r="K108" s="31" t="n">
        <v>0</v>
      </c>
      <c r="L108" s="32" t="n">
        <v>4</v>
      </c>
      <c r="M108" s="32" t="n">
        <v>41</v>
      </c>
      <c r="N108" s="31" t="n">
        <v>12299.91</v>
      </c>
      <c r="O108" s="31" t="n">
        <v>12299.91</v>
      </c>
      <c r="P108" s="22" t="n">
        <v>0</v>
      </c>
      <c r="Q108" s="22" t="n">
        <v>0</v>
      </c>
      <c r="R108" s="22" t="n">
        <v>0</v>
      </c>
    </row>
    <row r="109">
      <c r="A109" s="22" t="n">
        <v>201603</v>
      </c>
      <c r="B109" s="22" t="inlineStr">
        <is>
          <t>03/2016</t>
        </is>
      </c>
      <c r="C109" s="22" t="n">
        <v>9</v>
      </c>
      <c r="D109" s="22" t="inlineStr">
        <is>
          <t>S09</t>
        </is>
      </c>
      <c r="E109" s="22" t="inlineStr">
        <is>
          <t>Nexa Northwest Territories (S09)</t>
        </is>
      </c>
      <c r="F109" s="22" t="inlineStr">
        <is>
          <t>Canada</t>
        </is>
      </c>
      <c r="G109" s="22" t="inlineStr">
        <is>
          <t>POS</t>
        </is>
      </c>
      <c r="H109" s="31" t="n">
        <v>13152.67</v>
      </c>
      <c r="I109" s="31" t="n">
        <v>0</v>
      </c>
      <c r="J109" s="31" t="n">
        <v>13152.67</v>
      </c>
      <c r="K109" s="31" t="n">
        <v>184.5</v>
      </c>
      <c r="L109" s="32" t="n">
        <v>4</v>
      </c>
      <c r="M109" s="32" t="n">
        <v>38</v>
      </c>
      <c r="N109" s="31" t="n">
        <v>12968.17</v>
      </c>
      <c r="O109" s="31" t="n">
        <v>13152.67</v>
      </c>
      <c r="P109" s="22" t="n">
        <v>0</v>
      </c>
      <c r="Q109" s="22" t="n">
        <v>0</v>
      </c>
      <c r="R109" s="22" t="n">
        <v>0</v>
      </c>
    </row>
    <row r="110">
      <c r="A110" s="22" t="n">
        <v>201603</v>
      </c>
      <c r="B110" s="22" t="inlineStr">
        <is>
          <t>03/2016</t>
        </is>
      </c>
      <c r="C110" s="22" t="n">
        <v>10</v>
      </c>
      <c r="D110" s="22" t="inlineStr">
        <is>
          <t>S10</t>
        </is>
      </c>
      <c r="E110" s="22" t="inlineStr">
        <is>
          <t>Nexa Nunavut (S10)</t>
        </is>
      </c>
      <c r="F110" s="22" t="inlineStr">
        <is>
          <t>Canada</t>
        </is>
      </c>
      <c r="G110" s="22" t="inlineStr">
        <is>
          <t>POS</t>
        </is>
      </c>
      <c r="H110" s="31" t="n">
        <v>3016.82</v>
      </c>
      <c r="I110" s="31" t="n">
        <v>0</v>
      </c>
      <c r="J110" s="31" t="n">
        <v>3016.82</v>
      </c>
      <c r="K110" s="31" t="n">
        <v>47.95</v>
      </c>
      <c r="L110" s="32" t="n">
        <v>3</v>
      </c>
      <c r="M110" s="32" t="n">
        <v>21</v>
      </c>
      <c r="N110" s="31" t="n">
        <v>2968.87</v>
      </c>
      <c r="O110" s="31" t="n">
        <v>3016.82</v>
      </c>
      <c r="P110" s="22" t="n">
        <v>1</v>
      </c>
      <c r="Q110" s="22" t="n">
        <v>0</v>
      </c>
      <c r="R110" s="22" t="n">
        <v>0</v>
      </c>
    </row>
    <row r="111">
      <c r="A111" s="22" t="n">
        <v>201603</v>
      </c>
      <c r="B111" s="22" t="inlineStr">
        <is>
          <t>03/2016</t>
        </is>
      </c>
      <c r="C111" s="22" t="n">
        <v>12</v>
      </c>
      <c r="D111" s="22" t="inlineStr">
        <is>
          <t>S12</t>
        </is>
      </c>
      <c r="E111" s="22" t="inlineStr">
        <is>
          <t>Nexa Basse-Normandie (S12)</t>
        </is>
      </c>
      <c r="F111" s="22" t="inlineStr">
        <is>
          <t>Pháp</t>
        </is>
      </c>
      <c r="G111" s="22" t="inlineStr">
        <is>
          <t>POS</t>
        </is>
      </c>
      <c r="H111" s="31" t="n">
        <v>1608.93</v>
      </c>
      <c r="I111" s="31" t="n">
        <v>42.7</v>
      </c>
      <c r="J111" s="31" t="n">
        <v>1566.23</v>
      </c>
      <c r="K111" s="31" t="n">
        <v>0</v>
      </c>
      <c r="L111" s="32" t="n">
        <v>2</v>
      </c>
      <c r="M111" s="32" t="n">
        <v>12</v>
      </c>
      <c r="N111" s="31" t="n">
        <v>1566.23</v>
      </c>
      <c r="O111" s="31" t="n">
        <v>1566.23</v>
      </c>
      <c r="P111" s="22" t="n">
        <v>0</v>
      </c>
      <c r="Q111" s="22" t="n">
        <v>0</v>
      </c>
      <c r="R111" s="22" t="n">
        <v>0</v>
      </c>
    </row>
    <row r="112">
      <c r="A112" s="22" t="n">
        <v>201603</v>
      </c>
      <c r="B112" s="22" t="inlineStr">
        <is>
          <t>03/2016</t>
        </is>
      </c>
      <c r="C112" s="22" t="n">
        <v>14</v>
      </c>
      <c r="D112" s="22" t="inlineStr">
        <is>
          <t>S14</t>
        </is>
      </c>
      <c r="E112" s="22" t="inlineStr">
        <is>
          <t>Nexa Franche-Comté (S14)</t>
        </is>
      </c>
      <c r="F112" s="22" t="inlineStr">
        <is>
          <t>Pháp</t>
        </is>
      </c>
      <c r="G112" s="22" t="inlineStr">
        <is>
          <t>POS</t>
        </is>
      </c>
      <c r="H112" s="31" t="n">
        <v>0</v>
      </c>
      <c r="I112" s="31" t="n">
        <v>0</v>
      </c>
      <c r="J112" s="31" t="n">
        <v>0</v>
      </c>
      <c r="K112" s="31" t="n">
        <v>56</v>
      </c>
      <c r="L112" s="32" t="n">
        <v>0</v>
      </c>
      <c r="M112" s="32" t="n">
        <v>0</v>
      </c>
      <c r="N112" s="31" t="n">
        <v>-56</v>
      </c>
      <c r="O112" s="31" t="n">
        <v>0</v>
      </c>
      <c r="P112" s="22" t="n">
        <v>0</v>
      </c>
      <c r="Q112" s="22" t="n">
        <v>0</v>
      </c>
      <c r="R112" s="22" t="n">
        <v>0</v>
      </c>
    </row>
    <row r="113">
      <c r="A113" s="22" t="n">
        <v>201603</v>
      </c>
      <c r="B113" s="22" t="inlineStr">
        <is>
          <t>03/2016</t>
        </is>
      </c>
      <c r="C113" s="22" t="n">
        <v>19</v>
      </c>
      <c r="D113" s="22" t="inlineStr">
        <is>
          <t>S19</t>
        </is>
      </c>
      <c r="E113" s="22" t="inlineStr">
        <is>
          <t>Nexa Berlin (S19)</t>
        </is>
      </c>
      <c r="F113" s="22" t="inlineStr">
        <is>
          <t>Đức</t>
        </is>
      </c>
      <c r="G113" s="22" t="inlineStr">
        <is>
          <t>POS</t>
        </is>
      </c>
      <c r="H113" s="31" t="n">
        <v>2033.72</v>
      </c>
      <c r="I113" s="31" t="n">
        <v>0</v>
      </c>
      <c r="J113" s="31" t="n">
        <v>2033.72</v>
      </c>
      <c r="K113" s="31" t="n">
        <v>279.99</v>
      </c>
      <c r="L113" s="32" t="n">
        <v>2</v>
      </c>
      <c r="M113" s="32" t="n">
        <v>6</v>
      </c>
      <c r="N113" s="31" t="n">
        <v>1753.73</v>
      </c>
      <c r="O113" s="31" t="n">
        <v>2033.72</v>
      </c>
      <c r="P113" s="22" t="n">
        <v>0</v>
      </c>
      <c r="Q113" s="22" t="n">
        <v>0</v>
      </c>
      <c r="R113" s="22" t="n">
        <v>0</v>
      </c>
    </row>
    <row r="114">
      <c r="A114" s="22" t="n">
        <v>201603</v>
      </c>
      <c r="B114" s="22" t="inlineStr">
        <is>
          <t>03/2016</t>
        </is>
      </c>
      <c r="C114" s="22" t="n">
        <v>20</v>
      </c>
      <c r="D114" s="22" t="inlineStr">
        <is>
          <t>S20</t>
        </is>
      </c>
      <c r="E114" s="22" t="inlineStr">
        <is>
          <t>Nexa Brandenburg (S20)</t>
        </is>
      </c>
      <c r="F114" s="22" t="inlineStr">
        <is>
          <t>Đức</t>
        </is>
      </c>
      <c r="G114" s="22" t="inlineStr">
        <is>
          <t>POS</t>
        </is>
      </c>
      <c r="H114" s="31" t="n">
        <v>1017.95</v>
      </c>
      <c r="I114" s="31" t="n">
        <v>0</v>
      </c>
      <c r="J114" s="31" t="n">
        <v>1017.95</v>
      </c>
      <c r="K114" s="31" t="n">
        <v>0</v>
      </c>
      <c r="L114" s="32" t="n">
        <v>1</v>
      </c>
      <c r="M114" s="32" t="n">
        <v>5</v>
      </c>
      <c r="N114" s="31" t="n">
        <v>1017.95</v>
      </c>
      <c r="O114" s="31" t="n">
        <v>1017.95</v>
      </c>
      <c r="P114" s="22" t="n">
        <v>0</v>
      </c>
      <c r="Q114" s="22" t="n">
        <v>0</v>
      </c>
      <c r="R114" s="22" t="n">
        <v>0</v>
      </c>
    </row>
    <row r="115">
      <c r="A115" s="22" t="n">
        <v>201603</v>
      </c>
      <c r="B115" s="22" t="inlineStr">
        <is>
          <t>03/2016</t>
        </is>
      </c>
      <c r="C115" s="22" t="n">
        <v>24</v>
      </c>
      <c r="D115" s="22" t="inlineStr">
        <is>
          <t>S24</t>
        </is>
      </c>
      <c r="E115" s="22" t="inlineStr">
        <is>
          <t>Nexa Hessen (S24)</t>
        </is>
      </c>
      <c r="F115" s="22" t="inlineStr">
        <is>
          <t>Đức</t>
        </is>
      </c>
      <c r="G115" s="22" t="inlineStr">
        <is>
          <t>POS</t>
        </is>
      </c>
      <c r="H115" s="31" t="n">
        <v>1514.96</v>
      </c>
      <c r="I115" s="31" t="n">
        <v>0</v>
      </c>
      <c r="J115" s="31" t="n">
        <v>1514.96</v>
      </c>
      <c r="K115" s="31" t="n">
        <v>0</v>
      </c>
      <c r="L115" s="32" t="n">
        <v>1</v>
      </c>
      <c r="M115" s="32" t="n">
        <v>7</v>
      </c>
      <c r="N115" s="31" t="n">
        <v>1514.96</v>
      </c>
      <c r="O115" s="31" t="n">
        <v>1514.96</v>
      </c>
      <c r="P115" s="22" t="n">
        <v>0</v>
      </c>
      <c r="Q115" s="22" t="n">
        <v>0</v>
      </c>
      <c r="R115" s="22" t="n">
        <v>0</v>
      </c>
    </row>
    <row r="116">
      <c r="A116" s="22" t="n">
        <v>201603</v>
      </c>
      <c r="B116" s="22" t="inlineStr">
        <is>
          <t>03/2016</t>
        </is>
      </c>
      <c r="C116" s="22" t="n">
        <v>28</v>
      </c>
      <c r="D116" s="22" t="inlineStr">
        <is>
          <t>S28</t>
        </is>
      </c>
      <c r="E116" s="22" t="inlineStr">
        <is>
          <t>Nexa Caltanissetta (S28)</t>
        </is>
      </c>
      <c r="F116" s="22" t="inlineStr">
        <is>
          <t>Ý</t>
        </is>
      </c>
      <c r="G116" s="22" t="inlineStr">
        <is>
          <t>POS</t>
        </is>
      </c>
      <c r="H116" s="31" t="n">
        <v>21683.41</v>
      </c>
      <c r="I116" s="31" t="n">
        <v>0</v>
      </c>
      <c r="J116" s="31" t="n">
        <v>21683.41</v>
      </c>
      <c r="K116" s="31" t="n">
        <v>0</v>
      </c>
      <c r="L116" s="32" t="n">
        <v>2</v>
      </c>
      <c r="M116" s="32" t="n">
        <v>32</v>
      </c>
      <c r="N116" s="31" t="n">
        <v>21683.41</v>
      </c>
      <c r="O116" s="31" t="n">
        <v>21683.41</v>
      </c>
      <c r="P116" s="22" t="n">
        <v>0</v>
      </c>
      <c r="Q116" s="22" t="n">
        <v>0</v>
      </c>
      <c r="R116" s="22" t="n">
        <v>0</v>
      </c>
    </row>
    <row r="117">
      <c r="A117" s="22" t="n">
        <v>201603</v>
      </c>
      <c r="B117" s="22" t="inlineStr">
        <is>
          <t>03/2016</t>
        </is>
      </c>
      <c r="C117" s="22" t="n">
        <v>29</v>
      </c>
      <c r="D117" s="22" t="inlineStr">
        <is>
          <t>S29</t>
        </is>
      </c>
      <c r="E117" s="22" t="inlineStr">
        <is>
          <t>Nexa Enna (S29)</t>
        </is>
      </c>
      <c r="F117" s="22" t="inlineStr">
        <is>
          <t>Ý</t>
        </is>
      </c>
      <c r="G117" s="22" t="inlineStr">
        <is>
          <t>POS</t>
        </is>
      </c>
      <c r="H117" s="31" t="n">
        <v>15589.97</v>
      </c>
      <c r="I117" s="31" t="n">
        <v>0</v>
      </c>
      <c r="J117" s="31" t="n">
        <v>15589.97</v>
      </c>
      <c r="K117" s="31" t="n">
        <v>0</v>
      </c>
      <c r="L117" s="32" t="n">
        <v>1</v>
      </c>
      <c r="M117" s="32" t="n">
        <v>13</v>
      </c>
      <c r="N117" s="31" t="n">
        <v>15589.97</v>
      </c>
      <c r="O117" s="31" t="n">
        <v>15589.97</v>
      </c>
      <c r="P117" s="22" t="n">
        <v>0</v>
      </c>
      <c r="Q117" s="22" t="n">
        <v>0</v>
      </c>
      <c r="R117" s="22" t="n">
        <v>0</v>
      </c>
    </row>
    <row r="118">
      <c r="A118" s="22" t="n">
        <v>201603</v>
      </c>
      <c r="B118" s="22" t="inlineStr">
        <is>
          <t>03/2016</t>
        </is>
      </c>
      <c r="C118" s="22" t="n">
        <v>30</v>
      </c>
      <c r="D118" s="22" t="inlineStr">
        <is>
          <t>S30</t>
        </is>
      </c>
      <c r="E118" s="22" t="inlineStr">
        <is>
          <t>Nexa Pesaro (S30)</t>
        </is>
      </c>
      <c r="F118" s="22" t="inlineStr">
        <is>
          <t>Ý</t>
        </is>
      </c>
      <c r="G118" s="22" t="inlineStr">
        <is>
          <t>POS</t>
        </is>
      </c>
      <c r="H118" s="31" t="n">
        <v>15143.25</v>
      </c>
      <c r="I118" s="31" t="n">
        <v>0</v>
      </c>
      <c r="J118" s="31" t="n">
        <v>15143.25</v>
      </c>
      <c r="K118" s="31" t="n">
        <v>3319.99</v>
      </c>
      <c r="L118" s="32" t="n">
        <v>4</v>
      </c>
      <c r="M118" s="32" t="n">
        <v>39</v>
      </c>
      <c r="N118" s="31" t="n">
        <v>11823.26</v>
      </c>
      <c r="O118" s="31" t="n">
        <v>15143.25</v>
      </c>
      <c r="P118" s="22" t="n">
        <v>0</v>
      </c>
      <c r="Q118" s="22" t="n">
        <v>0</v>
      </c>
      <c r="R118" s="22" t="n">
        <v>0</v>
      </c>
    </row>
    <row r="119">
      <c r="A119" s="22" t="n">
        <v>201603</v>
      </c>
      <c r="B119" s="22" t="inlineStr">
        <is>
          <t>03/2016</t>
        </is>
      </c>
      <c r="C119" s="22" t="n">
        <v>31</v>
      </c>
      <c r="D119" s="22" t="inlineStr">
        <is>
          <t>S31</t>
        </is>
      </c>
      <c r="E119" s="22" t="inlineStr">
        <is>
          <t>Nexa Drenthe (S31)</t>
        </is>
      </c>
      <c r="F119" s="22" t="inlineStr">
        <is>
          <t>Hà Lan</t>
        </is>
      </c>
      <c r="G119" s="22" t="inlineStr">
        <is>
          <t>POS</t>
        </is>
      </c>
      <c r="H119" s="31" t="n">
        <v>0</v>
      </c>
      <c r="I119" s="31" t="n">
        <v>0</v>
      </c>
      <c r="J119" s="31" t="n">
        <v>0</v>
      </c>
      <c r="K119" s="31" t="n">
        <v>369</v>
      </c>
      <c r="L119" s="32" t="n">
        <v>0</v>
      </c>
      <c r="M119" s="32" t="n">
        <v>0</v>
      </c>
      <c r="N119" s="31" t="n">
        <v>-369</v>
      </c>
      <c r="O119" s="31" t="n">
        <v>0</v>
      </c>
      <c r="P119" s="22" t="n">
        <v>0</v>
      </c>
      <c r="Q119" s="22" t="n">
        <v>0</v>
      </c>
      <c r="R119" s="22" t="n">
        <v>0</v>
      </c>
    </row>
    <row r="120">
      <c r="A120" s="22" t="n">
        <v>201603</v>
      </c>
      <c r="B120" s="22" t="inlineStr">
        <is>
          <t>03/2016</t>
        </is>
      </c>
      <c r="C120" s="22" t="n">
        <v>32</v>
      </c>
      <c r="D120" s="22" t="inlineStr">
        <is>
          <t>S32</t>
        </is>
      </c>
      <c r="E120" s="22" t="inlineStr">
        <is>
          <t>Nexa Flevoland (S32)</t>
        </is>
      </c>
      <c r="F120" s="22" t="inlineStr">
        <is>
          <t>Hà Lan</t>
        </is>
      </c>
      <c r="G120" s="22" t="inlineStr">
        <is>
          <t>POS</t>
        </is>
      </c>
      <c r="H120" s="31" t="n">
        <v>3362.94</v>
      </c>
      <c r="I120" s="31" t="n">
        <v>0</v>
      </c>
      <c r="J120" s="31" t="n">
        <v>3362.94</v>
      </c>
      <c r="K120" s="31" t="n">
        <v>0</v>
      </c>
      <c r="L120" s="32" t="n">
        <v>1</v>
      </c>
      <c r="M120" s="32" t="n">
        <v>15</v>
      </c>
      <c r="N120" s="31" t="n">
        <v>3362.94</v>
      </c>
      <c r="O120" s="31" t="n">
        <v>3362.94</v>
      </c>
      <c r="P120" s="22" t="n">
        <v>0</v>
      </c>
      <c r="Q120" s="22" t="n">
        <v>0</v>
      </c>
      <c r="R120" s="22" t="n">
        <v>0</v>
      </c>
    </row>
    <row r="121">
      <c r="A121" s="22" t="n">
        <v>201603</v>
      </c>
      <c r="B121" s="22" t="inlineStr">
        <is>
          <t>03/2016</t>
        </is>
      </c>
      <c r="C121" s="22" t="n">
        <v>33</v>
      </c>
      <c r="D121" s="22" t="inlineStr">
        <is>
          <t>S33</t>
        </is>
      </c>
      <c r="E121" s="22" t="inlineStr">
        <is>
          <t>Nexa Friesland (S33)</t>
        </is>
      </c>
      <c r="F121" s="22" t="inlineStr">
        <is>
          <t>Hà Lan</t>
        </is>
      </c>
      <c r="G121" s="22" t="inlineStr">
        <is>
          <t>POS</t>
        </is>
      </c>
      <c r="H121" s="31" t="n">
        <v>796</v>
      </c>
      <c r="I121" s="31" t="n">
        <v>0</v>
      </c>
      <c r="J121" s="31" t="n">
        <v>796</v>
      </c>
      <c r="K121" s="31" t="n">
        <v>4155.98</v>
      </c>
      <c r="L121" s="32" t="n">
        <v>1</v>
      </c>
      <c r="M121" s="32" t="n">
        <v>4</v>
      </c>
      <c r="N121" s="31" t="n">
        <v>-3359.98</v>
      </c>
      <c r="O121" s="31" t="n">
        <v>796</v>
      </c>
      <c r="P121" s="22" t="n">
        <v>0</v>
      </c>
      <c r="Q121" s="22" t="n">
        <v>0</v>
      </c>
      <c r="R121" s="22" t="n">
        <v>0</v>
      </c>
    </row>
    <row r="122">
      <c r="A122" s="22" t="n">
        <v>201603</v>
      </c>
      <c r="B122" s="22" t="inlineStr">
        <is>
          <t>03/2016</t>
        </is>
      </c>
      <c r="C122" s="22" t="n">
        <v>34</v>
      </c>
      <c r="D122" s="22" t="inlineStr">
        <is>
          <t>S34</t>
        </is>
      </c>
      <c r="E122" s="22" t="inlineStr">
        <is>
          <t>Nexa Groningen (S34)</t>
        </is>
      </c>
      <c r="F122" s="22" t="inlineStr">
        <is>
          <t>Hà Lan</t>
        </is>
      </c>
      <c r="G122" s="22" t="inlineStr">
        <is>
          <t>POS</t>
        </is>
      </c>
      <c r="H122" s="31" t="n">
        <v>11273.45</v>
      </c>
      <c r="I122" s="31" t="n">
        <v>0</v>
      </c>
      <c r="J122" s="31" t="n">
        <v>11273.45</v>
      </c>
      <c r="K122" s="31" t="n">
        <v>0</v>
      </c>
      <c r="L122" s="32" t="n">
        <v>1</v>
      </c>
      <c r="M122" s="32" t="n">
        <v>16</v>
      </c>
      <c r="N122" s="31" t="n">
        <v>11273.45</v>
      </c>
      <c r="O122" s="31" t="n">
        <v>11273.45</v>
      </c>
      <c r="P122" s="22" t="n">
        <v>0</v>
      </c>
      <c r="Q122" s="22" t="n">
        <v>0</v>
      </c>
      <c r="R122" s="22" t="n">
        <v>0</v>
      </c>
    </row>
    <row r="123">
      <c r="A123" s="22" t="n">
        <v>201603</v>
      </c>
      <c r="B123" s="22" t="inlineStr">
        <is>
          <t>03/2016</t>
        </is>
      </c>
      <c r="C123" s="22" t="n">
        <v>36</v>
      </c>
      <c r="D123" s="22" t="inlineStr">
        <is>
          <t>S36</t>
        </is>
      </c>
      <c r="E123" s="22" t="inlineStr">
        <is>
          <t>Nexa Armagh (S36)</t>
        </is>
      </c>
      <c r="F123" s="22" t="inlineStr">
        <is>
          <t>Anh</t>
        </is>
      </c>
      <c r="G123" s="22" t="inlineStr">
        <is>
          <t>POS</t>
        </is>
      </c>
      <c r="H123" s="31" t="n">
        <v>3835.72</v>
      </c>
      <c r="I123" s="31" t="n">
        <v>0</v>
      </c>
      <c r="J123" s="31" t="n">
        <v>3835.72</v>
      </c>
      <c r="K123" s="31" t="n">
        <v>0</v>
      </c>
      <c r="L123" s="32" t="n">
        <v>2</v>
      </c>
      <c r="M123" s="32" t="n">
        <v>18</v>
      </c>
      <c r="N123" s="31" t="n">
        <v>3835.72</v>
      </c>
      <c r="O123" s="31" t="n">
        <v>3835.72</v>
      </c>
      <c r="P123" s="22" t="n">
        <v>0</v>
      </c>
      <c r="Q123" s="22" t="n">
        <v>0</v>
      </c>
      <c r="R123" s="22" t="n">
        <v>0</v>
      </c>
    </row>
    <row r="124">
      <c r="A124" s="22" t="n">
        <v>201603</v>
      </c>
      <c r="B124" s="22" t="inlineStr">
        <is>
          <t>03/2016</t>
        </is>
      </c>
      <c r="C124" s="22" t="n">
        <v>37</v>
      </c>
      <c r="D124" s="22" t="inlineStr">
        <is>
          <t>S37</t>
        </is>
      </c>
      <c r="E124" s="22" t="inlineStr">
        <is>
          <t>Nexa Ayrshire (S37)</t>
        </is>
      </c>
      <c r="F124" s="22" t="inlineStr">
        <is>
          <t>Anh</t>
        </is>
      </c>
      <c r="G124" s="22" t="inlineStr">
        <is>
          <t>POS</t>
        </is>
      </c>
      <c r="H124" s="31" t="n">
        <v>3967.87</v>
      </c>
      <c r="I124" s="31" t="n">
        <v>0</v>
      </c>
      <c r="J124" s="31" t="n">
        <v>3967.87</v>
      </c>
      <c r="K124" s="31" t="n">
        <v>0</v>
      </c>
      <c r="L124" s="32" t="n">
        <v>3</v>
      </c>
      <c r="M124" s="32" t="n">
        <v>22</v>
      </c>
      <c r="N124" s="31" t="n">
        <v>3967.87</v>
      </c>
      <c r="O124" s="31" t="n">
        <v>3967.87</v>
      </c>
      <c r="P124" s="22" t="n">
        <v>0</v>
      </c>
      <c r="Q124" s="22" t="n">
        <v>0</v>
      </c>
      <c r="R124" s="22" t="n">
        <v>0</v>
      </c>
    </row>
    <row r="125">
      <c r="A125" s="22" t="n">
        <v>201603</v>
      </c>
      <c r="B125" s="22" t="inlineStr">
        <is>
          <t>03/2016</t>
        </is>
      </c>
      <c r="C125" s="22" t="n">
        <v>38</v>
      </c>
      <c r="D125" s="22" t="inlineStr">
        <is>
          <t>S38</t>
        </is>
      </c>
      <c r="E125" s="22" t="inlineStr">
        <is>
          <t>Nexa Belfast (S38)</t>
        </is>
      </c>
      <c r="F125" s="22" t="inlineStr">
        <is>
          <t>Anh</t>
        </is>
      </c>
      <c r="G125" s="22" t="inlineStr">
        <is>
          <t>POS</t>
        </is>
      </c>
      <c r="H125" s="31" t="n">
        <v>6325.56</v>
      </c>
      <c r="I125" s="31" t="n">
        <v>0</v>
      </c>
      <c r="J125" s="31" t="n">
        <v>6325.56</v>
      </c>
      <c r="K125" s="31" t="n">
        <v>0</v>
      </c>
      <c r="L125" s="32" t="n">
        <v>3</v>
      </c>
      <c r="M125" s="32" t="n">
        <v>19</v>
      </c>
      <c r="N125" s="31" t="n">
        <v>6325.56</v>
      </c>
      <c r="O125" s="31" t="n">
        <v>6325.56</v>
      </c>
      <c r="P125" s="22" t="n">
        <v>0</v>
      </c>
      <c r="Q125" s="22" t="n">
        <v>0</v>
      </c>
      <c r="R125" s="22" t="n">
        <v>0</v>
      </c>
    </row>
    <row r="126">
      <c r="A126" s="22" t="n">
        <v>201603</v>
      </c>
      <c r="B126" s="22" t="inlineStr">
        <is>
          <t>03/2016</t>
        </is>
      </c>
      <c r="C126" s="22" t="n">
        <v>39</v>
      </c>
      <c r="D126" s="22" t="inlineStr">
        <is>
          <t>S39</t>
        </is>
      </c>
      <c r="E126" s="22" t="inlineStr">
        <is>
          <t>Nexa Blaenau Gwent (S39)</t>
        </is>
      </c>
      <c r="F126" s="22" t="inlineStr">
        <is>
          <t>Anh</t>
        </is>
      </c>
      <c r="G126" s="22" t="inlineStr">
        <is>
          <t>POS</t>
        </is>
      </c>
      <c r="H126" s="31" t="n">
        <v>11326.52</v>
      </c>
      <c r="I126" s="31" t="n">
        <v>16.85</v>
      </c>
      <c r="J126" s="31" t="n">
        <v>11309.67</v>
      </c>
      <c r="K126" s="31" t="n">
        <v>259.98</v>
      </c>
      <c r="L126" s="32" t="n">
        <v>4</v>
      </c>
      <c r="M126" s="32" t="n">
        <v>50</v>
      </c>
      <c r="N126" s="31" t="n">
        <v>11049.69</v>
      </c>
      <c r="O126" s="31" t="n">
        <v>11309.67</v>
      </c>
      <c r="P126" s="22" t="n">
        <v>0</v>
      </c>
      <c r="Q126" s="22" t="n">
        <v>0</v>
      </c>
      <c r="R126" s="22" t="n">
        <v>0</v>
      </c>
    </row>
    <row r="127">
      <c r="A127" s="22" t="n">
        <v>201603</v>
      </c>
      <c r="B127" s="22" t="inlineStr">
        <is>
          <t>03/2016</t>
        </is>
      </c>
      <c r="C127" s="22" t="n">
        <v>40</v>
      </c>
      <c r="D127" s="22" t="inlineStr">
        <is>
          <t>S40</t>
        </is>
      </c>
      <c r="E127" s="22" t="inlineStr">
        <is>
          <t>Nexa Dungannon and South Tyrone (S40)</t>
        </is>
      </c>
      <c r="F127" s="22" t="inlineStr">
        <is>
          <t>Anh</t>
        </is>
      </c>
      <c r="G127" s="22" t="inlineStr">
        <is>
          <t>POS</t>
        </is>
      </c>
      <c r="H127" s="31" t="n">
        <v>624</v>
      </c>
      <c r="I127" s="31" t="n">
        <v>0</v>
      </c>
      <c r="J127" s="31" t="n">
        <v>624</v>
      </c>
      <c r="K127" s="31" t="n">
        <v>0</v>
      </c>
      <c r="L127" s="32" t="n">
        <v>1</v>
      </c>
      <c r="M127" s="32" t="n">
        <v>2</v>
      </c>
      <c r="N127" s="31" t="n">
        <v>624</v>
      </c>
      <c r="O127" s="31" t="n">
        <v>624</v>
      </c>
      <c r="P127" s="22" t="n">
        <v>0</v>
      </c>
      <c r="Q127" s="22" t="n">
        <v>0</v>
      </c>
      <c r="R127" s="22" t="n">
        <v>0</v>
      </c>
    </row>
    <row r="128">
      <c r="A128" s="22" t="n">
        <v>201603</v>
      </c>
      <c r="B128" s="22" t="inlineStr">
        <is>
          <t>03/2016</t>
        </is>
      </c>
      <c r="C128" s="22" t="n">
        <v>41</v>
      </c>
      <c r="D128" s="22" t="inlineStr">
        <is>
          <t>S41</t>
        </is>
      </c>
      <c r="E128" s="22" t="inlineStr">
        <is>
          <t>Nexa Fermanagh (S41)</t>
        </is>
      </c>
      <c r="F128" s="22" t="inlineStr">
        <is>
          <t>Anh</t>
        </is>
      </c>
      <c r="G128" s="22" t="inlineStr">
        <is>
          <t>POS</t>
        </is>
      </c>
      <c r="H128" s="31" t="n">
        <v>519.9400000000001</v>
      </c>
      <c r="I128" s="31" t="n">
        <v>0</v>
      </c>
      <c r="J128" s="31" t="n">
        <v>519.9400000000001</v>
      </c>
      <c r="K128" s="31" t="n">
        <v>0</v>
      </c>
      <c r="L128" s="32" t="n">
        <v>1</v>
      </c>
      <c r="M128" s="32" t="n">
        <v>2</v>
      </c>
      <c r="N128" s="31" t="n">
        <v>519.9400000000001</v>
      </c>
      <c r="O128" s="31" t="n">
        <v>519.9400000000001</v>
      </c>
      <c r="P128" s="22" t="n">
        <v>0</v>
      </c>
      <c r="Q128" s="22" t="n">
        <v>0</v>
      </c>
      <c r="R128" s="22" t="n">
        <v>0</v>
      </c>
    </row>
    <row r="129">
      <c r="A129" s="22" t="n">
        <v>201603</v>
      </c>
      <c r="B129" s="22" t="inlineStr">
        <is>
          <t>03/2016</t>
        </is>
      </c>
      <c r="C129" s="22" t="n">
        <v>42</v>
      </c>
      <c r="D129" s="22" t="inlineStr">
        <is>
          <t>S42</t>
        </is>
      </c>
      <c r="E129" s="22" t="inlineStr">
        <is>
          <t>Nexa North Down (S42)</t>
        </is>
      </c>
      <c r="F129" s="22" t="inlineStr">
        <is>
          <t>Anh</t>
        </is>
      </c>
      <c r="G129" s="22" t="inlineStr">
        <is>
          <t>POS</t>
        </is>
      </c>
      <c r="H129" s="31" t="n">
        <v>5536.09</v>
      </c>
      <c r="I129" s="31" t="n">
        <v>0</v>
      </c>
      <c r="J129" s="31" t="n">
        <v>5536.09</v>
      </c>
      <c r="K129" s="31" t="n">
        <v>0</v>
      </c>
      <c r="L129" s="32" t="n">
        <v>3</v>
      </c>
      <c r="M129" s="32" t="n">
        <v>23</v>
      </c>
      <c r="N129" s="31" t="n">
        <v>5536.09</v>
      </c>
      <c r="O129" s="31" t="n">
        <v>5536.09</v>
      </c>
      <c r="P129" s="22" t="n">
        <v>0</v>
      </c>
      <c r="Q129" s="22" t="n">
        <v>0</v>
      </c>
      <c r="R129" s="22" t="n">
        <v>0</v>
      </c>
    </row>
    <row r="130">
      <c r="A130" s="22" t="n">
        <v>201603</v>
      </c>
      <c r="B130" s="22" t="inlineStr">
        <is>
          <t>03/2016</t>
        </is>
      </c>
      <c r="C130" s="22" t="n">
        <v>43</v>
      </c>
      <c r="D130" s="22" t="inlineStr">
        <is>
          <t>S43</t>
        </is>
      </c>
      <c r="E130" s="22" t="inlineStr">
        <is>
          <t>Nexa Alaska (S43)</t>
        </is>
      </c>
      <c r="F130" s="22" t="inlineStr">
        <is>
          <t>Mỹ</t>
        </is>
      </c>
      <c r="G130" s="22" t="inlineStr">
        <is>
          <t>POS</t>
        </is>
      </c>
      <c r="H130" s="31" t="n">
        <v>4382.54</v>
      </c>
      <c r="I130" s="31" t="n">
        <v>0</v>
      </c>
      <c r="J130" s="31" t="n">
        <v>4382.54</v>
      </c>
      <c r="K130" s="31" t="n">
        <v>280.52</v>
      </c>
      <c r="L130" s="32" t="n">
        <v>3</v>
      </c>
      <c r="M130" s="32" t="n">
        <v>11</v>
      </c>
      <c r="N130" s="31" t="n">
        <v>4102.02</v>
      </c>
      <c r="O130" s="31" t="n">
        <v>4382.54</v>
      </c>
      <c r="P130" s="22" t="n">
        <v>0</v>
      </c>
      <c r="Q130" s="22" t="n">
        <v>0</v>
      </c>
      <c r="R130" s="22" t="n">
        <v>0</v>
      </c>
    </row>
    <row r="131">
      <c r="A131" s="22" t="n">
        <v>201603</v>
      </c>
      <c r="B131" s="22" t="inlineStr">
        <is>
          <t>03/2016</t>
        </is>
      </c>
      <c r="C131" s="22" t="n">
        <v>45</v>
      </c>
      <c r="D131" s="22" t="inlineStr">
        <is>
          <t>S45</t>
        </is>
      </c>
      <c r="E131" s="22" t="inlineStr">
        <is>
          <t>Nexa Connecticut (S45)</t>
        </is>
      </c>
      <c r="F131" s="22" t="inlineStr">
        <is>
          <t>Mỹ</t>
        </is>
      </c>
      <c r="G131" s="22" t="inlineStr">
        <is>
          <t>POS</t>
        </is>
      </c>
      <c r="H131" s="31" t="n">
        <v>14693.29</v>
      </c>
      <c r="I131" s="31" t="n">
        <v>0</v>
      </c>
      <c r="J131" s="31" t="n">
        <v>14693.29</v>
      </c>
      <c r="K131" s="31" t="n">
        <v>339.89</v>
      </c>
      <c r="L131" s="32" t="n">
        <v>6</v>
      </c>
      <c r="M131" s="32" t="n">
        <v>41</v>
      </c>
      <c r="N131" s="31" t="n">
        <v>14353.4</v>
      </c>
      <c r="O131" s="31" t="n">
        <v>14693.29</v>
      </c>
      <c r="P131" s="22" t="n">
        <v>0</v>
      </c>
      <c r="Q131" s="22" t="n">
        <v>0</v>
      </c>
      <c r="R131" s="22" t="n">
        <v>0</v>
      </c>
    </row>
    <row r="132">
      <c r="A132" s="22" t="n">
        <v>201603</v>
      </c>
      <c r="B132" s="22" t="inlineStr">
        <is>
          <t>03/2016</t>
        </is>
      </c>
      <c r="C132" s="22" t="n">
        <v>47</v>
      </c>
      <c r="D132" s="22" t="inlineStr">
        <is>
          <t>S47</t>
        </is>
      </c>
      <c r="E132" s="22" t="inlineStr">
        <is>
          <t>Nexa Hawaii (S47)</t>
        </is>
      </c>
      <c r="F132" s="22" t="inlineStr">
        <is>
          <t>Mỹ</t>
        </is>
      </c>
      <c r="G132" s="22" t="inlineStr">
        <is>
          <t>POS</t>
        </is>
      </c>
      <c r="H132" s="31" t="n">
        <v>432.1</v>
      </c>
      <c r="I132" s="31" t="n">
        <v>0</v>
      </c>
      <c r="J132" s="31" t="n">
        <v>432.1</v>
      </c>
      <c r="K132" s="31" t="n">
        <v>359.98</v>
      </c>
      <c r="L132" s="32" t="n">
        <v>1</v>
      </c>
      <c r="M132" s="32" t="n">
        <v>10</v>
      </c>
      <c r="N132" s="31" t="n">
        <v>72.12</v>
      </c>
      <c r="O132" s="31" t="n">
        <v>432.1</v>
      </c>
      <c r="P132" s="22" t="n">
        <v>0</v>
      </c>
      <c r="Q132" s="22" t="n">
        <v>0</v>
      </c>
      <c r="R132" s="22" t="n">
        <v>0</v>
      </c>
    </row>
    <row r="133">
      <c r="A133" s="22" t="n">
        <v>201603</v>
      </c>
      <c r="B133" s="22" t="inlineStr">
        <is>
          <t>03/2016</t>
        </is>
      </c>
      <c r="C133" s="22" t="n">
        <v>48</v>
      </c>
      <c r="D133" s="22" t="inlineStr">
        <is>
          <t>S48</t>
        </is>
      </c>
      <c r="E133" s="22" t="inlineStr">
        <is>
          <t>Nexa Idaho (S48)</t>
        </is>
      </c>
      <c r="F133" s="22" t="inlineStr">
        <is>
          <t>Mỹ</t>
        </is>
      </c>
      <c r="G133" s="22" t="inlineStr">
        <is>
          <t>POS</t>
        </is>
      </c>
      <c r="H133" s="31" t="n">
        <v>44992.42</v>
      </c>
      <c r="I133" s="31" t="n">
        <v>0</v>
      </c>
      <c r="J133" s="31" t="n">
        <v>44992.42</v>
      </c>
      <c r="K133" s="31" t="n">
        <v>19199.94</v>
      </c>
      <c r="L133" s="32" t="n">
        <v>5</v>
      </c>
      <c r="M133" s="32" t="n">
        <v>41</v>
      </c>
      <c r="N133" s="31" t="n">
        <v>25792.48</v>
      </c>
      <c r="O133" s="31" t="n">
        <v>44992.42</v>
      </c>
      <c r="P133" s="22" t="n">
        <v>0</v>
      </c>
      <c r="Q133" s="22" t="n">
        <v>0</v>
      </c>
      <c r="R133" s="22" t="n">
        <v>0</v>
      </c>
    </row>
    <row r="134">
      <c r="A134" s="22" t="n">
        <v>201603</v>
      </c>
      <c r="B134" s="22" t="inlineStr">
        <is>
          <t>03/2016</t>
        </is>
      </c>
      <c r="C134" s="22" t="n">
        <v>50</v>
      </c>
      <c r="D134" s="22" t="inlineStr">
        <is>
          <t>S50</t>
        </is>
      </c>
      <c r="E134" s="22" t="inlineStr">
        <is>
          <t>Nexa Kansas (S50)</t>
        </is>
      </c>
      <c r="F134" s="22" t="inlineStr">
        <is>
          <t>Mỹ</t>
        </is>
      </c>
      <c r="G134" s="22" t="inlineStr">
        <is>
          <t>POS</t>
        </is>
      </c>
      <c r="H134" s="31" t="n">
        <v>1675.75</v>
      </c>
      <c r="I134" s="31" t="n">
        <v>0</v>
      </c>
      <c r="J134" s="31" t="n">
        <v>1675.75</v>
      </c>
      <c r="K134" s="31" t="n">
        <v>0</v>
      </c>
      <c r="L134" s="32" t="n">
        <v>3</v>
      </c>
      <c r="M134" s="32" t="n">
        <v>13</v>
      </c>
      <c r="N134" s="31" t="n">
        <v>1675.75</v>
      </c>
      <c r="O134" s="31" t="n">
        <v>1675.75</v>
      </c>
      <c r="P134" s="22" t="n">
        <v>0</v>
      </c>
      <c r="Q134" s="22" t="n">
        <v>0</v>
      </c>
      <c r="R134" s="22" t="n">
        <v>0</v>
      </c>
    </row>
    <row r="135">
      <c r="A135" s="22" t="n">
        <v>201603</v>
      </c>
      <c r="B135" s="22" t="inlineStr">
        <is>
          <t>03/2016</t>
        </is>
      </c>
      <c r="C135" s="22" t="n">
        <v>51</v>
      </c>
      <c r="D135" s="22" t="inlineStr">
        <is>
          <t>S51</t>
        </is>
      </c>
      <c r="E135" s="22" t="inlineStr">
        <is>
          <t>Nexa Maine (S51)</t>
        </is>
      </c>
      <c r="F135" s="22" t="inlineStr">
        <is>
          <t>Mỹ</t>
        </is>
      </c>
      <c r="G135" s="22" t="inlineStr">
        <is>
          <t>POS</t>
        </is>
      </c>
      <c r="H135" s="31" t="n">
        <v>5344.92</v>
      </c>
      <c r="I135" s="31" t="n">
        <v>0</v>
      </c>
      <c r="J135" s="31" t="n">
        <v>5344.92</v>
      </c>
      <c r="K135" s="31" t="n">
        <v>0</v>
      </c>
      <c r="L135" s="32" t="n">
        <v>1</v>
      </c>
      <c r="M135" s="32" t="n">
        <v>14</v>
      </c>
      <c r="N135" s="31" t="n">
        <v>5344.92</v>
      </c>
      <c r="O135" s="31" t="n">
        <v>5344.92</v>
      </c>
      <c r="P135" s="22" t="n">
        <v>0</v>
      </c>
      <c r="Q135" s="22" t="n">
        <v>0</v>
      </c>
      <c r="R135" s="22" t="n">
        <v>0</v>
      </c>
    </row>
    <row r="136">
      <c r="A136" s="22" t="n">
        <v>201603</v>
      </c>
      <c r="B136" s="22" t="inlineStr">
        <is>
          <t>03/2016</t>
        </is>
      </c>
      <c r="C136" s="22" t="n">
        <v>53</v>
      </c>
      <c r="D136" s="22" t="inlineStr">
        <is>
          <t>S53</t>
        </is>
      </c>
      <c r="E136" s="22" t="inlineStr">
        <is>
          <t>Nexa Montana (S53)</t>
        </is>
      </c>
      <c r="F136" s="22" t="inlineStr">
        <is>
          <t>Mỹ</t>
        </is>
      </c>
      <c r="G136" s="22" t="inlineStr">
        <is>
          <t>POS</t>
        </is>
      </c>
      <c r="H136" s="31" t="n">
        <v>4781.12</v>
      </c>
      <c r="I136" s="31" t="n">
        <v>0</v>
      </c>
      <c r="J136" s="31" t="n">
        <v>4781.12</v>
      </c>
      <c r="K136" s="31" t="n">
        <v>17.98</v>
      </c>
      <c r="L136" s="32" t="n">
        <v>3</v>
      </c>
      <c r="M136" s="32" t="n">
        <v>36</v>
      </c>
      <c r="N136" s="31" t="n">
        <v>4763.14</v>
      </c>
      <c r="O136" s="31" t="n">
        <v>4781.12</v>
      </c>
      <c r="P136" s="22" t="n">
        <v>0</v>
      </c>
      <c r="Q136" s="22" t="n">
        <v>0</v>
      </c>
      <c r="R136" s="22" t="n">
        <v>0</v>
      </c>
    </row>
    <row r="137">
      <c r="A137" s="22" t="n">
        <v>201603</v>
      </c>
      <c r="B137" s="22" t="inlineStr">
        <is>
          <t>03/2016</t>
        </is>
      </c>
      <c r="C137" s="22" t="n">
        <v>54</v>
      </c>
      <c r="D137" s="22" t="inlineStr">
        <is>
          <t>S54</t>
        </is>
      </c>
      <c r="E137" s="22" t="inlineStr">
        <is>
          <t>Nexa Nebraska (S54)</t>
        </is>
      </c>
      <c r="F137" s="22" t="inlineStr">
        <is>
          <t>Mỹ</t>
        </is>
      </c>
      <c r="G137" s="22" t="inlineStr">
        <is>
          <t>POS</t>
        </is>
      </c>
      <c r="H137" s="31" t="n">
        <v>966.99</v>
      </c>
      <c r="I137" s="31" t="n">
        <v>0</v>
      </c>
      <c r="J137" s="31" t="n">
        <v>966.99</v>
      </c>
      <c r="K137" s="31" t="n">
        <v>0</v>
      </c>
      <c r="L137" s="32" t="n">
        <v>2</v>
      </c>
      <c r="M137" s="32" t="n">
        <v>8</v>
      </c>
      <c r="N137" s="31" t="n">
        <v>966.99</v>
      </c>
      <c r="O137" s="31" t="n">
        <v>966.99</v>
      </c>
      <c r="P137" s="22" t="n">
        <v>0</v>
      </c>
      <c r="Q137" s="22" t="n">
        <v>0</v>
      </c>
      <c r="R137" s="22" t="n">
        <v>0</v>
      </c>
    </row>
    <row r="138">
      <c r="A138" s="22" t="n">
        <v>201603</v>
      </c>
      <c r="B138" s="22" t="inlineStr">
        <is>
          <t>03/2016</t>
        </is>
      </c>
      <c r="C138" s="22" t="n">
        <v>55</v>
      </c>
      <c r="D138" s="22" t="inlineStr">
        <is>
          <t>S55</t>
        </is>
      </c>
      <c r="E138" s="22" t="inlineStr">
        <is>
          <t>Nexa Nevada (S55)</t>
        </is>
      </c>
      <c r="F138" s="22" t="inlineStr">
        <is>
          <t>Mỹ</t>
        </is>
      </c>
      <c r="G138" s="22" t="inlineStr">
        <is>
          <t>POS</t>
        </is>
      </c>
      <c r="H138" s="31" t="n">
        <v>20167.79</v>
      </c>
      <c r="I138" s="31" t="n">
        <v>0</v>
      </c>
      <c r="J138" s="31" t="n">
        <v>20167.79</v>
      </c>
      <c r="K138" s="31" t="n">
        <v>0</v>
      </c>
      <c r="L138" s="32" t="n">
        <v>2</v>
      </c>
      <c r="M138" s="32" t="n">
        <v>24</v>
      </c>
      <c r="N138" s="31" t="n">
        <v>20167.79</v>
      </c>
      <c r="O138" s="31" t="n">
        <v>20167.79</v>
      </c>
      <c r="P138" s="22" t="n">
        <v>0</v>
      </c>
      <c r="Q138" s="22" t="n">
        <v>0</v>
      </c>
      <c r="R138" s="22" t="n">
        <v>0</v>
      </c>
    </row>
    <row r="139">
      <c r="A139" s="22" t="n">
        <v>201603</v>
      </c>
      <c r="B139" s="22" t="inlineStr">
        <is>
          <t>03/2016</t>
        </is>
      </c>
      <c r="C139" s="22" t="n">
        <v>57</v>
      </c>
      <c r="D139" s="22" t="inlineStr">
        <is>
          <t>S57</t>
        </is>
      </c>
      <c r="E139" s="22" t="inlineStr">
        <is>
          <t>Nexa New Mexico (S57)</t>
        </is>
      </c>
      <c r="F139" s="22" t="inlineStr">
        <is>
          <t>Mỹ</t>
        </is>
      </c>
      <c r="G139" s="22" t="inlineStr">
        <is>
          <t>POS</t>
        </is>
      </c>
      <c r="H139" s="31" t="n">
        <v>4861.24</v>
      </c>
      <c r="I139" s="31" t="n">
        <v>0</v>
      </c>
      <c r="J139" s="31" t="n">
        <v>4861.24</v>
      </c>
      <c r="K139" s="31" t="n">
        <v>299.99</v>
      </c>
      <c r="L139" s="32" t="n">
        <v>4</v>
      </c>
      <c r="M139" s="32" t="n">
        <v>20</v>
      </c>
      <c r="N139" s="31" t="n">
        <v>4561.25</v>
      </c>
      <c r="O139" s="31" t="n">
        <v>4861.24</v>
      </c>
      <c r="P139" s="22" t="n">
        <v>0</v>
      </c>
      <c r="Q139" s="22" t="n">
        <v>0</v>
      </c>
      <c r="R139" s="22" t="n">
        <v>0</v>
      </c>
    </row>
    <row r="140">
      <c r="A140" s="22" t="n">
        <v>201603</v>
      </c>
      <c r="B140" s="22" t="inlineStr">
        <is>
          <t>03/2016</t>
        </is>
      </c>
      <c r="C140" s="22" t="n">
        <v>59</v>
      </c>
      <c r="D140" s="22" t="inlineStr">
        <is>
          <t>S59</t>
        </is>
      </c>
      <c r="E140" s="22" t="inlineStr">
        <is>
          <t>Nexa Oregon (S59)</t>
        </is>
      </c>
      <c r="F140" s="22" t="inlineStr">
        <is>
          <t>Mỹ</t>
        </is>
      </c>
      <c r="G140" s="22" t="inlineStr">
        <is>
          <t>POS</t>
        </is>
      </c>
      <c r="H140" s="31" t="n">
        <v>6252.76</v>
      </c>
      <c r="I140" s="31" t="n">
        <v>0</v>
      </c>
      <c r="J140" s="31" t="n">
        <v>6252.76</v>
      </c>
      <c r="K140" s="31" t="n">
        <v>327.78</v>
      </c>
      <c r="L140" s="32" t="n">
        <v>5</v>
      </c>
      <c r="M140" s="32" t="n">
        <v>33</v>
      </c>
      <c r="N140" s="31" t="n">
        <v>5924.98</v>
      </c>
      <c r="O140" s="31" t="n">
        <v>6252.76</v>
      </c>
      <c r="P140" s="22" t="n">
        <v>0</v>
      </c>
      <c r="Q140" s="22" t="n">
        <v>0</v>
      </c>
      <c r="R140" s="22" t="n">
        <v>0</v>
      </c>
    </row>
    <row r="141">
      <c r="A141" s="22" t="n">
        <v>201603</v>
      </c>
      <c r="B141" s="22" t="inlineStr">
        <is>
          <t>03/2016</t>
        </is>
      </c>
      <c r="C141" s="22" t="n">
        <v>61</v>
      </c>
      <c r="D141" s="22" t="inlineStr">
        <is>
          <t>S61</t>
        </is>
      </c>
      <c r="E141" s="22" t="inlineStr">
        <is>
          <t>Nexa South Carolina (S61)</t>
        </is>
      </c>
      <c r="F141" s="22" t="inlineStr">
        <is>
          <t>Mỹ</t>
        </is>
      </c>
      <c r="G141" s="22" t="inlineStr">
        <is>
          <t>POS</t>
        </is>
      </c>
      <c r="H141" s="31" t="n">
        <v>21282.1</v>
      </c>
      <c r="I141" s="31" t="n">
        <v>0</v>
      </c>
      <c r="J141" s="31" t="n">
        <v>21282.1</v>
      </c>
      <c r="K141" s="31" t="n">
        <v>0</v>
      </c>
      <c r="L141" s="32" t="n">
        <v>4</v>
      </c>
      <c r="M141" s="32" t="n">
        <v>48</v>
      </c>
      <c r="N141" s="31" t="n">
        <v>21090.3</v>
      </c>
      <c r="O141" s="31" t="n">
        <v>21282.1</v>
      </c>
      <c r="P141" s="22" t="n">
        <v>0</v>
      </c>
      <c r="Q141" s="22" t="n">
        <v>0</v>
      </c>
      <c r="R141" s="22" t="n">
        <v>0</v>
      </c>
    </row>
    <row r="142">
      <c r="A142" s="22" t="n">
        <v>201603</v>
      </c>
      <c r="B142" s="22" t="inlineStr">
        <is>
          <t>03/2016</t>
        </is>
      </c>
      <c r="C142" s="22" t="n">
        <v>63</v>
      </c>
      <c r="D142" s="22" t="inlineStr">
        <is>
          <t>S63</t>
        </is>
      </c>
      <c r="E142" s="22" t="inlineStr">
        <is>
          <t>Nexa Utah (S63)</t>
        </is>
      </c>
      <c r="F142" s="22" t="inlineStr">
        <is>
          <t>Mỹ</t>
        </is>
      </c>
      <c r="G142" s="22" t="inlineStr">
        <is>
          <t>POS</t>
        </is>
      </c>
      <c r="H142" s="31" t="n">
        <v>1926.7</v>
      </c>
      <c r="I142" s="31" t="n">
        <v>0</v>
      </c>
      <c r="J142" s="31" t="n">
        <v>1926.7</v>
      </c>
      <c r="K142" s="31" t="n">
        <v>0</v>
      </c>
      <c r="L142" s="32" t="n">
        <v>1</v>
      </c>
      <c r="M142" s="32" t="n">
        <v>10</v>
      </c>
      <c r="N142" s="31" t="n">
        <v>1926.7</v>
      </c>
      <c r="O142" s="31" t="n">
        <v>1926.7</v>
      </c>
      <c r="P142" s="22" t="n">
        <v>1</v>
      </c>
      <c r="Q142" s="22" t="n">
        <v>0</v>
      </c>
      <c r="R142" s="22" t="n">
        <v>0</v>
      </c>
    </row>
    <row r="143">
      <c r="A143" s="22" t="n">
        <v>201603</v>
      </c>
      <c r="B143" s="22" t="inlineStr">
        <is>
          <t>03/2016</t>
        </is>
      </c>
      <c r="C143" s="22" t="n">
        <v>64</v>
      </c>
      <c r="D143" s="22" t="inlineStr">
        <is>
          <t>S64</t>
        </is>
      </c>
      <c r="E143" s="22" t="inlineStr">
        <is>
          <t>Nexa Washington DC (S64)</t>
        </is>
      </c>
      <c r="F143" s="22" t="inlineStr">
        <is>
          <t>Mỹ</t>
        </is>
      </c>
      <c r="G143" s="22" t="inlineStr">
        <is>
          <t>POS</t>
        </is>
      </c>
      <c r="H143" s="31" t="n">
        <v>21854.43</v>
      </c>
      <c r="I143" s="31" t="n">
        <v>610.05</v>
      </c>
      <c r="J143" s="31" t="n">
        <v>21244.38</v>
      </c>
      <c r="K143" s="31" t="n">
        <v>0</v>
      </c>
      <c r="L143" s="32" t="n">
        <v>3</v>
      </c>
      <c r="M143" s="32" t="n">
        <v>49</v>
      </c>
      <c r="N143" s="31" t="n">
        <v>21244.38</v>
      </c>
      <c r="O143" s="31" t="n">
        <v>21244.38</v>
      </c>
      <c r="P143" s="22" t="n">
        <v>0</v>
      </c>
      <c r="Q143" s="22" t="n">
        <v>0</v>
      </c>
      <c r="R143" s="22" t="n">
        <v>0</v>
      </c>
    </row>
    <row r="144">
      <c r="A144" s="22" t="n">
        <v>201603</v>
      </c>
      <c r="B144" s="22" t="inlineStr">
        <is>
          <t>03/2016</t>
        </is>
      </c>
      <c r="C144" s="22" t="n">
        <v>65</v>
      </c>
      <c r="D144" s="22" t="inlineStr">
        <is>
          <t>S65</t>
        </is>
      </c>
      <c r="E144" s="22" t="inlineStr">
        <is>
          <t>Nexa West Virginia (S65)</t>
        </is>
      </c>
      <c r="F144" s="22" t="inlineStr">
        <is>
          <t>Mỹ</t>
        </is>
      </c>
      <c r="G144" s="22" t="inlineStr">
        <is>
          <t>POS</t>
        </is>
      </c>
      <c r="H144" s="31" t="n">
        <v>2023</v>
      </c>
      <c r="I144" s="31" t="n">
        <v>0</v>
      </c>
      <c r="J144" s="31" t="n">
        <v>2023</v>
      </c>
      <c r="K144" s="31" t="n">
        <v>0</v>
      </c>
      <c r="L144" s="32" t="n">
        <v>1</v>
      </c>
      <c r="M144" s="32" t="n">
        <v>9</v>
      </c>
      <c r="N144" s="31" t="n">
        <v>2023</v>
      </c>
      <c r="O144" s="31" t="n">
        <v>2023</v>
      </c>
      <c r="P144" s="22" t="n">
        <v>0</v>
      </c>
      <c r="Q144" s="22" t="n">
        <v>0</v>
      </c>
      <c r="R144" s="22" t="n">
        <v>0</v>
      </c>
    </row>
    <row r="145">
      <c r="A145" s="22" t="n">
        <v>201603</v>
      </c>
      <c r="B145" s="22" t="inlineStr">
        <is>
          <t>03/2016</t>
        </is>
      </c>
      <c r="C145" s="22" t="n">
        <v>66</v>
      </c>
      <c r="D145" s="22" t="inlineStr">
        <is>
          <t>S66</t>
        </is>
      </c>
      <c r="E145" s="22" t="inlineStr">
        <is>
          <t>Nexa Wyoming (S66)</t>
        </is>
      </c>
      <c r="F145" s="22" t="inlineStr">
        <is>
          <t>Mỹ</t>
        </is>
      </c>
      <c r="G145" s="22" t="inlineStr">
        <is>
          <t>POS</t>
        </is>
      </c>
      <c r="H145" s="31" t="n">
        <v>6949.45</v>
      </c>
      <c r="I145" s="31" t="n">
        <v>0</v>
      </c>
      <c r="J145" s="31" t="n">
        <v>6949.45</v>
      </c>
      <c r="K145" s="31" t="n">
        <v>469.97</v>
      </c>
      <c r="L145" s="32" t="n">
        <v>2</v>
      </c>
      <c r="M145" s="32" t="n">
        <v>15</v>
      </c>
      <c r="N145" s="31" t="n">
        <v>6479.48</v>
      </c>
      <c r="O145" s="31" t="n">
        <v>6949.45</v>
      </c>
      <c r="P145" s="22" t="n">
        <v>0</v>
      </c>
      <c r="Q145" s="22" t="n">
        <v>0</v>
      </c>
      <c r="R145" s="22" t="n">
        <v>0</v>
      </c>
    </row>
    <row r="146">
      <c r="A146" s="22" t="n">
        <v>201604</v>
      </c>
      <c r="B146" s="22" t="inlineStr">
        <is>
          <t>04/2016</t>
        </is>
      </c>
      <c r="C146" s="22" t="n">
        <v>0</v>
      </c>
      <c r="D146" s="22" t="inlineStr">
        <is>
          <t>ONL</t>
        </is>
      </c>
      <c r="E146" s="22" t="inlineStr">
        <is>
          <t>Nexa Online (website/app)</t>
        </is>
      </c>
      <c r="F146" s="22" t="inlineStr">
        <is>
          <t>Online</t>
        </is>
      </c>
      <c r="G146" s="22" t="inlineStr">
        <is>
          <t>ONLINE</t>
        </is>
      </c>
      <c r="H146" s="31" t="n">
        <v>15898.22</v>
      </c>
      <c r="I146" s="31" t="n">
        <v>0</v>
      </c>
      <c r="J146" s="31" t="n">
        <v>15898.22</v>
      </c>
      <c r="K146" s="31" t="n">
        <v>27.65</v>
      </c>
      <c r="L146" s="32" t="n">
        <v>5</v>
      </c>
      <c r="M146" s="32" t="n">
        <v>44</v>
      </c>
      <c r="N146" s="31" t="n">
        <v>-27.65</v>
      </c>
      <c r="O146" s="31" t="n">
        <v>0</v>
      </c>
      <c r="P146" s="22" t="n">
        <v>0</v>
      </c>
      <c r="Q146" s="22" t="n">
        <v>0</v>
      </c>
      <c r="R146" s="22" t="n">
        <v>0</v>
      </c>
    </row>
    <row r="147">
      <c r="A147" s="22" t="n">
        <v>201604</v>
      </c>
      <c r="B147" s="22" t="inlineStr">
        <is>
          <t>04/2016</t>
        </is>
      </c>
      <c r="C147" s="22" t="n">
        <v>2</v>
      </c>
      <c r="D147" s="22" t="inlineStr">
        <is>
          <t>S02</t>
        </is>
      </c>
      <c r="E147" s="22" t="inlineStr">
        <is>
          <t>Nexa Northern Territory (S02)</t>
        </is>
      </c>
      <c r="F147" s="22" t="inlineStr">
        <is>
          <t>Úc</t>
        </is>
      </c>
      <c r="G147" s="22" t="inlineStr">
        <is>
          <t>POS</t>
        </is>
      </c>
      <c r="H147" s="31" t="n">
        <v>2359.53</v>
      </c>
      <c r="I147" s="31" t="n">
        <v>0</v>
      </c>
      <c r="J147" s="31" t="n">
        <v>2359.53</v>
      </c>
      <c r="K147" s="31" t="n">
        <v>0</v>
      </c>
      <c r="L147" s="32" t="n">
        <v>1</v>
      </c>
      <c r="M147" s="32" t="n">
        <v>17</v>
      </c>
      <c r="N147" s="31" t="n">
        <v>2359.53</v>
      </c>
      <c r="O147" s="31" t="n">
        <v>2359.53</v>
      </c>
      <c r="P147" s="22" t="n">
        <v>0</v>
      </c>
      <c r="Q147" s="22" t="n">
        <v>0</v>
      </c>
      <c r="R147" s="22" t="n">
        <v>0</v>
      </c>
    </row>
    <row r="148">
      <c r="A148" s="22" t="n">
        <v>201604</v>
      </c>
      <c r="B148" s="22" t="inlineStr">
        <is>
          <t>04/2016</t>
        </is>
      </c>
      <c r="C148" s="22" t="n">
        <v>4</v>
      </c>
      <c r="D148" s="22" t="inlineStr">
        <is>
          <t>S04</t>
        </is>
      </c>
      <c r="E148" s="22" t="inlineStr">
        <is>
          <t>Nexa Tasmania (S04)</t>
        </is>
      </c>
      <c r="F148" s="22" t="inlineStr">
        <is>
          <t>Úc</t>
        </is>
      </c>
      <c r="G148" s="22" t="inlineStr">
        <is>
          <t>POS</t>
        </is>
      </c>
      <c r="H148" s="31" t="n">
        <v>3004.89</v>
      </c>
      <c r="I148" s="31" t="n">
        <v>0</v>
      </c>
      <c r="J148" s="31" t="n">
        <v>3004.89</v>
      </c>
      <c r="K148" s="31" t="n">
        <v>0</v>
      </c>
      <c r="L148" s="32" t="n">
        <v>2</v>
      </c>
      <c r="M148" s="32" t="n">
        <v>14</v>
      </c>
      <c r="N148" s="31" t="n">
        <v>3004.89</v>
      </c>
      <c r="O148" s="31" t="n">
        <v>3004.89</v>
      </c>
      <c r="P148" s="22" t="n">
        <v>0</v>
      </c>
      <c r="Q148" s="22" t="n">
        <v>0</v>
      </c>
      <c r="R148" s="22" t="n">
        <v>0</v>
      </c>
    </row>
    <row r="149">
      <c r="A149" s="22" t="n">
        <v>201604</v>
      </c>
      <c r="B149" s="22" t="inlineStr">
        <is>
          <t>04/2016</t>
        </is>
      </c>
      <c r="C149" s="22" t="n">
        <v>5</v>
      </c>
      <c r="D149" s="22" t="inlineStr">
        <is>
          <t>S05</t>
        </is>
      </c>
      <c r="E149" s="22" t="inlineStr">
        <is>
          <t>Nexa Victoria (S05)</t>
        </is>
      </c>
      <c r="F149" s="22" t="inlineStr">
        <is>
          <t>Úc</t>
        </is>
      </c>
      <c r="G149" s="22" t="inlineStr">
        <is>
          <t>POS</t>
        </is>
      </c>
      <c r="H149" s="31" t="n">
        <v>11180.91</v>
      </c>
      <c r="I149" s="31" t="n">
        <v>0</v>
      </c>
      <c r="J149" s="31" t="n">
        <v>11180.91</v>
      </c>
      <c r="K149" s="31" t="n">
        <v>0</v>
      </c>
      <c r="L149" s="32" t="n">
        <v>1</v>
      </c>
      <c r="M149" s="32" t="n">
        <v>12</v>
      </c>
      <c r="N149" s="31" t="n">
        <v>11180.91</v>
      </c>
      <c r="O149" s="31" t="n">
        <v>11180.91</v>
      </c>
      <c r="P149" s="22" t="n">
        <v>0</v>
      </c>
      <c r="Q149" s="22" t="n">
        <v>0</v>
      </c>
      <c r="R149" s="22" t="n">
        <v>0</v>
      </c>
    </row>
    <row r="150">
      <c r="A150" s="22" t="n">
        <v>201604</v>
      </c>
      <c r="B150" s="22" t="inlineStr">
        <is>
          <t>04/2016</t>
        </is>
      </c>
      <c r="C150" s="22" t="n">
        <v>6</v>
      </c>
      <c r="D150" s="22" t="inlineStr">
        <is>
          <t>S06</t>
        </is>
      </c>
      <c r="E150" s="22" t="inlineStr">
        <is>
          <t>Nexa Western Australia (S06)</t>
        </is>
      </c>
      <c r="F150" s="22" t="inlineStr">
        <is>
          <t>Úc</t>
        </is>
      </c>
      <c r="G150" s="22" t="inlineStr">
        <is>
          <t>POS</t>
        </is>
      </c>
      <c r="H150" s="31" t="n">
        <v>526.97</v>
      </c>
      <c r="I150" s="31" t="n">
        <v>0</v>
      </c>
      <c r="J150" s="31" t="n">
        <v>526.97</v>
      </c>
      <c r="K150" s="31" t="n">
        <v>0</v>
      </c>
      <c r="L150" s="32" t="n">
        <v>1</v>
      </c>
      <c r="M150" s="32" t="n">
        <v>4</v>
      </c>
      <c r="N150" s="31" t="n">
        <v>526.97</v>
      </c>
      <c r="O150" s="31" t="n">
        <v>526.97</v>
      </c>
      <c r="P150" s="22" t="n">
        <v>0</v>
      </c>
      <c r="Q150" s="22" t="n">
        <v>0</v>
      </c>
      <c r="R150" s="22" t="n">
        <v>0</v>
      </c>
    </row>
    <row r="151">
      <c r="A151" s="22" t="n">
        <v>201604</v>
      </c>
      <c r="B151" s="22" t="inlineStr">
        <is>
          <t>04/2016</t>
        </is>
      </c>
      <c r="C151" s="22" t="n">
        <v>8</v>
      </c>
      <c r="D151" s="22" t="inlineStr">
        <is>
          <t>S08</t>
        </is>
      </c>
      <c r="E151" s="22" t="inlineStr">
        <is>
          <t>Nexa Newfoundland and Labrador (S08)</t>
        </is>
      </c>
      <c r="F151" s="22" t="inlineStr">
        <is>
          <t>Canada</t>
        </is>
      </c>
      <c r="G151" s="22" t="inlineStr">
        <is>
          <t>POS</t>
        </is>
      </c>
      <c r="H151" s="31" t="n">
        <v>1863.18</v>
      </c>
      <c r="I151" s="31" t="n">
        <v>0</v>
      </c>
      <c r="J151" s="31" t="n">
        <v>1863.18</v>
      </c>
      <c r="K151" s="31" t="n">
        <v>0</v>
      </c>
      <c r="L151" s="32" t="n">
        <v>2</v>
      </c>
      <c r="M151" s="32" t="n">
        <v>9</v>
      </c>
      <c r="N151" s="31" t="n">
        <v>1863.18</v>
      </c>
      <c r="O151" s="31" t="n">
        <v>1863.18</v>
      </c>
      <c r="P151" s="22" t="n">
        <v>0</v>
      </c>
      <c r="Q151" s="22" t="n">
        <v>0</v>
      </c>
      <c r="R151" s="22" t="n">
        <v>0</v>
      </c>
    </row>
    <row r="152">
      <c r="A152" s="22" t="n">
        <v>201604</v>
      </c>
      <c r="B152" s="22" t="inlineStr">
        <is>
          <t>04/2016</t>
        </is>
      </c>
      <c r="C152" s="22" t="n">
        <v>9</v>
      </c>
      <c r="D152" s="22" t="inlineStr">
        <is>
          <t>S09</t>
        </is>
      </c>
      <c r="E152" s="22" t="inlineStr">
        <is>
          <t>Nexa Northwest Territories (S09)</t>
        </is>
      </c>
      <c r="F152" s="22" t="inlineStr">
        <is>
          <t>Canada</t>
        </is>
      </c>
      <c r="G152" s="22" t="inlineStr">
        <is>
          <t>POS</t>
        </is>
      </c>
      <c r="H152" s="31" t="n">
        <v>9570.190000000001</v>
      </c>
      <c r="I152" s="31" t="n">
        <v>0</v>
      </c>
      <c r="J152" s="31" t="n">
        <v>9570.190000000001</v>
      </c>
      <c r="K152" s="31" t="n">
        <v>0</v>
      </c>
      <c r="L152" s="32" t="n">
        <v>2</v>
      </c>
      <c r="M152" s="32" t="n">
        <v>35</v>
      </c>
      <c r="N152" s="31" t="n">
        <v>9570.190000000001</v>
      </c>
      <c r="O152" s="31" t="n">
        <v>9570.190000000001</v>
      </c>
      <c r="P152" s="22" t="n">
        <v>0</v>
      </c>
      <c r="Q152" s="22" t="n">
        <v>0</v>
      </c>
      <c r="R152" s="22" t="n">
        <v>0</v>
      </c>
    </row>
    <row r="153">
      <c r="A153" s="22" t="n">
        <v>201604</v>
      </c>
      <c r="B153" s="22" t="inlineStr">
        <is>
          <t>04/2016</t>
        </is>
      </c>
      <c r="C153" s="22" t="n">
        <v>13</v>
      </c>
      <c r="D153" s="22" t="inlineStr">
        <is>
          <t>S13</t>
        </is>
      </c>
      <c r="E153" s="22" t="inlineStr">
        <is>
          <t>Nexa Corse (S13)</t>
        </is>
      </c>
      <c r="F153" s="22" t="inlineStr">
        <is>
          <t>Pháp</t>
        </is>
      </c>
      <c r="G153" s="22" t="inlineStr">
        <is>
          <t>POS</t>
        </is>
      </c>
      <c r="H153" s="31" t="n">
        <v>2396</v>
      </c>
      <c r="I153" s="31" t="n">
        <v>0</v>
      </c>
      <c r="J153" s="31" t="n">
        <v>2396</v>
      </c>
      <c r="K153" s="31" t="n">
        <v>0</v>
      </c>
      <c r="L153" s="32" t="n">
        <v>1</v>
      </c>
      <c r="M153" s="32" t="n">
        <v>9</v>
      </c>
      <c r="N153" s="31" t="n">
        <v>2396</v>
      </c>
      <c r="O153" s="31" t="n">
        <v>2396</v>
      </c>
      <c r="P153" s="22" t="n">
        <v>0</v>
      </c>
      <c r="Q153" s="22" t="n">
        <v>0</v>
      </c>
      <c r="R153" s="22" t="n">
        <v>0</v>
      </c>
    </row>
    <row r="154">
      <c r="A154" s="22" t="n">
        <v>201604</v>
      </c>
      <c r="B154" s="22" t="inlineStr">
        <is>
          <t>04/2016</t>
        </is>
      </c>
      <c r="C154" s="22" t="n">
        <v>19</v>
      </c>
      <c r="D154" s="22" t="inlineStr">
        <is>
          <t>S19</t>
        </is>
      </c>
      <c r="E154" s="22" t="inlineStr">
        <is>
          <t>Nexa Berlin (S19)</t>
        </is>
      </c>
      <c r="F154" s="22" t="inlineStr">
        <is>
          <t>Đức</t>
        </is>
      </c>
      <c r="G154" s="22" t="inlineStr">
        <is>
          <t>POS</t>
        </is>
      </c>
      <c r="H154" s="31" t="n">
        <v>4132.78</v>
      </c>
      <c r="I154" s="31" t="n">
        <v>0</v>
      </c>
      <c r="J154" s="31" t="n">
        <v>4132.78</v>
      </c>
      <c r="K154" s="31" t="n">
        <v>0</v>
      </c>
      <c r="L154" s="32" t="n">
        <v>1</v>
      </c>
      <c r="M154" s="32" t="n">
        <v>11</v>
      </c>
      <c r="N154" s="31" t="n">
        <v>4132.78</v>
      </c>
      <c r="O154" s="31" t="n">
        <v>4132.78</v>
      </c>
      <c r="P154" s="22" t="n">
        <v>0</v>
      </c>
      <c r="Q154" s="22" t="n">
        <v>0</v>
      </c>
      <c r="R154" s="22" t="n">
        <v>0</v>
      </c>
    </row>
    <row r="155">
      <c r="A155" s="22" t="n">
        <v>201604</v>
      </c>
      <c r="B155" s="22" t="inlineStr">
        <is>
          <t>04/2016</t>
        </is>
      </c>
      <c r="C155" s="22" t="n">
        <v>20</v>
      </c>
      <c r="D155" s="22" t="inlineStr">
        <is>
          <t>S20</t>
        </is>
      </c>
      <c r="E155" s="22" t="inlineStr">
        <is>
          <t>Nexa Brandenburg (S20)</t>
        </is>
      </c>
      <c r="F155" s="22" t="inlineStr">
        <is>
          <t>Đức</t>
        </is>
      </c>
      <c r="G155" s="22" t="inlineStr">
        <is>
          <t>POS</t>
        </is>
      </c>
      <c r="H155" s="31" t="n">
        <v>0</v>
      </c>
      <c r="I155" s="31" t="n">
        <v>0</v>
      </c>
      <c r="J155" s="31" t="n">
        <v>0</v>
      </c>
      <c r="K155" s="31" t="n">
        <v>999.96</v>
      </c>
      <c r="L155" s="32" t="n">
        <v>0</v>
      </c>
      <c r="M155" s="32" t="n">
        <v>0</v>
      </c>
      <c r="N155" s="31" t="n">
        <v>-999.96</v>
      </c>
      <c r="O155" s="31" t="n">
        <v>0</v>
      </c>
      <c r="P155" s="22" t="n">
        <v>0</v>
      </c>
      <c r="Q155" s="22" t="n">
        <v>0</v>
      </c>
      <c r="R155" s="22" t="n">
        <v>0</v>
      </c>
    </row>
    <row r="156">
      <c r="A156" s="22" t="n">
        <v>201604</v>
      </c>
      <c r="B156" s="22" t="inlineStr">
        <is>
          <t>04/2016</t>
        </is>
      </c>
      <c r="C156" s="22" t="n">
        <v>22</v>
      </c>
      <c r="D156" s="22" t="inlineStr">
        <is>
          <t>S22</t>
        </is>
      </c>
      <c r="E156" s="22" t="inlineStr">
        <is>
          <t>Nexa Freistaat Thüringen (S22)</t>
        </is>
      </c>
      <c r="F156" s="22" t="inlineStr">
        <is>
          <t>Đức</t>
        </is>
      </c>
      <c r="G156" s="22" t="inlineStr">
        <is>
          <t>POS</t>
        </is>
      </c>
      <c r="H156" s="31" t="n">
        <v>1146.82</v>
      </c>
      <c r="I156" s="31" t="n">
        <v>0</v>
      </c>
      <c r="J156" s="31" t="n">
        <v>1146.82</v>
      </c>
      <c r="K156" s="31" t="n">
        <v>0</v>
      </c>
      <c r="L156" s="32" t="n">
        <v>1</v>
      </c>
      <c r="M156" s="32" t="n">
        <v>10</v>
      </c>
      <c r="N156" s="31" t="n">
        <v>1146.82</v>
      </c>
      <c r="O156" s="31" t="n">
        <v>1146.82</v>
      </c>
      <c r="P156" s="22" t="n">
        <v>0</v>
      </c>
      <c r="Q156" s="22" t="n">
        <v>0</v>
      </c>
      <c r="R156" s="22" t="n">
        <v>0</v>
      </c>
    </row>
    <row r="157">
      <c r="A157" s="22" t="n">
        <v>201604</v>
      </c>
      <c r="B157" s="22" t="inlineStr">
        <is>
          <t>04/2016</t>
        </is>
      </c>
      <c r="C157" s="22" t="n">
        <v>24</v>
      </c>
      <c r="D157" s="22" t="inlineStr">
        <is>
          <t>S24</t>
        </is>
      </c>
      <c r="E157" s="22" t="inlineStr">
        <is>
          <t>Nexa Hessen (S24)</t>
        </is>
      </c>
      <c r="F157" s="22" t="inlineStr">
        <is>
          <t>Đức</t>
        </is>
      </c>
      <c r="G157" s="22" t="inlineStr">
        <is>
          <t>POS</t>
        </is>
      </c>
      <c r="H157" s="31" t="n">
        <v>5903.22</v>
      </c>
      <c r="I157" s="31" t="n">
        <v>0</v>
      </c>
      <c r="J157" s="31" t="n">
        <v>5903.22</v>
      </c>
      <c r="K157" s="31" t="n">
        <v>0</v>
      </c>
      <c r="L157" s="32" t="n">
        <v>2</v>
      </c>
      <c r="M157" s="32" t="n">
        <v>18</v>
      </c>
      <c r="N157" s="31" t="n">
        <v>5903.22</v>
      </c>
      <c r="O157" s="31" t="n">
        <v>5903.22</v>
      </c>
      <c r="P157" s="22" t="n">
        <v>0</v>
      </c>
      <c r="Q157" s="22" t="n">
        <v>0</v>
      </c>
      <c r="R157" s="22" t="n">
        <v>0</v>
      </c>
    </row>
    <row r="158">
      <c r="A158" s="22" t="n">
        <v>201604</v>
      </c>
      <c r="B158" s="22" t="inlineStr">
        <is>
          <t>04/2016</t>
        </is>
      </c>
      <c r="C158" s="22" t="n">
        <v>28</v>
      </c>
      <c r="D158" s="22" t="inlineStr">
        <is>
          <t>S28</t>
        </is>
      </c>
      <c r="E158" s="22" t="inlineStr">
        <is>
          <t>Nexa Caltanissetta (S28)</t>
        </is>
      </c>
      <c r="F158" s="22" t="inlineStr">
        <is>
          <t>Ý</t>
        </is>
      </c>
      <c r="G158" s="22" t="inlineStr">
        <is>
          <t>POS</t>
        </is>
      </c>
      <c r="H158" s="31" t="n">
        <v>2571.12</v>
      </c>
      <c r="I158" s="31" t="n">
        <v>0</v>
      </c>
      <c r="J158" s="31" t="n">
        <v>2571.12</v>
      </c>
      <c r="K158" s="31" t="n">
        <v>0</v>
      </c>
      <c r="L158" s="32" t="n">
        <v>2</v>
      </c>
      <c r="M158" s="32" t="n">
        <v>19</v>
      </c>
      <c r="N158" s="31" t="n">
        <v>2571.12</v>
      </c>
      <c r="O158" s="31" t="n">
        <v>2571.12</v>
      </c>
      <c r="P158" s="22" t="n">
        <v>0</v>
      </c>
      <c r="Q158" s="22" t="n">
        <v>0</v>
      </c>
      <c r="R158" s="22" t="n">
        <v>0</v>
      </c>
    </row>
    <row r="159">
      <c r="A159" s="22" t="n">
        <v>201604</v>
      </c>
      <c r="B159" s="22" t="inlineStr">
        <is>
          <t>04/2016</t>
        </is>
      </c>
      <c r="C159" s="22" t="n">
        <v>29</v>
      </c>
      <c r="D159" s="22" t="inlineStr">
        <is>
          <t>S29</t>
        </is>
      </c>
      <c r="E159" s="22" t="inlineStr">
        <is>
          <t>Nexa Enna (S29)</t>
        </is>
      </c>
      <c r="F159" s="22" t="inlineStr">
        <is>
          <t>Ý</t>
        </is>
      </c>
      <c r="G159" s="22" t="inlineStr">
        <is>
          <t>POS</t>
        </is>
      </c>
      <c r="H159" s="31" t="n">
        <v>47.79</v>
      </c>
      <c r="I159" s="31" t="n">
        <v>0</v>
      </c>
      <c r="J159" s="31" t="n">
        <v>47.79</v>
      </c>
      <c r="K159" s="31" t="n">
        <v>0</v>
      </c>
      <c r="L159" s="32" t="n">
        <v>1</v>
      </c>
      <c r="M159" s="32" t="n">
        <v>6</v>
      </c>
      <c r="N159" s="31" t="n">
        <v>47.79</v>
      </c>
      <c r="O159" s="31" t="n">
        <v>47.79</v>
      </c>
      <c r="P159" s="22" t="n">
        <v>0</v>
      </c>
      <c r="Q159" s="22" t="n">
        <v>0</v>
      </c>
      <c r="R159" s="22" t="n">
        <v>0</v>
      </c>
    </row>
    <row r="160">
      <c r="A160" s="22" t="n">
        <v>201604</v>
      </c>
      <c r="B160" s="22" t="inlineStr">
        <is>
          <t>04/2016</t>
        </is>
      </c>
      <c r="C160" s="22" t="n">
        <v>37</v>
      </c>
      <c r="D160" s="22" t="inlineStr">
        <is>
          <t>S37</t>
        </is>
      </c>
      <c r="E160" s="22" t="inlineStr">
        <is>
          <t>Nexa Ayrshire (S37)</t>
        </is>
      </c>
      <c r="F160" s="22" t="inlineStr">
        <is>
          <t>Anh</t>
        </is>
      </c>
      <c r="G160" s="22" t="inlineStr">
        <is>
          <t>POS</t>
        </is>
      </c>
      <c r="H160" s="31" t="n">
        <v>6534.94</v>
      </c>
      <c r="I160" s="31" t="n">
        <v>0</v>
      </c>
      <c r="J160" s="31" t="n">
        <v>6534.94</v>
      </c>
      <c r="K160" s="31" t="n">
        <v>0</v>
      </c>
      <c r="L160" s="32" t="n">
        <v>2</v>
      </c>
      <c r="M160" s="32" t="n">
        <v>8</v>
      </c>
      <c r="N160" s="31" t="n">
        <v>6534.94</v>
      </c>
      <c r="O160" s="31" t="n">
        <v>6534.94</v>
      </c>
      <c r="P160" s="22" t="n">
        <v>0</v>
      </c>
      <c r="Q160" s="22" t="n">
        <v>0</v>
      </c>
      <c r="R160" s="22" t="n">
        <v>0</v>
      </c>
    </row>
    <row r="161">
      <c r="A161" s="22" t="n">
        <v>201604</v>
      </c>
      <c r="B161" s="22" t="inlineStr">
        <is>
          <t>04/2016</t>
        </is>
      </c>
      <c r="C161" s="22" t="n">
        <v>38</v>
      </c>
      <c r="D161" s="22" t="inlineStr">
        <is>
          <t>S38</t>
        </is>
      </c>
      <c r="E161" s="22" t="inlineStr">
        <is>
          <t>Nexa Belfast (S38)</t>
        </is>
      </c>
      <c r="F161" s="22" t="inlineStr">
        <is>
          <t>Anh</t>
        </is>
      </c>
      <c r="G161" s="22" t="inlineStr">
        <is>
          <t>POS</t>
        </is>
      </c>
      <c r="H161" s="31" t="n">
        <v>1574.94</v>
      </c>
      <c r="I161" s="31" t="n">
        <v>0</v>
      </c>
      <c r="J161" s="31" t="n">
        <v>1574.94</v>
      </c>
      <c r="K161" s="31" t="n">
        <v>0</v>
      </c>
      <c r="L161" s="32" t="n">
        <v>2</v>
      </c>
      <c r="M161" s="32" t="n">
        <v>10</v>
      </c>
      <c r="N161" s="31" t="n">
        <v>1574.94</v>
      </c>
      <c r="O161" s="31" t="n">
        <v>1574.94</v>
      </c>
      <c r="P161" s="22" t="n">
        <v>0</v>
      </c>
      <c r="Q161" s="22" t="n">
        <v>0</v>
      </c>
      <c r="R161" s="22" t="n">
        <v>0</v>
      </c>
    </row>
    <row r="162">
      <c r="A162" s="22" t="n">
        <v>201604</v>
      </c>
      <c r="B162" s="22" t="inlineStr">
        <is>
          <t>04/2016</t>
        </is>
      </c>
      <c r="C162" s="22" t="n">
        <v>39</v>
      </c>
      <c r="D162" s="22" t="inlineStr">
        <is>
          <t>S39</t>
        </is>
      </c>
      <c r="E162" s="22" t="inlineStr">
        <is>
          <t>Nexa Blaenau Gwent (S39)</t>
        </is>
      </c>
      <c r="F162" s="22" t="inlineStr">
        <is>
          <t>Anh</t>
        </is>
      </c>
      <c r="G162" s="22" t="inlineStr">
        <is>
          <t>POS</t>
        </is>
      </c>
      <c r="H162" s="31" t="n">
        <v>3427.99</v>
      </c>
      <c r="I162" s="31" t="n">
        <v>0</v>
      </c>
      <c r="J162" s="31" t="n">
        <v>3427.99</v>
      </c>
      <c r="K162" s="31" t="n">
        <v>0</v>
      </c>
      <c r="L162" s="32" t="n">
        <v>2</v>
      </c>
      <c r="M162" s="32" t="n">
        <v>6</v>
      </c>
      <c r="N162" s="31" t="n">
        <v>3427.99</v>
      </c>
      <c r="O162" s="31" t="n">
        <v>3427.99</v>
      </c>
      <c r="P162" s="22" t="n">
        <v>0</v>
      </c>
      <c r="Q162" s="22" t="n">
        <v>0</v>
      </c>
      <c r="R162" s="22" t="n">
        <v>0</v>
      </c>
    </row>
    <row r="163">
      <c r="A163" s="22" t="n">
        <v>201604</v>
      </c>
      <c r="B163" s="22" t="inlineStr">
        <is>
          <t>04/2016</t>
        </is>
      </c>
      <c r="C163" s="22" t="n">
        <v>41</v>
      </c>
      <c r="D163" s="22" t="inlineStr">
        <is>
          <t>S41</t>
        </is>
      </c>
      <c r="E163" s="22" t="inlineStr">
        <is>
          <t>Nexa Fermanagh (S41)</t>
        </is>
      </c>
      <c r="F163" s="22" t="inlineStr">
        <is>
          <t>Anh</t>
        </is>
      </c>
      <c r="G163" s="22" t="inlineStr">
        <is>
          <t>POS</t>
        </is>
      </c>
      <c r="H163" s="31" t="n">
        <v>4879.99</v>
      </c>
      <c r="I163" s="31" t="n">
        <v>0</v>
      </c>
      <c r="J163" s="31" t="n">
        <v>4879.99</v>
      </c>
      <c r="K163" s="31" t="n">
        <v>0</v>
      </c>
      <c r="L163" s="32" t="n">
        <v>1</v>
      </c>
      <c r="M163" s="32" t="n">
        <v>9</v>
      </c>
      <c r="N163" s="31" t="n">
        <v>4879.99</v>
      </c>
      <c r="O163" s="31" t="n">
        <v>4879.99</v>
      </c>
      <c r="P163" s="22" t="n">
        <v>0</v>
      </c>
      <c r="Q163" s="22" t="n">
        <v>0</v>
      </c>
      <c r="R163" s="22" t="n">
        <v>0</v>
      </c>
    </row>
    <row r="164">
      <c r="A164" s="22" t="n">
        <v>201604</v>
      </c>
      <c r="B164" s="22" t="inlineStr">
        <is>
          <t>04/2016</t>
        </is>
      </c>
      <c r="C164" s="22" t="n">
        <v>42</v>
      </c>
      <c r="D164" s="22" t="inlineStr">
        <is>
          <t>S42</t>
        </is>
      </c>
      <c r="E164" s="22" t="inlineStr">
        <is>
          <t>Nexa North Down (S42)</t>
        </is>
      </c>
      <c r="F164" s="22" t="inlineStr">
        <is>
          <t>Anh</t>
        </is>
      </c>
      <c r="G164" s="22" t="inlineStr">
        <is>
          <t>POS</t>
        </is>
      </c>
      <c r="H164" s="31" t="n">
        <v>398.97</v>
      </c>
      <c r="I164" s="31" t="n">
        <v>0</v>
      </c>
      <c r="J164" s="31" t="n">
        <v>398.97</v>
      </c>
      <c r="K164" s="31" t="n">
        <v>0</v>
      </c>
      <c r="L164" s="32" t="n">
        <v>1</v>
      </c>
      <c r="M164" s="32" t="n">
        <v>3</v>
      </c>
      <c r="N164" s="31" t="n">
        <v>398.97</v>
      </c>
      <c r="O164" s="31" t="n">
        <v>398.97</v>
      </c>
      <c r="P164" s="22" t="n">
        <v>0</v>
      </c>
      <c r="Q164" s="22" t="n">
        <v>0</v>
      </c>
      <c r="R164" s="22" t="n">
        <v>0</v>
      </c>
    </row>
    <row r="165">
      <c r="A165" s="22" t="n">
        <v>201604</v>
      </c>
      <c r="B165" s="22" t="inlineStr">
        <is>
          <t>04/2016</t>
        </is>
      </c>
      <c r="C165" s="22" t="n">
        <v>44</v>
      </c>
      <c r="D165" s="22" t="inlineStr">
        <is>
          <t>S44</t>
        </is>
      </c>
      <c r="E165" s="22" t="inlineStr">
        <is>
          <t>Nexa Arkansas (S44)</t>
        </is>
      </c>
      <c r="F165" s="22" t="inlineStr">
        <is>
          <t>Mỹ</t>
        </is>
      </c>
      <c r="G165" s="22" t="inlineStr">
        <is>
          <t>POS</t>
        </is>
      </c>
      <c r="H165" s="31" t="n">
        <v>13325.92</v>
      </c>
      <c r="I165" s="31" t="n">
        <v>0</v>
      </c>
      <c r="J165" s="31" t="n">
        <v>13325.92</v>
      </c>
      <c r="K165" s="31" t="n">
        <v>0</v>
      </c>
      <c r="L165" s="32" t="n">
        <v>3</v>
      </c>
      <c r="M165" s="32" t="n">
        <v>22</v>
      </c>
      <c r="N165" s="31" t="n">
        <v>13325.92</v>
      </c>
      <c r="O165" s="31" t="n">
        <v>13325.92</v>
      </c>
      <c r="P165" s="22" t="n">
        <v>0</v>
      </c>
      <c r="Q165" s="22" t="n">
        <v>0</v>
      </c>
      <c r="R165" s="22" t="n">
        <v>0</v>
      </c>
    </row>
    <row r="166">
      <c r="A166" s="22" t="n">
        <v>201604</v>
      </c>
      <c r="B166" s="22" t="inlineStr">
        <is>
          <t>04/2016</t>
        </is>
      </c>
      <c r="C166" s="22" t="n">
        <v>45</v>
      </c>
      <c r="D166" s="22" t="inlineStr">
        <is>
          <t>S45</t>
        </is>
      </c>
      <c r="E166" s="22" t="inlineStr">
        <is>
          <t>Nexa Connecticut (S45)</t>
        </is>
      </c>
      <c r="F166" s="22" t="inlineStr">
        <is>
          <t>Mỹ</t>
        </is>
      </c>
      <c r="G166" s="22" t="inlineStr">
        <is>
          <t>POS</t>
        </is>
      </c>
      <c r="H166" s="31" t="n">
        <v>6382.93</v>
      </c>
      <c r="I166" s="31" t="n">
        <v>0</v>
      </c>
      <c r="J166" s="31" t="n">
        <v>6382.93</v>
      </c>
      <c r="K166" s="31" t="n">
        <v>0</v>
      </c>
      <c r="L166" s="32" t="n">
        <v>2</v>
      </c>
      <c r="M166" s="32" t="n">
        <v>29</v>
      </c>
      <c r="N166" s="31" t="n">
        <v>6382.93</v>
      </c>
      <c r="O166" s="31" t="n">
        <v>6382.93</v>
      </c>
      <c r="P166" s="22" t="n">
        <v>0</v>
      </c>
      <c r="Q166" s="22" t="n">
        <v>0</v>
      </c>
      <c r="R166" s="22" t="n">
        <v>0</v>
      </c>
    </row>
    <row r="167">
      <c r="A167" s="22" t="n">
        <v>201604</v>
      </c>
      <c r="B167" s="22" t="inlineStr">
        <is>
          <t>04/2016</t>
        </is>
      </c>
      <c r="C167" s="22" t="n">
        <v>47</v>
      </c>
      <c r="D167" s="22" t="inlineStr">
        <is>
          <t>S47</t>
        </is>
      </c>
      <c r="E167" s="22" t="inlineStr">
        <is>
          <t>Nexa Hawaii (S47)</t>
        </is>
      </c>
      <c r="F167" s="22" t="inlineStr">
        <is>
          <t>Mỹ</t>
        </is>
      </c>
      <c r="G167" s="22" t="inlineStr">
        <is>
          <t>POS</t>
        </is>
      </c>
      <c r="H167" s="31" t="n">
        <v>0</v>
      </c>
      <c r="I167" s="31" t="n">
        <v>0</v>
      </c>
      <c r="J167" s="31" t="n">
        <v>0</v>
      </c>
      <c r="K167" s="31" t="n">
        <v>163</v>
      </c>
      <c r="L167" s="32" t="n">
        <v>0</v>
      </c>
      <c r="M167" s="32" t="n">
        <v>0</v>
      </c>
      <c r="N167" s="31" t="n">
        <v>-163</v>
      </c>
      <c r="O167" s="31" t="n">
        <v>0</v>
      </c>
      <c r="P167" s="22" t="n">
        <v>0</v>
      </c>
      <c r="Q167" s="22" t="n">
        <v>0</v>
      </c>
      <c r="R167" s="22" t="n">
        <v>0</v>
      </c>
    </row>
    <row r="168">
      <c r="A168" s="22" t="n">
        <v>201604</v>
      </c>
      <c r="B168" s="22" t="inlineStr">
        <is>
          <t>04/2016</t>
        </is>
      </c>
      <c r="C168" s="22" t="n">
        <v>48</v>
      </c>
      <c r="D168" s="22" t="inlineStr">
        <is>
          <t>S48</t>
        </is>
      </c>
      <c r="E168" s="22" t="inlineStr">
        <is>
          <t>Nexa Idaho (S48)</t>
        </is>
      </c>
      <c r="F168" s="22" t="inlineStr">
        <is>
          <t>Mỹ</t>
        </is>
      </c>
      <c r="G168" s="22" t="inlineStr">
        <is>
          <t>POS</t>
        </is>
      </c>
      <c r="H168" s="31" t="n">
        <v>555.95</v>
      </c>
      <c r="I168" s="31" t="n">
        <v>0</v>
      </c>
      <c r="J168" s="31" t="n">
        <v>555.95</v>
      </c>
      <c r="K168" s="31" t="n">
        <v>2437</v>
      </c>
      <c r="L168" s="32" t="n">
        <v>1</v>
      </c>
      <c r="M168" s="32" t="n">
        <v>3</v>
      </c>
      <c r="N168" s="31" t="n">
        <v>-1881.05</v>
      </c>
      <c r="O168" s="31" t="n">
        <v>555.95</v>
      </c>
      <c r="P168" s="22" t="n">
        <v>0</v>
      </c>
      <c r="Q168" s="22" t="n">
        <v>0</v>
      </c>
      <c r="R168" s="22" t="n">
        <v>0</v>
      </c>
    </row>
    <row r="169">
      <c r="A169" s="22" t="n">
        <v>201604</v>
      </c>
      <c r="B169" s="22" t="inlineStr">
        <is>
          <t>04/2016</t>
        </is>
      </c>
      <c r="C169" s="22" t="n">
        <v>61</v>
      </c>
      <c r="D169" s="22" t="inlineStr">
        <is>
          <t>S61</t>
        </is>
      </c>
      <c r="E169" s="22" t="inlineStr">
        <is>
          <t>Nexa South Carolina (S61)</t>
        </is>
      </c>
      <c r="F169" s="22" t="inlineStr">
        <is>
          <t>Mỹ</t>
        </is>
      </c>
      <c r="G169" s="22" t="inlineStr">
        <is>
          <t>POS</t>
        </is>
      </c>
      <c r="H169" s="31" t="n">
        <v>1712.96</v>
      </c>
      <c r="I169" s="31" t="n">
        <v>0</v>
      </c>
      <c r="J169" s="31" t="n">
        <v>1712.96</v>
      </c>
      <c r="K169" s="31" t="n">
        <v>0</v>
      </c>
      <c r="L169" s="32" t="n">
        <v>1</v>
      </c>
      <c r="M169" s="32" t="n">
        <v>7</v>
      </c>
      <c r="N169" s="31" t="n">
        <v>1712.96</v>
      </c>
      <c r="O169" s="31" t="n">
        <v>1712.96</v>
      </c>
      <c r="P169" s="22" t="n">
        <v>0</v>
      </c>
      <c r="Q169" s="22" t="n">
        <v>0</v>
      </c>
      <c r="R169" s="22" t="n">
        <v>0</v>
      </c>
    </row>
    <row r="170">
      <c r="A170" s="22" t="n">
        <v>201604</v>
      </c>
      <c r="B170" s="22" t="inlineStr">
        <is>
          <t>04/2016</t>
        </is>
      </c>
      <c r="C170" s="22" t="n">
        <v>63</v>
      </c>
      <c r="D170" s="22" t="inlineStr">
        <is>
          <t>S63</t>
        </is>
      </c>
      <c r="E170" s="22" t="inlineStr">
        <is>
          <t>Nexa Utah (S63)</t>
        </is>
      </c>
      <c r="F170" s="22" t="inlineStr">
        <is>
          <t>Mỹ</t>
        </is>
      </c>
      <c r="G170" s="22" t="inlineStr">
        <is>
          <t>POS</t>
        </is>
      </c>
      <c r="H170" s="31" t="n">
        <v>161.78</v>
      </c>
      <c r="I170" s="31" t="n">
        <v>0</v>
      </c>
      <c r="J170" s="31" t="n">
        <v>161.78</v>
      </c>
      <c r="K170" s="31" t="n">
        <v>0</v>
      </c>
      <c r="L170" s="32" t="n">
        <v>1</v>
      </c>
      <c r="M170" s="32" t="n">
        <v>4</v>
      </c>
      <c r="N170" s="31" t="n">
        <v>161.78</v>
      </c>
      <c r="O170" s="31" t="n">
        <v>161.78</v>
      </c>
      <c r="P170" s="22" t="n">
        <v>0</v>
      </c>
      <c r="Q170" s="22" t="n">
        <v>0</v>
      </c>
      <c r="R170" s="22" t="n">
        <v>0</v>
      </c>
    </row>
    <row r="171">
      <c r="A171" s="22" t="n">
        <v>201604</v>
      </c>
      <c r="B171" s="22" t="inlineStr">
        <is>
          <t>04/2016</t>
        </is>
      </c>
      <c r="C171" s="22" t="n">
        <v>65</v>
      </c>
      <c r="D171" s="22" t="inlineStr">
        <is>
          <t>S65</t>
        </is>
      </c>
      <c r="E171" s="22" t="inlineStr">
        <is>
          <t>Nexa West Virginia (S65)</t>
        </is>
      </c>
      <c r="F171" s="22" t="inlineStr">
        <is>
          <t>Mỹ</t>
        </is>
      </c>
      <c r="G171" s="22" t="inlineStr">
        <is>
          <t>POS</t>
        </is>
      </c>
      <c r="H171" s="31" t="n">
        <v>9471.66</v>
      </c>
      <c r="I171" s="31" t="n">
        <v>0</v>
      </c>
      <c r="J171" s="31" t="n">
        <v>9471.66</v>
      </c>
      <c r="K171" s="31" t="n">
        <v>0</v>
      </c>
      <c r="L171" s="32" t="n">
        <v>2</v>
      </c>
      <c r="M171" s="32" t="n">
        <v>12</v>
      </c>
      <c r="N171" s="31" t="n">
        <v>9471.66</v>
      </c>
      <c r="O171" s="31" t="n">
        <v>9471.66</v>
      </c>
      <c r="P171" s="22" t="n">
        <v>0</v>
      </c>
      <c r="Q171" s="22" t="n">
        <v>0</v>
      </c>
      <c r="R171" s="22" t="n">
        <v>0</v>
      </c>
    </row>
    <row r="172">
      <c r="A172" s="22" t="n">
        <v>201604</v>
      </c>
      <c r="B172" s="22" t="inlineStr">
        <is>
          <t>04/2016</t>
        </is>
      </c>
      <c r="C172" s="22" t="n">
        <v>66</v>
      </c>
      <c r="D172" s="22" t="inlineStr">
        <is>
          <t>S66</t>
        </is>
      </c>
      <c r="E172" s="22" t="inlineStr">
        <is>
          <t>Nexa Wyoming (S66)</t>
        </is>
      </c>
      <c r="F172" s="22" t="inlineStr">
        <is>
          <t>Mỹ</t>
        </is>
      </c>
      <c r="G172" s="22" t="inlineStr">
        <is>
          <t>POS</t>
        </is>
      </c>
      <c r="H172" s="31" t="n">
        <v>1561.98</v>
      </c>
      <c r="I172" s="31" t="n">
        <v>0</v>
      </c>
      <c r="J172" s="31" t="n">
        <v>1561.98</v>
      </c>
      <c r="K172" s="31" t="n">
        <v>0</v>
      </c>
      <c r="L172" s="32" t="n">
        <v>1</v>
      </c>
      <c r="M172" s="32" t="n">
        <v>5</v>
      </c>
      <c r="N172" s="31" t="n">
        <v>1561.98</v>
      </c>
      <c r="O172" s="31" t="n">
        <v>1561.98</v>
      </c>
      <c r="P172" s="22" t="n">
        <v>0</v>
      </c>
      <c r="Q172" s="22" t="n">
        <v>0</v>
      </c>
      <c r="R172" s="22" t="n">
        <v>0</v>
      </c>
    </row>
    <row r="173">
      <c r="A173" s="22" t="n">
        <v>201605</v>
      </c>
      <c r="B173" s="22" t="inlineStr">
        <is>
          <t>05/2016</t>
        </is>
      </c>
      <c r="C173" s="22" t="n">
        <v>0</v>
      </c>
      <c r="D173" s="22" t="inlineStr">
        <is>
          <t>ONL</t>
        </is>
      </c>
      <c r="E173" s="22" t="inlineStr">
        <is>
          <t>Nexa Online (website/app)</t>
        </is>
      </c>
      <c r="F173" s="22" t="inlineStr">
        <is>
          <t>Online</t>
        </is>
      </c>
      <c r="G173" s="22" t="inlineStr">
        <is>
          <t>ONLINE</t>
        </is>
      </c>
      <c r="H173" s="31" t="n">
        <v>51767.84</v>
      </c>
      <c r="I173" s="31" t="n">
        <v>845.46</v>
      </c>
      <c r="J173" s="31" t="n">
        <v>50922.38</v>
      </c>
      <c r="K173" s="31" t="n">
        <v>0</v>
      </c>
      <c r="L173" s="32" t="n">
        <v>25</v>
      </c>
      <c r="M173" s="32" t="n">
        <v>209</v>
      </c>
      <c r="N173" s="31" t="n">
        <v>54342.93</v>
      </c>
      <c r="O173" s="31" t="n">
        <v>54342.93</v>
      </c>
      <c r="P173" s="22" t="n">
        <v>1</v>
      </c>
      <c r="Q173" s="22" t="n">
        <v>0</v>
      </c>
      <c r="R173" s="22" t="n">
        <v>0</v>
      </c>
    </row>
    <row r="174">
      <c r="A174" s="22" t="n">
        <v>201605</v>
      </c>
      <c r="B174" s="22" t="inlineStr">
        <is>
          <t>05/2016</t>
        </is>
      </c>
      <c r="C174" s="22" t="n">
        <v>4</v>
      </c>
      <c r="D174" s="22" t="inlineStr">
        <is>
          <t>S04</t>
        </is>
      </c>
      <c r="E174" s="22" t="inlineStr">
        <is>
          <t>Nexa Tasmania (S04)</t>
        </is>
      </c>
      <c r="F174" s="22" t="inlineStr">
        <is>
          <t>Úc</t>
        </is>
      </c>
      <c r="G174" s="22" t="inlineStr">
        <is>
          <t>POS</t>
        </is>
      </c>
      <c r="H174" s="31" t="n">
        <v>6085.9</v>
      </c>
      <c r="I174" s="31" t="n">
        <v>0</v>
      </c>
      <c r="J174" s="31" t="n">
        <v>6085.9</v>
      </c>
      <c r="K174" s="31" t="n">
        <v>1499.94</v>
      </c>
      <c r="L174" s="32" t="n">
        <v>1</v>
      </c>
      <c r="M174" s="32" t="n">
        <v>16</v>
      </c>
      <c r="N174" s="31" t="n">
        <v>4585.96</v>
      </c>
      <c r="O174" s="31" t="n">
        <v>6085.9</v>
      </c>
      <c r="P174" s="22" t="n">
        <v>0</v>
      </c>
      <c r="Q174" s="22" t="n">
        <v>0</v>
      </c>
      <c r="R174" s="22" t="n">
        <v>0</v>
      </c>
    </row>
    <row r="175">
      <c r="A175" s="22" t="n">
        <v>201605</v>
      </c>
      <c r="B175" s="22" t="inlineStr">
        <is>
          <t>05/2016</t>
        </is>
      </c>
      <c r="C175" s="22" t="n">
        <v>5</v>
      </c>
      <c r="D175" s="22" t="inlineStr">
        <is>
          <t>S05</t>
        </is>
      </c>
      <c r="E175" s="22" t="inlineStr">
        <is>
          <t>Nexa Victoria (S05)</t>
        </is>
      </c>
      <c r="F175" s="22" t="inlineStr">
        <is>
          <t>Úc</t>
        </is>
      </c>
      <c r="G175" s="22" t="inlineStr">
        <is>
          <t>POS</t>
        </is>
      </c>
      <c r="H175" s="31" t="n">
        <v>3663.79</v>
      </c>
      <c r="I175" s="31" t="n">
        <v>0</v>
      </c>
      <c r="J175" s="31" t="n">
        <v>3663.79</v>
      </c>
      <c r="K175" s="31" t="n">
        <v>0</v>
      </c>
      <c r="L175" s="32" t="n">
        <v>4</v>
      </c>
      <c r="M175" s="32" t="n">
        <v>15</v>
      </c>
      <c r="N175" s="31" t="n">
        <v>3663.79</v>
      </c>
      <c r="O175" s="31" t="n">
        <v>3663.79</v>
      </c>
      <c r="P175" s="22" t="n">
        <v>0</v>
      </c>
      <c r="Q175" s="22" t="n">
        <v>0</v>
      </c>
      <c r="R175" s="22" t="n">
        <v>0</v>
      </c>
    </row>
    <row r="176">
      <c r="A176" s="22" t="n">
        <v>201605</v>
      </c>
      <c r="B176" s="22" t="inlineStr">
        <is>
          <t>05/2016</t>
        </is>
      </c>
      <c r="C176" s="22" t="n">
        <v>6</v>
      </c>
      <c r="D176" s="22" t="inlineStr">
        <is>
          <t>S06</t>
        </is>
      </c>
      <c r="E176" s="22" t="inlineStr">
        <is>
          <t>Nexa Western Australia (S06)</t>
        </is>
      </c>
      <c r="F176" s="22" t="inlineStr">
        <is>
          <t>Úc</t>
        </is>
      </c>
      <c r="G176" s="22" t="inlineStr">
        <is>
          <t>POS</t>
        </is>
      </c>
      <c r="H176" s="31" t="n">
        <v>7873.72</v>
      </c>
      <c r="I176" s="31" t="n">
        <v>0</v>
      </c>
      <c r="J176" s="31" t="n">
        <v>7873.72</v>
      </c>
      <c r="K176" s="31" t="n">
        <v>1097.99</v>
      </c>
      <c r="L176" s="32" t="n">
        <v>3</v>
      </c>
      <c r="M176" s="32" t="n">
        <v>36</v>
      </c>
      <c r="N176" s="31" t="n">
        <v>6775.73</v>
      </c>
      <c r="O176" s="31" t="n">
        <v>7873.72</v>
      </c>
      <c r="P176" s="22" t="n">
        <v>0</v>
      </c>
      <c r="Q176" s="22" t="n">
        <v>0</v>
      </c>
      <c r="R176" s="22" t="n">
        <v>0</v>
      </c>
    </row>
    <row r="177">
      <c r="A177" s="22" t="n">
        <v>201605</v>
      </c>
      <c r="B177" s="22" t="inlineStr">
        <is>
          <t>05/2016</t>
        </is>
      </c>
      <c r="C177" s="22" t="n">
        <v>8</v>
      </c>
      <c r="D177" s="22" t="inlineStr">
        <is>
          <t>S08</t>
        </is>
      </c>
      <c r="E177" s="22" t="inlineStr">
        <is>
          <t>Nexa Newfoundland and Labrador (S08)</t>
        </is>
      </c>
      <c r="F177" s="22" t="inlineStr">
        <is>
          <t>Canada</t>
        </is>
      </c>
      <c r="G177" s="22" t="inlineStr">
        <is>
          <t>POS</t>
        </is>
      </c>
      <c r="H177" s="31" t="n">
        <v>7028.05</v>
      </c>
      <c r="I177" s="31" t="n">
        <v>0</v>
      </c>
      <c r="J177" s="31" t="n">
        <v>7028.05</v>
      </c>
      <c r="K177" s="31" t="n">
        <v>0</v>
      </c>
      <c r="L177" s="32" t="n">
        <v>5</v>
      </c>
      <c r="M177" s="32" t="n">
        <v>29</v>
      </c>
      <c r="N177" s="31" t="n">
        <v>7028.05</v>
      </c>
      <c r="O177" s="31" t="n">
        <v>7028.05</v>
      </c>
      <c r="P177" s="22" t="n">
        <v>0</v>
      </c>
      <c r="Q177" s="22" t="n">
        <v>0</v>
      </c>
      <c r="R177" s="22" t="n">
        <v>0</v>
      </c>
    </row>
    <row r="178">
      <c r="A178" s="22" t="n">
        <v>201605</v>
      </c>
      <c r="B178" s="22" t="inlineStr">
        <is>
          <t>05/2016</t>
        </is>
      </c>
      <c r="C178" s="22" t="n">
        <v>9</v>
      </c>
      <c r="D178" s="22" t="inlineStr">
        <is>
          <t>S09</t>
        </is>
      </c>
      <c r="E178" s="22" t="inlineStr">
        <is>
          <t>Nexa Northwest Territories (S09)</t>
        </is>
      </c>
      <c r="F178" s="22" t="inlineStr">
        <is>
          <t>Canada</t>
        </is>
      </c>
      <c r="G178" s="22" t="inlineStr">
        <is>
          <t>POS</t>
        </is>
      </c>
      <c r="H178" s="31" t="n">
        <v>3191.01</v>
      </c>
      <c r="I178" s="31" t="n">
        <v>0</v>
      </c>
      <c r="J178" s="31" t="n">
        <v>3191.01</v>
      </c>
      <c r="K178" s="31" t="n">
        <v>219</v>
      </c>
      <c r="L178" s="32" t="n">
        <v>3</v>
      </c>
      <c r="M178" s="32" t="n">
        <v>15</v>
      </c>
      <c r="N178" s="31" t="n">
        <v>2972.01</v>
      </c>
      <c r="O178" s="31" t="n">
        <v>3191.01</v>
      </c>
      <c r="P178" s="22" t="n">
        <v>0</v>
      </c>
      <c r="Q178" s="22" t="n">
        <v>0</v>
      </c>
      <c r="R178" s="22" t="n">
        <v>0</v>
      </c>
    </row>
    <row r="179">
      <c r="A179" s="22" t="n">
        <v>201605</v>
      </c>
      <c r="B179" s="22" t="inlineStr">
        <is>
          <t>05/2016</t>
        </is>
      </c>
      <c r="C179" s="22" t="n">
        <v>10</v>
      </c>
      <c r="D179" s="22" t="inlineStr">
        <is>
          <t>S10</t>
        </is>
      </c>
      <c r="E179" s="22" t="inlineStr">
        <is>
          <t>Nexa Nunavut (S10)</t>
        </is>
      </c>
      <c r="F179" s="22" t="inlineStr">
        <is>
          <t>Canada</t>
        </is>
      </c>
      <c r="G179" s="22" t="inlineStr">
        <is>
          <t>POS</t>
        </is>
      </c>
      <c r="H179" s="31" t="n">
        <v>13259.93</v>
      </c>
      <c r="I179" s="31" t="n">
        <v>0</v>
      </c>
      <c r="J179" s="31" t="n">
        <v>13259.93</v>
      </c>
      <c r="K179" s="31" t="n">
        <v>0</v>
      </c>
      <c r="L179" s="32" t="n">
        <v>3</v>
      </c>
      <c r="M179" s="32" t="n">
        <v>15</v>
      </c>
      <c r="N179" s="31" t="n">
        <v>13259.93</v>
      </c>
      <c r="O179" s="31" t="n">
        <v>13259.93</v>
      </c>
      <c r="P179" s="22" t="n">
        <v>0</v>
      </c>
      <c r="Q179" s="22" t="n">
        <v>0</v>
      </c>
      <c r="R179" s="22" t="n">
        <v>0</v>
      </c>
    </row>
    <row r="180">
      <c r="A180" s="22" t="n">
        <v>201605</v>
      </c>
      <c r="B180" s="22" t="inlineStr">
        <is>
          <t>05/2016</t>
        </is>
      </c>
      <c r="C180" s="22" t="n">
        <v>12</v>
      </c>
      <c r="D180" s="22" t="inlineStr">
        <is>
          <t>S12</t>
        </is>
      </c>
      <c r="E180" s="22" t="inlineStr">
        <is>
          <t>Nexa Basse-Normandie (S12)</t>
        </is>
      </c>
      <c r="F180" s="22" t="inlineStr">
        <is>
          <t>Pháp</t>
        </is>
      </c>
      <c r="G180" s="22" t="inlineStr">
        <is>
          <t>POS</t>
        </is>
      </c>
      <c r="H180" s="31" t="n">
        <v>2526.23</v>
      </c>
      <c r="I180" s="31" t="n">
        <v>0</v>
      </c>
      <c r="J180" s="31" t="n">
        <v>2526.23</v>
      </c>
      <c r="K180" s="31" t="n">
        <v>0</v>
      </c>
      <c r="L180" s="32" t="n">
        <v>1</v>
      </c>
      <c r="M180" s="32" t="n">
        <v>14</v>
      </c>
      <c r="N180" s="31" t="n">
        <v>2526.23</v>
      </c>
      <c r="O180" s="31" t="n">
        <v>2526.23</v>
      </c>
      <c r="P180" s="22" t="n">
        <v>0</v>
      </c>
      <c r="Q180" s="22" t="n">
        <v>0</v>
      </c>
      <c r="R180" s="22" t="n">
        <v>0</v>
      </c>
    </row>
    <row r="181">
      <c r="A181" s="22" t="n">
        <v>201605</v>
      </c>
      <c r="B181" s="22" t="inlineStr">
        <is>
          <t>05/2016</t>
        </is>
      </c>
      <c r="C181" s="22" t="n">
        <v>13</v>
      </c>
      <c r="D181" s="22" t="inlineStr">
        <is>
          <t>S13</t>
        </is>
      </c>
      <c r="E181" s="22" t="inlineStr">
        <is>
          <t>Nexa Corse (S13)</t>
        </is>
      </c>
      <c r="F181" s="22" t="inlineStr">
        <is>
          <t>Pháp</t>
        </is>
      </c>
      <c r="G181" s="22" t="inlineStr">
        <is>
          <t>POS</t>
        </is>
      </c>
      <c r="H181" s="31" t="n">
        <v>29.97</v>
      </c>
      <c r="I181" s="31" t="n">
        <v>0</v>
      </c>
      <c r="J181" s="31" t="n">
        <v>29.97</v>
      </c>
      <c r="K181" s="31" t="n">
        <v>0</v>
      </c>
      <c r="L181" s="32" t="n">
        <v>1</v>
      </c>
      <c r="M181" s="32" t="n">
        <v>3</v>
      </c>
      <c r="N181" s="31" t="n">
        <v>29.97</v>
      </c>
      <c r="O181" s="31" t="n">
        <v>29.97</v>
      </c>
      <c r="P181" s="22" t="n">
        <v>0</v>
      </c>
      <c r="Q181" s="22" t="n">
        <v>0</v>
      </c>
      <c r="R181" s="22" t="n">
        <v>0</v>
      </c>
    </row>
    <row r="182">
      <c r="A182" s="22" t="n">
        <v>201605</v>
      </c>
      <c r="B182" s="22" t="inlineStr">
        <is>
          <t>05/2016</t>
        </is>
      </c>
      <c r="C182" s="22" t="n">
        <v>15</v>
      </c>
      <c r="D182" s="22" t="inlineStr">
        <is>
          <t>S15</t>
        </is>
      </c>
      <c r="E182" s="22" t="inlineStr">
        <is>
          <t>Nexa La Réunion (S15)</t>
        </is>
      </c>
      <c r="F182" s="22" t="inlineStr">
        <is>
          <t>Pháp</t>
        </is>
      </c>
      <c r="G182" s="22" t="inlineStr">
        <is>
          <t>POS</t>
        </is>
      </c>
      <c r="H182" s="31" t="n">
        <v>4050</v>
      </c>
      <c r="I182" s="31" t="n">
        <v>0</v>
      </c>
      <c r="J182" s="31" t="n">
        <v>4050</v>
      </c>
      <c r="K182" s="31" t="n">
        <v>0</v>
      </c>
      <c r="L182" s="32" t="n">
        <v>1</v>
      </c>
      <c r="M182" s="32" t="n">
        <v>8</v>
      </c>
      <c r="N182" s="31" t="n">
        <v>4050</v>
      </c>
      <c r="O182" s="31" t="n">
        <v>4050</v>
      </c>
      <c r="P182" s="22" t="n">
        <v>0</v>
      </c>
      <c r="Q182" s="22" t="n">
        <v>0</v>
      </c>
      <c r="R182" s="22" t="n">
        <v>0</v>
      </c>
    </row>
    <row r="183">
      <c r="A183" s="22" t="n">
        <v>201605</v>
      </c>
      <c r="B183" s="22" t="inlineStr">
        <is>
          <t>05/2016</t>
        </is>
      </c>
      <c r="C183" s="22" t="n">
        <v>16</v>
      </c>
      <c r="D183" s="22" t="inlineStr">
        <is>
          <t>S16</t>
        </is>
      </c>
      <c r="E183" s="22" t="inlineStr">
        <is>
          <t>Nexa Limousin (S16)</t>
        </is>
      </c>
      <c r="F183" s="22" t="inlineStr">
        <is>
          <t>Pháp</t>
        </is>
      </c>
      <c r="G183" s="22" t="inlineStr">
        <is>
          <t>POS</t>
        </is>
      </c>
      <c r="H183" s="31" t="n">
        <v>779.66</v>
      </c>
      <c r="I183" s="31" t="n">
        <v>0</v>
      </c>
      <c r="J183" s="31" t="n">
        <v>779.66</v>
      </c>
      <c r="K183" s="31" t="n">
        <v>0</v>
      </c>
      <c r="L183" s="32" t="n">
        <v>1</v>
      </c>
      <c r="M183" s="32" t="n">
        <v>7</v>
      </c>
      <c r="N183" s="31" t="n">
        <v>779.66</v>
      </c>
      <c r="O183" s="31" t="n">
        <v>779.66</v>
      </c>
      <c r="P183" s="22" t="n">
        <v>0</v>
      </c>
      <c r="Q183" s="22" t="n">
        <v>0</v>
      </c>
      <c r="R183" s="22" t="n">
        <v>0</v>
      </c>
    </row>
    <row r="184">
      <c r="A184" s="22" t="n">
        <v>201605</v>
      </c>
      <c r="B184" s="22" t="inlineStr">
        <is>
          <t>05/2016</t>
        </is>
      </c>
      <c r="C184" s="22" t="n">
        <v>18</v>
      </c>
      <c r="D184" s="22" t="inlineStr">
        <is>
          <t>S18</t>
        </is>
      </c>
      <c r="E184" s="22" t="inlineStr">
        <is>
          <t>Nexa Mayotte (S18)</t>
        </is>
      </c>
      <c r="F184" s="22" t="inlineStr">
        <is>
          <t>Pháp</t>
        </is>
      </c>
      <c r="G184" s="22" t="inlineStr">
        <is>
          <t>POS</t>
        </is>
      </c>
      <c r="H184" s="31" t="n">
        <v>198</v>
      </c>
      <c r="I184" s="31" t="n">
        <v>0</v>
      </c>
      <c r="J184" s="31" t="n">
        <v>198</v>
      </c>
      <c r="K184" s="31" t="n">
        <v>0</v>
      </c>
      <c r="L184" s="32" t="n">
        <v>1</v>
      </c>
      <c r="M184" s="32" t="n">
        <v>2</v>
      </c>
      <c r="N184" s="31" t="n">
        <v>198</v>
      </c>
      <c r="O184" s="31" t="n">
        <v>198</v>
      </c>
      <c r="P184" s="22" t="n">
        <v>0</v>
      </c>
      <c r="Q184" s="22" t="n">
        <v>0</v>
      </c>
      <c r="R184" s="22" t="n">
        <v>0</v>
      </c>
    </row>
    <row r="185">
      <c r="A185" s="22" t="n">
        <v>201605</v>
      </c>
      <c r="B185" s="22" t="inlineStr">
        <is>
          <t>05/2016</t>
        </is>
      </c>
      <c r="C185" s="22" t="n">
        <v>19</v>
      </c>
      <c r="D185" s="22" t="inlineStr">
        <is>
          <t>S19</t>
        </is>
      </c>
      <c r="E185" s="22" t="inlineStr">
        <is>
          <t>Nexa Berlin (S19)</t>
        </is>
      </c>
      <c r="F185" s="22" t="inlineStr">
        <is>
          <t>Đức</t>
        </is>
      </c>
      <c r="G185" s="22" t="inlineStr">
        <is>
          <t>POS</t>
        </is>
      </c>
      <c r="H185" s="31" t="n">
        <v>1163.84</v>
      </c>
      <c r="I185" s="31" t="n">
        <v>0</v>
      </c>
      <c r="J185" s="31" t="n">
        <v>1163.84</v>
      </c>
      <c r="K185" s="31" t="n">
        <v>0</v>
      </c>
      <c r="L185" s="32" t="n">
        <v>2</v>
      </c>
      <c r="M185" s="32" t="n">
        <v>9</v>
      </c>
      <c r="N185" s="31" t="n">
        <v>1163.84</v>
      </c>
      <c r="O185" s="31" t="n">
        <v>1163.84</v>
      </c>
      <c r="P185" s="22" t="n">
        <v>0</v>
      </c>
      <c r="Q185" s="22" t="n">
        <v>0</v>
      </c>
      <c r="R185" s="22" t="n">
        <v>0</v>
      </c>
    </row>
    <row r="186">
      <c r="A186" s="22" t="n">
        <v>201605</v>
      </c>
      <c r="B186" s="22" t="inlineStr">
        <is>
          <t>05/2016</t>
        </is>
      </c>
      <c r="C186" s="22" t="n">
        <v>20</v>
      </c>
      <c r="D186" s="22" t="inlineStr">
        <is>
          <t>S20</t>
        </is>
      </c>
      <c r="E186" s="22" t="inlineStr">
        <is>
          <t>Nexa Brandenburg (S20)</t>
        </is>
      </c>
      <c r="F186" s="22" t="inlineStr">
        <is>
          <t>Đức</t>
        </is>
      </c>
      <c r="G186" s="22" t="inlineStr">
        <is>
          <t>POS</t>
        </is>
      </c>
      <c r="H186" s="31" t="n">
        <v>6286.49</v>
      </c>
      <c r="I186" s="31" t="n">
        <v>0</v>
      </c>
      <c r="J186" s="31" t="n">
        <v>6286.49</v>
      </c>
      <c r="K186" s="31" t="n">
        <v>0</v>
      </c>
      <c r="L186" s="32" t="n">
        <v>4</v>
      </c>
      <c r="M186" s="32" t="n">
        <v>27</v>
      </c>
      <c r="N186" s="31" t="n">
        <v>6286.49</v>
      </c>
      <c r="O186" s="31" t="n">
        <v>6286.49</v>
      </c>
      <c r="P186" s="22" t="n">
        <v>0</v>
      </c>
      <c r="Q186" s="22" t="n">
        <v>0</v>
      </c>
      <c r="R186" s="22" t="n">
        <v>0</v>
      </c>
    </row>
    <row r="187">
      <c r="A187" s="22" t="n">
        <v>201605</v>
      </c>
      <c r="B187" s="22" t="inlineStr">
        <is>
          <t>05/2016</t>
        </is>
      </c>
      <c r="C187" s="22" t="n">
        <v>22</v>
      </c>
      <c r="D187" s="22" t="inlineStr">
        <is>
          <t>S22</t>
        </is>
      </c>
      <c r="E187" s="22" t="inlineStr">
        <is>
          <t>Nexa Freistaat Thüringen (S22)</t>
        </is>
      </c>
      <c r="F187" s="22" t="inlineStr">
        <is>
          <t>Đức</t>
        </is>
      </c>
      <c r="G187" s="22" t="inlineStr">
        <is>
          <t>POS</t>
        </is>
      </c>
      <c r="H187" s="31" t="n">
        <v>3159</v>
      </c>
      <c r="I187" s="31" t="n">
        <v>0</v>
      </c>
      <c r="J187" s="31" t="n">
        <v>3159</v>
      </c>
      <c r="K187" s="31" t="n">
        <v>0</v>
      </c>
      <c r="L187" s="32" t="n">
        <v>1</v>
      </c>
      <c r="M187" s="32" t="n">
        <v>9</v>
      </c>
      <c r="N187" s="31" t="n">
        <v>3159</v>
      </c>
      <c r="O187" s="31" t="n">
        <v>3159</v>
      </c>
      <c r="P187" s="22" t="n">
        <v>0</v>
      </c>
      <c r="Q187" s="22" t="n">
        <v>0</v>
      </c>
      <c r="R187" s="22" t="n">
        <v>0</v>
      </c>
    </row>
    <row r="188">
      <c r="A188" s="22" t="n">
        <v>201605</v>
      </c>
      <c r="B188" s="22" t="inlineStr">
        <is>
          <t>05/2016</t>
        </is>
      </c>
      <c r="C188" s="22" t="n">
        <v>23</v>
      </c>
      <c r="D188" s="22" t="inlineStr">
        <is>
          <t>S23</t>
        </is>
      </c>
      <c r="E188" s="22" t="inlineStr">
        <is>
          <t>Nexa Hamburg (S23)</t>
        </is>
      </c>
      <c r="F188" s="22" t="inlineStr">
        <is>
          <t>Đức</t>
        </is>
      </c>
      <c r="G188" s="22" t="inlineStr">
        <is>
          <t>POS</t>
        </is>
      </c>
      <c r="H188" s="31" t="n">
        <v>1978.7</v>
      </c>
      <c r="I188" s="31" t="n">
        <v>0</v>
      </c>
      <c r="J188" s="31" t="n">
        <v>1978.7</v>
      </c>
      <c r="K188" s="31" t="n">
        <v>0</v>
      </c>
      <c r="L188" s="32" t="n">
        <v>2</v>
      </c>
      <c r="M188" s="32" t="n">
        <v>28</v>
      </c>
      <c r="N188" s="31" t="n">
        <v>1978.7</v>
      </c>
      <c r="O188" s="31" t="n">
        <v>1978.7</v>
      </c>
      <c r="P188" s="22" t="n">
        <v>0</v>
      </c>
      <c r="Q188" s="22" t="n">
        <v>0</v>
      </c>
      <c r="R188" s="22" t="n">
        <v>0</v>
      </c>
    </row>
    <row r="189">
      <c r="A189" s="22" t="n">
        <v>201605</v>
      </c>
      <c r="B189" s="22" t="inlineStr">
        <is>
          <t>05/2016</t>
        </is>
      </c>
      <c r="C189" s="22" t="n">
        <v>24</v>
      </c>
      <c r="D189" s="22" t="inlineStr">
        <is>
          <t>S24</t>
        </is>
      </c>
      <c r="E189" s="22" t="inlineStr">
        <is>
          <t>Nexa Hessen (S24)</t>
        </is>
      </c>
      <c r="F189" s="22" t="inlineStr">
        <is>
          <t>Đức</t>
        </is>
      </c>
      <c r="G189" s="22" t="inlineStr">
        <is>
          <t>POS</t>
        </is>
      </c>
      <c r="H189" s="31" t="n">
        <v>54729.65</v>
      </c>
      <c r="I189" s="31" t="n">
        <v>0</v>
      </c>
      <c r="J189" s="31" t="n">
        <v>54729.65</v>
      </c>
      <c r="K189" s="31" t="n">
        <v>0</v>
      </c>
      <c r="L189" s="32" t="n">
        <v>4</v>
      </c>
      <c r="M189" s="32" t="n">
        <v>56</v>
      </c>
      <c r="N189" s="31" t="n">
        <v>54729.65</v>
      </c>
      <c r="O189" s="31" t="n">
        <v>54729.65</v>
      </c>
      <c r="P189" s="22" t="n">
        <v>0</v>
      </c>
      <c r="Q189" s="22" t="n">
        <v>0</v>
      </c>
      <c r="R189" s="22" t="n">
        <v>0</v>
      </c>
    </row>
    <row r="190">
      <c r="A190" s="22" t="n">
        <v>201605</v>
      </c>
      <c r="B190" s="22" t="inlineStr">
        <is>
          <t>05/2016</t>
        </is>
      </c>
      <c r="C190" s="22" t="n">
        <v>27</v>
      </c>
      <c r="D190" s="22" t="inlineStr">
        <is>
          <t>S27</t>
        </is>
      </c>
      <c r="E190" s="22" t="inlineStr">
        <is>
          <t>Nexa Sachsen-Anhalt (S27)</t>
        </is>
      </c>
      <c r="F190" s="22" t="inlineStr">
        <is>
          <t>Đức</t>
        </is>
      </c>
      <c r="G190" s="22" t="inlineStr">
        <is>
          <t>POS</t>
        </is>
      </c>
      <c r="H190" s="31" t="n">
        <v>14590.93</v>
      </c>
      <c r="I190" s="31" t="n">
        <v>0</v>
      </c>
      <c r="J190" s="31" t="n">
        <v>14590.93</v>
      </c>
      <c r="K190" s="31" t="n">
        <v>0</v>
      </c>
      <c r="L190" s="32" t="n">
        <v>2</v>
      </c>
      <c r="M190" s="32" t="n">
        <v>19</v>
      </c>
      <c r="N190" s="31" t="n">
        <v>14590.93</v>
      </c>
      <c r="O190" s="31" t="n">
        <v>14590.93</v>
      </c>
      <c r="P190" s="22" t="n">
        <v>0</v>
      </c>
      <c r="Q190" s="22" t="n">
        <v>0</v>
      </c>
      <c r="R190" s="22" t="n">
        <v>0</v>
      </c>
    </row>
    <row r="191">
      <c r="A191" s="22" t="n">
        <v>201605</v>
      </c>
      <c r="B191" s="22" t="inlineStr">
        <is>
          <t>05/2016</t>
        </is>
      </c>
      <c r="C191" s="22" t="n">
        <v>29</v>
      </c>
      <c r="D191" s="22" t="inlineStr">
        <is>
          <t>S29</t>
        </is>
      </c>
      <c r="E191" s="22" t="inlineStr">
        <is>
          <t>Nexa Enna (S29)</t>
        </is>
      </c>
      <c r="F191" s="22" t="inlineStr">
        <is>
          <t>Ý</t>
        </is>
      </c>
      <c r="G191" s="22" t="inlineStr">
        <is>
          <t>POS</t>
        </is>
      </c>
      <c r="H191" s="31" t="n">
        <v>8538.59</v>
      </c>
      <c r="I191" s="31" t="n">
        <v>0</v>
      </c>
      <c r="J191" s="31" t="n">
        <v>8538.59</v>
      </c>
      <c r="K191" s="31" t="n">
        <v>0</v>
      </c>
      <c r="L191" s="32" t="n">
        <v>4</v>
      </c>
      <c r="M191" s="32" t="n">
        <v>32</v>
      </c>
      <c r="N191" s="31" t="n">
        <v>8538.59</v>
      </c>
      <c r="O191" s="31" t="n">
        <v>8538.59</v>
      </c>
      <c r="P191" s="22" t="n">
        <v>0</v>
      </c>
      <c r="Q191" s="22" t="n">
        <v>0</v>
      </c>
      <c r="R191" s="22" t="n">
        <v>0</v>
      </c>
    </row>
    <row r="192">
      <c r="A192" s="22" t="n">
        <v>201605</v>
      </c>
      <c r="B192" s="22" t="inlineStr">
        <is>
          <t>05/2016</t>
        </is>
      </c>
      <c r="C192" s="22" t="n">
        <v>30</v>
      </c>
      <c r="D192" s="22" t="inlineStr">
        <is>
          <t>S30</t>
        </is>
      </c>
      <c r="E192" s="22" t="inlineStr">
        <is>
          <t>Nexa Pesaro (S30)</t>
        </is>
      </c>
      <c r="F192" s="22" t="inlineStr">
        <is>
          <t>Ý</t>
        </is>
      </c>
      <c r="G192" s="22" t="inlineStr">
        <is>
          <t>POS</t>
        </is>
      </c>
      <c r="H192" s="31" t="n">
        <v>8715.639999999999</v>
      </c>
      <c r="I192" s="31" t="n">
        <v>0</v>
      </c>
      <c r="J192" s="31" t="n">
        <v>8715.639999999999</v>
      </c>
      <c r="K192" s="31" t="n">
        <v>0</v>
      </c>
      <c r="L192" s="32" t="n">
        <v>5</v>
      </c>
      <c r="M192" s="32" t="n">
        <v>42</v>
      </c>
      <c r="N192" s="31" t="n">
        <v>8715.639999999999</v>
      </c>
      <c r="O192" s="31" t="n">
        <v>8715.639999999999</v>
      </c>
      <c r="P192" s="22" t="n">
        <v>0</v>
      </c>
      <c r="Q192" s="22" t="n">
        <v>0</v>
      </c>
      <c r="R192" s="22" t="n">
        <v>0</v>
      </c>
    </row>
    <row r="193">
      <c r="A193" s="22" t="n">
        <v>201605</v>
      </c>
      <c r="B193" s="22" t="inlineStr">
        <is>
          <t>05/2016</t>
        </is>
      </c>
      <c r="C193" s="22" t="n">
        <v>32</v>
      </c>
      <c r="D193" s="22" t="inlineStr">
        <is>
          <t>S32</t>
        </is>
      </c>
      <c r="E193" s="22" t="inlineStr">
        <is>
          <t>Nexa Flevoland (S32)</t>
        </is>
      </c>
      <c r="F193" s="22" t="inlineStr">
        <is>
          <t>Hà Lan</t>
        </is>
      </c>
      <c r="G193" s="22" t="inlineStr">
        <is>
          <t>POS</t>
        </is>
      </c>
      <c r="H193" s="31" t="n">
        <v>2105.94</v>
      </c>
      <c r="I193" s="31" t="n">
        <v>0</v>
      </c>
      <c r="J193" s="31" t="n">
        <v>2105.94</v>
      </c>
      <c r="K193" s="31" t="n">
        <v>0</v>
      </c>
      <c r="L193" s="32" t="n">
        <v>1</v>
      </c>
      <c r="M193" s="32" t="n">
        <v>12</v>
      </c>
      <c r="N193" s="31" t="n">
        <v>2105.94</v>
      </c>
      <c r="O193" s="31" t="n">
        <v>2105.94</v>
      </c>
      <c r="P193" s="22" t="n">
        <v>0</v>
      </c>
      <c r="Q193" s="22" t="n">
        <v>0</v>
      </c>
      <c r="R193" s="22" t="n">
        <v>0</v>
      </c>
    </row>
    <row r="194">
      <c r="A194" s="22" t="n">
        <v>201605</v>
      </c>
      <c r="B194" s="22" t="inlineStr">
        <is>
          <t>05/2016</t>
        </is>
      </c>
      <c r="C194" s="22" t="n">
        <v>33</v>
      </c>
      <c r="D194" s="22" t="inlineStr">
        <is>
          <t>S33</t>
        </is>
      </c>
      <c r="E194" s="22" t="inlineStr">
        <is>
          <t>Nexa Friesland (S33)</t>
        </is>
      </c>
      <c r="F194" s="22" t="inlineStr">
        <is>
          <t>Hà Lan</t>
        </is>
      </c>
      <c r="G194" s="22" t="inlineStr">
        <is>
          <t>POS</t>
        </is>
      </c>
      <c r="H194" s="31" t="n">
        <v>31524.56</v>
      </c>
      <c r="I194" s="31" t="n">
        <v>0</v>
      </c>
      <c r="J194" s="31" t="n">
        <v>31524.56</v>
      </c>
      <c r="K194" s="31" t="n">
        <v>0</v>
      </c>
      <c r="L194" s="32" t="n">
        <v>2</v>
      </c>
      <c r="M194" s="32" t="n">
        <v>32</v>
      </c>
      <c r="N194" s="31" t="n">
        <v>31524.56</v>
      </c>
      <c r="O194" s="31" t="n">
        <v>31524.56</v>
      </c>
      <c r="P194" s="22" t="n">
        <v>0</v>
      </c>
      <c r="Q194" s="22" t="n">
        <v>0</v>
      </c>
      <c r="R194" s="22" t="n">
        <v>0</v>
      </c>
    </row>
    <row r="195">
      <c r="A195" s="22" t="n">
        <v>201605</v>
      </c>
      <c r="B195" s="22" t="inlineStr">
        <is>
          <t>05/2016</t>
        </is>
      </c>
      <c r="C195" s="22" t="n">
        <v>36</v>
      </c>
      <c r="D195" s="22" t="inlineStr">
        <is>
          <t>S36</t>
        </is>
      </c>
      <c r="E195" s="22" t="inlineStr">
        <is>
          <t>Nexa Armagh (S36)</t>
        </is>
      </c>
      <c r="F195" s="22" t="inlineStr">
        <is>
          <t>Anh</t>
        </is>
      </c>
      <c r="G195" s="22" t="inlineStr">
        <is>
          <t>POS</t>
        </is>
      </c>
      <c r="H195" s="31" t="n">
        <v>2980.04</v>
      </c>
      <c r="I195" s="31" t="n">
        <v>0</v>
      </c>
      <c r="J195" s="31" t="n">
        <v>2980.04</v>
      </c>
      <c r="K195" s="31" t="n">
        <v>20.64</v>
      </c>
      <c r="L195" s="32" t="n">
        <v>4</v>
      </c>
      <c r="M195" s="32" t="n">
        <v>20</v>
      </c>
      <c r="N195" s="31" t="n">
        <v>2959.4</v>
      </c>
      <c r="O195" s="31" t="n">
        <v>2980.04</v>
      </c>
      <c r="P195" s="22" t="n">
        <v>0</v>
      </c>
      <c r="Q195" s="22" t="n">
        <v>0</v>
      </c>
      <c r="R195" s="22" t="n">
        <v>0</v>
      </c>
    </row>
    <row r="196">
      <c r="A196" s="22" t="n">
        <v>201605</v>
      </c>
      <c r="B196" s="22" t="inlineStr">
        <is>
          <t>05/2016</t>
        </is>
      </c>
      <c r="C196" s="22" t="n">
        <v>37</v>
      </c>
      <c r="D196" s="22" t="inlineStr">
        <is>
          <t>S37</t>
        </is>
      </c>
      <c r="E196" s="22" t="inlineStr">
        <is>
          <t>Nexa Ayrshire (S37)</t>
        </is>
      </c>
      <c r="F196" s="22" t="inlineStr">
        <is>
          <t>Anh</t>
        </is>
      </c>
      <c r="G196" s="22" t="inlineStr">
        <is>
          <t>POS</t>
        </is>
      </c>
      <c r="H196" s="31" t="n">
        <v>5856</v>
      </c>
      <c r="I196" s="31" t="n">
        <v>0</v>
      </c>
      <c r="J196" s="31" t="n">
        <v>5856</v>
      </c>
      <c r="K196" s="31" t="n">
        <v>0</v>
      </c>
      <c r="L196" s="32" t="n">
        <v>3</v>
      </c>
      <c r="M196" s="32" t="n">
        <v>11</v>
      </c>
      <c r="N196" s="31" t="n">
        <v>5856</v>
      </c>
      <c r="O196" s="31" t="n">
        <v>5856</v>
      </c>
      <c r="P196" s="22" t="n">
        <v>0</v>
      </c>
      <c r="Q196" s="22" t="n">
        <v>0</v>
      </c>
      <c r="R196" s="22" t="n">
        <v>0</v>
      </c>
    </row>
    <row r="197">
      <c r="A197" s="22" t="n">
        <v>201605</v>
      </c>
      <c r="B197" s="22" t="inlineStr">
        <is>
          <t>05/2016</t>
        </is>
      </c>
      <c r="C197" s="22" t="n">
        <v>38</v>
      </c>
      <c r="D197" s="22" t="inlineStr">
        <is>
          <t>S38</t>
        </is>
      </c>
      <c r="E197" s="22" t="inlineStr">
        <is>
          <t>Nexa Belfast (S38)</t>
        </is>
      </c>
      <c r="F197" s="22" t="inlineStr">
        <is>
          <t>Anh</t>
        </is>
      </c>
      <c r="G197" s="22" t="inlineStr">
        <is>
          <t>POS</t>
        </is>
      </c>
      <c r="H197" s="31" t="n">
        <v>24475.84</v>
      </c>
      <c r="I197" s="31" t="n">
        <v>0</v>
      </c>
      <c r="J197" s="31" t="n">
        <v>24475.84</v>
      </c>
      <c r="K197" s="31" t="n">
        <v>0</v>
      </c>
      <c r="L197" s="32" t="n">
        <v>3</v>
      </c>
      <c r="M197" s="32" t="n">
        <v>16</v>
      </c>
      <c r="N197" s="31" t="n">
        <v>24475.84</v>
      </c>
      <c r="O197" s="31" t="n">
        <v>24475.84</v>
      </c>
      <c r="P197" s="22" t="n">
        <v>0</v>
      </c>
      <c r="Q197" s="22" t="n">
        <v>0</v>
      </c>
      <c r="R197" s="22" t="n">
        <v>0</v>
      </c>
    </row>
    <row r="198">
      <c r="A198" s="22" t="n">
        <v>201605</v>
      </c>
      <c r="B198" s="22" t="inlineStr">
        <is>
          <t>05/2016</t>
        </is>
      </c>
      <c r="C198" s="22" t="n">
        <v>39</v>
      </c>
      <c r="D198" s="22" t="inlineStr">
        <is>
          <t>S39</t>
        </is>
      </c>
      <c r="E198" s="22" t="inlineStr">
        <is>
          <t>Nexa Blaenau Gwent (S39)</t>
        </is>
      </c>
      <c r="F198" s="22" t="inlineStr">
        <is>
          <t>Anh</t>
        </is>
      </c>
      <c r="G198" s="22" t="inlineStr">
        <is>
          <t>POS</t>
        </is>
      </c>
      <c r="H198" s="31" t="n">
        <v>18226.7</v>
      </c>
      <c r="I198" s="31" t="n">
        <v>0</v>
      </c>
      <c r="J198" s="31" t="n">
        <v>18226.7</v>
      </c>
      <c r="K198" s="31" t="n">
        <v>0</v>
      </c>
      <c r="L198" s="32" t="n">
        <v>8</v>
      </c>
      <c r="M198" s="32" t="n">
        <v>65</v>
      </c>
      <c r="N198" s="31" t="n">
        <v>18226.7</v>
      </c>
      <c r="O198" s="31" t="n">
        <v>18226.7</v>
      </c>
      <c r="P198" s="22" t="n">
        <v>0</v>
      </c>
      <c r="Q198" s="22" t="n">
        <v>0</v>
      </c>
      <c r="R198" s="22" t="n">
        <v>0</v>
      </c>
    </row>
    <row r="199">
      <c r="A199" s="22" t="n">
        <v>201605</v>
      </c>
      <c r="B199" s="22" t="inlineStr">
        <is>
          <t>05/2016</t>
        </is>
      </c>
      <c r="C199" s="22" t="n">
        <v>40</v>
      </c>
      <c r="D199" s="22" t="inlineStr">
        <is>
          <t>S40</t>
        </is>
      </c>
      <c r="E199" s="22" t="inlineStr">
        <is>
          <t>Nexa Dungannon and South Tyrone (S40)</t>
        </is>
      </c>
      <c r="F199" s="22" t="inlineStr">
        <is>
          <t>Anh</t>
        </is>
      </c>
      <c r="G199" s="22" t="inlineStr">
        <is>
          <t>POS</t>
        </is>
      </c>
      <c r="H199" s="31" t="n">
        <v>8203.24</v>
      </c>
      <c r="I199" s="31" t="n">
        <v>0</v>
      </c>
      <c r="J199" s="31" t="n">
        <v>8203.24</v>
      </c>
      <c r="K199" s="31" t="n">
        <v>0</v>
      </c>
      <c r="L199" s="32" t="n">
        <v>6</v>
      </c>
      <c r="M199" s="32" t="n">
        <v>44</v>
      </c>
      <c r="N199" s="31" t="n">
        <v>8203.24</v>
      </c>
      <c r="O199" s="31" t="n">
        <v>8203.24</v>
      </c>
      <c r="P199" s="22" t="n">
        <v>0</v>
      </c>
      <c r="Q199" s="22" t="n">
        <v>0</v>
      </c>
      <c r="R199" s="22" t="n">
        <v>0</v>
      </c>
    </row>
    <row r="200">
      <c r="A200" s="22" t="n">
        <v>201605</v>
      </c>
      <c r="B200" s="22" t="inlineStr">
        <is>
          <t>05/2016</t>
        </is>
      </c>
      <c r="C200" s="22" t="n">
        <v>41</v>
      </c>
      <c r="D200" s="22" t="inlineStr">
        <is>
          <t>S41</t>
        </is>
      </c>
      <c r="E200" s="22" t="inlineStr">
        <is>
          <t>Nexa Fermanagh (S41)</t>
        </is>
      </c>
      <c r="F200" s="22" t="inlineStr">
        <is>
          <t>Anh</t>
        </is>
      </c>
      <c r="G200" s="22" t="inlineStr">
        <is>
          <t>POS</t>
        </is>
      </c>
      <c r="H200" s="31" t="n">
        <v>2009.26</v>
      </c>
      <c r="I200" s="31" t="n">
        <v>0</v>
      </c>
      <c r="J200" s="31" t="n">
        <v>2009.26</v>
      </c>
      <c r="K200" s="31" t="n">
        <v>0</v>
      </c>
      <c r="L200" s="32" t="n">
        <v>5</v>
      </c>
      <c r="M200" s="32" t="n">
        <v>16</v>
      </c>
      <c r="N200" s="31" t="n">
        <v>2009.26</v>
      </c>
      <c r="O200" s="31" t="n">
        <v>2009.26</v>
      </c>
      <c r="P200" s="22" t="n">
        <v>0</v>
      </c>
      <c r="Q200" s="22" t="n">
        <v>0</v>
      </c>
      <c r="R200" s="22" t="n">
        <v>0</v>
      </c>
    </row>
    <row r="201">
      <c r="A201" s="22" t="n">
        <v>201605</v>
      </c>
      <c r="B201" s="22" t="inlineStr">
        <is>
          <t>05/2016</t>
        </is>
      </c>
      <c r="C201" s="22" t="n">
        <v>42</v>
      </c>
      <c r="D201" s="22" t="inlineStr">
        <is>
          <t>S42</t>
        </is>
      </c>
      <c r="E201" s="22" t="inlineStr">
        <is>
          <t>Nexa North Down (S42)</t>
        </is>
      </c>
      <c r="F201" s="22" t="inlineStr">
        <is>
          <t>Anh</t>
        </is>
      </c>
      <c r="G201" s="22" t="inlineStr">
        <is>
          <t>POS</t>
        </is>
      </c>
      <c r="H201" s="31" t="n">
        <v>22068.69</v>
      </c>
      <c r="I201" s="31" t="n">
        <v>0</v>
      </c>
      <c r="J201" s="31" t="n">
        <v>22068.69</v>
      </c>
      <c r="K201" s="31" t="n">
        <v>0</v>
      </c>
      <c r="L201" s="32" t="n">
        <v>8</v>
      </c>
      <c r="M201" s="32" t="n">
        <v>62</v>
      </c>
      <c r="N201" s="31" t="n">
        <v>22068.69</v>
      </c>
      <c r="O201" s="31" t="n">
        <v>22068.69</v>
      </c>
      <c r="P201" s="22" t="n">
        <v>0</v>
      </c>
      <c r="Q201" s="22" t="n">
        <v>0</v>
      </c>
      <c r="R201" s="22" t="n">
        <v>0</v>
      </c>
    </row>
    <row r="202">
      <c r="A202" s="22" t="n">
        <v>201605</v>
      </c>
      <c r="B202" s="22" t="inlineStr">
        <is>
          <t>05/2016</t>
        </is>
      </c>
      <c r="C202" s="22" t="n">
        <v>43</v>
      </c>
      <c r="D202" s="22" t="inlineStr">
        <is>
          <t>S43</t>
        </is>
      </c>
      <c r="E202" s="22" t="inlineStr">
        <is>
          <t>Nexa Alaska (S43)</t>
        </is>
      </c>
      <c r="F202" s="22" t="inlineStr">
        <is>
          <t>Mỹ</t>
        </is>
      </c>
      <c r="G202" s="22" t="inlineStr">
        <is>
          <t>POS</t>
        </is>
      </c>
      <c r="H202" s="31" t="n">
        <v>11293.41</v>
      </c>
      <c r="I202" s="31" t="n">
        <v>0</v>
      </c>
      <c r="J202" s="31" t="n">
        <v>11293.41</v>
      </c>
      <c r="K202" s="31" t="n">
        <v>0</v>
      </c>
      <c r="L202" s="32" t="n">
        <v>6</v>
      </c>
      <c r="M202" s="32" t="n">
        <v>29</v>
      </c>
      <c r="N202" s="31" t="n">
        <v>11293.41</v>
      </c>
      <c r="O202" s="31" t="n">
        <v>11293.41</v>
      </c>
      <c r="P202" s="22" t="n">
        <v>1</v>
      </c>
      <c r="Q202" s="22" t="n">
        <v>0</v>
      </c>
      <c r="R202" s="22" t="n">
        <v>0</v>
      </c>
    </row>
    <row r="203">
      <c r="A203" s="22" t="n">
        <v>201605</v>
      </c>
      <c r="B203" s="22" t="inlineStr">
        <is>
          <t>05/2016</t>
        </is>
      </c>
      <c r="C203" s="22" t="n">
        <v>44</v>
      </c>
      <c r="D203" s="22" t="inlineStr">
        <is>
          <t>S44</t>
        </is>
      </c>
      <c r="E203" s="22" t="inlineStr">
        <is>
          <t>Nexa Arkansas (S44)</t>
        </is>
      </c>
      <c r="F203" s="22" t="inlineStr">
        <is>
          <t>Mỹ</t>
        </is>
      </c>
      <c r="G203" s="22" t="inlineStr">
        <is>
          <t>POS</t>
        </is>
      </c>
      <c r="H203" s="31" t="n">
        <v>2163.98</v>
      </c>
      <c r="I203" s="31" t="n">
        <v>0</v>
      </c>
      <c r="J203" s="31" t="n">
        <v>2163.98</v>
      </c>
      <c r="K203" s="31" t="n">
        <v>0</v>
      </c>
      <c r="L203" s="32" t="n">
        <v>3</v>
      </c>
      <c r="M203" s="32" t="n">
        <v>9</v>
      </c>
      <c r="N203" s="31" t="n">
        <v>2163.98</v>
      </c>
      <c r="O203" s="31" t="n">
        <v>2163.98</v>
      </c>
      <c r="P203" s="22" t="n">
        <v>0</v>
      </c>
      <c r="Q203" s="22" t="n">
        <v>0</v>
      </c>
      <c r="R203" s="22" t="n">
        <v>0</v>
      </c>
    </row>
    <row r="204">
      <c r="A204" s="22" t="n">
        <v>201605</v>
      </c>
      <c r="B204" s="22" t="inlineStr">
        <is>
          <t>05/2016</t>
        </is>
      </c>
      <c r="C204" s="22" t="n">
        <v>45</v>
      </c>
      <c r="D204" s="22" t="inlineStr">
        <is>
          <t>S45</t>
        </is>
      </c>
      <c r="E204" s="22" t="inlineStr">
        <is>
          <t>Nexa Connecticut (S45)</t>
        </is>
      </c>
      <c r="F204" s="22" t="inlineStr">
        <is>
          <t>Mỹ</t>
        </is>
      </c>
      <c r="G204" s="22" t="inlineStr">
        <is>
          <t>POS</t>
        </is>
      </c>
      <c r="H204" s="31" t="n">
        <v>2662.35</v>
      </c>
      <c r="I204" s="31" t="n">
        <v>0</v>
      </c>
      <c r="J204" s="31" t="n">
        <v>2662.35</v>
      </c>
      <c r="K204" s="31" t="n">
        <v>0</v>
      </c>
      <c r="L204" s="32" t="n">
        <v>2</v>
      </c>
      <c r="M204" s="32" t="n">
        <v>20</v>
      </c>
      <c r="N204" s="31" t="n">
        <v>2662.35</v>
      </c>
      <c r="O204" s="31" t="n">
        <v>2662.35</v>
      </c>
      <c r="P204" s="22" t="n">
        <v>0</v>
      </c>
      <c r="Q204" s="22" t="n">
        <v>0</v>
      </c>
      <c r="R204" s="22" t="n">
        <v>1</v>
      </c>
    </row>
    <row r="205">
      <c r="A205" s="22" t="n">
        <v>201605</v>
      </c>
      <c r="B205" s="22" t="inlineStr">
        <is>
          <t>05/2016</t>
        </is>
      </c>
      <c r="C205" s="22" t="n">
        <v>47</v>
      </c>
      <c r="D205" s="22" t="inlineStr">
        <is>
          <t>S47</t>
        </is>
      </c>
      <c r="E205" s="22" t="inlineStr">
        <is>
          <t>Nexa Hawaii (S47)</t>
        </is>
      </c>
      <c r="F205" s="22" t="inlineStr">
        <is>
          <t>Mỹ</t>
        </is>
      </c>
      <c r="G205" s="22" t="inlineStr">
        <is>
          <t>POS</t>
        </is>
      </c>
      <c r="H205" s="31" t="n">
        <v>13369.93</v>
      </c>
      <c r="I205" s="31" t="n">
        <v>0</v>
      </c>
      <c r="J205" s="31" t="n">
        <v>13369.93</v>
      </c>
      <c r="K205" s="31" t="n">
        <v>0</v>
      </c>
      <c r="L205" s="32" t="n">
        <v>3</v>
      </c>
      <c r="M205" s="32" t="n">
        <v>28</v>
      </c>
      <c r="N205" s="31" t="n">
        <v>13369.93</v>
      </c>
      <c r="O205" s="31" t="n">
        <v>13369.93</v>
      </c>
      <c r="P205" s="22" t="n">
        <v>0</v>
      </c>
      <c r="Q205" s="22" t="n">
        <v>0</v>
      </c>
      <c r="R205" s="22" t="n">
        <v>0</v>
      </c>
    </row>
    <row r="206">
      <c r="A206" s="22" t="n">
        <v>201605</v>
      </c>
      <c r="B206" s="22" t="inlineStr">
        <is>
          <t>05/2016</t>
        </is>
      </c>
      <c r="C206" s="22" t="n">
        <v>48</v>
      </c>
      <c r="D206" s="22" t="inlineStr">
        <is>
          <t>S48</t>
        </is>
      </c>
      <c r="E206" s="22" t="inlineStr">
        <is>
          <t>Nexa Idaho (S48)</t>
        </is>
      </c>
      <c r="F206" s="22" t="inlineStr">
        <is>
          <t>Mỹ</t>
        </is>
      </c>
      <c r="G206" s="22" t="inlineStr">
        <is>
          <t>POS</t>
        </is>
      </c>
      <c r="H206" s="31" t="n">
        <v>29510.56</v>
      </c>
      <c r="I206" s="31" t="n">
        <v>0</v>
      </c>
      <c r="J206" s="31" t="n">
        <v>29510.56</v>
      </c>
      <c r="K206" s="31" t="n">
        <v>95.94</v>
      </c>
      <c r="L206" s="32" t="n">
        <v>5</v>
      </c>
      <c r="M206" s="32" t="n">
        <v>55</v>
      </c>
      <c r="N206" s="31" t="n">
        <v>29414.62</v>
      </c>
      <c r="O206" s="31" t="n">
        <v>29510.56</v>
      </c>
      <c r="P206" s="22" t="n">
        <v>0</v>
      </c>
      <c r="Q206" s="22" t="n">
        <v>0</v>
      </c>
      <c r="R206" s="22" t="n">
        <v>0</v>
      </c>
    </row>
    <row r="207">
      <c r="A207" s="22" t="n">
        <v>201605</v>
      </c>
      <c r="B207" s="22" t="inlineStr">
        <is>
          <t>05/2016</t>
        </is>
      </c>
      <c r="C207" s="22" t="n">
        <v>50</v>
      </c>
      <c r="D207" s="22" t="inlineStr">
        <is>
          <t>S50</t>
        </is>
      </c>
      <c r="E207" s="22" t="inlineStr">
        <is>
          <t>Nexa Kansas (S50)</t>
        </is>
      </c>
      <c r="F207" s="22" t="inlineStr">
        <is>
          <t>Mỹ</t>
        </is>
      </c>
      <c r="G207" s="22" t="inlineStr">
        <is>
          <t>POS</t>
        </is>
      </c>
      <c r="H207" s="31" t="n">
        <v>20819.56</v>
      </c>
      <c r="I207" s="31" t="n">
        <v>0</v>
      </c>
      <c r="J207" s="31" t="n">
        <v>20819.56</v>
      </c>
      <c r="K207" s="31" t="n">
        <v>0</v>
      </c>
      <c r="L207" s="32" t="n">
        <v>6</v>
      </c>
      <c r="M207" s="32" t="n">
        <v>31</v>
      </c>
      <c r="N207" s="31" t="n">
        <v>20819.56</v>
      </c>
      <c r="O207" s="31" t="n">
        <v>20819.56</v>
      </c>
      <c r="P207" s="22" t="n">
        <v>0</v>
      </c>
      <c r="Q207" s="22" t="n">
        <v>0</v>
      </c>
      <c r="R207" s="22" t="n">
        <v>0</v>
      </c>
    </row>
    <row r="208">
      <c r="A208" s="22" t="n">
        <v>201605</v>
      </c>
      <c r="B208" s="22" t="inlineStr">
        <is>
          <t>05/2016</t>
        </is>
      </c>
      <c r="C208" s="22" t="n">
        <v>51</v>
      </c>
      <c r="D208" s="22" t="inlineStr">
        <is>
          <t>S51</t>
        </is>
      </c>
      <c r="E208" s="22" t="inlineStr">
        <is>
          <t>Nexa Maine (S51)</t>
        </is>
      </c>
      <c r="F208" s="22" t="inlineStr">
        <is>
          <t>Mỹ</t>
        </is>
      </c>
      <c r="G208" s="22" t="inlineStr">
        <is>
          <t>POS</t>
        </is>
      </c>
      <c r="H208" s="31" t="n">
        <v>9287.049999999999</v>
      </c>
      <c r="I208" s="31" t="n">
        <v>0</v>
      </c>
      <c r="J208" s="31" t="n">
        <v>9287.049999999999</v>
      </c>
      <c r="K208" s="31" t="n">
        <v>0</v>
      </c>
      <c r="L208" s="32" t="n">
        <v>5</v>
      </c>
      <c r="M208" s="32" t="n">
        <v>35</v>
      </c>
      <c r="N208" s="31" t="n">
        <v>9287.049999999999</v>
      </c>
      <c r="O208" s="31" t="n">
        <v>9287.049999999999</v>
      </c>
      <c r="P208" s="22" t="n">
        <v>0</v>
      </c>
      <c r="Q208" s="22" t="n">
        <v>0</v>
      </c>
      <c r="R208" s="22" t="n">
        <v>0</v>
      </c>
    </row>
    <row r="209">
      <c r="A209" s="22" t="n">
        <v>201605</v>
      </c>
      <c r="B209" s="22" t="inlineStr">
        <is>
          <t>05/2016</t>
        </is>
      </c>
      <c r="C209" s="22" t="n">
        <v>53</v>
      </c>
      <c r="D209" s="22" t="inlineStr">
        <is>
          <t>S53</t>
        </is>
      </c>
      <c r="E209" s="22" t="inlineStr">
        <is>
          <t>Nexa Montana (S53)</t>
        </is>
      </c>
      <c r="F209" s="22" t="inlineStr">
        <is>
          <t>Mỹ</t>
        </is>
      </c>
      <c r="G209" s="22" t="inlineStr">
        <is>
          <t>POS</t>
        </is>
      </c>
      <c r="H209" s="31" t="n">
        <v>1052.15</v>
      </c>
      <c r="I209" s="31" t="n">
        <v>0</v>
      </c>
      <c r="J209" s="31" t="n">
        <v>1052.15</v>
      </c>
      <c r="K209" s="31" t="n">
        <v>0</v>
      </c>
      <c r="L209" s="32" t="n">
        <v>3</v>
      </c>
      <c r="M209" s="32" t="n">
        <v>19</v>
      </c>
      <c r="N209" s="31" t="n">
        <v>1052.15</v>
      </c>
      <c r="O209" s="31" t="n">
        <v>1052.15</v>
      </c>
      <c r="P209" s="22" t="n">
        <v>0</v>
      </c>
      <c r="Q209" s="22" t="n">
        <v>0</v>
      </c>
      <c r="R209" s="22" t="n">
        <v>0</v>
      </c>
    </row>
    <row r="210">
      <c r="A210" s="22" t="n">
        <v>201605</v>
      </c>
      <c r="B210" s="22" t="inlineStr">
        <is>
          <t>05/2016</t>
        </is>
      </c>
      <c r="C210" s="22" t="n">
        <v>54</v>
      </c>
      <c r="D210" s="22" t="inlineStr">
        <is>
          <t>S54</t>
        </is>
      </c>
      <c r="E210" s="22" t="inlineStr">
        <is>
          <t>Nexa Nebraska (S54)</t>
        </is>
      </c>
      <c r="F210" s="22" t="inlineStr">
        <is>
          <t>Mỹ</t>
        </is>
      </c>
      <c r="G210" s="22" t="inlineStr">
        <is>
          <t>POS</t>
        </is>
      </c>
      <c r="H210" s="31" t="n">
        <v>4106.85</v>
      </c>
      <c r="I210" s="31" t="n">
        <v>0</v>
      </c>
      <c r="J210" s="31" t="n">
        <v>4106.85</v>
      </c>
      <c r="K210" s="31" t="n">
        <v>0</v>
      </c>
      <c r="L210" s="32" t="n">
        <v>6</v>
      </c>
      <c r="M210" s="32" t="n">
        <v>24</v>
      </c>
      <c r="N210" s="31" t="n">
        <v>4106.85</v>
      </c>
      <c r="O210" s="31" t="n">
        <v>4106.85</v>
      </c>
      <c r="P210" s="22" t="n">
        <v>0</v>
      </c>
      <c r="Q210" s="22" t="n">
        <v>0</v>
      </c>
      <c r="R210" s="22" t="n">
        <v>0</v>
      </c>
    </row>
    <row r="211">
      <c r="A211" s="22" t="n">
        <v>201605</v>
      </c>
      <c r="B211" s="22" t="inlineStr">
        <is>
          <t>05/2016</t>
        </is>
      </c>
      <c r="C211" s="22" t="n">
        <v>55</v>
      </c>
      <c r="D211" s="22" t="inlineStr">
        <is>
          <t>S55</t>
        </is>
      </c>
      <c r="E211" s="22" t="inlineStr">
        <is>
          <t>Nexa Nevada (S55)</t>
        </is>
      </c>
      <c r="F211" s="22" t="inlineStr">
        <is>
          <t>Mỹ</t>
        </is>
      </c>
      <c r="G211" s="22" t="inlineStr">
        <is>
          <t>POS</t>
        </is>
      </c>
      <c r="H211" s="31" t="n">
        <v>50189.71</v>
      </c>
      <c r="I211" s="31" t="n">
        <v>0</v>
      </c>
      <c r="J211" s="31" t="n">
        <v>50189.71</v>
      </c>
      <c r="K211" s="31" t="n">
        <v>0</v>
      </c>
      <c r="L211" s="32" t="n">
        <v>12</v>
      </c>
      <c r="M211" s="32" t="n">
        <v>94</v>
      </c>
      <c r="N211" s="31" t="n">
        <v>50189.71</v>
      </c>
      <c r="O211" s="31" t="n">
        <v>50189.71</v>
      </c>
      <c r="P211" s="22" t="n">
        <v>0</v>
      </c>
      <c r="Q211" s="22" t="n">
        <v>0</v>
      </c>
      <c r="R211" s="22" t="n">
        <v>0</v>
      </c>
    </row>
    <row r="212">
      <c r="A212" s="22" t="n">
        <v>201605</v>
      </c>
      <c r="B212" s="22" t="inlineStr">
        <is>
          <t>05/2016</t>
        </is>
      </c>
      <c r="C212" s="22" t="n">
        <v>56</v>
      </c>
      <c r="D212" s="22" t="inlineStr">
        <is>
          <t>S56</t>
        </is>
      </c>
      <c r="E212" s="22" t="inlineStr">
        <is>
          <t>Nexa New Hampshire (S56)</t>
        </is>
      </c>
      <c r="F212" s="22" t="inlineStr">
        <is>
          <t>Mỹ</t>
        </is>
      </c>
      <c r="G212" s="22" t="inlineStr">
        <is>
          <t>POS</t>
        </is>
      </c>
      <c r="H212" s="31" t="n">
        <v>43369.63</v>
      </c>
      <c r="I212" s="31" t="n">
        <v>0</v>
      </c>
      <c r="J212" s="31" t="n">
        <v>43369.63</v>
      </c>
      <c r="K212" s="31" t="n">
        <v>1105.59</v>
      </c>
      <c r="L212" s="32" t="n">
        <v>7</v>
      </c>
      <c r="M212" s="32" t="n">
        <v>100</v>
      </c>
      <c r="N212" s="31" t="n">
        <v>42264.04</v>
      </c>
      <c r="O212" s="31" t="n">
        <v>43369.63</v>
      </c>
      <c r="P212" s="22" t="n">
        <v>0</v>
      </c>
      <c r="Q212" s="22" t="n">
        <v>0</v>
      </c>
      <c r="R212" s="22" t="n">
        <v>0</v>
      </c>
    </row>
    <row r="213">
      <c r="A213" s="22" t="n">
        <v>201605</v>
      </c>
      <c r="B213" s="22" t="inlineStr">
        <is>
          <t>05/2016</t>
        </is>
      </c>
      <c r="C213" s="22" t="n">
        <v>57</v>
      </c>
      <c r="D213" s="22" t="inlineStr">
        <is>
          <t>S57</t>
        </is>
      </c>
      <c r="E213" s="22" t="inlineStr">
        <is>
          <t>Nexa New Mexico (S57)</t>
        </is>
      </c>
      <c r="F213" s="22" t="inlineStr">
        <is>
          <t>Mỹ</t>
        </is>
      </c>
      <c r="G213" s="22" t="inlineStr">
        <is>
          <t>POS</t>
        </is>
      </c>
      <c r="H213" s="31" t="n">
        <v>13894.03</v>
      </c>
      <c r="I213" s="31" t="n">
        <v>0</v>
      </c>
      <c r="J213" s="31" t="n">
        <v>13894.03</v>
      </c>
      <c r="K213" s="31" t="n">
        <v>0</v>
      </c>
      <c r="L213" s="32" t="n">
        <v>8</v>
      </c>
      <c r="M213" s="32" t="n">
        <v>68</v>
      </c>
      <c r="N213" s="31" t="n">
        <v>13894.03</v>
      </c>
      <c r="O213" s="31" t="n">
        <v>13894.03</v>
      </c>
      <c r="P213" s="22" t="n">
        <v>0</v>
      </c>
      <c r="Q213" s="22" t="n">
        <v>0</v>
      </c>
      <c r="R213" s="22" t="n">
        <v>0</v>
      </c>
    </row>
    <row r="214">
      <c r="A214" s="22" t="n">
        <v>201605</v>
      </c>
      <c r="B214" s="22" t="inlineStr">
        <is>
          <t>05/2016</t>
        </is>
      </c>
      <c r="C214" s="22" t="n">
        <v>59</v>
      </c>
      <c r="D214" s="22" t="inlineStr">
        <is>
          <t>S59</t>
        </is>
      </c>
      <c r="E214" s="22" t="inlineStr">
        <is>
          <t>Nexa Oregon (S59)</t>
        </is>
      </c>
      <c r="F214" s="22" t="inlineStr">
        <is>
          <t>Mỹ</t>
        </is>
      </c>
      <c r="G214" s="22" t="inlineStr">
        <is>
          <t>POS</t>
        </is>
      </c>
      <c r="H214" s="31" t="n">
        <v>7915.77</v>
      </c>
      <c r="I214" s="31" t="n">
        <v>0</v>
      </c>
      <c r="J214" s="31" t="n">
        <v>7915.77</v>
      </c>
      <c r="K214" s="31" t="n">
        <v>0</v>
      </c>
      <c r="L214" s="32" t="n">
        <v>7</v>
      </c>
      <c r="M214" s="32" t="n">
        <v>39</v>
      </c>
      <c r="N214" s="31" t="n">
        <v>7915.77</v>
      </c>
      <c r="O214" s="31" t="n">
        <v>7915.77</v>
      </c>
      <c r="P214" s="22" t="n">
        <v>0</v>
      </c>
      <c r="Q214" s="22" t="n">
        <v>0</v>
      </c>
      <c r="R214" s="22" t="n">
        <v>0</v>
      </c>
    </row>
    <row r="215">
      <c r="A215" s="22" t="n">
        <v>201605</v>
      </c>
      <c r="B215" s="22" t="inlineStr">
        <is>
          <t>05/2016</t>
        </is>
      </c>
      <c r="C215" s="22" t="n">
        <v>61</v>
      </c>
      <c r="D215" s="22" t="inlineStr">
        <is>
          <t>S61</t>
        </is>
      </c>
      <c r="E215" s="22" t="inlineStr">
        <is>
          <t>Nexa South Carolina (S61)</t>
        </is>
      </c>
      <c r="F215" s="22" t="inlineStr">
        <is>
          <t>Mỹ</t>
        </is>
      </c>
      <c r="G215" s="22" t="inlineStr">
        <is>
          <t>POS</t>
        </is>
      </c>
      <c r="H215" s="31" t="n">
        <v>18190.17</v>
      </c>
      <c r="I215" s="31" t="n">
        <v>0</v>
      </c>
      <c r="J215" s="31" t="n">
        <v>18190.17</v>
      </c>
      <c r="K215" s="31" t="n">
        <v>0</v>
      </c>
      <c r="L215" s="32" t="n">
        <v>8</v>
      </c>
      <c r="M215" s="32" t="n">
        <v>63</v>
      </c>
      <c r="N215" s="31" t="n">
        <v>18190.17</v>
      </c>
      <c r="O215" s="31" t="n">
        <v>18190.17</v>
      </c>
      <c r="P215" s="22" t="n">
        <v>0</v>
      </c>
      <c r="Q215" s="22" t="n">
        <v>0</v>
      </c>
      <c r="R215" s="22" t="n">
        <v>0</v>
      </c>
    </row>
    <row r="216">
      <c r="A216" s="22" t="n">
        <v>201605</v>
      </c>
      <c r="B216" s="22" t="inlineStr">
        <is>
          <t>05/2016</t>
        </is>
      </c>
      <c r="C216" s="22" t="n">
        <v>63</v>
      </c>
      <c r="D216" s="22" t="inlineStr">
        <is>
          <t>S63</t>
        </is>
      </c>
      <c r="E216" s="22" t="inlineStr">
        <is>
          <t>Nexa Utah (S63)</t>
        </is>
      </c>
      <c r="F216" s="22" t="inlineStr">
        <is>
          <t>Mỹ</t>
        </is>
      </c>
      <c r="G216" s="22" t="inlineStr">
        <is>
          <t>POS</t>
        </is>
      </c>
      <c r="H216" s="31" t="n">
        <v>23165.26</v>
      </c>
      <c r="I216" s="31" t="n">
        <v>0</v>
      </c>
      <c r="J216" s="31" t="n">
        <v>23165.26</v>
      </c>
      <c r="K216" s="31" t="n">
        <v>32</v>
      </c>
      <c r="L216" s="32" t="n">
        <v>8</v>
      </c>
      <c r="M216" s="32" t="n">
        <v>58</v>
      </c>
      <c r="N216" s="31" t="n">
        <v>23133.26</v>
      </c>
      <c r="O216" s="31" t="n">
        <v>23165.26</v>
      </c>
      <c r="P216" s="22" t="n">
        <v>0</v>
      </c>
      <c r="Q216" s="22" t="n">
        <v>0</v>
      </c>
      <c r="R216" s="22" t="n">
        <v>0</v>
      </c>
    </row>
    <row r="217">
      <c r="A217" s="22" t="n">
        <v>201605</v>
      </c>
      <c r="B217" s="22" t="inlineStr">
        <is>
          <t>05/2016</t>
        </is>
      </c>
      <c r="C217" s="22" t="n">
        <v>64</v>
      </c>
      <c r="D217" s="22" t="inlineStr">
        <is>
          <t>S64</t>
        </is>
      </c>
      <c r="E217" s="22" t="inlineStr">
        <is>
          <t>Nexa Washington DC (S64)</t>
        </is>
      </c>
      <c r="F217" s="22" t="inlineStr">
        <is>
          <t>Mỹ</t>
        </is>
      </c>
      <c r="G217" s="22" t="inlineStr">
        <is>
          <t>POS</t>
        </is>
      </c>
      <c r="H217" s="31" t="n">
        <v>4497.2</v>
      </c>
      <c r="I217" s="31" t="n">
        <v>0</v>
      </c>
      <c r="J217" s="31" t="n">
        <v>4497.2</v>
      </c>
      <c r="K217" s="31" t="n">
        <v>0</v>
      </c>
      <c r="L217" s="32" t="n">
        <v>5</v>
      </c>
      <c r="M217" s="32" t="n">
        <v>21</v>
      </c>
      <c r="N217" s="31" t="n">
        <v>4497.2</v>
      </c>
      <c r="O217" s="31" t="n">
        <v>4497.2</v>
      </c>
      <c r="P217" s="22" t="n">
        <v>0</v>
      </c>
      <c r="Q217" s="22" t="n">
        <v>0</v>
      </c>
      <c r="R217" s="22" t="n">
        <v>0</v>
      </c>
    </row>
    <row r="218">
      <c r="A218" s="22" t="n">
        <v>201605</v>
      </c>
      <c r="B218" s="22" t="inlineStr">
        <is>
          <t>05/2016</t>
        </is>
      </c>
      <c r="C218" s="22" t="n">
        <v>65</v>
      </c>
      <c r="D218" s="22" t="inlineStr">
        <is>
          <t>S65</t>
        </is>
      </c>
      <c r="E218" s="22" t="inlineStr">
        <is>
          <t>Nexa West Virginia (S65)</t>
        </is>
      </c>
      <c r="F218" s="22" t="inlineStr">
        <is>
          <t>Mỹ</t>
        </is>
      </c>
      <c r="G218" s="22" t="inlineStr">
        <is>
          <t>POS</t>
        </is>
      </c>
      <c r="H218" s="31" t="n">
        <v>6015.59</v>
      </c>
      <c r="I218" s="31" t="n">
        <v>0</v>
      </c>
      <c r="J218" s="31" t="n">
        <v>6015.59</v>
      </c>
      <c r="K218" s="31" t="n">
        <v>0</v>
      </c>
      <c r="L218" s="32" t="n">
        <v>5</v>
      </c>
      <c r="M218" s="32" t="n">
        <v>24</v>
      </c>
      <c r="N218" s="31" t="n">
        <v>6015.59</v>
      </c>
      <c r="O218" s="31" t="n">
        <v>6015.59</v>
      </c>
      <c r="P218" s="22" t="n">
        <v>0</v>
      </c>
      <c r="Q218" s="22" t="n">
        <v>0</v>
      </c>
      <c r="R218" s="22" t="n">
        <v>0</v>
      </c>
    </row>
    <row r="219">
      <c r="A219" s="22" t="n">
        <v>201605</v>
      </c>
      <c r="B219" s="22" t="inlineStr">
        <is>
          <t>05/2016</t>
        </is>
      </c>
      <c r="C219" s="22" t="n">
        <v>66</v>
      </c>
      <c r="D219" s="22" t="inlineStr">
        <is>
          <t>S66</t>
        </is>
      </c>
      <c r="E219" s="22" t="inlineStr">
        <is>
          <t>Nexa Wyoming (S66)</t>
        </is>
      </c>
      <c r="F219" s="22" t="inlineStr">
        <is>
          <t>Mỹ</t>
        </is>
      </c>
      <c r="G219" s="22" t="inlineStr">
        <is>
          <t>POS</t>
        </is>
      </c>
      <c r="H219" s="31" t="n">
        <v>15530.84</v>
      </c>
      <c r="I219" s="31" t="n">
        <v>0</v>
      </c>
      <c r="J219" s="31" t="n">
        <v>15530.84</v>
      </c>
      <c r="K219" s="31" t="n">
        <v>608</v>
      </c>
      <c r="L219" s="32" t="n">
        <v>6</v>
      </c>
      <c r="M219" s="32" t="n">
        <v>45</v>
      </c>
      <c r="N219" s="31" t="n">
        <v>14922.84</v>
      </c>
      <c r="O219" s="31" t="n">
        <v>15530.84</v>
      </c>
      <c r="P219" s="22" t="n">
        <v>0</v>
      </c>
      <c r="Q219" s="22" t="n">
        <v>0</v>
      </c>
      <c r="R219" s="22" t="n">
        <v>0</v>
      </c>
    </row>
    <row r="220">
      <c r="A220" s="22" t="n">
        <v>201606</v>
      </c>
      <c r="B220" s="22" t="inlineStr">
        <is>
          <t>06/2016</t>
        </is>
      </c>
      <c r="C220" s="22" t="n">
        <v>0</v>
      </c>
      <c r="D220" s="22" t="inlineStr">
        <is>
          <t>ONL</t>
        </is>
      </c>
      <c r="E220" s="22" t="inlineStr">
        <is>
          <t>Nexa Online (website/app)</t>
        </is>
      </c>
      <c r="F220" s="22" t="inlineStr">
        <is>
          <t>Online</t>
        </is>
      </c>
      <c r="G220" s="22" t="inlineStr">
        <is>
          <t>ONLINE</t>
        </is>
      </c>
      <c r="H220" s="31" t="n">
        <v>89869.5</v>
      </c>
      <c r="I220" s="31" t="n">
        <v>1016.78</v>
      </c>
      <c r="J220" s="31" t="n">
        <v>88852.72</v>
      </c>
      <c r="K220" s="31" t="n">
        <v>2316</v>
      </c>
      <c r="L220" s="32" t="n">
        <v>39</v>
      </c>
      <c r="M220" s="32" t="n">
        <v>335</v>
      </c>
      <c r="N220" s="31" t="n">
        <v>77769.50999999999</v>
      </c>
      <c r="O220" s="31" t="n">
        <v>80085.50999999999</v>
      </c>
      <c r="P220" s="22" t="n">
        <v>0</v>
      </c>
      <c r="Q220" s="22" t="n">
        <v>0</v>
      </c>
      <c r="R220" s="22" t="n">
        <v>0</v>
      </c>
    </row>
    <row r="221">
      <c r="A221" s="22" t="n">
        <v>201606</v>
      </c>
      <c r="B221" s="22" t="inlineStr">
        <is>
          <t>06/2016</t>
        </is>
      </c>
      <c r="C221" s="22" t="n">
        <v>1</v>
      </c>
      <c r="D221" s="22" t="inlineStr">
        <is>
          <t>S01</t>
        </is>
      </c>
      <c r="E221" s="22" t="inlineStr">
        <is>
          <t>Nexa Australian Capital Territory (S01)</t>
        </is>
      </c>
      <c r="F221" s="22" t="inlineStr">
        <is>
          <t>Úc</t>
        </is>
      </c>
      <c r="G221" s="22" t="inlineStr">
        <is>
          <t>POS</t>
        </is>
      </c>
      <c r="H221" s="31" t="n">
        <v>1837.5</v>
      </c>
      <c r="I221" s="31" t="n">
        <v>0</v>
      </c>
      <c r="J221" s="31" t="n">
        <v>1837.5</v>
      </c>
      <c r="K221" s="31" t="n">
        <v>0</v>
      </c>
      <c r="L221" s="32" t="n">
        <v>2</v>
      </c>
      <c r="M221" s="32" t="n">
        <v>9</v>
      </c>
      <c r="N221" s="31" t="n">
        <v>1837.5</v>
      </c>
      <c r="O221" s="31" t="n">
        <v>1837.5</v>
      </c>
      <c r="P221" s="22" t="n">
        <v>0</v>
      </c>
      <c r="Q221" s="22" t="n">
        <v>0</v>
      </c>
      <c r="R221" s="22" t="n">
        <v>0</v>
      </c>
    </row>
    <row r="222">
      <c r="A222" s="22" t="n">
        <v>201606</v>
      </c>
      <c r="B222" s="22" t="inlineStr">
        <is>
          <t>06/2016</t>
        </is>
      </c>
      <c r="C222" s="22" t="n">
        <v>4</v>
      </c>
      <c r="D222" s="22" t="inlineStr">
        <is>
          <t>S04</t>
        </is>
      </c>
      <c r="E222" s="22" t="inlineStr">
        <is>
          <t>Nexa Tasmania (S04)</t>
        </is>
      </c>
      <c r="F222" s="22" t="inlineStr">
        <is>
          <t>Úc</t>
        </is>
      </c>
      <c r="G222" s="22" t="inlineStr">
        <is>
          <t>POS</t>
        </is>
      </c>
      <c r="H222" s="31" t="n">
        <v>1582</v>
      </c>
      <c r="I222" s="31" t="n">
        <v>0</v>
      </c>
      <c r="J222" s="31" t="n">
        <v>1582</v>
      </c>
      <c r="K222" s="31" t="n">
        <v>0</v>
      </c>
      <c r="L222" s="32" t="n">
        <v>1</v>
      </c>
      <c r="M222" s="32" t="n">
        <v>2</v>
      </c>
      <c r="N222" s="31" t="n">
        <v>1582</v>
      </c>
      <c r="O222" s="31" t="n">
        <v>1582</v>
      </c>
      <c r="P222" s="22" t="n">
        <v>0</v>
      </c>
      <c r="Q222" s="22" t="n">
        <v>0</v>
      </c>
      <c r="R222" s="22" t="n">
        <v>0</v>
      </c>
    </row>
    <row r="223">
      <c r="A223" s="22" t="n">
        <v>201606</v>
      </c>
      <c r="B223" s="22" t="inlineStr">
        <is>
          <t>06/2016</t>
        </is>
      </c>
      <c r="C223" s="22" t="n">
        <v>5</v>
      </c>
      <c r="D223" s="22" t="inlineStr">
        <is>
          <t>S05</t>
        </is>
      </c>
      <c r="E223" s="22" t="inlineStr">
        <is>
          <t>Nexa Victoria (S05)</t>
        </is>
      </c>
      <c r="F223" s="22" t="inlineStr">
        <is>
          <t>Úc</t>
        </is>
      </c>
      <c r="G223" s="22" t="inlineStr">
        <is>
          <t>POS</t>
        </is>
      </c>
      <c r="H223" s="31" t="n">
        <v>527.98</v>
      </c>
      <c r="I223" s="31" t="n">
        <v>0</v>
      </c>
      <c r="J223" s="31" t="n">
        <v>527.98</v>
      </c>
      <c r="K223" s="31" t="n">
        <v>0</v>
      </c>
      <c r="L223" s="32" t="n">
        <v>1</v>
      </c>
      <c r="M223" s="32" t="n">
        <v>8</v>
      </c>
      <c r="N223" s="31" t="n">
        <v>527.98</v>
      </c>
      <c r="O223" s="31" t="n">
        <v>527.98</v>
      </c>
      <c r="P223" s="22" t="n">
        <v>0</v>
      </c>
      <c r="Q223" s="22" t="n">
        <v>0</v>
      </c>
      <c r="R223" s="22" t="n">
        <v>0</v>
      </c>
    </row>
    <row r="224">
      <c r="A224" s="22" t="n">
        <v>201606</v>
      </c>
      <c r="B224" s="22" t="inlineStr">
        <is>
          <t>06/2016</t>
        </is>
      </c>
      <c r="C224" s="22" t="n">
        <v>6</v>
      </c>
      <c r="D224" s="22" t="inlineStr">
        <is>
          <t>S06</t>
        </is>
      </c>
      <c r="E224" s="22" t="inlineStr">
        <is>
          <t>Nexa Western Australia (S06)</t>
        </is>
      </c>
      <c r="F224" s="22" t="inlineStr">
        <is>
          <t>Úc</t>
        </is>
      </c>
      <c r="G224" s="22" t="inlineStr">
        <is>
          <t>POS</t>
        </is>
      </c>
      <c r="H224" s="31" t="n">
        <v>7837.81</v>
      </c>
      <c r="I224" s="31" t="n">
        <v>0</v>
      </c>
      <c r="J224" s="31" t="n">
        <v>7837.81</v>
      </c>
      <c r="K224" s="31" t="n">
        <v>0</v>
      </c>
      <c r="L224" s="32" t="n">
        <v>3</v>
      </c>
      <c r="M224" s="32" t="n">
        <v>26</v>
      </c>
      <c r="N224" s="31" t="n">
        <v>7837.81</v>
      </c>
      <c r="O224" s="31" t="n">
        <v>7837.81</v>
      </c>
      <c r="P224" s="22" t="n">
        <v>0</v>
      </c>
      <c r="Q224" s="22" t="n">
        <v>0</v>
      </c>
      <c r="R224" s="22" t="n">
        <v>0</v>
      </c>
    </row>
    <row r="225">
      <c r="A225" s="22" t="n">
        <v>201606</v>
      </c>
      <c r="B225" s="22" t="inlineStr">
        <is>
          <t>06/2016</t>
        </is>
      </c>
      <c r="C225" s="22" t="n">
        <v>8</v>
      </c>
      <c r="D225" s="22" t="inlineStr">
        <is>
          <t>S08</t>
        </is>
      </c>
      <c r="E225" s="22" t="inlineStr">
        <is>
          <t>Nexa Newfoundland and Labrador (S08)</t>
        </is>
      </c>
      <c r="F225" s="22" t="inlineStr">
        <is>
          <t>Canada</t>
        </is>
      </c>
      <c r="G225" s="22" t="inlineStr">
        <is>
          <t>POS</t>
        </is>
      </c>
      <c r="H225" s="31" t="n">
        <v>11503.46</v>
      </c>
      <c r="I225" s="31" t="n">
        <v>0</v>
      </c>
      <c r="J225" s="31" t="n">
        <v>11503.46</v>
      </c>
      <c r="K225" s="31" t="n">
        <v>7956</v>
      </c>
      <c r="L225" s="32" t="n">
        <v>5</v>
      </c>
      <c r="M225" s="32" t="n">
        <v>25</v>
      </c>
      <c r="N225" s="31" t="n">
        <v>3547.46</v>
      </c>
      <c r="O225" s="31" t="n">
        <v>11503.46</v>
      </c>
      <c r="P225" s="22" t="n">
        <v>0</v>
      </c>
      <c r="Q225" s="22" t="n">
        <v>0</v>
      </c>
      <c r="R225" s="22" t="n">
        <v>0</v>
      </c>
    </row>
    <row r="226">
      <c r="A226" s="22" t="n">
        <v>201606</v>
      </c>
      <c r="B226" s="22" t="inlineStr">
        <is>
          <t>06/2016</t>
        </is>
      </c>
      <c r="C226" s="22" t="n">
        <v>9</v>
      </c>
      <c r="D226" s="22" t="inlineStr">
        <is>
          <t>S09</t>
        </is>
      </c>
      <c r="E226" s="22" t="inlineStr">
        <is>
          <t>Nexa Northwest Territories (S09)</t>
        </is>
      </c>
      <c r="F226" s="22" t="inlineStr">
        <is>
          <t>Canada</t>
        </is>
      </c>
      <c r="G226" s="22" t="inlineStr">
        <is>
          <t>POS</t>
        </is>
      </c>
      <c r="H226" s="31" t="n">
        <v>15264.49</v>
      </c>
      <c r="I226" s="31" t="n">
        <v>0</v>
      </c>
      <c r="J226" s="31" t="n">
        <v>15264.49</v>
      </c>
      <c r="K226" s="31" t="n">
        <v>0</v>
      </c>
      <c r="L226" s="32" t="n">
        <v>10</v>
      </c>
      <c r="M226" s="32" t="n">
        <v>73</v>
      </c>
      <c r="N226" s="31" t="n">
        <v>15264.49</v>
      </c>
      <c r="O226" s="31" t="n">
        <v>15264.49</v>
      </c>
      <c r="P226" s="22" t="n">
        <v>0</v>
      </c>
      <c r="Q226" s="22" t="n">
        <v>0</v>
      </c>
      <c r="R226" s="22" t="n">
        <v>0</v>
      </c>
    </row>
    <row r="227">
      <c r="A227" s="22" t="n">
        <v>201606</v>
      </c>
      <c r="B227" s="22" t="inlineStr">
        <is>
          <t>06/2016</t>
        </is>
      </c>
      <c r="C227" s="22" t="n">
        <v>10</v>
      </c>
      <c r="D227" s="22" t="inlineStr">
        <is>
          <t>S10</t>
        </is>
      </c>
      <c r="E227" s="22" t="inlineStr">
        <is>
          <t>Nexa Nunavut (S10)</t>
        </is>
      </c>
      <c r="F227" s="22" t="inlineStr">
        <is>
          <t>Canada</t>
        </is>
      </c>
      <c r="G227" s="22" t="inlineStr">
        <is>
          <t>POS</t>
        </is>
      </c>
      <c r="H227" s="31" t="n">
        <v>19597.41</v>
      </c>
      <c r="I227" s="31" t="n">
        <v>0</v>
      </c>
      <c r="J227" s="31" t="n">
        <v>19597.41</v>
      </c>
      <c r="K227" s="31" t="n">
        <v>0</v>
      </c>
      <c r="L227" s="32" t="n">
        <v>6</v>
      </c>
      <c r="M227" s="32" t="n">
        <v>42</v>
      </c>
      <c r="N227" s="31" t="n">
        <v>19597.41</v>
      </c>
      <c r="O227" s="31" t="n">
        <v>19597.41</v>
      </c>
      <c r="P227" s="22" t="n">
        <v>0</v>
      </c>
      <c r="Q227" s="22" t="n">
        <v>0</v>
      </c>
      <c r="R227" s="22" t="n">
        <v>0</v>
      </c>
    </row>
    <row r="228">
      <c r="A228" s="22" t="n">
        <v>201606</v>
      </c>
      <c r="B228" s="22" t="inlineStr">
        <is>
          <t>06/2016</t>
        </is>
      </c>
      <c r="C228" s="22" t="n">
        <v>16</v>
      </c>
      <c r="D228" s="22" t="inlineStr">
        <is>
          <t>S16</t>
        </is>
      </c>
      <c r="E228" s="22" t="inlineStr">
        <is>
          <t>Nexa Limousin (S16)</t>
        </is>
      </c>
      <c r="F228" s="22" t="inlineStr">
        <is>
          <t>Pháp</t>
        </is>
      </c>
      <c r="G228" s="22" t="inlineStr">
        <is>
          <t>POS</t>
        </is>
      </c>
      <c r="H228" s="31" t="n">
        <v>11562.76</v>
      </c>
      <c r="I228" s="31" t="n">
        <v>0</v>
      </c>
      <c r="J228" s="31" t="n">
        <v>11562.76</v>
      </c>
      <c r="K228" s="31" t="n">
        <v>179.99</v>
      </c>
      <c r="L228" s="32" t="n">
        <v>2</v>
      </c>
      <c r="M228" s="32" t="n">
        <v>31</v>
      </c>
      <c r="N228" s="31" t="n">
        <v>11382.77</v>
      </c>
      <c r="O228" s="31" t="n">
        <v>11562.76</v>
      </c>
      <c r="P228" s="22" t="n">
        <v>0</v>
      </c>
      <c r="Q228" s="22" t="n">
        <v>0</v>
      </c>
      <c r="R228" s="22" t="n">
        <v>0</v>
      </c>
    </row>
    <row r="229">
      <c r="A229" s="22" t="n">
        <v>201606</v>
      </c>
      <c r="B229" s="22" t="inlineStr">
        <is>
          <t>06/2016</t>
        </is>
      </c>
      <c r="C229" s="22" t="n">
        <v>18</v>
      </c>
      <c r="D229" s="22" t="inlineStr">
        <is>
          <t>S18</t>
        </is>
      </c>
      <c r="E229" s="22" t="inlineStr">
        <is>
          <t>Nexa Mayotte (S18)</t>
        </is>
      </c>
      <c r="F229" s="22" t="inlineStr">
        <is>
          <t>Pháp</t>
        </is>
      </c>
      <c r="G229" s="22" t="inlineStr">
        <is>
          <t>POS</t>
        </is>
      </c>
      <c r="H229" s="31" t="n">
        <v>13506.26</v>
      </c>
      <c r="I229" s="31" t="n">
        <v>0</v>
      </c>
      <c r="J229" s="31" t="n">
        <v>13506.26</v>
      </c>
      <c r="K229" s="31" t="n">
        <v>0</v>
      </c>
      <c r="L229" s="32" t="n">
        <v>3</v>
      </c>
      <c r="M229" s="32" t="n">
        <v>28</v>
      </c>
      <c r="N229" s="31" t="n">
        <v>13506.26</v>
      </c>
      <c r="O229" s="31" t="n">
        <v>13506.26</v>
      </c>
      <c r="P229" s="22" t="n">
        <v>0</v>
      </c>
      <c r="Q229" s="22" t="n">
        <v>0</v>
      </c>
      <c r="R229" s="22" t="n">
        <v>0</v>
      </c>
    </row>
    <row r="230">
      <c r="A230" s="22" t="n">
        <v>201606</v>
      </c>
      <c r="B230" s="22" t="inlineStr">
        <is>
          <t>06/2016</t>
        </is>
      </c>
      <c r="C230" s="22" t="n">
        <v>19</v>
      </c>
      <c r="D230" s="22" t="inlineStr">
        <is>
          <t>S19</t>
        </is>
      </c>
      <c r="E230" s="22" t="inlineStr">
        <is>
          <t>Nexa Berlin (S19)</t>
        </is>
      </c>
      <c r="F230" s="22" t="inlineStr">
        <is>
          <t>Đức</t>
        </is>
      </c>
      <c r="G230" s="22" t="inlineStr">
        <is>
          <t>POS</t>
        </is>
      </c>
      <c r="H230" s="31" t="n">
        <v>2805.97</v>
      </c>
      <c r="I230" s="31" t="n">
        <v>0</v>
      </c>
      <c r="J230" s="31" t="n">
        <v>2805.97</v>
      </c>
      <c r="K230" s="31" t="n">
        <v>429.99</v>
      </c>
      <c r="L230" s="32" t="n">
        <v>1</v>
      </c>
      <c r="M230" s="32" t="n">
        <v>10</v>
      </c>
      <c r="N230" s="31" t="n">
        <v>2375.98</v>
      </c>
      <c r="O230" s="31" t="n">
        <v>2805.97</v>
      </c>
      <c r="P230" s="22" t="n">
        <v>0</v>
      </c>
      <c r="Q230" s="22" t="n">
        <v>0</v>
      </c>
      <c r="R230" s="22" t="n">
        <v>0</v>
      </c>
    </row>
    <row r="231">
      <c r="A231" s="22" t="n">
        <v>201606</v>
      </c>
      <c r="B231" s="22" t="inlineStr">
        <is>
          <t>06/2016</t>
        </is>
      </c>
      <c r="C231" s="22" t="n">
        <v>20</v>
      </c>
      <c r="D231" s="22" t="inlineStr">
        <is>
          <t>S20</t>
        </is>
      </c>
      <c r="E231" s="22" t="inlineStr">
        <is>
          <t>Nexa Brandenburg (S20)</t>
        </is>
      </c>
      <c r="F231" s="22" t="inlineStr">
        <is>
          <t>Đức</t>
        </is>
      </c>
      <c r="G231" s="22" t="inlineStr">
        <is>
          <t>POS</t>
        </is>
      </c>
      <c r="H231" s="31" t="n">
        <v>571.66</v>
      </c>
      <c r="I231" s="31" t="n">
        <v>0</v>
      </c>
      <c r="J231" s="31" t="n">
        <v>571.66</v>
      </c>
      <c r="K231" s="31" t="n">
        <v>0</v>
      </c>
      <c r="L231" s="32" t="n">
        <v>1</v>
      </c>
      <c r="M231" s="32" t="n">
        <v>2</v>
      </c>
      <c r="N231" s="31" t="n">
        <v>571.66</v>
      </c>
      <c r="O231" s="31" t="n">
        <v>571.66</v>
      </c>
      <c r="P231" s="22" t="n">
        <v>0</v>
      </c>
      <c r="Q231" s="22" t="n">
        <v>0</v>
      </c>
      <c r="R231" s="22" t="n">
        <v>0</v>
      </c>
    </row>
    <row r="232">
      <c r="A232" s="22" t="n">
        <v>201606</v>
      </c>
      <c r="B232" s="22" t="inlineStr">
        <is>
          <t>06/2016</t>
        </is>
      </c>
      <c r="C232" s="22" t="n">
        <v>22</v>
      </c>
      <c r="D232" s="22" t="inlineStr">
        <is>
          <t>S22</t>
        </is>
      </c>
      <c r="E232" s="22" t="inlineStr">
        <is>
          <t>Nexa Freistaat Thüringen (S22)</t>
        </is>
      </c>
      <c r="F232" s="22" t="inlineStr">
        <is>
          <t>Đức</t>
        </is>
      </c>
      <c r="G232" s="22" t="inlineStr">
        <is>
          <t>POS</t>
        </is>
      </c>
      <c r="H232" s="31" t="n">
        <v>1422.6</v>
      </c>
      <c r="I232" s="31" t="n">
        <v>0</v>
      </c>
      <c r="J232" s="31" t="n">
        <v>1422.6</v>
      </c>
      <c r="K232" s="31" t="n">
        <v>0</v>
      </c>
      <c r="L232" s="32" t="n">
        <v>2</v>
      </c>
      <c r="M232" s="32" t="n">
        <v>14</v>
      </c>
      <c r="N232" s="31" t="n">
        <v>1422.6</v>
      </c>
      <c r="O232" s="31" t="n">
        <v>1422.6</v>
      </c>
      <c r="P232" s="22" t="n">
        <v>0</v>
      </c>
      <c r="Q232" s="22" t="n">
        <v>0</v>
      </c>
      <c r="R232" s="22" t="n">
        <v>0</v>
      </c>
    </row>
    <row r="233">
      <c r="A233" s="22" t="n">
        <v>201606</v>
      </c>
      <c r="B233" s="22" t="inlineStr">
        <is>
          <t>06/2016</t>
        </is>
      </c>
      <c r="C233" s="22" t="n">
        <v>23</v>
      </c>
      <c r="D233" s="22" t="inlineStr">
        <is>
          <t>S23</t>
        </is>
      </c>
      <c r="E233" s="22" t="inlineStr">
        <is>
          <t>Nexa Hamburg (S23)</t>
        </is>
      </c>
      <c r="F233" s="22" t="inlineStr">
        <is>
          <t>Đức</t>
        </is>
      </c>
      <c r="G233" s="22" t="inlineStr">
        <is>
          <t>POS</t>
        </is>
      </c>
      <c r="H233" s="31" t="n">
        <v>7669.12</v>
      </c>
      <c r="I233" s="31" t="n">
        <v>0</v>
      </c>
      <c r="J233" s="31" t="n">
        <v>7669.12</v>
      </c>
      <c r="K233" s="31" t="n">
        <v>12.66</v>
      </c>
      <c r="L233" s="32" t="n">
        <v>3</v>
      </c>
      <c r="M233" s="32" t="n">
        <v>31</v>
      </c>
      <c r="N233" s="31" t="n">
        <v>7656.46</v>
      </c>
      <c r="O233" s="31" t="n">
        <v>7669.12</v>
      </c>
      <c r="P233" s="22" t="n">
        <v>0</v>
      </c>
      <c r="Q233" s="22" t="n">
        <v>0</v>
      </c>
      <c r="R233" s="22" t="n">
        <v>0</v>
      </c>
    </row>
    <row r="234">
      <c r="A234" s="22" t="n">
        <v>201606</v>
      </c>
      <c r="B234" s="22" t="inlineStr">
        <is>
          <t>06/2016</t>
        </is>
      </c>
      <c r="C234" s="22" t="n">
        <v>24</v>
      </c>
      <c r="D234" s="22" t="inlineStr">
        <is>
          <t>S24</t>
        </is>
      </c>
      <c r="E234" s="22" t="inlineStr">
        <is>
          <t>Nexa Hessen (S24)</t>
        </is>
      </c>
      <c r="F234" s="22" t="inlineStr">
        <is>
          <t>Đức</t>
        </is>
      </c>
      <c r="G234" s="22" t="inlineStr">
        <is>
          <t>POS</t>
        </is>
      </c>
      <c r="H234" s="31" t="n">
        <v>9683.66</v>
      </c>
      <c r="I234" s="31" t="n">
        <v>0</v>
      </c>
      <c r="J234" s="31" t="n">
        <v>9683.66</v>
      </c>
      <c r="K234" s="31" t="n">
        <v>0</v>
      </c>
      <c r="L234" s="32" t="n">
        <v>2</v>
      </c>
      <c r="M234" s="32" t="n">
        <v>29</v>
      </c>
      <c r="N234" s="31" t="n">
        <v>9683.66</v>
      </c>
      <c r="O234" s="31" t="n">
        <v>9683.66</v>
      </c>
      <c r="P234" s="22" t="n">
        <v>0</v>
      </c>
      <c r="Q234" s="22" t="n">
        <v>0</v>
      </c>
      <c r="R234" s="22" t="n">
        <v>0</v>
      </c>
    </row>
    <row r="235">
      <c r="A235" s="22" t="n">
        <v>201606</v>
      </c>
      <c r="B235" s="22" t="inlineStr">
        <is>
          <t>06/2016</t>
        </is>
      </c>
      <c r="C235" s="22" t="n">
        <v>27</v>
      </c>
      <c r="D235" s="22" t="inlineStr">
        <is>
          <t>S27</t>
        </is>
      </c>
      <c r="E235" s="22" t="inlineStr">
        <is>
          <t>Nexa Sachsen-Anhalt (S27)</t>
        </is>
      </c>
      <c r="F235" s="22" t="inlineStr">
        <is>
          <t>Đức</t>
        </is>
      </c>
      <c r="G235" s="22" t="inlineStr">
        <is>
          <t>POS</t>
        </is>
      </c>
      <c r="H235" s="31" t="n">
        <v>10374.5</v>
      </c>
      <c r="I235" s="31" t="n">
        <v>0</v>
      </c>
      <c r="J235" s="31" t="n">
        <v>10374.5</v>
      </c>
      <c r="K235" s="31" t="n">
        <v>0</v>
      </c>
      <c r="L235" s="32" t="n">
        <v>4</v>
      </c>
      <c r="M235" s="32" t="n">
        <v>55</v>
      </c>
      <c r="N235" s="31" t="n">
        <v>10374.5</v>
      </c>
      <c r="O235" s="31" t="n">
        <v>10374.5</v>
      </c>
      <c r="P235" s="22" t="n">
        <v>0</v>
      </c>
      <c r="Q235" s="22" t="n">
        <v>0</v>
      </c>
      <c r="R235" s="22" t="n">
        <v>0</v>
      </c>
    </row>
    <row r="236">
      <c r="A236" s="22" t="n">
        <v>201606</v>
      </c>
      <c r="B236" s="22" t="inlineStr">
        <is>
          <t>06/2016</t>
        </is>
      </c>
      <c r="C236" s="22" t="n">
        <v>28</v>
      </c>
      <c r="D236" s="22" t="inlineStr">
        <is>
          <t>S28</t>
        </is>
      </c>
      <c r="E236" s="22" t="inlineStr">
        <is>
          <t>Nexa Caltanissetta (S28)</t>
        </is>
      </c>
      <c r="F236" s="22" t="inlineStr">
        <is>
          <t>Ý</t>
        </is>
      </c>
      <c r="G236" s="22" t="inlineStr">
        <is>
          <t>POS</t>
        </is>
      </c>
      <c r="H236" s="31" t="n">
        <v>8524.51</v>
      </c>
      <c r="I236" s="31" t="n">
        <v>0</v>
      </c>
      <c r="J236" s="31" t="n">
        <v>8524.51</v>
      </c>
      <c r="K236" s="31" t="n">
        <v>0</v>
      </c>
      <c r="L236" s="32" t="n">
        <v>5</v>
      </c>
      <c r="M236" s="32" t="n">
        <v>51</v>
      </c>
      <c r="N236" s="31" t="n">
        <v>8524.51</v>
      </c>
      <c r="O236" s="31" t="n">
        <v>8524.51</v>
      </c>
      <c r="P236" s="22" t="n">
        <v>0</v>
      </c>
      <c r="Q236" s="22" t="n">
        <v>0</v>
      </c>
      <c r="R236" s="22" t="n">
        <v>0</v>
      </c>
    </row>
    <row r="237">
      <c r="A237" s="22" t="n">
        <v>201606</v>
      </c>
      <c r="B237" s="22" t="inlineStr">
        <is>
          <t>06/2016</t>
        </is>
      </c>
      <c r="C237" s="22" t="n">
        <v>29</v>
      </c>
      <c r="D237" s="22" t="inlineStr">
        <is>
          <t>S29</t>
        </is>
      </c>
      <c r="E237" s="22" t="inlineStr">
        <is>
          <t>Nexa Enna (S29)</t>
        </is>
      </c>
      <c r="F237" s="22" t="inlineStr">
        <is>
          <t>Ý</t>
        </is>
      </c>
      <c r="G237" s="22" t="inlineStr">
        <is>
          <t>POS</t>
        </is>
      </c>
      <c r="H237" s="31" t="n">
        <v>3206.13</v>
      </c>
      <c r="I237" s="31" t="n">
        <v>0</v>
      </c>
      <c r="J237" s="31" t="n">
        <v>3206.13</v>
      </c>
      <c r="K237" s="31" t="n">
        <v>0</v>
      </c>
      <c r="L237" s="32" t="n">
        <v>2</v>
      </c>
      <c r="M237" s="32" t="n">
        <v>8</v>
      </c>
      <c r="N237" s="31" t="n">
        <v>3206.13</v>
      </c>
      <c r="O237" s="31" t="n">
        <v>3206.13</v>
      </c>
      <c r="P237" s="22" t="n">
        <v>0</v>
      </c>
      <c r="Q237" s="22" t="n">
        <v>0</v>
      </c>
      <c r="R237" s="22" t="n">
        <v>0</v>
      </c>
    </row>
    <row r="238">
      <c r="A238" s="22" t="n">
        <v>201606</v>
      </c>
      <c r="B238" s="22" t="inlineStr">
        <is>
          <t>06/2016</t>
        </is>
      </c>
      <c r="C238" s="22" t="n">
        <v>30</v>
      </c>
      <c r="D238" s="22" t="inlineStr">
        <is>
          <t>S30</t>
        </is>
      </c>
      <c r="E238" s="22" t="inlineStr">
        <is>
          <t>Nexa Pesaro (S30)</t>
        </is>
      </c>
      <c r="F238" s="22" t="inlineStr">
        <is>
          <t>Ý</t>
        </is>
      </c>
      <c r="G238" s="22" t="inlineStr">
        <is>
          <t>POS</t>
        </is>
      </c>
      <c r="H238" s="31" t="n">
        <v>10161.9</v>
      </c>
      <c r="I238" s="31" t="n">
        <v>0</v>
      </c>
      <c r="J238" s="31" t="n">
        <v>10161.9</v>
      </c>
      <c r="K238" s="31" t="n">
        <v>0</v>
      </c>
      <c r="L238" s="32" t="n">
        <v>3</v>
      </c>
      <c r="M238" s="32" t="n">
        <v>43</v>
      </c>
      <c r="N238" s="31" t="n">
        <v>10161.9</v>
      </c>
      <c r="O238" s="31" t="n">
        <v>10161.9</v>
      </c>
      <c r="P238" s="22" t="n">
        <v>0</v>
      </c>
      <c r="Q238" s="22" t="n">
        <v>0</v>
      </c>
      <c r="R238" s="22" t="n">
        <v>0</v>
      </c>
    </row>
    <row r="239">
      <c r="A239" s="22" t="n">
        <v>201606</v>
      </c>
      <c r="B239" s="22" t="inlineStr">
        <is>
          <t>06/2016</t>
        </is>
      </c>
      <c r="C239" s="22" t="n">
        <v>31</v>
      </c>
      <c r="D239" s="22" t="inlineStr">
        <is>
          <t>S31</t>
        </is>
      </c>
      <c r="E239" s="22" t="inlineStr">
        <is>
          <t>Nexa Drenthe (S31)</t>
        </is>
      </c>
      <c r="F239" s="22" t="inlineStr">
        <is>
          <t>Hà Lan</t>
        </is>
      </c>
      <c r="G239" s="22" t="inlineStr">
        <is>
          <t>POS</t>
        </is>
      </c>
      <c r="H239" s="31" t="n">
        <v>5757.9</v>
      </c>
      <c r="I239" s="31" t="n">
        <v>0</v>
      </c>
      <c r="J239" s="31" t="n">
        <v>5757.9</v>
      </c>
      <c r="K239" s="31" t="n">
        <v>0</v>
      </c>
      <c r="L239" s="32" t="n">
        <v>2</v>
      </c>
      <c r="M239" s="32" t="n">
        <v>15</v>
      </c>
      <c r="N239" s="31" t="n">
        <v>5757.9</v>
      </c>
      <c r="O239" s="31" t="n">
        <v>5757.9</v>
      </c>
      <c r="P239" s="22" t="n">
        <v>0</v>
      </c>
      <c r="Q239" s="22" t="n">
        <v>0</v>
      </c>
      <c r="R239" s="22" t="n">
        <v>0</v>
      </c>
    </row>
    <row r="240">
      <c r="A240" s="22" t="n">
        <v>201606</v>
      </c>
      <c r="B240" s="22" t="inlineStr">
        <is>
          <t>06/2016</t>
        </is>
      </c>
      <c r="C240" s="22" t="n">
        <v>32</v>
      </c>
      <c r="D240" s="22" t="inlineStr">
        <is>
          <t>S32</t>
        </is>
      </c>
      <c r="E240" s="22" t="inlineStr">
        <is>
          <t>Nexa Flevoland (S32)</t>
        </is>
      </c>
      <c r="F240" s="22" t="inlineStr">
        <is>
          <t>Hà Lan</t>
        </is>
      </c>
      <c r="G240" s="22" t="inlineStr">
        <is>
          <t>POS</t>
        </is>
      </c>
      <c r="H240" s="31" t="n">
        <v>3317.8</v>
      </c>
      <c r="I240" s="31" t="n">
        <v>0</v>
      </c>
      <c r="J240" s="31" t="n">
        <v>3317.8</v>
      </c>
      <c r="K240" s="31" t="n">
        <v>22.89</v>
      </c>
      <c r="L240" s="32" t="n">
        <v>2</v>
      </c>
      <c r="M240" s="32" t="n">
        <v>13</v>
      </c>
      <c r="N240" s="31" t="n">
        <v>3294.91</v>
      </c>
      <c r="O240" s="31" t="n">
        <v>3317.8</v>
      </c>
      <c r="P240" s="22" t="n">
        <v>0</v>
      </c>
      <c r="Q240" s="22" t="n">
        <v>0</v>
      </c>
      <c r="R240" s="22" t="n">
        <v>0</v>
      </c>
    </row>
    <row r="241">
      <c r="A241" s="22" t="n">
        <v>201606</v>
      </c>
      <c r="B241" s="22" t="inlineStr">
        <is>
          <t>06/2016</t>
        </is>
      </c>
      <c r="C241" s="22" t="n">
        <v>34</v>
      </c>
      <c r="D241" s="22" t="inlineStr">
        <is>
          <t>S34</t>
        </is>
      </c>
      <c r="E241" s="22" t="inlineStr">
        <is>
          <t>Nexa Groningen (S34)</t>
        </is>
      </c>
      <c r="F241" s="22" t="inlineStr">
        <is>
          <t>Hà Lan</t>
        </is>
      </c>
      <c r="G241" s="22" t="inlineStr">
        <is>
          <t>POS</t>
        </is>
      </c>
      <c r="H241" s="31" t="n">
        <v>6968</v>
      </c>
      <c r="I241" s="31" t="n">
        <v>0</v>
      </c>
      <c r="J241" s="31" t="n">
        <v>6968</v>
      </c>
      <c r="K241" s="31" t="n">
        <v>0</v>
      </c>
      <c r="L241" s="32" t="n">
        <v>2</v>
      </c>
      <c r="M241" s="32" t="n">
        <v>21</v>
      </c>
      <c r="N241" s="31" t="n">
        <v>6968</v>
      </c>
      <c r="O241" s="31" t="n">
        <v>6968</v>
      </c>
      <c r="P241" s="22" t="n">
        <v>0</v>
      </c>
      <c r="Q241" s="22" t="n">
        <v>0</v>
      </c>
      <c r="R241" s="22" t="n">
        <v>0</v>
      </c>
    </row>
    <row r="242">
      <c r="A242" s="22" t="n">
        <v>201606</v>
      </c>
      <c r="B242" s="22" t="inlineStr">
        <is>
          <t>06/2016</t>
        </is>
      </c>
      <c r="C242" s="22" t="n">
        <v>36</v>
      </c>
      <c r="D242" s="22" t="inlineStr">
        <is>
          <t>S36</t>
        </is>
      </c>
      <c r="E242" s="22" t="inlineStr">
        <is>
          <t>Nexa Armagh (S36)</t>
        </is>
      </c>
      <c r="F242" s="22" t="inlineStr">
        <is>
          <t>Anh</t>
        </is>
      </c>
      <c r="G242" s="22" t="inlineStr">
        <is>
          <t>POS</t>
        </is>
      </c>
      <c r="H242" s="31" t="n">
        <v>5843.62</v>
      </c>
      <c r="I242" s="31" t="n">
        <v>0</v>
      </c>
      <c r="J242" s="31" t="n">
        <v>5843.62</v>
      </c>
      <c r="K242" s="31" t="n">
        <v>0</v>
      </c>
      <c r="L242" s="32" t="n">
        <v>5</v>
      </c>
      <c r="M242" s="32" t="n">
        <v>39</v>
      </c>
      <c r="N242" s="31" t="n">
        <v>5843.62</v>
      </c>
      <c r="O242" s="31" t="n">
        <v>5843.62</v>
      </c>
      <c r="P242" s="22" t="n">
        <v>0</v>
      </c>
      <c r="Q242" s="22" t="n">
        <v>0</v>
      </c>
      <c r="R242" s="22" t="n">
        <v>0</v>
      </c>
    </row>
    <row r="243">
      <c r="A243" s="22" t="n">
        <v>201606</v>
      </c>
      <c r="B243" s="22" t="inlineStr">
        <is>
          <t>06/2016</t>
        </is>
      </c>
      <c r="C243" s="22" t="n">
        <v>37</v>
      </c>
      <c r="D243" s="22" t="inlineStr">
        <is>
          <t>S37</t>
        </is>
      </c>
      <c r="E243" s="22" t="inlineStr">
        <is>
          <t>Nexa Ayrshire (S37)</t>
        </is>
      </c>
      <c r="F243" s="22" t="inlineStr">
        <is>
          <t>Anh</t>
        </is>
      </c>
      <c r="G243" s="22" t="inlineStr">
        <is>
          <t>POS</t>
        </is>
      </c>
      <c r="H243" s="31" t="n">
        <v>12125.48</v>
      </c>
      <c r="I243" s="31" t="n">
        <v>0</v>
      </c>
      <c r="J243" s="31" t="n">
        <v>12125.48</v>
      </c>
      <c r="K243" s="31" t="n">
        <v>0</v>
      </c>
      <c r="L243" s="32" t="n">
        <v>5</v>
      </c>
      <c r="M243" s="32" t="n">
        <v>48</v>
      </c>
      <c r="N243" s="31" t="n">
        <v>12125.48</v>
      </c>
      <c r="O243" s="31" t="n">
        <v>12125.48</v>
      </c>
      <c r="P243" s="22" t="n">
        <v>0</v>
      </c>
      <c r="Q243" s="22" t="n">
        <v>0</v>
      </c>
      <c r="R243" s="22" t="n">
        <v>0</v>
      </c>
    </row>
    <row r="244">
      <c r="A244" s="22" t="n">
        <v>201606</v>
      </c>
      <c r="B244" s="22" t="inlineStr">
        <is>
          <t>06/2016</t>
        </is>
      </c>
      <c r="C244" s="22" t="n">
        <v>38</v>
      </c>
      <c r="D244" s="22" t="inlineStr">
        <is>
          <t>S38</t>
        </is>
      </c>
      <c r="E244" s="22" t="inlineStr">
        <is>
          <t>Nexa Belfast (S38)</t>
        </is>
      </c>
      <c r="F244" s="22" t="inlineStr">
        <is>
          <t>Anh</t>
        </is>
      </c>
      <c r="G244" s="22" t="inlineStr">
        <is>
          <t>POS</t>
        </is>
      </c>
      <c r="H244" s="31" t="n">
        <v>29348.58</v>
      </c>
      <c r="I244" s="31" t="n">
        <v>0</v>
      </c>
      <c r="J244" s="31" t="n">
        <v>29348.58</v>
      </c>
      <c r="K244" s="31" t="n">
        <v>0</v>
      </c>
      <c r="L244" s="32" t="n">
        <v>8</v>
      </c>
      <c r="M244" s="32" t="n">
        <v>101</v>
      </c>
      <c r="N244" s="31" t="n">
        <v>29348.58</v>
      </c>
      <c r="O244" s="31" t="n">
        <v>29348.58</v>
      </c>
      <c r="P244" s="22" t="n">
        <v>0</v>
      </c>
      <c r="Q244" s="22" t="n">
        <v>0</v>
      </c>
      <c r="R244" s="22" t="n">
        <v>0</v>
      </c>
    </row>
    <row r="245">
      <c r="A245" s="22" t="n">
        <v>201606</v>
      </c>
      <c r="B245" s="22" t="inlineStr">
        <is>
          <t>06/2016</t>
        </is>
      </c>
      <c r="C245" s="22" t="n">
        <v>39</v>
      </c>
      <c r="D245" s="22" t="inlineStr">
        <is>
          <t>S39</t>
        </is>
      </c>
      <c r="E245" s="22" t="inlineStr">
        <is>
          <t>Nexa Blaenau Gwent (S39)</t>
        </is>
      </c>
      <c r="F245" s="22" t="inlineStr">
        <is>
          <t>Anh</t>
        </is>
      </c>
      <c r="G245" s="22" t="inlineStr">
        <is>
          <t>POS</t>
        </is>
      </c>
      <c r="H245" s="31" t="n">
        <v>9483.129999999999</v>
      </c>
      <c r="I245" s="31" t="n">
        <v>0</v>
      </c>
      <c r="J245" s="31" t="n">
        <v>9483.129999999999</v>
      </c>
      <c r="K245" s="31" t="n">
        <v>0</v>
      </c>
      <c r="L245" s="32" t="n">
        <v>9</v>
      </c>
      <c r="M245" s="32" t="n">
        <v>49</v>
      </c>
      <c r="N245" s="31" t="n">
        <v>9483.129999999999</v>
      </c>
      <c r="O245" s="31" t="n">
        <v>9483.129999999999</v>
      </c>
      <c r="P245" s="22" t="n">
        <v>0</v>
      </c>
      <c r="Q245" s="22" t="n">
        <v>0</v>
      </c>
      <c r="R245" s="22" t="n">
        <v>0</v>
      </c>
    </row>
    <row r="246">
      <c r="A246" s="22" t="n">
        <v>201606</v>
      </c>
      <c r="B246" s="22" t="inlineStr">
        <is>
          <t>06/2016</t>
        </is>
      </c>
      <c r="C246" s="22" t="n">
        <v>40</v>
      </c>
      <c r="D246" s="22" t="inlineStr">
        <is>
          <t>S40</t>
        </is>
      </c>
      <c r="E246" s="22" t="inlineStr">
        <is>
          <t>Nexa Dungannon and South Tyrone (S40)</t>
        </is>
      </c>
      <c r="F246" s="22" t="inlineStr">
        <is>
          <t>Anh</t>
        </is>
      </c>
      <c r="G246" s="22" t="inlineStr">
        <is>
          <t>POS</t>
        </is>
      </c>
      <c r="H246" s="31" t="n">
        <v>4781.82</v>
      </c>
      <c r="I246" s="31" t="n">
        <v>0</v>
      </c>
      <c r="J246" s="31" t="n">
        <v>4781.82</v>
      </c>
      <c r="K246" s="31" t="n">
        <v>0</v>
      </c>
      <c r="L246" s="32" t="n">
        <v>5</v>
      </c>
      <c r="M246" s="32" t="n">
        <v>21</v>
      </c>
      <c r="N246" s="31" t="n">
        <v>4781.82</v>
      </c>
      <c r="O246" s="31" t="n">
        <v>4781.82</v>
      </c>
      <c r="P246" s="22" t="n">
        <v>0</v>
      </c>
      <c r="Q246" s="22" t="n">
        <v>0</v>
      </c>
      <c r="R246" s="22" t="n">
        <v>0</v>
      </c>
    </row>
    <row r="247">
      <c r="A247" s="22" t="n">
        <v>201606</v>
      </c>
      <c r="B247" s="22" t="inlineStr">
        <is>
          <t>06/2016</t>
        </is>
      </c>
      <c r="C247" s="22" t="n">
        <v>41</v>
      </c>
      <c r="D247" s="22" t="inlineStr">
        <is>
          <t>S41</t>
        </is>
      </c>
      <c r="E247" s="22" t="inlineStr">
        <is>
          <t>Nexa Fermanagh (S41)</t>
        </is>
      </c>
      <c r="F247" s="22" t="inlineStr">
        <is>
          <t>Anh</t>
        </is>
      </c>
      <c r="G247" s="22" t="inlineStr">
        <is>
          <t>POS</t>
        </is>
      </c>
      <c r="H247" s="31" t="n">
        <v>3662.56</v>
      </c>
      <c r="I247" s="31" t="n">
        <v>0</v>
      </c>
      <c r="J247" s="31" t="n">
        <v>3662.56</v>
      </c>
      <c r="K247" s="31" t="n">
        <v>0</v>
      </c>
      <c r="L247" s="32" t="n">
        <v>2</v>
      </c>
      <c r="M247" s="32" t="n">
        <v>23</v>
      </c>
      <c r="N247" s="31" t="n">
        <v>3662.56</v>
      </c>
      <c r="O247" s="31" t="n">
        <v>3662.56</v>
      </c>
      <c r="P247" s="22" t="n">
        <v>1</v>
      </c>
      <c r="Q247" s="22" t="n">
        <v>0</v>
      </c>
      <c r="R247" s="22" t="n">
        <v>0</v>
      </c>
    </row>
    <row r="248">
      <c r="A248" s="22" t="n">
        <v>201606</v>
      </c>
      <c r="B248" s="22" t="inlineStr">
        <is>
          <t>06/2016</t>
        </is>
      </c>
      <c r="C248" s="22" t="n">
        <v>42</v>
      </c>
      <c r="D248" s="22" t="inlineStr">
        <is>
          <t>S42</t>
        </is>
      </c>
      <c r="E248" s="22" t="inlineStr">
        <is>
          <t>Nexa North Down (S42)</t>
        </is>
      </c>
      <c r="F248" s="22" t="inlineStr">
        <is>
          <t>Anh</t>
        </is>
      </c>
      <c r="G248" s="22" t="inlineStr">
        <is>
          <t>POS</t>
        </is>
      </c>
      <c r="H248" s="31" t="n">
        <v>10846.95</v>
      </c>
      <c r="I248" s="31" t="n">
        <v>0</v>
      </c>
      <c r="J248" s="31" t="n">
        <v>10846.95</v>
      </c>
      <c r="K248" s="31" t="n">
        <v>0</v>
      </c>
      <c r="L248" s="32" t="n">
        <v>5</v>
      </c>
      <c r="M248" s="32" t="n">
        <v>19</v>
      </c>
      <c r="N248" s="31" t="n">
        <v>10846.95</v>
      </c>
      <c r="O248" s="31" t="n">
        <v>10846.95</v>
      </c>
      <c r="P248" s="22" t="n">
        <v>1</v>
      </c>
      <c r="Q248" s="22" t="n">
        <v>0</v>
      </c>
      <c r="R248" s="22" t="n">
        <v>0</v>
      </c>
    </row>
    <row r="249">
      <c r="A249" s="22" t="n">
        <v>201606</v>
      </c>
      <c r="B249" s="22" t="inlineStr">
        <is>
          <t>06/2016</t>
        </is>
      </c>
      <c r="C249" s="22" t="n">
        <v>43</v>
      </c>
      <c r="D249" s="22" t="inlineStr">
        <is>
          <t>S43</t>
        </is>
      </c>
      <c r="E249" s="22" t="inlineStr">
        <is>
          <t>Nexa Alaska (S43)</t>
        </is>
      </c>
      <c r="F249" s="22" t="inlineStr">
        <is>
          <t>Mỹ</t>
        </is>
      </c>
      <c r="G249" s="22" t="inlineStr">
        <is>
          <t>POS</t>
        </is>
      </c>
      <c r="H249" s="31" t="n">
        <v>19545.53</v>
      </c>
      <c r="I249" s="31" t="n">
        <v>0</v>
      </c>
      <c r="J249" s="31" t="n">
        <v>19545.53</v>
      </c>
      <c r="K249" s="31" t="n">
        <v>0</v>
      </c>
      <c r="L249" s="32" t="n">
        <v>4</v>
      </c>
      <c r="M249" s="32" t="n">
        <v>45</v>
      </c>
      <c r="N249" s="31" t="n">
        <v>19545.53</v>
      </c>
      <c r="O249" s="31" t="n">
        <v>19545.53</v>
      </c>
      <c r="P249" s="22" t="n">
        <v>0</v>
      </c>
      <c r="Q249" s="22" t="n">
        <v>0</v>
      </c>
      <c r="R249" s="22" t="n">
        <v>0</v>
      </c>
    </row>
    <row r="250">
      <c r="A250" s="22" t="n">
        <v>201606</v>
      </c>
      <c r="B250" s="22" t="inlineStr">
        <is>
          <t>06/2016</t>
        </is>
      </c>
      <c r="C250" s="22" t="n">
        <v>44</v>
      </c>
      <c r="D250" s="22" t="inlineStr">
        <is>
          <t>S44</t>
        </is>
      </c>
      <c r="E250" s="22" t="inlineStr">
        <is>
          <t>Nexa Arkansas (S44)</t>
        </is>
      </c>
      <c r="F250" s="22" t="inlineStr">
        <is>
          <t>Mỹ</t>
        </is>
      </c>
      <c r="G250" s="22" t="inlineStr">
        <is>
          <t>POS</t>
        </is>
      </c>
      <c r="H250" s="31" t="n">
        <v>6350.02</v>
      </c>
      <c r="I250" s="31" t="n">
        <v>0</v>
      </c>
      <c r="J250" s="31" t="n">
        <v>6350.02</v>
      </c>
      <c r="K250" s="31" t="n">
        <v>0</v>
      </c>
      <c r="L250" s="32" t="n">
        <v>4</v>
      </c>
      <c r="M250" s="32" t="n">
        <v>29</v>
      </c>
      <c r="N250" s="31" t="n">
        <v>6350.02</v>
      </c>
      <c r="O250" s="31" t="n">
        <v>6350.02</v>
      </c>
      <c r="P250" s="22" t="n">
        <v>0</v>
      </c>
      <c r="Q250" s="22" t="n">
        <v>0</v>
      </c>
      <c r="R250" s="22" t="n">
        <v>0</v>
      </c>
    </row>
    <row r="251">
      <c r="A251" s="22" t="n">
        <v>201606</v>
      </c>
      <c r="B251" s="22" t="inlineStr">
        <is>
          <t>06/2016</t>
        </is>
      </c>
      <c r="C251" s="22" t="n">
        <v>45</v>
      </c>
      <c r="D251" s="22" t="inlineStr">
        <is>
          <t>S45</t>
        </is>
      </c>
      <c r="E251" s="22" t="inlineStr">
        <is>
          <t>Nexa Connecticut (S45)</t>
        </is>
      </c>
      <c r="F251" s="22" t="inlineStr">
        <is>
          <t>Mỹ</t>
        </is>
      </c>
      <c r="G251" s="22" t="inlineStr">
        <is>
          <t>POS</t>
        </is>
      </c>
      <c r="H251" s="31" t="n">
        <v>7679</v>
      </c>
      <c r="I251" s="31" t="n">
        <v>0</v>
      </c>
      <c r="J251" s="31" t="n">
        <v>7679</v>
      </c>
      <c r="K251" s="31" t="n">
        <v>0</v>
      </c>
      <c r="L251" s="32" t="n">
        <v>7</v>
      </c>
      <c r="M251" s="32" t="n">
        <v>37</v>
      </c>
      <c r="N251" s="31" t="n">
        <v>7679</v>
      </c>
      <c r="O251" s="31" t="n">
        <v>7679</v>
      </c>
      <c r="P251" s="22" t="n">
        <v>0</v>
      </c>
      <c r="Q251" s="22" t="n">
        <v>0</v>
      </c>
      <c r="R251" s="22" t="n">
        <v>0</v>
      </c>
    </row>
    <row r="252">
      <c r="A252" s="22" t="n">
        <v>201606</v>
      </c>
      <c r="B252" s="22" t="inlineStr">
        <is>
          <t>06/2016</t>
        </is>
      </c>
      <c r="C252" s="22" t="n">
        <v>47</v>
      </c>
      <c r="D252" s="22" t="inlineStr">
        <is>
          <t>S47</t>
        </is>
      </c>
      <c r="E252" s="22" t="inlineStr">
        <is>
          <t>Nexa Hawaii (S47)</t>
        </is>
      </c>
      <c r="F252" s="22" t="inlineStr">
        <is>
          <t>Mỹ</t>
        </is>
      </c>
      <c r="G252" s="22" t="inlineStr">
        <is>
          <t>POS</t>
        </is>
      </c>
      <c r="H252" s="31" t="n">
        <v>14401.48</v>
      </c>
      <c r="I252" s="31" t="n">
        <v>0</v>
      </c>
      <c r="J252" s="31" t="n">
        <v>14401.48</v>
      </c>
      <c r="K252" s="31" t="n">
        <v>0</v>
      </c>
      <c r="L252" s="32" t="n">
        <v>5</v>
      </c>
      <c r="M252" s="32" t="n">
        <v>27</v>
      </c>
      <c r="N252" s="31" t="n">
        <v>14401.48</v>
      </c>
      <c r="O252" s="31" t="n">
        <v>14401.48</v>
      </c>
      <c r="P252" s="22" t="n">
        <v>0</v>
      </c>
      <c r="Q252" s="22" t="n">
        <v>0</v>
      </c>
      <c r="R252" s="22" t="n">
        <v>0</v>
      </c>
    </row>
    <row r="253">
      <c r="A253" s="22" t="n">
        <v>201606</v>
      </c>
      <c r="B253" s="22" t="inlineStr">
        <is>
          <t>06/2016</t>
        </is>
      </c>
      <c r="C253" s="22" t="n">
        <v>48</v>
      </c>
      <c r="D253" s="22" t="inlineStr">
        <is>
          <t>S48</t>
        </is>
      </c>
      <c r="E253" s="22" t="inlineStr">
        <is>
          <t>Nexa Idaho (S48)</t>
        </is>
      </c>
      <c r="F253" s="22" t="inlineStr">
        <is>
          <t>Mỹ</t>
        </is>
      </c>
      <c r="G253" s="22" t="inlineStr">
        <is>
          <t>POS</t>
        </is>
      </c>
      <c r="H253" s="31" t="n">
        <v>9599.92</v>
      </c>
      <c r="I253" s="31" t="n">
        <v>0</v>
      </c>
      <c r="J253" s="31" t="n">
        <v>9599.92</v>
      </c>
      <c r="K253" s="31" t="n">
        <v>0</v>
      </c>
      <c r="L253" s="32" t="n">
        <v>6</v>
      </c>
      <c r="M253" s="32" t="n">
        <v>35</v>
      </c>
      <c r="N253" s="31" t="n">
        <v>9599.92</v>
      </c>
      <c r="O253" s="31" t="n">
        <v>9599.92</v>
      </c>
      <c r="P253" s="22" t="n">
        <v>0</v>
      </c>
      <c r="Q253" s="22" t="n">
        <v>0</v>
      </c>
      <c r="R253" s="22" t="n">
        <v>0</v>
      </c>
    </row>
    <row r="254">
      <c r="A254" s="22" t="n">
        <v>201606</v>
      </c>
      <c r="B254" s="22" t="inlineStr">
        <is>
          <t>06/2016</t>
        </is>
      </c>
      <c r="C254" s="22" t="n">
        <v>50</v>
      </c>
      <c r="D254" s="22" t="inlineStr">
        <is>
          <t>S50</t>
        </is>
      </c>
      <c r="E254" s="22" t="inlineStr">
        <is>
          <t>Nexa Kansas (S50)</t>
        </is>
      </c>
      <c r="F254" s="22" t="inlineStr">
        <is>
          <t>Mỹ</t>
        </is>
      </c>
      <c r="G254" s="22" t="inlineStr">
        <is>
          <t>POS</t>
        </is>
      </c>
      <c r="H254" s="31" t="n">
        <v>3035.84</v>
      </c>
      <c r="I254" s="31" t="n">
        <v>0</v>
      </c>
      <c r="J254" s="31" t="n">
        <v>3035.84</v>
      </c>
      <c r="K254" s="31" t="n">
        <v>0</v>
      </c>
      <c r="L254" s="32" t="n">
        <v>2</v>
      </c>
      <c r="M254" s="32" t="n">
        <v>17</v>
      </c>
      <c r="N254" s="31" t="n">
        <v>3035.84</v>
      </c>
      <c r="O254" s="31" t="n">
        <v>3035.84</v>
      </c>
      <c r="P254" s="22" t="n">
        <v>0</v>
      </c>
      <c r="Q254" s="22" t="n">
        <v>0</v>
      </c>
      <c r="R254" s="22" t="n">
        <v>0</v>
      </c>
    </row>
    <row r="255">
      <c r="A255" s="22" t="n">
        <v>201606</v>
      </c>
      <c r="B255" s="22" t="inlineStr">
        <is>
          <t>06/2016</t>
        </is>
      </c>
      <c r="C255" s="22" t="n">
        <v>51</v>
      </c>
      <c r="D255" s="22" t="inlineStr">
        <is>
          <t>S51</t>
        </is>
      </c>
      <c r="E255" s="22" t="inlineStr">
        <is>
          <t>Nexa Maine (S51)</t>
        </is>
      </c>
      <c r="F255" s="22" t="inlineStr">
        <is>
          <t>Mỹ</t>
        </is>
      </c>
      <c r="G255" s="22" t="inlineStr">
        <is>
          <t>POS</t>
        </is>
      </c>
      <c r="H255" s="31" t="n">
        <v>13294.9</v>
      </c>
      <c r="I255" s="31" t="n">
        <v>0</v>
      </c>
      <c r="J255" s="31" t="n">
        <v>13294.9</v>
      </c>
      <c r="K255" s="31" t="n">
        <v>2000</v>
      </c>
      <c r="L255" s="32" t="n">
        <v>10</v>
      </c>
      <c r="M255" s="32" t="n">
        <v>53</v>
      </c>
      <c r="N255" s="31" t="n">
        <v>11294.9</v>
      </c>
      <c r="O255" s="31" t="n">
        <v>13294.9</v>
      </c>
      <c r="P255" s="22" t="n">
        <v>0</v>
      </c>
      <c r="Q255" s="22" t="n">
        <v>0</v>
      </c>
      <c r="R255" s="22" t="n">
        <v>0</v>
      </c>
    </row>
    <row r="256">
      <c r="A256" s="22" t="n">
        <v>201606</v>
      </c>
      <c r="B256" s="22" t="inlineStr">
        <is>
          <t>06/2016</t>
        </is>
      </c>
      <c r="C256" s="22" t="n">
        <v>53</v>
      </c>
      <c r="D256" s="22" t="inlineStr">
        <is>
          <t>S53</t>
        </is>
      </c>
      <c r="E256" s="22" t="inlineStr">
        <is>
          <t>Nexa Montana (S53)</t>
        </is>
      </c>
      <c r="F256" s="22" t="inlineStr">
        <is>
          <t>Mỹ</t>
        </is>
      </c>
      <c r="G256" s="22" t="inlineStr">
        <is>
          <t>POS</t>
        </is>
      </c>
      <c r="H256" s="31" t="n">
        <v>9958.58</v>
      </c>
      <c r="I256" s="31" t="n">
        <v>0</v>
      </c>
      <c r="J256" s="31" t="n">
        <v>9958.58</v>
      </c>
      <c r="K256" s="31" t="n">
        <v>0</v>
      </c>
      <c r="L256" s="32" t="n">
        <v>3</v>
      </c>
      <c r="M256" s="32" t="n">
        <v>23</v>
      </c>
      <c r="N256" s="31" t="n">
        <v>9958.58</v>
      </c>
      <c r="O256" s="31" t="n">
        <v>9958.58</v>
      </c>
      <c r="P256" s="22" t="n">
        <v>1</v>
      </c>
      <c r="Q256" s="22" t="n">
        <v>0</v>
      </c>
      <c r="R256" s="22" t="n">
        <v>0</v>
      </c>
    </row>
    <row r="257">
      <c r="A257" s="22" t="n">
        <v>201606</v>
      </c>
      <c r="B257" s="22" t="inlineStr">
        <is>
          <t>06/2016</t>
        </is>
      </c>
      <c r="C257" s="22" t="n">
        <v>54</v>
      </c>
      <c r="D257" s="22" t="inlineStr">
        <is>
          <t>S54</t>
        </is>
      </c>
      <c r="E257" s="22" t="inlineStr">
        <is>
          <t>Nexa Nebraska (S54)</t>
        </is>
      </c>
      <c r="F257" s="22" t="inlineStr">
        <is>
          <t>Mỹ</t>
        </is>
      </c>
      <c r="G257" s="22" t="inlineStr">
        <is>
          <t>POS</t>
        </is>
      </c>
      <c r="H257" s="31" t="n">
        <v>7014.38</v>
      </c>
      <c r="I257" s="31" t="n">
        <v>0</v>
      </c>
      <c r="J257" s="31" t="n">
        <v>7014.38</v>
      </c>
      <c r="K257" s="31" t="n">
        <v>44.97</v>
      </c>
      <c r="L257" s="32" t="n">
        <v>9</v>
      </c>
      <c r="M257" s="32" t="n">
        <v>46</v>
      </c>
      <c r="N257" s="31" t="n">
        <v>6969.41</v>
      </c>
      <c r="O257" s="31" t="n">
        <v>7014.38</v>
      </c>
      <c r="P257" s="22" t="n">
        <v>0</v>
      </c>
      <c r="Q257" s="22" t="n">
        <v>0</v>
      </c>
      <c r="R257" s="22" t="n">
        <v>0</v>
      </c>
    </row>
    <row r="258">
      <c r="A258" s="22" t="n">
        <v>201606</v>
      </c>
      <c r="B258" s="22" t="inlineStr">
        <is>
          <t>06/2016</t>
        </is>
      </c>
      <c r="C258" s="22" t="n">
        <v>55</v>
      </c>
      <c r="D258" s="22" t="inlineStr">
        <is>
          <t>S55</t>
        </is>
      </c>
      <c r="E258" s="22" t="inlineStr">
        <is>
          <t>Nexa Nevada (S55)</t>
        </is>
      </c>
      <c r="F258" s="22" t="inlineStr">
        <is>
          <t>Mỹ</t>
        </is>
      </c>
      <c r="G258" s="22" t="inlineStr">
        <is>
          <t>POS</t>
        </is>
      </c>
      <c r="H258" s="31" t="n">
        <v>11138.76</v>
      </c>
      <c r="I258" s="31" t="n">
        <v>0</v>
      </c>
      <c r="J258" s="31" t="n">
        <v>11138.76</v>
      </c>
      <c r="K258" s="31" t="n">
        <v>1167</v>
      </c>
      <c r="L258" s="32" t="n">
        <v>6</v>
      </c>
      <c r="M258" s="32" t="n">
        <v>45</v>
      </c>
      <c r="N258" s="31" t="n">
        <v>9971.76</v>
      </c>
      <c r="O258" s="31" t="n">
        <v>11138.76</v>
      </c>
      <c r="P258" s="22" t="n">
        <v>0</v>
      </c>
      <c r="Q258" s="22" t="n">
        <v>0</v>
      </c>
      <c r="R258" s="22" t="n">
        <v>0</v>
      </c>
    </row>
    <row r="259">
      <c r="A259" s="22" t="n">
        <v>201606</v>
      </c>
      <c r="B259" s="22" t="inlineStr">
        <is>
          <t>06/2016</t>
        </is>
      </c>
      <c r="C259" s="22" t="n">
        <v>56</v>
      </c>
      <c r="D259" s="22" t="inlineStr">
        <is>
          <t>S56</t>
        </is>
      </c>
      <c r="E259" s="22" t="inlineStr">
        <is>
          <t>Nexa New Hampshire (S56)</t>
        </is>
      </c>
      <c r="F259" s="22" t="inlineStr">
        <is>
          <t>Mỹ</t>
        </is>
      </c>
      <c r="G259" s="22" t="inlineStr">
        <is>
          <t>POS</t>
        </is>
      </c>
      <c r="H259" s="31" t="n">
        <v>1414.06</v>
      </c>
      <c r="I259" s="31" t="n">
        <v>0</v>
      </c>
      <c r="J259" s="31" t="n">
        <v>1414.06</v>
      </c>
      <c r="K259" s="31" t="n">
        <v>0</v>
      </c>
      <c r="L259" s="32" t="n">
        <v>5</v>
      </c>
      <c r="M259" s="32" t="n">
        <v>15</v>
      </c>
      <c r="N259" s="31" t="n">
        <v>1414.06</v>
      </c>
      <c r="O259" s="31" t="n">
        <v>1414.06</v>
      </c>
      <c r="P259" s="22" t="n">
        <v>0</v>
      </c>
      <c r="Q259" s="22" t="n">
        <v>0</v>
      </c>
      <c r="R259" s="22" t="n">
        <v>0</v>
      </c>
    </row>
    <row r="260">
      <c r="A260" s="22" t="n">
        <v>201606</v>
      </c>
      <c r="B260" s="22" t="inlineStr">
        <is>
          <t>06/2016</t>
        </is>
      </c>
      <c r="C260" s="22" t="n">
        <v>57</v>
      </c>
      <c r="D260" s="22" t="inlineStr">
        <is>
          <t>S57</t>
        </is>
      </c>
      <c r="E260" s="22" t="inlineStr">
        <is>
          <t>Nexa New Mexico (S57)</t>
        </is>
      </c>
      <c r="F260" s="22" t="inlineStr">
        <is>
          <t>Mỹ</t>
        </is>
      </c>
      <c r="G260" s="22" t="inlineStr">
        <is>
          <t>POS</t>
        </is>
      </c>
      <c r="H260" s="31" t="n">
        <v>7406.85</v>
      </c>
      <c r="I260" s="31" t="n">
        <v>0</v>
      </c>
      <c r="J260" s="31" t="n">
        <v>7406.85</v>
      </c>
      <c r="K260" s="31" t="n">
        <v>118</v>
      </c>
      <c r="L260" s="32" t="n">
        <v>6</v>
      </c>
      <c r="M260" s="32" t="n">
        <v>45</v>
      </c>
      <c r="N260" s="31" t="n">
        <v>7288.85</v>
      </c>
      <c r="O260" s="31" t="n">
        <v>7406.85</v>
      </c>
      <c r="P260" s="22" t="n">
        <v>0</v>
      </c>
      <c r="Q260" s="22" t="n">
        <v>0</v>
      </c>
      <c r="R260" s="22" t="n">
        <v>0</v>
      </c>
    </row>
    <row r="261">
      <c r="A261" s="22" t="n">
        <v>201606</v>
      </c>
      <c r="B261" s="22" t="inlineStr">
        <is>
          <t>06/2016</t>
        </is>
      </c>
      <c r="C261" s="22" t="n">
        <v>59</v>
      </c>
      <c r="D261" s="22" t="inlineStr">
        <is>
          <t>S59</t>
        </is>
      </c>
      <c r="E261" s="22" t="inlineStr">
        <is>
          <t>Nexa Oregon (S59)</t>
        </is>
      </c>
      <c r="F261" s="22" t="inlineStr">
        <is>
          <t>Mỹ</t>
        </is>
      </c>
      <c r="G261" s="22" t="inlineStr">
        <is>
          <t>POS</t>
        </is>
      </c>
      <c r="H261" s="31" t="n">
        <v>12376.15</v>
      </c>
      <c r="I261" s="31" t="n">
        <v>0</v>
      </c>
      <c r="J261" s="31" t="n">
        <v>12376.15</v>
      </c>
      <c r="K261" s="31" t="n">
        <v>0</v>
      </c>
      <c r="L261" s="32" t="n">
        <v>5</v>
      </c>
      <c r="M261" s="32" t="n">
        <v>38</v>
      </c>
      <c r="N261" s="31" t="n">
        <v>12376.15</v>
      </c>
      <c r="O261" s="31" t="n">
        <v>12376.15</v>
      </c>
      <c r="P261" s="22" t="n">
        <v>0</v>
      </c>
      <c r="Q261" s="22" t="n">
        <v>0</v>
      </c>
      <c r="R261" s="22" t="n">
        <v>0</v>
      </c>
    </row>
    <row r="262">
      <c r="A262" s="22" t="n">
        <v>201606</v>
      </c>
      <c r="B262" s="22" t="inlineStr">
        <is>
          <t>06/2016</t>
        </is>
      </c>
      <c r="C262" s="22" t="n">
        <v>61</v>
      </c>
      <c r="D262" s="22" t="inlineStr">
        <is>
          <t>S61</t>
        </is>
      </c>
      <c r="E262" s="22" t="inlineStr">
        <is>
          <t>Nexa South Carolina (S61)</t>
        </is>
      </c>
      <c r="F262" s="22" t="inlineStr">
        <is>
          <t>Mỹ</t>
        </is>
      </c>
      <c r="G262" s="22" t="inlineStr">
        <is>
          <t>POS</t>
        </is>
      </c>
      <c r="H262" s="31" t="n">
        <v>14059.57</v>
      </c>
      <c r="I262" s="31" t="n">
        <v>0</v>
      </c>
      <c r="J262" s="31" t="n">
        <v>14059.57</v>
      </c>
      <c r="K262" s="31" t="n">
        <v>0</v>
      </c>
      <c r="L262" s="32" t="n">
        <v>7</v>
      </c>
      <c r="M262" s="32" t="n">
        <v>73</v>
      </c>
      <c r="N262" s="31" t="n">
        <v>14059.57</v>
      </c>
      <c r="O262" s="31" t="n">
        <v>14059.57</v>
      </c>
      <c r="P262" s="22" t="n">
        <v>0</v>
      </c>
      <c r="Q262" s="22" t="n">
        <v>0</v>
      </c>
      <c r="R262" s="22" t="n">
        <v>0</v>
      </c>
    </row>
    <row r="263">
      <c r="A263" s="22" t="n">
        <v>201606</v>
      </c>
      <c r="B263" s="22" t="inlineStr">
        <is>
          <t>06/2016</t>
        </is>
      </c>
      <c r="C263" s="22" t="n">
        <v>63</v>
      </c>
      <c r="D263" s="22" t="inlineStr">
        <is>
          <t>S63</t>
        </is>
      </c>
      <c r="E263" s="22" t="inlineStr">
        <is>
          <t>Nexa Utah (S63)</t>
        </is>
      </c>
      <c r="F263" s="22" t="inlineStr">
        <is>
          <t>Mỹ</t>
        </is>
      </c>
      <c r="G263" s="22" t="inlineStr">
        <is>
          <t>POS</t>
        </is>
      </c>
      <c r="H263" s="31" t="n">
        <v>20395.46</v>
      </c>
      <c r="I263" s="31" t="n">
        <v>0</v>
      </c>
      <c r="J263" s="31" t="n">
        <v>20395.46</v>
      </c>
      <c r="K263" s="31" t="n">
        <v>739.79</v>
      </c>
      <c r="L263" s="32" t="n">
        <v>6</v>
      </c>
      <c r="M263" s="32" t="n">
        <v>41</v>
      </c>
      <c r="N263" s="31" t="n">
        <v>19655.67</v>
      </c>
      <c r="O263" s="31" t="n">
        <v>20395.46</v>
      </c>
      <c r="P263" s="22" t="n">
        <v>0</v>
      </c>
      <c r="Q263" s="22" t="n">
        <v>0</v>
      </c>
      <c r="R263" s="22" t="n">
        <v>0</v>
      </c>
    </row>
    <row r="264">
      <c r="A264" s="22" t="n">
        <v>201606</v>
      </c>
      <c r="B264" s="22" t="inlineStr">
        <is>
          <t>06/2016</t>
        </is>
      </c>
      <c r="C264" s="22" t="n">
        <v>64</v>
      </c>
      <c r="D264" s="22" t="inlineStr">
        <is>
          <t>S64</t>
        </is>
      </c>
      <c r="E264" s="22" t="inlineStr">
        <is>
          <t>Nexa Washington DC (S64)</t>
        </is>
      </c>
      <c r="F264" s="22" t="inlineStr">
        <is>
          <t>Mỹ</t>
        </is>
      </c>
      <c r="G264" s="22" t="inlineStr">
        <is>
          <t>POS</t>
        </is>
      </c>
      <c r="H264" s="31" t="n">
        <v>11824.96</v>
      </c>
      <c r="I264" s="31" t="n">
        <v>0</v>
      </c>
      <c r="J264" s="31" t="n">
        <v>11824.96</v>
      </c>
      <c r="K264" s="31" t="n">
        <v>0</v>
      </c>
      <c r="L264" s="32" t="n">
        <v>6</v>
      </c>
      <c r="M264" s="32" t="n">
        <v>37</v>
      </c>
      <c r="N264" s="31" t="n">
        <v>11824.96</v>
      </c>
      <c r="O264" s="31" t="n">
        <v>11824.96</v>
      </c>
      <c r="P264" s="22" t="n">
        <v>0</v>
      </c>
      <c r="Q264" s="22" t="n">
        <v>0</v>
      </c>
      <c r="R264" s="22" t="n">
        <v>0</v>
      </c>
    </row>
    <row r="265">
      <c r="A265" s="22" t="n">
        <v>201606</v>
      </c>
      <c r="B265" s="22" t="inlineStr">
        <is>
          <t>06/2016</t>
        </is>
      </c>
      <c r="C265" s="22" t="n">
        <v>65</v>
      </c>
      <c r="D265" s="22" t="inlineStr">
        <is>
          <t>S65</t>
        </is>
      </c>
      <c r="E265" s="22" t="inlineStr">
        <is>
          <t>Nexa West Virginia (S65)</t>
        </is>
      </c>
      <c r="F265" s="22" t="inlineStr">
        <is>
          <t>Mỹ</t>
        </is>
      </c>
      <c r="G265" s="22" t="inlineStr">
        <is>
          <t>POS</t>
        </is>
      </c>
      <c r="H265" s="31" t="n">
        <v>14814.46</v>
      </c>
      <c r="I265" s="31" t="n">
        <v>0</v>
      </c>
      <c r="J265" s="31" t="n">
        <v>14814.46</v>
      </c>
      <c r="K265" s="31" t="n">
        <v>0</v>
      </c>
      <c r="L265" s="32" t="n">
        <v>7</v>
      </c>
      <c r="M265" s="32" t="n">
        <v>49</v>
      </c>
      <c r="N265" s="31" t="n">
        <v>14814.46</v>
      </c>
      <c r="O265" s="31" t="n">
        <v>14814.46</v>
      </c>
      <c r="P265" s="22" t="n">
        <v>0</v>
      </c>
      <c r="Q265" s="22" t="n">
        <v>0</v>
      </c>
      <c r="R265" s="22" t="n">
        <v>0</v>
      </c>
    </row>
    <row r="266">
      <c r="A266" s="22" t="n">
        <v>201606</v>
      </c>
      <c r="B266" s="22" t="inlineStr">
        <is>
          <t>06/2016</t>
        </is>
      </c>
      <c r="C266" s="22" t="n">
        <v>66</v>
      </c>
      <c r="D266" s="22" t="inlineStr">
        <is>
          <t>S66</t>
        </is>
      </c>
      <c r="E266" s="22" t="inlineStr">
        <is>
          <t>Nexa Wyoming (S66)</t>
        </is>
      </c>
      <c r="F266" s="22" t="inlineStr">
        <is>
          <t>Mỹ</t>
        </is>
      </c>
      <c r="G266" s="22" t="inlineStr">
        <is>
          <t>POS</t>
        </is>
      </c>
      <c r="H266" s="31" t="n">
        <v>6672.67</v>
      </c>
      <c r="I266" s="31" t="n">
        <v>0</v>
      </c>
      <c r="J266" s="31" t="n">
        <v>6672.67</v>
      </c>
      <c r="K266" s="31" t="n">
        <v>119.98</v>
      </c>
      <c r="L266" s="32" t="n">
        <v>2</v>
      </c>
      <c r="M266" s="32" t="n">
        <v>17</v>
      </c>
      <c r="N266" s="31" t="n">
        <v>6552.69</v>
      </c>
      <c r="O266" s="31" t="n">
        <v>6672.67</v>
      </c>
      <c r="P266" s="22" t="n">
        <v>0</v>
      </c>
      <c r="Q266" s="22" t="n">
        <v>0</v>
      </c>
      <c r="R266" s="22" t="n">
        <v>0</v>
      </c>
    </row>
    <row r="267">
      <c r="A267" s="22" t="n">
        <v>201607</v>
      </c>
      <c r="B267" s="22" t="inlineStr">
        <is>
          <t>07/2016</t>
        </is>
      </c>
      <c r="C267" s="22" t="n">
        <v>0</v>
      </c>
      <c r="D267" s="22" t="inlineStr">
        <is>
          <t>ONL</t>
        </is>
      </c>
      <c r="E267" s="22" t="inlineStr">
        <is>
          <t>Nexa Online (website/app)</t>
        </is>
      </c>
      <c r="F267" s="22" t="inlineStr">
        <is>
          <t>Online</t>
        </is>
      </c>
      <c r="G267" s="22" t="inlineStr">
        <is>
          <t>ONLINE</t>
        </is>
      </c>
      <c r="H267" s="31" t="n">
        <v>131610.48</v>
      </c>
      <c r="I267" s="31" t="n">
        <v>2175.12</v>
      </c>
      <c r="J267" s="31" t="n">
        <v>129435.36</v>
      </c>
      <c r="K267" s="31" t="n">
        <v>299.94</v>
      </c>
      <c r="L267" s="32" t="n">
        <v>38</v>
      </c>
      <c r="M267" s="32" t="n">
        <v>366</v>
      </c>
      <c r="N267" s="31" t="n">
        <v>138272.88</v>
      </c>
      <c r="O267" s="31" t="n">
        <v>138572.82</v>
      </c>
      <c r="P267" s="22" t="n">
        <v>2</v>
      </c>
      <c r="Q267" s="22" t="n">
        <v>0</v>
      </c>
      <c r="R267" s="22" t="n">
        <v>1</v>
      </c>
    </row>
    <row r="268">
      <c r="A268" s="22" t="n">
        <v>201607</v>
      </c>
      <c r="B268" s="22" t="inlineStr">
        <is>
          <t>07/2016</t>
        </is>
      </c>
      <c r="C268" s="22" t="n">
        <v>6</v>
      </c>
      <c r="D268" s="22" t="inlineStr">
        <is>
          <t>S06</t>
        </is>
      </c>
      <c r="E268" s="22" t="inlineStr">
        <is>
          <t>Nexa Western Australia (S06)</t>
        </is>
      </c>
      <c r="F268" s="22" t="inlineStr">
        <is>
          <t>Úc</t>
        </is>
      </c>
      <c r="G268" s="22" t="inlineStr">
        <is>
          <t>POS</t>
        </is>
      </c>
      <c r="H268" s="31" t="n">
        <v>5975.97</v>
      </c>
      <c r="I268" s="31" t="n">
        <v>0</v>
      </c>
      <c r="J268" s="31" t="n">
        <v>5975.97</v>
      </c>
      <c r="K268" s="31" t="n">
        <v>0</v>
      </c>
      <c r="L268" s="32" t="n">
        <v>1</v>
      </c>
      <c r="M268" s="32" t="n">
        <v>7</v>
      </c>
      <c r="N268" s="31" t="n">
        <v>5975.97</v>
      </c>
      <c r="O268" s="31" t="n">
        <v>5975.97</v>
      </c>
      <c r="P268" s="22" t="n">
        <v>0</v>
      </c>
      <c r="Q268" s="22" t="n">
        <v>0</v>
      </c>
      <c r="R268" s="22" t="n">
        <v>0</v>
      </c>
    </row>
    <row r="269">
      <c r="A269" s="22" t="n">
        <v>201607</v>
      </c>
      <c r="B269" s="22" t="inlineStr">
        <is>
          <t>07/2016</t>
        </is>
      </c>
      <c r="C269" s="22" t="n">
        <v>8</v>
      </c>
      <c r="D269" s="22" t="inlineStr">
        <is>
          <t>S08</t>
        </is>
      </c>
      <c r="E269" s="22" t="inlineStr">
        <is>
          <t>Nexa Newfoundland and Labrador (S08)</t>
        </is>
      </c>
      <c r="F269" s="22" t="inlineStr">
        <is>
          <t>Canada</t>
        </is>
      </c>
      <c r="G269" s="22" t="inlineStr">
        <is>
          <t>POS</t>
        </is>
      </c>
      <c r="H269" s="31" t="n">
        <v>14057.25</v>
      </c>
      <c r="I269" s="31" t="n">
        <v>0</v>
      </c>
      <c r="J269" s="31" t="n">
        <v>14057.25</v>
      </c>
      <c r="K269" s="31" t="n">
        <v>0</v>
      </c>
      <c r="L269" s="32" t="n">
        <v>7</v>
      </c>
      <c r="M269" s="32" t="n">
        <v>59</v>
      </c>
      <c r="N269" s="31" t="n">
        <v>14057.25</v>
      </c>
      <c r="O269" s="31" t="n">
        <v>14057.25</v>
      </c>
      <c r="P269" s="22" t="n">
        <v>0</v>
      </c>
      <c r="Q269" s="22" t="n">
        <v>0</v>
      </c>
      <c r="R269" s="22" t="n">
        <v>0</v>
      </c>
    </row>
    <row r="270">
      <c r="A270" s="22" t="n">
        <v>201607</v>
      </c>
      <c r="B270" s="22" t="inlineStr">
        <is>
          <t>07/2016</t>
        </is>
      </c>
      <c r="C270" s="22" t="n">
        <v>9</v>
      </c>
      <c r="D270" s="22" t="inlineStr">
        <is>
          <t>S09</t>
        </is>
      </c>
      <c r="E270" s="22" t="inlineStr">
        <is>
          <t>Nexa Northwest Territories (S09)</t>
        </is>
      </c>
      <c r="F270" s="22" t="inlineStr">
        <is>
          <t>Canada</t>
        </is>
      </c>
      <c r="G270" s="22" t="inlineStr">
        <is>
          <t>POS</t>
        </is>
      </c>
      <c r="H270" s="31" t="n">
        <v>6507.89</v>
      </c>
      <c r="I270" s="31" t="n">
        <v>0</v>
      </c>
      <c r="J270" s="31" t="n">
        <v>6507.89</v>
      </c>
      <c r="K270" s="31" t="n">
        <v>0</v>
      </c>
      <c r="L270" s="32" t="n">
        <v>5</v>
      </c>
      <c r="M270" s="32" t="n">
        <v>29</v>
      </c>
      <c r="N270" s="31" t="n">
        <v>6507.89</v>
      </c>
      <c r="O270" s="31" t="n">
        <v>6507.89</v>
      </c>
      <c r="P270" s="22" t="n">
        <v>0</v>
      </c>
      <c r="Q270" s="22" t="n">
        <v>0</v>
      </c>
      <c r="R270" s="22" t="n">
        <v>0</v>
      </c>
    </row>
    <row r="271">
      <c r="A271" s="22" t="n">
        <v>201607</v>
      </c>
      <c r="B271" s="22" t="inlineStr">
        <is>
          <t>07/2016</t>
        </is>
      </c>
      <c r="C271" s="22" t="n">
        <v>10</v>
      </c>
      <c r="D271" s="22" t="inlineStr">
        <is>
          <t>S10</t>
        </is>
      </c>
      <c r="E271" s="22" t="inlineStr">
        <is>
          <t>Nexa Nunavut (S10)</t>
        </is>
      </c>
      <c r="F271" s="22" t="inlineStr">
        <is>
          <t>Canada</t>
        </is>
      </c>
      <c r="G271" s="22" t="inlineStr">
        <is>
          <t>POS</t>
        </is>
      </c>
      <c r="H271" s="31" t="n">
        <v>4735</v>
      </c>
      <c r="I271" s="31" t="n">
        <v>0</v>
      </c>
      <c r="J271" s="31" t="n">
        <v>4735</v>
      </c>
      <c r="K271" s="31" t="n">
        <v>0</v>
      </c>
      <c r="L271" s="32" t="n">
        <v>2</v>
      </c>
      <c r="M271" s="32" t="n">
        <v>12</v>
      </c>
      <c r="N271" s="31" t="n">
        <v>4735</v>
      </c>
      <c r="O271" s="31" t="n">
        <v>4735</v>
      </c>
      <c r="P271" s="22" t="n">
        <v>0</v>
      </c>
      <c r="Q271" s="22" t="n">
        <v>0</v>
      </c>
      <c r="R271" s="22" t="n">
        <v>0</v>
      </c>
    </row>
    <row r="272">
      <c r="A272" s="22" t="n">
        <v>201607</v>
      </c>
      <c r="B272" s="22" t="inlineStr">
        <is>
          <t>07/2016</t>
        </is>
      </c>
      <c r="C272" s="22" t="n">
        <v>12</v>
      </c>
      <c r="D272" s="22" t="inlineStr">
        <is>
          <t>S12</t>
        </is>
      </c>
      <c r="E272" s="22" t="inlineStr">
        <is>
          <t>Nexa Basse-Normandie (S12)</t>
        </is>
      </c>
      <c r="F272" s="22" t="inlineStr">
        <is>
          <t>Pháp</t>
        </is>
      </c>
      <c r="G272" s="22" t="inlineStr">
        <is>
          <t>POS</t>
        </is>
      </c>
      <c r="H272" s="31" t="n">
        <v>3420.63</v>
      </c>
      <c r="I272" s="31" t="n">
        <v>0</v>
      </c>
      <c r="J272" s="31" t="n">
        <v>3420.63</v>
      </c>
      <c r="K272" s="31" t="n">
        <v>0</v>
      </c>
      <c r="L272" s="32" t="n">
        <v>2</v>
      </c>
      <c r="M272" s="32" t="n">
        <v>16</v>
      </c>
      <c r="N272" s="31" t="n">
        <v>3420.63</v>
      </c>
      <c r="O272" s="31" t="n">
        <v>3420.63</v>
      </c>
      <c r="P272" s="22" t="n">
        <v>0</v>
      </c>
      <c r="Q272" s="22" t="n">
        <v>0</v>
      </c>
      <c r="R272" s="22" t="n">
        <v>0</v>
      </c>
    </row>
    <row r="273">
      <c r="A273" s="22" t="n">
        <v>201607</v>
      </c>
      <c r="B273" s="22" t="inlineStr">
        <is>
          <t>07/2016</t>
        </is>
      </c>
      <c r="C273" s="22" t="n">
        <v>13</v>
      </c>
      <c r="D273" s="22" t="inlineStr">
        <is>
          <t>S13</t>
        </is>
      </c>
      <c r="E273" s="22" t="inlineStr">
        <is>
          <t>Nexa Corse (S13)</t>
        </is>
      </c>
      <c r="F273" s="22" t="inlineStr">
        <is>
          <t>Pháp</t>
        </is>
      </c>
      <c r="G273" s="22" t="inlineStr">
        <is>
          <t>POS</t>
        </is>
      </c>
      <c r="H273" s="31" t="n">
        <v>8107.95</v>
      </c>
      <c r="I273" s="31" t="n">
        <v>0</v>
      </c>
      <c r="J273" s="31" t="n">
        <v>8107.95</v>
      </c>
      <c r="K273" s="31" t="n">
        <v>0</v>
      </c>
      <c r="L273" s="32" t="n">
        <v>3</v>
      </c>
      <c r="M273" s="32" t="n">
        <v>31</v>
      </c>
      <c r="N273" s="31" t="n">
        <v>8107.95</v>
      </c>
      <c r="O273" s="31" t="n">
        <v>8107.95</v>
      </c>
      <c r="P273" s="22" t="n">
        <v>0</v>
      </c>
      <c r="Q273" s="22" t="n">
        <v>0</v>
      </c>
      <c r="R273" s="22" t="n">
        <v>0</v>
      </c>
    </row>
    <row r="274">
      <c r="A274" s="22" t="n">
        <v>201607</v>
      </c>
      <c r="B274" s="22" t="inlineStr">
        <is>
          <t>07/2016</t>
        </is>
      </c>
      <c r="C274" s="22" t="n">
        <v>15</v>
      </c>
      <c r="D274" s="22" t="inlineStr">
        <is>
          <t>S15</t>
        </is>
      </c>
      <c r="E274" s="22" t="inlineStr">
        <is>
          <t>Nexa La Réunion (S15)</t>
        </is>
      </c>
      <c r="F274" s="22" t="inlineStr">
        <is>
          <t>Pháp</t>
        </is>
      </c>
      <c r="G274" s="22" t="inlineStr">
        <is>
          <t>POS</t>
        </is>
      </c>
      <c r="H274" s="31" t="n">
        <v>20.99</v>
      </c>
      <c r="I274" s="31" t="n">
        <v>0</v>
      </c>
      <c r="J274" s="31" t="n">
        <v>20.99</v>
      </c>
      <c r="K274" s="31" t="n">
        <v>0</v>
      </c>
      <c r="L274" s="32" t="n">
        <v>1</v>
      </c>
      <c r="M274" s="32" t="n">
        <v>3</v>
      </c>
      <c r="N274" s="31" t="n">
        <v>20.99</v>
      </c>
      <c r="O274" s="31" t="n">
        <v>20.99</v>
      </c>
      <c r="P274" s="22" t="n">
        <v>0</v>
      </c>
      <c r="Q274" s="22" t="n">
        <v>0</v>
      </c>
      <c r="R274" s="22" t="n">
        <v>0</v>
      </c>
    </row>
    <row r="275">
      <c r="A275" s="22" t="n">
        <v>201607</v>
      </c>
      <c r="B275" s="22" t="inlineStr">
        <is>
          <t>07/2016</t>
        </is>
      </c>
      <c r="C275" s="22" t="n">
        <v>19</v>
      </c>
      <c r="D275" s="22" t="inlineStr">
        <is>
          <t>S19</t>
        </is>
      </c>
      <c r="E275" s="22" t="inlineStr">
        <is>
          <t>Nexa Berlin (S19)</t>
        </is>
      </c>
      <c r="F275" s="22" t="inlineStr">
        <is>
          <t>Đức</t>
        </is>
      </c>
      <c r="G275" s="22" t="inlineStr">
        <is>
          <t>POS</t>
        </is>
      </c>
      <c r="H275" s="31" t="n">
        <v>4480.84</v>
      </c>
      <c r="I275" s="31" t="n">
        <v>0</v>
      </c>
      <c r="J275" s="31" t="n">
        <v>4480.84</v>
      </c>
      <c r="K275" s="31" t="n">
        <v>0</v>
      </c>
      <c r="L275" s="32" t="n">
        <v>3</v>
      </c>
      <c r="M275" s="32" t="n">
        <v>19</v>
      </c>
      <c r="N275" s="31" t="n">
        <v>4480.84</v>
      </c>
      <c r="O275" s="31" t="n">
        <v>4480.84</v>
      </c>
      <c r="P275" s="22" t="n">
        <v>0</v>
      </c>
      <c r="Q275" s="22" t="n">
        <v>0</v>
      </c>
      <c r="R275" s="22" t="n">
        <v>0</v>
      </c>
    </row>
    <row r="276">
      <c r="A276" s="22" t="n">
        <v>201607</v>
      </c>
      <c r="B276" s="22" t="inlineStr">
        <is>
          <t>07/2016</t>
        </is>
      </c>
      <c r="C276" s="22" t="n">
        <v>20</v>
      </c>
      <c r="D276" s="22" t="inlineStr">
        <is>
          <t>S20</t>
        </is>
      </c>
      <c r="E276" s="22" t="inlineStr">
        <is>
          <t>Nexa Brandenburg (S20)</t>
        </is>
      </c>
      <c r="F276" s="22" t="inlineStr">
        <is>
          <t>Đức</t>
        </is>
      </c>
      <c r="G276" s="22" t="inlineStr">
        <is>
          <t>POS</t>
        </is>
      </c>
      <c r="H276" s="31" t="n">
        <v>1120</v>
      </c>
      <c r="I276" s="31" t="n">
        <v>0</v>
      </c>
      <c r="J276" s="31" t="n">
        <v>1120</v>
      </c>
      <c r="K276" s="31" t="n">
        <v>0</v>
      </c>
      <c r="L276" s="32" t="n">
        <v>1</v>
      </c>
      <c r="M276" s="32" t="n">
        <v>9</v>
      </c>
      <c r="N276" s="31" t="n">
        <v>1120</v>
      </c>
      <c r="O276" s="31" t="n">
        <v>1120</v>
      </c>
      <c r="P276" s="22" t="n">
        <v>0</v>
      </c>
      <c r="Q276" s="22" t="n">
        <v>0</v>
      </c>
      <c r="R276" s="22" t="n">
        <v>0</v>
      </c>
    </row>
    <row r="277">
      <c r="A277" s="22" t="n">
        <v>201607</v>
      </c>
      <c r="B277" s="22" t="inlineStr">
        <is>
          <t>07/2016</t>
        </is>
      </c>
      <c r="C277" s="22" t="n">
        <v>24</v>
      </c>
      <c r="D277" s="22" t="inlineStr">
        <is>
          <t>S24</t>
        </is>
      </c>
      <c r="E277" s="22" t="inlineStr">
        <is>
          <t>Nexa Hessen (S24)</t>
        </is>
      </c>
      <c r="F277" s="22" t="inlineStr">
        <is>
          <t>Đức</t>
        </is>
      </c>
      <c r="G277" s="22" t="inlineStr">
        <is>
          <t>POS</t>
        </is>
      </c>
      <c r="H277" s="31" t="n">
        <v>2278.48</v>
      </c>
      <c r="I277" s="31" t="n">
        <v>0</v>
      </c>
      <c r="J277" s="31" t="n">
        <v>2278.48</v>
      </c>
      <c r="K277" s="31" t="n">
        <v>0</v>
      </c>
      <c r="L277" s="32" t="n">
        <v>4</v>
      </c>
      <c r="M277" s="32" t="n">
        <v>36</v>
      </c>
      <c r="N277" s="31" t="n">
        <v>2278.48</v>
      </c>
      <c r="O277" s="31" t="n">
        <v>2278.48</v>
      </c>
      <c r="P277" s="22" t="n">
        <v>0</v>
      </c>
      <c r="Q277" s="22" t="n">
        <v>0</v>
      </c>
      <c r="R277" s="22" t="n">
        <v>0</v>
      </c>
    </row>
    <row r="278">
      <c r="A278" s="22" t="n">
        <v>201607</v>
      </c>
      <c r="B278" s="22" t="inlineStr">
        <is>
          <t>07/2016</t>
        </is>
      </c>
      <c r="C278" s="22" t="n">
        <v>27</v>
      </c>
      <c r="D278" s="22" t="inlineStr">
        <is>
          <t>S27</t>
        </is>
      </c>
      <c r="E278" s="22" t="inlineStr">
        <is>
          <t>Nexa Sachsen-Anhalt (S27)</t>
        </is>
      </c>
      <c r="F278" s="22" t="inlineStr">
        <is>
          <t>Đức</t>
        </is>
      </c>
      <c r="G278" s="22" t="inlineStr">
        <is>
          <t>POS</t>
        </is>
      </c>
      <c r="H278" s="31" t="n">
        <v>3477.36</v>
      </c>
      <c r="I278" s="31" t="n">
        <v>0</v>
      </c>
      <c r="J278" s="31" t="n">
        <v>3477.36</v>
      </c>
      <c r="K278" s="31" t="n">
        <v>0</v>
      </c>
      <c r="L278" s="32" t="n">
        <v>4</v>
      </c>
      <c r="M278" s="32" t="n">
        <v>23</v>
      </c>
      <c r="N278" s="31" t="n">
        <v>3477.36</v>
      </c>
      <c r="O278" s="31" t="n">
        <v>3477.36</v>
      </c>
      <c r="P278" s="22" t="n">
        <v>0</v>
      </c>
      <c r="Q278" s="22" t="n">
        <v>0</v>
      </c>
      <c r="R278" s="22" t="n">
        <v>0</v>
      </c>
    </row>
    <row r="279">
      <c r="A279" s="22" t="n">
        <v>201607</v>
      </c>
      <c r="B279" s="22" t="inlineStr">
        <is>
          <t>07/2016</t>
        </is>
      </c>
      <c r="C279" s="22" t="n">
        <v>28</v>
      </c>
      <c r="D279" s="22" t="inlineStr">
        <is>
          <t>S28</t>
        </is>
      </c>
      <c r="E279" s="22" t="inlineStr">
        <is>
          <t>Nexa Caltanissetta (S28)</t>
        </is>
      </c>
      <c r="F279" s="22" t="inlineStr">
        <is>
          <t>Ý</t>
        </is>
      </c>
      <c r="G279" s="22" t="inlineStr">
        <is>
          <t>POS</t>
        </is>
      </c>
      <c r="H279" s="31" t="n">
        <v>2715.96</v>
      </c>
      <c r="I279" s="31" t="n">
        <v>0</v>
      </c>
      <c r="J279" s="31" t="n">
        <v>2715.96</v>
      </c>
      <c r="K279" s="31" t="n">
        <v>0</v>
      </c>
      <c r="L279" s="32" t="n">
        <v>4</v>
      </c>
      <c r="M279" s="32" t="n">
        <v>14</v>
      </c>
      <c r="N279" s="31" t="n">
        <v>2715.96</v>
      </c>
      <c r="O279" s="31" t="n">
        <v>2715.96</v>
      </c>
      <c r="P279" s="22" t="n">
        <v>0</v>
      </c>
      <c r="Q279" s="22" t="n">
        <v>0</v>
      </c>
      <c r="R279" s="22" t="n">
        <v>0</v>
      </c>
    </row>
    <row r="280">
      <c r="A280" s="22" t="n">
        <v>201607</v>
      </c>
      <c r="B280" s="22" t="inlineStr">
        <is>
          <t>07/2016</t>
        </is>
      </c>
      <c r="C280" s="22" t="n">
        <v>29</v>
      </c>
      <c r="D280" s="22" t="inlineStr">
        <is>
          <t>S29</t>
        </is>
      </c>
      <c r="E280" s="22" t="inlineStr">
        <is>
          <t>Nexa Enna (S29)</t>
        </is>
      </c>
      <c r="F280" s="22" t="inlineStr">
        <is>
          <t>Ý</t>
        </is>
      </c>
      <c r="G280" s="22" t="inlineStr">
        <is>
          <t>POS</t>
        </is>
      </c>
      <c r="H280" s="31" t="n">
        <v>19726.39</v>
      </c>
      <c r="I280" s="31" t="n">
        <v>0</v>
      </c>
      <c r="J280" s="31" t="n">
        <v>19726.39</v>
      </c>
      <c r="K280" s="31" t="n">
        <v>109.99</v>
      </c>
      <c r="L280" s="32" t="n">
        <v>4</v>
      </c>
      <c r="M280" s="32" t="n">
        <v>44</v>
      </c>
      <c r="N280" s="31" t="n">
        <v>19616.4</v>
      </c>
      <c r="O280" s="31" t="n">
        <v>19726.39</v>
      </c>
      <c r="P280" s="22" t="n">
        <v>0</v>
      </c>
      <c r="Q280" s="22" t="n">
        <v>0</v>
      </c>
      <c r="R280" s="22" t="n">
        <v>0</v>
      </c>
    </row>
    <row r="281">
      <c r="A281" s="22" t="n">
        <v>201607</v>
      </c>
      <c r="B281" s="22" t="inlineStr">
        <is>
          <t>07/2016</t>
        </is>
      </c>
      <c r="C281" s="22" t="n">
        <v>30</v>
      </c>
      <c r="D281" s="22" t="inlineStr">
        <is>
          <t>S30</t>
        </is>
      </c>
      <c r="E281" s="22" t="inlineStr">
        <is>
          <t>Nexa Pesaro (S30)</t>
        </is>
      </c>
      <c r="F281" s="22" t="inlineStr">
        <is>
          <t>Ý</t>
        </is>
      </c>
      <c r="G281" s="22" t="inlineStr">
        <is>
          <t>POS</t>
        </is>
      </c>
      <c r="H281" s="31" t="n">
        <v>30217.26</v>
      </c>
      <c r="I281" s="31" t="n">
        <v>0</v>
      </c>
      <c r="J281" s="31" t="n">
        <v>30217.26</v>
      </c>
      <c r="K281" s="31" t="n">
        <v>0</v>
      </c>
      <c r="L281" s="32" t="n">
        <v>6</v>
      </c>
      <c r="M281" s="32" t="n">
        <v>45</v>
      </c>
      <c r="N281" s="31" t="n">
        <v>30217.26</v>
      </c>
      <c r="O281" s="31" t="n">
        <v>30217.26</v>
      </c>
      <c r="P281" s="22" t="n">
        <v>0</v>
      </c>
      <c r="Q281" s="22" t="n">
        <v>0</v>
      </c>
      <c r="R281" s="22" t="n">
        <v>0</v>
      </c>
    </row>
    <row r="282">
      <c r="A282" s="22" t="n">
        <v>201607</v>
      </c>
      <c r="B282" s="22" t="inlineStr">
        <is>
          <t>07/2016</t>
        </is>
      </c>
      <c r="C282" s="22" t="n">
        <v>31</v>
      </c>
      <c r="D282" s="22" t="inlineStr">
        <is>
          <t>S31</t>
        </is>
      </c>
      <c r="E282" s="22" t="inlineStr">
        <is>
          <t>Nexa Drenthe (S31)</t>
        </is>
      </c>
      <c r="F282" s="22" t="inlineStr">
        <is>
          <t>Hà Lan</t>
        </is>
      </c>
      <c r="G282" s="22" t="inlineStr">
        <is>
          <t>POS</t>
        </is>
      </c>
      <c r="H282" s="31" t="n">
        <v>4367.41</v>
      </c>
      <c r="I282" s="31" t="n">
        <v>0</v>
      </c>
      <c r="J282" s="31" t="n">
        <v>4367.41</v>
      </c>
      <c r="K282" s="31" t="n">
        <v>0</v>
      </c>
      <c r="L282" s="32" t="n">
        <v>3</v>
      </c>
      <c r="M282" s="32" t="n">
        <v>20</v>
      </c>
      <c r="N282" s="31" t="n">
        <v>4367.41</v>
      </c>
      <c r="O282" s="31" t="n">
        <v>4367.41</v>
      </c>
      <c r="P282" s="22" t="n">
        <v>0</v>
      </c>
      <c r="Q282" s="22" t="n">
        <v>0</v>
      </c>
      <c r="R282" s="22" t="n">
        <v>0</v>
      </c>
    </row>
    <row r="283">
      <c r="A283" s="22" t="n">
        <v>201607</v>
      </c>
      <c r="B283" s="22" t="inlineStr">
        <is>
          <t>07/2016</t>
        </is>
      </c>
      <c r="C283" s="22" t="n">
        <v>33</v>
      </c>
      <c r="D283" s="22" t="inlineStr">
        <is>
          <t>S33</t>
        </is>
      </c>
      <c r="E283" s="22" t="inlineStr">
        <is>
          <t>Nexa Friesland (S33)</t>
        </is>
      </c>
      <c r="F283" s="22" t="inlineStr">
        <is>
          <t>Hà Lan</t>
        </is>
      </c>
      <c r="G283" s="22" t="inlineStr">
        <is>
          <t>POS</t>
        </is>
      </c>
      <c r="H283" s="31" t="n">
        <v>1208.93</v>
      </c>
      <c r="I283" s="31" t="n">
        <v>0</v>
      </c>
      <c r="J283" s="31" t="n">
        <v>1208.93</v>
      </c>
      <c r="K283" s="31" t="n">
        <v>0</v>
      </c>
      <c r="L283" s="32" t="n">
        <v>1</v>
      </c>
      <c r="M283" s="32" t="n">
        <v>4</v>
      </c>
      <c r="N283" s="31" t="n">
        <v>1208.93</v>
      </c>
      <c r="O283" s="31" t="n">
        <v>1208.93</v>
      </c>
      <c r="P283" s="22" t="n">
        <v>0</v>
      </c>
      <c r="Q283" s="22" t="n">
        <v>0</v>
      </c>
      <c r="R283" s="22" t="n">
        <v>0</v>
      </c>
    </row>
    <row r="284">
      <c r="A284" s="22" t="n">
        <v>201607</v>
      </c>
      <c r="B284" s="22" t="inlineStr">
        <is>
          <t>07/2016</t>
        </is>
      </c>
      <c r="C284" s="22" t="n">
        <v>34</v>
      </c>
      <c r="D284" s="22" t="inlineStr">
        <is>
          <t>S34</t>
        </is>
      </c>
      <c r="E284" s="22" t="inlineStr">
        <is>
          <t>Nexa Groningen (S34)</t>
        </is>
      </c>
      <c r="F284" s="22" t="inlineStr">
        <is>
          <t>Hà Lan</t>
        </is>
      </c>
      <c r="G284" s="22" t="inlineStr">
        <is>
          <t>POS</t>
        </is>
      </c>
      <c r="H284" s="31" t="n">
        <v>9634</v>
      </c>
      <c r="I284" s="31" t="n">
        <v>0</v>
      </c>
      <c r="J284" s="31" t="n">
        <v>9634</v>
      </c>
      <c r="K284" s="31" t="n">
        <v>0</v>
      </c>
      <c r="L284" s="32" t="n">
        <v>1</v>
      </c>
      <c r="M284" s="32" t="n">
        <v>11</v>
      </c>
      <c r="N284" s="31" t="n">
        <v>9634</v>
      </c>
      <c r="O284" s="31" t="n">
        <v>9634</v>
      </c>
      <c r="P284" s="22" t="n">
        <v>1</v>
      </c>
      <c r="Q284" s="22" t="n">
        <v>0</v>
      </c>
      <c r="R284" s="22" t="n">
        <v>0</v>
      </c>
    </row>
    <row r="285">
      <c r="A285" s="22" t="n">
        <v>201607</v>
      </c>
      <c r="B285" s="22" t="inlineStr">
        <is>
          <t>07/2016</t>
        </is>
      </c>
      <c r="C285" s="22" t="n">
        <v>36</v>
      </c>
      <c r="D285" s="22" t="inlineStr">
        <is>
          <t>S36</t>
        </is>
      </c>
      <c r="E285" s="22" t="inlineStr">
        <is>
          <t>Nexa Armagh (S36)</t>
        </is>
      </c>
      <c r="F285" s="22" t="inlineStr">
        <is>
          <t>Anh</t>
        </is>
      </c>
      <c r="G285" s="22" t="inlineStr">
        <is>
          <t>POS</t>
        </is>
      </c>
      <c r="H285" s="31" t="n">
        <v>598</v>
      </c>
      <c r="I285" s="31" t="n">
        <v>0</v>
      </c>
      <c r="J285" s="31" t="n">
        <v>598</v>
      </c>
      <c r="K285" s="31" t="n">
        <v>0</v>
      </c>
      <c r="L285" s="32" t="n">
        <v>1</v>
      </c>
      <c r="M285" s="32" t="n">
        <v>2</v>
      </c>
      <c r="N285" s="31" t="n">
        <v>598</v>
      </c>
      <c r="O285" s="31" t="n">
        <v>598</v>
      </c>
      <c r="P285" s="22" t="n">
        <v>0</v>
      </c>
      <c r="Q285" s="22" t="n">
        <v>0</v>
      </c>
      <c r="R285" s="22" t="n">
        <v>0</v>
      </c>
    </row>
    <row r="286">
      <c r="A286" s="22" t="n">
        <v>201607</v>
      </c>
      <c r="B286" s="22" t="inlineStr">
        <is>
          <t>07/2016</t>
        </is>
      </c>
      <c r="C286" s="22" t="n">
        <v>37</v>
      </c>
      <c r="D286" s="22" t="inlineStr">
        <is>
          <t>S37</t>
        </is>
      </c>
      <c r="E286" s="22" t="inlineStr">
        <is>
          <t>Nexa Ayrshire (S37)</t>
        </is>
      </c>
      <c r="F286" s="22" t="inlineStr">
        <is>
          <t>Anh</t>
        </is>
      </c>
      <c r="G286" s="22" t="inlineStr">
        <is>
          <t>POS</t>
        </is>
      </c>
      <c r="H286" s="31" t="n">
        <v>2808.2</v>
      </c>
      <c r="I286" s="31" t="n">
        <v>0</v>
      </c>
      <c r="J286" s="31" t="n">
        <v>2808.2</v>
      </c>
      <c r="K286" s="31" t="n">
        <v>299</v>
      </c>
      <c r="L286" s="32" t="n">
        <v>3</v>
      </c>
      <c r="M286" s="32" t="n">
        <v>9</v>
      </c>
      <c r="N286" s="31" t="n">
        <v>2509.2</v>
      </c>
      <c r="O286" s="31" t="n">
        <v>2808.2</v>
      </c>
      <c r="P286" s="22" t="n">
        <v>1</v>
      </c>
      <c r="Q286" s="22" t="n">
        <v>0</v>
      </c>
      <c r="R286" s="22" t="n">
        <v>0</v>
      </c>
    </row>
    <row r="287">
      <c r="A287" s="22" t="n">
        <v>201607</v>
      </c>
      <c r="B287" s="22" t="inlineStr">
        <is>
          <t>07/2016</t>
        </is>
      </c>
      <c r="C287" s="22" t="n">
        <v>38</v>
      </c>
      <c r="D287" s="22" t="inlineStr">
        <is>
          <t>S38</t>
        </is>
      </c>
      <c r="E287" s="22" t="inlineStr">
        <is>
          <t>Nexa Belfast (S38)</t>
        </is>
      </c>
      <c r="F287" s="22" t="inlineStr">
        <is>
          <t>Anh</t>
        </is>
      </c>
      <c r="G287" s="22" t="inlineStr">
        <is>
          <t>POS</t>
        </is>
      </c>
      <c r="H287" s="31" t="n">
        <v>15056.77</v>
      </c>
      <c r="I287" s="31" t="n">
        <v>0</v>
      </c>
      <c r="J287" s="31" t="n">
        <v>15056.77</v>
      </c>
      <c r="K287" s="31" t="n">
        <v>1402.99</v>
      </c>
      <c r="L287" s="32" t="n">
        <v>4</v>
      </c>
      <c r="M287" s="32" t="n">
        <v>46</v>
      </c>
      <c r="N287" s="31" t="n">
        <v>13653.78</v>
      </c>
      <c r="O287" s="31" t="n">
        <v>15056.77</v>
      </c>
      <c r="P287" s="22" t="n">
        <v>0</v>
      </c>
      <c r="Q287" s="22" t="n">
        <v>0</v>
      </c>
      <c r="R287" s="22" t="n">
        <v>0</v>
      </c>
    </row>
    <row r="288">
      <c r="A288" s="22" t="n">
        <v>201607</v>
      </c>
      <c r="B288" s="22" t="inlineStr">
        <is>
          <t>07/2016</t>
        </is>
      </c>
      <c r="C288" s="22" t="n">
        <v>39</v>
      </c>
      <c r="D288" s="22" t="inlineStr">
        <is>
          <t>S39</t>
        </is>
      </c>
      <c r="E288" s="22" t="inlineStr">
        <is>
          <t>Nexa Blaenau Gwent (S39)</t>
        </is>
      </c>
      <c r="F288" s="22" t="inlineStr">
        <is>
          <t>Anh</t>
        </is>
      </c>
      <c r="G288" s="22" t="inlineStr">
        <is>
          <t>POS</t>
        </is>
      </c>
      <c r="H288" s="31" t="n">
        <v>2886.86</v>
      </c>
      <c r="I288" s="31" t="n">
        <v>0</v>
      </c>
      <c r="J288" s="31" t="n">
        <v>2886.86</v>
      </c>
      <c r="K288" s="31" t="n">
        <v>0</v>
      </c>
      <c r="L288" s="32" t="n">
        <v>1</v>
      </c>
      <c r="M288" s="32" t="n">
        <v>11</v>
      </c>
      <c r="N288" s="31" t="n">
        <v>2886.86</v>
      </c>
      <c r="O288" s="31" t="n">
        <v>2886.86</v>
      </c>
      <c r="P288" s="22" t="n">
        <v>0</v>
      </c>
      <c r="Q288" s="22" t="n">
        <v>0</v>
      </c>
      <c r="R288" s="22" t="n">
        <v>0</v>
      </c>
    </row>
    <row r="289">
      <c r="A289" s="22" t="n">
        <v>201607</v>
      </c>
      <c r="B289" s="22" t="inlineStr">
        <is>
          <t>07/2016</t>
        </is>
      </c>
      <c r="C289" s="22" t="n">
        <v>40</v>
      </c>
      <c r="D289" s="22" t="inlineStr">
        <is>
          <t>S40</t>
        </is>
      </c>
      <c r="E289" s="22" t="inlineStr">
        <is>
          <t>Nexa Dungannon and South Tyrone (S40)</t>
        </is>
      </c>
      <c r="F289" s="22" t="inlineStr">
        <is>
          <t>Anh</t>
        </is>
      </c>
      <c r="G289" s="22" t="inlineStr">
        <is>
          <t>POS</t>
        </is>
      </c>
      <c r="H289" s="31" t="n">
        <v>6335.01</v>
      </c>
      <c r="I289" s="31" t="n">
        <v>0</v>
      </c>
      <c r="J289" s="31" t="n">
        <v>6335.01</v>
      </c>
      <c r="K289" s="31" t="n">
        <v>299.99</v>
      </c>
      <c r="L289" s="32" t="n">
        <v>3</v>
      </c>
      <c r="M289" s="32" t="n">
        <v>36</v>
      </c>
      <c r="N289" s="31" t="n">
        <v>6035.02</v>
      </c>
      <c r="O289" s="31" t="n">
        <v>6335.01</v>
      </c>
      <c r="P289" s="22" t="n">
        <v>1</v>
      </c>
      <c r="Q289" s="22" t="n">
        <v>0</v>
      </c>
      <c r="R289" s="22" t="n">
        <v>0</v>
      </c>
    </row>
    <row r="290">
      <c r="A290" s="22" t="n">
        <v>201607</v>
      </c>
      <c r="B290" s="22" t="inlineStr">
        <is>
          <t>07/2016</t>
        </is>
      </c>
      <c r="C290" s="22" t="n">
        <v>41</v>
      </c>
      <c r="D290" s="22" t="inlineStr">
        <is>
          <t>S41</t>
        </is>
      </c>
      <c r="E290" s="22" t="inlineStr">
        <is>
          <t>Nexa Fermanagh (S41)</t>
        </is>
      </c>
      <c r="F290" s="22" t="inlineStr">
        <is>
          <t>Anh</t>
        </is>
      </c>
      <c r="G290" s="22" t="inlineStr">
        <is>
          <t>POS</t>
        </is>
      </c>
      <c r="H290" s="31" t="n">
        <v>9059.17</v>
      </c>
      <c r="I290" s="31" t="n">
        <v>0</v>
      </c>
      <c r="J290" s="31" t="n">
        <v>9059.17</v>
      </c>
      <c r="K290" s="31" t="n">
        <v>0</v>
      </c>
      <c r="L290" s="32" t="n">
        <v>3</v>
      </c>
      <c r="M290" s="32" t="n">
        <v>26</v>
      </c>
      <c r="N290" s="31" t="n">
        <v>9059.17</v>
      </c>
      <c r="O290" s="31" t="n">
        <v>9059.17</v>
      </c>
      <c r="P290" s="22" t="n">
        <v>1</v>
      </c>
      <c r="Q290" s="22" t="n">
        <v>0</v>
      </c>
      <c r="R290" s="22" t="n">
        <v>0</v>
      </c>
    </row>
    <row r="291">
      <c r="A291" s="22" t="n">
        <v>201607</v>
      </c>
      <c r="B291" s="22" t="inlineStr">
        <is>
          <t>07/2016</t>
        </is>
      </c>
      <c r="C291" s="22" t="n">
        <v>42</v>
      </c>
      <c r="D291" s="22" t="inlineStr">
        <is>
          <t>S42</t>
        </is>
      </c>
      <c r="E291" s="22" t="inlineStr">
        <is>
          <t>Nexa North Down (S42)</t>
        </is>
      </c>
      <c r="F291" s="22" t="inlineStr">
        <is>
          <t>Anh</t>
        </is>
      </c>
      <c r="G291" s="22" t="inlineStr">
        <is>
          <t>POS</t>
        </is>
      </c>
      <c r="H291" s="31" t="n">
        <v>10681.81</v>
      </c>
      <c r="I291" s="31" t="n">
        <v>0</v>
      </c>
      <c r="J291" s="31" t="n">
        <v>10681.81</v>
      </c>
      <c r="K291" s="31" t="n">
        <v>2632.5</v>
      </c>
      <c r="L291" s="32" t="n">
        <v>2</v>
      </c>
      <c r="M291" s="32" t="n">
        <v>29</v>
      </c>
      <c r="N291" s="31" t="n">
        <v>8049.31</v>
      </c>
      <c r="O291" s="31" t="n">
        <v>10681.81</v>
      </c>
      <c r="P291" s="22" t="n">
        <v>0</v>
      </c>
      <c r="Q291" s="22" t="n">
        <v>0</v>
      </c>
      <c r="R291" s="22" t="n">
        <v>0</v>
      </c>
    </row>
    <row r="292">
      <c r="A292" s="22" t="n">
        <v>201607</v>
      </c>
      <c r="B292" s="22" t="inlineStr">
        <is>
          <t>07/2016</t>
        </is>
      </c>
      <c r="C292" s="22" t="n">
        <v>43</v>
      </c>
      <c r="D292" s="22" t="inlineStr">
        <is>
          <t>S43</t>
        </is>
      </c>
      <c r="E292" s="22" t="inlineStr">
        <is>
          <t>Nexa Alaska (S43)</t>
        </is>
      </c>
      <c r="F292" s="22" t="inlineStr">
        <is>
          <t>Mỹ</t>
        </is>
      </c>
      <c r="G292" s="22" t="inlineStr">
        <is>
          <t>POS</t>
        </is>
      </c>
      <c r="H292" s="31" t="n">
        <v>10160.32</v>
      </c>
      <c r="I292" s="31" t="n">
        <v>0</v>
      </c>
      <c r="J292" s="31" t="n">
        <v>10160.32</v>
      </c>
      <c r="K292" s="31" t="n">
        <v>34.4</v>
      </c>
      <c r="L292" s="32" t="n">
        <v>3</v>
      </c>
      <c r="M292" s="32" t="n">
        <v>20</v>
      </c>
      <c r="N292" s="31" t="n">
        <v>10125.92</v>
      </c>
      <c r="O292" s="31" t="n">
        <v>10160.32</v>
      </c>
      <c r="P292" s="22" t="n">
        <v>0</v>
      </c>
      <c r="Q292" s="22" t="n">
        <v>0</v>
      </c>
      <c r="R292" s="22" t="n">
        <v>0</v>
      </c>
    </row>
    <row r="293">
      <c r="A293" s="22" t="n">
        <v>201607</v>
      </c>
      <c r="B293" s="22" t="inlineStr">
        <is>
          <t>07/2016</t>
        </is>
      </c>
      <c r="C293" s="22" t="n">
        <v>44</v>
      </c>
      <c r="D293" s="22" t="inlineStr">
        <is>
          <t>S44</t>
        </is>
      </c>
      <c r="E293" s="22" t="inlineStr">
        <is>
          <t>Nexa Arkansas (S44)</t>
        </is>
      </c>
      <c r="F293" s="22" t="inlineStr">
        <is>
          <t>Mỹ</t>
        </is>
      </c>
      <c r="G293" s="22" t="inlineStr">
        <is>
          <t>POS</t>
        </is>
      </c>
      <c r="H293" s="31" t="n">
        <v>4295.96</v>
      </c>
      <c r="I293" s="31" t="n">
        <v>0</v>
      </c>
      <c r="J293" s="31" t="n">
        <v>4295.96</v>
      </c>
      <c r="K293" s="31" t="n">
        <v>0</v>
      </c>
      <c r="L293" s="32" t="n">
        <v>5</v>
      </c>
      <c r="M293" s="32" t="n">
        <v>33</v>
      </c>
      <c r="N293" s="31" t="n">
        <v>4295.96</v>
      </c>
      <c r="O293" s="31" t="n">
        <v>4295.96</v>
      </c>
      <c r="P293" s="22" t="n">
        <v>0</v>
      </c>
      <c r="Q293" s="22" t="n">
        <v>0</v>
      </c>
      <c r="R293" s="22" t="n">
        <v>0</v>
      </c>
    </row>
    <row r="294">
      <c r="A294" s="22" t="n">
        <v>201607</v>
      </c>
      <c r="B294" s="22" t="inlineStr">
        <is>
          <t>07/2016</t>
        </is>
      </c>
      <c r="C294" s="22" t="n">
        <v>45</v>
      </c>
      <c r="D294" s="22" t="inlineStr">
        <is>
          <t>S45</t>
        </is>
      </c>
      <c r="E294" s="22" t="inlineStr">
        <is>
          <t>Nexa Connecticut (S45)</t>
        </is>
      </c>
      <c r="F294" s="22" t="inlineStr">
        <is>
          <t>Mỹ</t>
        </is>
      </c>
      <c r="G294" s="22" t="inlineStr">
        <is>
          <t>POS</t>
        </is>
      </c>
      <c r="H294" s="31" t="n">
        <v>5386.73</v>
      </c>
      <c r="I294" s="31" t="n">
        <v>0</v>
      </c>
      <c r="J294" s="31" t="n">
        <v>5386.73</v>
      </c>
      <c r="K294" s="31" t="n">
        <v>0</v>
      </c>
      <c r="L294" s="32" t="n">
        <v>4</v>
      </c>
      <c r="M294" s="32" t="n">
        <v>15</v>
      </c>
      <c r="N294" s="31" t="n">
        <v>5386.73</v>
      </c>
      <c r="O294" s="31" t="n">
        <v>5386.73</v>
      </c>
      <c r="P294" s="22" t="n">
        <v>0</v>
      </c>
      <c r="Q294" s="22" t="n">
        <v>0</v>
      </c>
      <c r="R294" s="22" t="n">
        <v>0</v>
      </c>
    </row>
    <row r="295">
      <c r="A295" s="22" t="n">
        <v>201607</v>
      </c>
      <c r="B295" s="22" t="inlineStr">
        <is>
          <t>07/2016</t>
        </is>
      </c>
      <c r="C295" s="22" t="n">
        <v>47</v>
      </c>
      <c r="D295" s="22" t="inlineStr">
        <is>
          <t>S47</t>
        </is>
      </c>
      <c r="E295" s="22" t="inlineStr">
        <is>
          <t>Nexa Hawaii (S47)</t>
        </is>
      </c>
      <c r="F295" s="22" t="inlineStr">
        <is>
          <t>Mỹ</t>
        </is>
      </c>
      <c r="G295" s="22" t="inlineStr">
        <is>
          <t>POS</t>
        </is>
      </c>
      <c r="H295" s="31" t="n">
        <v>11033.07</v>
      </c>
      <c r="I295" s="31" t="n">
        <v>0</v>
      </c>
      <c r="J295" s="31" t="n">
        <v>11033.07</v>
      </c>
      <c r="K295" s="31" t="n">
        <v>0</v>
      </c>
      <c r="L295" s="32" t="n">
        <v>5</v>
      </c>
      <c r="M295" s="32" t="n">
        <v>42</v>
      </c>
      <c r="N295" s="31" t="n">
        <v>11033.07</v>
      </c>
      <c r="O295" s="31" t="n">
        <v>11033.07</v>
      </c>
      <c r="P295" s="22" t="n">
        <v>0</v>
      </c>
      <c r="Q295" s="22" t="n">
        <v>0</v>
      </c>
      <c r="R295" s="22" t="n">
        <v>0</v>
      </c>
    </row>
    <row r="296">
      <c r="A296" s="22" t="n">
        <v>201607</v>
      </c>
      <c r="B296" s="22" t="inlineStr">
        <is>
          <t>07/2016</t>
        </is>
      </c>
      <c r="C296" s="22" t="n">
        <v>48</v>
      </c>
      <c r="D296" s="22" t="inlineStr">
        <is>
          <t>S48</t>
        </is>
      </c>
      <c r="E296" s="22" t="inlineStr">
        <is>
          <t>Nexa Idaho (S48)</t>
        </is>
      </c>
      <c r="F296" s="22" t="inlineStr">
        <is>
          <t>Mỹ</t>
        </is>
      </c>
      <c r="G296" s="22" t="inlineStr">
        <is>
          <t>POS</t>
        </is>
      </c>
      <c r="H296" s="31" t="n">
        <v>13668.53</v>
      </c>
      <c r="I296" s="31" t="n">
        <v>0</v>
      </c>
      <c r="J296" s="31" t="n">
        <v>13668.53</v>
      </c>
      <c r="K296" s="31" t="n">
        <v>496.99</v>
      </c>
      <c r="L296" s="32" t="n">
        <v>6</v>
      </c>
      <c r="M296" s="32" t="n">
        <v>64</v>
      </c>
      <c r="N296" s="31" t="n">
        <v>13171.54</v>
      </c>
      <c r="O296" s="31" t="n">
        <v>13668.53</v>
      </c>
      <c r="P296" s="22" t="n">
        <v>0</v>
      </c>
      <c r="Q296" s="22" t="n">
        <v>0</v>
      </c>
      <c r="R296" s="22" t="n">
        <v>0</v>
      </c>
    </row>
    <row r="297">
      <c r="A297" s="22" t="n">
        <v>201607</v>
      </c>
      <c r="B297" s="22" t="inlineStr">
        <is>
          <t>07/2016</t>
        </is>
      </c>
      <c r="C297" s="22" t="n">
        <v>50</v>
      </c>
      <c r="D297" s="22" t="inlineStr">
        <is>
          <t>S50</t>
        </is>
      </c>
      <c r="E297" s="22" t="inlineStr">
        <is>
          <t>Nexa Kansas (S50)</t>
        </is>
      </c>
      <c r="F297" s="22" t="inlineStr">
        <is>
          <t>Mỹ</t>
        </is>
      </c>
      <c r="G297" s="22" t="inlineStr">
        <is>
          <t>POS</t>
        </is>
      </c>
      <c r="H297" s="31" t="n">
        <v>0</v>
      </c>
      <c r="I297" s="31" t="n">
        <v>0</v>
      </c>
      <c r="J297" s="31" t="n">
        <v>0</v>
      </c>
      <c r="K297" s="31" t="n">
        <v>0</v>
      </c>
      <c r="L297" s="32" t="n">
        <v>0</v>
      </c>
      <c r="M297" s="32" t="n">
        <v>0</v>
      </c>
      <c r="N297" s="31" t="n">
        <v>0</v>
      </c>
      <c r="O297" s="31" t="n">
        <v>0</v>
      </c>
      <c r="P297" s="22" t="n">
        <v>2</v>
      </c>
      <c r="Q297" s="22" t="n">
        <v>0</v>
      </c>
      <c r="R297" s="22" t="n">
        <v>0</v>
      </c>
    </row>
    <row r="298">
      <c r="A298" s="22" t="n">
        <v>201607</v>
      </c>
      <c r="B298" s="22" t="inlineStr">
        <is>
          <t>07/2016</t>
        </is>
      </c>
      <c r="C298" s="22" t="n">
        <v>51</v>
      </c>
      <c r="D298" s="22" t="inlineStr">
        <is>
          <t>S51</t>
        </is>
      </c>
      <c r="E298" s="22" t="inlineStr">
        <is>
          <t>Nexa Maine (S51)</t>
        </is>
      </c>
      <c r="F298" s="22" t="inlineStr">
        <is>
          <t>Mỹ</t>
        </is>
      </c>
      <c r="G298" s="22" t="inlineStr">
        <is>
          <t>POS</t>
        </is>
      </c>
      <c r="H298" s="31" t="n">
        <v>9760.58</v>
      </c>
      <c r="I298" s="31" t="n">
        <v>0</v>
      </c>
      <c r="J298" s="31" t="n">
        <v>9760.58</v>
      </c>
      <c r="K298" s="31" t="n">
        <v>0</v>
      </c>
      <c r="L298" s="32" t="n">
        <v>7</v>
      </c>
      <c r="M298" s="32" t="n">
        <v>54</v>
      </c>
      <c r="N298" s="31" t="n">
        <v>9760.58</v>
      </c>
      <c r="O298" s="31" t="n">
        <v>9760.58</v>
      </c>
      <c r="P298" s="22" t="n">
        <v>0</v>
      </c>
      <c r="Q298" s="22" t="n">
        <v>0</v>
      </c>
      <c r="R298" s="22" t="n">
        <v>0</v>
      </c>
    </row>
    <row r="299">
      <c r="A299" s="22" t="n">
        <v>201607</v>
      </c>
      <c r="B299" s="22" t="inlineStr">
        <is>
          <t>07/2016</t>
        </is>
      </c>
      <c r="C299" s="22" t="n">
        <v>53</v>
      </c>
      <c r="D299" s="22" t="inlineStr">
        <is>
          <t>S53</t>
        </is>
      </c>
      <c r="E299" s="22" t="inlineStr">
        <is>
          <t>Nexa Montana (S53)</t>
        </is>
      </c>
      <c r="F299" s="22" t="inlineStr">
        <is>
          <t>Mỹ</t>
        </is>
      </c>
      <c r="G299" s="22" t="inlineStr">
        <is>
          <t>POS</t>
        </is>
      </c>
      <c r="H299" s="31" t="n">
        <v>7192.59</v>
      </c>
      <c r="I299" s="31" t="n">
        <v>0</v>
      </c>
      <c r="J299" s="31" t="n">
        <v>7192.59</v>
      </c>
      <c r="K299" s="31" t="n">
        <v>0</v>
      </c>
      <c r="L299" s="32" t="n">
        <v>7</v>
      </c>
      <c r="M299" s="32" t="n">
        <v>37</v>
      </c>
      <c r="N299" s="31" t="n">
        <v>7192.59</v>
      </c>
      <c r="O299" s="31" t="n">
        <v>7192.59</v>
      </c>
      <c r="P299" s="22" t="n">
        <v>0</v>
      </c>
      <c r="Q299" s="22" t="n">
        <v>0</v>
      </c>
      <c r="R299" s="22" t="n">
        <v>0</v>
      </c>
    </row>
    <row r="300">
      <c r="A300" s="22" t="n">
        <v>201607</v>
      </c>
      <c r="B300" s="22" t="inlineStr">
        <is>
          <t>07/2016</t>
        </is>
      </c>
      <c r="C300" s="22" t="n">
        <v>54</v>
      </c>
      <c r="D300" s="22" t="inlineStr">
        <is>
          <t>S54</t>
        </is>
      </c>
      <c r="E300" s="22" t="inlineStr">
        <is>
          <t>Nexa Nebraska (S54)</t>
        </is>
      </c>
      <c r="F300" s="22" t="inlineStr">
        <is>
          <t>Mỹ</t>
        </is>
      </c>
      <c r="G300" s="22" t="inlineStr">
        <is>
          <t>POS</t>
        </is>
      </c>
      <c r="H300" s="31" t="n">
        <v>11299.42</v>
      </c>
      <c r="I300" s="31" t="n">
        <v>0</v>
      </c>
      <c r="J300" s="31" t="n">
        <v>11299.42</v>
      </c>
      <c r="K300" s="31" t="n">
        <v>296</v>
      </c>
      <c r="L300" s="32" t="n">
        <v>9</v>
      </c>
      <c r="M300" s="32" t="n">
        <v>57</v>
      </c>
      <c r="N300" s="31" t="n">
        <v>11003.42</v>
      </c>
      <c r="O300" s="31" t="n">
        <v>11299.42</v>
      </c>
      <c r="P300" s="22" t="n">
        <v>0</v>
      </c>
      <c r="Q300" s="22" t="n">
        <v>0</v>
      </c>
      <c r="R300" s="22" t="n">
        <v>0</v>
      </c>
    </row>
    <row r="301">
      <c r="A301" s="22" t="n">
        <v>201607</v>
      </c>
      <c r="B301" s="22" t="inlineStr">
        <is>
          <t>07/2016</t>
        </is>
      </c>
      <c r="C301" s="22" t="n">
        <v>55</v>
      </c>
      <c r="D301" s="22" t="inlineStr">
        <is>
          <t>S55</t>
        </is>
      </c>
      <c r="E301" s="22" t="inlineStr">
        <is>
          <t>Nexa Nevada (S55)</t>
        </is>
      </c>
      <c r="F301" s="22" t="inlineStr">
        <is>
          <t>Mỹ</t>
        </is>
      </c>
      <c r="G301" s="22" t="inlineStr">
        <is>
          <t>POS</t>
        </is>
      </c>
      <c r="H301" s="31" t="n">
        <v>2268.79</v>
      </c>
      <c r="I301" s="31" t="n">
        <v>0</v>
      </c>
      <c r="J301" s="31" t="n">
        <v>2268.79</v>
      </c>
      <c r="K301" s="31" t="n">
        <v>0</v>
      </c>
      <c r="L301" s="32" t="n">
        <v>2</v>
      </c>
      <c r="M301" s="32" t="n">
        <v>13</v>
      </c>
      <c r="N301" s="31" t="n">
        <v>2268.79</v>
      </c>
      <c r="O301" s="31" t="n">
        <v>2268.79</v>
      </c>
      <c r="P301" s="22" t="n">
        <v>0</v>
      </c>
      <c r="Q301" s="22" t="n">
        <v>0</v>
      </c>
      <c r="R301" s="22" t="n">
        <v>0</v>
      </c>
    </row>
    <row r="302">
      <c r="A302" s="22" t="n">
        <v>201607</v>
      </c>
      <c r="B302" s="22" t="inlineStr">
        <is>
          <t>07/2016</t>
        </is>
      </c>
      <c r="C302" s="22" t="n">
        <v>56</v>
      </c>
      <c r="D302" s="22" t="inlineStr">
        <is>
          <t>S56</t>
        </is>
      </c>
      <c r="E302" s="22" t="inlineStr">
        <is>
          <t>Nexa New Hampshire (S56)</t>
        </is>
      </c>
      <c r="F302" s="22" t="inlineStr">
        <is>
          <t>Mỹ</t>
        </is>
      </c>
      <c r="G302" s="22" t="inlineStr">
        <is>
          <t>POS</t>
        </is>
      </c>
      <c r="H302" s="31" t="n">
        <v>11558.93</v>
      </c>
      <c r="I302" s="31" t="n">
        <v>0</v>
      </c>
      <c r="J302" s="31" t="n">
        <v>11558.93</v>
      </c>
      <c r="K302" s="31" t="n">
        <v>0</v>
      </c>
      <c r="L302" s="32" t="n">
        <v>8</v>
      </c>
      <c r="M302" s="32" t="n">
        <v>56</v>
      </c>
      <c r="N302" s="31" t="n">
        <v>11558.93</v>
      </c>
      <c r="O302" s="31" t="n">
        <v>11558.93</v>
      </c>
      <c r="P302" s="22" t="n">
        <v>0</v>
      </c>
      <c r="Q302" s="22" t="n">
        <v>0</v>
      </c>
      <c r="R302" s="22" t="n">
        <v>0</v>
      </c>
    </row>
    <row r="303">
      <c r="A303" s="22" t="n">
        <v>201607</v>
      </c>
      <c r="B303" s="22" t="inlineStr">
        <is>
          <t>07/2016</t>
        </is>
      </c>
      <c r="C303" s="22" t="n">
        <v>57</v>
      </c>
      <c r="D303" s="22" t="inlineStr">
        <is>
          <t>S57</t>
        </is>
      </c>
      <c r="E303" s="22" t="inlineStr">
        <is>
          <t>Nexa New Mexico (S57)</t>
        </is>
      </c>
      <c r="F303" s="22" t="inlineStr">
        <is>
          <t>Mỹ</t>
        </is>
      </c>
      <c r="G303" s="22" t="inlineStr">
        <is>
          <t>POS</t>
        </is>
      </c>
      <c r="H303" s="31" t="n">
        <v>8649.190000000001</v>
      </c>
      <c r="I303" s="31" t="n">
        <v>0</v>
      </c>
      <c r="J303" s="31" t="n">
        <v>8649.190000000001</v>
      </c>
      <c r="K303" s="31" t="n">
        <v>0</v>
      </c>
      <c r="L303" s="32" t="n">
        <v>4</v>
      </c>
      <c r="M303" s="32" t="n">
        <v>35</v>
      </c>
      <c r="N303" s="31" t="n">
        <v>8649.190000000001</v>
      </c>
      <c r="O303" s="31" t="n">
        <v>8649.190000000001</v>
      </c>
      <c r="P303" s="22" t="n">
        <v>0</v>
      </c>
      <c r="Q303" s="22" t="n">
        <v>0</v>
      </c>
      <c r="R303" s="22" t="n">
        <v>0</v>
      </c>
    </row>
    <row r="304">
      <c r="A304" s="22" t="n">
        <v>201607</v>
      </c>
      <c r="B304" s="22" t="inlineStr">
        <is>
          <t>07/2016</t>
        </is>
      </c>
      <c r="C304" s="22" t="n">
        <v>59</v>
      </c>
      <c r="D304" s="22" t="inlineStr">
        <is>
          <t>S59</t>
        </is>
      </c>
      <c r="E304" s="22" t="inlineStr">
        <is>
          <t>Nexa Oregon (S59)</t>
        </is>
      </c>
      <c r="F304" s="22" t="inlineStr">
        <is>
          <t>Mỹ</t>
        </is>
      </c>
      <c r="G304" s="22" t="inlineStr">
        <is>
          <t>POS</t>
        </is>
      </c>
      <c r="H304" s="31" t="n">
        <v>17770.68</v>
      </c>
      <c r="I304" s="31" t="n">
        <v>0</v>
      </c>
      <c r="J304" s="31" t="n">
        <v>17770.68</v>
      </c>
      <c r="K304" s="31" t="n">
        <v>0</v>
      </c>
      <c r="L304" s="32" t="n">
        <v>8</v>
      </c>
      <c r="M304" s="32" t="n">
        <v>51</v>
      </c>
      <c r="N304" s="31" t="n">
        <v>17770.68</v>
      </c>
      <c r="O304" s="31" t="n">
        <v>17770.68</v>
      </c>
      <c r="P304" s="22" t="n">
        <v>0</v>
      </c>
      <c r="Q304" s="22" t="n">
        <v>0</v>
      </c>
      <c r="R304" s="22" t="n">
        <v>0</v>
      </c>
    </row>
    <row r="305">
      <c r="A305" s="22" t="n">
        <v>201607</v>
      </c>
      <c r="B305" s="22" t="inlineStr">
        <is>
          <t>07/2016</t>
        </is>
      </c>
      <c r="C305" s="22" t="n">
        <v>61</v>
      </c>
      <c r="D305" s="22" t="inlineStr">
        <is>
          <t>S61</t>
        </is>
      </c>
      <c r="E305" s="22" t="inlineStr">
        <is>
          <t>Nexa South Carolina (S61)</t>
        </is>
      </c>
      <c r="F305" s="22" t="inlineStr">
        <is>
          <t>Mỹ</t>
        </is>
      </c>
      <c r="G305" s="22" t="inlineStr">
        <is>
          <t>POS</t>
        </is>
      </c>
      <c r="H305" s="31" t="n">
        <v>2246.54</v>
      </c>
      <c r="I305" s="31" t="n">
        <v>0</v>
      </c>
      <c r="J305" s="31" t="n">
        <v>2246.54</v>
      </c>
      <c r="K305" s="31" t="n">
        <v>210.39</v>
      </c>
      <c r="L305" s="32" t="n">
        <v>3</v>
      </c>
      <c r="M305" s="32" t="n">
        <v>30</v>
      </c>
      <c r="N305" s="31" t="n">
        <v>2036.15</v>
      </c>
      <c r="O305" s="31" t="n">
        <v>2246.54</v>
      </c>
      <c r="P305" s="22" t="n">
        <v>0</v>
      </c>
      <c r="Q305" s="22" t="n">
        <v>0</v>
      </c>
      <c r="R305" s="22" t="n">
        <v>0</v>
      </c>
    </row>
    <row r="306">
      <c r="A306" s="22" t="n">
        <v>201607</v>
      </c>
      <c r="B306" s="22" t="inlineStr">
        <is>
          <t>07/2016</t>
        </is>
      </c>
      <c r="C306" s="22" t="n">
        <v>63</v>
      </c>
      <c r="D306" s="22" t="inlineStr">
        <is>
          <t>S63</t>
        </is>
      </c>
      <c r="E306" s="22" t="inlineStr">
        <is>
          <t>Nexa Utah (S63)</t>
        </is>
      </c>
      <c r="F306" s="22" t="inlineStr">
        <is>
          <t>Mỹ</t>
        </is>
      </c>
      <c r="G306" s="22" t="inlineStr">
        <is>
          <t>POS</t>
        </is>
      </c>
      <c r="H306" s="31" t="n">
        <v>12537.23</v>
      </c>
      <c r="I306" s="31" t="n">
        <v>0</v>
      </c>
      <c r="J306" s="31" t="n">
        <v>12537.23</v>
      </c>
      <c r="K306" s="31" t="n">
        <v>0</v>
      </c>
      <c r="L306" s="32" t="n">
        <v>4</v>
      </c>
      <c r="M306" s="32" t="n">
        <v>41</v>
      </c>
      <c r="N306" s="31" t="n">
        <v>12537.23</v>
      </c>
      <c r="O306" s="31" t="n">
        <v>12537.23</v>
      </c>
      <c r="P306" s="22" t="n">
        <v>0</v>
      </c>
      <c r="Q306" s="22" t="n">
        <v>0</v>
      </c>
      <c r="R306" s="22" t="n">
        <v>0</v>
      </c>
    </row>
    <row r="307">
      <c r="A307" s="22" t="n">
        <v>201607</v>
      </c>
      <c r="B307" s="22" t="inlineStr">
        <is>
          <t>07/2016</t>
        </is>
      </c>
      <c r="C307" s="22" t="n">
        <v>64</v>
      </c>
      <c r="D307" s="22" t="inlineStr">
        <is>
          <t>S64</t>
        </is>
      </c>
      <c r="E307" s="22" t="inlineStr">
        <is>
          <t>Nexa Washington DC (S64)</t>
        </is>
      </c>
      <c r="F307" s="22" t="inlineStr">
        <is>
          <t>Mỹ</t>
        </is>
      </c>
      <c r="G307" s="22" t="inlineStr">
        <is>
          <t>POS</t>
        </is>
      </c>
      <c r="H307" s="31" t="n">
        <v>3046.04</v>
      </c>
      <c r="I307" s="31" t="n">
        <v>0</v>
      </c>
      <c r="J307" s="31" t="n">
        <v>3046.04</v>
      </c>
      <c r="K307" s="31" t="n">
        <v>101.08</v>
      </c>
      <c r="L307" s="32" t="n">
        <v>3</v>
      </c>
      <c r="M307" s="32" t="n">
        <v>26</v>
      </c>
      <c r="N307" s="31" t="n">
        <v>2944.96</v>
      </c>
      <c r="O307" s="31" t="n">
        <v>3046.04</v>
      </c>
      <c r="P307" s="22" t="n">
        <v>0</v>
      </c>
      <c r="Q307" s="22" t="n">
        <v>0</v>
      </c>
      <c r="R307" s="22" t="n">
        <v>0</v>
      </c>
    </row>
    <row r="308">
      <c r="A308" s="22" t="n">
        <v>201607</v>
      </c>
      <c r="B308" s="22" t="inlineStr">
        <is>
          <t>07/2016</t>
        </is>
      </c>
      <c r="C308" s="22" t="n">
        <v>65</v>
      </c>
      <c r="D308" s="22" t="inlineStr">
        <is>
          <t>S65</t>
        </is>
      </c>
      <c r="E308" s="22" t="inlineStr">
        <is>
          <t>Nexa West Virginia (S65)</t>
        </is>
      </c>
      <c r="F308" s="22" t="inlineStr">
        <is>
          <t>Mỹ</t>
        </is>
      </c>
      <c r="G308" s="22" t="inlineStr">
        <is>
          <t>POS</t>
        </is>
      </c>
      <c r="H308" s="31" t="n">
        <v>6988.07</v>
      </c>
      <c r="I308" s="31" t="n">
        <v>0</v>
      </c>
      <c r="J308" s="31" t="n">
        <v>6988.07</v>
      </c>
      <c r="K308" s="31" t="n">
        <v>0</v>
      </c>
      <c r="L308" s="32" t="n">
        <v>3</v>
      </c>
      <c r="M308" s="32" t="n">
        <v>34</v>
      </c>
      <c r="N308" s="31" t="n">
        <v>6988.07</v>
      </c>
      <c r="O308" s="31" t="n">
        <v>6988.07</v>
      </c>
      <c r="P308" s="22" t="n">
        <v>0</v>
      </c>
      <c r="Q308" s="22" t="n">
        <v>0</v>
      </c>
      <c r="R308" s="22" t="n">
        <v>0</v>
      </c>
    </row>
    <row r="309">
      <c r="A309" s="22" t="n">
        <v>201607</v>
      </c>
      <c r="B309" s="22" t="inlineStr">
        <is>
          <t>07/2016</t>
        </is>
      </c>
      <c r="C309" s="22" t="n">
        <v>66</v>
      </c>
      <c r="D309" s="22" t="inlineStr">
        <is>
          <t>S66</t>
        </is>
      </c>
      <c r="E309" s="22" t="inlineStr">
        <is>
          <t>Nexa Wyoming (S66)</t>
        </is>
      </c>
      <c r="F309" s="22" t="inlineStr">
        <is>
          <t>Mỹ</t>
        </is>
      </c>
      <c r="G309" s="22" t="inlineStr">
        <is>
          <t>POS</t>
        </is>
      </c>
      <c r="H309" s="31" t="n">
        <v>6116.38</v>
      </c>
      <c r="I309" s="31" t="n">
        <v>0</v>
      </c>
      <c r="J309" s="31" t="n">
        <v>6116.38</v>
      </c>
      <c r="K309" s="31" t="n">
        <v>19.99</v>
      </c>
      <c r="L309" s="32" t="n">
        <v>5</v>
      </c>
      <c r="M309" s="32" t="n">
        <v>27</v>
      </c>
      <c r="N309" s="31" t="n">
        <v>6096.39</v>
      </c>
      <c r="O309" s="31" t="n">
        <v>6116.38</v>
      </c>
      <c r="P309" s="22" t="n">
        <v>0</v>
      </c>
      <c r="Q309" s="22" t="n">
        <v>0</v>
      </c>
      <c r="R309" s="22" t="n">
        <v>0</v>
      </c>
    </row>
    <row r="310">
      <c r="A310" s="22" t="n">
        <v>201608</v>
      </c>
      <c r="B310" s="22" t="inlineStr">
        <is>
          <t>08/2016</t>
        </is>
      </c>
      <c r="C310" s="22" t="n">
        <v>0</v>
      </c>
      <c r="D310" s="22" t="inlineStr">
        <is>
          <t>ONL</t>
        </is>
      </c>
      <c r="E310" s="22" t="inlineStr">
        <is>
          <t>Nexa Online (website/app)</t>
        </is>
      </c>
      <c r="F310" s="22" t="inlineStr">
        <is>
          <t>Online</t>
        </is>
      </c>
      <c r="G310" s="22" t="inlineStr">
        <is>
          <t>ONLINE</t>
        </is>
      </c>
      <c r="H310" s="31" t="n">
        <v>81569.87</v>
      </c>
      <c r="I310" s="31" t="n">
        <v>6620.13</v>
      </c>
      <c r="J310" s="31" t="n">
        <v>74949.74000000001</v>
      </c>
      <c r="K310" s="31" t="n">
        <v>2070.95</v>
      </c>
      <c r="L310" s="32" t="n">
        <v>39</v>
      </c>
      <c r="M310" s="32" t="n">
        <v>262</v>
      </c>
      <c r="N310" s="31" t="n">
        <v>67973.36</v>
      </c>
      <c r="O310" s="31" t="n">
        <v>69777.31</v>
      </c>
      <c r="P310" s="22" t="n">
        <v>1</v>
      </c>
      <c r="Q310" s="22" t="n">
        <v>0</v>
      </c>
      <c r="R310" s="22" t="n">
        <v>0</v>
      </c>
    </row>
    <row r="311">
      <c r="A311" s="22" t="n">
        <v>201608</v>
      </c>
      <c r="B311" s="22" t="inlineStr">
        <is>
          <t>08/2016</t>
        </is>
      </c>
      <c r="C311" s="22" t="n">
        <v>1</v>
      </c>
      <c r="D311" s="22" t="inlineStr">
        <is>
          <t>S01</t>
        </is>
      </c>
      <c r="E311" s="22" t="inlineStr">
        <is>
          <t>Nexa Australian Capital Territory (S01)</t>
        </is>
      </c>
      <c r="F311" s="22" t="inlineStr">
        <is>
          <t>Úc</t>
        </is>
      </c>
      <c r="G311" s="22" t="inlineStr">
        <is>
          <t>POS</t>
        </is>
      </c>
      <c r="H311" s="31" t="n">
        <v>2816.4</v>
      </c>
      <c r="I311" s="31" t="n">
        <v>281.64</v>
      </c>
      <c r="J311" s="31" t="n">
        <v>2534.76</v>
      </c>
      <c r="K311" s="31" t="n">
        <v>0</v>
      </c>
      <c r="L311" s="32" t="n">
        <v>2</v>
      </c>
      <c r="M311" s="32" t="n">
        <v>8</v>
      </c>
      <c r="N311" s="31" t="n">
        <v>2534.76</v>
      </c>
      <c r="O311" s="31" t="n">
        <v>2534.76</v>
      </c>
      <c r="P311" s="22" t="n">
        <v>0</v>
      </c>
      <c r="Q311" s="22" t="n">
        <v>0</v>
      </c>
      <c r="R311" s="22" t="n">
        <v>0</v>
      </c>
    </row>
    <row r="312">
      <c r="A312" s="22" t="n">
        <v>201608</v>
      </c>
      <c r="B312" s="22" t="inlineStr">
        <is>
          <t>08/2016</t>
        </is>
      </c>
      <c r="C312" s="22" t="n">
        <v>5</v>
      </c>
      <c r="D312" s="22" t="inlineStr">
        <is>
          <t>S05</t>
        </is>
      </c>
      <c r="E312" s="22" t="inlineStr">
        <is>
          <t>Nexa Victoria (S05)</t>
        </is>
      </c>
      <c r="F312" s="22" t="inlineStr">
        <is>
          <t>Úc</t>
        </is>
      </c>
      <c r="G312" s="22" t="inlineStr">
        <is>
          <t>POS</t>
        </is>
      </c>
      <c r="H312" s="31" t="n">
        <v>2949.64</v>
      </c>
      <c r="I312" s="31" t="n">
        <v>102.27</v>
      </c>
      <c r="J312" s="31" t="n">
        <v>2847.37</v>
      </c>
      <c r="K312" s="31" t="n">
        <v>0</v>
      </c>
      <c r="L312" s="32" t="n">
        <v>5</v>
      </c>
      <c r="M312" s="32" t="n">
        <v>15</v>
      </c>
      <c r="N312" s="31" t="n">
        <v>2847.37</v>
      </c>
      <c r="O312" s="31" t="n">
        <v>2847.37</v>
      </c>
      <c r="P312" s="22" t="n">
        <v>0</v>
      </c>
      <c r="Q312" s="22" t="n">
        <v>0</v>
      </c>
      <c r="R312" s="22" t="n">
        <v>1</v>
      </c>
    </row>
    <row r="313">
      <c r="A313" s="22" t="n">
        <v>201608</v>
      </c>
      <c r="B313" s="22" t="inlineStr">
        <is>
          <t>08/2016</t>
        </is>
      </c>
      <c r="C313" s="22" t="n">
        <v>6</v>
      </c>
      <c r="D313" s="22" t="inlineStr">
        <is>
          <t>S06</t>
        </is>
      </c>
      <c r="E313" s="22" t="inlineStr">
        <is>
          <t>Nexa Western Australia (S06)</t>
        </is>
      </c>
      <c r="F313" s="22" t="inlineStr">
        <is>
          <t>Úc</t>
        </is>
      </c>
      <c r="G313" s="22" t="inlineStr">
        <is>
          <t>POS</t>
        </is>
      </c>
      <c r="H313" s="31" t="n">
        <v>4182.88</v>
      </c>
      <c r="I313" s="31" t="n">
        <v>319.29</v>
      </c>
      <c r="J313" s="31" t="n">
        <v>3863.59</v>
      </c>
      <c r="K313" s="31" t="n">
        <v>0</v>
      </c>
      <c r="L313" s="32" t="n">
        <v>2</v>
      </c>
      <c r="M313" s="32" t="n">
        <v>14</v>
      </c>
      <c r="N313" s="31" t="n">
        <v>3863.59</v>
      </c>
      <c r="O313" s="31" t="n">
        <v>3863.59</v>
      </c>
      <c r="P313" s="22" t="n">
        <v>0</v>
      </c>
      <c r="Q313" s="22" t="n">
        <v>0</v>
      </c>
      <c r="R313" s="22" t="n">
        <v>0</v>
      </c>
    </row>
    <row r="314">
      <c r="A314" s="22" t="n">
        <v>201608</v>
      </c>
      <c r="B314" s="22" t="inlineStr">
        <is>
          <t>08/2016</t>
        </is>
      </c>
      <c r="C314" s="22" t="n">
        <v>8</v>
      </c>
      <c r="D314" s="22" t="inlineStr">
        <is>
          <t>S08</t>
        </is>
      </c>
      <c r="E314" s="22" t="inlineStr">
        <is>
          <t>Nexa Newfoundland and Labrador (S08)</t>
        </is>
      </c>
      <c r="F314" s="22" t="inlineStr">
        <is>
          <t>Canada</t>
        </is>
      </c>
      <c r="G314" s="22" t="inlineStr">
        <is>
          <t>POS</t>
        </is>
      </c>
      <c r="H314" s="31" t="n">
        <v>2892.99</v>
      </c>
      <c r="I314" s="31" t="n">
        <v>79.7</v>
      </c>
      <c r="J314" s="31" t="n">
        <v>2813.29</v>
      </c>
      <c r="K314" s="31" t="n">
        <v>0</v>
      </c>
      <c r="L314" s="32" t="n">
        <v>4</v>
      </c>
      <c r="M314" s="32" t="n">
        <v>12</v>
      </c>
      <c r="N314" s="31" t="n">
        <v>2813.29</v>
      </c>
      <c r="O314" s="31" t="n">
        <v>2813.29</v>
      </c>
      <c r="P314" s="22" t="n">
        <v>1</v>
      </c>
      <c r="Q314" s="22" t="n">
        <v>0</v>
      </c>
      <c r="R314" s="22" t="n">
        <v>0</v>
      </c>
    </row>
    <row r="315">
      <c r="A315" s="22" t="n">
        <v>201608</v>
      </c>
      <c r="B315" s="22" t="inlineStr">
        <is>
          <t>08/2016</t>
        </is>
      </c>
      <c r="C315" s="22" t="n">
        <v>9</v>
      </c>
      <c r="D315" s="22" t="inlineStr">
        <is>
          <t>S09</t>
        </is>
      </c>
      <c r="E315" s="22" t="inlineStr">
        <is>
          <t>Nexa Northwest Territories (S09)</t>
        </is>
      </c>
      <c r="F315" s="22" t="inlineStr">
        <is>
          <t>Canada</t>
        </is>
      </c>
      <c r="G315" s="22" t="inlineStr">
        <is>
          <t>POS</t>
        </is>
      </c>
      <c r="H315" s="31" t="n">
        <v>6864</v>
      </c>
      <c r="I315" s="31" t="n">
        <v>250.6</v>
      </c>
      <c r="J315" s="31" t="n">
        <v>6613.4</v>
      </c>
      <c r="K315" s="31" t="n">
        <v>408</v>
      </c>
      <c r="L315" s="32" t="n">
        <v>3</v>
      </c>
      <c r="M315" s="32" t="n">
        <v>21</v>
      </c>
      <c r="N315" s="31" t="n">
        <v>6205.4</v>
      </c>
      <c r="O315" s="31" t="n">
        <v>6613.4</v>
      </c>
      <c r="P315" s="22" t="n">
        <v>0</v>
      </c>
      <c r="Q315" s="22" t="n">
        <v>0</v>
      </c>
      <c r="R315" s="22" t="n">
        <v>0</v>
      </c>
    </row>
    <row r="316">
      <c r="A316" s="22" t="n">
        <v>201608</v>
      </c>
      <c r="B316" s="22" t="inlineStr">
        <is>
          <t>08/2016</t>
        </is>
      </c>
      <c r="C316" s="22" t="n">
        <v>10</v>
      </c>
      <c r="D316" s="22" t="inlineStr">
        <is>
          <t>S10</t>
        </is>
      </c>
      <c r="E316" s="22" t="inlineStr">
        <is>
          <t>Nexa Nunavut (S10)</t>
        </is>
      </c>
      <c r="F316" s="22" t="inlineStr">
        <is>
          <t>Canada</t>
        </is>
      </c>
      <c r="G316" s="22" t="inlineStr">
        <is>
          <t>POS</t>
        </is>
      </c>
      <c r="H316" s="31" t="n">
        <v>4497.47</v>
      </c>
      <c r="I316" s="31" t="n">
        <v>449.75</v>
      </c>
      <c r="J316" s="31" t="n">
        <v>4047.72</v>
      </c>
      <c r="K316" s="31" t="n">
        <v>116.99</v>
      </c>
      <c r="L316" s="32" t="n">
        <v>3</v>
      </c>
      <c r="M316" s="32" t="n">
        <v>16</v>
      </c>
      <c r="N316" s="31" t="n">
        <v>3930.73</v>
      </c>
      <c r="O316" s="31" t="n">
        <v>4047.72</v>
      </c>
      <c r="P316" s="22" t="n">
        <v>0</v>
      </c>
      <c r="Q316" s="22" t="n">
        <v>0</v>
      </c>
      <c r="R316" s="22" t="n">
        <v>0</v>
      </c>
    </row>
    <row r="317">
      <c r="A317" s="22" t="n">
        <v>201608</v>
      </c>
      <c r="B317" s="22" t="inlineStr">
        <is>
          <t>08/2016</t>
        </is>
      </c>
      <c r="C317" s="22" t="n">
        <v>12</v>
      </c>
      <c r="D317" s="22" t="inlineStr">
        <is>
          <t>S12</t>
        </is>
      </c>
      <c r="E317" s="22" t="inlineStr">
        <is>
          <t>Nexa Basse-Normandie (S12)</t>
        </is>
      </c>
      <c r="F317" s="22" t="inlineStr">
        <is>
          <t>Pháp</t>
        </is>
      </c>
      <c r="G317" s="22" t="inlineStr">
        <is>
          <t>POS</t>
        </is>
      </c>
      <c r="H317" s="31" t="n">
        <v>433.95</v>
      </c>
      <c r="I317" s="31" t="n">
        <v>0</v>
      </c>
      <c r="J317" s="31" t="n">
        <v>433.95</v>
      </c>
      <c r="K317" s="31" t="n">
        <v>0</v>
      </c>
      <c r="L317" s="32" t="n">
        <v>1</v>
      </c>
      <c r="M317" s="32" t="n">
        <v>11</v>
      </c>
      <c r="N317" s="31" t="n">
        <v>433.95</v>
      </c>
      <c r="O317" s="31" t="n">
        <v>433.95</v>
      </c>
      <c r="P317" s="22" t="n">
        <v>0</v>
      </c>
      <c r="Q317" s="22" t="n">
        <v>0</v>
      </c>
      <c r="R317" s="22" t="n">
        <v>0</v>
      </c>
    </row>
    <row r="318">
      <c r="A318" s="22" t="n">
        <v>201608</v>
      </c>
      <c r="B318" s="22" t="inlineStr">
        <is>
          <t>08/2016</t>
        </is>
      </c>
      <c r="C318" s="22" t="n">
        <v>15</v>
      </c>
      <c r="D318" s="22" t="inlineStr">
        <is>
          <t>S15</t>
        </is>
      </c>
      <c r="E318" s="22" t="inlineStr">
        <is>
          <t>Nexa La Réunion (S15)</t>
        </is>
      </c>
      <c r="F318" s="22" t="inlineStr">
        <is>
          <t>Pháp</t>
        </is>
      </c>
      <c r="G318" s="22" t="inlineStr">
        <is>
          <t>POS</t>
        </is>
      </c>
      <c r="H318" s="31" t="n">
        <v>580.28</v>
      </c>
      <c r="I318" s="31" t="n">
        <v>8.039999999999999</v>
      </c>
      <c r="J318" s="31" t="n">
        <v>572.24</v>
      </c>
      <c r="K318" s="31" t="n">
        <v>0</v>
      </c>
      <c r="L318" s="32" t="n">
        <v>2</v>
      </c>
      <c r="M318" s="32" t="n">
        <v>3</v>
      </c>
      <c r="N318" s="31" t="n">
        <v>572.24</v>
      </c>
      <c r="O318" s="31" t="n">
        <v>572.24</v>
      </c>
      <c r="P318" s="22" t="n">
        <v>0</v>
      </c>
      <c r="Q318" s="22" t="n">
        <v>0</v>
      </c>
      <c r="R318" s="22" t="n">
        <v>0</v>
      </c>
    </row>
    <row r="319">
      <c r="A319" s="22" t="n">
        <v>201608</v>
      </c>
      <c r="B319" s="22" t="inlineStr">
        <is>
          <t>08/2016</t>
        </is>
      </c>
      <c r="C319" s="22" t="n">
        <v>17</v>
      </c>
      <c r="D319" s="22" t="inlineStr">
        <is>
          <t>S17</t>
        </is>
      </c>
      <c r="E319" s="22" t="inlineStr">
        <is>
          <t>Nexa Martinique (S17)</t>
        </is>
      </c>
      <c r="F319" s="22" t="inlineStr">
        <is>
          <t>Pháp</t>
        </is>
      </c>
      <c r="G319" s="22" t="inlineStr">
        <is>
          <t>POS</t>
        </is>
      </c>
      <c r="H319" s="31" t="n">
        <v>101.99</v>
      </c>
      <c r="I319" s="31" t="n">
        <v>0</v>
      </c>
      <c r="J319" s="31" t="n">
        <v>101.99</v>
      </c>
      <c r="K319" s="31" t="n">
        <v>0</v>
      </c>
      <c r="L319" s="32" t="n">
        <v>1</v>
      </c>
      <c r="M319" s="32" t="n">
        <v>1</v>
      </c>
      <c r="N319" s="31" t="n">
        <v>101.99</v>
      </c>
      <c r="O319" s="31" t="n">
        <v>101.99</v>
      </c>
      <c r="P319" s="22" t="n">
        <v>0</v>
      </c>
      <c r="Q319" s="22" t="n">
        <v>0</v>
      </c>
      <c r="R319" s="22" t="n">
        <v>0</v>
      </c>
    </row>
    <row r="320">
      <c r="A320" s="22" t="n">
        <v>201608</v>
      </c>
      <c r="B320" s="22" t="inlineStr">
        <is>
          <t>08/2016</t>
        </is>
      </c>
      <c r="C320" s="22" t="n">
        <v>18</v>
      </c>
      <c r="D320" s="22" t="inlineStr">
        <is>
          <t>S18</t>
        </is>
      </c>
      <c r="E320" s="22" t="inlineStr">
        <is>
          <t>Nexa Mayotte (S18)</t>
        </is>
      </c>
      <c r="F320" s="22" t="inlineStr">
        <is>
          <t>Pháp</t>
        </is>
      </c>
      <c r="G320" s="22" t="inlineStr">
        <is>
          <t>POS</t>
        </is>
      </c>
      <c r="H320" s="31" t="n">
        <v>4919.09</v>
      </c>
      <c r="I320" s="31" t="n">
        <v>214.95</v>
      </c>
      <c r="J320" s="31" t="n">
        <v>4704.14</v>
      </c>
      <c r="K320" s="31" t="n">
        <v>0</v>
      </c>
      <c r="L320" s="32" t="n">
        <v>2</v>
      </c>
      <c r="M320" s="32" t="n">
        <v>18</v>
      </c>
      <c r="N320" s="31" t="n">
        <v>4704.14</v>
      </c>
      <c r="O320" s="31" t="n">
        <v>4704.14</v>
      </c>
      <c r="P320" s="22" t="n">
        <v>0</v>
      </c>
      <c r="Q320" s="22" t="n">
        <v>0</v>
      </c>
      <c r="R320" s="22" t="n">
        <v>0</v>
      </c>
    </row>
    <row r="321">
      <c r="A321" s="22" t="n">
        <v>201608</v>
      </c>
      <c r="B321" s="22" t="inlineStr">
        <is>
          <t>08/2016</t>
        </is>
      </c>
      <c r="C321" s="22" t="n">
        <v>19</v>
      </c>
      <c r="D321" s="22" t="inlineStr">
        <is>
          <t>S19</t>
        </is>
      </c>
      <c r="E321" s="22" t="inlineStr">
        <is>
          <t>Nexa Berlin (S19)</t>
        </is>
      </c>
      <c r="F321" s="22" t="inlineStr">
        <is>
          <t>Đức</t>
        </is>
      </c>
      <c r="G321" s="22" t="inlineStr">
        <is>
          <t>POS</t>
        </is>
      </c>
      <c r="H321" s="31" t="n">
        <v>4587.55</v>
      </c>
      <c r="I321" s="31" t="n">
        <v>47</v>
      </c>
      <c r="J321" s="31" t="n">
        <v>4540.55</v>
      </c>
      <c r="K321" s="31" t="n">
        <v>0</v>
      </c>
      <c r="L321" s="32" t="n">
        <v>3</v>
      </c>
      <c r="M321" s="32" t="n">
        <v>17</v>
      </c>
      <c r="N321" s="31" t="n">
        <v>4540.55</v>
      </c>
      <c r="O321" s="31" t="n">
        <v>4540.55</v>
      </c>
      <c r="P321" s="22" t="n">
        <v>0</v>
      </c>
      <c r="Q321" s="22" t="n">
        <v>0</v>
      </c>
      <c r="R321" s="22" t="n">
        <v>0</v>
      </c>
    </row>
    <row r="322">
      <c r="A322" s="22" t="n">
        <v>201608</v>
      </c>
      <c r="B322" s="22" t="inlineStr">
        <is>
          <t>08/2016</t>
        </is>
      </c>
      <c r="C322" s="22" t="n">
        <v>20</v>
      </c>
      <c r="D322" s="22" t="inlineStr">
        <is>
          <t>S20</t>
        </is>
      </c>
      <c r="E322" s="22" t="inlineStr">
        <is>
          <t>Nexa Brandenburg (S20)</t>
        </is>
      </c>
      <c r="F322" s="22" t="inlineStr">
        <is>
          <t>Đức</t>
        </is>
      </c>
      <c r="G322" s="22" t="inlineStr">
        <is>
          <t>POS</t>
        </is>
      </c>
      <c r="H322" s="31" t="n">
        <v>6376.05</v>
      </c>
      <c r="I322" s="31" t="n">
        <v>0</v>
      </c>
      <c r="J322" s="31" t="n">
        <v>6376.05</v>
      </c>
      <c r="K322" s="31" t="n">
        <v>0</v>
      </c>
      <c r="L322" s="32" t="n">
        <v>4</v>
      </c>
      <c r="M322" s="32" t="n">
        <v>22</v>
      </c>
      <c r="N322" s="31" t="n">
        <v>6376.05</v>
      </c>
      <c r="O322" s="31" t="n">
        <v>6376.05</v>
      </c>
      <c r="P322" s="22" t="n">
        <v>0</v>
      </c>
      <c r="Q322" s="22" t="n">
        <v>0</v>
      </c>
      <c r="R322" s="22" t="n">
        <v>0</v>
      </c>
    </row>
    <row r="323">
      <c r="A323" s="22" t="n">
        <v>201608</v>
      </c>
      <c r="B323" s="22" t="inlineStr">
        <is>
          <t>08/2016</t>
        </is>
      </c>
      <c r="C323" s="22" t="n">
        <v>22</v>
      </c>
      <c r="D323" s="22" t="inlineStr">
        <is>
          <t>S22</t>
        </is>
      </c>
      <c r="E323" s="22" t="inlineStr">
        <is>
          <t>Nexa Freistaat Thüringen (S22)</t>
        </is>
      </c>
      <c r="F323" s="22" t="inlineStr">
        <is>
          <t>Đức</t>
        </is>
      </c>
      <c r="G323" s="22" t="inlineStr">
        <is>
          <t>POS</t>
        </is>
      </c>
      <c r="H323" s="31" t="n">
        <v>13818.12</v>
      </c>
      <c r="I323" s="31" t="n">
        <v>499.88</v>
      </c>
      <c r="J323" s="31" t="n">
        <v>13318.24</v>
      </c>
      <c r="K323" s="31" t="n">
        <v>0</v>
      </c>
      <c r="L323" s="32" t="n">
        <v>6</v>
      </c>
      <c r="M323" s="32" t="n">
        <v>76</v>
      </c>
      <c r="N323" s="31" t="n">
        <v>13318.24</v>
      </c>
      <c r="O323" s="31" t="n">
        <v>13318.24</v>
      </c>
      <c r="P323" s="22" t="n">
        <v>1</v>
      </c>
      <c r="Q323" s="22" t="n">
        <v>0</v>
      </c>
      <c r="R323" s="22" t="n">
        <v>1</v>
      </c>
    </row>
    <row r="324">
      <c r="A324" s="22" t="n">
        <v>201608</v>
      </c>
      <c r="B324" s="22" t="inlineStr">
        <is>
          <t>08/2016</t>
        </is>
      </c>
      <c r="C324" s="22" t="n">
        <v>24</v>
      </c>
      <c r="D324" s="22" t="inlineStr">
        <is>
          <t>S24</t>
        </is>
      </c>
      <c r="E324" s="22" t="inlineStr">
        <is>
          <t>Nexa Hessen (S24)</t>
        </is>
      </c>
      <c r="F324" s="22" t="inlineStr">
        <is>
          <t>Đức</t>
        </is>
      </c>
      <c r="G324" s="22" t="inlineStr">
        <is>
          <t>POS</t>
        </is>
      </c>
      <c r="H324" s="31" t="n">
        <v>23657.65</v>
      </c>
      <c r="I324" s="31" t="n">
        <v>1673.52</v>
      </c>
      <c r="J324" s="31" t="n">
        <v>21984.13</v>
      </c>
      <c r="K324" s="31" t="n">
        <v>0</v>
      </c>
      <c r="L324" s="32" t="n">
        <v>4</v>
      </c>
      <c r="M324" s="32" t="n">
        <v>48</v>
      </c>
      <c r="N324" s="31" t="n">
        <v>21984.13</v>
      </c>
      <c r="O324" s="31" t="n">
        <v>21984.13</v>
      </c>
      <c r="P324" s="22" t="n">
        <v>0</v>
      </c>
      <c r="Q324" s="22" t="n">
        <v>0</v>
      </c>
      <c r="R324" s="22" t="n">
        <v>0</v>
      </c>
    </row>
    <row r="325">
      <c r="A325" s="22" t="n">
        <v>201608</v>
      </c>
      <c r="B325" s="22" t="inlineStr">
        <is>
          <t>08/2016</t>
        </is>
      </c>
      <c r="C325" s="22" t="n">
        <v>27</v>
      </c>
      <c r="D325" s="22" t="inlineStr">
        <is>
          <t>S27</t>
        </is>
      </c>
      <c r="E325" s="22" t="inlineStr">
        <is>
          <t>Nexa Sachsen-Anhalt (S27)</t>
        </is>
      </c>
      <c r="F325" s="22" t="inlineStr">
        <is>
          <t>Đức</t>
        </is>
      </c>
      <c r="G325" s="22" t="inlineStr">
        <is>
          <t>POS</t>
        </is>
      </c>
      <c r="H325" s="31" t="n">
        <v>5437.41</v>
      </c>
      <c r="I325" s="31" t="n">
        <v>543.75</v>
      </c>
      <c r="J325" s="31" t="n">
        <v>4893.66</v>
      </c>
      <c r="K325" s="31" t="n">
        <v>0</v>
      </c>
      <c r="L325" s="32" t="n">
        <v>3</v>
      </c>
      <c r="M325" s="32" t="n">
        <v>37</v>
      </c>
      <c r="N325" s="31" t="n">
        <v>4893.66</v>
      </c>
      <c r="O325" s="31" t="n">
        <v>4893.66</v>
      </c>
      <c r="P325" s="22" t="n">
        <v>0</v>
      </c>
      <c r="Q325" s="22" t="n">
        <v>0</v>
      </c>
      <c r="R325" s="22" t="n">
        <v>0</v>
      </c>
    </row>
    <row r="326">
      <c r="A326" s="22" t="n">
        <v>201608</v>
      </c>
      <c r="B326" s="22" t="inlineStr">
        <is>
          <t>08/2016</t>
        </is>
      </c>
      <c r="C326" s="22" t="n">
        <v>28</v>
      </c>
      <c r="D326" s="22" t="inlineStr">
        <is>
          <t>S28</t>
        </is>
      </c>
      <c r="E326" s="22" t="inlineStr">
        <is>
          <t>Nexa Caltanissetta (S28)</t>
        </is>
      </c>
      <c r="F326" s="22" t="inlineStr">
        <is>
          <t>Ý</t>
        </is>
      </c>
      <c r="G326" s="22" t="inlineStr">
        <is>
          <t>POS</t>
        </is>
      </c>
      <c r="H326" s="31" t="n">
        <v>11231.25</v>
      </c>
      <c r="I326" s="31" t="n">
        <v>910.9400000000001</v>
      </c>
      <c r="J326" s="31" t="n">
        <v>10320.31</v>
      </c>
      <c r="K326" s="31" t="n">
        <v>0</v>
      </c>
      <c r="L326" s="32" t="n">
        <v>3</v>
      </c>
      <c r="M326" s="32" t="n">
        <v>40</v>
      </c>
      <c r="N326" s="31" t="n">
        <v>10320.31</v>
      </c>
      <c r="O326" s="31" t="n">
        <v>10320.31</v>
      </c>
      <c r="P326" s="22" t="n">
        <v>0</v>
      </c>
      <c r="Q326" s="22" t="n">
        <v>0</v>
      </c>
      <c r="R326" s="22" t="n">
        <v>0</v>
      </c>
    </row>
    <row r="327">
      <c r="A327" s="22" t="n">
        <v>201608</v>
      </c>
      <c r="B327" s="22" t="inlineStr">
        <is>
          <t>08/2016</t>
        </is>
      </c>
      <c r="C327" s="22" t="n">
        <v>29</v>
      </c>
      <c r="D327" s="22" t="inlineStr">
        <is>
          <t>S29</t>
        </is>
      </c>
      <c r="E327" s="22" t="inlineStr">
        <is>
          <t>Nexa Enna (S29)</t>
        </is>
      </c>
      <c r="F327" s="22" t="inlineStr">
        <is>
          <t>Ý</t>
        </is>
      </c>
      <c r="G327" s="22" t="inlineStr">
        <is>
          <t>POS</t>
        </is>
      </c>
      <c r="H327" s="31" t="n">
        <v>20345.53</v>
      </c>
      <c r="I327" s="31" t="n">
        <v>1841.66</v>
      </c>
      <c r="J327" s="31" t="n">
        <v>18503.87</v>
      </c>
      <c r="K327" s="31" t="n">
        <v>0</v>
      </c>
      <c r="L327" s="32" t="n">
        <v>5</v>
      </c>
      <c r="M327" s="32" t="n">
        <v>34</v>
      </c>
      <c r="N327" s="31" t="n">
        <v>18503.87</v>
      </c>
      <c r="O327" s="31" t="n">
        <v>18503.87</v>
      </c>
      <c r="P327" s="22" t="n">
        <v>0</v>
      </c>
      <c r="Q327" s="22" t="n">
        <v>0</v>
      </c>
      <c r="R327" s="22" t="n">
        <v>0</v>
      </c>
    </row>
    <row r="328">
      <c r="A328" s="22" t="n">
        <v>201608</v>
      </c>
      <c r="B328" s="22" t="inlineStr">
        <is>
          <t>08/2016</t>
        </is>
      </c>
      <c r="C328" s="22" t="n">
        <v>30</v>
      </c>
      <c r="D328" s="22" t="inlineStr">
        <is>
          <t>S30</t>
        </is>
      </c>
      <c r="E328" s="22" t="inlineStr">
        <is>
          <t>Nexa Pesaro (S30)</t>
        </is>
      </c>
      <c r="F328" s="22" t="inlineStr">
        <is>
          <t>Ý</t>
        </is>
      </c>
      <c r="G328" s="22" t="inlineStr">
        <is>
          <t>POS</t>
        </is>
      </c>
      <c r="H328" s="31" t="n">
        <v>293.5</v>
      </c>
      <c r="I328" s="31" t="n">
        <v>29.35</v>
      </c>
      <c r="J328" s="31" t="n">
        <v>264.15</v>
      </c>
      <c r="K328" s="31" t="n">
        <v>0</v>
      </c>
      <c r="L328" s="32" t="n">
        <v>2</v>
      </c>
      <c r="M328" s="32" t="n">
        <v>8</v>
      </c>
      <c r="N328" s="31" t="n">
        <v>264.15</v>
      </c>
      <c r="O328" s="31" t="n">
        <v>264.15</v>
      </c>
      <c r="P328" s="22" t="n">
        <v>0</v>
      </c>
      <c r="Q328" s="22" t="n">
        <v>0</v>
      </c>
      <c r="R328" s="22" t="n">
        <v>0</v>
      </c>
    </row>
    <row r="329">
      <c r="A329" s="22" t="n">
        <v>201608</v>
      </c>
      <c r="B329" s="22" t="inlineStr">
        <is>
          <t>08/2016</t>
        </is>
      </c>
      <c r="C329" s="22" t="n">
        <v>31</v>
      </c>
      <c r="D329" s="22" t="inlineStr">
        <is>
          <t>S31</t>
        </is>
      </c>
      <c r="E329" s="22" t="inlineStr">
        <is>
          <t>Nexa Drenthe (S31)</t>
        </is>
      </c>
      <c r="F329" s="22" t="inlineStr">
        <is>
          <t>Hà Lan</t>
        </is>
      </c>
      <c r="G329" s="22" t="inlineStr">
        <is>
          <t>POS</t>
        </is>
      </c>
      <c r="H329" s="31" t="n">
        <v>4238.47</v>
      </c>
      <c r="I329" s="31" t="n">
        <v>80.2</v>
      </c>
      <c r="J329" s="31" t="n">
        <v>4158.27</v>
      </c>
      <c r="K329" s="31" t="n">
        <v>0</v>
      </c>
      <c r="L329" s="32" t="n">
        <v>2</v>
      </c>
      <c r="M329" s="32" t="n">
        <v>8</v>
      </c>
      <c r="N329" s="31" t="n">
        <v>4158.27</v>
      </c>
      <c r="O329" s="31" t="n">
        <v>4158.27</v>
      </c>
      <c r="P329" s="22" t="n">
        <v>0</v>
      </c>
      <c r="Q329" s="22" t="n">
        <v>0</v>
      </c>
      <c r="R329" s="22" t="n">
        <v>0</v>
      </c>
    </row>
    <row r="330">
      <c r="A330" s="22" t="n">
        <v>201608</v>
      </c>
      <c r="B330" s="22" t="inlineStr">
        <is>
          <t>08/2016</t>
        </is>
      </c>
      <c r="C330" s="22" t="n">
        <v>32</v>
      </c>
      <c r="D330" s="22" t="inlineStr">
        <is>
          <t>S32</t>
        </is>
      </c>
      <c r="E330" s="22" t="inlineStr">
        <is>
          <t>Nexa Flevoland (S32)</t>
        </is>
      </c>
      <c r="F330" s="22" t="inlineStr">
        <is>
          <t>Hà Lan</t>
        </is>
      </c>
      <c r="G330" s="22" t="inlineStr">
        <is>
          <t>POS</t>
        </is>
      </c>
      <c r="H330" s="31" t="n">
        <v>5232.94</v>
      </c>
      <c r="I330" s="31" t="n">
        <v>523.29</v>
      </c>
      <c r="J330" s="31" t="n">
        <v>4709.65</v>
      </c>
      <c r="K330" s="31" t="n">
        <v>0</v>
      </c>
      <c r="L330" s="32" t="n">
        <v>1</v>
      </c>
      <c r="M330" s="32" t="n">
        <v>13</v>
      </c>
      <c r="N330" s="31" t="n">
        <v>4709.65</v>
      </c>
      <c r="O330" s="31" t="n">
        <v>4709.65</v>
      </c>
      <c r="P330" s="22" t="n">
        <v>0</v>
      </c>
      <c r="Q330" s="22" t="n">
        <v>0</v>
      </c>
      <c r="R330" s="22" t="n">
        <v>0</v>
      </c>
    </row>
    <row r="331">
      <c r="A331" s="22" t="n">
        <v>201608</v>
      </c>
      <c r="B331" s="22" t="inlineStr">
        <is>
          <t>08/2016</t>
        </is>
      </c>
      <c r="C331" s="22" t="n">
        <v>33</v>
      </c>
      <c r="D331" s="22" t="inlineStr">
        <is>
          <t>S33</t>
        </is>
      </c>
      <c r="E331" s="22" t="inlineStr">
        <is>
          <t>Nexa Friesland (S33)</t>
        </is>
      </c>
      <c r="F331" s="22" t="inlineStr">
        <is>
          <t>Hà Lan</t>
        </is>
      </c>
      <c r="G331" s="22" t="inlineStr">
        <is>
          <t>POS</t>
        </is>
      </c>
      <c r="H331" s="31" t="n">
        <v>511.95</v>
      </c>
      <c r="I331" s="31" t="n">
        <v>51.2</v>
      </c>
      <c r="J331" s="31" t="n">
        <v>460.75</v>
      </c>
      <c r="K331" s="31" t="n">
        <v>0</v>
      </c>
      <c r="L331" s="32" t="n">
        <v>1</v>
      </c>
      <c r="M331" s="32" t="n">
        <v>3</v>
      </c>
      <c r="N331" s="31" t="n">
        <v>460.75</v>
      </c>
      <c r="O331" s="31" t="n">
        <v>460.75</v>
      </c>
      <c r="P331" s="22" t="n">
        <v>0</v>
      </c>
      <c r="Q331" s="22" t="n">
        <v>0</v>
      </c>
      <c r="R331" s="22" t="n">
        <v>0</v>
      </c>
    </row>
    <row r="332">
      <c r="A332" s="22" t="n">
        <v>201608</v>
      </c>
      <c r="B332" s="22" t="inlineStr">
        <is>
          <t>08/2016</t>
        </is>
      </c>
      <c r="C332" s="22" t="n">
        <v>34</v>
      </c>
      <c r="D332" s="22" t="inlineStr">
        <is>
          <t>S34</t>
        </is>
      </c>
      <c r="E332" s="22" t="inlineStr">
        <is>
          <t>Nexa Groningen (S34)</t>
        </is>
      </c>
      <c r="F332" s="22" t="inlineStr">
        <is>
          <t>Hà Lan</t>
        </is>
      </c>
      <c r="G332" s="22" t="inlineStr">
        <is>
          <t>POS</t>
        </is>
      </c>
      <c r="H332" s="31" t="n">
        <v>1216.4</v>
      </c>
      <c r="I332" s="31" t="n">
        <v>0</v>
      </c>
      <c r="J332" s="31" t="n">
        <v>1216.4</v>
      </c>
      <c r="K332" s="31" t="n">
        <v>0</v>
      </c>
      <c r="L332" s="32" t="n">
        <v>1</v>
      </c>
      <c r="M332" s="32" t="n">
        <v>17</v>
      </c>
      <c r="N332" s="31" t="n">
        <v>1216.4</v>
      </c>
      <c r="O332" s="31" t="n">
        <v>1216.4</v>
      </c>
      <c r="P332" s="22" t="n">
        <v>0</v>
      </c>
      <c r="Q332" s="22" t="n">
        <v>0</v>
      </c>
      <c r="R332" s="22" t="n">
        <v>0</v>
      </c>
    </row>
    <row r="333">
      <c r="A333" s="22" t="n">
        <v>201608</v>
      </c>
      <c r="B333" s="22" t="inlineStr">
        <is>
          <t>08/2016</t>
        </is>
      </c>
      <c r="C333" s="22" t="n">
        <v>36</v>
      </c>
      <c r="D333" s="22" t="inlineStr">
        <is>
          <t>S36</t>
        </is>
      </c>
      <c r="E333" s="22" t="inlineStr">
        <is>
          <t>Nexa Armagh (S36)</t>
        </is>
      </c>
      <c r="F333" s="22" t="inlineStr">
        <is>
          <t>Anh</t>
        </is>
      </c>
      <c r="G333" s="22" t="inlineStr">
        <is>
          <t>POS</t>
        </is>
      </c>
      <c r="H333" s="31" t="n">
        <v>3835.92</v>
      </c>
      <c r="I333" s="31" t="n">
        <v>383.59</v>
      </c>
      <c r="J333" s="31" t="n">
        <v>3452.33</v>
      </c>
      <c r="K333" s="31" t="n">
        <v>0</v>
      </c>
      <c r="L333" s="32" t="n">
        <v>3</v>
      </c>
      <c r="M333" s="32" t="n">
        <v>19</v>
      </c>
      <c r="N333" s="31" t="n">
        <v>3452.33</v>
      </c>
      <c r="O333" s="31" t="n">
        <v>3452.33</v>
      </c>
      <c r="P333" s="22" t="n">
        <v>2</v>
      </c>
      <c r="Q333" s="22" t="n">
        <v>0</v>
      </c>
      <c r="R333" s="22" t="n">
        <v>0</v>
      </c>
    </row>
    <row r="334">
      <c r="A334" s="22" t="n">
        <v>201608</v>
      </c>
      <c r="B334" s="22" t="inlineStr">
        <is>
          <t>08/2016</t>
        </is>
      </c>
      <c r="C334" s="22" t="n">
        <v>37</v>
      </c>
      <c r="D334" s="22" t="inlineStr">
        <is>
          <t>S37</t>
        </is>
      </c>
      <c r="E334" s="22" t="inlineStr">
        <is>
          <t>Nexa Ayrshire (S37)</t>
        </is>
      </c>
      <c r="F334" s="22" t="inlineStr">
        <is>
          <t>Anh</t>
        </is>
      </c>
      <c r="G334" s="22" t="inlineStr">
        <is>
          <t>POS</t>
        </is>
      </c>
      <c r="H334" s="31" t="n">
        <v>8303.879999999999</v>
      </c>
      <c r="I334" s="31" t="n">
        <v>830.39</v>
      </c>
      <c r="J334" s="31" t="n">
        <v>7473.49</v>
      </c>
      <c r="K334" s="31" t="n">
        <v>0</v>
      </c>
      <c r="L334" s="32" t="n">
        <v>3</v>
      </c>
      <c r="M334" s="32" t="n">
        <v>28</v>
      </c>
      <c r="N334" s="31" t="n">
        <v>7473.49</v>
      </c>
      <c r="O334" s="31" t="n">
        <v>7473.49</v>
      </c>
      <c r="P334" s="22" t="n">
        <v>0</v>
      </c>
      <c r="Q334" s="22" t="n">
        <v>0</v>
      </c>
      <c r="R334" s="22" t="n">
        <v>0</v>
      </c>
    </row>
    <row r="335">
      <c r="A335" s="22" t="n">
        <v>201608</v>
      </c>
      <c r="B335" s="22" t="inlineStr">
        <is>
          <t>08/2016</t>
        </is>
      </c>
      <c r="C335" s="22" t="n">
        <v>38</v>
      </c>
      <c r="D335" s="22" t="inlineStr">
        <is>
          <t>S38</t>
        </is>
      </c>
      <c r="E335" s="22" t="inlineStr">
        <is>
          <t>Nexa Belfast (S38)</t>
        </is>
      </c>
      <c r="F335" s="22" t="inlineStr">
        <is>
          <t>Anh</t>
        </is>
      </c>
      <c r="G335" s="22" t="inlineStr">
        <is>
          <t>POS</t>
        </is>
      </c>
      <c r="H335" s="31" t="n">
        <v>8121.99</v>
      </c>
      <c r="I335" s="31" t="n">
        <v>13.8</v>
      </c>
      <c r="J335" s="31" t="n">
        <v>8108.19</v>
      </c>
      <c r="K335" s="31" t="n">
        <v>0</v>
      </c>
      <c r="L335" s="32" t="n">
        <v>3</v>
      </c>
      <c r="M335" s="32" t="n">
        <v>10</v>
      </c>
      <c r="N335" s="31" t="n">
        <v>8108.19</v>
      </c>
      <c r="O335" s="31" t="n">
        <v>8108.19</v>
      </c>
      <c r="P335" s="22" t="n">
        <v>0</v>
      </c>
      <c r="Q335" s="22" t="n">
        <v>0</v>
      </c>
      <c r="R335" s="22" t="n">
        <v>0</v>
      </c>
    </row>
    <row r="336">
      <c r="A336" s="22" t="n">
        <v>201608</v>
      </c>
      <c r="B336" s="22" t="inlineStr">
        <is>
          <t>08/2016</t>
        </is>
      </c>
      <c r="C336" s="22" t="n">
        <v>39</v>
      </c>
      <c r="D336" s="22" t="inlineStr">
        <is>
          <t>S39</t>
        </is>
      </c>
      <c r="E336" s="22" t="inlineStr">
        <is>
          <t>Nexa Blaenau Gwent (S39)</t>
        </is>
      </c>
      <c r="F336" s="22" t="inlineStr">
        <is>
          <t>Anh</t>
        </is>
      </c>
      <c r="G336" s="22" t="inlineStr">
        <is>
          <t>POS</t>
        </is>
      </c>
      <c r="H336" s="31" t="n">
        <v>1621.64</v>
      </c>
      <c r="I336" s="31" t="n">
        <v>107.97</v>
      </c>
      <c r="J336" s="31" t="n">
        <v>1513.67</v>
      </c>
      <c r="K336" s="31" t="n">
        <v>0</v>
      </c>
      <c r="L336" s="32" t="n">
        <v>4</v>
      </c>
      <c r="M336" s="32" t="n">
        <v>21</v>
      </c>
      <c r="N336" s="31" t="n">
        <v>1513.67</v>
      </c>
      <c r="O336" s="31" t="n">
        <v>1513.67</v>
      </c>
      <c r="P336" s="22" t="n">
        <v>0</v>
      </c>
      <c r="Q336" s="22" t="n">
        <v>0</v>
      </c>
      <c r="R336" s="22" t="n">
        <v>0</v>
      </c>
    </row>
    <row r="337">
      <c r="A337" s="22" t="n">
        <v>201608</v>
      </c>
      <c r="B337" s="22" t="inlineStr">
        <is>
          <t>08/2016</t>
        </is>
      </c>
      <c r="C337" s="22" t="n">
        <v>40</v>
      </c>
      <c r="D337" s="22" t="inlineStr">
        <is>
          <t>S40</t>
        </is>
      </c>
      <c r="E337" s="22" t="inlineStr">
        <is>
          <t>Nexa Dungannon and South Tyrone (S40)</t>
        </is>
      </c>
      <c r="F337" s="22" t="inlineStr">
        <is>
          <t>Anh</t>
        </is>
      </c>
      <c r="G337" s="22" t="inlineStr">
        <is>
          <t>POS</t>
        </is>
      </c>
      <c r="H337" s="31" t="n">
        <v>3226.58</v>
      </c>
      <c r="I337" s="31" t="n">
        <v>53.29</v>
      </c>
      <c r="J337" s="31" t="n">
        <v>3173.29</v>
      </c>
      <c r="K337" s="31" t="n">
        <v>427.8</v>
      </c>
      <c r="L337" s="32" t="n">
        <v>4</v>
      </c>
      <c r="M337" s="32" t="n">
        <v>18</v>
      </c>
      <c r="N337" s="31" t="n">
        <v>2745.49</v>
      </c>
      <c r="O337" s="31" t="n">
        <v>3173.29</v>
      </c>
      <c r="P337" s="22" t="n">
        <v>0</v>
      </c>
      <c r="Q337" s="22" t="n">
        <v>0</v>
      </c>
      <c r="R337" s="22" t="n">
        <v>0</v>
      </c>
    </row>
    <row r="338">
      <c r="A338" s="22" t="n">
        <v>201608</v>
      </c>
      <c r="B338" s="22" t="inlineStr">
        <is>
          <t>08/2016</t>
        </is>
      </c>
      <c r="C338" s="22" t="n">
        <v>41</v>
      </c>
      <c r="D338" s="22" t="inlineStr">
        <is>
          <t>S41</t>
        </is>
      </c>
      <c r="E338" s="22" t="inlineStr">
        <is>
          <t>Nexa Fermanagh (S41)</t>
        </is>
      </c>
      <c r="F338" s="22" t="inlineStr">
        <is>
          <t>Anh</t>
        </is>
      </c>
      <c r="G338" s="22" t="inlineStr">
        <is>
          <t>POS</t>
        </is>
      </c>
      <c r="H338" s="31" t="n">
        <v>6735.87</v>
      </c>
      <c r="I338" s="31" t="n">
        <v>673.59</v>
      </c>
      <c r="J338" s="31" t="n">
        <v>6062.28</v>
      </c>
      <c r="K338" s="31" t="n">
        <v>0</v>
      </c>
      <c r="L338" s="32" t="n">
        <v>3</v>
      </c>
      <c r="M338" s="32" t="n">
        <v>40</v>
      </c>
      <c r="N338" s="31" t="n">
        <v>6062.28</v>
      </c>
      <c r="O338" s="31" t="n">
        <v>6062.28</v>
      </c>
      <c r="P338" s="22" t="n">
        <v>0</v>
      </c>
      <c r="Q338" s="22" t="n">
        <v>0</v>
      </c>
      <c r="R338" s="22" t="n">
        <v>0</v>
      </c>
    </row>
    <row r="339">
      <c r="A339" s="22" t="n">
        <v>201608</v>
      </c>
      <c r="B339" s="22" t="inlineStr">
        <is>
          <t>08/2016</t>
        </is>
      </c>
      <c r="C339" s="22" t="n">
        <v>42</v>
      </c>
      <c r="D339" s="22" t="inlineStr">
        <is>
          <t>S42</t>
        </is>
      </c>
      <c r="E339" s="22" t="inlineStr">
        <is>
          <t>Nexa North Down (S42)</t>
        </is>
      </c>
      <c r="F339" s="22" t="inlineStr">
        <is>
          <t>Anh</t>
        </is>
      </c>
      <c r="G339" s="22" t="inlineStr">
        <is>
          <t>POS</t>
        </is>
      </c>
      <c r="H339" s="31" t="n">
        <v>12675.3</v>
      </c>
      <c r="I339" s="31" t="n">
        <v>349.3</v>
      </c>
      <c r="J339" s="31" t="n">
        <v>12326</v>
      </c>
      <c r="K339" s="31" t="n">
        <v>0</v>
      </c>
      <c r="L339" s="32" t="n">
        <v>5</v>
      </c>
      <c r="M339" s="32" t="n">
        <v>34</v>
      </c>
      <c r="N339" s="31" t="n">
        <v>12326</v>
      </c>
      <c r="O339" s="31" t="n">
        <v>12326</v>
      </c>
      <c r="P339" s="22" t="n">
        <v>0</v>
      </c>
      <c r="Q339" s="22" t="n">
        <v>0</v>
      </c>
      <c r="R339" s="22" t="n">
        <v>0</v>
      </c>
    </row>
    <row r="340">
      <c r="A340" s="22" t="n">
        <v>201608</v>
      </c>
      <c r="B340" s="22" t="inlineStr">
        <is>
          <t>08/2016</t>
        </is>
      </c>
      <c r="C340" s="22" t="n">
        <v>43</v>
      </c>
      <c r="D340" s="22" t="inlineStr">
        <is>
          <t>S43</t>
        </is>
      </c>
      <c r="E340" s="22" t="inlineStr">
        <is>
          <t>Nexa Alaska (S43)</t>
        </is>
      </c>
      <c r="F340" s="22" t="inlineStr">
        <is>
          <t>Mỹ</t>
        </is>
      </c>
      <c r="G340" s="22" t="inlineStr">
        <is>
          <t>POS</t>
        </is>
      </c>
      <c r="H340" s="31" t="n">
        <v>12138.8</v>
      </c>
      <c r="I340" s="31" t="n">
        <v>863.79</v>
      </c>
      <c r="J340" s="31" t="n">
        <v>11275.01</v>
      </c>
      <c r="K340" s="31" t="n">
        <v>0</v>
      </c>
      <c r="L340" s="32" t="n">
        <v>5</v>
      </c>
      <c r="M340" s="32" t="n">
        <v>46</v>
      </c>
      <c r="N340" s="31" t="n">
        <v>11275.01</v>
      </c>
      <c r="O340" s="31" t="n">
        <v>11275.01</v>
      </c>
      <c r="P340" s="22" t="n">
        <v>0</v>
      </c>
      <c r="Q340" s="22" t="n">
        <v>0</v>
      </c>
      <c r="R340" s="22" t="n">
        <v>0</v>
      </c>
    </row>
    <row r="341">
      <c r="A341" s="22" t="n">
        <v>201608</v>
      </c>
      <c r="B341" s="22" t="inlineStr">
        <is>
          <t>08/2016</t>
        </is>
      </c>
      <c r="C341" s="22" t="n">
        <v>44</v>
      </c>
      <c r="D341" s="22" t="inlineStr">
        <is>
          <t>S44</t>
        </is>
      </c>
      <c r="E341" s="22" t="inlineStr">
        <is>
          <t>Nexa Arkansas (S44)</t>
        </is>
      </c>
      <c r="F341" s="22" t="inlineStr">
        <is>
          <t>Mỹ</t>
        </is>
      </c>
      <c r="G341" s="22" t="inlineStr">
        <is>
          <t>POS</t>
        </is>
      </c>
      <c r="H341" s="31" t="n">
        <v>8224.41</v>
      </c>
      <c r="I341" s="31" t="n">
        <v>300.38</v>
      </c>
      <c r="J341" s="31" t="n">
        <v>7924.03</v>
      </c>
      <c r="K341" s="31" t="n">
        <v>878.99</v>
      </c>
      <c r="L341" s="32" t="n">
        <v>9</v>
      </c>
      <c r="M341" s="32" t="n">
        <v>45</v>
      </c>
      <c r="N341" s="31" t="n">
        <v>7045.04</v>
      </c>
      <c r="O341" s="31" t="n">
        <v>7924.03</v>
      </c>
      <c r="P341" s="22" t="n">
        <v>0</v>
      </c>
      <c r="Q341" s="22" t="n">
        <v>0</v>
      </c>
      <c r="R341" s="22" t="n">
        <v>0</v>
      </c>
    </row>
    <row r="342">
      <c r="A342" s="22" t="n">
        <v>201608</v>
      </c>
      <c r="B342" s="22" t="inlineStr">
        <is>
          <t>08/2016</t>
        </is>
      </c>
      <c r="C342" s="22" t="n">
        <v>45</v>
      </c>
      <c r="D342" s="22" t="inlineStr">
        <is>
          <t>S45</t>
        </is>
      </c>
      <c r="E342" s="22" t="inlineStr">
        <is>
          <t>Nexa Connecticut (S45)</t>
        </is>
      </c>
      <c r="F342" s="22" t="inlineStr">
        <is>
          <t>Mỹ</t>
        </is>
      </c>
      <c r="G342" s="22" t="inlineStr">
        <is>
          <t>POS</t>
        </is>
      </c>
      <c r="H342" s="31" t="n">
        <v>6490.6</v>
      </c>
      <c r="I342" s="31" t="n">
        <v>547.37</v>
      </c>
      <c r="J342" s="31" t="n">
        <v>5943.23</v>
      </c>
      <c r="K342" s="31" t="n">
        <v>0</v>
      </c>
      <c r="L342" s="32" t="n">
        <v>3</v>
      </c>
      <c r="M342" s="32" t="n">
        <v>18</v>
      </c>
      <c r="N342" s="31" t="n">
        <v>5943.23</v>
      </c>
      <c r="O342" s="31" t="n">
        <v>5943.23</v>
      </c>
      <c r="P342" s="22" t="n">
        <v>0</v>
      </c>
      <c r="Q342" s="22" t="n">
        <v>0</v>
      </c>
      <c r="R342" s="22" t="n">
        <v>0</v>
      </c>
    </row>
    <row r="343">
      <c r="A343" s="22" t="n">
        <v>201608</v>
      </c>
      <c r="B343" s="22" t="inlineStr">
        <is>
          <t>08/2016</t>
        </is>
      </c>
      <c r="C343" s="22" t="n">
        <v>47</v>
      </c>
      <c r="D343" s="22" t="inlineStr">
        <is>
          <t>S47</t>
        </is>
      </c>
      <c r="E343" s="22" t="inlineStr">
        <is>
          <t>Nexa Hawaii (S47)</t>
        </is>
      </c>
      <c r="F343" s="22" t="inlineStr">
        <is>
          <t>Mỹ</t>
        </is>
      </c>
      <c r="G343" s="22" t="inlineStr">
        <is>
          <t>POS</t>
        </is>
      </c>
      <c r="H343" s="31" t="n">
        <v>6718.79</v>
      </c>
      <c r="I343" s="31" t="n">
        <v>671.88</v>
      </c>
      <c r="J343" s="31" t="n">
        <v>6046.91</v>
      </c>
      <c r="K343" s="31" t="n">
        <v>2875.5</v>
      </c>
      <c r="L343" s="32" t="n">
        <v>2</v>
      </c>
      <c r="M343" s="32" t="n">
        <v>16</v>
      </c>
      <c r="N343" s="31" t="n">
        <v>3171.41</v>
      </c>
      <c r="O343" s="31" t="n">
        <v>6046.91</v>
      </c>
      <c r="P343" s="22" t="n">
        <v>0</v>
      </c>
      <c r="Q343" s="22" t="n">
        <v>0</v>
      </c>
      <c r="R343" s="22" t="n">
        <v>0</v>
      </c>
    </row>
    <row r="344">
      <c r="A344" s="22" t="n">
        <v>201608</v>
      </c>
      <c r="B344" s="22" t="inlineStr">
        <is>
          <t>08/2016</t>
        </is>
      </c>
      <c r="C344" s="22" t="n">
        <v>48</v>
      </c>
      <c r="D344" s="22" t="inlineStr">
        <is>
          <t>S48</t>
        </is>
      </c>
      <c r="E344" s="22" t="inlineStr">
        <is>
          <t>Nexa Idaho (S48)</t>
        </is>
      </c>
      <c r="F344" s="22" t="inlineStr">
        <is>
          <t>Mỹ</t>
        </is>
      </c>
      <c r="G344" s="22" t="inlineStr">
        <is>
          <t>POS</t>
        </is>
      </c>
      <c r="H344" s="31" t="n">
        <v>6251.99</v>
      </c>
      <c r="I344" s="31" t="n">
        <v>0</v>
      </c>
      <c r="J344" s="31" t="n">
        <v>6251.99</v>
      </c>
      <c r="K344" s="31" t="n">
        <v>0</v>
      </c>
      <c r="L344" s="32" t="n">
        <v>5</v>
      </c>
      <c r="M344" s="32" t="n">
        <v>36</v>
      </c>
      <c r="N344" s="31" t="n">
        <v>6251.99</v>
      </c>
      <c r="O344" s="31" t="n">
        <v>6251.99</v>
      </c>
      <c r="P344" s="22" t="n">
        <v>0</v>
      </c>
      <c r="Q344" s="22" t="n">
        <v>0</v>
      </c>
      <c r="R344" s="22" t="n">
        <v>0</v>
      </c>
    </row>
    <row r="345">
      <c r="A345" s="22" t="n">
        <v>201608</v>
      </c>
      <c r="B345" s="22" t="inlineStr">
        <is>
          <t>08/2016</t>
        </is>
      </c>
      <c r="C345" s="22" t="n">
        <v>50</v>
      </c>
      <c r="D345" s="22" t="inlineStr">
        <is>
          <t>S50</t>
        </is>
      </c>
      <c r="E345" s="22" t="inlineStr">
        <is>
          <t>Nexa Kansas (S50)</t>
        </is>
      </c>
      <c r="F345" s="22" t="inlineStr">
        <is>
          <t>Mỹ</t>
        </is>
      </c>
      <c r="G345" s="22" t="inlineStr">
        <is>
          <t>POS</t>
        </is>
      </c>
      <c r="H345" s="31" t="n">
        <v>7801.46</v>
      </c>
      <c r="I345" s="31" t="n">
        <v>417.09</v>
      </c>
      <c r="J345" s="31" t="n">
        <v>7384.37</v>
      </c>
      <c r="K345" s="31" t="n">
        <v>0</v>
      </c>
      <c r="L345" s="32" t="n">
        <v>7</v>
      </c>
      <c r="M345" s="32" t="n">
        <v>29</v>
      </c>
      <c r="N345" s="31" t="n">
        <v>7384.37</v>
      </c>
      <c r="O345" s="31" t="n">
        <v>7384.37</v>
      </c>
      <c r="P345" s="22" t="n">
        <v>1</v>
      </c>
      <c r="Q345" s="22" t="n">
        <v>0</v>
      </c>
      <c r="R345" s="22" t="n">
        <v>0</v>
      </c>
    </row>
    <row r="346">
      <c r="A346" s="22" t="n">
        <v>201608</v>
      </c>
      <c r="B346" s="22" t="inlineStr">
        <is>
          <t>08/2016</t>
        </is>
      </c>
      <c r="C346" s="22" t="n">
        <v>51</v>
      </c>
      <c r="D346" s="22" t="inlineStr">
        <is>
          <t>S51</t>
        </is>
      </c>
      <c r="E346" s="22" t="inlineStr">
        <is>
          <t>Nexa Maine (S51)</t>
        </is>
      </c>
      <c r="F346" s="22" t="inlineStr">
        <is>
          <t>Mỹ</t>
        </is>
      </c>
      <c r="G346" s="22" t="inlineStr">
        <is>
          <t>POS</t>
        </is>
      </c>
      <c r="H346" s="31" t="n">
        <v>23814.38</v>
      </c>
      <c r="I346" s="31" t="n">
        <v>2134.43</v>
      </c>
      <c r="J346" s="31" t="n">
        <v>21679.95</v>
      </c>
      <c r="K346" s="31" t="n">
        <v>0</v>
      </c>
      <c r="L346" s="32" t="n">
        <v>10</v>
      </c>
      <c r="M346" s="32" t="n">
        <v>71</v>
      </c>
      <c r="N346" s="31" t="n">
        <v>21679.95</v>
      </c>
      <c r="O346" s="31" t="n">
        <v>21679.95</v>
      </c>
      <c r="P346" s="22" t="n">
        <v>1</v>
      </c>
      <c r="Q346" s="22" t="n">
        <v>0</v>
      </c>
      <c r="R346" s="22" t="n">
        <v>0</v>
      </c>
    </row>
    <row r="347">
      <c r="A347" s="22" t="n">
        <v>201608</v>
      </c>
      <c r="B347" s="22" t="inlineStr">
        <is>
          <t>08/2016</t>
        </is>
      </c>
      <c r="C347" s="22" t="n">
        <v>53</v>
      </c>
      <c r="D347" s="22" t="inlineStr">
        <is>
          <t>S53</t>
        </is>
      </c>
      <c r="E347" s="22" t="inlineStr">
        <is>
          <t>Nexa Montana (S53)</t>
        </is>
      </c>
      <c r="F347" s="22" t="inlineStr">
        <is>
          <t>Mỹ</t>
        </is>
      </c>
      <c r="G347" s="22" t="inlineStr">
        <is>
          <t>POS</t>
        </is>
      </c>
      <c r="H347" s="31" t="n">
        <v>17166.51</v>
      </c>
      <c r="I347" s="31" t="n">
        <v>1689.64</v>
      </c>
      <c r="J347" s="31" t="n">
        <v>15476.87</v>
      </c>
      <c r="K347" s="31" t="n">
        <v>257.5</v>
      </c>
      <c r="L347" s="32" t="n">
        <v>5</v>
      </c>
      <c r="M347" s="32" t="n">
        <v>42</v>
      </c>
      <c r="N347" s="31" t="n">
        <v>15219.37</v>
      </c>
      <c r="O347" s="31" t="n">
        <v>15476.87</v>
      </c>
      <c r="P347" s="22" t="n">
        <v>0</v>
      </c>
      <c r="Q347" s="22" t="n">
        <v>0</v>
      </c>
      <c r="R347" s="22" t="n">
        <v>0</v>
      </c>
    </row>
    <row r="348">
      <c r="A348" s="22" t="n">
        <v>201608</v>
      </c>
      <c r="B348" s="22" t="inlineStr">
        <is>
          <t>08/2016</t>
        </is>
      </c>
      <c r="C348" s="22" t="n">
        <v>54</v>
      </c>
      <c r="D348" s="22" t="inlineStr">
        <is>
          <t>S54</t>
        </is>
      </c>
      <c r="E348" s="22" t="inlineStr">
        <is>
          <t>Nexa Nebraska (S54)</t>
        </is>
      </c>
      <c r="F348" s="22" t="inlineStr">
        <is>
          <t>Mỹ</t>
        </is>
      </c>
      <c r="G348" s="22" t="inlineStr">
        <is>
          <t>POS</t>
        </is>
      </c>
      <c r="H348" s="31" t="n">
        <v>45752.53</v>
      </c>
      <c r="I348" s="31" t="n">
        <v>1998.94</v>
      </c>
      <c r="J348" s="31" t="n">
        <v>43753.59</v>
      </c>
      <c r="K348" s="31" t="n">
        <v>119.69</v>
      </c>
      <c r="L348" s="32" t="n">
        <v>13</v>
      </c>
      <c r="M348" s="32" t="n">
        <v>109</v>
      </c>
      <c r="N348" s="31" t="n">
        <v>43633.9</v>
      </c>
      <c r="O348" s="31" t="n">
        <v>43753.59</v>
      </c>
      <c r="P348" s="22" t="n">
        <v>0</v>
      </c>
      <c r="Q348" s="22" t="n">
        <v>0</v>
      </c>
      <c r="R348" s="22" t="n">
        <v>0</v>
      </c>
    </row>
    <row r="349">
      <c r="A349" s="22" t="n">
        <v>201608</v>
      </c>
      <c r="B349" s="22" t="inlineStr">
        <is>
          <t>08/2016</t>
        </is>
      </c>
      <c r="C349" s="22" t="n">
        <v>55</v>
      </c>
      <c r="D349" s="22" t="inlineStr">
        <is>
          <t>S55</t>
        </is>
      </c>
      <c r="E349" s="22" t="inlineStr">
        <is>
          <t>Nexa Nevada (S55)</t>
        </is>
      </c>
      <c r="F349" s="22" t="inlineStr">
        <is>
          <t>Mỹ</t>
        </is>
      </c>
      <c r="G349" s="22" t="inlineStr">
        <is>
          <t>POS</t>
        </is>
      </c>
      <c r="H349" s="31" t="n">
        <v>26989.13</v>
      </c>
      <c r="I349" s="31" t="n">
        <v>2426.78</v>
      </c>
      <c r="J349" s="31" t="n">
        <v>24562.35</v>
      </c>
      <c r="K349" s="31" t="n">
        <v>0</v>
      </c>
      <c r="L349" s="32" t="n">
        <v>5</v>
      </c>
      <c r="M349" s="32" t="n">
        <v>31</v>
      </c>
      <c r="N349" s="31" t="n">
        <v>24562.35</v>
      </c>
      <c r="O349" s="31" t="n">
        <v>24562.35</v>
      </c>
      <c r="P349" s="22" t="n">
        <v>0</v>
      </c>
      <c r="Q349" s="22" t="n">
        <v>0</v>
      </c>
      <c r="R349" s="22" t="n">
        <v>0</v>
      </c>
    </row>
    <row r="350">
      <c r="A350" s="22" t="n">
        <v>201608</v>
      </c>
      <c r="B350" s="22" t="inlineStr">
        <is>
          <t>08/2016</t>
        </is>
      </c>
      <c r="C350" s="22" t="n">
        <v>56</v>
      </c>
      <c r="D350" s="22" t="inlineStr">
        <is>
          <t>S56</t>
        </is>
      </c>
      <c r="E350" s="22" t="inlineStr">
        <is>
          <t>Nexa New Hampshire (S56)</t>
        </is>
      </c>
      <c r="F350" s="22" t="inlineStr">
        <is>
          <t>Mỹ</t>
        </is>
      </c>
      <c r="G350" s="22" t="inlineStr">
        <is>
          <t>POS</t>
        </is>
      </c>
      <c r="H350" s="31" t="n">
        <v>31860.05</v>
      </c>
      <c r="I350" s="31" t="n">
        <v>3186</v>
      </c>
      <c r="J350" s="31" t="n">
        <v>28674.05</v>
      </c>
      <c r="K350" s="31" t="n">
        <v>0</v>
      </c>
      <c r="L350" s="32" t="n">
        <v>5</v>
      </c>
      <c r="M350" s="32" t="n">
        <v>33</v>
      </c>
      <c r="N350" s="31" t="n">
        <v>28674.05</v>
      </c>
      <c r="O350" s="31" t="n">
        <v>28674.05</v>
      </c>
      <c r="P350" s="22" t="n">
        <v>1</v>
      </c>
      <c r="Q350" s="22" t="n">
        <v>0</v>
      </c>
      <c r="R350" s="22" t="n">
        <v>0</v>
      </c>
    </row>
    <row r="351">
      <c r="A351" s="22" t="n">
        <v>201608</v>
      </c>
      <c r="B351" s="22" t="inlineStr">
        <is>
          <t>08/2016</t>
        </is>
      </c>
      <c r="C351" s="22" t="n">
        <v>57</v>
      </c>
      <c r="D351" s="22" t="inlineStr">
        <is>
          <t>S57</t>
        </is>
      </c>
      <c r="E351" s="22" t="inlineStr">
        <is>
          <t>Nexa New Mexico (S57)</t>
        </is>
      </c>
      <c r="F351" s="22" t="inlineStr">
        <is>
          <t>Mỹ</t>
        </is>
      </c>
      <c r="G351" s="22" t="inlineStr">
        <is>
          <t>POS</t>
        </is>
      </c>
      <c r="H351" s="31" t="n">
        <v>8381.75</v>
      </c>
      <c r="I351" s="31" t="n">
        <v>102.9</v>
      </c>
      <c r="J351" s="31" t="n">
        <v>8278.85</v>
      </c>
      <c r="K351" s="31" t="n">
        <v>0</v>
      </c>
      <c r="L351" s="32" t="n">
        <v>5</v>
      </c>
      <c r="M351" s="32" t="n">
        <v>26</v>
      </c>
      <c r="N351" s="31" t="n">
        <v>8278.85</v>
      </c>
      <c r="O351" s="31" t="n">
        <v>8278.85</v>
      </c>
      <c r="P351" s="22" t="n">
        <v>0</v>
      </c>
      <c r="Q351" s="22" t="n">
        <v>0</v>
      </c>
      <c r="R351" s="22" t="n">
        <v>0</v>
      </c>
    </row>
    <row r="352">
      <c r="A352" s="22" t="n">
        <v>201608</v>
      </c>
      <c r="B352" s="22" t="inlineStr">
        <is>
          <t>08/2016</t>
        </is>
      </c>
      <c r="C352" s="22" t="n">
        <v>59</v>
      </c>
      <c r="D352" s="22" t="inlineStr">
        <is>
          <t>S59</t>
        </is>
      </c>
      <c r="E352" s="22" t="inlineStr">
        <is>
          <t>Nexa Oregon (S59)</t>
        </is>
      </c>
      <c r="F352" s="22" t="inlineStr">
        <is>
          <t>Mỹ</t>
        </is>
      </c>
      <c r="G352" s="22" t="inlineStr">
        <is>
          <t>POS</t>
        </is>
      </c>
      <c r="H352" s="31" t="n">
        <v>36494.88</v>
      </c>
      <c r="I352" s="31" t="n">
        <v>1156.09</v>
      </c>
      <c r="J352" s="31" t="n">
        <v>35338.79</v>
      </c>
      <c r="K352" s="31" t="n">
        <v>0</v>
      </c>
      <c r="L352" s="32" t="n">
        <v>5</v>
      </c>
      <c r="M352" s="32" t="n">
        <v>54</v>
      </c>
      <c r="N352" s="31" t="n">
        <v>35338.79</v>
      </c>
      <c r="O352" s="31" t="n">
        <v>35338.79</v>
      </c>
      <c r="P352" s="22" t="n">
        <v>0</v>
      </c>
      <c r="Q352" s="22" t="n">
        <v>0</v>
      </c>
      <c r="R352" s="22" t="n">
        <v>0</v>
      </c>
    </row>
    <row r="353">
      <c r="A353" s="22" t="n">
        <v>201608</v>
      </c>
      <c r="B353" s="22" t="inlineStr">
        <is>
          <t>08/2016</t>
        </is>
      </c>
      <c r="C353" s="22" t="n">
        <v>61</v>
      </c>
      <c r="D353" s="22" t="inlineStr">
        <is>
          <t>S61</t>
        </is>
      </c>
      <c r="E353" s="22" t="inlineStr">
        <is>
          <t>Nexa South Carolina (S61)</t>
        </is>
      </c>
      <c r="F353" s="22" t="inlineStr">
        <is>
          <t>Mỹ</t>
        </is>
      </c>
      <c r="G353" s="22" t="inlineStr">
        <is>
          <t>POS</t>
        </is>
      </c>
      <c r="H353" s="31" t="n">
        <v>2290.97</v>
      </c>
      <c r="I353" s="31" t="n">
        <v>0</v>
      </c>
      <c r="J353" s="31" t="n">
        <v>2290.97</v>
      </c>
      <c r="K353" s="31" t="n">
        <v>0</v>
      </c>
      <c r="L353" s="32" t="n">
        <v>1</v>
      </c>
      <c r="M353" s="32" t="n">
        <v>12</v>
      </c>
      <c r="N353" s="31" t="n">
        <v>2290.97</v>
      </c>
      <c r="O353" s="31" t="n">
        <v>2290.97</v>
      </c>
      <c r="P353" s="22" t="n">
        <v>0</v>
      </c>
      <c r="Q353" s="22" t="n">
        <v>0</v>
      </c>
      <c r="R353" s="22" t="n">
        <v>0</v>
      </c>
    </row>
    <row r="354">
      <c r="A354" s="22" t="n">
        <v>201608</v>
      </c>
      <c r="B354" s="22" t="inlineStr">
        <is>
          <t>08/2016</t>
        </is>
      </c>
      <c r="C354" s="22" t="n">
        <v>63</v>
      </c>
      <c r="D354" s="22" t="inlineStr">
        <is>
          <t>S63</t>
        </is>
      </c>
      <c r="E354" s="22" t="inlineStr">
        <is>
          <t>Nexa Utah (S63)</t>
        </is>
      </c>
      <c r="F354" s="22" t="inlineStr">
        <is>
          <t>Mỹ</t>
        </is>
      </c>
      <c r="G354" s="22" t="inlineStr">
        <is>
          <t>POS</t>
        </is>
      </c>
      <c r="H354" s="31" t="n">
        <v>1955.94</v>
      </c>
      <c r="I354" s="31" t="n">
        <v>0</v>
      </c>
      <c r="J354" s="31" t="n">
        <v>1955.94</v>
      </c>
      <c r="K354" s="31" t="n">
        <v>0</v>
      </c>
      <c r="L354" s="32" t="n">
        <v>2</v>
      </c>
      <c r="M354" s="32" t="n">
        <v>10</v>
      </c>
      <c r="N354" s="31" t="n">
        <v>1955.94</v>
      </c>
      <c r="O354" s="31" t="n">
        <v>1955.94</v>
      </c>
      <c r="P354" s="22" t="n">
        <v>0</v>
      </c>
      <c r="Q354" s="22" t="n">
        <v>0</v>
      </c>
      <c r="R354" s="22" t="n">
        <v>0</v>
      </c>
    </row>
    <row r="355">
      <c r="A355" s="22" t="n">
        <v>201608</v>
      </c>
      <c r="B355" s="22" t="inlineStr">
        <is>
          <t>08/2016</t>
        </is>
      </c>
      <c r="C355" s="22" t="n">
        <v>64</v>
      </c>
      <c r="D355" s="22" t="inlineStr">
        <is>
          <t>S64</t>
        </is>
      </c>
      <c r="E355" s="22" t="inlineStr">
        <is>
          <t>Nexa Washington DC (S64)</t>
        </is>
      </c>
      <c r="F355" s="22" t="inlineStr">
        <is>
          <t>Mỹ</t>
        </is>
      </c>
      <c r="G355" s="22" t="inlineStr">
        <is>
          <t>POS</t>
        </is>
      </c>
      <c r="H355" s="31" t="n">
        <v>33842.25</v>
      </c>
      <c r="I355" s="31" t="n">
        <v>1413.7</v>
      </c>
      <c r="J355" s="31" t="n">
        <v>32428.55</v>
      </c>
      <c r="K355" s="31" t="n">
        <v>0</v>
      </c>
      <c r="L355" s="32" t="n">
        <v>5</v>
      </c>
      <c r="M355" s="32" t="n">
        <v>62</v>
      </c>
      <c r="N355" s="31" t="n">
        <v>32428.55</v>
      </c>
      <c r="O355" s="31" t="n">
        <v>32428.55</v>
      </c>
      <c r="P355" s="22" t="n">
        <v>0</v>
      </c>
      <c r="Q355" s="22" t="n">
        <v>0</v>
      </c>
      <c r="R355" s="22" t="n">
        <v>0</v>
      </c>
    </row>
    <row r="356">
      <c r="A356" s="22" t="n">
        <v>201608</v>
      </c>
      <c r="B356" s="22" t="inlineStr">
        <is>
          <t>08/2016</t>
        </is>
      </c>
      <c r="C356" s="22" t="n">
        <v>65</v>
      </c>
      <c r="D356" s="22" t="inlineStr">
        <is>
          <t>S65</t>
        </is>
      </c>
      <c r="E356" s="22" t="inlineStr">
        <is>
          <t>Nexa West Virginia (S65)</t>
        </is>
      </c>
      <c r="F356" s="22" t="inlineStr">
        <is>
          <t>Mỹ</t>
        </is>
      </c>
      <c r="G356" s="22" t="inlineStr">
        <is>
          <t>POS</t>
        </is>
      </c>
      <c r="H356" s="31" t="n">
        <v>6700.87</v>
      </c>
      <c r="I356" s="31" t="n">
        <v>324.99</v>
      </c>
      <c r="J356" s="31" t="n">
        <v>6375.88</v>
      </c>
      <c r="K356" s="31" t="n">
        <v>0</v>
      </c>
      <c r="L356" s="32" t="n">
        <v>6</v>
      </c>
      <c r="M356" s="32" t="n">
        <v>32</v>
      </c>
      <c r="N356" s="31" t="n">
        <v>6375.88</v>
      </c>
      <c r="O356" s="31" t="n">
        <v>6375.88</v>
      </c>
      <c r="P356" s="22" t="n">
        <v>0</v>
      </c>
      <c r="Q356" s="22" t="n">
        <v>0</v>
      </c>
      <c r="R356" s="22" t="n">
        <v>0</v>
      </c>
    </row>
    <row r="357">
      <c r="A357" s="22" t="n">
        <v>201608</v>
      </c>
      <c r="B357" s="22" t="inlineStr">
        <is>
          <t>08/2016</t>
        </is>
      </c>
      <c r="C357" s="22" t="n">
        <v>66</v>
      </c>
      <c r="D357" s="22" t="inlineStr">
        <is>
          <t>S66</t>
        </is>
      </c>
      <c r="E357" s="22" t="inlineStr">
        <is>
          <t>Nexa Wyoming (S66)</t>
        </is>
      </c>
      <c r="F357" s="22" t="inlineStr">
        <is>
          <t>Mỹ</t>
        </is>
      </c>
      <c r="G357" s="22" t="inlineStr">
        <is>
          <t>POS</t>
        </is>
      </c>
      <c r="H357" s="31" t="n">
        <v>3715.98</v>
      </c>
      <c r="I357" s="31" t="n">
        <v>328.39</v>
      </c>
      <c r="J357" s="31" t="n">
        <v>3387.59</v>
      </c>
      <c r="K357" s="31" t="n">
        <v>263.7</v>
      </c>
      <c r="L357" s="32" t="n">
        <v>4</v>
      </c>
      <c r="M357" s="32" t="n">
        <v>18</v>
      </c>
      <c r="N357" s="31" t="n">
        <v>3387.59</v>
      </c>
      <c r="O357" s="31" t="n">
        <v>3387.59</v>
      </c>
      <c r="P357" s="22" t="n">
        <v>0</v>
      </c>
      <c r="Q357" s="22" t="n">
        <v>0</v>
      </c>
      <c r="R357" s="22" t="n">
        <v>0</v>
      </c>
    </row>
    <row r="358">
      <c r="A358" s="22" t="n">
        <v>201609</v>
      </c>
      <c r="B358" s="22" t="inlineStr">
        <is>
          <t>09/2016</t>
        </is>
      </c>
      <c r="C358" s="22" t="n">
        <v>0</v>
      </c>
      <c r="D358" s="22" t="inlineStr">
        <is>
          <t>ONL</t>
        </is>
      </c>
      <c r="E358" s="22" t="inlineStr">
        <is>
          <t>Nexa Online (website/app)</t>
        </is>
      </c>
      <c r="F358" s="22" t="inlineStr">
        <is>
          <t>Online</t>
        </is>
      </c>
      <c r="G358" s="22" t="inlineStr">
        <is>
          <t>ONLINE</t>
        </is>
      </c>
      <c r="H358" s="31" t="n">
        <v>72161.74000000001</v>
      </c>
      <c r="I358" s="31" t="n">
        <v>2013.82</v>
      </c>
      <c r="J358" s="31" t="n">
        <v>70147.92</v>
      </c>
      <c r="K358" s="31" t="n">
        <v>736.97</v>
      </c>
      <c r="L358" s="32" t="n">
        <v>41</v>
      </c>
      <c r="M358" s="32" t="n">
        <v>267</v>
      </c>
      <c r="N358" s="31" t="n">
        <v>54348.06</v>
      </c>
      <c r="O358" s="31" t="n">
        <v>55352.03</v>
      </c>
      <c r="P358" s="22" t="n">
        <v>2</v>
      </c>
      <c r="Q358" s="22" t="n">
        <v>0</v>
      </c>
      <c r="R358" s="22" t="n">
        <v>0</v>
      </c>
    </row>
    <row r="359">
      <c r="A359" s="22" t="n">
        <v>201609</v>
      </c>
      <c r="B359" s="22" t="inlineStr">
        <is>
          <t>09/2016</t>
        </is>
      </c>
      <c r="C359" s="22" t="n">
        <v>1</v>
      </c>
      <c r="D359" s="22" t="inlineStr">
        <is>
          <t>S01</t>
        </is>
      </c>
      <c r="E359" s="22" t="inlineStr">
        <is>
          <t>Nexa Australian Capital Territory (S01)</t>
        </is>
      </c>
      <c r="F359" s="22" t="inlineStr">
        <is>
          <t>Úc</t>
        </is>
      </c>
      <c r="G359" s="22" t="inlineStr">
        <is>
          <t>POS</t>
        </is>
      </c>
      <c r="H359" s="31" t="n">
        <v>4587.68</v>
      </c>
      <c r="I359" s="31" t="n">
        <v>0</v>
      </c>
      <c r="J359" s="31" t="n">
        <v>4587.68</v>
      </c>
      <c r="K359" s="31" t="n">
        <v>0</v>
      </c>
      <c r="L359" s="32" t="n">
        <v>1</v>
      </c>
      <c r="M359" s="32" t="n">
        <v>10</v>
      </c>
      <c r="N359" s="31" t="n">
        <v>4587.68</v>
      </c>
      <c r="O359" s="31" t="n">
        <v>4587.68</v>
      </c>
      <c r="P359" s="22" t="n">
        <v>0</v>
      </c>
      <c r="Q359" s="22" t="n">
        <v>0</v>
      </c>
      <c r="R359" s="22" t="n">
        <v>0</v>
      </c>
    </row>
    <row r="360">
      <c r="A360" s="22" t="n">
        <v>201609</v>
      </c>
      <c r="B360" s="22" t="inlineStr">
        <is>
          <t>09/2016</t>
        </is>
      </c>
      <c r="C360" s="22" t="n">
        <v>4</v>
      </c>
      <c r="D360" s="22" t="inlineStr">
        <is>
          <t>S04</t>
        </is>
      </c>
      <c r="E360" s="22" t="inlineStr">
        <is>
          <t>Nexa Tasmania (S04)</t>
        </is>
      </c>
      <c r="F360" s="22" t="inlineStr">
        <is>
          <t>Úc</t>
        </is>
      </c>
      <c r="G360" s="22" t="inlineStr">
        <is>
          <t>POS</t>
        </is>
      </c>
      <c r="H360" s="31" t="n">
        <v>1882.56</v>
      </c>
      <c r="I360" s="31" t="n">
        <v>0</v>
      </c>
      <c r="J360" s="31" t="n">
        <v>1882.56</v>
      </c>
      <c r="K360" s="31" t="n">
        <v>0</v>
      </c>
      <c r="L360" s="32" t="n">
        <v>2</v>
      </c>
      <c r="M360" s="32" t="n">
        <v>10</v>
      </c>
      <c r="N360" s="31" t="n">
        <v>1882.56</v>
      </c>
      <c r="O360" s="31" t="n">
        <v>1882.56</v>
      </c>
      <c r="P360" s="22" t="n">
        <v>0</v>
      </c>
      <c r="Q360" s="22" t="n">
        <v>0</v>
      </c>
      <c r="R360" s="22" t="n">
        <v>0</v>
      </c>
    </row>
    <row r="361">
      <c r="A361" s="22" t="n">
        <v>201609</v>
      </c>
      <c r="B361" s="22" t="inlineStr">
        <is>
          <t>09/2016</t>
        </is>
      </c>
      <c r="C361" s="22" t="n">
        <v>5</v>
      </c>
      <c r="D361" s="22" t="inlineStr">
        <is>
          <t>S05</t>
        </is>
      </c>
      <c r="E361" s="22" t="inlineStr">
        <is>
          <t>Nexa Victoria (S05)</t>
        </is>
      </c>
      <c r="F361" s="22" t="inlineStr">
        <is>
          <t>Úc</t>
        </is>
      </c>
      <c r="G361" s="22" t="inlineStr">
        <is>
          <t>POS</t>
        </is>
      </c>
      <c r="H361" s="31" t="n">
        <v>16226.36</v>
      </c>
      <c r="I361" s="31" t="n">
        <v>399.2</v>
      </c>
      <c r="J361" s="31" t="n">
        <v>15827.16</v>
      </c>
      <c r="K361" s="31" t="n">
        <v>0</v>
      </c>
      <c r="L361" s="32" t="n">
        <v>5</v>
      </c>
      <c r="M361" s="32" t="n">
        <v>38</v>
      </c>
      <c r="N361" s="31" t="n">
        <v>15827.16</v>
      </c>
      <c r="O361" s="31" t="n">
        <v>15827.16</v>
      </c>
      <c r="P361" s="22" t="n">
        <v>0</v>
      </c>
      <c r="Q361" s="22" t="n">
        <v>0</v>
      </c>
      <c r="R361" s="22" t="n">
        <v>0</v>
      </c>
    </row>
    <row r="362">
      <c r="A362" s="22" t="n">
        <v>201609</v>
      </c>
      <c r="B362" s="22" t="inlineStr">
        <is>
          <t>09/2016</t>
        </is>
      </c>
      <c r="C362" s="22" t="n">
        <v>6</v>
      </c>
      <c r="D362" s="22" t="inlineStr">
        <is>
          <t>S06</t>
        </is>
      </c>
      <c r="E362" s="22" t="inlineStr">
        <is>
          <t>Nexa Western Australia (S06)</t>
        </is>
      </c>
      <c r="F362" s="22" t="inlineStr">
        <is>
          <t>Úc</t>
        </is>
      </c>
      <c r="G362" s="22" t="inlineStr">
        <is>
          <t>POS</t>
        </is>
      </c>
      <c r="H362" s="31" t="n">
        <v>7665.98</v>
      </c>
      <c r="I362" s="31" t="n">
        <v>702</v>
      </c>
      <c r="J362" s="31" t="n">
        <v>6963.98</v>
      </c>
      <c r="K362" s="31" t="n">
        <v>799.2</v>
      </c>
      <c r="L362" s="32" t="n">
        <v>2</v>
      </c>
      <c r="M362" s="32" t="n">
        <v>5</v>
      </c>
      <c r="N362" s="31" t="n">
        <v>6164.78</v>
      </c>
      <c r="O362" s="31" t="n">
        <v>6963.98</v>
      </c>
      <c r="P362" s="22" t="n">
        <v>0</v>
      </c>
      <c r="Q362" s="22" t="n">
        <v>0</v>
      </c>
      <c r="R362" s="22" t="n">
        <v>0</v>
      </c>
    </row>
    <row r="363">
      <c r="A363" s="22" t="n">
        <v>201609</v>
      </c>
      <c r="B363" s="22" t="inlineStr">
        <is>
          <t>09/2016</t>
        </is>
      </c>
      <c r="C363" s="22" t="n">
        <v>8</v>
      </c>
      <c r="D363" s="22" t="inlineStr">
        <is>
          <t>S08</t>
        </is>
      </c>
      <c r="E363" s="22" t="inlineStr">
        <is>
          <t>Nexa Newfoundland and Labrador (S08)</t>
        </is>
      </c>
      <c r="F363" s="22" t="inlineStr">
        <is>
          <t>Canada</t>
        </is>
      </c>
      <c r="G363" s="22" t="inlineStr">
        <is>
          <t>POS</t>
        </is>
      </c>
      <c r="H363" s="31" t="n">
        <v>12385.8</v>
      </c>
      <c r="I363" s="31" t="n">
        <v>338.17</v>
      </c>
      <c r="J363" s="31" t="n">
        <v>12047.63</v>
      </c>
      <c r="K363" s="31" t="n">
        <v>0</v>
      </c>
      <c r="L363" s="32" t="n">
        <v>6</v>
      </c>
      <c r="M363" s="32" t="n">
        <v>57</v>
      </c>
      <c r="N363" s="31" t="n">
        <v>12047.63</v>
      </c>
      <c r="O363" s="31" t="n">
        <v>12047.63</v>
      </c>
      <c r="P363" s="22" t="n">
        <v>0</v>
      </c>
      <c r="Q363" s="22" t="n">
        <v>0</v>
      </c>
      <c r="R363" s="22" t="n">
        <v>0</v>
      </c>
    </row>
    <row r="364">
      <c r="A364" s="22" t="n">
        <v>201609</v>
      </c>
      <c r="B364" s="22" t="inlineStr">
        <is>
          <t>09/2016</t>
        </is>
      </c>
      <c r="C364" s="22" t="n">
        <v>9</v>
      </c>
      <c r="D364" s="22" t="inlineStr">
        <is>
          <t>S09</t>
        </is>
      </c>
      <c r="E364" s="22" t="inlineStr">
        <is>
          <t>Nexa Northwest Territories (S09)</t>
        </is>
      </c>
      <c r="F364" s="22" t="inlineStr">
        <is>
          <t>Canada</t>
        </is>
      </c>
      <c r="G364" s="22" t="inlineStr">
        <is>
          <t>POS</t>
        </is>
      </c>
      <c r="H364" s="31" t="n">
        <v>61827.89</v>
      </c>
      <c r="I364" s="31" t="n">
        <v>2359.52</v>
      </c>
      <c r="J364" s="31" t="n">
        <v>59468.37</v>
      </c>
      <c r="K364" s="31" t="n">
        <v>0</v>
      </c>
      <c r="L364" s="32" t="n">
        <v>14</v>
      </c>
      <c r="M364" s="32" t="n">
        <v>121</v>
      </c>
      <c r="N364" s="31" t="n">
        <v>59468.37</v>
      </c>
      <c r="O364" s="31" t="n">
        <v>59468.37</v>
      </c>
      <c r="P364" s="22" t="n">
        <v>0</v>
      </c>
      <c r="Q364" s="22" t="n">
        <v>0</v>
      </c>
      <c r="R364" s="22" t="n">
        <v>1</v>
      </c>
    </row>
    <row r="365">
      <c r="A365" s="22" t="n">
        <v>201609</v>
      </c>
      <c r="B365" s="22" t="inlineStr">
        <is>
          <t>09/2016</t>
        </is>
      </c>
      <c r="C365" s="22" t="n">
        <v>10</v>
      </c>
      <c r="D365" s="22" t="inlineStr">
        <is>
          <t>S10</t>
        </is>
      </c>
      <c r="E365" s="22" t="inlineStr">
        <is>
          <t>Nexa Nunavut (S10)</t>
        </is>
      </c>
      <c r="F365" s="22" t="inlineStr">
        <is>
          <t>Canada</t>
        </is>
      </c>
      <c r="G365" s="22" t="inlineStr">
        <is>
          <t>POS</t>
        </is>
      </c>
      <c r="H365" s="31" t="n">
        <v>7502.89</v>
      </c>
      <c r="I365" s="31" t="n">
        <v>294</v>
      </c>
      <c r="J365" s="31" t="n">
        <v>7208.89</v>
      </c>
      <c r="K365" s="31" t="n">
        <v>0</v>
      </c>
      <c r="L365" s="32" t="n">
        <v>6</v>
      </c>
      <c r="M365" s="32" t="n">
        <v>27</v>
      </c>
      <c r="N365" s="31" t="n">
        <v>7208.89</v>
      </c>
      <c r="O365" s="31" t="n">
        <v>7208.89</v>
      </c>
      <c r="P365" s="22" t="n">
        <v>0</v>
      </c>
      <c r="Q365" s="22" t="n">
        <v>0</v>
      </c>
      <c r="R365" s="22" t="n">
        <v>0</v>
      </c>
    </row>
    <row r="366">
      <c r="A366" s="22" t="n">
        <v>201609</v>
      </c>
      <c r="B366" s="22" t="inlineStr">
        <is>
          <t>09/2016</t>
        </is>
      </c>
      <c r="C366" s="22" t="n">
        <v>12</v>
      </c>
      <c r="D366" s="22" t="inlineStr">
        <is>
          <t>S12</t>
        </is>
      </c>
      <c r="E366" s="22" t="inlineStr">
        <is>
          <t>Nexa Basse-Normandie (S12)</t>
        </is>
      </c>
      <c r="F366" s="22" t="inlineStr">
        <is>
          <t>Pháp</t>
        </is>
      </c>
      <c r="G366" s="22" t="inlineStr">
        <is>
          <t>POS</t>
        </is>
      </c>
      <c r="H366" s="31" t="n">
        <v>0</v>
      </c>
      <c r="I366" s="31" t="n">
        <v>0</v>
      </c>
      <c r="J366" s="31" t="n">
        <v>0</v>
      </c>
      <c r="K366" s="31" t="n">
        <v>40.55</v>
      </c>
      <c r="L366" s="32" t="n">
        <v>0</v>
      </c>
      <c r="M366" s="32" t="n">
        <v>0</v>
      </c>
      <c r="N366" s="31" t="n">
        <v>-40.55</v>
      </c>
      <c r="O366" s="31" t="n">
        <v>0</v>
      </c>
      <c r="P366" s="22" t="n">
        <v>0</v>
      </c>
      <c r="Q366" s="22" t="n">
        <v>0</v>
      </c>
      <c r="R366" s="22" t="n">
        <v>0</v>
      </c>
    </row>
    <row r="367">
      <c r="A367" s="22" t="n">
        <v>201609</v>
      </c>
      <c r="B367" s="22" t="inlineStr">
        <is>
          <t>09/2016</t>
        </is>
      </c>
      <c r="C367" s="22" t="n">
        <v>13</v>
      </c>
      <c r="D367" s="22" t="inlineStr">
        <is>
          <t>S13</t>
        </is>
      </c>
      <c r="E367" s="22" t="inlineStr">
        <is>
          <t>Nexa Corse (S13)</t>
        </is>
      </c>
      <c r="F367" s="22" t="inlineStr">
        <is>
          <t>Pháp</t>
        </is>
      </c>
      <c r="G367" s="22" t="inlineStr">
        <is>
          <t>POS</t>
        </is>
      </c>
      <c r="H367" s="31" t="n">
        <v>1957.73</v>
      </c>
      <c r="I367" s="31" t="n">
        <v>135.88</v>
      </c>
      <c r="J367" s="31" t="n">
        <v>1821.85</v>
      </c>
      <c r="K367" s="31" t="n">
        <v>0</v>
      </c>
      <c r="L367" s="32" t="n">
        <v>2</v>
      </c>
      <c r="M367" s="32" t="n">
        <v>17</v>
      </c>
      <c r="N367" s="31" t="n">
        <v>1821.85</v>
      </c>
      <c r="O367" s="31" t="n">
        <v>1821.85</v>
      </c>
      <c r="P367" s="22" t="n">
        <v>0</v>
      </c>
      <c r="Q367" s="22" t="n">
        <v>0</v>
      </c>
      <c r="R367" s="22" t="n">
        <v>0</v>
      </c>
    </row>
    <row r="368">
      <c r="A368" s="22" t="n">
        <v>201609</v>
      </c>
      <c r="B368" s="22" t="inlineStr">
        <is>
          <t>09/2016</t>
        </is>
      </c>
      <c r="C368" s="22" t="n">
        <v>15</v>
      </c>
      <c r="D368" s="22" t="inlineStr">
        <is>
          <t>S15</t>
        </is>
      </c>
      <c r="E368" s="22" t="inlineStr">
        <is>
          <t>Nexa La Réunion (S15)</t>
        </is>
      </c>
      <c r="F368" s="22" t="inlineStr">
        <is>
          <t>Pháp</t>
        </is>
      </c>
      <c r="G368" s="22" t="inlineStr">
        <is>
          <t>POS</t>
        </is>
      </c>
      <c r="H368" s="31" t="n">
        <v>267</v>
      </c>
      <c r="I368" s="31" t="n">
        <v>0</v>
      </c>
      <c r="J368" s="31" t="n">
        <v>267</v>
      </c>
      <c r="K368" s="31" t="n">
        <v>0</v>
      </c>
      <c r="L368" s="32" t="n">
        <v>1</v>
      </c>
      <c r="M368" s="32" t="n">
        <v>1</v>
      </c>
      <c r="N368" s="31" t="n">
        <v>267</v>
      </c>
      <c r="O368" s="31" t="n">
        <v>267</v>
      </c>
      <c r="P368" s="22" t="n">
        <v>0</v>
      </c>
      <c r="Q368" s="22" t="n">
        <v>0</v>
      </c>
      <c r="R368" s="22" t="n">
        <v>0</v>
      </c>
    </row>
    <row r="369">
      <c r="A369" s="22" t="n">
        <v>201609</v>
      </c>
      <c r="B369" s="22" t="inlineStr">
        <is>
          <t>09/2016</t>
        </is>
      </c>
      <c r="C369" s="22" t="n">
        <v>16</v>
      </c>
      <c r="D369" s="22" t="inlineStr">
        <is>
          <t>S16</t>
        </is>
      </c>
      <c r="E369" s="22" t="inlineStr">
        <is>
          <t>Nexa Limousin (S16)</t>
        </is>
      </c>
      <c r="F369" s="22" t="inlineStr">
        <is>
          <t>Pháp</t>
        </is>
      </c>
      <c r="G369" s="22" t="inlineStr">
        <is>
          <t>POS</t>
        </is>
      </c>
      <c r="H369" s="31" t="n">
        <v>8511.82</v>
      </c>
      <c r="I369" s="31" t="n">
        <v>549.58</v>
      </c>
      <c r="J369" s="31" t="n">
        <v>7962.24</v>
      </c>
      <c r="K369" s="31" t="n">
        <v>0</v>
      </c>
      <c r="L369" s="32" t="n">
        <v>2</v>
      </c>
      <c r="M369" s="32" t="n">
        <v>38</v>
      </c>
      <c r="N369" s="31" t="n">
        <v>7962.24</v>
      </c>
      <c r="O369" s="31" t="n">
        <v>7962.24</v>
      </c>
      <c r="P369" s="22" t="n">
        <v>0</v>
      </c>
      <c r="Q369" s="22" t="n">
        <v>0</v>
      </c>
      <c r="R369" s="22" t="n">
        <v>0</v>
      </c>
    </row>
    <row r="370">
      <c r="A370" s="22" t="n">
        <v>201609</v>
      </c>
      <c r="B370" s="22" t="inlineStr">
        <is>
          <t>09/2016</t>
        </is>
      </c>
      <c r="C370" s="22" t="n">
        <v>18</v>
      </c>
      <c r="D370" s="22" t="inlineStr">
        <is>
          <t>S18</t>
        </is>
      </c>
      <c r="E370" s="22" t="inlineStr">
        <is>
          <t>Nexa Mayotte (S18)</t>
        </is>
      </c>
      <c r="F370" s="22" t="inlineStr">
        <is>
          <t>Pháp</t>
        </is>
      </c>
      <c r="G370" s="22" t="inlineStr">
        <is>
          <t>POS</t>
        </is>
      </c>
      <c r="H370" s="31" t="n">
        <v>4861</v>
      </c>
      <c r="I370" s="31" t="n">
        <v>0</v>
      </c>
      <c r="J370" s="31" t="n">
        <v>4861</v>
      </c>
      <c r="K370" s="31" t="n">
        <v>0</v>
      </c>
      <c r="L370" s="32" t="n">
        <v>1</v>
      </c>
      <c r="M370" s="32" t="n">
        <v>4</v>
      </c>
      <c r="N370" s="31" t="n">
        <v>4861</v>
      </c>
      <c r="O370" s="31" t="n">
        <v>4861</v>
      </c>
      <c r="P370" s="22" t="n">
        <v>0</v>
      </c>
      <c r="Q370" s="22" t="n">
        <v>0</v>
      </c>
      <c r="R370" s="22" t="n">
        <v>0</v>
      </c>
    </row>
    <row r="371">
      <c r="A371" s="22" t="n">
        <v>201609</v>
      </c>
      <c r="B371" s="22" t="inlineStr">
        <is>
          <t>09/2016</t>
        </is>
      </c>
      <c r="C371" s="22" t="n">
        <v>19</v>
      </c>
      <c r="D371" s="22" t="inlineStr">
        <is>
          <t>S19</t>
        </is>
      </c>
      <c r="E371" s="22" t="inlineStr">
        <is>
          <t>Nexa Berlin (S19)</t>
        </is>
      </c>
      <c r="F371" s="22" t="inlineStr">
        <is>
          <t>Đức</t>
        </is>
      </c>
      <c r="G371" s="22" t="inlineStr">
        <is>
          <t>POS</t>
        </is>
      </c>
      <c r="H371" s="31" t="n">
        <v>2847.09</v>
      </c>
      <c r="I371" s="31" t="n">
        <v>115.68</v>
      </c>
      <c r="J371" s="31" t="n">
        <v>2731.41</v>
      </c>
      <c r="K371" s="31" t="n">
        <v>0</v>
      </c>
      <c r="L371" s="32" t="n">
        <v>4</v>
      </c>
      <c r="M371" s="32" t="n">
        <v>26</v>
      </c>
      <c r="N371" s="31" t="n">
        <v>2731.41</v>
      </c>
      <c r="O371" s="31" t="n">
        <v>2731.41</v>
      </c>
      <c r="P371" s="22" t="n">
        <v>0</v>
      </c>
      <c r="Q371" s="22" t="n">
        <v>0</v>
      </c>
      <c r="R371" s="22" t="n">
        <v>0</v>
      </c>
    </row>
    <row r="372">
      <c r="A372" s="22" t="n">
        <v>201609</v>
      </c>
      <c r="B372" s="22" t="inlineStr">
        <is>
          <t>09/2016</t>
        </is>
      </c>
      <c r="C372" s="22" t="n">
        <v>20</v>
      </c>
      <c r="D372" s="22" t="inlineStr">
        <is>
          <t>S20</t>
        </is>
      </c>
      <c r="E372" s="22" t="inlineStr">
        <is>
          <t>Nexa Brandenburg (S20)</t>
        </is>
      </c>
      <c r="F372" s="22" t="inlineStr">
        <is>
          <t>Đức</t>
        </is>
      </c>
      <c r="G372" s="22" t="inlineStr">
        <is>
          <t>POS</t>
        </is>
      </c>
      <c r="H372" s="31" t="n">
        <v>5614.44</v>
      </c>
      <c r="I372" s="31" t="n">
        <v>127.9</v>
      </c>
      <c r="J372" s="31" t="n">
        <v>5486.54</v>
      </c>
      <c r="K372" s="31" t="n">
        <v>0</v>
      </c>
      <c r="L372" s="32" t="n">
        <v>6</v>
      </c>
      <c r="M372" s="32" t="n">
        <v>22</v>
      </c>
      <c r="N372" s="31" t="n">
        <v>5486.54</v>
      </c>
      <c r="O372" s="31" t="n">
        <v>5486.54</v>
      </c>
      <c r="P372" s="22" t="n">
        <v>0</v>
      </c>
      <c r="Q372" s="22" t="n">
        <v>0</v>
      </c>
      <c r="R372" s="22" t="n">
        <v>0</v>
      </c>
    </row>
    <row r="373">
      <c r="A373" s="22" t="n">
        <v>201609</v>
      </c>
      <c r="B373" s="22" t="inlineStr">
        <is>
          <t>09/2016</t>
        </is>
      </c>
      <c r="C373" s="22" t="n">
        <v>22</v>
      </c>
      <c r="D373" s="22" t="inlineStr">
        <is>
          <t>S22</t>
        </is>
      </c>
      <c r="E373" s="22" t="inlineStr">
        <is>
          <t>Nexa Freistaat Thüringen (S22)</t>
        </is>
      </c>
      <c r="F373" s="22" t="inlineStr">
        <is>
          <t>Đức</t>
        </is>
      </c>
      <c r="G373" s="22" t="inlineStr">
        <is>
          <t>POS</t>
        </is>
      </c>
      <c r="H373" s="31" t="n">
        <v>1529.83</v>
      </c>
      <c r="I373" s="31" t="n">
        <v>111.24</v>
      </c>
      <c r="J373" s="31" t="n">
        <v>1418.59</v>
      </c>
      <c r="K373" s="31" t="n">
        <v>256.5</v>
      </c>
      <c r="L373" s="32" t="n">
        <v>2</v>
      </c>
      <c r="M373" s="32" t="n">
        <v>13</v>
      </c>
      <c r="N373" s="31" t="n">
        <v>1418.59</v>
      </c>
      <c r="O373" s="31" t="n">
        <v>1418.59</v>
      </c>
      <c r="P373" s="22" t="n">
        <v>0</v>
      </c>
      <c r="Q373" s="22" t="n">
        <v>0</v>
      </c>
      <c r="R373" s="22" t="n">
        <v>0</v>
      </c>
    </row>
    <row r="374">
      <c r="A374" s="22" t="n">
        <v>201609</v>
      </c>
      <c r="B374" s="22" t="inlineStr">
        <is>
          <t>09/2016</t>
        </is>
      </c>
      <c r="C374" s="22" t="n">
        <v>23</v>
      </c>
      <c r="D374" s="22" t="inlineStr">
        <is>
          <t>S23</t>
        </is>
      </c>
      <c r="E374" s="22" t="inlineStr">
        <is>
          <t>Nexa Hamburg (S23)</t>
        </is>
      </c>
      <c r="F374" s="22" t="inlineStr">
        <is>
          <t>Đức</t>
        </is>
      </c>
      <c r="G374" s="22" t="inlineStr">
        <is>
          <t>POS</t>
        </is>
      </c>
      <c r="H374" s="31" t="n">
        <v>7388.95</v>
      </c>
      <c r="I374" s="31" t="n">
        <v>400.5</v>
      </c>
      <c r="J374" s="31" t="n">
        <v>6988.45</v>
      </c>
      <c r="K374" s="31" t="n">
        <v>0</v>
      </c>
      <c r="L374" s="32" t="n">
        <v>3</v>
      </c>
      <c r="M374" s="32" t="n">
        <v>22</v>
      </c>
      <c r="N374" s="31" t="n">
        <v>6988.45</v>
      </c>
      <c r="O374" s="31" t="n">
        <v>6988.45</v>
      </c>
      <c r="P374" s="22" t="n">
        <v>0</v>
      </c>
      <c r="Q374" s="22" t="n">
        <v>0</v>
      </c>
      <c r="R374" s="22" t="n">
        <v>0</v>
      </c>
    </row>
    <row r="375">
      <c r="A375" s="22" t="n">
        <v>201609</v>
      </c>
      <c r="B375" s="22" t="inlineStr">
        <is>
          <t>09/2016</t>
        </is>
      </c>
      <c r="C375" s="22" t="n">
        <v>24</v>
      </c>
      <c r="D375" s="22" t="inlineStr">
        <is>
          <t>S24</t>
        </is>
      </c>
      <c r="E375" s="22" t="inlineStr">
        <is>
          <t>Nexa Hessen (S24)</t>
        </is>
      </c>
      <c r="F375" s="22" t="inlineStr">
        <is>
          <t>Đức</t>
        </is>
      </c>
      <c r="G375" s="22" t="inlineStr">
        <is>
          <t>POS</t>
        </is>
      </c>
      <c r="H375" s="31" t="n">
        <v>2836.65</v>
      </c>
      <c r="I375" s="31" t="n">
        <v>0</v>
      </c>
      <c r="J375" s="31" t="n">
        <v>2836.65</v>
      </c>
      <c r="K375" s="31" t="n">
        <v>0</v>
      </c>
      <c r="L375" s="32" t="n">
        <v>2</v>
      </c>
      <c r="M375" s="32" t="n">
        <v>9</v>
      </c>
      <c r="N375" s="31" t="n">
        <v>2836.65</v>
      </c>
      <c r="O375" s="31" t="n">
        <v>2836.65</v>
      </c>
      <c r="P375" s="22" t="n">
        <v>0</v>
      </c>
      <c r="Q375" s="22" t="n">
        <v>0</v>
      </c>
      <c r="R375" s="22" t="n">
        <v>0</v>
      </c>
    </row>
    <row r="376">
      <c r="A376" s="22" t="n">
        <v>201609</v>
      </c>
      <c r="B376" s="22" t="inlineStr">
        <is>
          <t>09/2016</t>
        </is>
      </c>
      <c r="C376" s="22" t="n">
        <v>27</v>
      </c>
      <c r="D376" s="22" t="inlineStr">
        <is>
          <t>S27</t>
        </is>
      </c>
      <c r="E376" s="22" t="inlineStr">
        <is>
          <t>Nexa Sachsen-Anhalt (S27)</t>
        </is>
      </c>
      <c r="F376" s="22" t="inlineStr">
        <is>
          <t>Đức</t>
        </is>
      </c>
      <c r="G376" s="22" t="inlineStr">
        <is>
          <t>POS</t>
        </is>
      </c>
      <c r="H376" s="31" t="n">
        <v>3196.75</v>
      </c>
      <c r="I376" s="31" t="n">
        <v>144.7</v>
      </c>
      <c r="J376" s="31" t="n">
        <v>3052.05</v>
      </c>
      <c r="K376" s="31" t="n">
        <v>62.1</v>
      </c>
      <c r="L376" s="32" t="n">
        <v>2</v>
      </c>
      <c r="M376" s="32" t="n">
        <v>20</v>
      </c>
      <c r="N376" s="31" t="n">
        <v>2989.95</v>
      </c>
      <c r="O376" s="31" t="n">
        <v>3052.05</v>
      </c>
      <c r="P376" s="22" t="n">
        <v>0</v>
      </c>
      <c r="Q376" s="22" t="n">
        <v>0</v>
      </c>
      <c r="R376" s="22" t="n">
        <v>0</v>
      </c>
    </row>
    <row r="377">
      <c r="A377" s="22" t="n">
        <v>201609</v>
      </c>
      <c r="B377" s="22" t="inlineStr">
        <is>
          <t>09/2016</t>
        </is>
      </c>
      <c r="C377" s="22" t="n">
        <v>28</v>
      </c>
      <c r="D377" s="22" t="inlineStr">
        <is>
          <t>S28</t>
        </is>
      </c>
      <c r="E377" s="22" t="inlineStr">
        <is>
          <t>Nexa Caltanissetta (S28)</t>
        </is>
      </c>
      <c r="F377" s="22" t="inlineStr">
        <is>
          <t>Ý</t>
        </is>
      </c>
      <c r="G377" s="22" t="inlineStr">
        <is>
          <t>POS</t>
        </is>
      </c>
      <c r="H377" s="31" t="n">
        <v>3726.64</v>
      </c>
      <c r="I377" s="31" t="n">
        <v>0</v>
      </c>
      <c r="J377" s="31" t="n">
        <v>3726.64</v>
      </c>
      <c r="K377" s="31" t="n">
        <v>12.99</v>
      </c>
      <c r="L377" s="32" t="n">
        <v>3</v>
      </c>
      <c r="M377" s="32" t="n">
        <v>24</v>
      </c>
      <c r="N377" s="31" t="n">
        <v>3713.65</v>
      </c>
      <c r="O377" s="31" t="n">
        <v>3726.64</v>
      </c>
      <c r="P377" s="22" t="n">
        <v>0</v>
      </c>
      <c r="Q377" s="22" t="n">
        <v>0</v>
      </c>
      <c r="R377" s="22" t="n">
        <v>0</v>
      </c>
    </row>
    <row r="378">
      <c r="A378" s="22" t="n">
        <v>201609</v>
      </c>
      <c r="B378" s="22" t="inlineStr">
        <is>
          <t>09/2016</t>
        </is>
      </c>
      <c r="C378" s="22" t="n">
        <v>29</v>
      </c>
      <c r="D378" s="22" t="inlineStr">
        <is>
          <t>S29</t>
        </is>
      </c>
      <c r="E378" s="22" t="inlineStr">
        <is>
          <t>Nexa Enna (S29)</t>
        </is>
      </c>
      <c r="F378" s="22" t="inlineStr">
        <is>
          <t>Ý</t>
        </is>
      </c>
      <c r="G378" s="22" t="inlineStr">
        <is>
          <t>POS</t>
        </is>
      </c>
      <c r="H378" s="31" t="n">
        <v>5304.76</v>
      </c>
      <c r="I378" s="31" t="n">
        <v>39.99</v>
      </c>
      <c r="J378" s="31" t="n">
        <v>5264.77</v>
      </c>
      <c r="K378" s="31" t="n">
        <v>0</v>
      </c>
      <c r="L378" s="32" t="n">
        <v>3</v>
      </c>
      <c r="M378" s="32" t="n">
        <v>17</v>
      </c>
      <c r="N378" s="31" t="n">
        <v>5264.77</v>
      </c>
      <c r="O378" s="31" t="n">
        <v>5264.77</v>
      </c>
      <c r="P378" s="22" t="n">
        <v>0</v>
      </c>
      <c r="Q378" s="22" t="n">
        <v>0</v>
      </c>
      <c r="R378" s="22" t="n">
        <v>0</v>
      </c>
    </row>
    <row r="379">
      <c r="A379" s="22" t="n">
        <v>201609</v>
      </c>
      <c r="B379" s="22" t="inlineStr">
        <is>
          <t>09/2016</t>
        </is>
      </c>
      <c r="C379" s="22" t="n">
        <v>30</v>
      </c>
      <c r="D379" s="22" t="inlineStr">
        <is>
          <t>S30</t>
        </is>
      </c>
      <c r="E379" s="22" t="inlineStr">
        <is>
          <t>Nexa Pesaro (S30)</t>
        </is>
      </c>
      <c r="F379" s="22" t="inlineStr">
        <is>
          <t>Ý</t>
        </is>
      </c>
      <c r="G379" s="22" t="inlineStr">
        <is>
          <t>POS</t>
        </is>
      </c>
      <c r="H379" s="31" t="n">
        <v>505.46</v>
      </c>
      <c r="I379" s="31" t="n">
        <v>0</v>
      </c>
      <c r="J379" s="31" t="n">
        <v>505.46</v>
      </c>
      <c r="K379" s="31" t="n">
        <v>0</v>
      </c>
      <c r="L379" s="32" t="n">
        <v>2</v>
      </c>
      <c r="M379" s="32" t="n">
        <v>5</v>
      </c>
      <c r="N379" s="31" t="n">
        <v>505.46</v>
      </c>
      <c r="O379" s="31" t="n">
        <v>505.46</v>
      </c>
      <c r="P379" s="22" t="n">
        <v>0</v>
      </c>
      <c r="Q379" s="22" t="n">
        <v>0</v>
      </c>
      <c r="R379" s="22" t="n">
        <v>0</v>
      </c>
    </row>
    <row r="380">
      <c r="A380" s="22" t="n">
        <v>201609</v>
      </c>
      <c r="B380" s="22" t="inlineStr">
        <is>
          <t>09/2016</t>
        </is>
      </c>
      <c r="C380" s="22" t="n">
        <v>31</v>
      </c>
      <c r="D380" s="22" t="inlineStr">
        <is>
          <t>S31</t>
        </is>
      </c>
      <c r="E380" s="22" t="inlineStr">
        <is>
          <t>Nexa Drenthe (S31)</t>
        </is>
      </c>
      <c r="F380" s="22" t="inlineStr">
        <is>
          <t>Hà Lan</t>
        </is>
      </c>
      <c r="G380" s="22" t="inlineStr">
        <is>
          <t>POS</t>
        </is>
      </c>
      <c r="H380" s="31" t="n">
        <v>1103.87</v>
      </c>
      <c r="I380" s="31" t="n">
        <v>0</v>
      </c>
      <c r="J380" s="31" t="n">
        <v>1103.87</v>
      </c>
      <c r="K380" s="31" t="n">
        <v>0</v>
      </c>
      <c r="L380" s="32" t="n">
        <v>3</v>
      </c>
      <c r="M380" s="32" t="n">
        <v>7</v>
      </c>
      <c r="N380" s="31" t="n">
        <v>1103.87</v>
      </c>
      <c r="O380" s="31" t="n">
        <v>1103.87</v>
      </c>
      <c r="P380" s="22" t="n">
        <v>0</v>
      </c>
      <c r="Q380" s="22" t="n">
        <v>0</v>
      </c>
      <c r="R380" s="22" t="n">
        <v>0</v>
      </c>
    </row>
    <row r="381">
      <c r="A381" s="22" t="n">
        <v>201609</v>
      </c>
      <c r="B381" s="22" t="inlineStr">
        <is>
          <t>09/2016</t>
        </is>
      </c>
      <c r="C381" s="22" t="n">
        <v>32</v>
      </c>
      <c r="D381" s="22" t="inlineStr">
        <is>
          <t>S32</t>
        </is>
      </c>
      <c r="E381" s="22" t="inlineStr">
        <is>
          <t>Nexa Flevoland (S32)</t>
        </is>
      </c>
      <c r="F381" s="22" t="inlineStr">
        <is>
          <t>Hà Lan</t>
        </is>
      </c>
      <c r="G381" s="22" t="inlineStr">
        <is>
          <t>POS</t>
        </is>
      </c>
      <c r="H381" s="31" t="n">
        <v>717.92</v>
      </c>
      <c r="I381" s="31" t="n">
        <v>0</v>
      </c>
      <c r="J381" s="31" t="n">
        <v>717.92</v>
      </c>
      <c r="K381" s="31" t="n">
        <v>0</v>
      </c>
      <c r="L381" s="32" t="n">
        <v>1</v>
      </c>
      <c r="M381" s="32" t="n">
        <v>9</v>
      </c>
      <c r="N381" s="31" t="n">
        <v>717.92</v>
      </c>
      <c r="O381" s="31" t="n">
        <v>717.92</v>
      </c>
      <c r="P381" s="22" t="n">
        <v>0</v>
      </c>
      <c r="Q381" s="22" t="n">
        <v>0</v>
      </c>
      <c r="R381" s="22" t="n">
        <v>0</v>
      </c>
    </row>
    <row r="382">
      <c r="A382" s="22" t="n">
        <v>201609</v>
      </c>
      <c r="B382" s="22" t="inlineStr">
        <is>
          <t>09/2016</t>
        </is>
      </c>
      <c r="C382" s="22" t="n">
        <v>33</v>
      </c>
      <c r="D382" s="22" t="inlineStr">
        <is>
          <t>S33</t>
        </is>
      </c>
      <c r="E382" s="22" t="inlineStr">
        <is>
          <t>Nexa Friesland (S33)</t>
        </is>
      </c>
      <c r="F382" s="22" t="inlineStr">
        <is>
          <t>Hà Lan</t>
        </is>
      </c>
      <c r="G382" s="22" t="inlineStr">
        <is>
          <t>POS</t>
        </is>
      </c>
      <c r="H382" s="31" t="n">
        <v>13960.3</v>
      </c>
      <c r="I382" s="31" t="n">
        <v>228.33</v>
      </c>
      <c r="J382" s="31" t="n">
        <v>13731.97</v>
      </c>
      <c r="K382" s="31" t="n">
        <v>0</v>
      </c>
      <c r="L382" s="32" t="n">
        <v>5</v>
      </c>
      <c r="M382" s="32" t="n">
        <v>36</v>
      </c>
      <c r="N382" s="31" t="n">
        <v>13731.97</v>
      </c>
      <c r="O382" s="31" t="n">
        <v>13731.97</v>
      </c>
      <c r="P382" s="22" t="n">
        <v>0</v>
      </c>
      <c r="Q382" s="22" t="n">
        <v>0</v>
      </c>
      <c r="R382" s="22" t="n">
        <v>0</v>
      </c>
    </row>
    <row r="383">
      <c r="A383" s="22" t="n">
        <v>201609</v>
      </c>
      <c r="B383" s="22" t="inlineStr">
        <is>
          <t>09/2016</t>
        </is>
      </c>
      <c r="C383" s="22" t="n">
        <v>34</v>
      </c>
      <c r="D383" s="22" t="inlineStr">
        <is>
          <t>S34</t>
        </is>
      </c>
      <c r="E383" s="22" t="inlineStr">
        <is>
          <t>Nexa Groningen (S34)</t>
        </is>
      </c>
      <c r="F383" s="22" t="inlineStr">
        <is>
          <t>Hà Lan</t>
        </is>
      </c>
      <c r="G383" s="22" t="inlineStr">
        <is>
          <t>POS</t>
        </is>
      </c>
      <c r="H383" s="31" t="n">
        <v>8610.93</v>
      </c>
      <c r="I383" s="31" t="n">
        <v>563.2</v>
      </c>
      <c r="J383" s="31" t="n">
        <v>8047.73</v>
      </c>
      <c r="K383" s="31" t="n">
        <v>0</v>
      </c>
      <c r="L383" s="32" t="n">
        <v>3</v>
      </c>
      <c r="M383" s="32" t="n">
        <v>27</v>
      </c>
      <c r="N383" s="31" t="n">
        <v>8047.73</v>
      </c>
      <c r="O383" s="31" t="n">
        <v>8047.73</v>
      </c>
      <c r="P383" s="22" t="n">
        <v>0</v>
      </c>
      <c r="Q383" s="22" t="n">
        <v>0</v>
      </c>
      <c r="R383" s="22" t="n">
        <v>0</v>
      </c>
    </row>
    <row r="384">
      <c r="A384" s="22" t="n">
        <v>201609</v>
      </c>
      <c r="B384" s="22" t="inlineStr">
        <is>
          <t>09/2016</t>
        </is>
      </c>
      <c r="C384" s="22" t="n">
        <v>36</v>
      </c>
      <c r="D384" s="22" t="inlineStr">
        <is>
          <t>S36</t>
        </is>
      </c>
      <c r="E384" s="22" t="inlineStr">
        <is>
          <t>Nexa Armagh (S36)</t>
        </is>
      </c>
      <c r="F384" s="22" t="inlineStr">
        <is>
          <t>Anh</t>
        </is>
      </c>
      <c r="G384" s="22" t="inlineStr">
        <is>
          <t>POS</t>
        </is>
      </c>
      <c r="H384" s="31" t="n">
        <v>4781.2</v>
      </c>
      <c r="I384" s="31" t="n">
        <v>0</v>
      </c>
      <c r="J384" s="31" t="n">
        <v>4781.2</v>
      </c>
      <c r="K384" s="31" t="n">
        <v>0</v>
      </c>
      <c r="L384" s="32" t="n">
        <v>7</v>
      </c>
      <c r="M384" s="32" t="n">
        <v>31</v>
      </c>
      <c r="N384" s="31" t="n">
        <v>4781.2</v>
      </c>
      <c r="O384" s="31" t="n">
        <v>4781.2</v>
      </c>
      <c r="P384" s="22" t="n">
        <v>0</v>
      </c>
      <c r="Q384" s="22" t="n">
        <v>0</v>
      </c>
      <c r="R384" s="22" t="n">
        <v>0</v>
      </c>
    </row>
    <row r="385">
      <c r="A385" s="22" t="n">
        <v>201609</v>
      </c>
      <c r="B385" s="22" t="inlineStr">
        <is>
          <t>09/2016</t>
        </is>
      </c>
      <c r="C385" s="22" t="n">
        <v>37</v>
      </c>
      <c r="D385" s="22" t="inlineStr">
        <is>
          <t>S37</t>
        </is>
      </c>
      <c r="E385" s="22" t="inlineStr">
        <is>
          <t>Nexa Ayrshire (S37)</t>
        </is>
      </c>
      <c r="F385" s="22" t="inlineStr">
        <is>
          <t>Anh</t>
        </is>
      </c>
      <c r="G385" s="22" t="inlineStr">
        <is>
          <t>POS</t>
        </is>
      </c>
      <c r="H385" s="31" t="n">
        <v>6794.97</v>
      </c>
      <c r="I385" s="31" t="n">
        <v>0</v>
      </c>
      <c r="J385" s="31" t="n">
        <v>6794.97</v>
      </c>
      <c r="K385" s="31" t="n">
        <v>0</v>
      </c>
      <c r="L385" s="32" t="n">
        <v>2</v>
      </c>
      <c r="M385" s="32" t="n">
        <v>37</v>
      </c>
      <c r="N385" s="31" t="n">
        <v>6794.97</v>
      </c>
      <c r="O385" s="31" t="n">
        <v>6794.97</v>
      </c>
      <c r="P385" s="22" t="n">
        <v>0</v>
      </c>
      <c r="Q385" s="22" t="n">
        <v>0</v>
      </c>
      <c r="R385" s="22" t="n">
        <v>0</v>
      </c>
    </row>
    <row r="386">
      <c r="A386" s="22" t="n">
        <v>201609</v>
      </c>
      <c r="B386" s="22" t="inlineStr">
        <is>
          <t>09/2016</t>
        </is>
      </c>
      <c r="C386" s="22" t="n">
        <v>38</v>
      </c>
      <c r="D386" s="22" t="inlineStr">
        <is>
          <t>S38</t>
        </is>
      </c>
      <c r="E386" s="22" t="inlineStr">
        <is>
          <t>Nexa Belfast (S38)</t>
        </is>
      </c>
      <c r="F386" s="22" t="inlineStr">
        <is>
          <t>Anh</t>
        </is>
      </c>
      <c r="G386" s="22" t="inlineStr">
        <is>
          <t>POS</t>
        </is>
      </c>
      <c r="H386" s="31" t="n">
        <v>13856.2</v>
      </c>
      <c r="I386" s="31" t="n">
        <v>22.29</v>
      </c>
      <c r="J386" s="31" t="n">
        <v>13833.91</v>
      </c>
      <c r="K386" s="31" t="n">
        <v>0</v>
      </c>
      <c r="L386" s="32" t="n">
        <v>5</v>
      </c>
      <c r="M386" s="32" t="n">
        <v>40</v>
      </c>
      <c r="N386" s="31" t="n">
        <v>13833.91</v>
      </c>
      <c r="O386" s="31" t="n">
        <v>13833.91</v>
      </c>
      <c r="P386" s="22" t="n">
        <v>0</v>
      </c>
      <c r="Q386" s="22" t="n">
        <v>0</v>
      </c>
      <c r="R386" s="22" t="n">
        <v>0</v>
      </c>
    </row>
    <row r="387">
      <c r="A387" s="22" t="n">
        <v>201609</v>
      </c>
      <c r="B387" s="22" t="inlineStr">
        <is>
          <t>09/2016</t>
        </is>
      </c>
      <c r="C387" s="22" t="n">
        <v>39</v>
      </c>
      <c r="D387" s="22" t="inlineStr">
        <is>
          <t>S39</t>
        </is>
      </c>
      <c r="E387" s="22" t="inlineStr">
        <is>
          <t>Nexa Blaenau Gwent (S39)</t>
        </is>
      </c>
      <c r="F387" s="22" t="inlineStr">
        <is>
          <t>Anh</t>
        </is>
      </c>
      <c r="G387" s="22" t="inlineStr">
        <is>
          <t>POS</t>
        </is>
      </c>
      <c r="H387" s="31" t="n">
        <v>5759.27</v>
      </c>
      <c r="I387" s="31" t="n">
        <v>25.74</v>
      </c>
      <c r="J387" s="31" t="n">
        <v>5733.53</v>
      </c>
      <c r="K387" s="31" t="n">
        <v>0</v>
      </c>
      <c r="L387" s="32" t="n">
        <v>6</v>
      </c>
      <c r="M387" s="32" t="n">
        <v>52</v>
      </c>
      <c r="N387" s="31" t="n">
        <v>5733.53</v>
      </c>
      <c r="O387" s="31" t="n">
        <v>5733.53</v>
      </c>
      <c r="P387" s="22" t="n">
        <v>0</v>
      </c>
      <c r="Q387" s="22" t="n">
        <v>0</v>
      </c>
      <c r="R387" s="22" t="n">
        <v>0</v>
      </c>
    </row>
    <row r="388">
      <c r="A388" s="22" t="n">
        <v>201609</v>
      </c>
      <c r="B388" s="22" t="inlineStr">
        <is>
          <t>09/2016</t>
        </is>
      </c>
      <c r="C388" s="22" t="n">
        <v>40</v>
      </c>
      <c r="D388" s="22" t="inlineStr">
        <is>
          <t>S40</t>
        </is>
      </c>
      <c r="E388" s="22" t="inlineStr">
        <is>
          <t>Nexa Dungannon and South Tyrone (S40)</t>
        </is>
      </c>
      <c r="F388" s="22" t="inlineStr">
        <is>
          <t>Anh</t>
        </is>
      </c>
      <c r="G388" s="22" t="inlineStr">
        <is>
          <t>POS</t>
        </is>
      </c>
      <c r="H388" s="31" t="n">
        <v>7079.37</v>
      </c>
      <c r="I388" s="31" t="n">
        <v>0</v>
      </c>
      <c r="J388" s="31" t="n">
        <v>7079.37</v>
      </c>
      <c r="K388" s="31" t="n">
        <v>0</v>
      </c>
      <c r="L388" s="32" t="n">
        <v>7</v>
      </c>
      <c r="M388" s="32" t="n">
        <v>38</v>
      </c>
      <c r="N388" s="31" t="n">
        <v>7079.37</v>
      </c>
      <c r="O388" s="31" t="n">
        <v>7079.37</v>
      </c>
      <c r="P388" s="22" t="n">
        <v>0</v>
      </c>
      <c r="Q388" s="22" t="n">
        <v>0</v>
      </c>
      <c r="R388" s="22" t="n">
        <v>0</v>
      </c>
    </row>
    <row r="389">
      <c r="A389" s="22" t="n">
        <v>201609</v>
      </c>
      <c r="B389" s="22" t="inlineStr">
        <is>
          <t>09/2016</t>
        </is>
      </c>
      <c r="C389" s="22" t="n">
        <v>41</v>
      </c>
      <c r="D389" s="22" t="inlineStr">
        <is>
          <t>S41</t>
        </is>
      </c>
      <c r="E389" s="22" t="inlineStr">
        <is>
          <t>Nexa Fermanagh (S41)</t>
        </is>
      </c>
      <c r="F389" s="22" t="inlineStr">
        <is>
          <t>Anh</t>
        </is>
      </c>
      <c r="G389" s="22" t="inlineStr">
        <is>
          <t>POS</t>
        </is>
      </c>
      <c r="H389" s="31" t="n">
        <v>8108.68</v>
      </c>
      <c r="I389" s="31" t="n">
        <v>0</v>
      </c>
      <c r="J389" s="31" t="n">
        <v>8108.68</v>
      </c>
      <c r="K389" s="31" t="n">
        <v>0</v>
      </c>
      <c r="L389" s="32" t="n">
        <v>4</v>
      </c>
      <c r="M389" s="32" t="n">
        <v>21</v>
      </c>
      <c r="N389" s="31" t="n">
        <v>8108.68</v>
      </c>
      <c r="O389" s="31" t="n">
        <v>8108.68</v>
      </c>
      <c r="P389" s="22" t="n">
        <v>0</v>
      </c>
      <c r="Q389" s="22" t="n">
        <v>0</v>
      </c>
      <c r="R389" s="22" t="n">
        <v>0</v>
      </c>
    </row>
    <row r="390">
      <c r="A390" s="22" t="n">
        <v>201609</v>
      </c>
      <c r="B390" s="22" t="inlineStr">
        <is>
          <t>09/2016</t>
        </is>
      </c>
      <c r="C390" s="22" t="n">
        <v>42</v>
      </c>
      <c r="D390" s="22" t="inlineStr">
        <is>
          <t>S42</t>
        </is>
      </c>
      <c r="E390" s="22" t="inlineStr">
        <is>
          <t>Nexa North Down (S42)</t>
        </is>
      </c>
      <c r="F390" s="22" t="inlineStr">
        <is>
          <t>Anh</t>
        </is>
      </c>
      <c r="G390" s="22" t="inlineStr">
        <is>
          <t>POS</t>
        </is>
      </c>
      <c r="H390" s="31" t="n">
        <v>8261.860000000001</v>
      </c>
      <c r="I390" s="31" t="n">
        <v>157.57</v>
      </c>
      <c r="J390" s="31" t="n">
        <v>8104.29</v>
      </c>
      <c r="K390" s="31" t="n">
        <v>0</v>
      </c>
      <c r="L390" s="32" t="n">
        <v>3</v>
      </c>
      <c r="M390" s="32" t="n">
        <v>26</v>
      </c>
      <c r="N390" s="31" t="n">
        <v>8104.29</v>
      </c>
      <c r="O390" s="31" t="n">
        <v>8104.29</v>
      </c>
      <c r="P390" s="22" t="n">
        <v>0</v>
      </c>
      <c r="Q390" s="22" t="n">
        <v>0</v>
      </c>
      <c r="R390" s="22" t="n">
        <v>0</v>
      </c>
    </row>
    <row r="391">
      <c r="A391" s="22" t="n">
        <v>201609</v>
      </c>
      <c r="B391" s="22" t="inlineStr">
        <is>
          <t>09/2016</t>
        </is>
      </c>
      <c r="C391" s="22" t="n">
        <v>43</v>
      </c>
      <c r="D391" s="22" t="inlineStr">
        <is>
          <t>S43</t>
        </is>
      </c>
      <c r="E391" s="22" t="inlineStr">
        <is>
          <t>Nexa Alaska (S43)</t>
        </is>
      </c>
      <c r="F391" s="22" t="inlineStr">
        <is>
          <t>Mỹ</t>
        </is>
      </c>
      <c r="G391" s="22" t="inlineStr">
        <is>
          <t>POS</t>
        </is>
      </c>
      <c r="H391" s="31" t="n">
        <v>17420.1</v>
      </c>
      <c r="I391" s="31" t="n">
        <v>471.07</v>
      </c>
      <c r="J391" s="31" t="n">
        <v>16949.03</v>
      </c>
      <c r="K391" s="31" t="n">
        <v>0</v>
      </c>
      <c r="L391" s="32" t="n">
        <v>5</v>
      </c>
      <c r="M391" s="32" t="n">
        <v>50</v>
      </c>
      <c r="N391" s="31" t="n">
        <v>16949.03</v>
      </c>
      <c r="O391" s="31" t="n">
        <v>16949.03</v>
      </c>
      <c r="P391" s="22" t="n">
        <v>0</v>
      </c>
      <c r="Q391" s="22" t="n">
        <v>0</v>
      </c>
      <c r="R391" s="22" t="n">
        <v>0</v>
      </c>
    </row>
    <row r="392">
      <c r="A392" s="22" t="n">
        <v>201609</v>
      </c>
      <c r="B392" s="22" t="inlineStr">
        <is>
          <t>09/2016</t>
        </is>
      </c>
      <c r="C392" s="22" t="n">
        <v>44</v>
      </c>
      <c r="D392" s="22" t="inlineStr">
        <is>
          <t>S44</t>
        </is>
      </c>
      <c r="E392" s="22" t="inlineStr">
        <is>
          <t>Nexa Arkansas (S44)</t>
        </is>
      </c>
      <c r="F392" s="22" t="inlineStr">
        <is>
          <t>Mỹ</t>
        </is>
      </c>
      <c r="G392" s="22" t="inlineStr">
        <is>
          <t>POS</t>
        </is>
      </c>
      <c r="H392" s="31" t="n">
        <v>6972.74</v>
      </c>
      <c r="I392" s="31" t="n">
        <v>89.28</v>
      </c>
      <c r="J392" s="31" t="n">
        <v>6883.46</v>
      </c>
      <c r="K392" s="31" t="n">
        <v>129.99</v>
      </c>
      <c r="L392" s="32" t="n">
        <v>7</v>
      </c>
      <c r="M392" s="32" t="n">
        <v>38</v>
      </c>
      <c r="N392" s="31" t="n">
        <v>6753.47</v>
      </c>
      <c r="O392" s="31" t="n">
        <v>6883.46</v>
      </c>
      <c r="P392" s="22" t="n">
        <v>0</v>
      </c>
      <c r="Q392" s="22" t="n">
        <v>0</v>
      </c>
      <c r="R392" s="22" t="n">
        <v>0</v>
      </c>
    </row>
    <row r="393">
      <c r="A393" s="22" t="n">
        <v>201609</v>
      </c>
      <c r="B393" s="22" t="inlineStr">
        <is>
          <t>09/2016</t>
        </is>
      </c>
      <c r="C393" s="22" t="n">
        <v>45</v>
      </c>
      <c r="D393" s="22" t="inlineStr">
        <is>
          <t>S45</t>
        </is>
      </c>
      <c r="E393" s="22" t="inlineStr">
        <is>
          <t>Nexa Connecticut (S45)</t>
        </is>
      </c>
      <c r="F393" s="22" t="inlineStr">
        <is>
          <t>Mỹ</t>
        </is>
      </c>
      <c r="G393" s="22" t="inlineStr">
        <is>
          <t>POS</t>
        </is>
      </c>
      <c r="H393" s="31" t="n">
        <v>6640.92</v>
      </c>
      <c r="I393" s="31" t="n">
        <v>257.8</v>
      </c>
      <c r="J393" s="31" t="n">
        <v>6383.12</v>
      </c>
      <c r="K393" s="31" t="n">
        <v>252.9</v>
      </c>
      <c r="L393" s="32" t="n">
        <v>6</v>
      </c>
      <c r="M393" s="32" t="n">
        <v>30</v>
      </c>
      <c r="N393" s="31" t="n">
        <v>6130.22</v>
      </c>
      <c r="O393" s="31" t="n">
        <v>6383.12</v>
      </c>
      <c r="P393" s="22" t="n">
        <v>0</v>
      </c>
      <c r="Q393" s="22" t="n">
        <v>0</v>
      </c>
      <c r="R393" s="22" t="n">
        <v>0</v>
      </c>
    </row>
    <row r="394">
      <c r="A394" s="22" t="n">
        <v>201609</v>
      </c>
      <c r="B394" s="22" t="inlineStr">
        <is>
          <t>09/2016</t>
        </is>
      </c>
      <c r="C394" s="22" t="n">
        <v>47</v>
      </c>
      <c r="D394" s="22" t="inlineStr">
        <is>
          <t>S47</t>
        </is>
      </c>
      <c r="E394" s="22" t="inlineStr">
        <is>
          <t>Nexa Hawaii (S47)</t>
        </is>
      </c>
      <c r="F394" s="22" t="inlineStr">
        <is>
          <t>Mỹ</t>
        </is>
      </c>
      <c r="G394" s="22" t="inlineStr">
        <is>
          <t>POS</t>
        </is>
      </c>
      <c r="H394" s="31" t="n">
        <v>4663.66</v>
      </c>
      <c r="I394" s="31" t="n">
        <v>201.18</v>
      </c>
      <c r="J394" s="31" t="n">
        <v>4462.48</v>
      </c>
      <c r="K394" s="31" t="n">
        <v>152.99</v>
      </c>
      <c r="L394" s="32" t="n">
        <v>8</v>
      </c>
      <c r="M394" s="32" t="n">
        <v>29</v>
      </c>
      <c r="N394" s="31" t="n">
        <v>4309.49</v>
      </c>
      <c r="O394" s="31" t="n">
        <v>4462.48</v>
      </c>
      <c r="P394" s="22" t="n">
        <v>0</v>
      </c>
      <c r="Q394" s="22" t="n">
        <v>0</v>
      </c>
      <c r="R394" s="22" t="n">
        <v>0</v>
      </c>
    </row>
    <row r="395">
      <c r="A395" s="22" t="n">
        <v>201609</v>
      </c>
      <c r="B395" s="22" t="inlineStr">
        <is>
          <t>09/2016</t>
        </is>
      </c>
      <c r="C395" s="22" t="n">
        <v>48</v>
      </c>
      <c r="D395" s="22" t="inlineStr">
        <is>
          <t>S48</t>
        </is>
      </c>
      <c r="E395" s="22" t="inlineStr">
        <is>
          <t>Nexa Idaho (S48)</t>
        </is>
      </c>
      <c r="F395" s="22" t="inlineStr">
        <is>
          <t>Mỹ</t>
        </is>
      </c>
      <c r="G395" s="22" t="inlineStr">
        <is>
          <t>POS</t>
        </is>
      </c>
      <c r="H395" s="31" t="n">
        <v>5818.8</v>
      </c>
      <c r="I395" s="31" t="n">
        <v>428.38</v>
      </c>
      <c r="J395" s="31" t="n">
        <v>5390.42</v>
      </c>
      <c r="K395" s="31" t="n">
        <v>0</v>
      </c>
      <c r="L395" s="32" t="n">
        <v>7</v>
      </c>
      <c r="M395" s="32" t="n">
        <v>31</v>
      </c>
      <c r="N395" s="31" t="n">
        <v>5390.42</v>
      </c>
      <c r="O395" s="31" t="n">
        <v>5390.42</v>
      </c>
      <c r="P395" s="22" t="n">
        <v>0</v>
      </c>
      <c r="Q395" s="22" t="n">
        <v>0</v>
      </c>
      <c r="R395" s="22" t="n">
        <v>0</v>
      </c>
    </row>
    <row r="396">
      <c r="A396" s="22" t="n">
        <v>201609</v>
      </c>
      <c r="B396" s="22" t="inlineStr">
        <is>
          <t>09/2016</t>
        </is>
      </c>
      <c r="C396" s="22" t="n">
        <v>50</v>
      </c>
      <c r="D396" s="22" t="inlineStr">
        <is>
          <t>S50</t>
        </is>
      </c>
      <c r="E396" s="22" t="inlineStr">
        <is>
          <t>Nexa Kansas (S50)</t>
        </is>
      </c>
      <c r="F396" s="22" t="inlineStr">
        <is>
          <t>Mỹ</t>
        </is>
      </c>
      <c r="G396" s="22" t="inlineStr">
        <is>
          <t>POS</t>
        </is>
      </c>
      <c r="H396" s="31" t="n">
        <v>6280.38</v>
      </c>
      <c r="I396" s="31" t="n">
        <v>553.61</v>
      </c>
      <c r="J396" s="31" t="n">
        <v>5726.77</v>
      </c>
      <c r="K396" s="31" t="n">
        <v>162.9</v>
      </c>
      <c r="L396" s="32" t="n">
        <v>4</v>
      </c>
      <c r="M396" s="32" t="n">
        <v>36</v>
      </c>
      <c r="N396" s="31" t="n">
        <v>5563.87</v>
      </c>
      <c r="O396" s="31" t="n">
        <v>5726.77</v>
      </c>
      <c r="P396" s="22" t="n">
        <v>0</v>
      </c>
      <c r="Q396" s="22" t="n">
        <v>0</v>
      </c>
      <c r="R396" s="22" t="n">
        <v>0</v>
      </c>
    </row>
    <row r="397">
      <c r="A397" s="22" t="n">
        <v>201609</v>
      </c>
      <c r="B397" s="22" t="inlineStr">
        <is>
          <t>09/2016</t>
        </is>
      </c>
      <c r="C397" s="22" t="n">
        <v>51</v>
      </c>
      <c r="D397" s="22" t="inlineStr">
        <is>
          <t>S51</t>
        </is>
      </c>
      <c r="E397" s="22" t="inlineStr">
        <is>
          <t>Nexa Maine (S51)</t>
        </is>
      </c>
      <c r="F397" s="22" t="inlineStr">
        <is>
          <t>Mỹ</t>
        </is>
      </c>
      <c r="G397" s="22" t="inlineStr">
        <is>
          <t>POS</t>
        </is>
      </c>
      <c r="H397" s="31" t="n">
        <v>8475.26</v>
      </c>
      <c r="I397" s="31" t="n">
        <v>191.1</v>
      </c>
      <c r="J397" s="31" t="n">
        <v>8284.16</v>
      </c>
      <c r="K397" s="31" t="n">
        <v>0</v>
      </c>
      <c r="L397" s="32" t="n">
        <v>3</v>
      </c>
      <c r="M397" s="32" t="n">
        <v>31</v>
      </c>
      <c r="N397" s="31" t="n">
        <v>8284.16</v>
      </c>
      <c r="O397" s="31" t="n">
        <v>8284.16</v>
      </c>
      <c r="P397" s="22" t="n">
        <v>0</v>
      </c>
      <c r="Q397" s="22" t="n">
        <v>0</v>
      </c>
      <c r="R397" s="22" t="n">
        <v>0</v>
      </c>
    </row>
    <row r="398">
      <c r="A398" s="22" t="n">
        <v>201609</v>
      </c>
      <c r="B398" s="22" t="inlineStr">
        <is>
          <t>09/2016</t>
        </is>
      </c>
      <c r="C398" s="22" t="n">
        <v>53</v>
      </c>
      <c r="D398" s="22" t="inlineStr">
        <is>
          <t>S53</t>
        </is>
      </c>
      <c r="E398" s="22" t="inlineStr">
        <is>
          <t>Nexa Montana (S53)</t>
        </is>
      </c>
      <c r="F398" s="22" t="inlineStr">
        <is>
          <t>Mỹ</t>
        </is>
      </c>
      <c r="G398" s="22" t="inlineStr">
        <is>
          <t>POS</t>
        </is>
      </c>
      <c r="H398" s="31" t="n">
        <v>11080.52</v>
      </c>
      <c r="I398" s="31" t="n">
        <v>39.8</v>
      </c>
      <c r="J398" s="31" t="n">
        <v>11040.72</v>
      </c>
      <c r="K398" s="31" t="n">
        <v>0</v>
      </c>
      <c r="L398" s="32" t="n">
        <v>9</v>
      </c>
      <c r="M398" s="32" t="n">
        <v>65</v>
      </c>
      <c r="N398" s="31" t="n">
        <v>11040.72</v>
      </c>
      <c r="O398" s="31" t="n">
        <v>11040.72</v>
      </c>
      <c r="P398" s="22" t="n">
        <v>0</v>
      </c>
      <c r="Q398" s="22" t="n">
        <v>0</v>
      </c>
      <c r="R398" s="22" t="n">
        <v>1</v>
      </c>
    </row>
    <row r="399">
      <c r="A399" s="22" t="n">
        <v>201609</v>
      </c>
      <c r="B399" s="22" t="inlineStr">
        <is>
          <t>09/2016</t>
        </is>
      </c>
      <c r="C399" s="22" t="n">
        <v>54</v>
      </c>
      <c r="D399" s="22" t="inlineStr">
        <is>
          <t>S54</t>
        </is>
      </c>
      <c r="E399" s="22" t="inlineStr">
        <is>
          <t>Nexa Nebraska (S54)</t>
        </is>
      </c>
      <c r="F399" s="22" t="inlineStr">
        <is>
          <t>Mỹ</t>
        </is>
      </c>
      <c r="G399" s="22" t="inlineStr">
        <is>
          <t>POS</t>
        </is>
      </c>
      <c r="H399" s="31" t="n">
        <v>26185.81</v>
      </c>
      <c r="I399" s="31" t="n">
        <v>1078.39</v>
      </c>
      <c r="J399" s="31" t="n">
        <v>25107.42</v>
      </c>
      <c r="K399" s="31" t="n">
        <v>0</v>
      </c>
      <c r="L399" s="32" t="n">
        <v>8</v>
      </c>
      <c r="M399" s="32" t="n">
        <v>85</v>
      </c>
      <c r="N399" s="31" t="n">
        <v>25107.42</v>
      </c>
      <c r="O399" s="31" t="n">
        <v>25107.42</v>
      </c>
      <c r="P399" s="22" t="n">
        <v>0</v>
      </c>
      <c r="Q399" s="22" t="n">
        <v>0</v>
      </c>
      <c r="R399" s="22" t="n">
        <v>0</v>
      </c>
    </row>
    <row r="400">
      <c r="A400" s="22" t="n">
        <v>201609</v>
      </c>
      <c r="B400" s="22" t="inlineStr">
        <is>
          <t>09/2016</t>
        </is>
      </c>
      <c r="C400" s="22" t="n">
        <v>55</v>
      </c>
      <c r="D400" s="22" t="inlineStr">
        <is>
          <t>S55</t>
        </is>
      </c>
      <c r="E400" s="22" t="inlineStr">
        <is>
          <t>Nexa Nevada (S55)</t>
        </is>
      </c>
      <c r="F400" s="22" t="inlineStr">
        <is>
          <t>Mỹ</t>
        </is>
      </c>
      <c r="G400" s="22" t="inlineStr">
        <is>
          <t>POS</t>
        </is>
      </c>
      <c r="H400" s="31" t="n">
        <v>7473.88</v>
      </c>
      <c r="I400" s="31" t="n">
        <v>2.8</v>
      </c>
      <c r="J400" s="31" t="n">
        <v>7471.08</v>
      </c>
      <c r="K400" s="31" t="n">
        <v>344.16</v>
      </c>
      <c r="L400" s="32" t="n">
        <v>2</v>
      </c>
      <c r="M400" s="32" t="n">
        <v>26</v>
      </c>
      <c r="N400" s="31" t="n">
        <v>7126.92</v>
      </c>
      <c r="O400" s="31" t="n">
        <v>7471.08</v>
      </c>
      <c r="P400" s="22" t="n">
        <v>0</v>
      </c>
      <c r="Q400" s="22" t="n">
        <v>0</v>
      </c>
      <c r="R400" s="22" t="n">
        <v>0</v>
      </c>
    </row>
    <row r="401">
      <c r="A401" s="22" t="n">
        <v>201609</v>
      </c>
      <c r="B401" s="22" t="inlineStr">
        <is>
          <t>09/2016</t>
        </is>
      </c>
      <c r="C401" s="22" t="n">
        <v>56</v>
      </c>
      <c r="D401" s="22" t="inlineStr">
        <is>
          <t>S56</t>
        </is>
      </c>
      <c r="E401" s="22" t="inlineStr">
        <is>
          <t>Nexa New Hampshire (S56)</t>
        </is>
      </c>
      <c r="F401" s="22" t="inlineStr">
        <is>
          <t>Mỹ</t>
        </is>
      </c>
      <c r="G401" s="22" t="inlineStr">
        <is>
          <t>POS</t>
        </is>
      </c>
      <c r="H401" s="31" t="n">
        <v>6185.56</v>
      </c>
      <c r="I401" s="31" t="n">
        <v>272.57</v>
      </c>
      <c r="J401" s="31" t="n">
        <v>5912.99</v>
      </c>
      <c r="K401" s="31" t="n">
        <v>919.98</v>
      </c>
      <c r="L401" s="32" t="n">
        <v>4</v>
      </c>
      <c r="M401" s="32" t="n">
        <v>35</v>
      </c>
      <c r="N401" s="31" t="n">
        <v>4993.01</v>
      </c>
      <c r="O401" s="31" t="n">
        <v>5912.99</v>
      </c>
      <c r="P401" s="22" t="n">
        <v>0</v>
      </c>
      <c r="Q401" s="22" t="n">
        <v>0</v>
      </c>
      <c r="R401" s="22" t="n">
        <v>0</v>
      </c>
    </row>
    <row r="402">
      <c r="A402" s="22" t="n">
        <v>201609</v>
      </c>
      <c r="B402" s="22" t="inlineStr">
        <is>
          <t>09/2016</t>
        </is>
      </c>
      <c r="C402" s="22" t="n">
        <v>57</v>
      </c>
      <c r="D402" s="22" t="inlineStr">
        <is>
          <t>S57</t>
        </is>
      </c>
      <c r="E402" s="22" t="inlineStr">
        <is>
          <t>Nexa New Mexico (S57)</t>
        </is>
      </c>
      <c r="F402" s="22" t="inlineStr">
        <is>
          <t>Mỹ</t>
        </is>
      </c>
      <c r="G402" s="22" t="inlineStr">
        <is>
          <t>POS</t>
        </is>
      </c>
      <c r="H402" s="31" t="n">
        <v>32133.72</v>
      </c>
      <c r="I402" s="31" t="n">
        <v>1058.85</v>
      </c>
      <c r="J402" s="31" t="n">
        <v>31074.87</v>
      </c>
      <c r="K402" s="31" t="n">
        <v>1119.96</v>
      </c>
      <c r="L402" s="32" t="n">
        <v>6</v>
      </c>
      <c r="M402" s="32" t="n">
        <v>41</v>
      </c>
      <c r="N402" s="31" t="n">
        <v>29954.91</v>
      </c>
      <c r="O402" s="31" t="n">
        <v>31074.87</v>
      </c>
      <c r="P402" s="22" t="n">
        <v>0</v>
      </c>
      <c r="Q402" s="22" t="n">
        <v>0</v>
      </c>
      <c r="R402" s="22" t="n">
        <v>0</v>
      </c>
    </row>
    <row r="403">
      <c r="A403" s="22" t="n">
        <v>201609</v>
      </c>
      <c r="B403" s="22" t="inlineStr">
        <is>
          <t>09/2016</t>
        </is>
      </c>
      <c r="C403" s="22" t="n">
        <v>59</v>
      </c>
      <c r="D403" s="22" t="inlineStr">
        <is>
          <t>S59</t>
        </is>
      </c>
      <c r="E403" s="22" t="inlineStr">
        <is>
          <t>Nexa Oregon (S59)</t>
        </is>
      </c>
      <c r="F403" s="22" t="inlineStr">
        <is>
          <t>Mỹ</t>
        </is>
      </c>
      <c r="G403" s="22" t="inlineStr">
        <is>
          <t>POS</t>
        </is>
      </c>
      <c r="H403" s="31" t="n">
        <v>13915.17</v>
      </c>
      <c r="I403" s="31" t="n">
        <v>961.6799999999999</v>
      </c>
      <c r="J403" s="31" t="n">
        <v>12953.49</v>
      </c>
      <c r="K403" s="31" t="n">
        <v>38.7</v>
      </c>
      <c r="L403" s="32" t="n">
        <v>6</v>
      </c>
      <c r="M403" s="32" t="n">
        <v>36</v>
      </c>
      <c r="N403" s="31" t="n">
        <v>12914.79</v>
      </c>
      <c r="O403" s="31" t="n">
        <v>12953.49</v>
      </c>
      <c r="P403" s="22" t="n">
        <v>0</v>
      </c>
      <c r="Q403" s="22" t="n">
        <v>0</v>
      </c>
      <c r="R403" s="22" t="n">
        <v>0</v>
      </c>
    </row>
    <row r="404">
      <c r="A404" s="22" t="n">
        <v>201609</v>
      </c>
      <c r="B404" s="22" t="inlineStr">
        <is>
          <t>09/2016</t>
        </is>
      </c>
      <c r="C404" s="22" t="n">
        <v>61</v>
      </c>
      <c r="D404" s="22" t="inlineStr">
        <is>
          <t>S61</t>
        </is>
      </c>
      <c r="E404" s="22" t="inlineStr">
        <is>
          <t>Nexa South Carolina (S61)</t>
        </is>
      </c>
      <c r="F404" s="22" t="inlineStr">
        <is>
          <t>Mỹ</t>
        </is>
      </c>
      <c r="G404" s="22" t="inlineStr">
        <is>
          <t>POS</t>
        </is>
      </c>
      <c r="H404" s="31" t="n">
        <v>3280.39</v>
      </c>
      <c r="I404" s="31" t="n">
        <v>154.8</v>
      </c>
      <c r="J404" s="31" t="n">
        <v>3125.59</v>
      </c>
      <c r="K404" s="31" t="n">
        <v>0</v>
      </c>
      <c r="L404" s="32" t="n">
        <v>3</v>
      </c>
      <c r="M404" s="32" t="n">
        <v>13</v>
      </c>
      <c r="N404" s="31" t="n">
        <v>3125.59</v>
      </c>
      <c r="O404" s="31" t="n">
        <v>3125.59</v>
      </c>
      <c r="P404" s="22" t="n">
        <v>0</v>
      </c>
      <c r="Q404" s="22" t="n">
        <v>0</v>
      </c>
      <c r="R404" s="22" t="n">
        <v>0</v>
      </c>
    </row>
    <row r="405">
      <c r="A405" s="22" t="n">
        <v>201609</v>
      </c>
      <c r="B405" s="22" t="inlineStr">
        <is>
          <t>09/2016</t>
        </is>
      </c>
      <c r="C405" s="22" t="n">
        <v>63</v>
      </c>
      <c r="D405" s="22" t="inlineStr">
        <is>
          <t>S63</t>
        </is>
      </c>
      <c r="E405" s="22" t="inlineStr">
        <is>
          <t>Nexa Utah (S63)</t>
        </is>
      </c>
      <c r="F405" s="22" t="inlineStr">
        <is>
          <t>Mỹ</t>
        </is>
      </c>
      <c r="G405" s="22" t="inlineStr">
        <is>
          <t>POS</t>
        </is>
      </c>
      <c r="H405" s="31" t="n">
        <v>20432.78</v>
      </c>
      <c r="I405" s="31" t="n">
        <v>1672.06</v>
      </c>
      <c r="J405" s="31" t="n">
        <v>18760.72</v>
      </c>
      <c r="K405" s="31" t="n">
        <v>0</v>
      </c>
      <c r="L405" s="32" t="n">
        <v>5</v>
      </c>
      <c r="M405" s="32" t="n">
        <v>38</v>
      </c>
      <c r="N405" s="31" t="n">
        <v>18760.72</v>
      </c>
      <c r="O405" s="31" t="n">
        <v>18760.72</v>
      </c>
      <c r="P405" s="22" t="n">
        <v>0</v>
      </c>
      <c r="Q405" s="22" t="n">
        <v>0</v>
      </c>
      <c r="R405" s="22" t="n">
        <v>0</v>
      </c>
    </row>
    <row r="406">
      <c r="A406" s="22" t="n">
        <v>201609</v>
      </c>
      <c r="B406" s="22" t="inlineStr">
        <is>
          <t>09/2016</t>
        </is>
      </c>
      <c r="C406" s="22" t="n">
        <v>64</v>
      </c>
      <c r="D406" s="22" t="inlineStr">
        <is>
          <t>S64</t>
        </is>
      </c>
      <c r="E406" s="22" t="inlineStr">
        <is>
          <t>Nexa Washington DC (S64)</t>
        </is>
      </c>
      <c r="F406" s="22" t="inlineStr">
        <is>
          <t>Mỹ</t>
        </is>
      </c>
      <c r="G406" s="22" t="inlineStr">
        <is>
          <t>POS</t>
        </is>
      </c>
      <c r="H406" s="31" t="n">
        <v>5500.62</v>
      </c>
      <c r="I406" s="31" t="n">
        <v>350.09</v>
      </c>
      <c r="J406" s="31" t="n">
        <v>5150.53</v>
      </c>
      <c r="K406" s="31" t="n">
        <v>0</v>
      </c>
      <c r="L406" s="32" t="n">
        <v>2</v>
      </c>
      <c r="M406" s="32" t="n">
        <v>13</v>
      </c>
      <c r="N406" s="31" t="n">
        <v>5150.53</v>
      </c>
      <c r="O406" s="31" t="n">
        <v>5150.53</v>
      </c>
      <c r="P406" s="22" t="n">
        <v>1</v>
      </c>
      <c r="Q406" s="22" t="n">
        <v>0</v>
      </c>
      <c r="R406" s="22" t="n">
        <v>0</v>
      </c>
    </row>
    <row r="407">
      <c r="A407" s="22" t="n">
        <v>201609</v>
      </c>
      <c r="B407" s="22" t="inlineStr">
        <is>
          <t>09/2016</t>
        </is>
      </c>
      <c r="C407" s="22" t="n">
        <v>65</v>
      </c>
      <c r="D407" s="22" t="inlineStr">
        <is>
          <t>S65</t>
        </is>
      </c>
      <c r="E407" s="22" t="inlineStr">
        <is>
          <t>Nexa West Virginia (S65)</t>
        </is>
      </c>
      <c r="F407" s="22" t="inlineStr">
        <is>
          <t>Mỹ</t>
        </is>
      </c>
      <c r="G407" s="22" t="inlineStr">
        <is>
          <t>POS</t>
        </is>
      </c>
      <c r="H407" s="31" t="n">
        <v>23650.55</v>
      </c>
      <c r="I407" s="31" t="n">
        <v>1370.29</v>
      </c>
      <c r="J407" s="31" t="n">
        <v>22280.26</v>
      </c>
      <c r="K407" s="31" t="n">
        <v>682.2</v>
      </c>
      <c r="L407" s="32" t="n">
        <v>12</v>
      </c>
      <c r="M407" s="32" t="n">
        <v>117</v>
      </c>
      <c r="N407" s="31" t="n">
        <v>21598.06</v>
      </c>
      <c r="O407" s="31" t="n">
        <v>22280.26</v>
      </c>
      <c r="P407" s="22" t="n">
        <v>0</v>
      </c>
      <c r="Q407" s="22" t="n">
        <v>0</v>
      </c>
      <c r="R407" s="22" t="n">
        <v>0</v>
      </c>
    </row>
    <row r="408">
      <c r="A408" s="22" t="n">
        <v>201609</v>
      </c>
      <c r="B408" s="22" t="inlineStr">
        <is>
          <t>09/2016</t>
        </is>
      </c>
      <c r="C408" s="22" t="n">
        <v>66</v>
      </c>
      <c r="D408" s="22" t="inlineStr">
        <is>
          <t>S66</t>
        </is>
      </c>
      <c r="E408" s="22" t="inlineStr">
        <is>
          <t>Nexa Wyoming (S66)</t>
        </is>
      </c>
      <c r="F408" s="22" t="inlineStr">
        <is>
          <t>Mỹ</t>
        </is>
      </c>
      <c r="G408" s="22" t="inlineStr">
        <is>
          <t>POS</t>
        </is>
      </c>
      <c r="H408" s="31" t="n">
        <v>31682.88</v>
      </c>
      <c r="I408" s="31" t="n">
        <v>826.59</v>
      </c>
      <c r="J408" s="31" t="n">
        <v>30856.29</v>
      </c>
      <c r="K408" s="31" t="n">
        <v>3488.4</v>
      </c>
      <c r="L408" s="32" t="n">
        <v>6</v>
      </c>
      <c r="M408" s="32" t="n">
        <v>69</v>
      </c>
      <c r="N408" s="31" t="n">
        <v>27104.19</v>
      </c>
      <c r="O408" s="31" t="n">
        <v>30856.29</v>
      </c>
      <c r="P408" s="22" t="n">
        <v>0</v>
      </c>
      <c r="Q408" s="22" t="n">
        <v>0</v>
      </c>
      <c r="R408" s="22" t="n">
        <v>0</v>
      </c>
    </row>
    <row r="409">
      <c r="A409" s="22" t="n">
        <v>201610</v>
      </c>
      <c r="B409" s="22" t="inlineStr">
        <is>
          <t>10/2016</t>
        </is>
      </c>
      <c r="C409" s="22" t="n">
        <v>0</v>
      </c>
      <c r="D409" s="22" t="inlineStr">
        <is>
          <t>ONL</t>
        </is>
      </c>
      <c r="E409" s="22" t="inlineStr">
        <is>
          <t>Nexa Online (website/app)</t>
        </is>
      </c>
      <c r="F409" s="22" t="inlineStr">
        <is>
          <t>Online</t>
        </is>
      </c>
      <c r="G409" s="22" t="inlineStr">
        <is>
          <t>ONLINE</t>
        </is>
      </c>
      <c r="H409" s="31" t="n">
        <v>139075.43</v>
      </c>
      <c r="I409" s="31" t="n">
        <v>2319.15</v>
      </c>
      <c r="J409" s="31" t="n">
        <v>136756.28</v>
      </c>
      <c r="K409" s="31" t="n">
        <v>7154.54</v>
      </c>
      <c r="L409" s="32" t="n">
        <v>40</v>
      </c>
      <c r="M409" s="32" t="n">
        <v>344</v>
      </c>
      <c r="N409" s="31" t="n">
        <v>117661.34</v>
      </c>
      <c r="O409" s="31" t="n">
        <v>124815.88</v>
      </c>
      <c r="P409" s="22" t="n">
        <v>2</v>
      </c>
      <c r="Q409" s="22" t="n">
        <v>0</v>
      </c>
      <c r="R409" s="22" t="n">
        <v>1</v>
      </c>
    </row>
    <row r="410">
      <c r="A410" s="22" t="n">
        <v>201610</v>
      </c>
      <c r="B410" s="22" t="inlineStr">
        <is>
          <t>10/2016</t>
        </is>
      </c>
      <c r="C410" s="22" t="n">
        <v>4</v>
      </c>
      <c r="D410" s="22" t="inlineStr">
        <is>
          <t>S04</t>
        </is>
      </c>
      <c r="E410" s="22" t="inlineStr">
        <is>
          <t>Nexa Tasmania (S04)</t>
        </is>
      </c>
      <c r="F410" s="22" t="inlineStr">
        <is>
          <t>Úc</t>
        </is>
      </c>
      <c r="G410" s="22" t="inlineStr">
        <is>
          <t>POS</t>
        </is>
      </c>
      <c r="H410" s="31" t="n">
        <v>917.34</v>
      </c>
      <c r="I410" s="31" t="n">
        <v>0</v>
      </c>
      <c r="J410" s="31" t="n">
        <v>917.34</v>
      </c>
      <c r="K410" s="31" t="n">
        <v>0</v>
      </c>
      <c r="L410" s="32" t="n">
        <v>1</v>
      </c>
      <c r="M410" s="32" t="n">
        <v>9</v>
      </c>
      <c r="N410" s="31" t="n">
        <v>917.34</v>
      </c>
      <c r="O410" s="31" t="n">
        <v>917.34</v>
      </c>
      <c r="P410" s="22" t="n">
        <v>0</v>
      </c>
      <c r="Q410" s="22" t="n">
        <v>0</v>
      </c>
      <c r="R410" s="22" t="n">
        <v>0</v>
      </c>
    </row>
    <row r="411">
      <c r="A411" s="22" t="n">
        <v>201610</v>
      </c>
      <c r="B411" s="22" t="inlineStr">
        <is>
          <t>10/2016</t>
        </is>
      </c>
      <c r="C411" s="22" t="n">
        <v>5</v>
      </c>
      <c r="D411" s="22" t="inlineStr">
        <is>
          <t>S05</t>
        </is>
      </c>
      <c r="E411" s="22" t="inlineStr">
        <is>
          <t>Nexa Victoria (S05)</t>
        </is>
      </c>
      <c r="F411" s="22" t="inlineStr">
        <is>
          <t>Úc</t>
        </is>
      </c>
      <c r="G411" s="22" t="inlineStr">
        <is>
          <t>POS</t>
        </is>
      </c>
      <c r="H411" s="31" t="n">
        <v>6441.24</v>
      </c>
      <c r="I411" s="31" t="n">
        <v>0</v>
      </c>
      <c r="J411" s="31" t="n">
        <v>6441.24</v>
      </c>
      <c r="K411" s="31" t="n">
        <v>0</v>
      </c>
      <c r="L411" s="32" t="n">
        <v>5</v>
      </c>
      <c r="M411" s="32" t="n">
        <v>26</v>
      </c>
      <c r="N411" s="31" t="n">
        <v>6441.24</v>
      </c>
      <c r="O411" s="31" t="n">
        <v>6441.24</v>
      </c>
      <c r="P411" s="22" t="n">
        <v>0</v>
      </c>
      <c r="Q411" s="22" t="n">
        <v>0</v>
      </c>
      <c r="R411" s="22" t="n">
        <v>0</v>
      </c>
    </row>
    <row r="412">
      <c r="A412" s="22" t="n">
        <v>201610</v>
      </c>
      <c r="B412" s="22" t="inlineStr">
        <is>
          <t>10/2016</t>
        </is>
      </c>
      <c r="C412" s="22" t="n">
        <v>6</v>
      </c>
      <c r="D412" s="22" t="inlineStr">
        <is>
          <t>S06</t>
        </is>
      </c>
      <c r="E412" s="22" t="inlineStr">
        <is>
          <t>Nexa Western Australia (S06)</t>
        </is>
      </c>
      <c r="F412" s="22" t="inlineStr">
        <is>
          <t>Úc</t>
        </is>
      </c>
      <c r="G412" s="22" t="inlineStr">
        <is>
          <t>POS</t>
        </is>
      </c>
      <c r="H412" s="31" t="n">
        <v>3529.96</v>
      </c>
      <c r="I412" s="31" t="n">
        <v>0</v>
      </c>
      <c r="J412" s="31" t="n">
        <v>3529.96</v>
      </c>
      <c r="K412" s="31" t="n">
        <v>0</v>
      </c>
      <c r="L412" s="32" t="n">
        <v>4</v>
      </c>
      <c r="M412" s="32" t="n">
        <v>23</v>
      </c>
      <c r="N412" s="31" t="n">
        <v>3529.96</v>
      </c>
      <c r="O412" s="31" t="n">
        <v>3529.96</v>
      </c>
      <c r="P412" s="22" t="n">
        <v>0</v>
      </c>
      <c r="Q412" s="22" t="n">
        <v>0</v>
      </c>
      <c r="R412" s="22" t="n">
        <v>0</v>
      </c>
    </row>
    <row r="413">
      <c r="A413" s="22" t="n">
        <v>201610</v>
      </c>
      <c r="B413" s="22" t="inlineStr">
        <is>
          <t>10/2016</t>
        </is>
      </c>
      <c r="C413" s="22" t="n">
        <v>8</v>
      </c>
      <c r="D413" s="22" t="inlineStr">
        <is>
          <t>S08</t>
        </is>
      </c>
      <c r="E413" s="22" t="inlineStr">
        <is>
          <t>Nexa Newfoundland and Labrador (S08)</t>
        </is>
      </c>
      <c r="F413" s="22" t="inlineStr">
        <is>
          <t>Canada</t>
        </is>
      </c>
      <c r="G413" s="22" t="inlineStr">
        <is>
          <t>POS</t>
        </is>
      </c>
      <c r="H413" s="31" t="n">
        <v>34185.95</v>
      </c>
      <c r="I413" s="31" t="n">
        <v>0</v>
      </c>
      <c r="J413" s="31" t="n">
        <v>34185.95</v>
      </c>
      <c r="K413" s="31" t="n">
        <v>231</v>
      </c>
      <c r="L413" s="32" t="n">
        <v>3</v>
      </c>
      <c r="M413" s="32" t="n">
        <v>40</v>
      </c>
      <c r="N413" s="31" t="n">
        <v>33954.95</v>
      </c>
      <c r="O413" s="31" t="n">
        <v>34185.95</v>
      </c>
      <c r="P413" s="22" t="n">
        <v>1</v>
      </c>
      <c r="Q413" s="22" t="n">
        <v>0</v>
      </c>
      <c r="R413" s="22" t="n">
        <v>0</v>
      </c>
    </row>
    <row r="414">
      <c r="A414" s="22" t="n">
        <v>201610</v>
      </c>
      <c r="B414" s="22" t="inlineStr">
        <is>
          <t>10/2016</t>
        </is>
      </c>
      <c r="C414" s="22" t="n">
        <v>9</v>
      </c>
      <c r="D414" s="22" t="inlineStr">
        <is>
          <t>S09</t>
        </is>
      </c>
      <c r="E414" s="22" t="inlineStr">
        <is>
          <t>Nexa Northwest Territories (S09)</t>
        </is>
      </c>
      <c r="F414" s="22" t="inlineStr">
        <is>
          <t>Canada</t>
        </is>
      </c>
      <c r="G414" s="22" t="inlineStr">
        <is>
          <t>POS</t>
        </is>
      </c>
      <c r="H414" s="31" t="n">
        <v>24549.59</v>
      </c>
      <c r="I414" s="31" t="n">
        <v>0</v>
      </c>
      <c r="J414" s="31" t="n">
        <v>24549.59</v>
      </c>
      <c r="K414" s="31" t="n">
        <v>600.1</v>
      </c>
      <c r="L414" s="32" t="n">
        <v>9</v>
      </c>
      <c r="M414" s="32" t="n">
        <v>91</v>
      </c>
      <c r="N414" s="31" t="n">
        <v>24487.49</v>
      </c>
      <c r="O414" s="31" t="n">
        <v>24549.59</v>
      </c>
      <c r="P414" s="22" t="n">
        <v>0</v>
      </c>
      <c r="Q414" s="22" t="n">
        <v>0</v>
      </c>
      <c r="R414" s="22" t="n">
        <v>0</v>
      </c>
    </row>
    <row r="415">
      <c r="A415" s="22" t="n">
        <v>201610</v>
      </c>
      <c r="B415" s="22" t="inlineStr">
        <is>
          <t>10/2016</t>
        </is>
      </c>
      <c r="C415" s="22" t="n">
        <v>10</v>
      </c>
      <c r="D415" s="22" t="inlineStr">
        <is>
          <t>S10</t>
        </is>
      </c>
      <c r="E415" s="22" t="inlineStr">
        <is>
          <t>Nexa Nunavut (S10)</t>
        </is>
      </c>
      <c r="F415" s="22" t="inlineStr">
        <is>
          <t>Canada</t>
        </is>
      </c>
      <c r="G415" s="22" t="inlineStr">
        <is>
          <t>POS</t>
        </is>
      </c>
      <c r="H415" s="31" t="n">
        <v>3831.13</v>
      </c>
      <c r="I415" s="31" t="n">
        <v>0</v>
      </c>
      <c r="J415" s="31" t="n">
        <v>3831.13</v>
      </c>
      <c r="K415" s="31" t="n">
        <v>326</v>
      </c>
      <c r="L415" s="32" t="n">
        <v>7</v>
      </c>
      <c r="M415" s="32" t="n">
        <v>26</v>
      </c>
      <c r="N415" s="31" t="n">
        <v>3505.13</v>
      </c>
      <c r="O415" s="31" t="n">
        <v>3831.13</v>
      </c>
      <c r="P415" s="22" t="n">
        <v>0</v>
      </c>
      <c r="Q415" s="22" t="n">
        <v>0</v>
      </c>
      <c r="R415" s="22" t="n">
        <v>0</v>
      </c>
    </row>
    <row r="416">
      <c r="A416" s="22" t="n">
        <v>201610</v>
      </c>
      <c r="B416" s="22" t="inlineStr">
        <is>
          <t>10/2016</t>
        </is>
      </c>
      <c r="C416" s="22" t="n">
        <v>14</v>
      </c>
      <c r="D416" s="22" t="inlineStr">
        <is>
          <t>S14</t>
        </is>
      </c>
      <c r="E416" s="22" t="inlineStr">
        <is>
          <t>Nexa Franche-Comté (S14)</t>
        </is>
      </c>
      <c r="F416" s="22" t="inlineStr">
        <is>
          <t>Pháp</t>
        </is>
      </c>
      <c r="G416" s="22" t="inlineStr">
        <is>
          <t>POS</t>
        </is>
      </c>
      <c r="H416" s="31" t="n">
        <v>13287.87</v>
      </c>
      <c r="I416" s="31" t="n">
        <v>0</v>
      </c>
      <c r="J416" s="31" t="n">
        <v>13287.87</v>
      </c>
      <c r="K416" s="31" t="n">
        <v>0</v>
      </c>
      <c r="L416" s="32" t="n">
        <v>1</v>
      </c>
      <c r="M416" s="32" t="n">
        <v>28</v>
      </c>
      <c r="N416" s="31" t="n">
        <v>13287.87</v>
      </c>
      <c r="O416" s="31" t="n">
        <v>13287.87</v>
      </c>
      <c r="P416" s="22" t="n">
        <v>0</v>
      </c>
      <c r="Q416" s="22" t="n">
        <v>0</v>
      </c>
      <c r="R416" s="22" t="n">
        <v>0</v>
      </c>
    </row>
    <row r="417">
      <c r="A417" s="22" t="n">
        <v>201610</v>
      </c>
      <c r="B417" s="22" t="inlineStr">
        <is>
          <t>10/2016</t>
        </is>
      </c>
      <c r="C417" s="22" t="n">
        <v>15</v>
      </c>
      <c r="D417" s="22" t="inlineStr">
        <is>
          <t>S15</t>
        </is>
      </c>
      <c r="E417" s="22" t="inlineStr">
        <is>
          <t>Nexa La Réunion (S15)</t>
        </is>
      </c>
      <c r="F417" s="22" t="inlineStr">
        <is>
          <t>Pháp</t>
        </is>
      </c>
      <c r="G417" s="22" t="inlineStr">
        <is>
          <t>POS</t>
        </is>
      </c>
      <c r="H417" s="31" t="n">
        <v>7223.97</v>
      </c>
      <c r="I417" s="31" t="n">
        <v>0</v>
      </c>
      <c r="J417" s="31" t="n">
        <v>7223.97</v>
      </c>
      <c r="K417" s="31" t="n">
        <v>0</v>
      </c>
      <c r="L417" s="32" t="n">
        <v>2</v>
      </c>
      <c r="M417" s="32" t="n">
        <v>18</v>
      </c>
      <c r="N417" s="31" t="n">
        <v>7223.97</v>
      </c>
      <c r="O417" s="31" t="n">
        <v>7223.97</v>
      </c>
      <c r="P417" s="22" t="n">
        <v>0</v>
      </c>
      <c r="Q417" s="22" t="n">
        <v>0</v>
      </c>
      <c r="R417" s="22" t="n">
        <v>0</v>
      </c>
    </row>
    <row r="418">
      <c r="A418" s="22" t="n">
        <v>201610</v>
      </c>
      <c r="B418" s="22" t="inlineStr">
        <is>
          <t>10/2016</t>
        </is>
      </c>
      <c r="C418" s="22" t="n">
        <v>17</v>
      </c>
      <c r="D418" s="22" t="inlineStr">
        <is>
          <t>S17</t>
        </is>
      </c>
      <c r="E418" s="22" t="inlineStr">
        <is>
          <t>Nexa Martinique (S17)</t>
        </is>
      </c>
      <c r="F418" s="22" t="inlineStr">
        <is>
          <t>Pháp</t>
        </is>
      </c>
      <c r="G418" s="22" t="inlineStr">
        <is>
          <t>POS</t>
        </is>
      </c>
      <c r="H418" s="31" t="n">
        <v>1582</v>
      </c>
      <c r="I418" s="31" t="n">
        <v>0</v>
      </c>
      <c r="J418" s="31" t="n">
        <v>1582</v>
      </c>
      <c r="K418" s="31" t="n">
        <v>0</v>
      </c>
      <c r="L418" s="32" t="n">
        <v>1</v>
      </c>
      <c r="M418" s="32" t="n">
        <v>2</v>
      </c>
      <c r="N418" s="31" t="n">
        <v>1582</v>
      </c>
      <c r="O418" s="31" t="n">
        <v>1582</v>
      </c>
      <c r="P418" s="22" t="n">
        <v>0</v>
      </c>
      <c r="Q418" s="22" t="n">
        <v>0</v>
      </c>
      <c r="R418" s="22" t="n">
        <v>0</v>
      </c>
    </row>
    <row r="419">
      <c r="A419" s="22" t="n">
        <v>201610</v>
      </c>
      <c r="B419" s="22" t="inlineStr">
        <is>
          <t>10/2016</t>
        </is>
      </c>
      <c r="C419" s="22" t="n">
        <v>18</v>
      </c>
      <c r="D419" s="22" t="inlineStr">
        <is>
          <t>S18</t>
        </is>
      </c>
      <c r="E419" s="22" t="inlineStr">
        <is>
          <t>Nexa Mayotte (S18)</t>
        </is>
      </c>
      <c r="F419" s="22" t="inlineStr">
        <is>
          <t>Pháp</t>
        </is>
      </c>
      <c r="G419" s="22" t="inlineStr">
        <is>
          <t>POS</t>
        </is>
      </c>
      <c r="H419" s="31" t="n">
        <v>0</v>
      </c>
      <c r="I419" s="31" t="n">
        <v>0</v>
      </c>
      <c r="J419" s="31" t="n">
        <v>0</v>
      </c>
      <c r="K419" s="31" t="n">
        <v>4680</v>
      </c>
      <c r="L419" s="32" t="n">
        <v>0</v>
      </c>
      <c r="M419" s="32" t="n">
        <v>0</v>
      </c>
      <c r="N419" s="31" t="n">
        <v>-4680</v>
      </c>
      <c r="O419" s="31" t="n">
        <v>0</v>
      </c>
      <c r="P419" s="22" t="n">
        <v>0</v>
      </c>
      <c r="Q419" s="22" t="n">
        <v>0</v>
      </c>
      <c r="R419" s="22" t="n">
        <v>0</v>
      </c>
    </row>
    <row r="420">
      <c r="A420" s="22" t="n">
        <v>201610</v>
      </c>
      <c r="B420" s="22" t="inlineStr">
        <is>
          <t>10/2016</t>
        </is>
      </c>
      <c r="C420" s="22" t="n">
        <v>19</v>
      </c>
      <c r="D420" s="22" t="inlineStr">
        <is>
          <t>S19</t>
        </is>
      </c>
      <c r="E420" s="22" t="inlineStr">
        <is>
          <t>Nexa Berlin (S19)</t>
        </is>
      </c>
      <c r="F420" s="22" t="inlineStr">
        <is>
          <t>Đức</t>
        </is>
      </c>
      <c r="G420" s="22" t="inlineStr">
        <is>
          <t>POS</t>
        </is>
      </c>
      <c r="H420" s="31" t="n">
        <v>8623.75</v>
      </c>
      <c r="I420" s="31" t="n">
        <v>0</v>
      </c>
      <c r="J420" s="31" t="n">
        <v>8623.75</v>
      </c>
      <c r="K420" s="31" t="n">
        <v>257.5</v>
      </c>
      <c r="L420" s="32" t="n">
        <v>2</v>
      </c>
      <c r="M420" s="32" t="n">
        <v>23</v>
      </c>
      <c r="N420" s="31" t="n">
        <v>8366.25</v>
      </c>
      <c r="O420" s="31" t="n">
        <v>8623.75</v>
      </c>
      <c r="P420" s="22" t="n">
        <v>0</v>
      </c>
      <c r="Q420" s="22" t="n">
        <v>0</v>
      </c>
      <c r="R420" s="22" t="n">
        <v>0</v>
      </c>
    </row>
    <row r="421">
      <c r="A421" s="22" t="n">
        <v>201610</v>
      </c>
      <c r="B421" s="22" t="inlineStr">
        <is>
          <t>10/2016</t>
        </is>
      </c>
      <c r="C421" s="22" t="n">
        <v>20</v>
      </c>
      <c r="D421" s="22" t="inlineStr">
        <is>
          <t>S20</t>
        </is>
      </c>
      <c r="E421" s="22" t="inlineStr">
        <is>
          <t>Nexa Brandenburg (S20)</t>
        </is>
      </c>
      <c r="F421" s="22" t="inlineStr">
        <is>
          <t>Đức</t>
        </is>
      </c>
      <c r="G421" s="22" t="inlineStr">
        <is>
          <t>POS</t>
        </is>
      </c>
      <c r="H421" s="31" t="n">
        <v>1684.45</v>
      </c>
      <c r="I421" s="31" t="n">
        <v>0</v>
      </c>
      <c r="J421" s="31" t="n">
        <v>1684.45</v>
      </c>
      <c r="K421" s="31" t="n">
        <v>0</v>
      </c>
      <c r="L421" s="32" t="n">
        <v>1</v>
      </c>
      <c r="M421" s="32" t="n">
        <v>7</v>
      </c>
      <c r="N421" s="31" t="n">
        <v>1684.45</v>
      </c>
      <c r="O421" s="31" t="n">
        <v>1684.45</v>
      </c>
      <c r="P421" s="22" t="n">
        <v>0</v>
      </c>
      <c r="Q421" s="22" t="n">
        <v>0</v>
      </c>
      <c r="R421" s="22" t="n">
        <v>0</v>
      </c>
    </row>
    <row r="422">
      <c r="A422" s="22" t="n">
        <v>201610</v>
      </c>
      <c r="B422" s="22" t="inlineStr">
        <is>
          <t>10/2016</t>
        </is>
      </c>
      <c r="C422" s="22" t="n">
        <v>22</v>
      </c>
      <c r="D422" s="22" t="inlineStr">
        <is>
          <t>S22</t>
        </is>
      </c>
      <c r="E422" s="22" t="inlineStr">
        <is>
          <t>Nexa Freistaat Thüringen (S22)</t>
        </is>
      </c>
      <c r="F422" s="22" t="inlineStr">
        <is>
          <t>Đức</t>
        </is>
      </c>
      <c r="G422" s="22" t="inlineStr">
        <is>
          <t>POS</t>
        </is>
      </c>
      <c r="H422" s="31" t="n">
        <v>2513.5</v>
      </c>
      <c r="I422" s="31" t="n">
        <v>0</v>
      </c>
      <c r="J422" s="31" t="n">
        <v>2513.5</v>
      </c>
      <c r="K422" s="31" t="n">
        <v>0</v>
      </c>
      <c r="L422" s="32" t="n">
        <v>2</v>
      </c>
      <c r="M422" s="32" t="n">
        <v>16</v>
      </c>
      <c r="N422" s="31" t="n">
        <v>2257</v>
      </c>
      <c r="O422" s="31" t="n">
        <v>2513.5</v>
      </c>
      <c r="P422" s="22" t="n">
        <v>0</v>
      </c>
      <c r="Q422" s="22" t="n">
        <v>0</v>
      </c>
      <c r="R422" s="22" t="n">
        <v>0</v>
      </c>
    </row>
    <row r="423">
      <c r="A423" s="22" t="n">
        <v>201610</v>
      </c>
      <c r="B423" s="22" t="inlineStr">
        <is>
          <t>10/2016</t>
        </is>
      </c>
      <c r="C423" s="22" t="n">
        <v>23</v>
      </c>
      <c r="D423" s="22" t="inlineStr">
        <is>
          <t>S23</t>
        </is>
      </c>
      <c r="E423" s="22" t="inlineStr">
        <is>
          <t>Nexa Hamburg (S23)</t>
        </is>
      </c>
      <c r="F423" s="22" t="inlineStr">
        <is>
          <t>Đức</t>
        </is>
      </c>
      <c r="G423" s="22" t="inlineStr">
        <is>
          <t>POS</t>
        </is>
      </c>
      <c r="H423" s="31" t="n">
        <v>7761.87</v>
      </c>
      <c r="I423" s="31" t="n">
        <v>0</v>
      </c>
      <c r="J423" s="31" t="n">
        <v>7761.87</v>
      </c>
      <c r="K423" s="31" t="n">
        <v>0</v>
      </c>
      <c r="L423" s="32" t="n">
        <v>4</v>
      </c>
      <c r="M423" s="32" t="n">
        <v>51</v>
      </c>
      <c r="N423" s="31" t="n">
        <v>7761.87</v>
      </c>
      <c r="O423" s="31" t="n">
        <v>7761.87</v>
      </c>
      <c r="P423" s="22" t="n">
        <v>0</v>
      </c>
      <c r="Q423" s="22" t="n">
        <v>0</v>
      </c>
      <c r="R423" s="22" t="n">
        <v>0</v>
      </c>
    </row>
    <row r="424">
      <c r="A424" s="22" t="n">
        <v>201610</v>
      </c>
      <c r="B424" s="22" t="inlineStr">
        <is>
          <t>10/2016</t>
        </is>
      </c>
      <c r="C424" s="22" t="n">
        <v>24</v>
      </c>
      <c r="D424" s="22" t="inlineStr">
        <is>
          <t>S24</t>
        </is>
      </c>
      <c r="E424" s="22" t="inlineStr">
        <is>
          <t>Nexa Hessen (S24)</t>
        </is>
      </c>
      <c r="F424" s="22" t="inlineStr">
        <is>
          <t>Đức</t>
        </is>
      </c>
      <c r="G424" s="22" t="inlineStr">
        <is>
          <t>POS</t>
        </is>
      </c>
      <c r="H424" s="31" t="n">
        <v>198.9</v>
      </c>
      <c r="I424" s="31" t="n">
        <v>0</v>
      </c>
      <c r="J424" s="31" t="n">
        <v>198.9</v>
      </c>
      <c r="K424" s="31" t="n">
        <v>627</v>
      </c>
      <c r="L424" s="32" t="n">
        <v>1</v>
      </c>
      <c r="M424" s="32" t="n">
        <v>2</v>
      </c>
      <c r="N424" s="31" t="n">
        <v>-428.1</v>
      </c>
      <c r="O424" s="31" t="n">
        <v>198.9</v>
      </c>
      <c r="P424" s="22" t="n">
        <v>0</v>
      </c>
      <c r="Q424" s="22" t="n">
        <v>0</v>
      </c>
      <c r="R424" s="22" t="n">
        <v>0</v>
      </c>
    </row>
    <row r="425">
      <c r="A425" s="22" t="n">
        <v>201610</v>
      </c>
      <c r="B425" s="22" t="inlineStr">
        <is>
          <t>10/2016</t>
        </is>
      </c>
      <c r="C425" s="22" t="n">
        <v>27</v>
      </c>
      <c r="D425" s="22" t="inlineStr">
        <is>
          <t>S27</t>
        </is>
      </c>
      <c r="E425" s="22" t="inlineStr">
        <is>
          <t>Nexa Sachsen-Anhalt (S27)</t>
        </is>
      </c>
      <c r="F425" s="22" t="inlineStr">
        <is>
          <t>Đức</t>
        </is>
      </c>
      <c r="G425" s="22" t="inlineStr">
        <is>
          <t>POS</t>
        </is>
      </c>
      <c r="H425" s="31" t="n">
        <v>4163.89</v>
      </c>
      <c r="I425" s="31" t="n">
        <v>0</v>
      </c>
      <c r="J425" s="31" t="n">
        <v>4163.89</v>
      </c>
      <c r="K425" s="31" t="n">
        <v>0</v>
      </c>
      <c r="L425" s="32" t="n">
        <v>3</v>
      </c>
      <c r="M425" s="32" t="n">
        <v>28</v>
      </c>
      <c r="N425" s="31" t="n">
        <v>4163.89</v>
      </c>
      <c r="O425" s="31" t="n">
        <v>4163.89</v>
      </c>
      <c r="P425" s="22" t="n">
        <v>0</v>
      </c>
      <c r="Q425" s="22" t="n">
        <v>0</v>
      </c>
      <c r="R425" s="22" t="n">
        <v>0</v>
      </c>
    </row>
    <row r="426">
      <c r="A426" s="22" t="n">
        <v>201610</v>
      </c>
      <c r="B426" s="22" t="inlineStr">
        <is>
          <t>10/2016</t>
        </is>
      </c>
      <c r="C426" s="22" t="n">
        <v>28</v>
      </c>
      <c r="D426" s="22" t="inlineStr">
        <is>
          <t>S28</t>
        </is>
      </c>
      <c r="E426" s="22" t="inlineStr">
        <is>
          <t>Nexa Caltanissetta (S28)</t>
        </is>
      </c>
      <c r="F426" s="22" t="inlineStr">
        <is>
          <t>Ý</t>
        </is>
      </c>
      <c r="G426" s="22" t="inlineStr">
        <is>
          <t>POS</t>
        </is>
      </c>
      <c r="H426" s="31" t="n">
        <v>5479.95</v>
      </c>
      <c r="I426" s="31" t="n">
        <v>0</v>
      </c>
      <c r="J426" s="31" t="n">
        <v>5479.95</v>
      </c>
      <c r="K426" s="31" t="n">
        <v>0</v>
      </c>
      <c r="L426" s="32" t="n">
        <v>6</v>
      </c>
      <c r="M426" s="32" t="n">
        <v>22</v>
      </c>
      <c r="N426" s="31" t="n">
        <v>5479.95</v>
      </c>
      <c r="O426" s="31" t="n">
        <v>5479.95</v>
      </c>
      <c r="P426" s="22" t="n">
        <v>0</v>
      </c>
      <c r="Q426" s="22" t="n">
        <v>0</v>
      </c>
      <c r="R426" s="22" t="n">
        <v>0</v>
      </c>
    </row>
    <row r="427">
      <c r="A427" s="22" t="n">
        <v>201610</v>
      </c>
      <c r="B427" s="22" t="inlineStr">
        <is>
          <t>10/2016</t>
        </is>
      </c>
      <c r="C427" s="22" t="n">
        <v>29</v>
      </c>
      <c r="D427" s="22" t="inlineStr">
        <is>
          <t>S29</t>
        </is>
      </c>
      <c r="E427" s="22" t="inlineStr">
        <is>
          <t>Nexa Enna (S29)</t>
        </is>
      </c>
      <c r="F427" s="22" t="inlineStr">
        <is>
          <t>Ý</t>
        </is>
      </c>
      <c r="G427" s="22" t="inlineStr">
        <is>
          <t>POS</t>
        </is>
      </c>
      <c r="H427" s="31" t="n">
        <v>14272.3</v>
      </c>
      <c r="I427" s="31" t="n">
        <v>0</v>
      </c>
      <c r="J427" s="31" t="n">
        <v>14272.3</v>
      </c>
      <c r="K427" s="31" t="n">
        <v>0</v>
      </c>
      <c r="L427" s="32" t="n">
        <v>5</v>
      </c>
      <c r="M427" s="32" t="n">
        <v>50</v>
      </c>
      <c r="N427" s="31" t="n">
        <v>14272.3</v>
      </c>
      <c r="O427" s="31" t="n">
        <v>14272.3</v>
      </c>
      <c r="P427" s="22" t="n">
        <v>0</v>
      </c>
      <c r="Q427" s="22" t="n">
        <v>0</v>
      </c>
      <c r="R427" s="22" t="n">
        <v>0</v>
      </c>
    </row>
    <row r="428">
      <c r="A428" s="22" t="n">
        <v>201610</v>
      </c>
      <c r="B428" s="22" t="inlineStr">
        <is>
          <t>10/2016</t>
        </is>
      </c>
      <c r="C428" s="22" t="n">
        <v>30</v>
      </c>
      <c r="D428" s="22" t="inlineStr">
        <is>
          <t>S30</t>
        </is>
      </c>
      <c r="E428" s="22" t="inlineStr">
        <is>
          <t>Nexa Pesaro (S30)</t>
        </is>
      </c>
      <c r="F428" s="22" t="inlineStr">
        <is>
          <t>Ý</t>
        </is>
      </c>
      <c r="G428" s="22" t="inlineStr">
        <is>
          <t>POS</t>
        </is>
      </c>
      <c r="H428" s="31" t="n">
        <v>3653.03</v>
      </c>
      <c r="I428" s="31" t="n">
        <v>0</v>
      </c>
      <c r="J428" s="31" t="n">
        <v>3653.03</v>
      </c>
      <c r="K428" s="31" t="n">
        <v>0</v>
      </c>
      <c r="L428" s="32" t="n">
        <v>3</v>
      </c>
      <c r="M428" s="32" t="n">
        <v>38</v>
      </c>
      <c r="N428" s="31" t="n">
        <v>3653.03</v>
      </c>
      <c r="O428" s="31" t="n">
        <v>3653.03</v>
      </c>
      <c r="P428" s="22" t="n">
        <v>0</v>
      </c>
      <c r="Q428" s="22" t="n">
        <v>0</v>
      </c>
      <c r="R428" s="22" t="n">
        <v>0</v>
      </c>
    </row>
    <row r="429">
      <c r="A429" s="22" t="n">
        <v>201610</v>
      </c>
      <c r="B429" s="22" t="inlineStr">
        <is>
          <t>10/2016</t>
        </is>
      </c>
      <c r="C429" s="22" t="n">
        <v>31</v>
      </c>
      <c r="D429" s="22" t="inlineStr">
        <is>
          <t>S31</t>
        </is>
      </c>
      <c r="E429" s="22" t="inlineStr">
        <is>
          <t>Nexa Drenthe (S31)</t>
        </is>
      </c>
      <c r="F429" s="22" t="inlineStr">
        <is>
          <t>Hà Lan</t>
        </is>
      </c>
      <c r="G429" s="22" t="inlineStr">
        <is>
          <t>POS</t>
        </is>
      </c>
      <c r="H429" s="31" t="n">
        <v>7710.69</v>
      </c>
      <c r="I429" s="31" t="n">
        <v>0</v>
      </c>
      <c r="J429" s="31" t="n">
        <v>7710.69</v>
      </c>
      <c r="K429" s="31" t="n">
        <v>0</v>
      </c>
      <c r="L429" s="32" t="n">
        <v>2</v>
      </c>
      <c r="M429" s="32" t="n">
        <v>11</v>
      </c>
      <c r="N429" s="31" t="n">
        <v>7710.69</v>
      </c>
      <c r="O429" s="31" t="n">
        <v>7710.69</v>
      </c>
      <c r="P429" s="22" t="n">
        <v>0</v>
      </c>
      <c r="Q429" s="22" t="n">
        <v>0</v>
      </c>
      <c r="R429" s="22" t="n">
        <v>0</v>
      </c>
    </row>
    <row r="430">
      <c r="A430" s="22" t="n">
        <v>201610</v>
      </c>
      <c r="B430" s="22" t="inlineStr">
        <is>
          <t>10/2016</t>
        </is>
      </c>
      <c r="C430" s="22" t="n">
        <v>32</v>
      </c>
      <c r="D430" s="22" t="inlineStr">
        <is>
          <t>S32</t>
        </is>
      </c>
      <c r="E430" s="22" t="inlineStr">
        <is>
          <t>Nexa Flevoland (S32)</t>
        </is>
      </c>
      <c r="F430" s="22" t="inlineStr">
        <is>
          <t>Hà Lan</t>
        </is>
      </c>
      <c r="G430" s="22" t="inlineStr">
        <is>
          <t>POS</t>
        </is>
      </c>
      <c r="H430" s="31" t="n">
        <v>3701.81</v>
      </c>
      <c r="I430" s="31" t="n">
        <v>0</v>
      </c>
      <c r="J430" s="31" t="n">
        <v>3701.81</v>
      </c>
      <c r="K430" s="31" t="n">
        <v>0</v>
      </c>
      <c r="L430" s="32" t="n">
        <v>4</v>
      </c>
      <c r="M430" s="32" t="n">
        <v>22</v>
      </c>
      <c r="N430" s="31" t="n">
        <v>3701.81</v>
      </c>
      <c r="O430" s="31" t="n">
        <v>3701.81</v>
      </c>
      <c r="P430" s="22" t="n">
        <v>0</v>
      </c>
      <c r="Q430" s="22" t="n">
        <v>0</v>
      </c>
      <c r="R430" s="22" t="n">
        <v>0</v>
      </c>
    </row>
    <row r="431">
      <c r="A431" s="22" t="n">
        <v>201610</v>
      </c>
      <c r="B431" s="22" t="inlineStr">
        <is>
          <t>10/2016</t>
        </is>
      </c>
      <c r="C431" s="22" t="n">
        <v>33</v>
      </c>
      <c r="D431" s="22" t="inlineStr">
        <is>
          <t>S33</t>
        </is>
      </c>
      <c r="E431" s="22" t="inlineStr">
        <is>
          <t>Nexa Friesland (S33)</t>
        </is>
      </c>
      <c r="F431" s="22" t="inlineStr">
        <is>
          <t>Hà Lan</t>
        </is>
      </c>
      <c r="G431" s="22" t="inlineStr">
        <is>
          <t>POS</t>
        </is>
      </c>
      <c r="H431" s="31" t="n">
        <v>2761.87</v>
      </c>
      <c r="I431" s="31" t="n">
        <v>0</v>
      </c>
      <c r="J431" s="31" t="n">
        <v>2761.87</v>
      </c>
      <c r="K431" s="31" t="n">
        <v>67.40000000000001</v>
      </c>
      <c r="L431" s="32" t="n">
        <v>1</v>
      </c>
      <c r="M431" s="32" t="n">
        <v>21</v>
      </c>
      <c r="N431" s="31" t="n">
        <v>2694.47</v>
      </c>
      <c r="O431" s="31" t="n">
        <v>2761.87</v>
      </c>
      <c r="P431" s="22" t="n">
        <v>1</v>
      </c>
      <c r="Q431" s="22" t="n">
        <v>0</v>
      </c>
      <c r="R431" s="22" t="n">
        <v>0</v>
      </c>
    </row>
    <row r="432">
      <c r="A432" s="22" t="n">
        <v>201610</v>
      </c>
      <c r="B432" s="22" t="inlineStr">
        <is>
          <t>10/2016</t>
        </is>
      </c>
      <c r="C432" s="22" t="n">
        <v>34</v>
      </c>
      <c r="D432" s="22" t="inlineStr">
        <is>
          <t>S34</t>
        </is>
      </c>
      <c r="E432" s="22" t="inlineStr">
        <is>
          <t>Nexa Groningen (S34)</t>
        </is>
      </c>
      <c r="F432" s="22" t="inlineStr">
        <is>
          <t>Hà Lan</t>
        </is>
      </c>
      <c r="G432" s="22" t="inlineStr">
        <is>
          <t>POS</t>
        </is>
      </c>
      <c r="H432" s="31" t="n">
        <v>2421.91</v>
      </c>
      <c r="I432" s="31" t="n">
        <v>0</v>
      </c>
      <c r="J432" s="31" t="n">
        <v>2421.91</v>
      </c>
      <c r="K432" s="31" t="n">
        <v>0</v>
      </c>
      <c r="L432" s="32" t="n">
        <v>3</v>
      </c>
      <c r="M432" s="32" t="n">
        <v>13</v>
      </c>
      <c r="N432" s="31" t="n">
        <v>2421.91</v>
      </c>
      <c r="O432" s="31" t="n">
        <v>2421.91</v>
      </c>
      <c r="P432" s="22" t="n">
        <v>0</v>
      </c>
      <c r="Q432" s="22" t="n">
        <v>0</v>
      </c>
      <c r="R432" s="22" t="n">
        <v>0</v>
      </c>
    </row>
    <row r="433">
      <c r="A433" s="22" t="n">
        <v>201610</v>
      </c>
      <c r="B433" s="22" t="inlineStr">
        <is>
          <t>10/2016</t>
        </is>
      </c>
      <c r="C433" s="22" t="n">
        <v>36</v>
      </c>
      <c r="D433" s="22" t="inlineStr">
        <is>
          <t>S36</t>
        </is>
      </c>
      <c r="E433" s="22" t="inlineStr">
        <is>
          <t>Nexa Armagh (S36)</t>
        </is>
      </c>
      <c r="F433" s="22" t="inlineStr">
        <is>
          <t>Anh</t>
        </is>
      </c>
      <c r="G433" s="22" t="inlineStr">
        <is>
          <t>POS</t>
        </is>
      </c>
      <c r="H433" s="31" t="n">
        <v>24485.05</v>
      </c>
      <c r="I433" s="31" t="n">
        <v>0</v>
      </c>
      <c r="J433" s="31" t="n">
        <v>24485.05</v>
      </c>
      <c r="K433" s="31" t="n">
        <v>586.99</v>
      </c>
      <c r="L433" s="32" t="n">
        <v>12</v>
      </c>
      <c r="M433" s="32" t="n">
        <v>84</v>
      </c>
      <c r="N433" s="31" t="n">
        <v>23898.06</v>
      </c>
      <c r="O433" s="31" t="n">
        <v>24485.05</v>
      </c>
      <c r="P433" s="22" t="n">
        <v>1</v>
      </c>
      <c r="Q433" s="22" t="n">
        <v>0</v>
      </c>
      <c r="R433" s="22" t="n">
        <v>0</v>
      </c>
    </row>
    <row r="434">
      <c r="A434" s="22" t="n">
        <v>201610</v>
      </c>
      <c r="B434" s="22" t="inlineStr">
        <is>
          <t>10/2016</t>
        </is>
      </c>
      <c r="C434" s="22" t="n">
        <v>37</v>
      </c>
      <c r="D434" s="22" t="inlineStr">
        <is>
          <t>S37</t>
        </is>
      </c>
      <c r="E434" s="22" t="inlineStr">
        <is>
          <t>Nexa Ayrshire (S37)</t>
        </is>
      </c>
      <c r="F434" s="22" t="inlineStr">
        <is>
          <t>Anh</t>
        </is>
      </c>
      <c r="G434" s="22" t="inlineStr">
        <is>
          <t>POS</t>
        </is>
      </c>
      <c r="H434" s="31" t="n">
        <v>16392.33</v>
      </c>
      <c r="I434" s="31" t="n">
        <v>0</v>
      </c>
      <c r="J434" s="31" t="n">
        <v>16392.33</v>
      </c>
      <c r="K434" s="31" t="n">
        <v>252.39</v>
      </c>
      <c r="L434" s="32" t="n">
        <v>9</v>
      </c>
      <c r="M434" s="32" t="n">
        <v>76</v>
      </c>
      <c r="N434" s="31" t="n">
        <v>16139.94</v>
      </c>
      <c r="O434" s="31" t="n">
        <v>16392.33</v>
      </c>
      <c r="P434" s="22" t="n">
        <v>0</v>
      </c>
      <c r="Q434" s="22" t="n">
        <v>0</v>
      </c>
      <c r="R434" s="22" t="n">
        <v>0</v>
      </c>
    </row>
    <row r="435">
      <c r="A435" s="22" t="n">
        <v>201610</v>
      </c>
      <c r="B435" s="22" t="inlineStr">
        <is>
          <t>10/2016</t>
        </is>
      </c>
      <c r="C435" s="22" t="n">
        <v>38</v>
      </c>
      <c r="D435" s="22" t="inlineStr">
        <is>
          <t>S38</t>
        </is>
      </c>
      <c r="E435" s="22" t="inlineStr">
        <is>
          <t>Nexa Belfast (S38)</t>
        </is>
      </c>
      <c r="F435" s="22" t="inlineStr">
        <is>
          <t>Anh</t>
        </is>
      </c>
      <c r="G435" s="22" t="inlineStr">
        <is>
          <t>POS</t>
        </is>
      </c>
      <c r="H435" s="31" t="n">
        <v>14576.69</v>
      </c>
      <c r="I435" s="31" t="n">
        <v>0</v>
      </c>
      <c r="J435" s="31" t="n">
        <v>14576.69</v>
      </c>
      <c r="K435" s="31" t="n">
        <v>0</v>
      </c>
      <c r="L435" s="32" t="n">
        <v>3</v>
      </c>
      <c r="M435" s="32" t="n">
        <v>27</v>
      </c>
      <c r="N435" s="31" t="n">
        <v>14576.69</v>
      </c>
      <c r="O435" s="31" t="n">
        <v>14576.69</v>
      </c>
      <c r="P435" s="22" t="n">
        <v>0</v>
      </c>
      <c r="Q435" s="22" t="n">
        <v>0</v>
      </c>
      <c r="R435" s="22" t="n">
        <v>0</v>
      </c>
    </row>
    <row r="436">
      <c r="A436" s="22" t="n">
        <v>201610</v>
      </c>
      <c r="B436" s="22" t="inlineStr">
        <is>
          <t>10/2016</t>
        </is>
      </c>
      <c r="C436" s="22" t="n">
        <v>39</v>
      </c>
      <c r="D436" s="22" t="inlineStr">
        <is>
          <t>S39</t>
        </is>
      </c>
      <c r="E436" s="22" t="inlineStr">
        <is>
          <t>Nexa Blaenau Gwent (S39)</t>
        </is>
      </c>
      <c r="F436" s="22" t="inlineStr">
        <is>
          <t>Anh</t>
        </is>
      </c>
      <c r="G436" s="22" t="inlineStr">
        <is>
          <t>POS</t>
        </is>
      </c>
      <c r="H436" s="31" t="n">
        <v>2581.33</v>
      </c>
      <c r="I436" s="31" t="n">
        <v>0</v>
      </c>
      <c r="J436" s="31" t="n">
        <v>2581.33</v>
      </c>
      <c r="K436" s="31" t="n">
        <v>199.98</v>
      </c>
      <c r="L436" s="32" t="n">
        <v>3</v>
      </c>
      <c r="M436" s="32" t="n">
        <v>25</v>
      </c>
      <c r="N436" s="31" t="n">
        <v>2381.35</v>
      </c>
      <c r="O436" s="31" t="n">
        <v>2581.33</v>
      </c>
      <c r="P436" s="22" t="n">
        <v>0</v>
      </c>
      <c r="Q436" s="22" t="n">
        <v>0</v>
      </c>
      <c r="R436" s="22" t="n">
        <v>0</v>
      </c>
    </row>
    <row r="437">
      <c r="A437" s="22" t="n">
        <v>201610</v>
      </c>
      <c r="B437" s="22" t="inlineStr">
        <is>
          <t>10/2016</t>
        </is>
      </c>
      <c r="C437" s="22" t="n">
        <v>40</v>
      </c>
      <c r="D437" s="22" t="inlineStr">
        <is>
          <t>S40</t>
        </is>
      </c>
      <c r="E437" s="22" t="inlineStr">
        <is>
          <t>Nexa Dungannon and South Tyrone (S40)</t>
        </is>
      </c>
      <c r="F437" s="22" t="inlineStr">
        <is>
          <t>Anh</t>
        </is>
      </c>
      <c r="G437" s="22" t="inlineStr">
        <is>
          <t>POS</t>
        </is>
      </c>
      <c r="H437" s="31" t="n">
        <v>4624.92</v>
      </c>
      <c r="I437" s="31" t="n">
        <v>0</v>
      </c>
      <c r="J437" s="31" t="n">
        <v>4624.92</v>
      </c>
      <c r="K437" s="31" t="n">
        <v>0</v>
      </c>
      <c r="L437" s="32" t="n">
        <v>3</v>
      </c>
      <c r="M437" s="32" t="n">
        <v>20</v>
      </c>
      <c r="N437" s="31" t="n">
        <v>4624.92</v>
      </c>
      <c r="O437" s="31" t="n">
        <v>4624.92</v>
      </c>
      <c r="P437" s="22" t="n">
        <v>0</v>
      </c>
      <c r="Q437" s="22" t="n">
        <v>0</v>
      </c>
      <c r="R437" s="22" t="n">
        <v>0</v>
      </c>
    </row>
    <row r="438">
      <c r="A438" s="22" t="n">
        <v>201610</v>
      </c>
      <c r="B438" s="22" t="inlineStr">
        <is>
          <t>10/2016</t>
        </is>
      </c>
      <c r="C438" s="22" t="n">
        <v>41</v>
      </c>
      <c r="D438" s="22" t="inlineStr">
        <is>
          <t>S41</t>
        </is>
      </c>
      <c r="E438" s="22" t="inlineStr">
        <is>
          <t>Nexa Fermanagh (S41)</t>
        </is>
      </c>
      <c r="F438" s="22" t="inlineStr">
        <is>
          <t>Anh</t>
        </is>
      </c>
      <c r="G438" s="22" t="inlineStr">
        <is>
          <t>POS</t>
        </is>
      </c>
      <c r="H438" s="31" t="n">
        <v>16939.19</v>
      </c>
      <c r="I438" s="31" t="n">
        <v>0</v>
      </c>
      <c r="J438" s="31" t="n">
        <v>16939.19</v>
      </c>
      <c r="K438" s="31" t="n">
        <v>268</v>
      </c>
      <c r="L438" s="32" t="n">
        <v>3</v>
      </c>
      <c r="M438" s="32" t="n">
        <v>20</v>
      </c>
      <c r="N438" s="31" t="n">
        <v>16671.19</v>
      </c>
      <c r="O438" s="31" t="n">
        <v>16939.19</v>
      </c>
      <c r="P438" s="22" t="n">
        <v>0</v>
      </c>
      <c r="Q438" s="22" t="n">
        <v>0</v>
      </c>
      <c r="R438" s="22" t="n">
        <v>0</v>
      </c>
    </row>
    <row r="439">
      <c r="A439" s="22" t="n">
        <v>201610</v>
      </c>
      <c r="B439" s="22" t="inlineStr">
        <is>
          <t>10/2016</t>
        </is>
      </c>
      <c r="C439" s="22" t="n">
        <v>42</v>
      </c>
      <c r="D439" s="22" t="inlineStr">
        <is>
          <t>S42</t>
        </is>
      </c>
      <c r="E439" s="22" t="inlineStr">
        <is>
          <t>Nexa North Down (S42)</t>
        </is>
      </c>
      <c r="F439" s="22" t="inlineStr">
        <is>
          <t>Anh</t>
        </is>
      </c>
      <c r="G439" s="22" t="inlineStr">
        <is>
          <t>POS</t>
        </is>
      </c>
      <c r="H439" s="31" t="n">
        <v>19241.57</v>
      </c>
      <c r="I439" s="31" t="n">
        <v>0</v>
      </c>
      <c r="J439" s="31" t="n">
        <v>19241.57</v>
      </c>
      <c r="K439" s="31" t="n">
        <v>361.8</v>
      </c>
      <c r="L439" s="32" t="n">
        <v>9</v>
      </c>
      <c r="M439" s="32" t="n">
        <v>64</v>
      </c>
      <c r="N439" s="31" t="n">
        <v>18879.77</v>
      </c>
      <c r="O439" s="31" t="n">
        <v>19241.57</v>
      </c>
      <c r="P439" s="22" t="n">
        <v>0</v>
      </c>
      <c r="Q439" s="22" t="n">
        <v>0</v>
      </c>
      <c r="R439" s="22" t="n">
        <v>0</v>
      </c>
    </row>
    <row r="440">
      <c r="A440" s="22" t="n">
        <v>201610</v>
      </c>
      <c r="B440" s="22" t="inlineStr">
        <is>
          <t>10/2016</t>
        </is>
      </c>
      <c r="C440" s="22" t="n">
        <v>43</v>
      </c>
      <c r="D440" s="22" t="inlineStr">
        <is>
          <t>S43</t>
        </is>
      </c>
      <c r="E440" s="22" t="inlineStr">
        <is>
          <t>Nexa Alaska (S43)</t>
        </is>
      </c>
      <c r="F440" s="22" t="inlineStr">
        <is>
          <t>Mỹ</t>
        </is>
      </c>
      <c r="G440" s="22" t="inlineStr">
        <is>
          <t>POS</t>
        </is>
      </c>
      <c r="H440" s="31" t="n">
        <v>6146.11</v>
      </c>
      <c r="I440" s="31" t="n">
        <v>0</v>
      </c>
      <c r="J440" s="31" t="n">
        <v>6146.11</v>
      </c>
      <c r="K440" s="31" t="n">
        <v>0</v>
      </c>
      <c r="L440" s="32" t="n">
        <v>6</v>
      </c>
      <c r="M440" s="32" t="n">
        <v>45</v>
      </c>
      <c r="N440" s="31" t="n">
        <v>6146.11</v>
      </c>
      <c r="O440" s="31" t="n">
        <v>6146.11</v>
      </c>
      <c r="P440" s="22" t="n">
        <v>1</v>
      </c>
      <c r="Q440" s="22" t="n">
        <v>0</v>
      </c>
      <c r="R440" s="22" t="n">
        <v>0</v>
      </c>
    </row>
    <row r="441">
      <c r="A441" s="22" t="n">
        <v>201610</v>
      </c>
      <c r="B441" s="22" t="inlineStr">
        <is>
          <t>10/2016</t>
        </is>
      </c>
      <c r="C441" s="22" t="n">
        <v>44</v>
      </c>
      <c r="D441" s="22" t="inlineStr">
        <is>
          <t>S44</t>
        </is>
      </c>
      <c r="E441" s="22" t="inlineStr">
        <is>
          <t>Nexa Arkansas (S44)</t>
        </is>
      </c>
      <c r="F441" s="22" t="inlineStr">
        <is>
          <t>Mỹ</t>
        </is>
      </c>
      <c r="G441" s="22" t="inlineStr">
        <is>
          <t>POS</t>
        </is>
      </c>
      <c r="H441" s="31" t="n">
        <v>1058.96</v>
      </c>
      <c r="I441" s="31" t="n">
        <v>0</v>
      </c>
      <c r="J441" s="31" t="n">
        <v>1058.96</v>
      </c>
      <c r="K441" s="31" t="n">
        <v>0</v>
      </c>
      <c r="L441" s="32" t="n">
        <v>2</v>
      </c>
      <c r="M441" s="32" t="n">
        <v>12</v>
      </c>
      <c r="N441" s="31" t="n">
        <v>1058.96</v>
      </c>
      <c r="O441" s="31" t="n">
        <v>1058.96</v>
      </c>
      <c r="P441" s="22" t="n">
        <v>0</v>
      </c>
      <c r="Q441" s="22" t="n">
        <v>0</v>
      </c>
      <c r="R441" s="22" t="n">
        <v>0</v>
      </c>
    </row>
    <row r="442">
      <c r="A442" s="22" t="n">
        <v>201610</v>
      </c>
      <c r="B442" s="22" t="inlineStr">
        <is>
          <t>10/2016</t>
        </is>
      </c>
      <c r="C442" s="22" t="n">
        <v>45</v>
      </c>
      <c r="D442" s="22" t="inlineStr">
        <is>
          <t>S45</t>
        </is>
      </c>
      <c r="E442" s="22" t="inlineStr">
        <is>
          <t>Nexa Connecticut (S45)</t>
        </is>
      </c>
      <c r="F442" s="22" t="inlineStr">
        <is>
          <t>Mỹ</t>
        </is>
      </c>
      <c r="G442" s="22" t="inlineStr">
        <is>
          <t>POS</t>
        </is>
      </c>
      <c r="H442" s="31" t="n">
        <v>24832.93</v>
      </c>
      <c r="I442" s="31" t="n">
        <v>0</v>
      </c>
      <c r="J442" s="31" t="n">
        <v>24832.93</v>
      </c>
      <c r="K442" s="31" t="n">
        <v>428.94</v>
      </c>
      <c r="L442" s="32" t="n">
        <v>10</v>
      </c>
      <c r="M442" s="32" t="n">
        <v>90</v>
      </c>
      <c r="N442" s="31" t="n">
        <v>24403.99</v>
      </c>
      <c r="O442" s="31" t="n">
        <v>24832.93</v>
      </c>
      <c r="P442" s="22" t="n">
        <v>0</v>
      </c>
      <c r="Q442" s="22" t="n">
        <v>0</v>
      </c>
      <c r="R442" s="22" t="n">
        <v>1</v>
      </c>
    </row>
    <row r="443">
      <c r="A443" s="22" t="n">
        <v>201610</v>
      </c>
      <c r="B443" s="22" t="inlineStr">
        <is>
          <t>10/2016</t>
        </is>
      </c>
      <c r="C443" s="22" t="n">
        <v>47</v>
      </c>
      <c r="D443" s="22" t="inlineStr">
        <is>
          <t>S47</t>
        </is>
      </c>
      <c r="E443" s="22" t="inlineStr">
        <is>
          <t>Nexa Hawaii (S47)</t>
        </is>
      </c>
      <c r="F443" s="22" t="inlineStr">
        <is>
          <t>Mỹ</t>
        </is>
      </c>
      <c r="G443" s="22" t="inlineStr">
        <is>
          <t>POS</t>
        </is>
      </c>
      <c r="H443" s="31" t="n">
        <v>15218.65</v>
      </c>
      <c r="I443" s="31" t="n">
        <v>0</v>
      </c>
      <c r="J443" s="31" t="n">
        <v>15218.65</v>
      </c>
      <c r="K443" s="31" t="n">
        <v>0</v>
      </c>
      <c r="L443" s="32" t="n">
        <v>7</v>
      </c>
      <c r="M443" s="32" t="n">
        <v>68</v>
      </c>
      <c r="N443" s="31" t="n">
        <v>15218.65</v>
      </c>
      <c r="O443" s="31" t="n">
        <v>15218.65</v>
      </c>
      <c r="P443" s="22" t="n">
        <v>1</v>
      </c>
      <c r="Q443" s="22" t="n">
        <v>0</v>
      </c>
      <c r="R443" s="22" t="n">
        <v>0</v>
      </c>
    </row>
    <row r="444">
      <c r="A444" s="22" t="n">
        <v>201610</v>
      </c>
      <c r="B444" s="22" t="inlineStr">
        <is>
          <t>10/2016</t>
        </is>
      </c>
      <c r="C444" s="22" t="n">
        <v>48</v>
      </c>
      <c r="D444" s="22" t="inlineStr">
        <is>
          <t>S48</t>
        </is>
      </c>
      <c r="E444" s="22" t="inlineStr">
        <is>
          <t>Nexa Idaho (S48)</t>
        </is>
      </c>
      <c r="F444" s="22" t="inlineStr">
        <is>
          <t>Mỹ</t>
        </is>
      </c>
      <c r="G444" s="22" t="inlineStr">
        <is>
          <t>POS</t>
        </is>
      </c>
      <c r="H444" s="31" t="n">
        <v>16045.36</v>
      </c>
      <c r="I444" s="31" t="n">
        <v>0</v>
      </c>
      <c r="J444" s="31" t="n">
        <v>16045.36</v>
      </c>
      <c r="K444" s="31" t="n">
        <v>0</v>
      </c>
      <c r="L444" s="32" t="n">
        <v>9</v>
      </c>
      <c r="M444" s="32" t="n">
        <v>36</v>
      </c>
      <c r="N444" s="31" t="n">
        <v>16045.36</v>
      </c>
      <c r="O444" s="31" t="n">
        <v>16045.36</v>
      </c>
      <c r="P444" s="22" t="n">
        <v>1</v>
      </c>
      <c r="Q444" s="22" t="n">
        <v>0</v>
      </c>
      <c r="R444" s="22" t="n">
        <v>0</v>
      </c>
    </row>
    <row r="445">
      <c r="A445" s="22" t="n">
        <v>201610</v>
      </c>
      <c r="B445" s="22" t="inlineStr">
        <is>
          <t>10/2016</t>
        </is>
      </c>
      <c r="C445" s="22" t="n">
        <v>50</v>
      </c>
      <c r="D445" s="22" t="inlineStr">
        <is>
          <t>S50</t>
        </is>
      </c>
      <c r="E445" s="22" t="inlineStr">
        <is>
          <t>Nexa Kansas (S50)</t>
        </is>
      </c>
      <c r="F445" s="22" t="inlineStr">
        <is>
          <t>Mỹ</t>
        </is>
      </c>
      <c r="G445" s="22" t="inlineStr">
        <is>
          <t>POS</t>
        </is>
      </c>
      <c r="H445" s="31" t="n">
        <v>15338.17</v>
      </c>
      <c r="I445" s="31" t="n">
        <v>0</v>
      </c>
      <c r="J445" s="31" t="n">
        <v>15338.17</v>
      </c>
      <c r="K445" s="31" t="n">
        <v>819.9</v>
      </c>
      <c r="L445" s="32" t="n">
        <v>5</v>
      </c>
      <c r="M445" s="32" t="n">
        <v>68</v>
      </c>
      <c r="N445" s="31" t="n">
        <v>14518.27</v>
      </c>
      <c r="O445" s="31" t="n">
        <v>15338.17</v>
      </c>
      <c r="P445" s="22" t="n">
        <v>0</v>
      </c>
      <c r="Q445" s="22" t="n">
        <v>0</v>
      </c>
      <c r="R445" s="22" t="n">
        <v>0</v>
      </c>
    </row>
    <row r="446">
      <c r="A446" s="22" t="n">
        <v>201610</v>
      </c>
      <c r="B446" s="22" t="inlineStr">
        <is>
          <t>10/2016</t>
        </is>
      </c>
      <c r="C446" s="22" t="n">
        <v>51</v>
      </c>
      <c r="D446" s="22" t="inlineStr">
        <is>
          <t>S51</t>
        </is>
      </c>
      <c r="E446" s="22" t="inlineStr">
        <is>
          <t>Nexa Maine (S51)</t>
        </is>
      </c>
      <c r="F446" s="22" t="inlineStr">
        <is>
          <t>Mỹ</t>
        </is>
      </c>
      <c r="G446" s="22" t="inlineStr">
        <is>
          <t>POS</t>
        </is>
      </c>
      <c r="H446" s="31" t="n">
        <v>1338.08</v>
      </c>
      <c r="I446" s="31" t="n">
        <v>0</v>
      </c>
      <c r="J446" s="31" t="n">
        <v>1338.08</v>
      </c>
      <c r="K446" s="31" t="n">
        <v>938</v>
      </c>
      <c r="L446" s="32" t="n">
        <v>4</v>
      </c>
      <c r="M446" s="32" t="n">
        <v>12</v>
      </c>
      <c r="N446" s="31" t="n">
        <v>400.08</v>
      </c>
      <c r="O446" s="31" t="n">
        <v>1338.08</v>
      </c>
      <c r="P446" s="22" t="n">
        <v>1</v>
      </c>
      <c r="Q446" s="22" t="n">
        <v>0</v>
      </c>
      <c r="R446" s="22" t="n">
        <v>0</v>
      </c>
    </row>
    <row r="447">
      <c r="A447" s="22" t="n">
        <v>201610</v>
      </c>
      <c r="B447" s="22" t="inlineStr">
        <is>
          <t>10/2016</t>
        </is>
      </c>
      <c r="C447" s="22" t="n">
        <v>53</v>
      </c>
      <c r="D447" s="22" t="inlineStr">
        <is>
          <t>S53</t>
        </is>
      </c>
      <c r="E447" s="22" t="inlineStr">
        <is>
          <t>Nexa Montana (S53)</t>
        </is>
      </c>
      <c r="F447" s="22" t="inlineStr">
        <is>
          <t>Mỹ</t>
        </is>
      </c>
      <c r="G447" s="22" t="inlineStr">
        <is>
          <t>POS</t>
        </is>
      </c>
      <c r="H447" s="31" t="n">
        <v>1323.24</v>
      </c>
      <c r="I447" s="31" t="n">
        <v>0</v>
      </c>
      <c r="J447" s="31" t="n">
        <v>1323.24</v>
      </c>
      <c r="K447" s="31" t="n">
        <v>0</v>
      </c>
      <c r="L447" s="32" t="n">
        <v>2</v>
      </c>
      <c r="M447" s="32" t="n">
        <v>11</v>
      </c>
      <c r="N447" s="31" t="n">
        <v>1323.24</v>
      </c>
      <c r="O447" s="31" t="n">
        <v>1323.24</v>
      </c>
      <c r="P447" s="22" t="n">
        <v>0</v>
      </c>
      <c r="Q447" s="22" t="n">
        <v>0</v>
      </c>
      <c r="R447" s="22" t="n">
        <v>0</v>
      </c>
    </row>
    <row r="448">
      <c r="A448" s="22" t="n">
        <v>201610</v>
      </c>
      <c r="B448" s="22" t="inlineStr">
        <is>
          <t>10/2016</t>
        </is>
      </c>
      <c r="C448" s="22" t="n">
        <v>54</v>
      </c>
      <c r="D448" s="22" t="inlineStr">
        <is>
          <t>S54</t>
        </is>
      </c>
      <c r="E448" s="22" t="inlineStr">
        <is>
          <t>Nexa Nebraska (S54)</t>
        </is>
      </c>
      <c r="F448" s="22" t="inlineStr">
        <is>
          <t>Mỹ</t>
        </is>
      </c>
      <c r="G448" s="22" t="inlineStr">
        <is>
          <t>POS</t>
        </is>
      </c>
      <c r="H448" s="31" t="n">
        <v>18646.37</v>
      </c>
      <c r="I448" s="31" t="n">
        <v>0</v>
      </c>
      <c r="J448" s="31" t="n">
        <v>18646.37</v>
      </c>
      <c r="K448" s="31" t="n">
        <v>0</v>
      </c>
      <c r="L448" s="32" t="n">
        <v>4</v>
      </c>
      <c r="M448" s="32" t="n">
        <v>43</v>
      </c>
      <c r="N448" s="31" t="n">
        <v>18646.37</v>
      </c>
      <c r="O448" s="31" t="n">
        <v>18646.37</v>
      </c>
      <c r="P448" s="22" t="n">
        <v>0</v>
      </c>
      <c r="Q448" s="22" t="n">
        <v>0</v>
      </c>
      <c r="R448" s="22" t="n">
        <v>0</v>
      </c>
    </row>
    <row r="449">
      <c r="A449" s="22" t="n">
        <v>201610</v>
      </c>
      <c r="B449" s="22" t="inlineStr">
        <is>
          <t>10/2016</t>
        </is>
      </c>
      <c r="C449" s="22" t="n">
        <v>55</v>
      </c>
      <c r="D449" s="22" t="inlineStr">
        <is>
          <t>S55</t>
        </is>
      </c>
      <c r="E449" s="22" t="inlineStr">
        <is>
          <t>Nexa Nevada (S55)</t>
        </is>
      </c>
      <c r="F449" s="22" t="inlineStr">
        <is>
          <t>Mỹ</t>
        </is>
      </c>
      <c r="G449" s="22" t="inlineStr">
        <is>
          <t>POS</t>
        </is>
      </c>
      <c r="H449" s="31" t="n">
        <v>18411.85</v>
      </c>
      <c r="I449" s="31" t="n">
        <v>0</v>
      </c>
      <c r="J449" s="31" t="n">
        <v>18411.85</v>
      </c>
      <c r="K449" s="31" t="n">
        <v>0</v>
      </c>
      <c r="L449" s="32" t="n">
        <v>10</v>
      </c>
      <c r="M449" s="32" t="n">
        <v>62</v>
      </c>
      <c r="N449" s="31" t="n">
        <v>18411.85</v>
      </c>
      <c r="O449" s="31" t="n">
        <v>18411.85</v>
      </c>
      <c r="P449" s="22" t="n">
        <v>1</v>
      </c>
      <c r="Q449" s="22" t="n">
        <v>0</v>
      </c>
      <c r="R449" s="22" t="n">
        <v>0</v>
      </c>
    </row>
    <row r="450">
      <c r="A450" s="22" t="n">
        <v>201610</v>
      </c>
      <c r="B450" s="22" t="inlineStr">
        <is>
          <t>10/2016</t>
        </is>
      </c>
      <c r="C450" s="22" t="n">
        <v>56</v>
      </c>
      <c r="D450" s="22" t="inlineStr">
        <is>
          <t>S56</t>
        </is>
      </c>
      <c r="E450" s="22" t="inlineStr">
        <is>
          <t>Nexa New Hampshire (S56)</t>
        </is>
      </c>
      <c r="F450" s="22" t="inlineStr">
        <is>
          <t>Mỹ</t>
        </is>
      </c>
      <c r="G450" s="22" t="inlineStr">
        <is>
          <t>POS</t>
        </is>
      </c>
      <c r="H450" s="31" t="n">
        <v>14598.56</v>
      </c>
      <c r="I450" s="31" t="n">
        <v>0</v>
      </c>
      <c r="J450" s="31" t="n">
        <v>14598.56</v>
      </c>
      <c r="K450" s="31" t="n">
        <v>0</v>
      </c>
      <c r="L450" s="32" t="n">
        <v>5</v>
      </c>
      <c r="M450" s="32" t="n">
        <v>34</v>
      </c>
      <c r="N450" s="31" t="n">
        <v>14598.56</v>
      </c>
      <c r="O450" s="31" t="n">
        <v>14598.56</v>
      </c>
      <c r="P450" s="22" t="n">
        <v>0</v>
      </c>
      <c r="Q450" s="22" t="n">
        <v>0</v>
      </c>
      <c r="R450" s="22" t="n">
        <v>0</v>
      </c>
    </row>
    <row r="451">
      <c r="A451" s="22" t="n">
        <v>201610</v>
      </c>
      <c r="B451" s="22" t="inlineStr">
        <is>
          <t>10/2016</t>
        </is>
      </c>
      <c r="C451" s="22" t="n">
        <v>57</v>
      </c>
      <c r="D451" s="22" t="inlineStr">
        <is>
          <t>S57</t>
        </is>
      </c>
      <c r="E451" s="22" t="inlineStr">
        <is>
          <t>Nexa New Mexico (S57)</t>
        </is>
      </c>
      <c r="F451" s="22" t="inlineStr">
        <is>
          <t>Mỹ</t>
        </is>
      </c>
      <c r="G451" s="22" t="inlineStr">
        <is>
          <t>POS</t>
        </is>
      </c>
      <c r="H451" s="31" t="n">
        <v>12450.7</v>
      </c>
      <c r="I451" s="31" t="n">
        <v>0</v>
      </c>
      <c r="J451" s="31" t="n">
        <v>12450.7</v>
      </c>
      <c r="K451" s="31" t="n">
        <v>0</v>
      </c>
      <c r="L451" s="32" t="n">
        <v>4</v>
      </c>
      <c r="M451" s="32" t="n">
        <v>36</v>
      </c>
      <c r="N451" s="31" t="n">
        <v>12450.7</v>
      </c>
      <c r="O451" s="31" t="n">
        <v>12450.7</v>
      </c>
      <c r="P451" s="22" t="n">
        <v>0</v>
      </c>
      <c r="Q451" s="22" t="n">
        <v>0</v>
      </c>
      <c r="R451" s="22" t="n">
        <v>0</v>
      </c>
    </row>
    <row r="452">
      <c r="A452" s="22" t="n">
        <v>201610</v>
      </c>
      <c r="B452" s="22" t="inlineStr">
        <is>
          <t>10/2016</t>
        </is>
      </c>
      <c r="C452" s="22" t="n">
        <v>59</v>
      </c>
      <c r="D452" s="22" t="inlineStr">
        <is>
          <t>S59</t>
        </is>
      </c>
      <c r="E452" s="22" t="inlineStr">
        <is>
          <t>Nexa Oregon (S59)</t>
        </is>
      </c>
      <c r="F452" s="22" t="inlineStr">
        <is>
          <t>Mỹ</t>
        </is>
      </c>
      <c r="G452" s="22" t="inlineStr">
        <is>
          <t>POS</t>
        </is>
      </c>
      <c r="H452" s="31" t="n">
        <v>11774.53</v>
      </c>
      <c r="I452" s="31" t="n">
        <v>0</v>
      </c>
      <c r="J452" s="31" t="n">
        <v>11774.53</v>
      </c>
      <c r="K452" s="31" t="n">
        <v>0</v>
      </c>
      <c r="L452" s="32" t="n">
        <v>7</v>
      </c>
      <c r="M452" s="32" t="n">
        <v>46</v>
      </c>
      <c r="N452" s="31" t="n">
        <v>11774.53</v>
      </c>
      <c r="O452" s="31" t="n">
        <v>11774.53</v>
      </c>
      <c r="P452" s="22" t="n">
        <v>0</v>
      </c>
      <c r="Q452" s="22" t="n">
        <v>0</v>
      </c>
      <c r="R452" s="22" t="n">
        <v>0</v>
      </c>
    </row>
    <row r="453">
      <c r="A453" s="22" t="n">
        <v>201610</v>
      </c>
      <c r="B453" s="22" t="inlineStr">
        <is>
          <t>10/2016</t>
        </is>
      </c>
      <c r="C453" s="22" t="n">
        <v>61</v>
      </c>
      <c r="D453" s="22" t="inlineStr">
        <is>
          <t>S61</t>
        </is>
      </c>
      <c r="E453" s="22" t="inlineStr">
        <is>
          <t>Nexa South Carolina (S61)</t>
        </is>
      </c>
      <c r="F453" s="22" t="inlineStr">
        <is>
          <t>Mỹ</t>
        </is>
      </c>
      <c r="G453" s="22" t="inlineStr">
        <is>
          <t>POS</t>
        </is>
      </c>
      <c r="H453" s="31" t="n">
        <v>1270.41</v>
      </c>
      <c r="I453" s="31" t="n">
        <v>0</v>
      </c>
      <c r="J453" s="31" t="n">
        <v>1270.41</v>
      </c>
      <c r="K453" s="31" t="n">
        <v>870</v>
      </c>
      <c r="L453" s="32" t="n">
        <v>3</v>
      </c>
      <c r="M453" s="32" t="n">
        <v>13</v>
      </c>
      <c r="N453" s="31" t="n">
        <v>400.41</v>
      </c>
      <c r="O453" s="31" t="n">
        <v>1270.41</v>
      </c>
      <c r="P453" s="22" t="n">
        <v>0</v>
      </c>
      <c r="Q453" s="22" t="n">
        <v>0</v>
      </c>
      <c r="R453" s="22" t="n">
        <v>0</v>
      </c>
    </row>
    <row r="454">
      <c r="A454" s="22" t="n">
        <v>201610</v>
      </c>
      <c r="B454" s="22" t="inlineStr">
        <is>
          <t>10/2016</t>
        </is>
      </c>
      <c r="C454" s="22" t="n">
        <v>63</v>
      </c>
      <c r="D454" s="22" t="inlineStr">
        <is>
          <t>S63</t>
        </is>
      </c>
      <c r="E454" s="22" t="inlineStr">
        <is>
          <t>Nexa Utah (S63)</t>
        </is>
      </c>
      <c r="F454" s="22" t="inlineStr">
        <is>
          <t>Mỹ</t>
        </is>
      </c>
      <c r="G454" s="22" t="inlineStr">
        <is>
          <t>POS</t>
        </is>
      </c>
      <c r="H454" s="31" t="n">
        <v>21816.72</v>
      </c>
      <c r="I454" s="31" t="n">
        <v>0</v>
      </c>
      <c r="J454" s="31" t="n">
        <v>21816.72</v>
      </c>
      <c r="K454" s="31" t="n">
        <v>0</v>
      </c>
      <c r="L454" s="32" t="n">
        <v>7</v>
      </c>
      <c r="M454" s="32" t="n">
        <v>69</v>
      </c>
      <c r="N454" s="31" t="n">
        <v>21816.72</v>
      </c>
      <c r="O454" s="31" t="n">
        <v>21816.72</v>
      </c>
      <c r="P454" s="22" t="n">
        <v>0</v>
      </c>
      <c r="Q454" s="22" t="n">
        <v>0</v>
      </c>
      <c r="R454" s="22" t="n">
        <v>0</v>
      </c>
    </row>
    <row r="455">
      <c r="A455" s="22" t="n">
        <v>201610</v>
      </c>
      <c r="B455" s="22" t="inlineStr">
        <is>
          <t>10/2016</t>
        </is>
      </c>
      <c r="C455" s="22" t="n">
        <v>64</v>
      </c>
      <c r="D455" s="22" t="inlineStr">
        <is>
          <t>S64</t>
        </is>
      </c>
      <c r="E455" s="22" t="inlineStr">
        <is>
          <t>Nexa Washington DC (S64)</t>
        </is>
      </c>
      <c r="F455" s="22" t="inlineStr">
        <is>
          <t>Mỹ</t>
        </is>
      </c>
      <c r="G455" s="22" t="inlineStr">
        <is>
          <t>POS</t>
        </is>
      </c>
      <c r="H455" s="31" t="n">
        <v>3957</v>
      </c>
      <c r="I455" s="31" t="n">
        <v>0</v>
      </c>
      <c r="J455" s="31" t="n">
        <v>3957</v>
      </c>
      <c r="K455" s="31" t="n">
        <v>0</v>
      </c>
      <c r="L455" s="32" t="n">
        <v>2</v>
      </c>
      <c r="M455" s="32" t="n">
        <v>16</v>
      </c>
      <c r="N455" s="31" t="n">
        <v>3957</v>
      </c>
      <c r="O455" s="31" t="n">
        <v>3957</v>
      </c>
      <c r="P455" s="22" t="n">
        <v>0</v>
      </c>
      <c r="Q455" s="22" t="n">
        <v>0</v>
      </c>
      <c r="R455" s="22" t="n">
        <v>0</v>
      </c>
    </row>
    <row r="456">
      <c r="A456" s="22" t="n">
        <v>201610</v>
      </c>
      <c r="B456" s="22" t="inlineStr">
        <is>
          <t>10/2016</t>
        </is>
      </c>
      <c r="C456" s="22" t="n">
        <v>65</v>
      </c>
      <c r="D456" s="22" t="inlineStr">
        <is>
          <t>S65</t>
        </is>
      </c>
      <c r="E456" s="22" t="inlineStr">
        <is>
          <t>Nexa West Virginia (S65)</t>
        </is>
      </c>
      <c r="F456" s="22" t="inlineStr">
        <is>
          <t>Mỹ</t>
        </is>
      </c>
      <c r="G456" s="22" t="inlineStr">
        <is>
          <t>POS</t>
        </is>
      </c>
      <c r="H456" s="31" t="n">
        <v>6801.26</v>
      </c>
      <c r="I456" s="31" t="n">
        <v>0</v>
      </c>
      <c r="J456" s="31" t="n">
        <v>6801.26</v>
      </c>
      <c r="K456" s="31" t="n">
        <v>219</v>
      </c>
      <c r="L456" s="32" t="n">
        <v>4</v>
      </c>
      <c r="M456" s="32" t="n">
        <v>34</v>
      </c>
      <c r="N456" s="31" t="n">
        <v>6582.26</v>
      </c>
      <c r="O456" s="31" t="n">
        <v>6801.26</v>
      </c>
      <c r="P456" s="22" t="n">
        <v>0</v>
      </c>
      <c r="Q456" s="22" t="n">
        <v>0</v>
      </c>
      <c r="R456" s="22" t="n">
        <v>0</v>
      </c>
    </row>
    <row r="457">
      <c r="A457" s="22" t="n">
        <v>201610</v>
      </c>
      <c r="B457" s="22" t="inlineStr">
        <is>
          <t>10/2016</t>
        </is>
      </c>
      <c r="C457" s="22" t="n">
        <v>66</v>
      </c>
      <c r="D457" s="22" t="inlineStr">
        <is>
          <t>S66</t>
        </is>
      </c>
      <c r="E457" s="22" t="inlineStr">
        <is>
          <t>Nexa Wyoming (S66)</t>
        </is>
      </c>
      <c r="F457" s="22" t="inlineStr">
        <is>
          <t>Mỹ</t>
        </is>
      </c>
      <c r="G457" s="22" t="inlineStr">
        <is>
          <t>POS</t>
        </is>
      </c>
      <c r="H457" s="31" t="n">
        <v>11304.28</v>
      </c>
      <c r="I457" s="31" t="n">
        <v>0</v>
      </c>
      <c r="J457" s="31" t="n">
        <v>11304.28</v>
      </c>
      <c r="K457" s="31" t="n">
        <v>345.97</v>
      </c>
      <c r="L457" s="32" t="n">
        <v>5</v>
      </c>
      <c r="M457" s="32" t="n">
        <v>41</v>
      </c>
      <c r="N457" s="31" t="n">
        <v>10958.31</v>
      </c>
      <c r="O457" s="31" t="n">
        <v>11304.28</v>
      </c>
      <c r="P457" s="22" t="n">
        <v>0</v>
      </c>
      <c r="Q457" s="22" t="n">
        <v>0</v>
      </c>
      <c r="R457" s="22" t="n">
        <v>0</v>
      </c>
    </row>
    <row r="458">
      <c r="A458" s="22" t="n">
        <v>201611</v>
      </c>
      <c r="B458" s="22" t="inlineStr">
        <is>
          <t>11/2016</t>
        </is>
      </c>
      <c r="C458" s="22" t="n">
        <v>0</v>
      </c>
      <c r="D458" s="22" t="inlineStr">
        <is>
          <t>ONL</t>
        </is>
      </c>
      <c r="E458" s="22" t="inlineStr">
        <is>
          <t>Nexa Online (website/app)</t>
        </is>
      </c>
      <c r="F458" s="22" t="inlineStr">
        <is>
          <t>Online</t>
        </is>
      </c>
      <c r="G458" s="22" t="inlineStr">
        <is>
          <t>ONLINE</t>
        </is>
      </c>
      <c r="H458" s="31" t="n">
        <v>138577.07</v>
      </c>
      <c r="I458" s="31" t="n">
        <v>6122.84</v>
      </c>
      <c r="J458" s="31" t="n">
        <v>132454.23</v>
      </c>
      <c r="K458" s="31" t="n">
        <v>3058.92</v>
      </c>
      <c r="L458" s="32" t="n">
        <v>44</v>
      </c>
      <c r="M458" s="32" t="n">
        <v>338</v>
      </c>
      <c r="N458" s="31" t="n">
        <v>138463.56</v>
      </c>
      <c r="O458" s="31" t="n">
        <v>141522.48</v>
      </c>
      <c r="P458" s="22" t="n">
        <v>2</v>
      </c>
      <c r="Q458" s="22" t="n">
        <v>0</v>
      </c>
      <c r="R458" s="22" t="n">
        <v>1</v>
      </c>
    </row>
    <row r="459">
      <c r="A459" s="22" t="n">
        <v>201611</v>
      </c>
      <c r="B459" s="22" t="inlineStr">
        <is>
          <t>11/2016</t>
        </is>
      </c>
      <c r="C459" s="22" t="n">
        <v>4</v>
      </c>
      <c r="D459" s="22" t="inlineStr">
        <is>
          <t>S04</t>
        </is>
      </c>
      <c r="E459" s="22" t="inlineStr">
        <is>
          <t>Nexa Tasmania (S04)</t>
        </is>
      </c>
      <c r="F459" s="22" t="inlineStr">
        <is>
          <t>Úc</t>
        </is>
      </c>
      <c r="G459" s="22" t="inlineStr">
        <is>
          <t>POS</t>
        </is>
      </c>
      <c r="H459" s="31" t="n">
        <v>1373.84</v>
      </c>
      <c r="I459" s="31" t="n">
        <v>0</v>
      </c>
      <c r="J459" s="31" t="n">
        <v>1373.84</v>
      </c>
      <c r="K459" s="31" t="n">
        <v>143.85</v>
      </c>
      <c r="L459" s="32" t="n">
        <v>1</v>
      </c>
      <c r="M459" s="32" t="n">
        <v>8</v>
      </c>
      <c r="N459" s="31" t="n">
        <v>1229.99</v>
      </c>
      <c r="O459" s="31" t="n">
        <v>1373.84</v>
      </c>
      <c r="P459" s="22" t="n">
        <v>0</v>
      </c>
      <c r="Q459" s="22" t="n">
        <v>0</v>
      </c>
      <c r="R459" s="22" t="n">
        <v>0</v>
      </c>
    </row>
    <row r="460">
      <c r="A460" s="22" t="n">
        <v>201611</v>
      </c>
      <c r="B460" s="22" t="inlineStr">
        <is>
          <t>11/2016</t>
        </is>
      </c>
      <c r="C460" s="22" t="n">
        <v>5</v>
      </c>
      <c r="D460" s="22" t="inlineStr">
        <is>
          <t>S05</t>
        </is>
      </c>
      <c r="E460" s="22" t="inlineStr">
        <is>
          <t>Nexa Victoria (S05)</t>
        </is>
      </c>
      <c r="F460" s="22" t="inlineStr">
        <is>
          <t>Úc</t>
        </is>
      </c>
      <c r="G460" s="22" t="inlineStr">
        <is>
          <t>POS</t>
        </is>
      </c>
      <c r="H460" s="31" t="n">
        <v>18652.27</v>
      </c>
      <c r="I460" s="31" t="n">
        <v>0</v>
      </c>
      <c r="J460" s="31" t="n">
        <v>18652.27</v>
      </c>
      <c r="K460" s="31" t="n">
        <v>0</v>
      </c>
      <c r="L460" s="32" t="n">
        <v>2</v>
      </c>
      <c r="M460" s="32" t="n">
        <v>15</v>
      </c>
      <c r="N460" s="31" t="n">
        <v>18652.27</v>
      </c>
      <c r="O460" s="31" t="n">
        <v>18652.27</v>
      </c>
      <c r="P460" s="22" t="n">
        <v>0</v>
      </c>
      <c r="Q460" s="22" t="n">
        <v>0</v>
      </c>
      <c r="R460" s="22" t="n">
        <v>0</v>
      </c>
    </row>
    <row r="461">
      <c r="A461" s="22" t="n">
        <v>201611</v>
      </c>
      <c r="B461" s="22" t="inlineStr">
        <is>
          <t>11/2016</t>
        </is>
      </c>
      <c r="C461" s="22" t="n">
        <v>6</v>
      </c>
      <c r="D461" s="22" t="inlineStr">
        <is>
          <t>S06</t>
        </is>
      </c>
      <c r="E461" s="22" t="inlineStr">
        <is>
          <t>Nexa Western Australia (S06)</t>
        </is>
      </c>
      <c r="F461" s="22" t="inlineStr">
        <is>
          <t>Úc</t>
        </is>
      </c>
      <c r="G461" s="22" t="inlineStr">
        <is>
          <t>POS</t>
        </is>
      </c>
      <c r="H461" s="31" t="n">
        <v>5808.56</v>
      </c>
      <c r="I461" s="31" t="n">
        <v>0</v>
      </c>
      <c r="J461" s="31" t="n">
        <v>5808.56</v>
      </c>
      <c r="K461" s="31" t="n">
        <v>299.9</v>
      </c>
      <c r="L461" s="32" t="n">
        <v>2</v>
      </c>
      <c r="M461" s="32" t="n">
        <v>21</v>
      </c>
      <c r="N461" s="31" t="n">
        <v>5508.66</v>
      </c>
      <c r="O461" s="31" t="n">
        <v>5808.56</v>
      </c>
      <c r="P461" s="22" t="n">
        <v>1</v>
      </c>
      <c r="Q461" s="22" t="n">
        <v>0</v>
      </c>
      <c r="R461" s="22" t="n">
        <v>0</v>
      </c>
    </row>
    <row r="462">
      <c r="A462" s="22" t="n">
        <v>201611</v>
      </c>
      <c r="B462" s="22" t="inlineStr">
        <is>
          <t>11/2016</t>
        </is>
      </c>
      <c r="C462" s="22" t="n">
        <v>8</v>
      </c>
      <c r="D462" s="22" t="inlineStr">
        <is>
          <t>S08</t>
        </is>
      </c>
      <c r="E462" s="22" t="inlineStr">
        <is>
          <t>Nexa Newfoundland and Labrador (S08)</t>
        </is>
      </c>
      <c r="F462" s="22" t="inlineStr">
        <is>
          <t>Canada</t>
        </is>
      </c>
      <c r="G462" s="22" t="inlineStr">
        <is>
          <t>POS</t>
        </is>
      </c>
      <c r="H462" s="31" t="n">
        <v>7168.68</v>
      </c>
      <c r="I462" s="31" t="n">
        <v>341.1</v>
      </c>
      <c r="J462" s="31" t="n">
        <v>6827.58</v>
      </c>
      <c r="K462" s="31" t="n">
        <v>0</v>
      </c>
      <c r="L462" s="32" t="n">
        <v>6</v>
      </c>
      <c r="M462" s="32" t="n">
        <v>38</v>
      </c>
      <c r="N462" s="31" t="n">
        <v>6827.58</v>
      </c>
      <c r="O462" s="31" t="n">
        <v>6827.58</v>
      </c>
      <c r="P462" s="22" t="n">
        <v>0</v>
      </c>
      <c r="Q462" s="22" t="n">
        <v>0</v>
      </c>
      <c r="R462" s="22" t="n">
        <v>0</v>
      </c>
    </row>
    <row r="463">
      <c r="A463" s="22" t="n">
        <v>201611</v>
      </c>
      <c r="B463" s="22" t="inlineStr">
        <is>
          <t>11/2016</t>
        </is>
      </c>
      <c r="C463" s="22" t="n">
        <v>9</v>
      </c>
      <c r="D463" s="22" t="inlineStr">
        <is>
          <t>S09</t>
        </is>
      </c>
      <c r="E463" s="22" t="inlineStr">
        <is>
          <t>Nexa Northwest Territories (S09)</t>
        </is>
      </c>
      <c r="F463" s="22" t="inlineStr">
        <is>
          <t>Canada</t>
        </is>
      </c>
      <c r="G463" s="22" t="inlineStr">
        <is>
          <t>POS</t>
        </is>
      </c>
      <c r="H463" s="31" t="n">
        <v>18424.1</v>
      </c>
      <c r="I463" s="31" t="n">
        <v>0</v>
      </c>
      <c r="J463" s="31" t="n">
        <v>18424.1</v>
      </c>
      <c r="K463" s="31" t="n">
        <v>0</v>
      </c>
      <c r="L463" s="32" t="n">
        <v>10</v>
      </c>
      <c r="M463" s="32" t="n">
        <v>62</v>
      </c>
      <c r="N463" s="31" t="n">
        <v>17886.1</v>
      </c>
      <c r="O463" s="31" t="n">
        <v>18424.1</v>
      </c>
      <c r="P463" s="22" t="n">
        <v>0</v>
      </c>
      <c r="Q463" s="22" t="n">
        <v>0</v>
      </c>
      <c r="R463" s="22" t="n">
        <v>0</v>
      </c>
    </row>
    <row r="464">
      <c r="A464" s="22" t="n">
        <v>201611</v>
      </c>
      <c r="B464" s="22" t="inlineStr">
        <is>
          <t>11/2016</t>
        </is>
      </c>
      <c r="C464" s="22" t="n">
        <v>10</v>
      </c>
      <c r="D464" s="22" t="inlineStr">
        <is>
          <t>S10</t>
        </is>
      </c>
      <c r="E464" s="22" t="inlineStr">
        <is>
          <t>Nexa Nunavut (S10)</t>
        </is>
      </c>
      <c r="F464" s="22" t="inlineStr">
        <is>
          <t>Canada</t>
        </is>
      </c>
      <c r="G464" s="22" t="inlineStr">
        <is>
          <t>POS</t>
        </is>
      </c>
      <c r="H464" s="31" t="n">
        <v>14891.76</v>
      </c>
      <c r="I464" s="31" t="n">
        <v>0</v>
      </c>
      <c r="J464" s="31" t="n">
        <v>14891.76</v>
      </c>
      <c r="K464" s="31" t="n">
        <v>1252.84</v>
      </c>
      <c r="L464" s="32" t="n">
        <v>8</v>
      </c>
      <c r="M464" s="32" t="n">
        <v>52</v>
      </c>
      <c r="N464" s="31" t="n">
        <v>13638.92</v>
      </c>
      <c r="O464" s="31" t="n">
        <v>14891.76</v>
      </c>
      <c r="P464" s="22" t="n">
        <v>0</v>
      </c>
      <c r="Q464" s="22" t="n">
        <v>0</v>
      </c>
      <c r="R464" s="22" t="n">
        <v>1</v>
      </c>
    </row>
    <row r="465">
      <c r="A465" s="22" t="n">
        <v>201611</v>
      </c>
      <c r="B465" s="22" t="inlineStr">
        <is>
          <t>11/2016</t>
        </is>
      </c>
      <c r="C465" s="22" t="n">
        <v>14</v>
      </c>
      <c r="D465" s="22" t="inlineStr">
        <is>
          <t>S14</t>
        </is>
      </c>
      <c r="E465" s="22" t="inlineStr">
        <is>
          <t>Nexa Franche-Comté (S14)</t>
        </is>
      </c>
      <c r="F465" s="22" t="inlineStr">
        <is>
          <t>Pháp</t>
        </is>
      </c>
      <c r="G465" s="22" t="inlineStr">
        <is>
          <t>POS</t>
        </is>
      </c>
      <c r="H465" s="31" t="n">
        <v>3928.12</v>
      </c>
      <c r="I465" s="31" t="n">
        <v>0</v>
      </c>
      <c r="J465" s="31" t="n">
        <v>3928.12</v>
      </c>
      <c r="K465" s="31" t="n">
        <v>1349.75</v>
      </c>
      <c r="L465" s="32" t="n">
        <v>2</v>
      </c>
      <c r="M465" s="32" t="n">
        <v>19</v>
      </c>
      <c r="N465" s="31" t="n">
        <v>2578.37</v>
      </c>
      <c r="O465" s="31" t="n">
        <v>3928.12</v>
      </c>
      <c r="P465" s="22" t="n">
        <v>0</v>
      </c>
      <c r="Q465" s="22" t="n">
        <v>0</v>
      </c>
      <c r="R465" s="22" t="n">
        <v>0</v>
      </c>
    </row>
    <row r="466">
      <c r="A466" s="22" t="n">
        <v>201611</v>
      </c>
      <c r="B466" s="22" t="inlineStr">
        <is>
          <t>11/2016</t>
        </is>
      </c>
      <c r="C466" s="22" t="n">
        <v>15</v>
      </c>
      <c r="D466" s="22" t="inlineStr">
        <is>
          <t>S15</t>
        </is>
      </c>
      <c r="E466" s="22" t="inlineStr">
        <is>
          <t>Nexa La Réunion (S15)</t>
        </is>
      </c>
      <c r="F466" s="22" t="inlineStr">
        <is>
          <t>Pháp</t>
        </is>
      </c>
      <c r="G466" s="22" t="inlineStr">
        <is>
          <t>POS</t>
        </is>
      </c>
      <c r="H466" s="31" t="n">
        <v>1582</v>
      </c>
      <c r="I466" s="31" t="n">
        <v>0</v>
      </c>
      <c r="J466" s="31" t="n">
        <v>1582</v>
      </c>
      <c r="K466" s="31" t="n">
        <v>0</v>
      </c>
      <c r="L466" s="32" t="n">
        <v>1</v>
      </c>
      <c r="M466" s="32" t="n">
        <v>2</v>
      </c>
      <c r="N466" s="31" t="n">
        <v>1582</v>
      </c>
      <c r="O466" s="31" t="n">
        <v>1582</v>
      </c>
      <c r="P466" s="22" t="n">
        <v>0</v>
      </c>
      <c r="Q466" s="22" t="n">
        <v>0</v>
      </c>
      <c r="R466" s="22" t="n">
        <v>0</v>
      </c>
    </row>
    <row r="467">
      <c r="A467" s="22" t="n">
        <v>201611</v>
      </c>
      <c r="B467" s="22" t="inlineStr">
        <is>
          <t>11/2016</t>
        </is>
      </c>
      <c r="C467" s="22" t="n">
        <v>19</v>
      </c>
      <c r="D467" s="22" t="inlineStr">
        <is>
          <t>S19</t>
        </is>
      </c>
      <c r="E467" s="22" t="inlineStr">
        <is>
          <t>Nexa Berlin (S19)</t>
        </is>
      </c>
      <c r="F467" s="22" t="inlineStr">
        <is>
          <t>Đức</t>
        </is>
      </c>
      <c r="G467" s="22" t="inlineStr">
        <is>
          <t>POS</t>
        </is>
      </c>
      <c r="H467" s="31" t="n">
        <v>3230.58</v>
      </c>
      <c r="I467" s="31" t="n">
        <v>484.59</v>
      </c>
      <c r="J467" s="31" t="n">
        <v>2745.99</v>
      </c>
      <c r="K467" s="31" t="n">
        <v>0</v>
      </c>
      <c r="L467" s="32" t="n">
        <v>2</v>
      </c>
      <c r="M467" s="32" t="n">
        <v>15</v>
      </c>
      <c r="N467" s="31" t="n">
        <v>2745.99</v>
      </c>
      <c r="O467" s="31" t="n">
        <v>2745.99</v>
      </c>
      <c r="P467" s="22" t="n">
        <v>0</v>
      </c>
      <c r="Q467" s="22" t="n">
        <v>0</v>
      </c>
      <c r="R467" s="22" t="n">
        <v>0</v>
      </c>
    </row>
    <row r="468">
      <c r="A468" s="22" t="n">
        <v>201611</v>
      </c>
      <c r="B468" s="22" t="inlineStr">
        <is>
          <t>11/2016</t>
        </is>
      </c>
      <c r="C468" s="22" t="n">
        <v>20</v>
      </c>
      <c r="D468" s="22" t="inlineStr">
        <is>
          <t>S20</t>
        </is>
      </c>
      <c r="E468" s="22" t="inlineStr">
        <is>
          <t>Nexa Brandenburg (S20)</t>
        </is>
      </c>
      <c r="F468" s="22" t="inlineStr">
        <is>
          <t>Đức</t>
        </is>
      </c>
      <c r="G468" s="22" t="inlineStr">
        <is>
          <t>POS</t>
        </is>
      </c>
      <c r="H468" s="31" t="n">
        <v>10311.91</v>
      </c>
      <c r="I468" s="31" t="n">
        <v>151.65</v>
      </c>
      <c r="J468" s="31" t="n">
        <v>10160.26</v>
      </c>
      <c r="K468" s="31" t="n">
        <v>40.55</v>
      </c>
      <c r="L468" s="32" t="n">
        <v>4</v>
      </c>
      <c r="M468" s="32" t="n">
        <v>37</v>
      </c>
      <c r="N468" s="31" t="n">
        <v>10119.71</v>
      </c>
      <c r="O468" s="31" t="n">
        <v>10160.26</v>
      </c>
      <c r="P468" s="22" t="n">
        <v>0</v>
      </c>
      <c r="Q468" s="22" t="n">
        <v>0</v>
      </c>
      <c r="R468" s="22" t="n">
        <v>0</v>
      </c>
    </row>
    <row r="469">
      <c r="A469" s="22" t="n">
        <v>201611</v>
      </c>
      <c r="B469" s="22" t="inlineStr">
        <is>
          <t>11/2016</t>
        </is>
      </c>
      <c r="C469" s="22" t="n">
        <v>22</v>
      </c>
      <c r="D469" s="22" t="inlineStr">
        <is>
          <t>S22</t>
        </is>
      </c>
      <c r="E469" s="22" t="inlineStr">
        <is>
          <t>Nexa Freistaat Thüringen (S22)</t>
        </is>
      </c>
      <c r="F469" s="22" t="inlineStr">
        <is>
          <t>Đức</t>
        </is>
      </c>
      <c r="G469" s="22" t="inlineStr">
        <is>
          <t>POS</t>
        </is>
      </c>
      <c r="H469" s="31" t="n">
        <v>6614.9</v>
      </c>
      <c r="I469" s="31" t="n">
        <v>145.63</v>
      </c>
      <c r="J469" s="31" t="n">
        <v>6469.27</v>
      </c>
      <c r="K469" s="31" t="n">
        <v>0</v>
      </c>
      <c r="L469" s="32" t="n">
        <v>2</v>
      </c>
      <c r="M469" s="32" t="n">
        <v>12</v>
      </c>
      <c r="N469" s="31" t="n">
        <v>6469.27</v>
      </c>
      <c r="O469" s="31" t="n">
        <v>6469.27</v>
      </c>
      <c r="P469" s="22" t="n">
        <v>0</v>
      </c>
      <c r="Q469" s="22" t="n">
        <v>0</v>
      </c>
      <c r="R469" s="22" t="n">
        <v>0</v>
      </c>
    </row>
    <row r="470">
      <c r="A470" s="22" t="n">
        <v>201611</v>
      </c>
      <c r="B470" s="22" t="inlineStr">
        <is>
          <t>11/2016</t>
        </is>
      </c>
      <c r="C470" s="22" t="n">
        <v>23</v>
      </c>
      <c r="D470" s="22" t="inlineStr">
        <is>
          <t>S23</t>
        </is>
      </c>
      <c r="E470" s="22" t="inlineStr">
        <is>
          <t>Nexa Hamburg (S23)</t>
        </is>
      </c>
      <c r="F470" s="22" t="inlineStr">
        <is>
          <t>Đức</t>
        </is>
      </c>
      <c r="G470" s="22" t="inlineStr">
        <is>
          <t>POS</t>
        </is>
      </c>
      <c r="H470" s="31" t="n">
        <v>7552.72</v>
      </c>
      <c r="I470" s="31" t="n">
        <v>200.25</v>
      </c>
      <c r="J470" s="31" t="n">
        <v>7352.47</v>
      </c>
      <c r="K470" s="31" t="n">
        <v>0</v>
      </c>
      <c r="L470" s="32" t="n">
        <v>4</v>
      </c>
      <c r="M470" s="32" t="n">
        <v>25</v>
      </c>
      <c r="N470" s="31" t="n">
        <v>7352.47</v>
      </c>
      <c r="O470" s="31" t="n">
        <v>7352.47</v>
      </c>
      <c r="P470" s="22" t="n">
        <v>0</v>
      </c>
      <c r="Q470" s="22" t="n">
        <v>0</v>
      </c>
      <c r="R470" s="22" t="n">
        <v>0</v>
      </c>
    </row>
    <row r="471">
      <c r="A471" s="22" t="n">
        <v>201611</v>
      </c>
      <c r="B471" s="22" t="inlineStr">
        <is>
          <t>11/2016</t>
        </is>
      </c>
      <c r="C471" s="22" t="n">
        <v>24</v>
      </c>
      <c r="D471" s="22" t="inlineStr">
        <is>
          <t>S24</t>
        </is>
      </c>
      <c r="E471" s="22" t="inlineStr">
        <is>
          <t>Nexa Hessen (S24)</t>
        </is>
      </c>
      <c r="F471" s="22" t="inlineStr">
        <is>
          <t>Đức</t>
        </is>
      </c>
      <c r="G471" s="22" t="inlineStr">
        <is>
          <t>POS</t>
        </is>
      </c>
      <c r="H471" s="31" t="n">
        <v>11611.36</v>
      </c>
      <c r="I471" s="31" t="n">
        <v>1157.83</v>
      </c>
      <c r="J471" s="31" t="n">
        <v>10453.53</v>
      </c>
      <c r="K471" s="31" t="n">
        <v>0</v>
      </c>
      <c r="L471" s="32" t="n">
        <v>4</v>
      </c>
      <c r="M471" s="32" t="n">
        <v>30</v>
      </c>
      <c r="N471" s="31" t="n">
        <v>10453.53</v>
      </c>
      <c r="O471" s="31" t="n">
        <v>10453.53</v>
      </c>
      <c r="P471" s="22" t="n">
        <v>1</v>
      </c>
      <c r="Q471" s="22" t="n">
        <v>0</v>
      </c>
      <c r="R471" s="22" t="n">
        <v>0</v>
      </c>
    </row>
    <row r="472">
      <c r="A472" s="22" t="n">
        <v>201611</v>
      </c>
      <c r="B472" s="22" t="inlineStr">
        <is>
          <t>11/2016</t>
        </is>
      </c>
      <c r="C472" s="22" t="n">
        <v>27</v>
      </c>
      <c r="D472" s="22" t="inlineStr">
        <is>
          <t>S27</t>
        </is>
      </c>
      <c r="E472" s="22" t="inlineStr">
        <is>
          <t>Nexa Sachsen-Anhalt (S27)</t>
        </is>
      </c>
      <c r="F472" s="22" t="inlineStr">
        <is>
          <t>Đức</t>
        </is>
      </c>
      <c r="G472" s="22" t="inlineStr">
        <is>
          <t>POS</t>
        </is>
      </c>
      <c r="H472" s="31" t="n">
        <v>1486.54</v>
      </c>
      <c r="I472" s="31" t="n">
        <v>0</v>
      </c>
      <c r="J472" s="31" t="n">
        <v>1486.54</v>
      </c>
      <c r="K472" s="31" t="n">
        <v>0</v>
      </c>
      <c r="L472" s="32" t="n">
        <v>2</v>
      </c>
      <c r="M472" s="32" t="n">
        <v>10</v>
      </c>
      <c r="N472" s="31" t="n">
        <v>1486.54</v>
      </c>
      <c r="O472" s="31" t="n">
        <v>1486.54</v>
      </c>
      <c r="P472" s="22" t="n">
        <v>0</v>
      </c>
      <c r="Q472" s="22" t="n">
        <v>0</v>
      </c>
      <c r="R472" s="22" t="n">
        <v>0</v>
      </c>
    </row>
    <row r="473">
      <c r="A473" s="22" t="n">
        <v>201611</v>
      </c>
      <c r="B473" s="22" t="inlineStr">
        <is>
          <t>11/2016</t>
        </is>
      </c>
      <c r="C473" s="22" t="n">
        <v>28</v>
      </c>
      <c r="D473" s="22" t="inlineStr">
        <is>
          <t>S28</t>
        </is>
      </c>
      <c r="E473" s="22" t="inlineStr">
        <is>
          <t>Nexa Caltanissetta (S28)</t>
        </is>
      </c>
      <c r="F473" s="22" t="inlineStr">
        <is>
          <t>Ý</t>
        </is>
      </c>
      <c r="G473" s="22" t="inlineStr">
        <is>
          <t>POS</t>
        </is>
      </c>
      <c r="H473" s="31" t="n">
        <v>7141.56</v>
      </c>
      <c r="I473" s="31" t="n">
        <v>947.05</v>
      </c>
      <c r="J473" s="31" t="n">
        <v>6194.51</v>
      </c>
      <c r="K473" s="31" t="n">
        <v>0</v>
      </c>
      <c r="L473" s="32" t="n">
        <v>4</v>
      </c>
      <c r="M473" s="32" t="n">
        <v>28</v>
      </c>
      <c r="N473" s="31" t="n">
        <v>6194.51</v>
      </c>
      <c r="O473" s="31" t="n">
        <v>6194.51</v>
      </c>
      <c r="P473" s="22" t="n">
        <v>1</v>
      </c>
      <c r="Q473" s="22" t="n">
        <v>0</v>
      </c>
      <c r="R473" s="22" t="n">
        <v>0</v>
      </c>
    </row>
    <row r="474">
      <c r="A474" s="22" t="n">
        <v>201611</v>
      </c>
      <c r="B474" s="22" t="inlineStr">
        <is>
          <t>11/2016</t>
        </is>
      </c>
      <c r="C474" s="22" t="n">
        <v>29</v>
      </c>
      <c r="D474" s="22" t="inlineStr">
        <is>
          <t>S29</t>
        </is>
      </c>
      <c r="E474" s="22" t="inlineStr">
        <is>
          <t>Nexa Enna (S29)</t>
        </is>
      </c>
      <c r="F474" s="22" t="inlineStr">
        <is>
          <t>Ý</t>
        </is>
      </c>
      <c r="G474" s="22" t="inlineStr">
        <is>
          <t>POS</t>
        </is>
      </c>
      <c r="H474" s="31" t="n">
        <v>2251.98</v>
      </c>
      <c r="I474" s="31" t="n">
        <v>0</v>
      </c>
      <c r="J474" s="31" t="n">
        <v>2251.98</v>
      </c>
      <c r="K474" s="31" t="n">
        <v>0</v>
      </c>
      <c r="L474" s="32" t="n">
        <v>2</v>
      </c>
      <c r="M474" s="32" t="n">
        <v>11</v>
      </c>
      <c r="N474" s="31" t="n">
        <v>2251.98</v>
      </c>
      <c r="O474" s="31" t="n">
        <v>2251.98</v>
      </c>
      <c r="P474" s="22" t="n">
        <v>0</v>
      </c>
      <c r="Q474" s="22" t="n">
        <v>0</v>
      </c>
      <c r="R474" s="22" t="n">
        <v>0</v>
      </c>
    </row>
    <row r="475">
      <c r="A475" s="22" t="n">
        <v>201611</v>
      </c>
      <c r="B475" s="22" t="inlineStr">
        <is>
          <t>11/2016</t>
        </is>
      </c>
      <c r="C475" s="22" t="n">
        <v>30</v>
      </c>
      <c r="D475" s="22" t="inlineStr">
        <is>
          <t>S30</t>
        </is>
      </c>
      <c r="E475" s="22" t="inlineStr">
        <is>
          <t>Nexa Pesaro (S30)</t>
        </is>
      </c>
      <c r="F475" s="22" t="inlineStr">
        <is>
          <t>Ý</t>
        </is>
      </c>
      <c r="G475" s="22" t="inlineStr">
        <is>
          <t>POS</t>
        </is>
      </c>
      <c r="H475" s="31" t="n">
        <v>1995.51</v>
      </c>
      <c r="I475" s="31" t="n">
        <v>0</v>
      </c>
      <c r="J475" s="31" t="n">
        <v>1995.51</v>
      </c>
      <c r="K475" s="31" t="n">
        <v>0</v>
      </c>
      <c r="L475" s="32" t="n">
        <v>3</v>
      </c>
      <c r="M475" s="32" t="n">
        <v>20</v>
      </c>
      <c r="N475" s="31" t="n">
        <v>1995.51</v>
      </c>
      <c r="O475" s="31" t="n">
        <v>1995.51</v>
      </c>
      <c r="P475" s="22" t="n">
        <v>0</v>
      </c>
      <c r="Q475" s="22" t="n">
        <v>0</v>
      </c>
      <c r="R475" s="22" t="n">
        <v>0</v>
      </c>
    </row>
    <row r="476">
      <c r="A476" s="22" t="n">
        <v>201611</v>
      </c>
      <c r="B476" s="22" t="inlineStr">
        <is>
          <t>11/2016</t>
        </is>
      </c>
      <c r="C476" s="22" t="n">
        <v>31</v>
      </c>
      <c r="D476" s="22" t="inlineStr">
        <is>
          <t>S31</t>
        </is>
      </c>
      <c r="E476" s="22" t="inlineStr">
        <is>
          <t>Nexa Drenthe (S31)</t>
        </is>
      </c>
      <c r="F476" s="22" t="inlineStr">
        <is>
          <t>Hà Lan</t>
        </is>
      </c>
      <c r="G476" s="22" t="inlineStr">
        <is>
          <t>POS</t>
        </is>
      </c>
      <c r="H476" s="31" t="n">
        <v>3399.86</v>
      </c>
      <c r="I476" s="31" t="n">
        <v>392.98</v>
      </c>
      <c r="J476" s="31" t="n">
        <v>3006.88</v>
      </c>
      <c r="K476" s="31" t="n">
        <v>0</v>
      </c>
      <c r="L476" s="32" t="n">
        <v>2</v>
      </c>
      <c r="M476" s="32" t="n">
        <v>27</v>
      </c>
      <c r="N476" s="31" t="n">
        <v>3006.88</v>
      </c>
      <c r="O476" s="31" t="n">
        <v>3006.88</v>
      </c>
      <c r="P476" s="22" t="n">
        <v>0</v>
      </c>
      <c r="Q476" s="22" t="n">
        <v>0</v>
      </c>
      <c r="R476" s="22" t="n">
        <v>0</v>
      </c>
    </row>
    <row r="477">
      <c r="A477" s="22" t="n">
        <v>201611</v>
      </c>
      <c r="B477" s="22" t="inlineStr">
        <is>
          <t>11/2016</t>
        </is>
      </c>
      <c r="C477" s="22" t="n">
        <v>32</v>
      </c>
      <c r="D477" s="22" t="inlineStr">
        <is>
          <t>S32</t>
        </is>
      </c>
      <c r="E477" s="22" t="inlineStr">
        <is>
          <t>Nexa Flevoland (S32)</t>
        </is>
      </c>
      <c r="F477" s="22" t="inlineStr">
        <is>
          <t>Hà Lan</t>
        </is>
      </c>
      <c r="G477" s="22" t="inlineStr">
        <is>
          <t>POS</t>
        </is>
      </c>
      <c r="H477" s="31" t="n">
        <v>0</v>
      </c>
      <c r="I477" s="31" t="n">
        <v>0</v>
      </c>
      <c r="J477" s="31" t="n">
        <v>0</v>
      </c>
      <c r="K477" s="31" t="n">
        <v>438</v>
      </c>
      <c r="L477" s="32" t="n">
        <v>0</v>
      </c>
      <c r="M477" s="32" t="n">
        <v>0</v>
      </c>
      <c r="N477" s="31" t="n">
        <v>-438</v>
      </c>
      <c r="O477" s="31" t="n">
        <v>0</v>
      </c>
      <c r="P477" s="22" t="n">
        <v>0</v>
      </c>
      <c r="Q477" s="22" t="n">
        <v>0</v>
      </c>
      <c r="R477" s="22" t="n">
        <v>0</v>
      </c>
    </row>
    <row r="478">
      <c r="A478" s="22" t="n">
        <v>201611</v>
      </c>
      <c r="B478" s="22" t="inlineStr">
        <is>
          <t>11/2016</t>
        </is>
      </c>
      <c r="C478" s="22" t="n">
        <v>33</v>
      </c>
      <c r="D478" s="22" t="inlineStr">
        <is>
          <t>S33</t>
        </is>
      </c>
      <c r="E478" s="22" t="inlineStr">
        <is>
          <t>Nexa Friesland (S33)</t>
        </is>
      </c>
      <c r="F478" s="22" t="inlineStr">
        <is>
          <t>Hà Lan</t>
        </is>
      </c>
      <c r="G478" s="22" t="inlineStr">
        <is>
          <t>POS</t>
        </is>
      </c>
      <c r="H478" s="31" t="n">
        <v>2300.84</v>
      </c>
      <c r="I478" s="31" t="n">
        <v>0</v>
      </c>
      <c r="J478" s="31" t="n">
        <v>2300.84</v>
      </c>
      <c r="K478" s="31" t="n">
        <v>0</v>
      </c>
      <c r="L478" s="32" t="n">
        <v>2</v>
      </c>
      <c r="M478" s="32" t="n">
        <v>11</v>
      </c>
      <c r="N478" s="31" t="n">
        <v>2300.84</v>
      </c>
      <c r="O478" s="31" t="n">
        <v>2300.84</v>
      </c>
      <c r="P478" s="22" t="n">
        <v>0</v>
      </c>
      <c r="Q478" s="22" t="n">
        <v>0</v>
      </c>
      <c r="R478" s="22" t="n">
        <v>0</v>
      </c>
    </row>
    <row r="479">
      <c r="A479" s="22" t="n">
        <v>201611</v>
      </c>
      <c r="B479" s="22" t="inlineStr">
        <is>
          <t>11/2016</t>
        </is>
      </c>
      <c r="C479" s="22" t="n">
        <v>34</v>
      </c>
      <c r="D479" s="22" t="inlineStr">
        <is>
          <t>S34</t>
        </is>
      </c>
      <c r="E479" s="22" t="inlineStr">
        <is>
          <t>Nexa Groningen (S34)</t>
        </is>
      </c>
      <c r="F479" s="22" t="inlineStr">
        <is>
          <t>Hà Lan</t>
        </is>
      </c>
      <c r="G479" s="22" t="inlineStr">
        <is>
          <t>POS</t>
        </is>
      </c>
      <c r="H479" s="31" t="n">
        <v>964.65</v>
      </c>
      <c r="I479" s="31" t="n">
        <v>71.48999999999999</v>
      </c>
      <c r="J479" s="31" t="n">
        <v>893.16</v>
      </c>
      <c r="K479" s="31" t="n">
        <v>0</v>
      </c>
      <c r="L479" s="32" t="n">
        <v>2</v>
      </c>
      <c r="M479" s="32" t="n">
        <v>29</v>
      </c>
      <c r="N479" s="31" t="n">
        <v>893.16</v>
      </c>
      <c r="O479" s="31" t="n">
        <v>893.16</v>
      </c>
      <c r="P479" s="22" t="n">
        <v>0</v>
      </c>
      <c r="Q479" s="22" t="n">
        <v>0</v>
      </c>
      <c r="R479" s="22" t="n">
        <v>0</v>
      </c>
    </row>
    <row r="480">
      <c r="A480" s="22" t="n">
        <v>201611</v>
      </c>
      <c r="B480" s="22" t="inlineStr">
        <is>
          <t>11/2016</t>
        </is>
      </c>
      <c r="C480" s="22" t="n">
        <v>36</v>
      </c>
      <c r="D480" s="22" t="inlineStr">
        <is>
          <t>S36</t>
        </is>
      </c>
      <c r="E480" s="22" t="inlineStr">
        <is>
          <t>Nexa Armagh (S36)</t>
        </is>
      </c>
      <c r="F480" s="22" t="inlineStr">
        <is>
          <t>Anh</t>
        </is>
      </c>
      <c r="G480" s="22" t="inlineStr">
        <is>
          <t>POS</t>
        </is>
      </c>
      <c r="H480" s="31" t="n">
        <v>10505.01</v>
      </c>
      <c r="I480" s="31" t="n">
        <v>1218.99</v>
      </c>
      <c r="J480" s="31" t="n">
        <v>9286.02</v>
      </c>
      <c r="K480" s="31" t="n">
        <v>129.99</v>
      </c>
      <c r="L480" s="32" t="n">
        <v>7</v>
      </c>
      <c r="M480" s="32" t="n">
        <v>33</v>
      </c>
      <c r="N480" s="31" t="n">
        <v>9156.030000000001</v>
      </c>
      <c r="O480" s="31" t="n">
        <v>9286.02</v>
      </c>
      <c r="P480" s="22" t="n">
        <v>0</v>
      </c>
      <c r="Q480" s="22" t="n">
        <v>0</v>
      </c>
      <c r="R480" s="22" t="n">
        <v>0</v>
      </c>
    </row>
    <row r="481">
      <c r="A481" s="22" t="n">
        <v>201611</v>
      </c>
      <c r="B481" s="22" t="inlineStr">
        <is>
          <t>11/2016</t>
        </is>
      </c>
      <c r="C481" s="22" t="n">
        <v>37</v>
      </c>
      <c r="D481" s="22" t="inlineStr">
        <is>
          <t>S37</t>
        </is>
      </c>
      <c r="E481" s="22" t="inlineStr">
        <is>
          <t>Nexa Ayrshire (S37)</t>
        </is>
      </c>
      <c r="F481" s="22" t="inlineStr">
        <is>
          <t>Anh</t>
        </is>
      </c>
      <c r="G481" s="22" t="inlineStr">
        <is>
          <t>POS</t>
        </is>
      </c>
      <c r="H481" s="31" t="n">
        <v>35645.49</v>
      </c>
      <c r="I481" s="31" t="n">
        <v>0</v>
      </c>
      <c r="J481" s="31" t="n">
        <v>35645.49</v>
      </c>
      <c r="K481" s="31" t="n">
        <v>0</v>
      </c>
      <c r="L481" s="32" t="n">
        <v>5</v>
      </c>
      <c r="M481" s="32" t="n">
        <v>56</v>
      </c>
      <c r="N481" s="31" t="n">
        <v>35645.49</v>
      </c>
      <c r="O481" s="31" t="n">
        <v>35645.49</v>
      </c>
      <c r="P481" s="22" t="n">
        <v>0</v>
      </c>
      <c r="Q481" s="22" t="n">
        <v>0</v>
      </c>
      <c r="R481" s="22" t="n">
        <v>0</v>
      </c>
    </row>
    <row r="482">
      <c r="A482" s="22" t="n">
        <v>201611</v>
      </c>
      <c r="B482" s="22" t="inlineStr">
        <is>
          <t>11/2016</t>
        </is>
      </c>
      <c r="C482" s="22" t="n">
        <v>38</v>
      </c>
      <c r="D482" s="22" t="inlineStr">
        <is>
          <t>S38</t>
        </is>
      </c>
      <c r="E482" s="22" t="inlineStr">
        <is>
          <t>Nexa Belfast (S38)</t>
        </is>
      </c>
      <c r="F482" s="22" t="inlineStr">
        <is>
          <t>Anh</t>
        </is>
      </c>
      <c r="G482" s="22" t="inlineStr">
        <is>
          <t>POS</t>
        </is>
      </c>
      <c r="H482" s="31" t="n">
        <v>5181.99</v>
      </c>
      <c r="I482" s="31" t="n">
        <v>705.6</v>
      </c>
      <c r="J482" s="31" t="n">
        <v>4476.39</v>
      </c>
      <c r="K482" s="31" t="n">
        <v>0</v>
      </c>
      <c r="L482" s="32" t="n">
        <v>2</v>
      </c>
      <c r="M482" s="32" t="n">
        <v>7</v>
      </c>
      <c r="N482" s="31" t="n">
        <v>4476.39</v>
      </c>
      <c r="O482" s="31" t="n">
        <v>4476.39</v>
      </c>
      <c r="P482" s="22" t="n">
        <v>0</v>
      </c>
      <c r="Q482" s="22" t="n">
        <v>0</v>
      </c>
      <c r="R482" s="22" t="n">
        <v>0</v>
      </c>
    </row>
    <row r="483">
      <c r="A483" s="22" t="n">
        <v>201611</v>
      </c>
      <c r="B483" s="22" t="inlineStr">
        <is>
          <t>11/2016</t>
        </is>
      </c>
      <c r="C483" s="22" t="n">
        <v>39</v>
      </c>
      <c r="D483" s="22" t="inlineStr">
        <is>
          <t>S39</t>
        </is>
      </c>
      <c r="E483" s="22" t="inlineStr">
        <is>
          <t>Nexa Blaenau Gwent (S39)</t>
        </is>
      </c>
      <c r="F483" s="22" t="inlineStr">
        <is>
          <t>Anh</t>
        </is>
      </c>
      <c r="G483" s="22" t="inlineStr">
        <is>
          <t>POS</t>
        </is>
      </c>
      <c r="H483" s="31" t="n">
        <v>5434.16</v>
      </c>
      <c r="I483" s="31" t="n">
        <v>452.04</v>
      </c>
      <c r="J483" s="31" t="n">
        <v>4982.12</v>
      </c>
      <c r="K483" s="31" t="n">
        <v>0</v>
      </c>
      <c r="L483" s="32" t="n">
        <v>4</v>
      </c>
      <c r="M483" s="32" t="n">
        <v>15</v>
      </c>
      <c r="N483" s="31" t="n">
        <v>4982.12</v>
      </c>
      <c r="O483" s="31" t="n">
        <v>4982.12</v>
      </c>
      <c r="P483" s="22" t="n">
        <v>0</v>
      </c>
      <c r="Q483" s="22" t="n">
        <v>0</v>
      </c>
      <c r="R483" s="22" t="n">
        <v>0</v>
      </c>
    </row>
    <row r="484">
      <c r="A484" s="22" t="n">
        <v>201611</v>
      </c>
      <c r="B484" s="22" t="inlineStr">
        <is>
          <t>11/2016</t>
        </is>
      </c>
      <c r="C484" s="22" t="n">
        <v>40</v>
      </c>
      <c r="D484" s="22" t="inlineStr">
        <is>
          <t>S40</t>
        </is>
      </c>
      <c r="E484" s="22" t="inlineStr">
        <is>
          <t>Nexa Dungannon and South Tyrone (S40)</t>
        </is>
      </c>
      <c r="F484" s="22" t="inlineStr">
        <is>
          <t>Anh</t>
        </is>
      </c>
      <c r="G484" s="22" t="inlineStr">
        <is>
          <t>POS</t>
        </is>
      </c>
      <c r="H484" s="31" t="n">
        <v>13835.33</v>
      </c>
      <c r="I484" s="31" t="n">
        <v>678.16</v>
      </c>
      <c r="J484" s="31" t="n">
        <v>13157.17</v>
      </c>
      <c r="K484" s="31" t="n">
        <v>0</v>
      </c>
      <c r="L484" s="32" t="n">
        <v>6</v>
      </c>
      <c r="M484" s="32" t="n">
        <v>49</v>
      </c>
      <c r="N484" s="31" t="n">
        <v>13157.17</v>
      </c>
      <c r="O484" s="31" t="n">
        <v>13157.17</v>
      </c>
      <c r="P484" s="22" t="n">
        <v>0</v>
      </c>
      <c r="Q484" s="22" t="n">
        <v>0</v>
      </c>
      <c r="R484" s="22" t="n">
        <v>0</v>
      </c>
    </row>
    <row r="485">
      <c r="A485" s="22" t="n">
        <v>201611</v>
      </c>
      <c r="B485" s="22" t="inlineStr">
        <is>
          <t>11/2016</t>
        </is>
      </c>
      <c r="C485" s="22" t="n">
        <v>41</v>
      </c>
      <c r="D485" s="22" t="inlineStr">
        <is>
          <t>S41</t>
        </is>
      </c>
      <c r="E485" s="22" t="inlineStr">
        <is>
          <t>Nexa Fermanagh (S41)</t>
        </is>
      </c>
      <c r="F485" s="22" t="inlineStr">
        <is>
          <t>Anh</t>
        </is>
      </c>
      <c r="G485" s="22" t="inlineStr">
        <is>
          <t>POS</t>
        </is>
      </c>
      <c r="H485" s="31" t="n">
        <v>5716.69</v>
      </c>
      <c r="I485" s="31" t="n">
        <v>146.39</v>
      </c>
      <c r="J485" s="31" t="n">
        <v>5570.3</v>
      </c>
      <c r="K485" s="31" t="n">
        <v>0</v>
      </c>
      <c r="L485" s="32" t="n">
        <v>5</v>
      </c>
      <c r="M485" s="32" t="n">
        <v>27</v>
      </c>
      <c r="N485" s="31" t="n">
        <v>5570.3</v>
      </c>
      <c r="O485" s="31" t="n">
        <v>5570.3</v>
      </c>
      <c r="P485" s="22" t="n">
        <v>0</v>
      </c>
      <c r="Q485" s="22" t="n">
        <v>0</v>
      </c>
      <c r="R485" s="22" t="n">
        <v>0</v>
      </c>
    </row>
    <row r="486">
      <c r="A486" s="22" t="n">
        <v>201611</v>
      </c>
      <c r="B486" s="22" t="inlineStr">
        <is>
          <t>11/2016</t>
        </is>
      </c>
      <c r="C486" s="22" t="n">
        <v>42</v>
      </c>
      <c r="D486" s="22" t="inlineStr">
        <is>
          <t>S42</t>
        </is>
      </c>
      <c r="E486" s="22" t="inlineStr">
        <is>
          <t>Nexa North Down (S42)</t>
        </is>
      </c>
      <c r="F486" s="22" t="inlineStr">
        <is>
          <t>Anh</t>
        </is>
      </c>
      <c r="G486" s="22" t="inlineStr">
        <is>
          <t>POS</t>
        </is>
      </c>
      <c r="H486" s="31" t="n">
        <v>2878.76</v>
      </c>
      <c r="I486" s="31" t="n">
        <v>0</v>
      </c>
      <c r="J486" s="31" t="n">
        <v>2878.76</v>
      </c>
      <c r="K486" s="31" t="n">
        <v>0</v>
      </c>
      <c r="L486" s="32" t="n">
        <v>3</v>
      </c>
      <c r="M486" s="32" t="n">
        <v>18</v>
      </c>
      <c r="N486" s="31" t="n">
        <v>2878.76</v>
      </c>
      <c r="O486" s="31" t="n">
        <v>2878.76</v>
      </c>
      <c r="P486" s="22" t="n">
        <v>0</v>
      </c>
      <c r="Q486" s="22" t="n">
        <v>0</v>
      </c>
      <c r="R486" s="22" t="n">
        <v>0</v>
      </c>
    </row>
    <row r="487">
      <c r="A487" s="22" t="n">
        <v>201611</v>
      </c>
      <c r="B487" s="22" t="inlineStr">
        <is>
          <t>11/2016</t>
        </is>
      </c>
      <c r="C487" s="22" t="n">
        <v>43</v>
      </c>
      <c r="D487" s="22" t="inlineStr">
        <is>
          <t>S43</t>
        </is>
      </c>
      <c r="E487" s="22" t="inlineStr">
        <is>
          <t>Nexa Alaska (S43)</t>
        </is>
      </c>
      <c r="F487" s="22" t="inlineStr">
        <is>
          <t>Mỹ</t>
        </is>
      </c>
      <c r="G487" s="22" t="inlineStr">
        <is>
          <t>POS</t>
        </is>
      </c>
      <c r="H487" s="31" t="n">
        <v>4665.91</v>
      </c>
      <c r="I487" s="31" t="n">
        <v>0</v>
      </c>
      <c r="J487" s="31" t="n">
        <v>4665.91</v>
      </c>
      <c r="K487" s="31" t="n">
        <v>0</v>
      </c>
      <c r="L487" s="32" t="n">
        <v>4</v>
      </c>
      <c r="M487" s="32" t="n">
        <v>24</v>
      </c>
      <c r="N487" s="31" t="n">
        <v>4665.91</v>
      </c>
      <c r="O487" s="31" t="n">
        <v>4665.91</v>
      </c>
      <c r="P487" s="22" t="n">
        <v>0</v>
      </c>
      <c r="Q487" s="22" t="n">
        <v>0</v>
      </c>
      <c r="R487" s="22" t="n">
        <v>0</v>
      </c>
    </row>
    <row r="488">
      <c r="A488" s="22" t="n">
        <v>201611</v>
      </c>
      <c r="B488" s="22" t="inlineStr">
        <is>
          <t>11/2016</t>
        </is>
      </c>
      <c r="C488" s="22" t="n">
        <v>44</v>
      </c>
      <c r="D488" s="22" t="inlineStr">
        <is>
          <t>S44</t>
        </is>
      </c>
      <c r="E488" s="22" t="inlineStr">
        <is>
          <t>Nexa Arkansas (S44)</t>
        </is>
      </c>
      <c r="F488" s="22" t="inlineStr">
        <is>
          <t>Mỹ</t>
        </is>
      </c>
      <c r="G488" s="22" t="inlineStr">
        <is>
          <t>POS</t>
        </is>
      </c>
      <c r="H488" s="31" t="n">
        <v>28473.64</v>
      </c>
      <c r="I488" s="31" t="n">
        <v>1836.38</v>
      </c>
      <c r="J488" s="31" t="n">
        <v>26637.26</v>
      </c>
      <c r="K488" s="31" t="n">
        <v>0</v>
      </c>
      <c r="L488" s="32" t="n">
        <v>6</v>
      </c>
      <c r="M488" s="32" t="n">
        <v>61</v>
      </c>
      <c r="N488" s="31" t="n">
        <v>26637.26</v>
      </c>
      <c r="O488" s="31" t="n">
        <v>26637.26</v>
      </c>
      <c r="P488" s="22" t="n">
        <v>0</v>
      </c>
      <c r="Q488" s="22" t="n">
        <v>0</v>
      </c>
      <c r="R488" s="22" t="n">
        <v>0</v>
      </c>
    </row>
    <row r="489">
      <c r="A489" s="22" t="n">
        <v>201611</v>
      </c>
      <c r="B489" s="22" t="inlineStr">
        <is>
          <t>11/2016</t>
        </is>
      </c>
      <c r="C489" s="22" t="n">
        <v>45</v>
      </c>
      <c r="D489" s="22" t="inlineStr">
        <is>
          <t>S45</t>
        </is>
      </c>
      <c r="E489" s="22" t="inlineStr">
        <is>
          <t>Nexa Connecticut (S45)</t>
        </is>
      </c>
      <c r="F489" s="22" t="inlineStr">
        <is>
          <t>Mỹ</t>
        </is>
      </c>
      <c r="G489" s="22" t="inlineStr">
        <is>
          <t>POS</t>
        </is>
      </c>
      <c r="H489" s="31" t="n">
        <v>19852.92</v>
      </c>
      <c r="I489" s="31" t="n">
        <v>608.9</v>
      </c>
      <c r="J489" s="31" t="n">
        <v>19244.02</v>
      </c>
      <c r="K489" s="31" t="n">
        <v>0</v>
      </c>
      <c r="L489" s="32" t="n">
        <v>8</v>
      </c>
      <c r="M489" s="32" t="n">
        <v>55</v>
      </c>
      <c r="N489" s="31" t="n">
        <v>19244.02</v>
      </c>
      <c r="O489" s="31" t="n">
        <v>19244.02</v>
      </c>
      <c r="P489" s="22" t="n">
        <v>0</v>
      </c>
      <c r="Q489" s="22" t="n">
        <v>0</v>
      </c>
      <c r="R489" s="22" t="n">
        <v>0</v>
      </c>
    </row>
    <row r="490">
      <c r="A490" s="22" t="n">
        <v>201611</v>
      </c>
      <c r="B490" s="22" t="inlineStr">
        <is>
          <t>11/2016</t>
        </is>
      </c>
      <c r="C490" s="22" t="n">
        <v>47</v>
      </c>
      <c r="D490" s="22" t="inlineStr">
        <is>
          <t>S47</t>
        </is>
      </c>
      <c r="E490" s="22" t="inlineStr">
        <is>
          <t>Nexa Hawaii (S47)</t>
        </is>
      </c>
      <c r="F490" s="22" t="inlineStr">
        <is>
          <t>Mỹ</t>
        </is>
      </c>
      <c r="G490" s="22" t="inlineStr">
        <is>
          <t>POS</t>
        </is>
      </c>
      <c r="H490" s="31" t="n">
        <v>27038.94</v>
      </c>
      <c r="I490" s="31" t="n">
        <v>0</v>
      </c>
      <c r="J490" s="31" t="n">
        <v>27038.94</v>
      </c>
      <c r="K490" s="31" t="n">
        <v>0</v>
      </c>
      <c r="L490" s="32" t="n">
        <v>9</v>
      </c>
      <c r="M490" s="32" t="n">
        <v>87</v>
      </c>
      <c r="N490" s="31" t="n">
        <v>27038.94</v>
      </c>
      <c r="O490" s="31" t="n">
        <v>27038.94</v>
      </c>
      <c r="P490" s="22" t="n">
        <v>0</v>
      </c>
      <c r="Q490" s="22" t="n">
        <v>0</v>
      </c>
      <c r="R490" s="22" t="n">
        <v>0</v>
      </c>
    </row>
    <row r="491">
      <c r="A491" s="22" t="n">
        <v>201611</v>
      </c>
      <c r="B491" s="22" t="inlineStr">
        <is>
          <t>11/2016</t>
        </is>
      </c>
      <c r="C491" s="22" t="n">
        <v>48</v>
      </c>
      <c r="D491" s="22" t="inlineStr">
        <is>
          <t>S48</t>
        </is>
      </c>
      <c r="E491" s="22" t="inlineStr">
        <is>
          <t>Nexa Idaho (S48)</t>
        </is>
      </c>
      <c r="F491" s="22" t="inlineStr">
        <is>
          <t>Mỹ</t>
        </is>
      </c>
      <c r="G491" s="22" t="inlineStr">
        <is>
          <t>POS</t>
        </is>
      </c>
      <c r="H491" s="31" t="n">
        <v>6634.28</v>
      </c>
      <c r="I491" s="31" t="n">
        <v>0</v>
      </c>
      <c r="J491" s="31" t="n">
        <v>6634.28</v>
      </c>
      <c r="K491" s="31" t="n">
        <v>95.90000000000001</v>
      </c>
      <c r="L491" s="32" t="n">
        <v>2</v>
      </c>
      <c r="M491" s="32" t="n">
        <v>29</v>
      </c>
      <c r="N491" s="31" t="n">
        <v>6538.38</v>
      </c>
      <c r="O491" s="31" t="n">
        <v>6634.28</v>
      </c>
      <c r="P491" s="22" t="n">
        <v>0</v>
      </c>
      <c r="Q491" s="22" t="n">
        <v>0</v>
      </c>
      <c r="R491" s="22" t="n">
        <v>0</v>
      </c>
    </row>
    <row r="492">
      <c r="A492" s="22" t="n">
        <v>201611</v>
      </c>
      <c r="B492" s="22" t="inlineStr">
        <is>
          <t>11/2016</t>
        </is>
      </c>
      <c r="C492" s="22" t="n">
        <v>50</v>
      </c>
      <c r="D492" s="22" t="inlineStr">
        <is>
          <t>S50</t>
        </is>
      </c>
      <c r="E492" s="22" t="inlineStr">
        <is>
          <t>Nexa Kansas (S50)</t>
        </is>
      </c>
      <c r="F492" s="22" t="inlineStr">
        <is>
          <t>Mỹ</t>
        </is>
      </c>
      <c r="G492" s="22" t="inlineStr">
        <is>
          <t>POS</t>
        </is>
      </c>
      <c r="H492" s="31" t="n">
        <v>23183.19</v>
      </c>
      <c r="I492" s="31" t="n">
        <v>0</v>
      </c>
      <c r="J492" s="31" t="n">
        <v>23183.19</v>
      </c>
      <c r="K492" s="31" t="n">
        <v>0</v>
      </c>
      <c r="L492" s="32" t="n">
        <v>6</v>
      </c>
      <c r="M492" s="32" t="n">
        <v>66</v>
      </c>
      <c r="N492" s="31" t="n">
        <v>23183.19</v>
      </c>
      <c r="O492" s="31" t="n">
        <v>23183.19</v>
      </c>
      <c r="P492" s="22" t="n">
        <v>0</v>
      </c>
      <c r="Q492" s="22" t="n">
        <v>0</v>
      </c>
      <c r="R492" s="22" t="n">
        <v>0</v>
      </c>
    </row>
    <row r="493">
      <c r="A493" s="22" t="n">
        <v>201611</v>
      </c>
      <c r="B493" s="22" t="inlineStr">
        <is>
          <t>11/2016</t>
        </is>
      </c>
      <c r="C493" s="22" t="n">
        <v>51</v>
      </c>
      <c r="D493" s="22" t="inlineStr">
        <is>
          <t>S51</t>
        </is>
      </c>
      <c r="E493" s="22" t="inlineStr">
        <is>
          <t>Nexa Maine (S51)</t>
        </is>
      </c>
      <c r="F493" s="22" t="inlineStr">
        <is>
          <t>Mỹ</t>
        </is>
      </c>
      <c r="G493" s="22" t="inlineStr">
        <is>
          <t>POS</t>
        </is>
      </c>
      <c r="H493" s="31" t="n">
        <v>8232</v>
      </c>
      <c r="I493" s="31" t="n">
        <v>0</v>
      </c>
      <c r="J493" s="31" t="n">
        <v>8232</v>
      </c>
      <c r="K493" s="31" t="n">
        <v>289.99</v>
      </c>
      <c r="L493" s="32" t="n">
        <v>2</v>
      </c>
      <c r="M493" s="32" t="n">
        <v>8</v>
      </c>
      <c r="N493" s="31" t="n">
        <v>7942.01</v>
      </c>
      <c r="O493" s="31" t="n">
        <v>8232</v>
      </c>
      <c r="P493" s="22" t="n">
        <v>0</v>
      </c>
      <c r="Q493" s="22" t="n">
        <v>0</v>
      </c>
      <c r="R493" s="22" t="n">
        <v>0</v>
      </c>
    </row>
    <row r="494">
      <c r="A494" s="22" t="n">
        <v>201611</v>
      </c>
      <c r="B494" s="22" t="inlineStr">
        <is>
          <t>11/2016</t>
        </is>
      </c>
      <c r="C494" s="22" t="n">
        <v>53</v>
      </c>
      <c r="D494" s="22" t="inlineStr">
        <is>
          <t>S53</t>
        </is>
      </c>
      <c r="E494" s="22" t="inlineStr">
        <is>
          <t>Nexa Montana (S53)</t>
        </is>
      </c>
      <c r="F494" s="22" t="inlineStr">
        <is>
          <t>Mỹ</t>
        </is>
      </c>
      <c r="G494" s="22" t="inlineStr">
        <is>
          <t>POS</t>
        </is>
      </c>
      <c r="H494" s="31" t="n">
        <v>6394.43</v>
      </c>
      <c r="I494" s="31" t="n">
        <v>0</v>
      </c>
      <c r="J494" s="31" t="n">
        <v>6394.43</v>
      </c>
      <c r="K494" s="31" t="n">
        <v>0</v>
      </c>
      <c r="L494" s="32" t="n">
        <v>4</v>
      </c>
      <c r="M494" s="32" t="n">
        <v>36</v>
      </c>
      <c r="N494" s="31" t="n">
        <v>6394.43</v>
      </c>
      <c r="O494" s="31" t="n">
        <v>6394.43</v>
      </c>
      <c r="P494" s="22" t="n">
        <v>0</v>
      </c>
      <c r="Q494" s="22" t="n">
        <v>0</v>
      </c>
      <c r="R494" s="22" t="n">
        <v>0</v>
      </c>
    </row>
    <row r="495">
      <c r="A495" s="22" t="n">
        <v>201611</v>
      </c>
      <c r="B495" s="22" t="inlineStr">
        <is>
          <t>11/2016</t>
        </is>
      </c>
      <c r="C495" s="22" t="n">
        <v>54</v>
      </c>
      <c r="D495" s="22" t="inlineStr">
        <is>
          <t>S54</t>
        </is>
      </c>
      <c r="E495" s="22" t="inlineStr">
        <is>
          <t>Nexa Nebraska (S54)</t>
        </is>
      </c>
      <c r="F495" s="22" t="inlineStr">
        <is>
          <t>Mỹ</t>
        </is>
      </c>
      <c r="G495" s="22" t="inlineStr">
        <is>
          <t>POS</t>
        </is>
      </c>
      <c r="H495" s="31" t="n">
        <v>12211.22</v>
      </c>
      <c r="I495" s="31" t="n">
        <v>0</v>
      </c>
      <c r="J495" s="31" t="n">
        <v>12211.22</v>
      </c>
      <c r="K495" s="31" t="n">
        <v>0</v>
      </c>
      <c r="L495" s="32" t="n">
        <v>4</v>
      </c>
      <c r="M495" s="32" t="n">
        <v>35</v>
      </c>
      <c r="N495" s="31" t="n">
        <v>12211.22</v>
      </c>
      <c r="O495" s="31" t="n">
        <v>12211.22</v>
      </c>
      <c r="P495" s="22" t="n">
        <v>0</v>
      </c>
      <c r="Q495" s="22" t="n">
        <v>0</v>
      </c>
      <c r="R495" s="22" t="n">
        <v>0</v>
      </c>
    </row>
    <row r="496">
      <c r="A496" s="22" t="n">
        <v>201611</v>
      </c>
      <c r="B496" s="22" t="inlineStr">
        <is>
          <t>11/2016</t>
        </is>
      </c>
      <c r="C496" s="22" t="n">
        <v>55</v>
      </c>
      <c r="D496" s="22" t="inlineStr">
        <is>
          <t>S55</t>
        </is>
      </c>
      <c r="E496" s="22" t="inlineStr">
        <is>
          <t>Nexa Nevada (S55)</t>
        </is>
      </c>
      <c r="F496" s="22" t="inlineStr">
        <is>
          <t>Mỹ</t>
        </is>
      </c>
      <c r="G496" s="22" t="inlineStr">
        <is>
          <t>POS</t>
        </is>
      </c>
      <c r="H496" s="31" t="n">
        <v>28169.73</v>
      </c>
      <c r="I496" s="31" t="n">
        <v>3354.15</v>
      </c>
      <c r="J496" s="31" t="n">
        <v>24815.58</v>
      </c>
      <c r="K496" s="31" t="n">
        <v>57.88</v>
      </c>
      <c r="L496" s="32" t="n">
        <v>6</v>
      </c>
      <c r="M496" s="32" t="n">
        <v>57</v>
      </c>
      <c r="N496" s="31" t="n">
        <v>24757.7</v>
      </c>
      <c r="O496" s="31" t="n">
        <v>24815.58</v>
      </c>
      <c r="P496" s="22" t="n">
        <v>0</v>
      </c>
      <c r="Q496" s="22" t="n">
        <v>0</v>
      </c>
      <c r="R496" s="22" t="n">
        <v>0</v>
      </c>
    </row>
    <row r="497">
      <c r="A497" s="22" t="n">
        <v>201611</v>
      </c>
      <c r="B497" s="22" t="inlineStr">
        <is>
          <t>11/2016</t>
        </is>
      </c>
      <c r="C497" s="22" t="n">
        <v>56</v>
      </c>
      <c r="D497" s="22" t="inlineStr">
        <is>
          <t>S56</t>
        </is>
      </c>
      <c r="E497" s="22" t="inlineStr">
        <is>
          <t>Nexa New Hampshire (S56)</t>
        </is>
      </c>
      <c r="F497" s="22" t="inlineStr">
        <is>
          <t>Mỹ</t>
        </is>
      </c>
      <c r="G497" s="22" t="inlineStr">
        <is>
          <t>POS</t>
        </is>
      </c>
      <c r="H497" s="31" t="n">
        <v>8001.61</v>
      </c>
      <c r="I497" s="31" t="n">
        <v>0</v>
      </c>
      <c r="J497" s="31" t="n">
        <v>8001.61</v>
      </c>
      <c r="K497" s="31" t="n">
        <v>796</v>
      </c>
      <c r="L497" s="32" t="n">
        <v>6</v>
      </c>
      <c r="M497" s="32" t="n">
        <v>35</v>
      </c>
      <c r="N497" s="31" t="n">
        <v>7205.61</v>
      </c>
      <c r="O497" s="31" t="n">
        <v>8001.61</v>
      </c>
      <c r="P497" s="22" t="n">
        <v>0</v>
      </c>
      <c r="Q497" s="22" t="n">
        <v>0</v>
      </c>
      <c r="R497" s="22" t="n">
        <v>0</v>
      </c>
    </row>
    <row r="498">
      <c r="A498" s="22" t="n">
        <v>201611</v>
      </c>
      <c r="B498" s="22" t="inlineStr">
        <is>
          <t>11/2016</t>
        </is>
      </c>
      <c r="C498" s="22" t="n">
        <v>57</v>
      </c>
      <c r="D498" s="22" t="inlineStr">
        <is>
          <t>S57</t>
        </is>
      </c>
      <c r="E498" s="22" t="inlineStr">
        <is>
          <t>Nexa New Mexico (S57)</t>
        </is>
      </c>
      <c r="F498" s="22" t="inlineStr">
        <is>
          <t>Mỹ</t>
        </is>
      </c>
      <c r="G498" s="22" t="inlineStr">
        <is>
          <t>POS</t>
        </is>
      </c>
      <c r="H498" s="31" t="n">
        <v>33051.5</v>
      </c>
      <c r="I498" s="31" t="n">
        <v>401.95</v>
      </c>
      <c r="J498" s="31" t="n">
        <v>32649.55</v>
      </c>
      <c r="K498" s="31" t="n">
        <v>1858.74</v>
      </c>
      <c r="L498" s="32" t="n">
        <v>7</v>
      </c>
      <c r="M498" s="32" t="n">
        <v>79</v>
      </c>
      <c r="N498" s="31" t="n">
        <v>30790.81</v>
      </c>
      <c r="O498" s="31" t="n">
        <v>32649.55</v>
      </c>
      <c r="P498" s="22" t="n">
        <v>0</v>
      </c>
      <c r="Q498" s="22" t="n">
        <v>0</v>
      </c>
      <c r="R498" s="22" t="n">
        <v>0</v>
      </c>
    </row>
    <row r="499">
      <c r="A499" s="22" t="n">
        <v>201611</v>
      </c>
      <c r="B499" s="22" t="inlineStr">
        <is>
          <t>11/2016</t>
        </is>
      </c>
      <c r="C499" s="22" t="n">
        <v>59</v>
      </c>
      <c r="D499" s="22" t="inlineStr">
        <is>
          <t>S59</t>
        </is>
      </c>
      <c r="E499" s="22" t="inlineStr">
        <is>
          <t>Nexa Oregon (S59)</t>
        </is>
      </c>
      <c r="F499" s="22" t="inlineStr">
        <is>
          <t>Mỹ</t>
        </is>
      </c>
      <c r="G499" s="22" t="inlineStr">
        <is>
          <t>POS</t>
        </is>
      </c>
      <c r="H499" s="31" t="n">
        <v>18253.85</v>
      </c>
      <c r="I499" s="31" t="n">
        <v>0</v>
      </c>
      <c r="J499" s="31" t="n">
        <v>18253.85</v>
      </c>
      <c r="K499" s="31" t="n">
        <v>0</v>
      </c>
      <c r="L499" s="32" t="n">
        <v>7</v>
      </c>
      <c r="M499" s="32" t="n">
        <v>61</v>
      </c>
      <c r="N499" s="31" t="n">
        <v>18253.85</v>
      </c>
      <c r="O499" s="31" t="n">
        <v>18253.85</v>
      </c>
      <c r="P499" s="22" t="n">
        <v>0</v>
      </c>
      <c r="Q499" s="22" t="n">
        <v>0</v>
      </c>
      <c r="R499" s="22" t="n">
        <v>0</v>
      </c>
    </row>
    <row r="500">
      <c r="A500" s="22" t="n">
        <v>201611</v>
      </c>
      <c r="B500" s="22" t="inlineStr">
        <is>
          <t>11/2016</t>
        </is>
      </c>
      <c r="C500" s="22" t="n">
        <v>61</v>
      </c>
      <c r="D500" s="22" t="inlineStr">
        <is>
          <t>S61</t>
        </is>
      </c>
      <c r="E500" s="22" t="inlineStr">
        <is>
          <t>Nexa South Carolina (S61)</t>
        </is>
      </c>
      <c r="F500" s="22" t="inlineStr">
        <is>
          <t>Mỹ</t>
        </is>
      </c>
      <c r="G500" s="22" t="inlineStr">
        <is>
          <t>POS</t>
        </is>
      </c>
      <c r="H500" s="31" t="n">
        <v>19488.3</v>
      </c>
      <c r="I500" s="31" t="n">
        <v>0</v>
      </c>
      <c r="J500" s="31" t="n">
        <v>19488.3</v>
      </c>
      <c r="K500" s="31" t="n">
        <v>1189.03</v>
      </c>
      <c r="L500" s="32" t="n">
        <v>7</v>
      </c>
      <c r="M500" s="32" t="n">
        <v>74</v>
      </c>
      <c r="N500" s="31" t="n">
        <v>18299.27</v>
      </c>
      <c r="O500" s="31" t="n">
        <v>19488.3</v>
      </c>
      <c r="P500" s="22" t="n">
        <v>0</v>
      </c>
      <c r="Q500" s="22" t="n">
        <v>0</v>
      </c>
      <c r="R500" s="22" t="n">
        <v>0</v>
      </c>
    </row>
    <row r="501">
      <c r="A501" s="22" t="n">
        <v>201611</v>
      </c>
      <c r="B501" s="22" t="inlineStr">
        <is>
          <t>11/2016</t>
        </is>
      </c>
      <c r="C501" s="22" t="n">
        <v>63</v>
      </c>
      <c r="D501" s="22" t="inlineStr">
        <is>
          <t>S63</t>
        </is>
      </c>
      <c r="E501" s="22" t="inlineStr">
        <is>
          <t>Nexa Utah (S63)</t>
        </is>
      </c>
      <c r="F501" s="22" t="inlineStr">
        <is>
          <t>Mỹ</t>
        </is>
      </c>
      <c r="G501" s="22" t="inlineStr">
        <is>
          <t>POS</t>
        </is>
      </c>
      <c r="H501" s="31" t="n">
        <v>19452.25</v>
      </c>
      <c r="I501" s="31" t="n">
        <v>0</v>
      </c>
      <c r="J501" s="31" t="n">
        <v>19452.25</v>
      </c>
      <c r="K501" s="31" t="n">
        <v>3199.99</v>
      </c>
      <c r="L501" s="32" t="n">
        <v>4</v>
      </c>
      <c r="M501" s="32" t="n">
        <v>44</v>
      </c>
      <c r="N501" s="31" t="n">
        <v>16252.26</v>
      </c>
      <c r="O501" s="31" t="n">
        <v>19452.25</v>
      </c>
      <c r="P501" s="22" t="n">
        <v>0</v>
      </c>
      <c r="Q501" s="22" t="n">
        <v>0</v>
      </c>
      <c r="R501" s="22" t="n">
        <v>0</v>
      </c>
    </row>
    <row r="502">
      <c r="A502" s="22" t="n">
        <v>201611</v>
      </c>
      <c r="B502" s="22" t="inlineStr">
        <is>
          <t>11/2016</t>
        </is>
      </c>
      <c r="C502" s="22" t="n">
        <v>64</v>
      </c>
      <c r="D502" s="22" t="inlineStr">
        <is>
          <t>S64</t>
        </is>
      </c>
      <c r="E502" s="22" t="inlineStr">
        <is>
          <t>Nexa Washington DC (S64)</t>
        </is>
      </c>
      <c r="F502" s="22" t="inlineStr">
        <is>
          <t>Mỹ</t>
        </is>
      </c>
      <c r="G502" s="22" t="inlineStr">
        <is>
          <t>POS</t>
        </is>
      </c>
      <c r="H502" s="31" t="n">
        <v>3755.48</v>
      </c>
      <c r="I502" s="31" t="n">
        <v>78.08</v>
      </c>
      <c r="J502" s="31" t="n">
        <v>3677.4</v>
      </c>
      <c r="K502" s="31" t="n">
        <v>0</v>
      </c>
      <c r="L502" s="32" t="n">
        <v>4</v>
      </c>
      <c r="M502" s="32" t="n">
        <v>15</v>
      </c>
      <c r="N502" s="31" t="n">
        <v>3677.4</v>
      </c>
      <c r="O502" s="31" t="n">
        <v>3677.4</v>
      </c>
      <c r="P502" s="22" t="n">
        <v>0</v>
      </c>
      <c r="Q502" s="22" t="n">
        <v>0</v>
      </c>
      <c r="R502" s="22" t="n">
        <v>0</v>
      </c>
    </row>
    <row r="503">
      <c r="A503" s="22" t="n">
        <v>201611</v>
      </c>
      <c r="B503" s="22" t="inlineStr">
        <is>
          <t>11/2016</t>
        </is>
      </c>
      <c r="C503" s="22" t="n">
        <v>65</v>
      </c>
      <c r="D503" s="22" t="inlineStr">
        <is>
          <t>S65</t>
        </is>
      </c>
      <c r="E503" s="22" t="inlineStr">
        <is>
          <t>Nexa West Virginia (S65)</t>
        </is>
      </c>
      <c r="F503" s="22" t="inlineStr">
        <is>
          <t>Mỹ</t>
        </is>
      </c>
      <c r="G503" s="22" t="inlineStr">
        <is>
          <t>POS</t>
        </is>
      </c>
      <c r="H503" s="31" t="n">
        <v>18298.55</v>
      </c>
      <c r="I503" s="31" t="n">
        <v>31.89</v>
      </c>
      <c r="J503" s="31" t="n">
        <v>18266.66</v>
      </c>
      <c r="K503" s="31" t="n">
        <v>0</v>
      </c>
      <c r="L503" s="32" t="n">
        <v>10</v>
      </c>
      <c r="M503" s="32" t="n">
        <v>68</v>
      </c>
      <c r="N503" s="31" t="n">
        <v>18266.66</v>
      </c>
      <c r="O503" s="31" t="n">
        <v>18266.66</v>
      </c>
      <c r="P503" s="22" t="n">
        <v>0</v>
      </c>
      <c r="Q503" s="22" t="n">
        <v>0</v>
      </c>
      <c r="R503" s="22" t="n">
        <v>0</v>
      </c>
    </row>
    <row r="504">
      <c r="A504" s="22" t="n">
        <v>201611</v>
      </c>
      <c r="B504" s="22" t="inlineStr">
        <is>
          <t>11/2016</t>
        </is>
      </c>
      <c r="C504" s="22" t="n">
        <v>66</v>
      </c>
      <c r="D504" s="22" t="inlineStr">
        <is>
          <t>S66</t>
        </is>
      </c>
      <c r="E504" s="22" t="inlineStr">
        <is>
          <t>Nexa Wyoming (S66)</t>
        </is>
      </c>
      <c r="F504" s="22" t="inlineStr">
        <is>
          <t>Mỹ</t>
        </is>
      </c>
      <c r="G504" s="22" t="inlineStr">
        <is>
          <t>POS</t>
        </is>
      </c>
      <c r="H504" s="31" t="n">
        <v>12408.21</v>
      </c>
      <c r="I504" s="31" t="n">
        <v>1581.95</v>
      </c>
      <c r="J504" s="31" t="n">
        <v>10826.26</v>
      </c>
      <c r="K504" s="31" t="n">
        <v>0</v>
      </c>
      <c r="L504" s="32" t="n">
        <v>5</v>
      </c>
      <c r="M504" s="32" t="n">
        <v>35</v>
      </c>
      <c r="N504" s="31" t="n">
        <v>10826.26</v>
      </c>
      <c r="O504" s="31" t="n">
        <v>10826.26</v>
      </c>
      <c r="P504" s="22" t="n">
        <v>0</v>
      </c>
      <c r="Q504" s="22" t="n">
        <v>0</v>
      </c>
      <c r="R504" s="22" t="n">
        <v>0</v>
      </c>
    </row>
    <row r="505">
      <c r="A505" s="22" t="n">
        <v>201612</v>
      </c>
      <c r="B505" s="22" t="inlineStr">
        <is>
          <t>12/2016</t>
        </is>
      </c>
      <c r="C505" s="22" t="n">
        <v>0</v>
      </c>
      <c r="D505" s="22" t="inlineStr">
        <is>
          <t>ONL</t>
        </is>
      </c>
      <c r="E505" s="22" t="inlineStr">
        <is>
          <t>Nexa Online (website/app)</t>
        </is>
      </c>
      <c r="F505" s="22" t="inlineStr">
        <is>
          <t>Online</t>
        </is>
      </c>
      <c r="G505" s="22" t="inlineStr">
        <is>
          <t>ONLINE</t>
        </is>
      </c>
      <c r="H505" s="31" t="n">
        <v>234474.78</v>
      </c>
      <c r="I505" s="31" t="n">
        <v>10197.17</v>
      </c>
      <c r="J505" s="31" t="n">
        <v>224277.61</v>
      </c>
      <c r="K505" s="31" t="n">
        <v>4738.41</v>
      </c>
      <c r="L505" s="32" t="n">
        <v>83</v>
      </c>
      <c r="M505" s="32" t="n">
        <v>653</v>
      </c>
      <c r="N505" s="31" t="n">
        <v>169182.88</v>
      </c>
      <c r="O505" s="31" t="n">
        <v>173921.29</v>
      </c>
      <c r="P505" s="22" t="n">
        <v>4</v>
      </c>
      <c r="Q505" s="22" t="n">
        <v>0</v>
      </c>
      <c r="R505" s="22" t="n">
        <v>0</v>
      </c>
    </row>
    <row r="506">
      <c r="A506" s="22" t="n">
        <v>201612</v>
      </c>
      <c r="B506" s="22" t="inlineStr">
        <is>
          <t>12/2016</t>
        </is>
      </c>
      <c r="C506" s="22" t="n">
        <v>1</v>
      </c>
      <c r="D506" s="22" t="inlineStr">
        <is>
          <t>S01</t>
        </is>
      </c>
      <c r="E506" s="22" t="inlineStr">
        <is>
          <t>Nexa Australian Capital Territory (S01)</t>
        </is>
      </c>
      <c r="F506" s="22" t="inlineStr">
        <is>
          <t>Úc</t>
        </is>
      </c>
      <c r="G506" s="22" t="inlineStr">
        <is>
          <t>POS</t>
        </is>
      </c>
      <c r="H506" s="31" t="n">
        <v>7083.85</v>
      </c>
      <c r="I506" s="31" t="n">
        <v>310.19</v>
      </c>
      <c r="J506" s="31" t="n">
        <v>6773.66</v>
      </c>
      <c r="K506" s="31" t="n">
        <v>0</v>
      </c>
      <c r="L506" s="32" t="n">
        <v>3</v>
      </c>
      <c r="M506" s="32" t="n">
        <v>30</v>
      </c>
      <c r="N506" s="31" t="n">
        <v>6773.66</v>
      </c>
      <c r="O506" s="31" t="n">
        <v>6773.66</v>
      </c>
      <c r="P506" s="22" t="n">
        <v>0</v>
      </c>
      <c r="Q506" s="22" t="n">
        <v>0</v>
      </c>
      <c r="R506" s="22" t="n">
        <v>0</v>
      </c>
    </row>
    <row r="507">
      <c r="A507" s="22" t="n">
        <v>201612</v>
      </c>
      <c r="B507" s="22" t="inlineStr">
        <is>
          <t>12/2016</t>
        </is>
      </c>
      <c r="C507" s="22" t="n">
        <v>4</v>
      </c>
      <c r="D507" s="22" t="inlineStr">
        <is>
          <t>S04</t>
        </is>
      </c>
      <c r="E507" s="22" t="inlineStr">
        <is>
          <t>Nexa Tasmania (S04)</t>
        </is>
      </c>
      <c r="F507" s="22" t="inlineStr">
        <is>
          <t>Úc</t>
        </is>
      </c>
      <c r="G507" s="22" t="inlineStr">
        <is>
          <t>POS</t>
        </is>
      </c>
      <c r="H507" s="31" t="n">
        <v>2896.74</v>
      </c>
      <c r="I507" s="31" t="n">
        <v>289.67</v>
      </c>
      <c r="J507" s="31" t="n">
        <v>2607.07</v>
      </c>
      <c r="K507" s="31" t="n">
        <v>0</v>
      </c>
      <c r="L507" s="32" t="n">
        <v>3</v>
      </c>
      <c r="M507" s="32" t="n">
        <v>14</v>
      </c>
      <c r="N507" s="31" t="n">
        <v>2607.07</v>
      </c>
      <c r="O507" s="31" t="n">
        <v>2607.07</v>
      </c>
      <c r="P507" s="22" t="n">
        <v>0</v>
      </c>
      <c r="Q507" s="22" t="n">
        <v>0</v>
      </c>
      <c r="R507" s="22" t="n">
        <v>0</v>
      </c>
    </row>
    <row r="508">
      <c r="A508" s="22" t="n">
        <v>201612</v>
      </c>
      <c r="B508" s="22" t="inlineStr">
        <is>
          <t>12/2016</t>
        </is>
      </c>
      <c r="C508" s="22" t="n">
        <v>5</v>
      </c>
      <c r="D508" s="22" t="inlineStr">
        <is>
          <t>S05</t>
        </is>
      </c>
      <c r="E508" s="22" t="inlineStr">
        <is>
          <t>Nexa Victoria (S05)</t>
        </is>
      </c>
      <c r="F508" s="22" t="inlineStr">
        <is>
          <t>Úc</t>
        </is>
      </c>
      <c r="G508" s="22" t="inlineStr">
        <is>
          <t>POS</t>
        </is>
      </c>
      <c r="H508" s="31" t="n">
        <v>11369.58</v>
      </c>
      <c r="I508" s="31" t="n">
        <v>914.99</v>
      </c>
      <c r="J508" s="31" t="n">
        <v>10454.59</v>
      </c>
      <c r="K508" s="31" t="n">
        <v>0</v>
      </c>
      <c r="L508" s="32" t="n">
        <v>5</v>
      </c>
      <c r="M508" s="32" t="n">
        <v>25</v>
      </c>
      <c r="N508" s="31" t="n">
        <v>10454.59</v>
      </c>
      <c r="O508" s="31" t="n">
        <v>10454.59</v>
      </c>
      <c r="P508" s="22" t="n">
        <v>0</v>
      </c>
      <c r="Q508" s="22" t="n">
        <v>0</v>
      </c>
      <c r="R508" s="22" t="n">
        <v>0</v>
      </c>
    </row>
    <row r="509">
      <c r="A509" s="22" t="n">
        <v>201612</v>
      </c>
      <c r="B509" s="22" t="inlineStr">
        <is>
          <t>12/2016</t>
        </is>
      </c>
      <c r="C509" s="22" t="n">
        <v>6</v>
      </c>
      <c r="D509" s="22" t="inlineStr">
        <is>
          <t>S06</t>
        </is>
      </c>
      <c r="E509" s="22" t="inlineStr">
        <is>
          <t>Nexa Western Australia (S06)</t>
        </is>
      </c>
      <c r="F509" s="22" t="inlineStr">
        <is>
          <t>Úc</t>
        </is>
      </c>
      <c r="G509" s="22" t="inlineStr">
        <is>
          <t>POS</t>
        </is>
      </c>
      <c r="H509" s="31" t="n">
        <v>13877.45</v>
      </c>
      <c r="I509" s="31" t="n">
        <v>651.75</v>
      </c>
      <c r="J509" s="31" t="n">
        <v>13225.7</v>
      </c>
      <c r="K509" s="31" t="n">
        <v>1349.73</v>
      </c>
      <c r="L509" s="32" t="n">
        <v>5</v>
      </c>
      <c r="M509" s="32" t="n">
        <v>31</v>
      </c>
      <c r="N509" s="31" t="n">
        <v>11875.97</v>
      </c>
      <c r="O509" s="31" t="n">
        <v>13225.7</v>
      </c>
      <c r="P509" s="22" t="n">
        <v>0</v>
      </c>
      <c r="Q509" s="22" t="n">
        <v>0</v>
      </c>
      <c r="R509" s="22" t="n">
        <v>0</v>
      </c>
    </row>
    <row r="510">
      <c r="A510" s="22" t="n">
        <v>201612</v>
      </c>
      <c r="B510" s="22" t="inlineStr">
        <is>
          <t>12/2016</t>
        </is>
      </c>
      <c r="C510" s="22" t="n">
        <v>8</v>
      </c>
      <c r="D510" s="22" t="inlineStr">
        <is>
          <t>S08</t>
        </is>
      </c>
      <c r="E510" s="22" t="inlineStr">
        <is>
          <t>Nexa Newfoundland and Labrador (S08)</t>
        </is>
      </c>
      <c r="F510" s="22" t="inlineStr">
        <is>
          <t>Canada</t>
        </is>
      </c>
      <c r="G510" s="22" t="inlineStr">
        <is>
          <t>POS</t>
        </is>
      </c>
      <c r="H510" s="31" t="n">
        <v>18301.16</v>
      </c>
      <c r="I510" s="31" t="n">
        <v>211.12</v>
      </c>
      <c r="J510" s="31" t="n">
        <v>18090.04</v>
      </c>
      <c r="K510" s="31" t="n">
        <v>179.99</v>
      </c>
      <c r="L510" s="32" t="n">
        <v>3</v>
      </c>
      <c r="M510" s="32" t="n">
        <v>18</v>
      </c>
      <c r="N510" s="31" t="n">
        <v>17910.05</v>
      </c>
      <c r="O510" s="31" t="n">
        <v>18090.04</v>
      </c>
      <c r="P510" s="22" t="n">
        <v>1</v>
      </c>
      <c r="Q510" s="22" t="n">
        <v>0</v>
      </c>
      <c r="R510" s="22" t="n">
        <v>0</v>
      </c>
    </row>
    <row r="511">
      <c r="A511" s="22" t="n">
        <v>201612</v>
      </c>
      <c r="B511" s="22" t="inlineStr">
        <is>
          <t>12/2016</t>
        </is>
      </c>
      <c r="C511" s="22" t="n">
        <v>9</v>
      </c>
      <c r="D511" s="22" t="inlineStr">
        <is>
          <t>S09</t>
        </is>
      </c>
      <c r="E511" s="22" t="inlineStr">
        <is>
          <t>Nexa Northwest Territories (S09)</t>
        </is>
      </c>
      <c r="F511" s="22" t="inlineStr">
        <is>
          <t>Canada</t>
        </is>
      </c>
      <c r="G511" s="22" t="inlineStr">
        <is>
          <t>POS</t>
        </is>
      </c>
      <c r="H511" s="31" t="n">
        <v>8612.139999999999</v>
      </c>
      <c r="I511" s="31" t="n">
        <v>312.15</v>
      </c>
      <c r="J511" s="31" t="n">
        <v>8299.99</v>
      </c>
      <c r="K511" s="31" t="n">
        <v>0</v>
      </c>
      <c r="L511" s="32" t="n">
        <v>7</v>
      </c>
      <c r="M511" s="32" t="n">
        <v>36</v>
      </c>
      <c r="N511" s="31" t="n">
        <v>8299.99</v>
      </c>
      <c r="O511" s="31" t="n">
        <v>8299.99</v>
      </c>
      <c r="P511" s="22" t="n">
        <v>0</v>
      </c>
      <c r="Q511" s="22" t="n">
        <v>0</v>
      </c>
      <c r="R511" s="22" t="n">
        <v>0</v>
      </c>
    </row>
    <row r="512">
      <c r="A512" s="22" t="n">
        <v>201612</v>
      </c>
      <c r="B512" s="22" t="inlineStr">
        <is>
          <t>12/2016</t>
        </is>
      </c>
      <c r="C512" s="22" t="n">
        <v>10</v>
      </c>
      <c r="D512" s="22" t="inlineStr">
        <is>
          <t>S10</t>
        </is>
      </c>
      <c r="E512" s="22" t="inlineStr">
        <is>
          <t>Nexa Nunavut (S10)</t>
        </is>
      </c>
      <c r="F512" s="22" t="inlineStr">
        <is>
          <t>Canada</t>
        </is>
      </c>
      <c r="G512" s="22" t="inlineStr">
        <is>
          <t>POS</t>
        </is>
      </c>
      <c r="H512" s="31" t="n">
        <v>18942.4</v>
      </c>
      <c r="I512" s="31" t="n">
        <v>1075.6</v>
      </c>
      <c r="J512" s="31" t="n">
        <v>17866.8</v>
      </c>
      <c r="K512" s="31" t="n">
        <v>0</v>
      </c>
      <c r="L512" s="32" t="n">
        <v>8</v>
      </c>
      <c r="M512" s="32" t="n">
        <v>42</v>
      </c>
      <c r="N512" s="31" t="n">
        <v>17866.8</v>
      </c>
      <c r="O512" s="31" t="n">
        <v>17866.8</v>
      </c>
      <c r="P512" s="22" t="n">
        <v>0</v>
      </c>
      <c r="Q512" s="22" t="n">
        <v>0</v>
      </c>
      <c r="R512" s="22" t="n">
        <v>0</v>
      </c>
    </row>
    <row r="513">
      <c r="A513" s="22" t="n">
        <v>201612</v>
      </c>
      <c r="B513" s="22" t="inlineStr">
        <is>
          <t>12/2016</t>
        </is>
      </c>
      <c r="C513" s="22" t="n">
        <v>13</v>
      </c>
      <c r="D513" s="22" t="inlineStr">
        <is>
          <t>S13</t>
        </is>
      </c>
      <c r="E513" s="22" t="inlineStr">
        <is>
          <t>Nexa Corse (S13)</t>
        </is>
      </c>
      <c r="F513" s="22" t="inlineStr">
        <is>
          <t>Pháp</t>
        </is>
      </c>
      <c r="G513" s="22" t="inlineStr">
        <is>
          <t>POS</t>
        </is>
      </c>
      <c r="H513" s="31" t="n">
        <v>1875.67</v>
      </c>
      <c r="I513" s="31" t="n">
        <v>0</v>
      </c>
      <c r="J513" s="31" t="n">
        <v>1875.67</v>
      </c>
      <c r="K513" s="31" t="n">
        <v>0</v>
      </c>
      <c r="L513" s="32" t="n">
        <v>1</v>
      </c>
      <c r="M513" s="32" t="n">
        <v>11</v>
      </c>
      <c r="N513" s="31" t="n">
        <v>1875.67</v>
      </c>
      <c r="O513" s="31" t="n">
        <v>1875.67</v>
      </c>
      <c r="P513" s="22" t="n">
        <v>0</v>
      </c>
      <c r="Q513" s="22" t="n">
        <v>0</v>
      </c>
      <c r="R513" s="22" t="n">
        <v>0</v>
      </c>
    </row>
    <row r="514">
      <c r="A514" s="22" t="n">
        <v>201612</v>
      </c>
      <c r="B514" s="22" t="inlineStr">
        <is>
          <t>12/2016</t>
        </is>
      </c>
      <c r="C514" s="22" t="n">
        <v>14</v>
      </c>
      <c r="D514" s="22" t="inlineStr">
        <is>
          <t>S14</t>
        </is>
      </c>
      <c r="E514" s="22" t="inlineStr">
        <is>
          <t>Nexa Franche-Comté (S14)</t>
        </is>
      </c>
      <c r="F514" s="22" t="inlineStr">
        <is>
          <t>Pháp</t>
        </is>
      </c>
      <c r="G514" s="22" t="inlineStr">
        <is>
          <t>POS</t>
        </is>
      </c>
      <c r="H514" s="31" t="n">
        <v>4146.96</v>
      </c>
      <c r="I514" s="31" t="n">
        <v>0</v>
      </c>
      <c r="J514" s="31" t="n">
        <v>4146.96</v>
      </c>
      <c r="K514" s="31" t="n">
        <v>0</v>
      </c>
      <c r="L514" s="32" t="n">
        <v>1</v>
      </c>
      <c r="M514" s="32" t="n">
        <v>15</v>
      </c>
      <c r="N514" s="31" t="n">
        <v>4146.96</v>
      </c>
      <c r="O514" s="31" t="n">
        <v>4146.96</v>
      </c>
      <c r="P514" s="22" t="n">
        <v>0</v>
      </c>
      <c r="Q514" s="22" t="n">
        <v>0</v>
      </c>
      <c r="R514" s="22" t="n">
        <v>0</v>
      </c>
    </row>
    <row r="515">
      <c r="A515" s="22" t="n">
        <v>201612</v>
      </c>
      <c r="B515" s="22" t="inlineStr">
        <is>
          <t>12/2016</t>
        </is>
      </c>
      <c r="C515" s="22" t="n">
        <v>15</v>
      </c>
      <c r="D515" s="22" t="inlineStr">
        <is>
          <t>S15</t>
        </is>
      </c>
      <c r="E515" s="22" t="inlineStr">
        <is>
          <t>Nexa La Réunion (S15)</t>
        </is>
      </c>
      <c r="F515" s="22" t="inlineStr">
        <is>
          <t>Pháp</t>
        </is>
      </c>
      <c r="G515" s="22" t="inlineStr">
        <is>
          <t>POS</t>
        </is>
      </c>
      <c r="H515" s="31" t="n">
        <v>511.53</v>
      </c>
      <c r="I515" s="31" t="n">
        <v>0</v>
      </c>
      <c r="J515" s="31" t="n">
        <v>511.53</v>
      </c>
      <c r="K515" s="31" t="n">
        <v>0</v>
      </c>
      <c r="L515" s="32" t="n">
        <v>2</v>
      </c>
      <c r="M515" s="32" t="n">
        <v>7</v>
      </c>
      <c r="N515" s="31" t="n">
        <v>511.53</v>
      </c>
      <c r="O515" s="31" t="n">
        <v>511.53</v>
      </c>
      <c r="P515" s="22" t="n">
        <v>0</v>
      </c>
      <c r="Q515" s="22" t="n">
        <v>0</v>
      </c>
      <c r="R515" s="22" t="n">
        <v>0</v>
      </c>
    </row>
    <row r="516">
      <c r="A516" s="22" t="n">
        <v>201612</v>
      </c>
      <c r="B516" s="22" t="inlineStr">
        <is>
          <t>12/2016</t>
        </is>
      </c>
      <c r="C516" s="22" t="n">
        <v>18</v>
      </c>
      <c r="D516" s="22" t="inlineStr">
        <is>
          <t>S18</t>
        </is>
      </c>
      <c r="E516" s="22" t="inlineStr">
        <is>
          <t>Nexa Mayotte (S18)</t>
        </is>
      </c>
      <c r="F516" s="22" t="inlineStr">
        <is>
          <t>Pháp</t>
        </is>
      </c>
      <c r="G516" s="22" t="inlineStr">
        <is>
          <t>POS</t>
        </is>
      </c>
      <c r="H516" s="31" t="n">
        <v>4583.93</v>
      </c>
      <c r="I516" s="31" t="n">
        <v>0</v>
      </c>
      <c r="J516" s="31" t="n">
        <v>4583.93</v>
      </c>
      <c r="K516" s="31" t="n">
        <v>0</v>
      </c>
      <c r="L516" s="32" t="n">
        <v>1</v>
      </c>
      <c r="M516" s="32" t="n">
        <v>11</v>
      </c>
      <c r="N516" s="31" t="n">
        <v>4583.93</v>
      </c>
      <c r="O516" s="31" t="n">
        <v>4583.93</v>
      </c>
      <c r="P516" s="22" t="n">
        <v>0</v>
      </c>
      <c r="Q516" s="22" t="n">
        <v>0</v>
      </c>
      <c r="R516" s="22" t="n">
        <v>0</v>
      </c>
    </row>
    <row r="517">
      <c r="A517" s="22" t="n">
        <v>201612</v>
      </c>
      <c r="B517" s="22" t="inlineStr">
        <is>
          <t>12/2016</t>
        </is>
      </c>
      <c r="C517" s="22" t="n">
        <v>19</v>
      </c>
      <c r="D517" s="22" t="inlineStr">
        <is>
          <t>S19</t>
        </is>
      </c>
      <c r="E517" s="22" t="inlineStr">
        <is>
          <t>Nexa Berlin (S19)</t>
        </is>
      </c>
      <c r="F517" s="22" t="inlineStr">
        <is>
          <t>Đức</t>
        </is>
      </c>
      <c r="G517" s="22" t="inlineStr">
        <is>
          <t>POS</t>
        </is>
      </c>
      <c r="H517" s="31" t="n">
        <v>20911.53</v>
      </c>
      <c r="I517" s="31" t="n">
        <v>477.48</v>
      </c>
      <c r="J517" s="31" t="n">
        <v>20434.05</v>
      </c>
      <c r="K517" s="31" t="n">
        <v>1845</v>
      </c>
      <c r="L517" s="32" t="n">
        <v>6</v>
      </c>
      <c r="M517" s="32" t="n">
        <v>68</v>
      </c>
      <c r="N517" s="31" t="n">
        <v>18589.05</v>
      </c>
      <c r="O517" s="31" t="n">
        <v>20434.05</v>
      </c>
      <c r="P517" s="22" t="n">
        <v>0</v>
      </c>
      <c r="Q517" s="22" t="n">
        <v>0</v>
      </c>
      <c r="R517" s="22" t="n">
        <v>0</v>
      </c>
    </row>
    <row r="518">
      <c r="A518" s="22" t="n">
        <v>201612</v>
      </c>
      <c r="B518" s="22" t="inlineStr">
        <is>
          <t>12/2016</t>
        </is>
      </c>
      <c r="C518" s="22" t="n">
        <v>20</v>
      </c>
      <c r="D518" s="22" t="inlineStr">
        <is>
          <t>S20</t>
        </is>
      </c>
      <c r="E518" s="22" t="inlineStr">
        <is>
          <t>Nexa Brandenburg (S20)</t>
        </is>
      </c>
      <c r="F518" s="22" t="inlineStr">
        <is>
          <t>Đức</t>
        </is>
      </c>
      <c r="G518" s="22" t="inlineStr">
        <is>
          <t>POS</t>
        </is>
      </c>
      <c r="H518" s="31" t="n">
        <v>11838.39</v>
      </c>
      <c r="I518" s="31" t="n">
        <v>718.7</v>
      </c>
      <c r="J518" s="31" t="n">
        <v>11119.69</v>
      </c>
      <c r="K518" s="31" t="n">
        <v>0</v>
      </c>
      <c r="L518" s="32" t="n">
        <v>5</v>
      </c>
      <c r="M518" s="32" t="n">
        <v>42</v>
      </c>
      <c r="N518" s="31" t="n">
        <v>11119.69</v>
      </c>
      <c r="O518" s="31" t="n">
        <v>11119.69</v>
      </c>
      <c r="P518" s="22" t="n">
        <v>0</v>
      </c>
      <c r="Q518" s="22" t="n">
        <v>0</v>
      </c>
      <c r="R518" s="22" t="n">
        <v>0</v>
      </c>
    </row>
    <row r="519">
      <c r="A519" s="22" t="n">
        <v>201612</v>
      </c>
      <c r="B519" s="22" t="inlineStr">
        <is>
          <t>12/2016</t>
        </is>
      </c>
      <c r="C519" s="22" t="n">
        <v>22</v>
      </c>
      <c r="D519" s="22" t="inlineStr">
        <is>
          <t>S22</t>
        </is>
      </c>
      <c r="E519" s="22" t="inlineStr">
        <is>
          <t>Nexa Freistaat Thüringen (S22)</t>
        </is>
      </c>
      <c r="F519" s="22" t="inlineStr">
        <is>
          <t>Đức</t>
        </is>
      </c>
      <c r="G519" s="22" t="inlineStr">
        <is>
          <t>POS</t>
        </is>
      </c>
      <c r="H519" s="31" t="n">
        <v>12383.94</v>
      </c>
      <c r="I519" s="31" t="n">
        <v>892.77</v>
      </c>
      <c r="J519" s="31" t="n">
        <v>11491.17</v>
      </c>
      <c r="K519" s="31" t="n">
        <v>0</v>
      </c>
      <c r="L519" s="32" t="n">
        <v>5</v>
      </c>
      <c r="M519" s="32" t="n">
        <v>36</v>
      </c>
      <c r="N519" s="31" t="n">
        <v>11491.17</v>
      </c>
      <c r="O519" s="31" t="n">
        <v>11491.17</v>
      </c>
      <c r="P519" s="22" t="n">
        <v>0</v>
      </c>
      <c r="Q519" s="22" t="n">
        <v>0</v>
      </c>
      <c r="R519" s="22" t="n">
        <v>0</v>
      </c>
    </row>
    <row r="520">
      <c r="A520" s="22" t="n">
        <v>201612</v>
      </c>
      <c r="B520" s="22" t="inlineStr">
        <is>
          <t>12/2016</t>
        </is>
      </c>
      <c r="C520" s="22" t="n">
        <v>23</v>
      </c>
      <c r="D520" s="22" t="inlineStr">
        <is>
          <t>S23</t>
        </is>
      </c>
      <c r="E520" s="22" t="inlineStr">
        <is>
          <t>Nexa Hamburg (S23)</t>
        </is>
      </c>
      <c r="F520" s="22" t="inlineStr">
        <is>
          <t>Đức</t>
        </is>
      </c>
      <c r="G520" s="22" t="inlineStr">
        <is>
          <t>POS</t>
        </is>
      </c>
      <c r="H520" s="31" t="n">
        <v>22000.93</v>
      </c>
      <c r="I520" s="31" t="n">
        <v>1578.88</v>
      </c>
      <c r="J520" s="31" t="n">
        <v>20422.05</v>
      </c>
      <c r="K520" s="31" t="n">
        <v>0</v>
      </c>
      <c r="L520" s="32" t="n">
        <v>8</v>
      </c>
      <c r="M520" s="32" t="n">
        <v>79</v>
      </c>
      <c r="N520" s="31" t="n">
        <v>20422.05</v>
      </c>
      <c r="O520" s="31" t="n">
        <v>20422.05</v>
      </c>
      <c r="P520" s="22" t="n">
        <v>0</v>
      </c>
      <c r="Q520" s="22" t="n">
        <v>0</v>
      </c>
      <c r="R520" s="22" t="n">
        <v>0</v>
      </c>
    </row>
    <row r="521">
      <c r="A521" s="22" t="n">
        <v>201612</v>
      </c>
      <c r="B521" s="22" t="inlineStr">
        <is>
          <t>12/2016</t>
        </is>
      </c>
      <c r="C521" s="22" t="n">
        <v>24</v>
      </c>
      <c r="D521" s="22" t="inlineStr">
        <is>
          <t>S24</t>
        </is>
      </c>
      <c r="E521" s="22" t="inlineStr">
        <is>
          <t>Nexa Hessen (S24)</t>
        </is>
      </c>
      <c r="F521" s="22" t="inlineStr">
        <is>
          <t>Đức</t>
        </is>
      </c>
      <c r="G521" s="22" t="inlineStr">
        <is>
          <t>POS</t>
        </is>
      </c>
      <c r="H521" s="31" t="n">
        <v>10316.4</v>
      </c>
      <c r="I521" s="31" t="n">
        <v>266.19</v>
      </c>
      <c r="J521" s="31" t="n">
        <v>10050.21</v>
      </c>
      <c r="K521" s="31" t="n">
        <v>0</v>
      </c>
      <c r="L521" s="32" t="n">
        <v>5</v>
      </c>
      <c r="M521" s="32" t="n">
        <v>47</v>
      </c>
      <c r="N521" s="31" t="n">
        <v>10050.21</v>
      </c>
      <c r="O521" s="31" t="n">
        <v>10050.21</v>
      </c>
      <c r="P521" s="22" t="n">
        <v>0</v>
      </c>
      <c r="Q521" s="22" t="n">
        <v>0</v>
      </c>
      <c r="R521" s="22" t="n">
        <v>0</v>
      </c>
    </row>
    <row r="522">
      <c r="A522" s="22" t="n">
        <v>201612</v>
      </c>
      <c r="B522" s="22" t="inlineStr">
        <is>
          <t>12/2016</t>
        </is>
      </c>
      <c r="C522" s="22" t="n">
        <v>27</v>
      </c>
      <c r="D522" s="22" t="inlineStr">
        <is>
          <t>S27</t>
        </is>
      </c>
      <c r="E522" s="22" t="inlineStr">
        <is>
          <t>Nexa Sachsen-Anhalt (S27)</t>
        </is>
      </c>
      <c r="F522" s="22" t="inlineStr">
        <is>
          <t>Đức</t>
        </is>
      </c>
      <c r="G522" s="22" t="inlineStr">
        <is>
          <t>POS</t>
        </is>
      </c>
      <c r="H522" s="31" t="n">
        <v>13750.12</v>
      </c>
      <c r="I522" s="31" t="n">
        <v>280.38</v>
      </c>
      <c r="J522" s="31" t="n">
        <v>13469.74</v>
      </c>
      <c r="K522" s="31" t="n">
        <v>0</v>
      </c>
      <c r="L522" s="32" t="n">
        <v>7</v>
      </c>
      <c r="M522" s="32" t="n">
        <v>75</v>
      </c>
      <c r="N522" s="31" t="n">
        <v>13469.74</v>
      </c>
      <c r="O522" s="31" t="n">
        <v>13469.74</v>
      </c>
      <c r="P522" s="22" t="n">
        <v>0</v>
      </c>
      <c r="Q522" s="22" t="n">
        <v>0</v>
      </c>
      <c r="R522" s="22" t="n">
        <v>0</v>
      </c>
    </row>
    <row r="523">
      <c r="A523" s="22" t="n">
        <v>201612</v>
      </c>
      <c r="B523" s="22" t="inlineStr">
        <is>
          <t>12/2016</t>
        </is>
      </c>
      <c r="C523" s="22" t="n">
        <v>28</v>
      </c>
      <c r="D523" s="22" t="inlineStr">
        <is>
          <t>S28</t>
        </is>
      </c>
      <c r="E523" s="22" t="inlineStr">
        <is>
          <t>Nexa Caltanissetta (S28)</t>
        </is>
      </c>
      <c r="F523" s="22" t="inlineStr">
        <is>
          <t>Ý</t>
        </is>
      </c>
      <c r="G523" s="22" t="inlineStr">
        <is>
          <t>POS</t>
        </is>
      </c>
      <c r="H523" s="31" t="n">
        <v>12499.54</v>
      </c>
      <c r="I523" s="31" t="n">
        <v>221.29</v>
      </c>
      <c r="J523" s="31" t="n">
        <v>12278.25</v>
      </c>
      <c r="K523" s="31" t="n">
        <v>0</v>
      </c>
      <c r="L523" s="32" t="n">
        <v>7</v>
      </c>
      <c r="M523" s="32" t="n">
        <v>53</v>
      </c>
      <c r="N523" s="31" t="n">
        <v>12278.25</v>
      </c>
      <c r="O523" s="31" t="n">
        <v>12278.25</v>
      </c>
      <c r="P523" s="22" t="n">
        <v>0</v>
      </c>
      <c r="Q523" s="22" t="n">
        <v>0</v>
      </c>
      <c r="R523" s="22" t="n">
        <v>0</v>
      </c>
    </row>
    <row r="524">
      <c r="A524" s="22" t="n">
        <v>201612</v>
      </c>
      <c r="B524" s="22" t="inlineStr">
        <is>
          <t>12/2016</t>
        </is>
      </c>
      <c r="C524" s="22" t="n">
        <v>29</v>
      </c>
      <c r="D524" s="22" t="inlineStr">
        <is>
          <t>S29</t>
        </is>
      </c>
      <c r="E524" s="22" t="inlineStr">
        <is>
          <t>Nexa Enna (S29)</t>
        </is>
      </c>
      <c r="F524" s="22" t="inlineStr">
        <is>
          <t>Ý</t>
        </is>
      </c>
      <c r="G524" s="22" t="inlineStr">
        <is>
          <t>POS</t>
        </is>
      </c>
      <c r="H524" s="31" t="n">
        <v>12430.43</v>
      </c>
      <c r="I524" s="31" t="n">
        <v>223.5</v>
      </c>
      <c r="J524" s="31" t="n">
        <v>12206.93</v>
      </c>
      <c r="K524" s="31" t="n">
        <v>0</v>
      </c>
      <c r="L524" s="32" t="n">
        <v>9</v>
      </c>
      <c r="M524" s="32" t="n">
        <v>63</v>
      </c>
      <c r="N524" s="31" t="n">
        <v>12206.93</v>
      </c>
      <c r="O524" s="31" t="n">
        <v>12206.93</v>
      </c>
      <c r="P524" s="22" t="n">
        <v>0</v>
      </c>
      <c r="Q524" s="22" t="n">
        <v>0</v>
      </c>
      <c r="R524" s="22" t="n">
        <v>0</v>
      </c>
    </row>
    <row r="525">
      <c r="A525" s="22" t="n">
        <v>201612</v>
      </c>
      <c r="B525" s="22" t="inlineStr">
        <is>
          <t>12/2016</t>
        </is>
      </c>
      <c r="C525" s="22" t="n">
        <v>30</v>
      </c>
      <c r="D525" s="22" t="inlineStr">
        <is>
          <t>S30</t>
        </is>
      </c>
      <c r="E525" s="22" t="inlineStr">
        <is>
          <t>Nexa Pesaro (S30)</t>
        </is>
      </c>
      <c r="F525" s="22" t="inlineStr">
        <is>
          <t>Ý</t>
        </is>
      </c>
      <c r="G525" s="22" t="inlineStr">
        <is>
          <t>POS</t>
        </is>
      </c>
      <c r="H525" s="31" t="n">
        <v>3830.75</v>
      </c>
      <c r="I525" s="31" t="n">
        <v>0</v>
      </c>
      <c r="J525" s="31" t="n">
        <v>3830.75</v>
      </c>
      <c r="K525" s="31" t="n">
        <v>27.56</v>
      </c>
      <c r="L525" s="32" t="n">
        <v>2</v>
      </c>
      <c r="M525" s="32" t="n">
        <v>15</v>
      </c>
      <c r="N525" s="31" t="n">
        <v>3803.19</v>
      </c>
      <c r="O525" s="31" t="n">
        <v>3830.75</v>
      </c>
      <c r="P525" s="22" t="n">
        <v>0</v>
      </c>
      <c r="Q525" s="22" t="n">
        <v>0</v>
      </c>
      <c r="R525" s="22" t="n">
        <v>0</v>
      </c>
    </row>
    <row r="526">
      <c r="A526" s="22" t="n">
        <v>201612</v>
      </c>
      <c r="B526" s="22" t="inlineStr">
        <is>
          <t>12/2016</t>
        </is>
      </c>
      <c r="C526" s="22" t="n">
        <v>31</v>
      </c>
      <c r="D526" s="22" t="inlineStr">
        <is>
          <t>S31</t>
        </is>
      </c>
      <c r="E526" s="22" t="inlineStr">
        <is>
          <t>Nexa Drenthe (S31)</t>
        </is>
      </c>
      <c r="F526" s="22" t="inlineStr">
        <is>
          <t>Hà Lan</t>
        </is>
      </c>
      <c r="G526" s="22" t="inlineStr">
        <is>
          <t>POS</t>
        </is>
      </c>
      <c r="H526" s="31" t="n">
        <v>1873.28</v>
      </c>
      <c r="I526" s="31" t="n">
        <v>20</v>
      </c>
      <c r="J526" s="31" t="n">
        <v>1853.28</v>
      </c>
      <c r="K526" s="31" t="n">
        <v>0</v>
      </c>
      <c r="L526" s="32" t="n">
        <v>2</v>
      </c>
      <c r="M526" s="32" t="n">
        <v>11</v>
      </c>
      <c r="N526" s="31" t="n">
        <v>1853.28</v>
      </c>
      <c r="O526" s="31" t="n">
        <v>1853.28</v>
      </c>
      <c r="P526" s="22" t="n">
        <v>0</v>
      </c>
      <c r="Q526" s="22" t="n">
        <v>0</v>
      </c>
      <c r="R526" s="22" t="n">
        <v>0</v>
      </c>
    </row>
    <row r="527">
      <c r="A527" s="22" t="n">
        <v>201612</v>
      </c>
      <c r="B527" s="22" t="inlineStr">
        <is>
          <t>12/2016</t>
        </is>
      </c>
      <c r="C527" s="22" t="n">
        <v>32</v>
      </c>
      <c r="D527" s="22" t="inlineStr">
        <is>
          <t>S32</t>
        </is>
      </c>
      <c r="E527" s="22" t="inlineStr">
        <is>
          <t>Nexa Flevoland (S32)</t>
        </is>
      </c>
      <c r="F527" s="22" t="inlineStr">
        <is>
          <t>Hà Lan</t>
        </is>
      </c>
      <c r="G527" s="22" t="inlineStr">
        <is>
          <t>POS</t>
        </is>
      </c>
      <c r="H527" s="31" t="n">
        <v>32988.78</v>
      </c>
      <c r="I527" s="31" t="n">
        <v>1969.18</v>
      </c>
      <c r="J527" s="31" t="n">
        <v>31019.6</v>
      </c>
      <c r="K527" s="31" t="n">
        <v>289</v>
      </c>
      <c r="L527" s="32" t="n">
        <v>7</v>
      </c>
      <c r="M527" s="32" t="n">
        <v>78</v>
      </c>
      <c r="N527" s="31" t="n">
        <v>30730.6</v>
      </c>
      <c r="O527" s="31" t="n">
        <v>31019.6</v>
      </c>
      <c r="P527" s="22" t="n">
        <v>0</v>
      </c>
      <c r="Q527" s="22" t="n">
        <v>0</v>
      </c>
      <c r="R527" s="22" t="n">
        <v>0</v>
      </c>
    </row>
    <row r="528">
      <c r="A528" s="22" t="n">
        <v>201612</v>
      </c>
      <c r="B528" s="22" t="inlineStr">
        <is>
          <t>12/2016</t>
        </is>
      </c>
      <c r="C528" s="22" t="n">
        <v>33</v>
      </c>
      <c r="D528" s="22" t="inlineStr">
        <is>
          <t>S33</t>
        </is>
      </c>
      <c r="E528" s="22" t="inlineStr">
        <is>
          <t>Nexa Friesland (S33)</t>
        </is>
      </c>
      <c r="F528" s="22" t="inlineStr">
        <is>
          <t>Hà Lan</t>
        </is>
      </c>
      <c r="G528" s="22" t="inlineStr">
        <is>
          <t>POS</t>
        </is>
      </c>
      <c r="H528" s="31" t="n">
        <v>13295.66</v>
      </c>
      <c r="I528" s="31" t="n">
        <v>779.4</v>
      </c>
      <c r="J528" s="31" t="n">
        <v>12516.26</v>
      </c>
      <c r="K528" s="31" t="n">
        <v>56.99</v>
      </c>
      <c r="L528" s="32" t="n">
        <v>3</v>
      </c>
      <c r="M528" s="32" t="n">
        <v>17</v>
      </c>
      <c r="N528" s="31" t="n">
        <v>12459.27</v>
      </c>
      <c r="O528" s="31" t="n">
        <v>12516.26</v>
      </c>
      <c r="P528" s="22" t="n">
        <v>0</v>
      </c>
      <c r="Q528" s="22" t="n">
        <v>0</v>
      </c>
      <c r="R528" s="22" t="n">
        <v>0</v>
      </c>
    </row>
    <row r="529">
      <c r="A529" s="22" t="n">
        <v>201612</v>
      </c>
      <c r="B529" s="22" t="inlineStr">
        <is>
          <t>12/2016</t>
        </is>
      </c>
      <c r="C529" s="22" t="n">
        <v>36</v>
      </c>
      <c r="D529" s="22" t="inlineStr">
        <is>
          <t>S36</t>
        </is>
      </c>
      <c r="E529" s="22" t="inlineStr">
        <is>
          <t>Nexa Armagh (S36)</t>
        </is>
      </c>
      <c r="F529" s="22" t="inlineStr">
        <is>
          <t>Anh</t>
        </is>
      </c>
      <c r="G529" s="22" t="inlineStr">
        <is>
          <t>POS</t>
        </is>
      </c>
      <c r="H529" s="31" t="n">
        <v>13543.58</v>
      </c>
      <c r="I529" s="31" t="n">
        <v>657.91</v>
      </c>
      <c r="J529" s="31" t="n">
        <v>12885.67</v>
      </c>
      <c r="K529" s="31" t="n">
        <v>171.96</v>
      </c>
      <c r="L529" s="32" t="n">
        <v>7</v>
      </c>
      <c r="M529" s="32" t="n">
        <v>64</v>
      </c>
      <c r="N529" s="31" t="n">
        <v>12733.69</v>
      </c>
      <c r="O529" s="31" t="n">
        <v>12885.67</v>
      </c>
      <c r="P529" s="22" t="n">
        <v>0</v>
      </c>
      <c r="Q529" s="22" t="n">
        <v>0</v>
      </c>
      <c r="R529" s="22" t="n">
        <v>0</v>
      </c>
    </row>
    <row r="530">
      <c r="A530" s="22" t="n">
        <v>201612</v>
      </c>
      <c r="B530" s="22" t="inlineStr">
        <is>
          <t>12/2016</t>
        </is>
      </c>
      <c r="C530" s="22" t="n">
        <v>37</v>
      </c>
      <c r="D530" s="22" t="inlineStr">
        <is>
          <t>S37</t>
        </is>
      </c>
      <c r="E530" s="22" t="inlineStr">
        <is>
          <t>Nexa Ayrshire (S37)</t>
        </is>
      </c>
      <c r="F530" s="22" t="inlineStr">
        <is>
          <t>Anh</t>
        </is>
      </c>
      <c r="G530" s="22" t="inlineStr">
        <is>
          <t>POS</t>
        </is>
      </c>
      <c r="H530" s="31" t="n">
        <v>16835.45</v>
      </c>
      <c r="I530" s="31" t="n">
        <v>557.39</v>
      </c>
      <c r="J530" s="31" t="n">
        <v>16278.06</v>
      </c>
      <c r="K530" s="31" t="n">
        <v>0</v>
      </c>
      <c r="L530" s="32" t="n">
        <v>7</v>
      </c>
      <c r="M530" s="32" t="n">
        <v>61</v>
      </c>
      <c r="N530" s="31" t="n">
        <v>16278.06</v>
      </c>
      <c r="O530" s="31" t="n">
        <v>16278.06</v>
      </c>
      <c r="P530" s="22" t="n">
        <v>1</v>
      </c>
      <c r="Q530" s="22" t="n">
        <v>0</v>
      </c>
      <c r="R530" s="22" t="n">
        <v>1</v>
      </c>
    </row>
    <row r="531">
      <c r="A531" s="22" t="n">
        <v>201612</v>
      </c>
      <c r="B531" s="22" t="inlineStr">
        <is>
          <t>12/2016</t>
        </is>
      </c>
      <c r="C531" s="22" t="n">
        <v>38</v>
      </c>
      <c r="D531" s="22" t="inlineStr">
        <is>
          <t>S38</t>
        </is>
      </c>
      <c r="E531" s="22" t="inlineStr">
        <is>
          <t>Nexa Belfast (S38)</t>
        </is>
      </c>
      <c r="F531" s="22" t="inlineStr">
        <is>
          <t>Anh</t>
        </is>
      </c>
      <c r="G531" s="22" t="inlineStr">
        <is>
          <t>POS</t>
        </is>
      </c>
      <c r="H531" s="31" t="n">
        <v>26750.11</v>
      </c>
      <c r="I531" s="31" t="n">
        <v>21.38</v>
      </c>
      <c r="J531" s="31" t="n">
        <v>26728.73</v>
      </c>
      <c r="K531" s="31" t="n">
        <v>698</v>
      </c>
      <c r="L531" s="32" t="n">
        <v>10</v>
      </c>
      <c r="M531" s="32" t="n">
        <v>110</v>
      </c>
      <c r="N531" s="31" t="n">
        <v>26030.73</v>
      </c>
      <c r="O531" s="31" t="n">
        <v>26728.73</v>
      </c>
      <c r="P531" s="22" t="n">
        <v>0</v>
      </c>
      <c r="Q531" s="22" t="n">
        <v>0</v>
      </c>
      <c r="R531" s="22" t="n">
        <v>0</v>
      </c>
    </row>
    <row r="532">
      <c r="A532" s="22" t="n">
        <v>201612</v>
      </c>
      <c r="B532" s="22" t="inlineStr">
        <is>
          <t>12/2016</t>
        </is>
      </c>
      <c r="C532" s="22" t="n">
        <v>39</v>
      </c>
      <c r="D532" s="22" t="inlineStr">
        <is>
          <t>S39</t>
        </is>
      </c>
      <c r="E532" s="22" t="inlineStr">
        <is>
          <t>Nexa Blaenau Gwent (S39)</t>
        </is>
      </c>
      <c r="F532" s="22" t="inlineStr">
        <is>
          <t>Anh</t>
        </is>
      </c>
      <c r="G532" s="22" t="inlineStr">
        <is>
          <t>POS</t>
        </is>
      </c>
      <c r="H532" s="31" t="n">
        <v>7063.36</v>
      </c>
      <c r="I532" s="31" t="n">
        <v>19.8</v>
      </c>
      <c r="J532" s="31" t="n">
        <v>7043.56</v>
      </c>
      <c r="K532" s="31" t="n">
        <v>34.47</v>
      </c>
      <c r="L532" s="32" t="n">
        <v>6</v>
      </c>
      <c r="M532" s="32" t="n">
        <v>44</v>
      </c>
      <c r="N532" s="31" t="n">
        <v>7009.09</v>
      </c>
      <c r="O532" s="31" t="n">
        <v>7043.56</v>
      </c>
      <c r="P532" s="22" t="n">
        <v>0</v>
      </c>
      <c r="Q532" s="22" t="n">
        <v>0</v>
      </c>
      <c r="R532" s="22" t="n">
        <v>0</v>
      </c>
    </row>
    <row r="533">
      <c r="A533" s="22" t="n">
        <v>201612</v>
      </c>
      <c r="B533" s="22" t="inlineStr">
        <is>
          <t>12/2016</t>
        </is>
      </c>
      <c r="C533" s="22" t="n">
        <v>40</v>
      </c>
      <c r="D533" s="22" t="inlineStr">
        <is>
          <t>S40</t>
        </is>
      </c>
      <c r="E533" s="22" t="inlineStr">
        <is>
          <t>Nexa Dungannon and South Tyrone (S40)</t>
        </is>
      </c>
      <c r="F533" s="22" t="inlineStr">
        <is>
          <t>Anh</t>
        </is>
      </c>
      <c r="G533" s="22" t="inlineStr">
        <is>
          <t>POS</t>
        </is>
      </c>
      <c r="H533" s="31" t="n">
        <v>42123.13</v>
      </c>
      <c r="I533" s="31" t="n">
        <v>1215.41</v>
      </c>
      <c r="J533" s="31" t="n">
        <v>40907.72</v>
      </c>
      <c r="K533" s="31" t="n">
        <v>4234.2</v>
      </c>
      <c r="L533" s="32" t="n">
        <v>14</v>
      </c>
      <c r="M533" s="32" t="n">
        <v>122</v>
      </c>
      <c r="N533" s="31" t="n">
        <v>36673.52</v>
      </c>
      <c r="O533" s="31" t="n">
        <v>40907.72</v>
      </c>
      <c r="P533" s="22" t="n">
        <v>0</v>
      </c>
      <c r="Q533" s="22" t="n">
        <v>0</v>
      </c>
      <c r="R533" s="22" t="n">
        <v>0</v>
      </c>
    </row>
    <row r="534">
      <c r="A534" s="22" t="n">
        <v>201612</v>
      </c>
      <c r="B534" s="22" t="inlineStr">
        <is>
          <t>12/2016</t>
        </is>
      </c>
      <c r="C534" s="22" t="n">
        <v>41</v>
      </c>
      <c r="D534" s="22" t="inlineStr">
        <is>
          <t>S41</t>
        </is>
      </c>
      <c r="E534" s="22" t="inlineStr">
        <is>
          <t>Nexa Fermanagh (S41)</t>
        </is>
      </c>
      <c r="F534" s="22" t="inlineStr">
        <is>
          <t>Anh</t>
        </is>
      </c>
      <c r="G534" s="22" t="inlineStr">
        <is>
          <t>POS</t>
        </is>
      </c>
      <c r="H534" s="31" t="n">
        <v>13436.03</v>
      </c>
      <c r="I534" s="31" t="n">
        <v>731.5</v>
      </c>
      <c r="J534" s="31" t="n">
        <v>12704.53</v>
      </c>
      <c r="K534" s="31" t="n">
        <v>2126.3</v>
      </c>
      <c r="L534" s="32" t="n">
        <v>7</v>
      </c>
      <c r="M534" s="32" t="n">
        <v>50</v>
      </c>
      <c r="N534" s="31" t="n">
        <v>10578.23</v>
      </c>
      <c r="O534" s="31" t="n">
        <v>12704.53</v>
      </c>
      <c r="P534" s="22" t="n">
        <v>0</v>
      </c>
      <c r="Q534" s="22" t="n">
        <v>0</v>
      </c>
      <c r="R534" s="22" t="n">
        <v>0</v>
      </c>
    </row>
    <row r="535">
      <c r="A535" s="22" t="n">
        <v>201612</v>
      </c>
      <c r="B535" s="22" t="inlineStr">
        <is>
          <t>12/2016</t>
        </is>
      </c>
      <c r="C535" s="22" t="n">
        <v>42</v>
      </c>
      <c r="D535" s="22" t="inlineStr">
        <is>
          <t>S42</t>
        </is>
      </c>
      <c r="E535" s="22" t="inlineStr">
        <is>
          <t>Nexa North Down (S42)</t>
        </is>
      </c>
      <c r="F535" s="22" t="inlineStr">
        <is>
          <t>Anh</t>
        </is>
      </c>
      <c r="G535" s="22" t="inlineStr">
        <is>
          <t>POS</t>
        </is>
      </c>
      <c r="H535" s="31" t="n">
        <v>13858.17</v>
      </c>
      <c r="I535" s="31" t="n">
        <v>117.2</v>
      </c>
      <c r="J535" s="31" t="n">
        <v>13740.97</v>
      </c>
      <c r="K535" s="31" t="n">
        <v>0</v>
      </c>
      <c r="L535" s="32" t="n">
        <v>10</v>
      </c>
      <c r="M535" s="32" t="n">
        <v>62</v>
      </c>
      <c r="N535" s="31" t="n">
        <v>13740.97</v>
      </c>
      <c r="O535" s="31" t="n">
        <v>13740.97</v>
      </c>
      <c r="P535" s="22" t="n">
        <v>0</v>
      </c>
      <c r="Q535" s="22" t="n">
        <v>0</v>
      </c>
      <c r="R535" s="22" t="n">
        <v>0</v>
      </c>
    </row>
    <row r="536">
      <c r="A536" s="22" t="n">
        <v>201612</v>
      </c>
      <c r="B536" s="22" t="inlineStr">
        <is>
          <t>12/2016</t>
        </is>
      </c>
      <c r="C536" s="22" t="n">
        <v>43</v>
      </c>
      <c r="D536" s="22" t="inlineStr">
        <is>
          <t>S43</t>
        </is>
      </c>
      <c r="E536" s="22" t="inlineStr">
        <is>
          <t>Nexa Alaska (S43)</t>
        </is>
      </c>
      <c r="F536" s="22" t="inlineStr">
        <is>
          <t>Mỹ</t>
        </is>
      </c>
      <c r="G536" s="22" t="inlineStr">
        <is>
          <t>POS</t>
        </is>
      </c>
      <c r="H536" s="31" t="n">
        <v>15945.9</v>
      </c>
      <c r="I536" s="31" t="n">
        <v>354.21</v>
      </c>
      <c r="J536" s="31" t="n">
        <v>15591.69</v>
      </c>
      <c r="K536" s="31" t="n">
        <v>1491.98</v>
      </c>
      <c r="L536" s="32" t="n">
        <v>13</v>
      </c>
      <c r="M536" s="32" t="n">
        <v>92</v>
      </c>
      <c r="N536" s="31" t="n">
        <v>14099.71</v>
      </c>
      <c r="O536" s="31" t="n">
        <v>15591.69</v>
      </c>
      <c r="P536" s="22" t="n">
        <v>0</v>
      </c>
      <c r="Q536" s="22" t="n">
        <v>0</v>
      </c>
      <c r="R536" s="22" t="n">
        <v>0</v>
      </c>
    </row>
    <row r="537">
      <c r="A537" s="22" t="n">
        <v>201612</v>
      </c>
      <c r="B537" s="22" t="inlineStr">
        <is>
          <t>12/2016</t>
        </is>
      </c>
      <c r="C537" s="22" t="n">
        <v>44</v>
      </c>
      <c r="D537" s="22" t="inlineStr">
        <is>
          <t>S44</t>
        </is>
      </c>
      <c r="E537" s="22" t="inlineStr">
        <is>
          <t>Nexa Arkansas (S44)</t>
        </is>
      </c>
      <c r="F537" s="22" t="inlineStr">
        <is>
          <t>Mỹ</t>
        </is>
      </c>
      <c r="G537" s="22" t="inlineStr">
        <is>
          <t>POS</t>
        </is>
      </c>
      <c r="H537" s="31" t="n">
        <v>6142.14</v>
      </c>
      <c r="I537" s="31" t="n">
        <v>19.65</v>
      </c>
      <c r="J537" s="31" t="n">
        <v>6122.49</v>
      </c>
      <c r="K537" s="31" t="n">
        <v>0</v>
      </c>
      <c r="L537" s="32" t="n">
        <v>4</v>
      </c>
      <c r="M537" s="32" t="n">
        <v>24</v>
      </c>
      <c r="N537" s="31" t="n">
        <v>6122.49</v>
      </c>
      <c r="O537" s="31" t="n">
        <v>6122.49</v>
      </c>
      <c r="P537" s="22" t="n">
        <v>0</v>
      </c>
      <c r="Q537" s="22" t="n">
        <v>0</v>
      </c>
      <c r="R537" s="22" t="n">
        <v>0</v>
      </c>
    </row>
    <row r="538">
      <c r="A538" s="22" t="n">
        <v>201612</v>
      </c>
      <c r="B538" s="22" t="inlineStr">
        <is>
          <t>12/2016</t>
        </is>
      </c>
      <c r="C538" s="22" t="n">
        <v>45</v>
      </c>
      <c r="D538" s="22" t="inlineStr">
        <is>
          <t>S45</t>
        </is>
      </c>
      <c r="E538" s="22" t="inlineStr">
        <is>
          <t>Nexa Connecticut (S45)</t>
        </is>
      </c>
      <c r="F538" s="22" t="inlineStr">
        <is>
          <t>Mỹ</t>
        </is>
      </c>
      <c r="G538" s="22" t="inlineStr">
        <is>
          <t>POS</t>
        </is>
      </c>
      <c r="H538" s="31" t="n">
        <v>18907.2</v>
      </c>
      <c r="I538" s="31" t="n">
        <v>853.95</v>
      </c>
      <c r="J538" s="31" t="n">
        <v>18053.25</v>
      </c>
      <c r="K538" s="31" t="n">
        <v>0</v>
      </c>
      <c r="L538" s="32" t="n">
        <v>8</v>
      </c>
      <c r="M538" s="32" t="n">
        <v>77</v>
      </c>
      <c r="N538" s="31" t="n">
        <v>18053.25</v>
      </c>
      <c r="O538" s="31" t="n">
        <v>18053.25</v>
      </c>
      <c r="P538" s="22" t="n">
        <v>0</v>
      </c>
      <c r="Q538" s="22" t="n">
        <v>0</v>
      </c>
      <c r="R538" s="22" t="n">
        <v>0</v>
      </c>
    </row>
    <row r="539">
      <c r="A539" s="22" t="n">
        <v>201612</v>
      </c>
      <c r="B539" s="22" t="inlineStr">
        <is>
          <t>12/2016</t>
        </is>
      </c>
      <c r="C539" s="22" t="n">
        <v>47</v>
      </c>
      <c r="D539" s="22" t="inlineStr">
        <is>
          <t>S47</t>
        </is>
      </c>
      <c r="E539" s="22" t="inlineStr">
        <is>
          <t>Nexa Hawaii (S47)</t>
        </is>
      </c>
      <c r="F539" s="22" t="inlineStr">
        <is>
          <t>Mỹ</t>
        </is>
      </c>
      <c r="G539" s="22" t="inlineStr">
        <is>
          <t>POS</t>
        </is>
      </c>
      <c r="H539" s="31" t="n">
        <v>30893.25</v>
      </c>
      <c r="I539" s="31" t="n">
        <v>1281.61</v>
      </c>
      <c r="J539" s="31" t="n">
        <v>29611.64</v>
      </c>
      <c r="K539" s="31" t="n">
        <v>0</v>
      </c>
      <c r="L539" s="32" t="n">
        <v>11</v>
      </c>
      <c r="M539" s="32" t="n">
        <v>72</v>
      </c>
      <c r="N539" s="31" t="n">
        <v>29611.64</v>
      </c>
      <c r="O539" s="31" t="n">
        <v>29611.64</v>
      </c>
      <c r="P539" s="22" t="n">
        <v>2</v>
      </c>
      <c r="Q539" s="22" t="n">
        <v>0</v>
      </c>
      <c r="R539" s="22" t="n">
        <v>0</v>
      </c>
    </row>
    <row r="540">
      <c r="A540" s="22" t="n">
        <v>201612</v>
      </c>
      <c r="B540" s="22" t="inlineStr">
        <is>
          <t>12/2016</t>
        </is>
      </c>
      <c r="C540" s="22" t="n">
        <v>48</v>
      </c>
      <c r="D540" s="22" t="inlineStr">
        <is>
          <t>S48</t>
        </is>
      </c>
      <c r="E540" s="22" t="inlineStr">
        <is>
          <t>Nexa Idaho (S48)</t>
        </is>
      </c>
      <c r="F540" s="22" t="inlineStr">
        <is>
          <t>Mỹ</t>
        </is>
      </c>
      <c r="G540" s="22" t="inlineStr">
        <is>
          <t>POS</t>
        </is>
      </c>
      <c r="H540" s="31" t="n">
        <v>6638.43</v>
      </c>
      <c r="I540" s="31" t="n">
        <v>332.67</v>
      </c>
      <c r="J540" s="31" t="n">
        <v>6305.76</v>
      </c>
      <c r="K540" s="31" t="n">
        <v>0</v>
      </c>
      <c r="L540" s="32" t="n">
        <v>9</v>
      </c>
      <c r="M540" s="32" t="n">
        <v>39</v>
      </c>
      <c r="N540" s="31" t="n">
        <v>6305.76</v>
      </c>
      <c r="O540" s="31" t="n">
        <v>6305.76</v>
      </c>
      <c r="P540" s="22" t="n">
        <v>1</v>
      </c>
      <c r="Q540" s="22" t="n">
        <v>0</v>
      </c>
      <c r="R540" s="22" t="n">
        <v>0</v>
      </c>
    </row>
    <row r="541">
      <c r="A541" s="22" t="n">
        <v>201612</v>
      </c>
      <c r="B541" s="22" t="inlineStr">
        <is>
          <t>12/2016</t>
        </is>
      </c>
      <c r="C541" s="22" t="n">
        <v>50</v>
      </c>
      <c r="D541" s="22" t="inlineStr">
        <is>
          <t>S50</t>
        </is>
      </c>
      <c r="E541" s="22" t="inlineStr">
        <is>
          <t>Nexa Kansas (S50)</t>
        </is>
      </c>
      <c r="F541" s="22" t="inlineStr">
        <is>
          <t>Mỹ</t>
        </is>
      </c>
      <c r="G541" s="22" t="inlineStr">
        <is>
          <t>POS</t>
        </is>
      </c>
      <c r="H541" s="31" t="n">
        <v>12095.04</v>
      </c>
      <c r="I541" s="31" t="n">
        <v>727.64</v>
      </c>
      <c r="J541" s="31" t="n">
        <v>11367.4</v>
      </c>
      <c r="K541" s="31" t="n">
        <v>0</v>
      </c>
      <c r="L541" s="32" t="n">
        <v>10</v>
      </c>
      <c r="M541" s="32" t="n">
        <v>56</v>
      </c>
      <c r="N541" s="31" t="n">
        <v>11367.4</v>
      </c>
      <c r="O541" s="31" t="n">
        <v>11367.4</v>
      </c>
      <c r="P541" s="22" t="n">
        <v>0</v>
      </c>
      <c r="Q541" s="22" t="n">
        <v>0</v>
      </c>
      <c r="R541" s="22" t="n">
        <v>0</v>
      </c>
    </row>
    <row r="542">
      <c r="A542" s="22" t="n">
        <v>201612</v>
      </c>
      <c r="B542" s="22" t="inlineStr">
        <is>
          <t>12/2016</t>
        </is>
      </c>
      <c r="C542" s="22" t="n">
        <v>51</v>
      </c>
      <c r="D542" s="22" t="inlineStr">
        <is>
          <t>S51</t>
        </is>
      </c>
      <c r="E542" s="22" t="inlineStr">
        <is>
          <t>Nexa Maine (S51)</t>
        </is>
      </c>
      <c r="F542" s="22" t="inlineStr">
        <is>
          <t>Mỹ</t>
        </is>
      </c>
      <c r="G542" s="22" t="inlineStr">
        <is>
          <t>POS</t>
        </is>
      </c>
      <c r="H542" s="31" t="n">
        <v>41117.5</v>
      </c>
      <c r="I542" s="31" t="n">
        <v>326.97</v>
      </c>
      <c r="J542" s="31" t="n">
        <v>40790.53</v>
      </c>
      <c r="K542" s="31" t="n">
        <v>0</v>
      </c>
      <c r="L542" s="32" t="n">
        <v>12</v>
      </c>
      <c r="M542" s="32" t="n">
        <v>89</v>
      </c>
      <c r="N542" s="31" t="n">
        <v>40790.53</v>
      </c>
      <c r="O542" s="31" t="n">
        <v>40790.53</v>
      </c>
      <c r="P542" s="22" t="n">
        <v>0</v>
      </c>
      <c r="Q542" s="22" t="n">
        <v>0</v>
      </c>
      <c r="R542" s="22" t="n">
        <v>0</v>
      </c>
    </row>
    <row r="543">
      <c r="A543" s="22" t="n">
        <v>201612</v>
      </c>
      <c r="B543" s="22" t="inlineStr">
        <is>
          <t>12/2016</t>
        </is>
      </c>
      <c r="C543" s="22" t="n">
        <v>53</v>
      </c>
      <c r="D543" s="22" t="inlineStr">
        <is>
          <t>S53</t>
        </is>
      </c>
      <c r="E543" s="22" t="inlineStr">
        <is>
          <t>Nexa Montana (S53)</t>
        </is>
      </c>
      <c r="F543" s="22" t="inlineStr">
        <is>
          <t>Mỹ</t>
        </is>
      </c>
      <c r="G543" s="22" t="inlineStr">
        <is>
          <t>POS</t>
        </is>
      </c>
      <c r="H543" s="31" t="n">
        <v>34453.25</v>
      </c>
      <c r="I543" s="31" t="n">
        <v>25.98</v>
      </c>
      <c r="J543" s="31" t="n">
        <v>34427.27</v>
      </c>
      <c r="K543" s="31" t="n">
        <v>0</v>
      </c>
      <c r="L543" s="32" t="n">
        <v>10</v>
      </c>
      <c r="M543" s="32" t="n">
        <v>93</v>
      </c>
      <c r="N543" s="31" t="n">
        <v>34427.27</v>
      </c>
      <c r="O543" s="31" t="n">
        <v>34427.27</v>
      </c>
      <c r="P543" s="22" t="n">
        <v>0</v>
      </c>
      <c r="Q543" s="22" t="n">
        <v>0</v>
      </c>
      <c r="R543" s="22" t="n">
        <v>0</v>
      </c>
    </row>
    <row r="544">
      <c r="A544" s="22" t="n">
        <v>201612</v>
      </c>
      <c r="B544" s="22" t="inlineStr">
        <is>
          <t>12/2016</t>
        </is>
      </c>
      <c r="C544" s="22" t="n">
        <v>54</v>
      </c>
      <c r="D544" s="22" t="inlineStr">
        <is>
          <t>S54</t>
        </is>
      </c>
      <c r="E544" s="22" t="inlineStr">
        <is>
          <t>Nexa Nebraska (S54)</t>
        </is>
      </c>
      <c r="F544" s="22" t="inlineStr">
        <is>
          <t>Mỹ</t>
        </is>
      </c>
      <c r="G544" s="22" t="inlineStr">
        <is>
          <t>POS</t>
        </is>
      </c>
      <c r="H544" s="31" t="n">
        <v>37594.62</v>
      </c>
      <c r="I544" s="31" t="n">
        <v>135.88</v>
      </c>
      <c r="J544" s="31" t="n">
        <v>37458.74</v>
      </c>
      <c r="K544" s="31" t="n">
        <v>0</v>
      </c>
      <c r="L544" s="32" t="n">
        <v>8</v>
      </c>
      <c r="M544" s="32" t="n">
        <v>55</v>
      </c>
      <c r="N544" s="31" t="n">
        <v>37458.74</v>
      </c>
      <c r="O544" s="31" t="n">
        <v>37458.74</v>
      </c>
      <c r="P544" s="22" t="n">
        <v>0</v>
      </c>
      <c r="Q544" s="22" t="n">
        <v>0</v>
      </c>
      <c r="R544" s="22" t="n">
        <v>0</v>
      </c>
    </row>
    <row r="545">
      <c r="A545" s="22" t="n">
        <v>201612</v>
      </c>
      <c r="B545" s="22" t="inlineStr">
        <is>
          <t>12/2016</t>
        </is>
      </c>
      <c r="C545" s="22" t="n">
        <v>55</v>
      </c>
      <c r="D545" s="22" t="inlineStr">
        <is>
          <t>S55</t>
        </is>
      </c>
      <c r="E545" s="22" t="inlineStr">
        <is>
          <t>Nexa Nevada (S55)</t>
        </is>
      </c>
      <c r="F545" s="22" t="inlineStr">
        <is>
          <t>Mỹ</t>
        </is>
      </c>
      <c r="G545" s="22" t="inlineStr">
        <is>
          <t>POS</t>
        </is>
      </c>
      <c r="H545" s="31" t="n">
        <v>15664.66</v>
      </c>
      <c r="I545" s="31" t="n">
        <v>203.4</v>
      </c>
      <c r="J545" s="31" t="n">
        <v>15461.26</v>
      </c>
      <c r="K545" s="31" t="n">
        <v>109</v>
      </c>
      <c r="L545" s="32" t="n">
        <v>9</v>
      </c>
      <c r="M545" s="32" t="n">
        <v>52</v>
      </c>
      <c r="N545" s="31" t="n">
        <v>15352.26</v>
      </c>
      <c r="O545" s="31" t="n">
        <v>15461.26</v>
      </c>
      <c r="P545" s="22" t="n">
        <v>0</v>
      </c>
      <c r="Q545" s="22" t="n">
        <v>0</v>
      </c>
      <c r="R545" s="22" t="n">
        <v>0</v>
      </c>
    </row>
    <row r="546">
      <c r="A546" s="22" t="n">
        <v>201612</v>
      </c>
      <c r="B546" s="22" t="inlineStr">
        <is>
          <t>12/2016</t>
        </is>
      </c>
      <c r="C546" s="22" t="n">
        <v>56</v>
      </c>
      <c r="D546" s="22" t="inlineStr">
        <is>
          <t>S56</t>
        </is>
      </c>
      <c r="E546" s="22" t="inlineStr">
        <is>
          <t>Nexa New Hampshire (S56)</t>
        </is>
      </c>
      <c r="F546" s="22" t="inlineStr">
        <is>
          <t>Mỹ</t>
        </is>
      </c>
      <c r="G546" s="22" t="inlineStr">
        <is>
          <t>POS</t>
        </is>
      </c>
      <c r="H546" s="31" t="n">
        <v>16123.43</v>
      </c>
      <c r="I546" s="31" t="n">
        <v>186.2</v>
      </c>
      <c r="J546" s="31" t="n">
        <v>15937.23</v>
      </c>
      <c r="K546" s="31" t="n">
        <v>0</v>
      </c>
      <c r="L546" s="32" t="n">
        <v>8</v>
      </c>
      <c r="M546" s="32" t="n">
        <v>62</v>
      </c>
      <c r="N546" s="31" t="n">
        <v>15937.23</v>
      </c>
      <c r="O546" s="31" t="n">
        <v>15937.23</v>
      </c>
      <c r="P546" s="22" t="n">
        <v>0</v>
      </c>
      <c r="Q546" s="22" t="n">
        <v>0</v>
      </c>
      <c r="R546" s="22" t="n">
        <v>0</v>
      </c>
    </row>
    <row r="547">
      <c r="A547" s="22" t="n">
        <v>201612</v>
      </c>
      <c r="B547" s="22" t="inlineStr">
        <is>
          <t>12/2016</t>
        </is>
      </c>
      <c r="C547" s="22" t="n">
        <v>57</v>
      </c>
      <c r="D547" s="22" t="inlineStr">
        <is>
          <t>S57</t>
        </is>
      </c>
      <c r="E547" s="22" t="inlineStr">
        <is>
          <t>Nexa New Mexico (S57)</t>
        </is>
      </c>
      <c r="F547" s="22" t="inlineStr">
        <is>
          <t>Mỹ</t>
        </is>
      </c>
      <c r="G547" s="22" t="inlineStr">
        <is>
          <t>POS</t>
        </is>
      </c>
      <c r="H547" s="31" t="n">
        <v>8301.459999999999</v>
      </c>
      <c r="I547" s="31" t="n">
        <v>296.29</v>
      </c>
      <c r="J547" s="31" t="n">
        <v>8005.17</v>
      </c>
      <c r="K547" s="31" t="n">
        <v>0</v>
      </c>
      <c r="L547" s="32" t="n">
        <v>6</v>
      </c>
      <c r="M547" s="32" t="n">
        <v>39</v>
      </c>
      <c r="N547" s="31" t="n">
        <v>8005.17</v>
      </c>
      <c r="O547" s="31" t="n">
        <v>8005.17</v>
      </c>
      <c r="P547" s="22" t="n">
        <v>0</v>
      </c>
      <c r="Q547" s="22" t="n">
        <v>0</v>
      </c>
      <c r="R547" s="22" t="n">
        <v>0</v>
      </c>
    </row>
    <row r="548">
      <c r="A548" s="22" t="n">
        <v>201612</v>
      </c>
      <c r="B548" s="22" t="inlineStr">
        <is>
          <t>12/2016</t>
        </is>
      </c>
      <c r="C548" s="22" t="n">
        <v>59</v>
      </c>
      <c r="D548" s="22" t="inlineStr">
        <is>
          <t>S59</t>
        </is>
      </c>
      <c r="E548" s="22" t="inlineStr">
        <is>
          <t>Nexa Oregon (S59)</t>
        </is>
      </c>
      <c r="F548" s="22" t="inlineStr">
        <is>
          <t>Mỹ</t>
        </is>
      </c>
      <c r="G548" s="22" t="inlineStr">
        <is>
          <t>POS</t>
        </is>
      </c>
      <c r="H548" s="31" t="n">
        <v>10249.64</v>
      </c>
      <c r="I548" s="31" t="n">
        <v>315.84</v>
      </c>
      <c r="J548" s="31" t="n">
        <v>9933.799999999999</v>
      </c>
      <c r="K548" s="31" t="n">
        <v>119</v>
      </c>
      <c r="L548" s="32" t="n">
        <v>11</v>
      </c>
      <c r="M548" s="32" t="n">
        <v>55</v>
      </c>
      <c r="N548" s="31" t="n">
        <v>9814.799999999999</v>
      </c>
      <c r="O548" s="31" t="n">
        <v>9933.799999999999</v>
      </c>
      <c r="P548" s="22" t="n">
        <v>0</v>
      </c>
      <c r="Q548" s="22" t="n">
        <v>0</v>
      </c>
      <c r="R548" s="22" t="n">
        <v>0</v>
      </c>
    </row>
    <row r="549">
      <c r="A549" s="22" t="n">
        <v>201612</v>
      </c>
      <c r="B549" s="22" t="inlineStr">
        <is>
          <t>12/2016</t>
        </is>
      </c>
      <c r="C549" s="22" t="n">
        <v>61</v>
      </c>
      <c r="D549" s="22" t="inlineStr">
        <is>
          <t>S61</t>
        </is>
      </c>
      <c r="E549" s="22" t="inlineStr">
        <is>
          <t>Nexa South Carolina (S61)</t>
        </is>
      </c>
      <c r="F549" s="22" t="inlineStr">
        <is>
          <t>Mỹ</t>
        </is>
      </c>
      <c r="G549" s="22" t="inlineStr">
        <is>
          <t>POS</t>
        </is>
      </c>
      <c r="H549" s="31" t="n">
        <v>32510.02</v>
      </c>
      <c r="I549" s="31" t="n">
        <v>2074.92</v>
      </c>
      <c r="J549" s="31" t="n">
        <v>30435.1</v>
      </c>
      <c r="K549" s="31" t="n">
        <v>0</v>
      </c>
      <c r="L549" s="32" t="n">
        <v>15</v>
      </c>
      <c r="M549" s="32" t="n">
        <v>114</v>
      </c>
      <c r="N549" s="31" t="n">
        <v>30435.1</v>
      </c>
      <c r="O549" s="31" t="n">
        <v>30435.1</v>
      </c>
      <c r="P549" s="22" t="n">
        <v>0</v>
      </c>
      <c r="Q549" s="22" t="n">
        <v>0</v>
      </c>
      <c r="R549" s="22" t="n">
        <v>0</v>
      </c>
    </row>
    <row r="550">
      <c r="A550" s="22" t="n">
        <v>201612</v>
      </c>
      <c r="B550" s="22" t="inlineStr">
        <is>
          <t>12/2016</t>
        </is>
      </c>
      <c r="C550" s="22" t="n">
        <v>63</v>
      </c>
      <c r="D550" s="22" t="inlineStr">
        <is>
          <t>S63</t>
        </is>
      </c>
      <c r="E550" s="22" t="inlineStr">
        <is>
          <t>Nexa Utah (S63)</t>
        </is>
      </c>
      <c r="F550" s="22" t="inlineStr">
        <is>
          <t>Mỹ</t>
        </is>
      </c>
      <c r="G550" s="22" t="inlineStr">
        <is>
          <t>POS</t>
        </is>
      </c>
      <c r="H550" s="31" t="n">
        <v>25816.28</v>
      </c>
      <c r="I550" s="31" t="n">
        <v>1467.6</v>
      </c>
      <c r="J550" s="31" t="n">
        <v>24348.68</v>
      </c>
      <c r="K550" s="31" t="n">
        <v>0</v>
      </c>
      <c r="L550" s="32" t="n">
        <v>10</v>
      </c>
      <c r="M550" s="32" t="n">
        <v>78</v>
      </c>
      <c r="N550" s="31" t="n">
        <v>24348.68</v>
      </c>
      <c r="O550" s="31" t="n">
        <v>24348.68</v>
      </c>
      <c r="P550" s="22" t="n">
        <v>0</v>
      </c>
      <c r="Q550" s="22" t="n">
        <v>0</v>
      </c>
      <c r="R550" s="22" t="n">
        <v>0</v>
      </c>
    </row>
    <row r="551">
      <c r="A551" s="22" t="n">
        <v>201612</v>
      </c>
      <c r="B551" s="22" t="inlineStr">
        <is>
          <t>12/2016</t>
        </is>
      </c>
      <c r="C551" s="22" t="n">
        <v>64</v>
      </c>
      <c r="D551" s="22" t="inlineStr">
        <is>
          <t>S64</t>
        </is>
      </c>
      <c r="E551" s="22" t="inlineStr">
        <is>
          <t>Nexa Washington DC (S64)</t>
        </is>
      </c>
      <c r="F551" s="22" t="inlineStr">
        <is>
          <t>Mỹ</t>
        </is>
      </c>
      <c r="G551" s="22" t="inlineStr">
        <is>
          <t>POS</t>
        </is>
      </c>
      <c r="H551" s="31" t="n">
        <v>26507.22</v>
      </c>
      <c r="I551" s="31" t="n">
        <v>231.84</v>
      </c>
      <c r="J551" s="31" t="n">
        <v>26275.38</v>
      </c>
      <c r="K551" s="31" t="n">
        <v>0</v>
      </c>
      <c r="L551" s="32" t="n">
        <v>10</v>
      </c>
      <c r="M551" s="32" t="n">
        <v>68</v>
      </c>
      <c r="N551" s="31" t="n">
        <v>26275.38</v>
      </c>
      <c r="O551" s="31" t="n">
        <v>26275.38</v>
      </c>
      <c r="P551" s="22" t="n">
        <v>1</v>
      </c>
      <c r="Q551" s="22" t="n">
        <v>0</v>
      </c>
      <c r="R551" s="22" t="n">
        <v>0</v>
      </c>
    </row>
    <row r="552">
      <c r="A552" s="22" t="n">
        <v>201612</v>
      </c>
      <c r="B552" s="22" t="inlineStr">
        <is>
          <t>12/2016</t>
        </is>
      </c>
      <c r="C552" s="22" t="n">
        <v>65</v>
      </c>
      <c r="D552" s="22" t="inlineStr">
        <is>
          <t>S65</t>
        </is>
      </c>
      <c r="E552" s="22" t="inlineStr">
        <is>
          <t>Nexa West Virginia (S65)</t>
        </is>
      </c>
      <c r="F552" s="22" t="inlineStr">
        <is>
          <t>Mỹ</t>
        </is>
      </c>
      <c r="G552" s="22" t="inlineStr">
        <is>
          <t>POS</t>
        </is>
      </c>
      <c r="H552" s="31" t="n">
        <v>7704.84</v>
      </c>
      <c r="I552" s="31" t="n">
        <v>328.29</v>
      </c>
      <c r="J552" s="31" t="n">
        <v>7376.55</v>
      </c>
      <c r="K552" s="31" t="n">
        <v>714.85</v>
      </c>
      <c r="L552" s="32" t="n">
        <v>8</v>
      </c>
      <c r="M552" s="32" t="n">
        <v>38</v>
      </c>
      <c r="N552" s="31" t="n">
        <v>6661.7</v>
      </c>
      <c r="O552" s="31" t="n">
        <v>7376.55</v>
      </c>
      <c r="P552" s="22" t="n">
        <v>1</v>
      </c>
      <c r="Q552" s="22" t="n">
        <v>0</v>
      </c>
      <c r="R552" s="22" t="n">
        <v>0</v>
      </c>
    </row>
    <row r="553">
      <c r="A553" s="22" t="n">
        <v>201612</v>
      </c>
      <c r="B553" s="22" t="inlineStr">
        <is>
          <t>12/2016</t>
        </is>
      </c>
      <c r="C553" s="22" t="n">
        <v>66</v>
      </c>
      <c r="D553" s="22" t="inlineStr">
        <is>
          <t>S66</t>
        </is>
      </c>
      <c r="E553" s="22" t="inlineStr">
        <is>
          <t>Nexa Wyoming (S66)</t>
        </is>
      </c>
      <c r="F553" s="22" t="inlineStr">
        <is>
          <t>Mỹ</t>
        </is>
      </c>
      <c r="G553" s="22" t="inlineStr">
        <is>
          <t>POS</t>
        </is>
      </c>
      <c r="H553" s="31" t="n">
        <v>8496.629999999999</v>
      </c>
      <c r="I553" s="31" t="n">
        <v>202.28</v>
      </c>
      <c r="J553" s="31" t="n">
        <v>8294.35</v>
      </c>
      <c r="K553" s="31" t="n">
        <v>0</v>
      </c>
      <c r="L553" s="32" t="n">
        <v>7</v>
      </c>
      <c r="M553" s="32" t="n">
        <v>34</v>
      </c>
      <c r="N553" s="31" t="n">
        <v>8294.35</v>
      </c>
      <c r="O553" s="31" t="n">
        <v>8294.35</v>
      </c>
      <c r="P553" s="22" t="n">
        <v>0</v>
      </c>
      <c r="Q553" s="22" t="n">
        <v>0</v>
      </c>
      <c r="R553" s="22" t="n">
        <v>0</v>
      </c>
    </row>
    <row r="554">
      <c r="A554" s="22" t="n">
        <v>201701</v>
      </c>
      <c r="B554" s="22" t="inlineStr">
        <is>
          <t>01/2017</t>
        </is>
      </c>
      <c r="C554" s="22" t="n">
        <v>0</v>
      </c>
      <c r="D554" s="22" t="inlineStr">
        <is>
          <t>ONL</t>
        </is>
      </c>
      <c r="E554" s="22" t="inlineStr">
        <is>
          <t>Nexa Online (website/app)</t>
        </is>
      </c>
      <c r="F554" s="22" t="inlineStr">
        <is>
          <t>Online</t>
        </is>
      </c>
      <c r="G554" s="22" t="inlineStr">
        <is>
          <t>ONLINE</t>
        </is>
      </c>
      <c r="H554" s="31" t="n">
        <v>106242.85</v>
      </c>
      <c r="I554" s="31" t="n">
        <v>5979.38</v>
      </c>
      <c r="J554" s="31" t="n">
        <v>100263.47</v>
      </c>
      <c r="K554" s="31" t="n">
        <v>6555.3</v>
      </c>
      <c r="L554" s="32" t="n">
        <v>49</v>
      </c>
      <c r="M554" s="32" t="n">
        <v>320</v>
      </c>
      <c r="N554" s="31" t="n">
        <v>159940.21</v>
      </c>
      <c r="O554" s="31" t="n">
        <v>166495.51</v>
      </c>
      <c r="P554" s="22" t="n">
        <v>1</v>
      </c>
      <c r="Q554" s="22" t="n">
        <v>0</v>
      </c>
      <c r="R554" s="22" t="n">
        <v>0</v>
      </c>
    </row>
    <row r="555">
      <c r="A555" s="22" t="n">
        <v>201701</v>
      </c>
      <c r="B555" s="22" t="inlineStr">
        <is>
          <t>01/2017</t>
        </is>
      </c>
      <c r="C555" s="22" t="n">
        <v>4</v>
      </c>
      <c r="D555" s="22" t="inlineStr">
        <is>
          <t>S04</t>
        </is>
      </c>
      <c r="E555" s="22" t="inlineStr">
        <is>
          <t>Nexa Tasmania (S04)</t>
        </is>
      </c>
      <c r="F555" s="22" t="inlineStr">
        <is>
          <t>Úc</t>
        </is>
      </c>
      <c r="G555" s="22" t="inlineStr">
        <is>
          <t>POS</t>
        </is>
      </c>
      <c r="H555" s="31" t="n">
        <v>579.98</v>
      </c>
      <c r="I555" s="31" t="n">
        <v>29</v>
      </c>
      <c r="J555" s="31" t="n">
        <v>550.98</v>
      </c>
      <c r="K555" s="31" t="n">
        <v>0</v>
      </c>
      <c r="L555" s="32" t="n">
        <v>1</v>
      </c>
      <c r="M555" s="32" t="n">
        <v>2</v>
      </c>
      <c r="N555" s="31" t="n">
        <v>550.98</v>
      </c>
      <c r="O555" s="31" t="n">
        <v>550.98</v>
      </c>
      <c r="P555" s="22" t="n">
        <v>0</v>
      </c>
      <c r="Q555" s="22" t="n">
        <v>0</v>
      </c>
      <c r="R555" s="22" t="n">
        <v>0</v>
      </c>
    </row>
    <row r="556">
      <c r="A556" s="22" t="n">
        <v>201701</v>
      </c>
      <c r="B556" s="22" t="inlineStr">
        <is>
          <t>01/2017</t>
        </is>
      </c>
      <c r="C556" s="22" t="n">
        <v>5</v>
      </c>
      <c r="D556" s="22" t="inlineStr">
        <is>
          <t>S05</t>
        </is>
      </c>
      <c r="E556" s="22" t="inlineStr">
        <is>
          <t>Nexa Victoria (S05)</t>
        </is>
      </c>
      <c r="F556" s="22" t="inlineStr">
        <is>
          <t>Úc</t>
        </is>
      </c>
      <c r="G556" s="22" t="inlineStr">
        <is>
          <t>POS</t>
        </is>
      </c>
      <c r="H556" s="31" t="n">
        <v>819.74</v>
      </c>
      <c r="I556" s="31" t="n">
        <v>18</v>
      </c>
      <c r="J556" s="31" t="n">
        <v>801.74</v>
      </c>
      <c r="K556" s="31" t="n">
        <v>0</v>
      </c>
      <c r="L556" s="32" t="n">
        <v>2</v>
      </c>
      <c r="M556" s="32" t="n">
        <v>8</v>
      </c>
      <c r="N556" s="31" t="n">
        <v>801.74</v>
      </c>
      <c r="O556" s="31" t="n">
        <v>801.74</v>
      </c>
      <c r="P556" s="22" t="n">
        <v>1</v>
      </c>
      <c r="Q556" s="22" t="n">
        <v>0</v>
      </c>
      <c r="R556" s="22" t="n">
        <v>0</v>
      </c>
    </row>
    <row r="557">
      <c r="A557" s="22" t="n">
        <v>201701</v>
      </c>
      <c r="B557" s="22" t="inlineStr">
        <is>
          <t>01/2017</t>
        </is>
      </c>
      <c r="C557" s="22" t="n">
        <v>6</v>
      </c>
      <c r="D557" s="22" t="inlineStr">
        <is>
          <t>S06</t>
        </is>
      </c>
      <c r="E557" s="22" t="inlineStr">
        <is>
          <t>Nexa Western Australia (S06)</t>
        </is>
      </c>
      <c r="F557" s="22" t="inlineStr">
        <is>
          <t>Úc</t>
        </is>
      </c>
      <c r="G557" s="22" t="inlineStr">
        <is>
          <t>POS</t>
        </is>
      </c>
      <c r="H557" s="31" t="n">
        <v>14075.67</v>
      </c>
      <c r="I557" s="31" t="n">
        <v>360.17</v>
      </c>
      <c r="J557" s="31" t="n">
        <v>13715.5</v>
      </c>
      <c r="K557" s="31" t="n">
        <v>16.05</v>
      </c>
      <c r="L557" s="32" t="n">
        <v>4</v>
      </c>
      <c r="M557" s="32" t="n">
        <v>43</v>
      </c>
      <c r="N557" s="31" t="n">
        <v>13699.45</v>
      </c>
      <c r="O557" s="31" t="n">
        <v>13715.5</v>
      </c>
      <c r="P557" s="22" t="n">
        <v>0</v>
      </c>
      <c r="Q557" s="22" t="n">
        <v>0</v>
      </c>
      <c r="R557" s="22" t="n">
        <v>0</v>
      </c>
    </row>
    <row r="558">
      <c r="A558" s="22" t="n">
        <v>201701</v>
      </c>
      <c r="B558" s="22" t="inlineStr">
        <is>
          <t>01/2017</t>
        </is>
      </c>
      <c r="C558" s="22" t="n">
        <v>8</v>
      </c>
      <c r="D558" s="22" t="inlineStr">
        <is>
          <t>S08</t>
        </is>
      </c>
      <c r="E558" s="22" t="inlineStr">
        <is>
          <t>Nexa Newfoundland and Labrador (S08)</t>
        </is>
      </c>
      <c r="F558" s="22" t="inlineStr">
        <is>
          <t>Canada</t>
        </is>
      </c>
      <c r="G558" s="22" t="inlineStr">
        <is>
          <t>POS</t>
        </is>
      </c>
      <c r="H558" s="31" t="n">
        <v>8610.219999999999</v>
      </c>
      <c r="I558" s="31" t="n">
        <v>232.94</v>
      </c>
      <c r="J558" s="31" t="n">
        <v>8377.280000000001</v>
      </c>
      <c r="K558" s="31" t="n">
        <v>43.49</v>
      </c>
      <c r="L558" s="32" t="n">
        <v>11</v>
      </c>
      <c r="M558" s="32" t="n">
        <v>68</v>
      </c>
      <c r="N558" s="31" t="n">
        <v>8333.790000000001</v>
      </c>
      <c r="O558" s="31" t="n">
        <v>8377.280000000001</v>
      </c>
      <c r="P558" s="22" t="n">
        <v>0</v>
      </c>
      <c r="Q558" s="22" t="n">
        <v>0</v>
      </c>
      <c r="R558" s="22" t="n">
        <v>0</v>
      </c>
    </row>
    <row r="559">
      <c r="A559" s="22" t="n">
        <v>201701</v>
      </c>
      <c r="B559" s="22" t="inlineStr">
        <is>
          <t>01/2017</t>
        </is>
      </c>
      <c r="C559" s="22" t="n">
        <v>9</v>
      </c>
      <c r="D559" s="22" t="inlineStr">
        <is>
          <t>S09</t>
        </is>
      </c>
      <c r="E559" s="22" t="inlineStr">
        <is>
          <t>Nexa Northwest Territories (S09)</t>
        </is>
      </c>
      <c r="F559" s="22" t="inlineStr">
        <is>
          <t>Canada</t>
        </is>
      </c>
      <c r="G559" s="22" t="inlineStr">
        <is>
          <t>POS</t>
        </is>
      </c>
      <c r="H559" s="31" t="n">
        <v>3915.42</v>
      </c>
      <c r="I559" s="31" t="n">
        <v>83.2</v>
      </c>
      <c r="J559" s="31" t="n">
        <v>3832.22</v>
      </c>
      <c r="K559" s="31" t="n">
        <v>32.28</v>
      </c>
      <c r="L559" s="32" t="n">
        <v>4</v>
      </c>
      <c r="M559" s="32" t="n">
        <v>18</v>
      </c>
      <c r="N559" s="31" t="n">
        <v>3799.94</v>
      </c>
      <c r="O559" s="31" t="n">
        <v>3832.22</v>
      </c>
      <c r="P559" s="22" t="n">
        <v>0</v>
      </c>
      <c r="Q559" s="22" t="n">
        <v>0</v>
      </c>
      <c r="R559" s="22" t="n">
        <v>0</v>
      </c>
    </row>
    <row r="560">
      <c r="A560" s="22" t="n">
        <v>201701</v>
      </c>
      <c r="B560" s="22" t="inlineStr">
        <is>
          <t>01/2017</t>
        </is>
      </c>
      <c r="C560" s="22" t="n">
        <v>10</v>
      </c>
      <c r="D560" s="22" t="inlineStr">
        <is>
          <t>S10</t>
        </is>
      </c>
      <c r="E560" s="22" t="inlineStr">
        <is>
          <t>Nexa Nunavut (S10)</t>
        </is>
      </c>
      <c r="F560" s="22" t="inlineStr">
        <is>
          <t>Canada</t>
        </is>
      </c>
      <c r="G560" s="22" t="inlineStr">
        <is>
          <t>POS</t>
        </is>
      </c>
      <c r="H560" s="31" t="n">
        <v>22610.07</v>
      </c>
      <c r="I560" s="31" t="n">
        <v>39.98</v>
      </c>
      <c r="J560" s="31" t="n">
        <v>22570.09</v>
      </c>
      <c r="K560" s="31" t="n">
        <v>0</v>
      </c>
      <c r="L560" s="32" t="n">
        <v>9</v>
      </c>
      <c r="M560" s="32" t="n">
        <v>64</v>
      </c>
      <c r="N560" s="31" t="n">
        <v>22570.09</v>
      </c>
      <c r="O560" s="31" t="n">
        <v>22570.09</v>
      </c>
      <c r="P560" s="22" t="n">
        <v>0</v>
      </c>
      <c r="Q560" s="22" t="n">
        <v>0</v>
      </c>
      <c r="R560" s="22" t="n">
        <v>0</v>
      </c>
    </row>
    <row r="561">
      <c r="A561" s="22" t="n">
        <v>201701</v>
      </c>
      <c r="B561" s="22" t="inlineStr">
        <is>
          <t>01/2017</t>
        </is>
      </c>
      <c r="C561" s="22" t="n">
        <v>16</v>
      </c>
      <c r="D561" s="22" t="inlineStr">
        <is>
          <t>S16</t>
        </is>
      </c>
      <c r="E561" s="22" t="inlineStr">
        <is>
          <t>Nexa Limousin (S16)</t>
        </is>
      </c>
      <c r="F561" s="22" t="inlineStr">
        <is>
          <t>Pháp</t>
        </is>
      </c>
      <c r="G561" s="22" t="inlineStr">
        <is>
          <t>POS</t>
        </is>
      </c>
      <c r="H561" s="31" t="n">
        <v>647.9400000000001</v>
      </c>
      <c r="I561" s="31" t="n">
        <v>17</v>
      </c>
      <c r="J561" s="31" t="n">
        <v>630.9400000000001</v>
      </c>
      <c r="K561" s="31" t="n">
        <v>0</v>
      </c>
      <c r="L561" s="32" t="n">
        <v>3</v>
      </c>
      <c r="M561" s="32" t="n">
        <v>4</v>
      </c>
      <c r="N561" s="31" t="n">
        <v>630.9400000000001</v>
      </c>
      <c r="O561" s="31" t="n">
        <v>630.9400000000001</v>
      </c>
      <c r="P561" s="22" t="n">
        <v>0</v>
      </c>
      <c r="Q561" s="22" t="n">
        <v>0</v>
      </c>
      <c r="R561" s="22" t="n">
        <v>0</v>
      </c>
    </row>
    <row r="562">
      <c r="A562" s="22" t="n">
        <v>201701</v>
      </c>
      <c r="B562" s="22" t="inlineStr">
        <is>
          <t>01/2017</t>
        </is>
      </c>
      <c r="C562" s="22" t="n">
        <v>19</v>
      </c>
      <c r="D562" s="22" t="inlineStr">
        <is>
          <t>S19</t>
        </is>
      </c>
      <c r="E562" s="22" t="inlineStr">
        <is>
          <t>Nexa Berlin (S19)</t>
        </is>
      </c>
      <c r="F562" s="22" t="inlineStr">
        <is>
          <t>Đức</t>
        </is>
      </c>
      <c r="G562" s="22" t="inlineStr">
        <is>
          <t>POS</t>
        </is>
      </c>
      <c r="H562" s="31" t="n">
        <v>5998.87</v>
      </c>
      <c r="I562" s="31" t="n">
        <v>296.15</v>
      </c>
      <c r="J562" s="31" t="n">
        <v>5702.72</v>
      </c>
      <c r="K562" s="31" t="n">
        <v>469.4</v>
      </c>
      <c r="L562" s="32" t="n">
        <v>4</v>
      </c>
      <c r="M562" s="32" t="n">
        <v>34</v>
      </c>
      <c r="N562" s="31" t="n">
        <v>5233.32</v>
      </c>
      <c r="O562" s="31" t="n">
        <v>5702.72</v>
      </c>
      <c r="P562" s="22" t="n">
        <v>0</v>
      </c>
      <c r="Q562" s="22" t="n">
        <v>0</v>
      </c>
      <c r="R562" s="22" t="n">
        <v>0</v>
      </c>
    </row>
    <row r="563">
      <c r="A563" s="22" t="n">
        <v>201701</v>
      </c>
      <c r="B563" s="22" t="inlineStr">
        <is>
          <t>01/2017</t>
        </is>
      </c>
      <c r="C563" s="22" t="n">
        <v>20</v>
      </c>
      <c r="D563" s="22" t="inlineStr">
        <is>
          <t>S20</t>
        </is>
      </c>
      <c r="E563" s="22" t="inlineStr">
        <is>
          <t>Nexa Brandenburg (S20)</t>
        </is>
      </c>
      <c r="F563" s="22" t="inlineStr">
        <is>
          <t>Đức</t>
        </is>
      </c>
      <c r="G563" s="22" t="inlineStr">
        <is>
          <t>POS</t>
        </is>
      </c>
      <c r="H563" s="31" t="n">
        <v>5393.61</v>
      </c>
      <c r="I563" s="31" t="n">
        <v>222.32</v>
      </c>
      <c r="J563" s="31" t="n">
        <v>5171.29</v>
      </c>
      <c r="K563" s="31" t="n">
        <v>1873.4</v>
      </c>
      <c r="L563" s="32" t="n">
        <v>6</v>
      </c>
      <c r="M563" s="32" t="n">
        <v>44</v>
      </c>
      <c r="N563" s="31" t="n">
        <v>5171.29</v>
      </c>
      <c r="O563" s="31" t="n">
        <v>5171.29</v>
      </c>
      <c r="P563" s="22" t="n">
        <v>0</v>
      </c>
      <c r="Q563" s="22" t="n">
        <v>0</v>
      </c>
      <c r="R563" s="22" t="n">
        <v>0</v>
      </c>
    </row>
    <row r="564">
      <c r="A564" s="22" t="n">
        <v>201701</v>
      </c>
      <c r="B564" s="22" t="inlineStr">
        <is>
          <t>01/2017</t>
        </is>
      </c>
      <c r="C564" s="22" t="n">
        <v>22</v>
      </c>
      <c r="D564" s="22" t="inlineStr">
        <is>
          <t>S22</t>
        </is>
      </c>
      <c r="E564" s="22" t="inlineStr">
        <is>
          <t>Nexa Freistaat Thüringen (S22)</t>
        </is>
      </c>
      <c r="F564" s="22" t="inlineStr">
        <is>
          <t>Đức</t>
        </is>
      </c>
      <c r="G564" s="22" t="inlineStr">
        <is>
          <t>POS</t>
        </is>
      </c>
      <c r="H564" s="31" t="n">
        <v>3295.17</v>
      </c>
      <c r="I564" s="31" t="n">
        <v>60</v>
      </c>
      <c r="J564" s="31" t="n">
        <v>3235.17</v>
      </c>
      <c r="K564" s="31" t="n">
        <v>0</v>
      </c>
      <c r="L564" s="32" t="n">
        <v>2</v>
      </c>
      <c r="M564" s="32" t="n">
        <v>19</v>
      </c>
      <c r="N564" s="31" t="n">
        <v>3235.17</v>
      </c>
      <c r="O564" s="31" t="n">
        <v>3235.17</v>
      </c>
      <c r="P564" s="22" t="n">
        <v>0</v>
      </c>
      <c r="Q564" s="22" t="n">
        <v>0</v>
      </c>
      <c r="R564" s="22" t="n">
        <v>0</v>
      </c>
    </row>
    <row r="565">
      <c r="A565" s="22" t="n">
        <v>201701</v>
      </c>
      <c r="B565" s="22" t="inlineStr">
        <is>
          <t>01/2017</t>
        </is>
      </c>
      <c r="C565" s="22" t="n">
        <v>23</v>
      </c>
      <c r="D565" s="22" t="inlineStr">
        <is>
          <t>S23</t>
        </is>
      </c>
      <c r="E565" s="22" t="inlineStr">
        <is>
          <t>Nexa Hamburg (S23)</t>
        </is>
      </c>
      <c r="F565" s="22" t="inlineStr">
        <is>
          <t>Đức</t>
        </is>
      </c>
      <c r="G565" s="22" t="inlineStr">
        <is>
          <t>POS</t>
        </is>
      </c>
      <c r="H565" s="31" t="n">
        <v>7054.43</v>
      </c>
      <c r="I565" s="31" t="n">
        <v>0</v>
      </c>
      <c r="J565" s="31" t="n">
        <v>7054.43</v>
      </c>
      <c r="K565" s="31" t="n">
        <v>0</v>
      </c>
      <c r="L565" s="32" t="n">
        <v>4</v>
      </c>
      <c r="M565" s="32" t="n">
        <v>21</v>
      </c>
      <c r="N565" s="31" t="n">
        <v>7054.43</v>
      </c>
      <c r="O565" s="31" t="n">
        <v>7054.43</v>
      </c>
      <c r="P565" s="22" t="n">
        <v>0</v>
      </c>
      <c r="Q565" s="22" t="n">
        <v>0</v>
      </c>
      <c r="R565" s="22" t="n">
        <v>0</v>
      </c>
    </row>
    <row r="566">
      <c r="A566" s="22" t="n">
        <v>201701</v>
      </c>
      <c r="B566" s="22" t="inlineStr">
        <is>
          <t>01/2017</t>
        </is>
      </c>
      <c r="C566" s="22" t="n">
        <v>24</v>
      </c>
      <c r="D566" s="22" t="inlineStr">
        <is>
          <t>S24</t>
        </is>
      </c>
      <c r="E566" s="22" t="inlineStr">
        <is>
          <t>Nexa Hessen (S24)</t>
        </is>
      </c>
      <c r="F566" s="22" t="inlineStr">
        <is>
          <t>Đức</t>
        </is>
      </c>
      <c r="G566" s="22" t="inlineStr">
        <is>
          <t>POS</t>
        </is>
      </c>
      <c r="H566" s="31" t="n">
        <v>586.76</v>
      </c>
      <c r="I566" s="31" t="n">
        <v>5.79</v>
      </c>
      <c r="J566" s="31" t="n">
        <v>580.97</v>
      </c>
      <c r="K566" s="31" t="n">
        <v>0</v>
      </c>
      <c r="L566" s="32" t="n">
        <v>3</v>
      </c>
      <c r="M566" s="32" t="n">
        <v>8</v>
      </c>
      <c r="N566" s="31" t="n">
        <v>580.97</v>
      </c>
      <c r="O566" s="31" t="n">
        <v>580.97</v>
      </c>
      <c r="P566" s="22" t="n">
        <v>0</v>
      </c>
      <c r="Q566" s="22" t="n">
        <v>0</v>
      </c>
      <c r="R566" s="22" t="n">
        <v>0</v>
      </c>
    </row>
    <row r="567">
      <c r="A567" s="22" t="n">
        <v>201701</v>
      </c>
      <c r="B567" s="22" t="inlineStr">
        <is>
          <t>01/2017</t>
        </is>
      </c>
      <c r="C567" s="22" t="n">
        <v>27</v>
      </c>
      <c r="D567" s="22" t="inlineStr">
        <is>
          <t>S27</t>
        </is>
      </c>
      <c r="E567" s="22" t="inlineStr">
        <is>
          <t>Nexa Sachsen-Anhalt (S27)</t>
        </is>
      </c>
      <c r="F567" s="22" t="inlineStr">
        <is>
          <t>Đức</t>
        </is>
      </c>
      <c r="G567" s="22" t="inlineStr">
        <is>
          <t>POS</t>
        </is>
      </c>
      <c r="H567" s="31" t="n">
        <v>720.7</v>
      </c>
      <c r="I567" s="31" t="n">
        <v>36.03</v>
      </c>
      <c r="J567" s="31" t="n">
        <v>684.67</v>
      </c>
      <c r="K567" s="31" t="n">
        <v>0</v>
      </c>
      <c r="L567" s="32" t="n">
        <v>1</v>
      </c>
      <c r="M567" s="32" t="n">
        <v>11</v>
      </c>
      <c r="N567" s="31" t="n">
        <v>684.67</v>
      </c>
      <c r="O567" s="31" t="n">
        <v>684.67</v>
      </c>
      <c r="P567" s="22" t="n">
        <v>0</v>
      </c>
      <c r="Q567" s="22" t="n">
        <v>0</v>
      </c>
      <c r="R567" s="22" t="n">
        <v>0</v>
      </c>
    </row>
    <row r="568">
      <c r="A568" s="22" t="n">
        <v>201701</v>
      </c>
      <c r="B568" s="22" t="inlineStr">
        <is>
          <t>01/2017</t>
        </is>
      </c>
      <c r="C568" s="22" t="n">
        <v>28</v>
      </c>
      <c r="D568" s="22" t="inlineStr">
        <is>
          <t>S28</t>
        </is>
      </c>
      <c r="E568" s="22" t="inlineStr">
        <is>
          <t>Nexa Caltanissetta (S28)</t>
        </is>
      </c>
      <c r="F568" s="22" t="inlineStr">
        <is>
          <t>Ý</t>
        </is>
      </c>
      <c r="G568" s="22" t="inlineStr">
        <is>
          <t>POS</t>
        </is>
      </c>
      <c r="H568" s="31" t="n">
        <v>12059.23</v>
      </c>
      <c r="I568" s="31" t="n">
        <v>68.81</v>
      </c>
      <c r="J568" s="31" t="n">
        <v>11990.42</v>
      </c>
      <c r="K568" s="31" t="n">
        <v>271.84</v>
      </c>
      <c r="L568" s="32" t="n">
        <v>8</v>
      </c>
      <c r="M568" s="32" t="n">
        <v>42</v>
      </c>
      <c r="N568" s="31" t="n">
        <v>11718.58</v>
      </c>
      <c r="O568" s="31" t="n">
        <v>11990.42</v>
      </c>
      <c r="P568" s="22" t="n">
        <v>0</v>
      </c>
      <c r="Q568" s="22" t="n">
        <v>0</v>
      </c>
      <c r="R568" s="22" t="n">
        <v>0</v>
      </c>
    </row>
    <row r="569">
      <c r="A569" s="22" t="n">
        <v>201701</v>
      </c>
      <c r="B569" s="22" t="inlineStr">
        <is>
          <t>01/2017</t>
        </is>
      </c>
      <c r="C569" s="22" t="n">
        <v>29</v>
      </c>
      <c r="D569" s="22" t="inlineStr">
        <is>
          <t>S29</t>
        </is>
      </c>
      <c r="E569" s="22" t="inlineStr">
        <is>
          <t>Nexa Enna (S29)</t>
        </is>
      </c>
      <c r="F569" s="22" t="inlineStr">
        <is>
          <t>Ý</t>
        </is>
      </c>
      <c r="G569" s="22" t="inlineStr">
        <is>
          <t>POS</t>
        </is>
      </c>
      <c r="H569" s="31" t="n">
        <v>3895.05</v>
      </c>
      <c r="I569" s="31" t="n">
        <v>0</v>
      </c>
      <c r="J569" s="31" t="n">
        <v>3895.05</v>
      </c>
      <c r="K569" s="31" t="n">
        <v>13.89</v>
      </c>
      <c r="L569" s="32" t="n">
        <v>3</v>
      </c>
      <c r="M569" s="32" t="n">
        <v>31</v>
      </c>
      <c r="N569" s="31" t="n">
        <v>3881.16</v>
      </c>
      <c r="O569" s="31" t="n">
        <v>3895.05</v>
      </c>
      <c r="P569" s="22" t="n">
        <v>1</v>
      </c>
      <c r="Q569" s="22" t="n">
        <v>0</v>
      </c>
      <c r="R569" s="22" t="n">
        <v>0</v>
      </c>
    </row>
    <row r="570">
      <c r="A570" s="22" t="n">
        <v>201701</v>
      </c>
      <c r="B570" s="22" t="inlineStr">
        <is>
          <t>01/2017</t>
        </is>
      </c>
      <c r="C570" s="22" t="n">
        <v>30</v>
      </c>
      <c r="D570" s="22" t="inlineStr">
        <is>
          <t>S30</t>
        </is>
      </c>
      <c r="E570" s="22" t="inlineStr">
        <is>
          <t>Nexa Pesaro (S30)</t>
        </is>
      </c>
      <c r="F570" s="22" t="inlineStr">
        <is>
          <t>Ý</t>
        </is>
      </c>
      <c r="G570" s="22" t="inlineStr">
        <is>
          <t>POS</t>
        </is>
      </c>
      <c r="H570" s="31" t="n">
        <v>15202.22</v>
      </c>
      <c r="I570" s="31" t="n">
        <v>744.47</v>
      </c>
      <c r="J570" s="31" t="n">
        <v>14457.75</v>
      </c>
      <c r="K570" s="31" t="n">
        <v>970.8</v>
      </c>
      <c r="L570" s="32" t="n">
        <v>4</v>
      </c>
      <c r="M570" s="32" t="n">
        <v>43</v>
      </c>
      <c r="N570" s="31" t="n">
        <v>13486.95</v>
      </c>
      <c r="O570" s="31" t="n">
        <v>14457.75</v>
      </c>
      <c r="P570" s="22" t="n">
        <v>0</v>
      </c>
      <c r="Q570" s="22" t="n">
        <v>0</v>
      </c>
      <c r="R570" s="22" t="n">
        <v>0</v>
      </c>
    </row>
    <row r="571">
      <c r="A571" s="22" t="n">
        <v>201701</v>
      </c>
      <c r="B571" s="22" t="inlineStr">
        <is>
          <t>01/2017</t>
        </is>
      </c>
      <c r="C571" s="22" t="n">
        <v>32</v>
      </c>
      <c r="D571" s="22" t="inlineStr">
        <is>
          <t>S32</t>
        </is>
      </c>
      <c r="E571" s="22" t="inlineStr">
        <is>
          <t>Nexa Flevoland (S32)</t>
        </is>
      </c>
      <c r="F571" s="22" t="inlineStr">
        <is>
          <t>Hà Lan</t>
        </is>
      </c>
      <c r="G571" s="22" t="inlineStr">
        <is>
          <t>POS</t>
        </is>
      </c>
      <c r="H571" s="31" t="n">
        <v>0</v>
      </c>
      <c r="I571" s="31" t="n">
        <v>0</v>
      </c>
      <c r="J571" s="31" t="n">
        <v>0</v>
      </c>
      <c r="K571" s="31" t="n">
        <v>878</v>
      </c>
      <c r="L571" s="32" t="n">
        <v>0</v>
      </c>
      <c r="M571" s="32" t="n">
        <v>0</v>
      </c>
      <c r="N571" s="31" t="n">
        <v>-878</v>
      </c>
      <c r="O571" s="31" t="n">
        <v>0</v>
      </c>
      <c r="P571" s="22" t="n">
        <v>0</v>
      </c>
      <c r="Q571" s="22" t="n">
        <v>0</v>
      </c>
      <c r="R571" s="22" t="n">
        <v>0</v>
      </c>
    </row>
    <row r="572">
      <c r="A572" s="22" t="n">
        <v>201701</v>
      </c>
      <c r="B572" s="22" t="inlineStr">
        <is>
          <t>01/2017</t>
        </is>
      </c>
      <c r="C572" s="22" t="n">
        <v>33</v>
      </c>
      <c r="D572" s="22" t="inlineStr">
        <is>
          <t>S33</t>
        </is>
      </c>
      <c r="E572" s="22" t="inlineStr">
        <is>
          <t>Nexa Friesland (S33)</t>
        </is>
      </c>
      <c r="F572" s="22" t="inlineStr">
        <is>
          <t>Hà Lan</t>
        </is>
      </c>
      <c r="G572" s="22" t="inlineStr">
        <is>
          <t>POS</t>
        </is>
      </c>
      <c r="H572" s="31" t="n">
        <v>3891.13</v>
      </c>
      <c r="I572" s="31" t="n">
        <v>0</v>
      </c>
      <c r="J572" s="31" t="n">
        <v>3891.13</v>
      </c>
      <c r="K572" s="31" t="n">
        <v>0</v>
      </c>
      <c r="L572" s="32" t="n">
        <v>1</v>
      </c>
      <c r="M572" s="32" t="n">
        <v>10</v>
      </c>
      <c r="N572" s="31" t="n">
        <v>3891.13</v>
      </c>
      <c r="O572" s="31" t="n">
        <v>3891.13</v>
      </c>
      <c r="P572" s="22" t="n">
        <v>0</v>
      </c>
      <c r="Q572" s="22" t="n">
        <v>0</v>
      </c>
      <c r="R572" s="22" t="n">
        <v>0</v>
      </c>
    </row>
    <row r="573">
      <c r="A573" s="22" t="n">
        <v>201701</v>
      </c>
      <c r="B573" s="22" t="inlineStr">
        <is>
          <t>01/2017</t>
        </is>
      </c>
      <c r="C573" s="22" t="n">
        <v>34</v>
      </c>
      <c r="D573" s="22" t="inlineStr">
        <is>
          <t>S34</t>
        </is>
      </c>
      <c r="E573" s="22" t="inlineStr">
        <is>
          <t>Nexa Groningen (S34)</t>
        </is>
      </c>
      <c r="F573" s="22" t="inlineStr">
        <is>
          <t>Hà Lan</t>
        </is>
      </c>
      <c r="G573" s="22" t="inlineStr">
        <is>
          <t>POS</t>
        </is>
      </c>
      <c r="H573" s="31" t="n">
        <v>10270.91</v>
      </c>
      <c r="I573" s="31" t="n">
        <v>389.44</v>
      </c>
      <c r="J573" s="31" t="n">
        <v>9881.469999999999</v>
      </c>
      <c r="K573" s="31" t="n">
        <v>0</v>
      </c>
      <c r="L573" s="32" t="n">
        <v>6</v>
      </c>
      <c r="M573" s="32" t="n">
        <v>49</v>
      </c>
      <c r="N573" s="31" t="n">
        <v>9881.469999999999</v>
      </c>
      <c r="O573" s="31" t="n">
        <v>9881.469999999999</v>
      </c>
      <c r="P573" s="22" t="n">
        <v>0</v>
      </c>
      <c r="Q573" s="22" t="n">
        <v>0</v>
      </c>
      <c r="R573" s="22" t="n">
        <v>0</v>
      </c>
    </row>
    <row r="574">
      <c r="A574" s="22" t="n">
        <v>201701</v>
      </c>
      <c r="B574" s="22" t="inlineStr">
        <is>
          <t>01/2017</t>
        </is>
      </c>
      <c r="C574" s="22" t="n">
        <v>36</v>
      </c>
      <c r="D574" s="22" t="inlineStr">
        <is>
          <t>S36</t>
        </is>
      </c>
      <c r="E574" s="22" t="inlineStr">
        <is>
          <t>Nexa Armagh (S36)</t>
        </is>
      </c>
      <c r="F574" s="22" t="inlineStr">
        <is>
          <t>Anh</t>
        </is>
      </c>
      <c r="G574" s="22" t="inlineStr">
        <is>
          <t>POS</t>
        </is>
      </c>
      <c r="H574" s="31" t="n">
        <v>13026.11</v>
      </c>
      <c r="I574" s="31" t="n">
        <v>0</v>
      </c>
      <c r="J574" s="31" t="n">
        <v>13026.11</v>
      </c>
      <c r="K574" s="31" t="n">
        <v>0</v>
      </c>
      <c r="L574" s="32" t="n">
        <v>4</v>
      </c>
      <c r="M574" s="32" t="n">
        <v>37</v>
      </c>
      <c r="N574" s="31" t="n">
        <v>13006.13</v>
      </c>
      <c r="O574" s="31" t="n">
        <v>13026.11</v>
      </c>
      <c r="P574" s="22" t="n">
        <v>0</v>
      </c>
      <c r="Q574" s="22" t="n">
        <v>0</v>
      </c>
      <c r="R574" s="22" t="n">
        <v>0</v>
      </c>
    </row>
    <row r="575">
      <c r="A575" s="22" t="n">
        <v>201701</v>
      </c>
      <c r="B575" s="22" t="inlineStr">
        <is>
          <t>01/2017</t>
        </is>
      </c>
      <c r="C575" s="22" t="n">
        <v>37</v>
      </c>
      <c r="D575" s="22" t="inlineStr">
        <is>
          <t>S37</t>
        </is>
      </c>
      <c r="E575" s="22" t="inlineStr">
        <is>
          <t>Nexa Ayrshire (S37)</t>
        </is>
      </c>
      <c r="F575" s="22" t="inlineStr">
        <is>
          <t>Anh</t>
        </is>
      </c>
      <c r="G575" s="22" t="inlineStr">
        <is>
          <t>POS</t>
        </is>
      </c>
      <c r="H575" s="31" t="n">
        <v>6161.63</v>
      </c>
      <c r="I575" s="31" t="n">
        <v>94.48</v>
      </c>
      <c r="J575" s="31" t="n">
        <v>6067.15</v>
      </c>
      <c r="K575" s="31" t="n">
        <v>0</v>
      </c>
      <c r="L575" s="32" t="n">
        <v>2</v>
      </c>
      <c r="M575" s="32" t="n">
        <v>17</v>
      </c>
      <c r="N575" s="31" t="n">
        <v>6067.15</v>
      </c>
      <c r="O575" s="31" t="n">
        <v>6067.15</v>
      </c>
      <c r="P575" s="22" t="n">
        <v>0</v>
      </c>
      <c r="Q575" s="22" t="n">
        <v>0</v>
      </c>
      <c r="R575" s="22" t="n">
        <v>0</v>
      </c>
    </row>
    <row r="576">
      <c r="A576" s="22" t="n">
        <v>201701</v>
      </c>
      <c r="B576" s="22" t="inlineStr">
        <is>
          <t>01/2017</t>
        </is>
      </c>
      <c r="C576" s="22" t="n">
        <v>38</v>
      </c>
      <c r="D576" s="22" t="inlineStr">
        <is>
          <t>S38</t>
        </is>
      </c>
      <c r="E576" s="22" t="inlineStr">
        <is>
          <t>Nexa Belfast (S38)</t>
        </is>
      </c>
      <c r="F576" s="22" t="inlineStr">
        <is>
          <t>Anh</t>
        </is>
      </c>
      <c r="G576" s="22" t="inlineStr">
        <is>
          <t>POS</t>
        </is>
      </c>
      <c r="H576" s="31" t="n">
        <v>26725.42</v>
      </c>
      <c r="I576" s="31" t="n">
        <v>719.3099999999999</v>
      </c>
      <c r="J576" s="31" t="n">
        <v>26006.11</v>
      </c>
      <c r="K576" s="31" t="n">
        <v>0</v>
      </c>
      <c r="L576" s="32" t="n">
        <v>8</v>
      </c>
      <c r="M576" s="32" t="n">
        <v>84</v>
      </c>
      <c r="N576" s="31" t="n">
        <v>26006.11</v>
      </c>
      <c r="O576" s="31" t="n">
        <v>26006.11</v>
      </c>
      <c r="P576" s="22" t="n">
        <v>0</v>
      </c>
      <c r="Q576" s="22" t="n">
        <v>0</v>
      </c>
      <c r="R576" s="22" t="n">
        <v>0</v>
      </c>
    </row>
    <row r="577">
      <c r="A577" s="22" t="n">
        <v>201701</v>
      </c>
      <c r="B577" s="22" t="inlineStr">
        <is>
          <t>01/2017</t>
        </is>
      </c>
      <c r="C577" s="22" t="n">
        <v>39</v>
      </c>
      <c r="D577" s="22" t="inlineStr">
        <is>
          <t>S39</t>
        </is>
      </c>
      <c r="E577" s="22" t="inlineStr">
        <is>
          <t>Nexa Blaenau Gwent (S39)</t>
        </is>
      </c>
      <c r="F577" s="22" t="inlineStr">
        <is>
          <t>Anh</t>
        </is>
      </c>
      <c r="G577" s="22" t="inlineStr">
        <is>
          <t>POS</t>
        </is>
      </c>
      <c r="H577" s="31" t="n">
        <v>16786.54</v>
      </c>
      <c r="I577" s="31" t="n">
        <v>270.95</v>
      </c>
      <c r="J577" s="31" t="n">
        <v>16515.59</v>
      </c>
      <c r="K577" s="31" t="n">
        <v>0</v>
      </c>
      <c r="L577" s="32" t="n">
        <v>5</v>
      </c>
      <c r="M577" s="32" t="n">
        <v>43</v>
      </c>
      <c r="N577" s="31" t="n">
        <v>16515.59</v>
      </c>
      <c r="O577" s="31" t="n">
        <v>16515.59</v>
      </c>
      <c r="P577" s="22" t="n">
        <v>1</v>
      </c>
      <c r="Q577" s="22" t="n">
        <v>0</v>
      </c>
      <c r="R577" s="22" t="n">
        <v>0</v>
      </c>
    </row>
    <row r="578">
      <c r="A578" s="22" t="n">
        <v>201701</v>
      </c>
      <c r="B578" s="22" t="inlineStr">
        <is>
          <t>01/2017</t>
        </is>
      </c>
      <c r="C578" s="22" t="n">
        <v>40</v>
      </c>
      <c r="D578" s="22" t="inlineStr">
        <is>
          <t>S40</t>
        </is>
      </c>
      <c r="E578" s="22" t="inlineStr">
        <is>
          <t>Nexa Dungannon and South Tyrone (S40)</t>
        </is>
      </c>
      <c r="F578" s="22" t="inlineStr">
        <is>
          <t>Anh</t>
        </is>
      </c>
      <c r="G578" s="22" t="inlineStr">
        <is>
          <t>POS</t>
        </is>
      </c>
      <c r="H578" s="31" t="n">
        <v>8124.69</v>
      </c>
      <c r="I578" s="31" t="n">
        <v>15.86</v>
      </c>
      <c r="J578" s="31" t="n">
        <v>8108.83</v>
      </c>
      <c r="K578" s="31" t="n">
        <v>0</v>
      </c>
      <c r="L578" s="32" t="n">
        <v>7</v>
      </c>
      <c r="M578" s="32" t="n">
        <v>39</v>
      </c>
      <c r="N578" s="31" t="n">
        <v>8108.83</v>
      </c>
      <c r="O578" s="31" t="n">
        <v>8108.83</v>
      </c>
      <c r="P578" s="22" t="n">
        <v>0</v>
      </c>
      <c r="Q578" s="22" t="n">
        <v>0</v>
      </c>
      <c r="R578" s="22" t="n">
        <v>0</v>
      </c>
    </row>
    <row r="579">
      <c r="A579" s="22" t="n">
        <v>201701</v>
      </c>
      <c r="B579" s="22" t="inlineStr">
        <is>
          <t>01/2017</t>
        </is>
      </c>
      <c r="C579" s="22" t="n">
        <v>41</v>
      </c>
      <c r="D579" s="22" t="inlineStr">
        <is>
          <t>S41</t>
        </is>
      </c>
      <c r="E579" s="22" t="inlineStr">
        <is>
          <t>Nexa Fermanagh (S41)</t>
        </is>
      </c>
      <c r="F579" s="22" t="inlineStr">
        <is>
          <t>Anh</t>
        </is>
      </c>
      <c r="G579" s="22" t="inlineStr">
        <is>
          <t>POS</t>
        </is>
      </c>
      <c r="H579" s="31" t="n">
        <v>22617.91</v>
      </c>
      <c r="I579" s="31" t="n">
        <v>270.28</v>
      </c>
      <c r="J579" s="31" t="n">
        <v>22347.63</v>
      </c>
      <c r="K579" s="31" t="n">
        <v>39</v>
      </c>
      <c r="L579" s="32" t="n">
        <v>10</v>
      </c>
      <c r="M579" s="32" t="n">
        <v>84</v>
      </c>
      <c r="N579" s="31" t="n">
        <v>22308.63</v>
      </c>
      <c r="O579" s="31" t="n">
        <v>22347.63</v>
      </c>
      <c r="P579" s="22" t="n">
        <v>1</v>
      </c>
      <c r="Q579" s="22" t="n">
        <v>0</v>
      </c>
      <c r="R579" s="22" t="n">
        <v>0</v>
      </c>
    </row>
    <row r="580">
      <c r="A580" s="22" t="n">
        <v>201701</v>
      </c>
      <c r="B580" s="22" t="inlineStr">
        <is>
          <t>01/2017</t>
        </is>
      </c>
      <c r="C580" s="22" t="n">
        <v>42</v>
      </c>
      <c r="D580" s="22" t="inlineStr">
        <is>
          <t>S42</t>
        </is>
      </c>
      <c r="E580" s="22" t="inlineStr">
        <is>
          <t>Nexa North Down (S42)</t>
        </is>
      </c>
      <c r="F580" s="22" t="inlineStr">
        <is>
          <t>Anh</t>
        </is>
      </c>
      <c r="G580" s="22" t="inlineStr">
        <is>
          <t>POS</t>
        </is>
      </c>
      <c r="H580" s="31" t="n">
        <v>37939.24</v>
      </c>
      <c r="I580" s="31" t="n">
        <v>386.08</v>
      </c>
      <c r="J580" s="31" t="n">
        <v>37553.16</v>
      </c>
      <c r="K580" s="31" t="n">
        <v>0</v>
      </c>
      <c r="L580" s="32" t="n">
        <v>11</v>
      </c>
      <c r="M580" s="32" t="n">
        <v>148</v>
      </c>
      <c r="N580" s="31" t="n">
        <v>37553.16</v>
      </c>
      <c r="O580" s="31" t="n">
        <v>37553.16</v>
      </c>
      <c r="P580" s="22" t="n">
        <v>0</v>
      </c>
      <c r="Q580" s="22" t="n">
        <v>0</v>
      </c>
      <c r="R580" s="22" t="n">
        <v>0</v>
      </c>
    </row>
    <row r="581">
      <c r="A581" s="22" t="n">
        <v>201701</v>
      </c>
      <c r="B581" s="22" t="inlineStr">
        <is>
          <t>01/2017</t>
        </is>
      </c>
      <c r="C581" s="22" t="n">
        <v>43</v>
      </c>
      <c r="D581" s="22" t="inlineStr">
        <is>
          <t>S43</t>
        </is>
      </c>
      <c r="E581" s="22" t="inlineStr">
        <is>
          <t>Nexa Alaska (S43)</t>
        </is>
      </c>
      <c r="F581" s="22" t="inlineStr">
        <is>
          <t>Mỹ</t>
        </is>
      </c>
      <c r="G581" s="22" t="inlineStr">
        <is>
          <t>POS</t>
        </is>
      </c>
      <c r="H581" s="31" t="n">
        <v>13792.74</v>
      </c>
      <c r="I581" s="31" t="n">
        <v>278.4</v>
      </c>
      <c r="J581" s="31" t="n">
        <v>13514.34</v>
      </c>
      <c r="K581" s="31" t="n">
        <v>0</v>
      </c>
      <c r="L581" s="32" t="n">
        <v>4</v>
      </c>
      <c r="M581" s="32" t="n">
        <v>25</v>
      </c>
      <c r="N581" s="31" t="n">
        <v>13514.34</v>
      </c>
      <c r="O581" s="31" t="n">
        <v>13514.34</v>
      </c>
      <c r="P581" s="22" t="n">
        <v>0</v>
      </c>
      <c r="Q581" s="22" t="n">
        <v>0</v>
      </c>
      <c r="R581" s="22" t="n">
        <v>0</v>
      </c>
    </row>
    <row r="582">
      <c r="A582" s="22" t="n">
        <v>201701</v>
      </c>
      <c r="B582" s="22" t="inlineStr">
        <is>
          <t>01/2017</t>
        </is>
      </c>
      <c r="C582" s="22" t="n">
        <v>44</v>
      </c>
      <c r="D582" s="22" t="inlineStr">
        <is>
          <t>S44</t>
        </is>
      </c>
      <c r="E582" s="22" t="inlineStr">
        <is>
          <t>Nexa Arkansas (S44)</t>
        </is>
      </c>
      <c r="F582" s="22" t="inlineStr">
        <is>
          <t>Mỹ</t>
        </is>
      </c>
      <c r="G582" s="22" t="inlineStr">
        <is>
          <t>POS</t>
        </is>
      </c>
      <c r="H582" s="31" t="n">
        <v>25587.59</v>
      </c>
      <c r="I582" s="31" t="n">
        <v>570.34</v>
      </c>
      <c r="J582" s="31" t="n">
        <v>25017.25</v>
      </c>
      <c r="K582" s="31" t="n">
        <v>14.85</v>
      </c>
      <c r="L582" s="32" t="n">
        <v>9</v>
      </c>
      <c r="M582" s="32" t="n">
        <v>108</v>
      </c>
      <c r="N582" s="31" t="n">
        <v>25002.4</v>
      </c>
      <c r="O582" s="31" t="n">
        <v>25017.25</v>
      </c>
      <c r="P582" s="22" t="n">
        <v>1</v>
      </c>
      <c r="Q582" s="22" t="n">
        <v>0</v>
      </c>
      <c r="R582" s="22" t="n">
        <v>0</v>
      </c>
    </row>
    <row r="583">
      <c r="A583" s="22" t="n">
        <v>201701</v>
      </c>
      <c r="B583" s="22" t="inlineStr">
        <is>
          <t>01/2017</t>
        </is>
      </c>
      <c r="C583" s="22" t="n">
        <v>45</v>
      </c>
      <c r="D583" s="22" t="inlineStr">
        <is>
          <t>S45</t>
        </is>
      </c>
      <c r="E583" s="22" t="inlineStr">
        <is>
          <t>Nexa Connecticut (S45)</t>
        </is>
      </c>
      <c r="F583" s="22" t="inlineStr">
        <is>
          <t>Mỹ</t>
        </is>
      </c>
      <c r="G583" s="22" t="inlineStr">
        <is>
          <t>POS</t>
        </is>
      </c>
      <c r="H583" s="31" t="n">
        <v>21177.38</v>
      </c>
      <c r="I583" s="31" t="n">
        <v>326.44</v>
      </c>
      <c r="J583" s="31" t="n">
        <v>20850.94</v>
      </c>
      <c r="K583" s="31" t="n">
        <v>0</v>
      </c>
      <c r="L583" s="32" t="n">
        <v>7</v>
      </c>
      <c r="M583" s="32" t="n">
        <v>59</v>
      </c>
      <c r="N583" s="31" t="n">
        <v>20850.94</v>
      </c>
      <c r="O583" s="31" t="n">
        <v>20850.94</v>
      </c>
      <c r="P583" s="22" t="n">
        <v>0</v>
      </c>
      <c r="Q583" s="22" t="n">
        <v>0</v>
      </c>
      <c r="R583" s="22" t="n">
        <v>0</v>
      </c>
    </row>
    <row r="584">
      <c r="A584" s="22" t="n">
        <v>201701</v>
      </c>
      <c r="B584" s="22" t="inlineStr">
        <is>
          <t>01/2017</t>
        </is>
      </c>
      <c r="C584" s="22" t="n">
        <v>47</v>
      </c>
      <c r="D584" s="22" t="inlineStr">
        <is>
          <t>S47</t>
        </is>
      </c>
      <c r="E584" s="22" t="inlineStr">
        <is>
          <t>Nexa Hawaii (S47)</t>
        </is>
      </c>
      <c r="F584" s="22" t="inlineStr">
        <is>
          <t>Mỹ</t>
        </is>
      </c>
      <c r="G584" s="22" t="inlineStr">
        <is>
          <t>POS</t>
        </is>
      </c>
      <c r="H584" s="31" t="n">
        <v>8668.66</v>
      </c>
      <c r="I584" s="31" t="n">
        <v>11.57</v>
      </c>
      <c r="J584" s="31" t="n">
        <v>8657.09</v>
      </c>
      <c r="K584" s="31" t="n">
        <v>0</v>
      </c>
      <c r="L584" s="32" t="n">
        <v>5</v>
      </c>
      <c r="M584" s="32" t="n">
        <v>40</v>
      </c>
      <c r="N584" s="31" t="n">
        <v>8657.09</v>
      </c>
      <c r="O584" s="31" t="n">
        <v>8657.09</v>
      </c>
      <c r="P584" s="22" t="n">
        <v>0</v>
      </c>
      <c r="Q584" s="22" t="n">
        <v>0</v>
      </c>
      <c r="R584" s="22" t="n">
        <v>0</v>
      </c>
    </row>
    <row r="585">
      <c r="A585" s="22" t="n">
        <v>201701</v>
      </c>
      <c r="B585" s="22" t="inlineStr">
        <is>
          <t>01/2017</t>
        </is>
      </c>
      <c r="C585" s="22" t="n">
        <v>48</v>
      </c>
      <c r="D585" s="22" t="inlineStr">
        <is>
          <t>S48</t>
        </is>
      </c>
      <c r="E585" s="22" t="inlineStr">
        <is>
          <t>Nexa Idaho (S48)</t>
        </is>
      </c>
      <c r="F585" s="22" t="inlineStr">
        <is>
          <t>Mỹ</t>
        </is>
      </c>
      <c r="G585" s="22" t="inlineStr">
        <is>
          <t>POS</t>
        </is>
      </c>
      <c r="H585" s="31" t="n">
        <v>12571.38</v>
      </c>
      <c r="I585" s="31" t="n">
        <v>350.43</v>
      </c>
      <c r="J585" s="31" t="n">
        <v>12220.95</v>
      </c>
      <c r="K585" s="31" t="n">
        <v>0</v>
      </c>
      <c r="L585" s="32" t="n">
        <v>8</v>
      </c>
      <c r="M585" s="32" t="n">
        <v>52</v>
      </c>
      <c r="N585" s="31" t="n">
        <v>12220.95</v>
      </c>
      <c r="O585" s="31" t="n">
        <v>12220.95</v>
      </c>
      <c r="P585" s="22" t="n">
        <v>1</v>
      </c>
      <c r="Q585" s="22" t="n">
        <v>0</v>
      </c>
      <c r="R585" s="22" t="n">
        <v>0</v>
      </c>
    </row>
    <row r="586">
      <c r="A586" s="22" t="n">
        <v>201701</v>
      </c>
      <c r="B586" s="22" t="inlineStr">
        <is>
          <t>01/2017</t>
        </is>
      </c>
      <c r="C586" s="22" t="n">
        <v>50</v>
      </c>
      <c r="D586" s="22" t="inlineStr">
        <is>
          <t>S50</t>
        </is>
      </c>
      <c r="E586" s="22" t="inlineStr">
        <is>
          <t>Nexa Kansas (S50)</t>
        </is>
      </c>
      <c r="F586" s="22" t="inlineStr">
        <is>
          <t>Mỹ</t>
        </is>
      </c>
      <c r="G586" s="22" t="inlineStr">
        <is>
          <t>POS</t>
        </is>
      </c>
      <c r="H586" s="31" t="n">
        <v>32721.78</v>
      </c>
      <c r="I586" s="31" t="n">
        <v>311.61</v>
      </c>
      <c r="J586" s="31" t="n">
        <v>32410.17</v>
      </c>
      <c r="K586" s="31" t="n">
        <v>515</v>
      </c>
      <c r="L586" s="32" t="n">
        <v>8</v>
      </c>
      <c r="M586" s="32" t="n">
        <v>89</v>
      </c>
      <c r="N586" s="31" t="n">
        <v>31895.17</v>
      </c>
      <c r="O586" s="31" t="n">
        <v>32410.17</v>
      </c>
      <c r="P586" s="22" t="n">
        <v>0</v>
      </c>
      <c r="Q586" s="22" t="n">
        <v>0</v>
      </c>
      <c r="R586" s="22" t="n">
        <v>0</v>
      </c>
    </row>
    <row r="587">
      <c r="A587" s="22" t="n">
        <v>201701</v>
      </c>
      <c r="B587" s="22" t="inlineStr">
        <is>
          <t>01/2017</t>
        </is>
      </c>
      <c r="C587" s="22" t="n">
        <v>51</v>
      </c>
      <c r="D587" s="22" t="inlineStr">
        <is>
          <t>S51</t>
        </is>
      </c>
      <c r="E587" s="22" t="inlineStr">
        <is>
          <t>Nexa Maine (S51)</t>
        </is>
      </c>
      <c r="F587" s="22" t="inlineStr">
        <is>
          <t>Mỹ</t>
        </is>
      </c>
      <c r="G587" s="22" t="inlineStr">
        <is>
          <t>POS</t>
        </is>
      </c>
      <c r="H587" s="31" t="n">
        <v>7624.85</v>
      </c>
      <c r="I587" s="31" t="n">
        <v>231</v>
      </c>
      <c r="J587" s="31" t="n">
        <v>7393.85</v>
      </c>
      <c r="K587" s="31" t="n">
        <v>1640</v>
      </c>
      <c r="L587" s="32" t="n">
        <v>6</v>
      </c>
      <c r="M587" s="32" t="n">
        <v>31</v>
      </c>
      <c r="N587" s="31" t="n">
        <v>5753.85</v>
      </c>
      <c r="O587" s="31" t="n">
        <v>7393.85</v>
      </c>
      <c r="P587" s="22" t="n">
        <v>0</v>
      </c>
      <c r="Q587" s="22" t="n">
        <v>0</v>
      </c>
      <c r="R587" s="22" t="n">
        <v>0</v>
      </c>
    </row>
    <row r="588">
      <c r="A588" s="22" t="n">
        <v>201701</v>
      </c>
      <c r="B588" s="22" t="inlineStr">
        <is>
          <t>01/2017</t>
        </is>
      </c>
      <c r="C588" s="22" t="n">
        <v>53</v>
      </c>
      <c r="D588" s="22" t="inlineStr">
        <is>
          <t>S53</t>
        </is>
      </c>
      <c r="E588" s="22" t="inlineStr">
        <is>
          <t>Nexa Montana (S53)</t>
        </is>
      </c>
      <c r="F588" s="22" t="inlineStr">
        <is>
          <t>Mỹ</t>
        </is>
      </c>
      <c r="G588" s="22" t="inlineStr">
        <is>
          <t>POS</t>
        </is>
      </c>
      <c r="H588" s="31" t="n">
        <v>10263.28</v>
      </c>
      <c r="I588" s="31" t="n">
        <v>499.37</v>
      </c>
      <c r="J588" s="31" t="n">
        <v>9763.91</v>
      </c>
      <c r="K588" s="31" t="n">
        <v>0</v>
      </c>
      <c r="L588" s="32" t="n">
        <v>3</v>
      </c>
      <c r="M588" s="32" t="n">
        <v>19</v>
      </c>
      <c r="N588" s="31" t="n">
        <v>9763.91</v>
      </c>
      <c r="O588" s="31" t="n">
        <v>9763.91</v>
      </c>
      <c r="P588" s="22" t="n">
        <v>0</v>
      </c>
      <c r="Q588" s="22" t="n">
        <v>0</v>
      </c>
      <c r="R588" s="22" t="n">
        <v>0</v>
      </c>
    </row>
    <row r="589">
      <c r="A589" s="22" t="n">
        <v>201701</v>
      </c>
      <c r="B589" s="22" t="inlineStr">
        <is>
          <t>01/2017</t>
        </is>
      </c>
      <c r="C589" s="22" t="n">
        <v>54</v>
      </c>
      <c r="D589" s="22" t="inlineStr">
        <is>
          <t>S54</t>
        </is>
      </c>
      <c r="E589" s="22" t="inlineStr">
        <is>
          <t>Nexa Nebraska (S54)</t>
        </is>
      </c>
      <c r="F589" s="22" t="inlineStr">
        <is>
          <t>Mỹ</t>
        </is>
      </c>
      <c r="G589" s="22" t="inlineStr">
        <is>
          <t>POS</t>
        </is>
      </c>
      <c r="H589" s="31" t="n">
        <v>18173.56</v>
      </c>
      <c r="I589" s="31" t="n">
        <v>0</v>
      </c>
      <c r="J589" s="31" t="n">
        <v>18173.56</v>
      </c>
      <c r="K589" s="31" t="n">
        <v>0</v>
      </c>
      <c r="L589" s="32" t="n">
        <v>4</v>
      </c>
      <c r="M589" s="32" t="n">
        <v>52</v>
      </c>
      <c r="N589" s="31" t="n">
        <v>18173.56</v>
      </c>
      <c r="O589" s="31" t="n">
        <v>18173.56</v>
      </c>
      <c r="P589" s="22" t="n">
        <v>1</v>
      </c>
      <c r="Q589" s="22" t="n">
        <v>0</v>
      </c>
      <c r="R589" s="22" t="n">
        <v>0</v>
      </c>
    </row>
    <row r="590">
      <c r="A590" s="22" t="n">
        <v>201701</v>
      </c>
      <c r="B590" s="22" t="inlineStr">
        <is>
          <t>01/2017</t>
        </is>
      </c>
      <c r="C590" s="22" t="n">
        <v>55</v>
      </c>
      <c r="D590" s="22" t="inlineStr">
        <is>
          <t>S55</t>
        </is>
      </c>
      <c r="E590" s="22" t="inlineStr">
        <is>
          <t>Nexa Nevada (S55)</t>
        </is>
      </c>
      <c r="F590" s="22" t="inlineStr">
        <is>
          <t>Mỹ</t>
        </is>
      </c>
      <c r="G590" s="22" t="inlineStr">
        <is>
          <t>POS</t>
        </is>
      </c>
      <c r="H590" s="31" t="n">
        <v>19036.69</v>
      </c>
      <c r="I590" s="31" t="n">
        <v>801.14</v>
      </c>
      <c r="J590" s="31" t="n">
        <v>18235.55</v>
      </c>
      <c r="K590" s="31" t="n">
        <v>199.98</v>
      </c>
      <c r="L590" s="32" t="n">
        <v>7</v>
      </c>
      <c r="M590" s="32" t="n">
        <v>37</v>
      </c>
      <c r="N590" s="31" t="n">
        <v>18035.57</v>
      </c>
      <c r="O590" s="31" t="n">
        <v>18235.55</v>
      </c>
      <c r="P590" s="22" t="n">
        <v>0</v>
      </c>
      <c r="Q590" s="22" t="n">
        <v>0</v>
      </c>
      <c r="R590" s="22" t="n">
        <v>0</v>
      </c>
    </row>
    <row r="591">
      <c r="A591" s="22" t="n">
        <v>201701</v>
      </c>
      <c r="B591" s="22" t="inlineStr">
        <is>
          <t>01/2017</t>
        </is>
      </c>
      <c r="C591" s="22" t="n">
        <v>56</v>
      </c>
      <c r="D591" s="22" t="inlineStr">
        <is>
          <t>S56</t>
        </is>
      </c>
      <c r="E591" s="22" t="inlineStr">
        <is>
          <t>Nexa New Hampshire (S56)</t>
        </is>
      </c>
      <c r="F591" s="22" t="inlineStr">
        <is>
          <t>Mỹ</t>
        </is>
      </c>
      <c r="G591" s="22" t="inlineStr">
        <is>
          <t>POS</t>
        </is>
      </c>
      <c r="H591" s="31" t="n">
        <v>8206.93</v>
      </c>
      <c r="I591" s="31" t="n">
        <v>197.4</v>
      </c>
      <c r="J591" s="31" t="n">
        <v>8009.53</v>
      </c>
      <c r="K591" s="31" t="n">
        <v>645</v>
      </c>
      <c r="L591" s="32" t="n">
        <v>3</v>
      </c>
      <c r="M591" s="32" t="n">
        <v>28</v>
      </c>
      <c r="N591" s="31" t="n">
        <v>7364.53</v>
      </c>
      <c r="O591" s="31" t="n">
        <v>8009.53</v>
      </c>
      <c r="P591" s="22" t="n">
        <v>0</v>
      </c>
      <c r="Q591" s="22" t="n">
        <v>0</v>
      </c>
      <c r="R591" s="22" t="n">
        <v>0</v>
      </c>
    </row>
    <row r="592">
      <c r="A592" s="22" t="n">
        <v>201701</v>
      </c>
      <c r="B592" s="22" t="inlineStr">
        <is>
          <t>01/2017</t>
        </is>
      </c>
      <c r="C592" s="22" t="n">
        <v>57</v>
      </c>
      <c r="D592" s="22" t="inlineStr">
        <is>
          <t>S57</t>
        </is>
      </c>
      <c r="E592" s="22" t="inlineStr">
        <is>
          <t>Nexa New Mexico (S57)</t>
        </is>
      </c>
      <c r="F592" s="22" t="inlineStr">
        <is>
          <t>Mỹ</t>
        </is>
      </c>
      <c r="G592" s="22" t="inlineStr">
        <is>
          <t>POS</t>
        </is>
      </c>
      <c r="H592" s="31" t="n">
        <v>9764.540000000001</v>
      </c>
      <c r="I592" s="31" t="n">
        <v>280.7</v>
      </c>
      <c r="J592" s="31" t="n">
        <v>9483.84</v>
      </c>
      <c r="K592" s="31" t="n">
        <v>0</v>
      </c>
      <c r="L592" s="32" t="n">
        <v>4</v>
      </c>
      <c r="M592" s="32" t="n">
        <v>24</v>
      </c>
      <c r="N592" s="31" t="n">
        <v>9483.84</v>
      </c>
      <c r="O592" s="31" t="n">
        <v>9483.84</v>
      </c>
      <c r="P592" s="22" t="n">
        <v>0</v>
      </c>
      <c r="Q592" s="22" t="n">
        <v>0</v>
      </c>
      <c r="R592" s="22" t="n">
        <v>0</v>
      </c>
    </row>
    <row r="593">
      <c r="A593" s="22" t="n">
        <v>201701</v>
      </c>
      <c r="B593" s="22" t="inlineStr">
        <is>
          <t>01/2017</t>
        </is>
      </c>
      <c r="C593" s="22" t="n">
        <v>59</v>
      </c>
      <c r="D593" s="22" t="inlineStr">
        <is>
          <t>S59</t>
        </is>
      </c>
      <c r="E593" s="22" t="inlineStr">
        <is>
          <t>Nexa Oregon (S59)</t>
        </is>
      </c>
      <c r="F593" s="22" t="inlineStr">
        <is>
          <t>Mỹ</t>
        </is>
      </c>
      <c r="G593" s="22" t="inlineStr">
        <is>
          <t>POS</t>
        </is>
      </c>
      <c r="H593" s="31" t="n">
        <v>14487.24</v>
      </c>
      <c r="I593" s="31" t="n">
        <v>238.89</v>
      </c>
      <c r="J593" s="31" t="n">
        <v>14248.35</v>
      </c>
      <c r="K593" s="31" t="n">
        <v>854.72</v>
      </c>
      <c r="L593" s="32" t="n">
        <v>7</v>
      </c>
      <c r="M593" s="32" t="n">
        <v>74</v>
      </c>
      <c r="N593" s="31" t="n">
        <v>13393.63</v>
      </c>
      <c r="O593" s="31" t="n">
        <v>14248.35</v>
      </c>
      <c r="P593" s="22" t="n">
        <v>1</v>
      </c>
      <c r="Q593" s="22" t="n">
        <v>0</v>
      </c>
      <c r="R593" s="22" t="n">
        <v>0</v>
      </c>
    </row>
    <row r="594">
      <c r="A594" s="22" t="n">
        <v>201701</v>
      </c>
      <c r="B594" s="22" t="inlineStr">
        <is>
          <t>01/2017</t>
        </is>
      </c>
      <c r="C594" s="22" t="n">
        <v>61</v>
      </c>
      <c r="D594" s="22" t="inlineStr">
        <is>
          <t>S61</t>
        </is>
      </c>
      <c r="E594" s="22" t="inlineStr">
        <is>
          <t>Nexa South Carolina (S61)</t>
        </is>
      </c>
      <c r="F594" s="22" t="inlineStr">
        <is>
          <t>Mỹ</t>
        </is>
      </c>
      <c r="G594" s="22" t="inlineStr">
        <is>
          <t>POS</t>
        </is>
      </c>
      <c r="H594" s="31" t="n">
        <v>17243.64</v>
      </c>
      <c r="I594" s="31" t="n">
        <v>169.4</v>
      </c>
      <c r="J594" s="31" t="n">
        <v>17074.24</v>
      </c>
      <c r="K594" s="31" t="n">
        <v>522</v>
      </c>
      <c r="L594" s="32" t="n">
        <v>11</v>
      </c>
      <c r="M594" s="32" t="n">
        <v>70</v>
      </c>
      <c r="N594" s="31" t="n">
        <v>16552.24</v>
      </c>
      <c r="O594" s="31" t="n">
        <v>17074.24</v>
      </c>
      <c r="P594" s="22" t="n">
        <v>0</v>
      </c>
      <c r="Q594" s="22" t="n">
        <v>0</v>
      </c>
      <c r="R594" s="22" t="n">
        <v>0</v>
      </c>
    </row>
    <row r="595">
      <c r="A595" s="22" t="n">
        <v>201701</v>
      </c>
      <c r="B595" s="22" t="inlineStr">
        <is>
          <t>01/2017</t>
        </is>
      </c>
      <c r="C595" s="22" t="n">
        <v>63</v>
      </c>
      <c r="D595" s="22" t="inlineStr">
        <is>
          <t>S63</t>
        </is>
      </c>
      <c r="E595" s="22" t="inlineStr">
        <is>
          <t>Nexa Utah (S63)</t>
        </is>
      </c>
      <c r="F595" s="22" t="inlineStr">
        <is>
          <t>Mỹ</t>
        </is>
      </c>
      <c r="G595" s="22" t="inlineStr">
        <is>
          <t>POS</t>
        </is>
      </c>
      <c r="H595" s="31" t="n">
        <v>19887.8</v>
      </c>
      <c r="I595" s="31" t="n">
        <v>545.45</v>
      </c>
      <c r="J595" s="31" t="n">
        <v>19342.35</v>
      </c>
      <c r="K595" s="31" t="n">
        <v>296.09</v>
      </c>
      <c r="L595" s="32" t="n">
        <v>6</v>
      </c>
      <c r="M595" s="32" t="n">
        <v>51</v>
      </c>
      <c r="N595" s="31" t="n">
        <v>19046.26</v>
      </c>
      <c r="O595" s="31" t="n">
        <v>19342.35</v>
      </c>
      <c r="P595" s="22" t="n">
        <v>0</v>
      </c>
      <c r="Q595" s="22" t="n">
        <v>0</v>
      </c>
      <c r="R595" s="22" t="n">
        <v>0</v>
      </c>
    </row>
    <row r="596">
      <c r="A596" s="22" t="n">
        <v>201701</v>
      </c>
      <c r="B596" s="22" t="inlineStr">
        <is>
          <t>01/2017</t>
        </is>
      </c>
      <c r="C596" s="22" t="n">
        <v>64</v>
      </c>
      <c r="D596" s="22" t="inlineStr">
        <is>
          <t>S64</t>
        </is>
      </c>
      <c r="E596" s="22" t="inlineStr">
        <is>
          <t>Nexa Washington DC (S64)</t>
        </is>
      </c>
      <c r="F596" s="22" t="inlineStr">
        <is>
          <t>Mỹ</t>
        </is>
      </c>
      <c r="G596" s="22" t="inlineStr">
        <is>
          <t>POS</t>
        </is>
      </c>
      <c r="H596" s="31" t="n">
        <v>8523.49</v>
      </c>
      <c r="I596" s="31" t="n">
        <v>60.59</v>
      </c>
      <c r="J596" s="31" t="n">
        <v>8462.9</v>
      </c>
      <c r="K596" s="31" t="n">
        <v>848.91</v>
      </c>
      <c r="L596" s="32" t="n">
        <v>7</v>
      </c>
      <c r="M596" s="32" t="n">
        <v>41</v>
      </c>
      <c r="N596" s="31" t="n">
        <v>7613.99</v>
      </c>
      <c r="O596" s="31" t="n">
        <v>8462.9</v>
      </c>
      <c r="P596" s="22" t="n">
        <v>0</v>
      </c>
      <c r="Q596" s="22" t="n">
        <v>0</v>
      </c>
      <c r="R596" s="22" t="n">
        <v>0</v>
      </c>
    </row>
    <row r="597">
      <c r="A597" s="22" t="n">
        <v>201701</v>
      </c>
      <c r="B597" s="22" t="inlineStr">
        <is>
          <t>01/2017</t>
        </is>
      </c>
      <c r="C597" s="22" t="n">
        <v>65</v>
      </c>
      <c r="D597" s="22" t="inlineStr">
        <is>
          <t>S65</t>
        </is>
      </c>
      <c r="E597" s="22" t="inlineStr">
        <is>
          <t>Nexa West Virginia (S65)</t>
        </is>
      </c>
      <c r="F597" s="22" t="inlineStr">
        <is>
          <t>Mỹ</t>
        </is>
      </c>
      <c r="G597" s="22" t="inlineStr">
        <is>
          <t>POS</t>
        </is>
      </c>
      <c r="H597" s="31" t="n">
        <v>7549.47</v>
      </c>
      <c r="I597" s="31" t="n">
        <v>69</v>
      </c>
      <c r="J597" s="31" t="n">
        <v>7480.47</v>
      </c>
      <c r="K597" s="31" t="n">
        <v>0</v>
      </c>
      <c r="L597" s="32" t="n">
        <v>7</v>
      </c>
      <c r="M597" s="32" t="n">
        <v>39</v>
      </c>
      <c r="N597" s="31" t="n">
        <v>7480.47</v>
      </c>
      <c r="O597" s="31" t="n">
        <v>7480.47</v>
      </c>
      <c r="P597" s="22" t="n">
        <v>0</v>
      </c>
      <c r="Q597" s="22" t="n">
        <v>0</v>
      </c>
      <c r="R597" s="22" t="n">
        <v>0</v>
      </c>
    </row>
    <row r="598">
      <c r="A598" s="22" t="n">
        <v>201701</v>
      </c>
      <c r="B598" s="22" t="inlineStr">
        <is>
          <t>01/2017</t>
        </is>
      </c>
      <c r="C598" s="22" t="n">
        <v>66</v>
      </c>
      <c r="D598" s="22" t="inlineStr">
        <is>
          <t>S66</t>
        </is>
      </c>
      <c r="E598" s="22" t="inlineStr">
        <is>
          <t>Nexa Wyoming (S66)</t>
        </is>
      </c>
      <c r="F598" s="22" t="inlineStr">
        <is>
          <t>Mỹ</t>
        </is>
      </c>
      <c r="G598" s="22" t="inlineStr">
        <is>
          <t>POS</t>
        </is>
      </c>
      <c r="H598" s="31" t="n">
        <v>14330.34</v>
      </c>
      <c r="I598" s="31" t="n">
        <v>0</v>
      </c>
      <c r="J598" s="31" t="n">
        <v>14330.34</v>
      </c>
      <c r="K598" s="31" t="n">
        <v>0</v>
      </c>
      <c r="L598" s="32" t="n">
        <v>5</v>
      </c>
      <c r="M598" s="32" t="n">
        <v>39</v>
      </c>
      <c r="N598" s="31" t="n">
        <v>14330.34</v>
      </c>
      <c r="O598" s="31" t="n">
        <v>14330.34</v>
      </c>
      <c r="P598" s="22" t="n">
        <v>0</v>
      </c>
      <c r="Q598" s="22" t="n">
        <v>0</v>
      </c>
      <c r="R598" s="22" t="n">
        <v>0</v>
      </c>
    </row>
    <row r="599">
      <c r="A599" s="22" t="n">
        <v>201702</v>
      </c>
      <c r="B599" s="22" t="inlineStr">
        <is>
          <t>02/2017</t>
        </is>
      </c>
      <c r="C599" s="22" t="n">
        <v>0</v>
      </c>
      <c r="D599" s="22" t="inlineStr">
        <is>
          <t>ONL</t>
        </is>
      </c>
      <c r="E599" s="22" t="inlineStr">
        <is>
          <t>Nexa Online (website/app)</t>
        </is>
      </c>
      <c r="F599" s="22" t="inlineStr">
        <is>
          <t>Online</t>
        </is>
      </c>
      <c r="G599" s="22" t="inlineStr">
        <is>
          <t>ONLINE</t>
        </is>
      </c>
      <c r="H599" s="31" t="n">
        <v>134957.74</v>
      </c>
      <c r="I599" s="31" t="n">
        <v>3082.07</v>
      </c>
      <c r="J599" s="31" t="n">
        <v>131875.67</v>
      </c>
      <c r="K599" s="31" t="n">
        <v>775.97</v>
      </c>
      <c r="L599" s="32" t="n">
        <v>67</v>
      </c>
      <c r="M599" s="32" t="n">
        <v>448</v>
      </c>
      <c r="N599" s="31" t="n">
        <v>122012.04</v>
      </c>
      <c r="O599" s="31" t="n">
        <v>122788.01</v>
      </c>
      <c r="P599" s="22" t="n">
        <v>1</v>
      </c>
      <c r="Q599" s="22" t="n">
        <v>0</v>
      </c>
      <c r="R599" s="22" t="n">
        <v>0</v>
      </c>
    </row>
    <row r="600">
      <c r="A600" s="22" t="n">
        <v>201702</v>
      </c>
      <c r="B600" s="22" t="inlineStr">
        <is>
          <t>02/2017</t>
        </is>
      </c>
      <c r="C600" s="22" t="n">
        <v>1</v>
      </c>
      <c r="D600" s="22" t="inlineStr">
        <is>
          <t>S01</t>
        </is>
      </c>
      <c r="E600" s="22" t="inlineStr">
        <is>
          <t>Nexa Australian Capital Territory (S01)</t>
        </is>
      </c>
      <c r="F600" s="22" t="inlineStr">
        <is>
          <t>Úc</t>
        </is>
      </c>
      <c r="G600" s="22" t="inlineStr">
        <is>
          <t>POS</t>
        </is>
      </c>
      <c r="H600" s="31" t="n">
        <v>658</v>
      </c>
      <c r="I600" s="31" t="n">
        <v>0</v>
      </c>
      <c r="J600" s="31" t="n">
        <v>658</v>
      </c>
      <c r="K600" s="31" t="n">
        <v>0</v>
      </c>
      <c r="L600" s="32" t="n">
        <v>1</v>
      </c>
      <c r="M600" s="32" t="n">
        <v>2</v>
      </c>
      <c r="N600" s="31" t="n">
        <v>658</v>
      </c>
      <c r="O600" s="31" t="n">
        <v>658</v>
      </c>
      <c r="P600" s="22" t="n">
        <v>0</v>
      </c>
      <c r="Q600" s="22" t="n">
        <v>0</v>
      </c>
      <c r="R600" s="22" t="n">
        <v>0</v>
      </c>
    </row>
    <row r="601">
      <c r="A601" s="22" t="n">
        <v>201702</v>
      </c>
      <c r="B601" s="22" t="inlineStr">
        <is>
          <t>02/2017</t>
        </is>
      </c>
      <c r="C601" s="22" t="n">
        <v>4</v>
      </c>
      <c r="D601" s="22" t="inlineStr">
        <is>
          <t>S04</t>
        </is>
      </c>
      <c r="E601" s="22" t="inlineStr">
        <is>
          <t>Nexa Tasmania (S04)</t>
        </is>
      </c>
      <c r="F601" s="22" t="inlineStr">
        <is>
          <t>Úc</t>
        </is>
      </c>
      <c r="G601" s="22" t="inlineStr">
        <is>
          <t>POS</t>
        </is>
      </c>
      <c r="H601" s="31" t="n">
        <v>12409.94</v>
      </c>
      <c r="I601" s="31" t="n">
        <v>0</v>
      </c>
      <c r="J601" s="31" t="n">
        <v>12409.94</v>
      </c>
      <c r="K601" s="31" t="n">
        <v>0</v>
      </c>
      <c r="L601" s="32" t="n">
        <v>3</v>
      </c>
      <c r="M601" s="32" t="n">
        <v>24</v>
      </c>
      <c r="N601" s="31" t="n">
        <v>12409.94</v>
      </c>
      <c r="O601" s="31" t="n">
        <v>12409.94</v>
      </c>
      <c r="P601" s="22" t="n">
        <v>0</v>
      </c>
      <c r="Q601" s="22" t="n">
        <v>0</v>
      </c>
      <c r="R601" s="22" t="n">
        <v>0</v>
      </c>
    </row>
    <row r="602">
      <c r="A602" s="22" t="n">
        <v>201702</v>
      </c>
      <c r="B602" s="22" t="inlineStr">
        <is>
          <t>02/2017</t>
        </is>
      </c>
      <c r="C602" s="22" t="n">
        <v>5</v>
      </c>
      <c r="D602" s="22" t="inlineStr">
        <is>
          <t>S05</t>
        </is>
      </c>
      <c r="E602" s="22" t="inlineStr">
        <is>
          <t>Nexa Victoria (S05)</t>
        </is>
      </c>
      <c r="F602" s="22" t="inlineStr">
        <is>
          <t>Úc</t>
        </is>
      </c>
      <c r="G602" s="22" t="inlineStr">
        <is>
          <t>POS</t>
        </is>
      </c>
      <c r="H602" s="31" t="n">
        <v>31394.64</v>
      </c>
      <c r="I602" s="31" t="n">
        <v>0</v>
      </c>
      <c r="J602" s="31" t="n">
        <v>31394.64</v>
      </c>
      <c r="K602" s="31" t="n">
        <v>0</v>
      </c>
      <c r="L602" s="32" t="n">
        <v>8</v>
      </c>
      <c r="M602" s="32" t="n">
        <v>76</v>
      </c>
      <c r="N602" s="31" t="n">
        <v>31394.64</v>
      </c>
      <c r="O602" s="31" t="n">
        <v>31394.64</v>
      </c>
      <c r="P602" s="22" t="n">
        <v>0</v>
      </c>
      <c r="Q602" s="22" t="n">
        <v>0</v>
      </c>
      <c r="R602" s="22" t="n">
        <v>0</v>
      </c>
    </row>
    <row r="603">
      <c r="A603" s="22" t="n">
        <v>201702</v>
      </c>
      <c r="B603" s="22" t="inlineStr">
        <is>
          <t>02/2017</t>
        </is>
      </c>
      <c r="C603" s="22" t="n">
        <v>6</v>
      </c>
      <c r="D603" s="22" t="inlineStr">
        <is>
          <t>S06</t>
        </is>
      </c>
      <c r="E603" s="22" t="inlineStr">
        <is>
          <t>Nexa Western Australia (S06)</t>
        </is>
      </c>
      <c r="F603" s="22" t="inlineStr">
        <is>
          <t>Úc</t>
        </is>
      </c>
      <c r="G603" s="22" t="inlineStr">
        <is>
          <t>POS</t>
        </is>
      </c>
      <c r="H603" s="31" t="n">
        <v>8317.58</v>
      </c>
      <c r="I603" s="31" t="n">
        <v>0</v>
      </c>
      <c r="J603" s="31" t="n">
        <v>8317.58</v>
      </c>
      <c r="K603" s="31" t="n">
        <v>1839.37</v>
      </c>
      <c r="L603" s="32" t="n">
        <v>2</v>
      </c>
      <c r="M603" s="32" t="n">
        <v>21</v>
      </c>
      <c r="N603" s="31" t="n">
        <v>6478.21</v>
      </c>
      <c r="O603" s="31" t="n">
        <v>8317.58</v>
      </c>
      <c r="P603" s="22" t="n">
        <v>0</v>
      </c>
      <c r="Q603" s="22" t="n">
        <v>0</v>
      </c>
      <c r="R603" s="22" t="n">
        <v>0</v>
      </c>
    </row>
    <row r="604">
      <c r="A604" s="22" t="n">
        <v>201702</v>
      </c>
      <c r="B604" s="22" t="inlineStr">
        <is>
          <t>02/2017</t>
        </is>
      </c>
      <c r="C604" s="22" t="n">
        <v>8</v>
      </c>
      <c r="D604" s="22" t="inlineStr">
        <is>
          <t>S08</t>
        </is>
      </c>
      <c r="E604" s="22" t="inlineStr">
        <is>
          <t>Nexa Newfoundland and Labrador (S08)</t>
        </is>
      </c>
      <c r="F604" s="22" t="inlineStr">
        <is>
          <t>Canada</t>
        </is>
      </c>
      <c r="G604" s="22" t="inlineStr">
        <is>
          <t>POS</t>
        </is>
      </c>
      <c r="H604" s="31" t="n">
        <v>13544.85</v>
      </c>
      <c r="I604" s="31" t="n">
        <v>0</v>
      </c>
      <c r="J604" s="31" t="n">
        <v>13544.85</v>
      </c>
      <c r="K604" s="31" t="n">
        <v>0</v>
      </c>
      <c r="L604" s="32" t="n">
        <v>7</v>
      </c>
      <c r="M604" s="32" t="n">
        <v>58</v>
      </c>
      <c r="N604" s="31" t="n">
        <v>13544.85</v>
      </c>
      <c r="O604" s="31" t="n">
        <v>13544.85</v>
      </c>
      <c r="P604" s="22" t="n">
        <v>0</v>
      </c>
      <c r="Q604" s="22" t="n">
        <v>0</v>
      </c>
      <c r="R604" s="22" t="n">
        <v>0</v>
      </c>
    </row>
    <row r="605">
      <c r="A605" s="22" t="n">
        <v>201702</v>
      </c>
      <c r="B605" s="22" t="inlineStr">
        <is>
          <t>02/2017</t>
        </is>
      </c>
      <c r="C605" s="22" t="n">
        <v>9</v>
      </c>
      <c r="D605" s="22" t="inlineStr">
        <is>
          <t>S09</t>
        </is>
      </c>
      <c r="E605" s="22" t="inlineStr">
        <is>
          <t>Nexa Northwest Territories (S09)</t>
        </is>
      </c>
      <c r="F605" s="22" t="inlineStr">
        <is>
          <t>Canada</t>
        </is>
      </c>
      <c r="G605" s="22" t="inlineStr">
        <is>
          <t>POS</t>
        </is>
      </c>
      <c r="H605" s="31" t="n">
        <v>10716.31</v>
      </c>
      <c r="I605" s="31" t="n">
        <v>0</v>
      </c>
      <c r="J605" s="31" t="n">
        <v>10716.31</v>
      </c>
      <c r="K605" s="31" t="n">
        <v>5994</v>
      </c>
      <c r="L605" s="32" t="n">
        <v>4</v>
      </c>
      <c r="M605" s="32" t="n">
        <v>27</v>
      </c>
      <c r="N605" s="31" t="n">
        <v>4722.31</v>
      </c>
      <c r="O605" s="31" t="n">
        <v>10716.31</v>
      </c>
      <c r="P605" s="22" t="n">
        <v>1</v>
      </c>
      <c r="Q605" s="22" t="n">
        <v>0</v>
      </c>
      <c r="R605" s="22" t="n">
        <v>0</v>
      </c>
    </row>
    <row r="606">
      <c r="A606" s="22" t="n">
        <v>201702</v>
      </c>
      <c r="B606" s="22" t="inlineStr">
        <is>
          <t>02/2017</t>
        </is>
      </c>
      <c r="C606" s="22" t="n">
        <v>10</v>
      </c>
      <c r="D606" s="22" t="inlineStr">
        <is>
          <t>S10</t>
        </is>
      </c>
      <c r="E606" s="22" t="inlineStr">
        <is>
          <t>Nexa Nunavut (S10)</t>
        </is>
      </c>
      <c r="F606" s="22" t="inlineStr">
        <is>
          <t>Canada</t>
        </is>
      </c>
      <c r="G606" s="22" t="inlineStr">
        <is>
          <t>POS</t>
        </is>
      </c>
      <c r="H606" s="31" t="n">
        <v>10060.53</v>
      </c>
      <c r="I606" s="31" t="n">
        <v>0</v>
      </c>
      <c r="J606" s="31" t="n">
        <v>10060.53</v>
      </c>
      <c r="K606" s="31" t="n">
        <v>289.99</v>
      </c>
      <c r="L606" s="32" t="n">
        <v>8</v>
      </c>
      <c r="M606" s="32" t="n">
        <v>53</v>
      </c>
      <c r="N606" s="31" t="n">
        <v>9770.540000000001</v>
      </c>
      <c r="O606" s="31" t="n">
        <v>10060.53</v>
      </c>
      <c r="P606" s="22" t="n">
        <v>0</v>
      </c>
      <c r="Q606" s="22" t="n">
        <v>0</v>
      </c>
      <c r="R606" s="22" t="n">
        <v>0</v>
      </c>
    </row>
    <row r="607">
      <c r="A607" s="22" t="n">
        <v>201702</v>
      </c>
      <c r="B607" s="22" t="inlineStr">
        <is>
          <t>02/2017</t>
        </is>
      </c>
      <c r="C607" s="22" t="n">
        <v>12</v>
      </c>
      <c r="D607" s="22" t="inlineStr">
        <is>
          <t>S12</t>
        </is>
      </c>
      <c r="E607" s="22" t="inlineStr">
        <is>
          <t>Nexa Basse-Normandie (S12)</t>
        </is>
      </c>
      <c r="F607" s="22" t="inlineStr">
        <is>
          <t>Pháp</t>
        </is>
      </c>
      <c r="G607" s="22" t="inlineStr">
        <is>
          <t>POS</t>
        </is>
      </c>
      <c r="H607" s="31" t="n">
        <v>149.95</v>
      </c>
      <c r="I607" s="31" t="n">
        <v>0</v>
      </c>
      <c r="J607" s="31" t="n">
        <v>149.95</v>
      </c>
      <c r="K607" s="31" t="n">
        <v>0</v>
      </c>
      <c r="L607" s="32" t="n">
        <v>1</v>
      </c>
      <c r="M607" s="32" t="n">
        <v>1</v>
      </c>
      <c r="N607" s="31" t="n">
        <v>149.95</v>
      </c>
      <c r="O607" s="31" t="n">
        <v>149.95</v>
      </c>
      <c r="P607" s="22" t="n">
        <v>0</v>
      </c>
      <c r="Q607" s="22" t="n">
        <v>0</v>
      </c>
      <c r="R607" s="22" t="n">
        <v>0</v>
      </c>
    </row>
    <row r="608">
      <c r="A608" s="22" t="n">
        <v>201702</v>
      </c>
      <c r="B608" s="22" t="inlineStr">
        <is>
          <t>02/2017</t>
        </is>
      </c>
      <c r="C608" s="22" t="n">
        <v>13</v>
      </c>
      <c r="D608" s="22" t="inlineStr">
        <is>
          <t>S13</t>
        </is>
      </c>
      <c r="E608" s="22" t="inlineStr">
        <is>
          <t>Nexa Corse (S13)</t>
        </is>
      </c>
      <c r="F608" s="22" t="inlineStr">
        <is>
          <t>Pháp</t>
        </is>
      </c>
      <c r="G608" s="22" t="inlineStr">
        <is>
          <t>POS</t>
        </is>
      </c>
      <c r="H608" s="31" t="n">
        <v>2572</v>
      </c>
      <c r="I608" s="31" t="n">
        <v>0</v>
      </c>
      <c r="J608" s="31" t="n">
        <v>2572</v>
      </c>
      <c r="K608" s="31" t="n">
        <v>0</v>
      </c>
      <c r="L608" s="32" t="n">
        <v>1</v>
      </c>
      <c r="M608" s="32" t="n">
        <v>8</v>
      </c>
      <c r="N608" s="31" t="n">
        <v>2572</v>
      </c>
      <c r="O608" s="31" t="n">
        <v>2572</v>
      </c>
      <c r="P608" s="22" t="n">
        <v>0</v>
      </c>
      <c r="Q608" s="22" t="n">
        <v>0</v>
      </c>
      <c r="R608" s="22" t="n">
        <v>0</v>
      </c>
    </row>
    <row r="609">
      <c r="A609" s="22" t="n">
        <v>201702</v>
      </c>
      <c r="B609" s="22" t="inlineStr">
        <is>
          <t>02/2017</t>
        </is>
      </c>
      <c r="C609" s="22" t="n">
        <v>17</v>
      </c>
      <c r="D609" s="22" t="inlineStr">
        <is>
          <t>S17</t>
        </is>
      </c>
      <c r="E609" s="22" t="inlineStr">
        <is>
          <t>Nexa Martinique (S17)</t>
        </is>
      </c>
      <c r="F609" s="22" t="inlineStr">
        <is>
          <t>Pháp</t>
        </is>
      </c>
      <c r="G609" s="22" t="inlineStr">
        <is>
          <t>POS</t>
        </is>
      </c>
      <c r="H609" s="31" t="n">
        <v>8212.09</v>
      </c>
      <c r="I609" s="31" t="n">
        <v>0</v>
      </c>
      <c r="J609" s="31" t="n">
        <v>8212.09</v>
      </c>
      <c r="K609" s="31" t="n">
        <v>0</v>
      </c>
      <c r="L609" s="32" t="n">
        <v>6</v>
      </c>
      <c r="M609" s="32" t="n">
        <v>23</v>
      </c>
      <c r="N609" s="31" t="n">
        <v>8212.09</v>
      </c>
      <c r="O609" s="31" t="n">
        <v>8212.09</v>
      </c>
      <c r="P609" s="22" t="n">
        <v>0</v>
      </c>
      <c r="Q609" s="22" t="n">
        <v>0</v>
      </c>
      <c r="R609" s="22" t="n">
        <v>0</v>
      </c>
    </row>
    <row r="610">
      <c r="A610" s="22" t="n">
        <v>201702</v>
      </c>
      <c r="B610" s="22" t="inlineStr">
        <is>
          <t>02/2017</t>
        </is>
      </c>
      <c r="C610" s="22" t="n">
        <v>18</v>
      </c>
      <c r="D610" s="22" t="inlineStr">
        <is>
          <t>S18</t>
        </is>
      </c>
      <c r="E610" s="22" t="inlineStr">
        <is>
          <t>Nexa Mayotte (S18)</t>
        </is>
      </c>
      <c r="F610" s="22" t="inlineStr">
        <is>
          <t>Pháp</t>
        </is>
      </c>
      <c r="G610" s="22" t="inlineStr">
        <is>
          <t>POS</t>
        </is>
      </c>
      <c r="H610" s="31" t="n">
        <v>6296.96</v>
      </c>
      <c r="I610" s="31" t="n">
        <v>0</v>
      </c>
      <c r="J610" s="31" t="n">
        <v>6296.96</v>
      </c>
      <c r="K610" s="31" t="n">
        <v>0</v>
      </c>
      <c r="L610" s="32" t="n">
        <v>2</v>
      </c>
      <c r="M610" s="32" t="n">
        <v>11</v>
      </c>
      <c r="N610" s="31" t="n">
        <v>6296.96</v>
      </c>
      <c r="O610" s="31" t="n">
        <v>6296.96</v>
      </c>
      <c r="P610" s="22" t="n">
        <v>0</v>
      </c>
      <c r="Q610" s="22" t="n">
        <v>0</v>
      </c>
      <c r="R610" s="22" t="n">
        <v>0</v>
      </c>
    </row>
    <row r="611">
      <c r="A611" s="22" t="n">
        <v>201702</v>
      </c>
      <c r="B611" s="22" t="inlineStr">
        <is>
          <t>02/2017</t>
        </is>
      </c>
      <c r="C611" s="22" t="n">
        <v>19</v>
      </c>
      <c r="D611" s="22" t="inlineStr">
        <is>
          <t>S19</t>
        </is>
      </c>
      <c r="E611" s="22" t="inlineStr">
        <is>
          <t>Nexa Berlin (S19)</t>
        </is>
      </c>
      <c r="F611" s="22" t="inlineStr">
        <is>
          <t>Đức</t>
        </is>
      </c>
      <c r="G611" s="22" t="inlineStr">
        <is>
          <t>POS</t>
        </is>
      </c>
      <c r="H611" s="31" t="n">
        <v>7810.82</v>
      </c>
      <c r="I611" s="31" t="n">
        <v>0</v>
      </c>
      <c r="J611" s="31" t="n">
        <v>7810.82</v>
      </c>
      <c r="K611" s="31" t="n">
        <v>0</v>
      </c>
      <c r="L611" s="32" t="n">
        <v>5</v>
      </c>
      <c r="M611" s="32" t="n">
        <v>32</v>
      </c>
      <c r="N611" s="31" t="n">
        <v>7810.82</v>
      </c>
      <c r="O611" s="31" t="n">
        <v>7810.82</v>
      </c>
      <c r="P611" s="22" t="n">
        <v>0</v>
      </c>
      <c r="Q611" s="22" t="n">
        <v>0</v>
      </c>
      <c r="R611" s="22" t="n">
        <v>0</v>
      </c>
    </row>
    <row r="612">
      <c r="A612" s="22" t="n">
        <v>201702</v>
      </c>
      <c r="B612" s="22" t="inlineStr">
        <is>
          <t>02/2017</t>
        </is>
      </c>
      <c r="C612" s="22" t="n">
        <v>20</v>
      </c>
      <c r="D612" s="22" t="inlineStr">
        <is>
          <t>S20</t>
        </is>
      </c>
      <c r="E612" s="22" t="inlineStr">
        <is>
          <t>Nexa Brandenburg (S20)</t>
        </is>
      </c>
      <c r="F612" s="22" t="inlineStr">
        <is>
          <t>Đức</t>
        </is>
      </c>
      <c r="G612" s="22" t="inlineStr">
        <is>
          <t>POS</t>
        </is>
      </c>
      <c r="H612" s="31" t="n">
        <v>19432.82</v>
      </c>
      <c r="I612" s="31" t="n">
        <v>0</v>
      </c>
      <c r="J612" s="31" t="n">
        <v>19432.82</v>
      </c>
      <c r="K612" s="31" t="n">
        <v>0</v>
      </c>
      <c r="L612" s="32" t="n">
        <v>4</v>
      </c>
      <c r="M612" s="32" t="n">
        <v>37</v>
      </c>
      <c r="N612" s="31" t="n">
        <v>17559.42</v>
      </c>
      <c r="O612" s="31" t="n">
        <v>19432.82</v>
      </c>
      <c r="P612" s="22" t="n">
        <v>1</v>
      </c>
      <c r="Q612" s="22" t="n">
        <v>0</v>
      </c>
      <c r="R612" s="22" t="n">
        <v>0</v>
      </c>
    </row>
    <row r="613">
      <c r="A613" s="22" t="n">
        <v>201702</v>
      </c>
      <c r="B613" s="22" t="inlineStr">
        <is>
          <t>02/2017</t>
        </is>
      </c>
      <c r="C613" s="22" t="n">
        <v>22</v>
      </c>
      <c r="D613" s="22" t="inlineStr">
        <is>
          <t>S22</t>
        </is>
      </c>
      <c r="E613" s="22" t="inlineStr">
        <is>
          <t>Nexa Freistaat Thüringen (S22)</t>
        </is>
      </c>
      <c r="F613" s="22" t="inlineStr">
        <is>
          <t>Đức</t>
        </is>
      </c>
      <c r="G613" s="22" t="inlineStr">
        <is>
          <t>POS</t>
        </is>
      </c>
      <c r="H613" s="31" t="n">
        <v>8665.41</v>
      </c>
      <c r="I613" s="31" t="n">
        <v>0</v>
      </c>
      <c r="J613" s="31" t="n">
        <v>8665.41</v>
      </c>
      <c r="K613" s="31" t="n">
        <v>0</v>
      </c>
      <c r="L613" s="32" t="n">
        <v>6</v>
      </c>
      <c r="M613" s="32" t="n">
        <v>40</v>
      </c>
      <c r="N613" s="31" t="n">
        <v>8665.41</v>
      </c>
      <c r="O613" s="31" t="n">
        <v>8665.41</v>
      </c>
      <c r="P613" s="22" t="n">
        <v>0</v>
      </c>
      <c r="Q613" s="22" t="n">
        <v>0</v>
      </c>
      <c r="R613" s="22" t="n">
        <v>0</v>
      </c>
    </row>
    <row r="614">
      <c r="A614" s="22" t="n">
        <v>201702</v>
      </c>
      <c r="B614" s="22" t="inlineStr">
        <is>
          <t>02/2017</t>
        </is>
      </c>
      <c r="C614" s="22" t="n">
        <v>23</v>
      </c>
      <c r="D614" s="22" t="inlineStr">
        <is>
          <t>S23</t>
        </is>
      </c>
      <c r="E614" s="22" t="inlineStr">
        <is>
          <t>Nexa Hamburg (S23)</t>
        </is>
      </c>
      <c r="F614" s="22" t="inlineStr">
        <is>
          <t>Đức</t>
        </is>
      </c>
      <c r="G614" s="22" t="inlineStr">
        <is>
          <t>POS</t>
        </is>
      </c>
      <c r="H614" s="31" t="n">
        <v>5323.9</v>
      </c>
      <c r="I614" s="31" t="n">
        <v>0</v>
      </c>
      <c r="J614" s="31" t="n">
        <v>5323.9</v>
      </c>
      <c r="K614" s="31" t="n">
        <v>1767</v>
      </c>
      <c r="L614" s="32" t="n">
        <v>3</v>
      </c>
      <c r="M614" s="32" t="n">
        <v>17</v>
      </c>
      <c r="N614" s="31" t="n">
        <v>3556.9</v>
      </c>
      <c r="O614" s="31" t="n">
        <v>5323.9</v>
      </c>
      <c r="P614" s="22" t="n">
        <v>0</v>
      </c>
      <c r="Q614" s="22" t="n">
        <v>0</v>
      </c>
      <c r="R614" s="22" t="n">
        <v>0</v>
      </c>
    </row>
    <row r="615">
      <c r="A615" s="22" t="n">
        <v>201702</v>
      </c>
      <c r="B615" s="22" t="inlineStr">
        <is>
          <t>02/2017</t>
        </is>
      </c>
      <c r="C615" s="22" t="n">
        <v>24</v>
      </c>
      <c r="D615" s="22" t="inlineStr">
        <is>
          <t>S24</t>
        </is>
      </c>
      <c r="E615" s="22" t="inlineStr">
        <is>
          <t>Nexa Hessen (S24)</t>
        </is>
      </c>
      <c r="F615" s="22" t="inlineStr">
        <is>
          <t>Đức</t>
        </is>
      </c>
      <c r="G615" s="22" t="inlineStr">
        <is>
          <t>POS</t>
        </is>
      </c>
      <c r="H615" s="31" t="n">
        <v>5941.1</v>
      </c>
      <c r="I615" s="31" t="n">
        <v>0</v>
      </c>
      <c r="J615" s="31" t="n">
        <v>5941.1</v>
      </c>
      <c r="K615" s="31" t="n">
        <v>0</v>
      </c>
      <c r="L615" s="32" t="n">
        <v>6</v>
      </c>
      <c r="M615" s="32" t="n">
        <v>20</v>
      </c>
      <c r="N615" s="31" t="n">
        <v>5941.1</v>
      </c>
      <c r="O615" s="31" t="n">
        <v>5941.1</v>
      </c>
      <c r="P615" s="22" t="n">
        <v>0</v>
      </c>
      <c r="Q615" s="22" t="n">
        <v>0</v>
      </c>
      <c r="R615" s="22" t="n">
        <v>0</v>
      </c>
    </row>
    <row r="616">
      <c r="A616" s="22" t="n">
        <v>201702</v>
      </c>
      <c r="B616" s="22" t="inlineStr">
        <is>
          <t>02/2017</t>
        </is>
      </c>
      <c r="C616" s="22" t="n">
        <v>27</v>
      </c>
      <c r="D616" s="22" t="inlineStr">
        <is>
          <t>S27</t>
        </is>
      </c>
      <c r="E616" s="22" t="inlineStr">
        <is>
          <t>Nexa Sachsen-Anhalt (S27)</t>
        </is>
      </c>
      <c r="F616" s="22" t="inlineStr">
        <is>
          <t>Đức</t>
        </is>
      </c>
      <c r="G616" s="22" t="inlineStr">
        <is>
          <t>POS</t>
        </is>
      </c>
      <c r="H616" s="31" t="n">
        <v>6418.27</v>
      </c>
      <c r="I616" s="31" t="n">
        <v>0</v>
      </c>
      <c r="J616" s="31" t="n">
        <v>6418.27</v>
      </c>
      <c r="K616" s="31" t="n">
        <v>179.99</v>
      </c>
      <c r="L616" s="32" t="n">
        <v>3</v>
      </c>
      <c r="M616" s="32" t="n">
        <v>18</v>
      </c>
      <c r="N616" s="31" t="n">
        <v>6238.28</v>
      </c>
      <c r="O616" s="31" t="n">
        <v>6418.27</v>
      </c>
      <c r="P616" s="22" t="n">
        <v>0</v>
      </c>
      <c r="Q616" s="22" t="n">
        <v>0</v>
      </c>
      <c r="R616" s="22" t="n">
        <v>0</v>
      </c>
    </row>
    <row r="617">
      <c r="A617" s="22" t="n">
        <v>201702</v>
      </c>
      <c r="B617" s="22" t="inlineStr">
        <is>
          <t>02/2017</t>
        </is>
      </c>
      <c r="C617" s="22" t="n">
        <v>28</v>
      </c>
      <c r="D617" s="22" t="inlineStr">
        <is>
          <t>S28</t>
        </is>
      </c>
      <c r="E617" s="22" t="inlineStr">
        <is>
          <t>Nexa Caltanissetta (S28)</t>
        </is>
      </c>
      <c r="F617" s="22" t="inlineStr">
        <is>
          <t>Ý</t>
        </is>
      </c>
      <c r="G617" s="22" t="inlineStr">
        <is>
          <t>POS</t>
        </is>
      </c>
      <c r="H617" s="31" t="n">
        <v>22391.69</v>
      </c>
      <c r="I617" s="31" t="n">
        <v>0</v>
      </c>
      <c r="J617" s="31" t="n">
        <v>22391.69</v>
      </c>
      <c r="K617" s="31" t="n">
        <v>418.97</v>
      </c>
      <c r="L617" s="32" t="n">
        <v>8</v>
      </c>
      <c r="M617" s="32" t="n">
        <v>75</v>
      </c>
      <c r="N617" s="31" t="n">
        <v>21972.72</v>
      </c>
      <c r="O617" s="31" t="n">
        <v>22391.69</v>
      </c>
      <c r="P617" s="22" t="n">
        <v>0</v>
      </c>
      <c r="Q617" s="22" t="n">
        <v>0</v>
      </c>
      <c r="R617" s="22" t="n">
        <v>0</v>
      </c>
    </row>
    <row r="618">
      <c r="A618" s="22" t="n">
        <v>201702</v>
      </c>
      <c r="B618" s="22" t="inlineStr">
        <is>
          <t>02/2017</t>
        </is>
      </c>
      <c r="C618" s="22" t="n">
        <v>29</v>
      </c>
      <c r="D618" s="22" t="inlineStr">
        <is>
          <t>S29</t>
        </is>
      </c>
      <c r="E618" s="22" t="inlineStr">
        <is>
          <t>Nexa Enna (S29)</t>
        </is>
      </c>
      <c r="F618" s="22" t="inlineStr">
        <is>
          <t>Ý</t>
        </is>
      </c>
      <c r="G618" s="22" t="inlineStr">
        <is>
          <t>POS</t>
        </is>
      </c>
      <c r="H618" s="31" t="n">
        <v>7564.8</v>
      </c>
      <c r="I618" s="31" t="n">
        <v>0</v>
      </c>
      <c r="J618" s="31" t="n">
        <v>7564.8</v>
      </c>
      <c r="K618" s="31" t="n">
        <v>1132.97</v>
      </c>
      <c r="L618" s="32" t="n">
        <v>6</v>
      </c>
      <c r="M618" s="32" t="n">
        <v>52</v>
      </c>
      <c r="N618" s="31" t="n">
        <v>6431.83</v>
      </c>
      <c r="O618" s="31" t="n">
        <v>7564.8</v>
      </c>
      <c r="P618" s="22" t="n">
        <v>0</v>
      </c>
      <c r="Q618" s="22" t="n">
        <v>0</v>
      </c>
      <c r="R618" s="22" t="n">
        <v>0</v>
      </c>
    </row>
    <row r="619">
      <c r="A619" s="22" t="n">
        <v>201702</v>
      </c>
      <c r="B619" s="22" t="inlineStr">
        <is>
          <t>02/2017</t>
        </is>
      </c>
      <c r="C619" s="22" t="n">
        <v>30</v>
      </c>
      <c r="D619" s="22" t="inlineStr">
        <is>
          <t>S30</t>
        </is>
      </c>
      <c r="E619" s="22" t="inlineStr">
        <is>
          <t>Nexa Pesaro (S30)</t>
        </is>
      </c>
      <c r="F619" s="22" t="inlineStr">
        <is>
          <t>Ý</t>
        </is>
      </c>
      <c r="G619" s="22" t="inlineStr">
        <is>
          <t>POS</t>
        </is>
      </c>
      <c r="H619" s="31" t="n">
        <v>7435.13</v>
      </c>
      <c r="I619" s="31" t="n">
        <v>0</v>
      </c>
      <c r="J619" s="31" t="n">
        <v>7435.13</v>
      </c>
      <c r="K619" s="31" t="n">
        <v>949.98</v>
      </c>
      <c r="L619" s="32" t="n">
        <v>3</v>
      </c>
      <c r="M619" s="32" t="n">
        <v>35</v>
      </c>
      <c r="N619" s="31" t="n">
        <v>6485.15</v>
      </c>
      <c r="O619" s="31" t="n">
        <v>7435.13</v>
      </c>
      <c r="P619" s="22" t="n">
        <v>0</v>
      </c>
      <c r="Q619" s="22" t="n">
        <v>0</v>
      </c>
      <c r="R619" s="22" t="n">
        <v>0</v>
      </c>
    </row>
    <row r="620">
      <c r="A620" s="22" t="n">
        <v>201702</v>
      </c>
      <c r="B620" s="22" t="inlineStr">
        <is>
          <t>02/2017</t>
        </is>
      </c>
      <c r="C620" s="22" t="n">
        <v>33</v>
      </c>
      <c r="D620" s="22" t="inlineStr">
        <is>
          <t>S33</t>
        </is>
      </c>
      <c r="E620" s="22" t="inlineStr">
        <is>
          <t>Nexa Friesland (S33)</t>
        </is>
      </c>
      <c r="F620" s="22" t="inlineStr">
        <is>
          <t>Hà Lan</t>
        </is>
      </c>
      <c r="G620" s="22" t="inlineStr">
        <is>
          <t>POS</t>
        </is>
      </c>
      <c r="H620" s="31" t="n">
        <v>3190.94</v>
      </c>
      <c r="I620" s="31" t="n">
        <v>0</v>
      </c>
      <c r="J620" s="31" t="n">
        <v>3190.94</v>
      </c>
      <c r="K620" s="31" t="n">
        <v>0</v>
      </c>
      <c r="L620" s="32" t="n">
        <v>3</v>
      </c>
      <c r="M620" s="32" t="n">
        <v>11</v>
      </c>
      <c r="N620" s="31" t="n">
        <v>3190.94</v>
      </c>
      <c r="O620" s="31" t="n">
        <v>3190.94</v>
      </c>
      <c r="P620" s="22" t="n">
        <v>0</v>
      </c>
      <c r="Q620" s="22" t="n">
        <v>0</v>
      </c>
      <c r="R620" s="22" t="n">
        <v>0</v>
      </c>
    </row>
    <row r="621">
      <c r="A621" s="22" t="n">
        <v>201702</v>
      </c>
      <c r="B621" s="22" t="inlineStr">
        <is>
          <t>02/2017</t>
        </is>
      </c>
      <c r="C621" s="22" t="n">
        <v>34</v>
      </c>
      <c r="D621" s="22" t="inlineStr">
        <is>
          <t>S34</t>
        </is>
      </c>
      <c r="E621" s="22" t="inlineStr">
        <is>
          <t>Nexa Groningen (S34)</t>
        </is>
      </c>
      <c r="F621" s="22" t="inlineStr">
        <is>
          <t>Hà Lan</t>
        </is>
      </c>
      <c r="G621" s="22" t="inlineStr">
        <is>
          <t>POS</t>
        </is>
      </c>
      <c r="H621" s="31" t="n">
        <v>17202.93</v>
      </c>
      <c r="I621" s="31" t="n">
        <v>0</v>
      </c>
      <c r="J621" s="31" t="n">
        <v>17202.93</v>
      </c>
      <c r="K621" s="31" t="n">
        <v>0</v>
      </c>
      <c r="L621" s="32" t="n">
        <v>3</v>
      </c>
      <c r="M621" s="32" t="n">
        <v>24</v>
      </c>
      <c r="N621" s="31" t="n">
        <v>17202.93</v>
      </c>
      <c r="O621" s="31" t="n">
        <v>17202.93</v>
      </c>
      <c r="P621" s="22" t="n">
        <v>0</v>
      </c>
      <c r="Q621" s="22" t="n">
        <v>0</v>
      </c>
      <c r="R621" s="22" t="n">
        <v>0</v>
      </c>
    </row>
    <row r="622">
      <c r="A622" s="22" t="n">
        <v>201702</v>
      </c>
      <c r="B622" s="22" t="inlineStr">
        <is>
          <t>02/2017</t>
        </is>
      </c>
      <c r="C622" s="22" t="n">
        <v>36</v>
      </c>
      <c r="D622" s="22" t="inlineStr">
        <is>
          <t>S36</t>
        </is>
      </c>
      <c r="E622" s="22" t="inlineStr">
        <is>
          <t>Nexa Armagh (S36)</t>
        </is>
      </c>
      <c r="F622" s="22" t="inlineStr">
        <is>
          <t>Anh</t>
        </is>
      </c>
      <c r="G622" s="22" t="inlineStr">
        <is>
          <t>POS</t>
        </is>
      </c>
      <c r="H622" s="31" t="n">
        <v>11913.48</v>
      </c>
      <c r="I622" s="31" t="n">
        <v>0</v>
      </c>
      <c r="J622" s="31" t="n">
        <v>11913.48</v>
      </c>
      <c r="K622" s="31" t="n">
        <v>2.94</v>
      </c>
      <c r="L622" s="32" t="n">
        <v>8</v>
      </c>
      <c r="M622" s="32" t="n">
        <v>38</v>
      </c>
      <c r="N622" s="31" t="n">
        <v>11910.54</v>
      </c>
      <c r="O622" s="31" t="n">
        <v>11913.48</v>
      </c>
      <c r="P622" s="22" t="n">
        <v>0</v>
      </c>
      <c r="Q622" s="22" t="n">
        <v>0</v>
      </c>
      <c r="R622" s="22" t="n">
        <v>0</v>
      </c>
    </row>
    <row r="623">
      <c r="A623" s="22" t="n">
        <v>201702</v>
      </c>
      <c r="B623" s="22" t="inlineStr">
        <is>
          <t>02/2017</t>
        </is>
      </c>
      <c r="C623" s="22" t="n">
        <v>37</v>
      </c>
      <c r="D623" s="22" t="inlineStr">
        <is>
          <t>S37</t>
        </is>
      </c>
      <c r="E623" s="22" t="inlineStr">
        <is>
          <t>Nexa Ayrshire (S37)</t>
        </is>
      </c>
      <c r="F623" s="22" t="inlineStr">
        <is>
          <t>Anh</t>
        </is>
      </c>
      <c r="G623" s="22" t="inlineStr">
        <is>
          <t>POS</t>
        </is>
      </c>
      <c r="H623" s="31" t="n">
        <v>21349.75</v>
      </c>
      <c r="I623" s="31" t="n">
        <v>0</v>
      </c>
      <c r="J623" s="31" t="n">
        <v>21349.75</v>
      </c>
      <c r="K623" s="31" t="n">
        <v>0</v>
      </c>
      <c r="L623" s="32" t="n">
        <v>10</v>
      </c>
      <c r="M623" s="32" t="n">
        <v>66</v>
      </c>
      <c r="N623" s="31" t="n">
        <v>21349.75</v>
      </c>
      <c r="O623" s="31" t="n">
        <v>21349.75</v>
      </c>
      <c r="P623" s="22" t="n">
        <v>0</v>
      </c>
      <c r="Q623" s="22" t="n">
        <v>0</v>
      </c>
      <c r="R623" s="22" t="n">
        <v>1</v>
      </c>
    </row>
    <row r="624">
      <c r="A624" s="22" t="n">
        <v>201702</v>
      </c>
      <c r="B624" s="22" t="inlineStr">
        <is>
          <t>02/2017</t>
        </is>
      </c>
      <c r="C624" s="22" t="n">
        <v>38</v>
      </c>
      <c r="D624" s="22" t="inlineStr">
        <is>
          <t>S38</t>
        </is>
      </c>
      <c r="E624" s="22" t="inlineStr">
        <is>
          <t>Nexa Belfast (S38)</t>
        </is>
      </c>
      <c r="F624" s="22" t="inlineStr">
        <is>
          <t>Anh</t>
        </is>
      </c>
      <c r="G624" s="22" t="inlineStr">
        <is>
          <t>POS</t>
        </is>
      </c>
      <c r="H624" s="31" t="n">
        <v>7137.82</v>
      </c>
      <c r="I624" s="31" t="n">
        <v>0</v>
      </c>
      <c r="J624" s="31" t="n">
        <v>7137.82</v>
      </c>
      <c r="K624" s="31" t="n">
        <v>0</v>
      </c>
      <c r="L624" s="32" t="n">
        <v>4</v>
      </c>
      <c r="M624" s="32" t="n">
        <v>42</v>
      </c>
      <c r="N624" s="31" t="n">
        <v>7137.82</v>
      </c>
      <c r="O624" s="31" t="n">
        <v>7137.82</v>
      </c>
      <c r="P624" s="22" t="n">
        <v>0</v>
      </c>
      <c r="Q624" s="22" t="n">
        <v>0</v>
      </c>
      <c r="R624" s="22" t="n">
        <v>0</v>
      </c>
    </row>
    <row r="625">
      <c r="A625" s="22" t="n">
        <v>201702</v>
      </c>
      <c r="B625" s="22" t="inlineStr">
        <is>
          <t>02/2017</t>
        </is>
      </c>
      <c r="C625" s="22" t="n">
        <v>39</v>
      </c>
      <c r="D625" s="22" t="inlineStr">
        <is>
          <t>S39</t>
        </is>
      </c>
      <c r="E625" s="22" t="inlineStr">
        <is>
          <t>Nexa Blaenau Gwent (S39)</t>
        </is>
      </c>
      <c r="F625" s="22" t="inlineStr">
        <is>
          <t>Anh</t>
        </is>
      </c>
      <c r="G625" s="22" t="inlineStr">
        <is>
          <t>POS</t>
        </is>
      </c>
      <c r="H625" s="31" t="n">
        <v>10983.7</v>
      </c>
      <c r="I625" s="31" t="n">
        <v>0</v>
      </c>
      <c r="J625" s="31" t="n">
        <v>10983.7</v>
      </c>
      <c r="K625" s="31" t="n">
        <v>0</v>
      </c>
      <c r="L625" s="32" t="n">
        <v>7</v>
      </c>
      <c r="M625" s="32" t="n">
        <v>39</v>
      </c>
      <c r="N625" s="31" t="n">
        <v>10983.7</v>
      </c>
      <c r="O625" s="31" t="n">
        <v>10983.7</v>
      </c>
      <c r="P625" s="22" t="n">
        <v>0</v>
      </c>
      <c r="Q625" s="22" t="n">
        <v>0</v>
      </c>
      <c r="R625" s="22" t="n">
        <v>0</v>
      </c>
    </row>
    <row r="626">
      <c r="A626" s="22" t="n">
        <v>201702</v>
      </c>
      <c r="B626" s="22" t="inlineStr">
        <is>
          <t>02/2017</t>
        </is>
      </c>
      <c r="C626" s="22" t="n">
        <v>40</v>
      </c>
      <c r="D626" s="22" t="inlineStr">
        <is>
          <t>S40</t>
        </is>
      </c>
      <c r="E626" s="22" t="inlineStr">
        <is>
          <t>Nexa Dungannon and South Tyrone (S40)</t>
        </is>
      </c>
      <c r="F626" s="22" t="inlineStr">
        <is>
          <t>Anh</t>
        </is>
      </c>
      <c r="G626" s="22" t="inlineStr">
        <is>
          <t>POS</t>
        </is>
      </c>
      <c r="H626" s="31" t="n">
        <v>22753.36</v>
      </c>
      <c r="I626" s="31" t="n">
        <v>0</v>
      </c>
      <c r="J626" s="31" t="n">
        <v>22753.36</v>
      </c>
      <c r="K626" s="31" t="n">
        <v>397.9</v>
      </c>
      <c r="L626" s="32" t="n">
        <v>7</v>
      </c>
      <c r="M626" s="32" t="n">
        <v>83</v>
      </c>
      <c r="N626" s="31" t="n">
        <v>22355.46</v>
      </c>
      <c r="O626" s="31" t="n">
        <v>22753.36</v>
      </c>
      <c r="P626" s="22" t="n">
        <v>0</v>
      </c>
      <c r="Q626" s="22" t="n">
        <v>0</v>
      </c>
      <c r="R626" s="22" t="n">
        <v>0</v>
      </c>
    </row>
    <row r="627">
      <c r="A627" s="22" t="n">
        <v>201702</v>
      </c>
      <c r="B627" s="22" t="inlineStr">
        <is>
          <t>02/2017</t>
        </is>
      </c>
      <c r="C627" s="22" t="n">
        <v>41</v>
      </c>
      <c r="D627" s="22" t="inlineStr">
        <is>
          <t>S41</t>
        </is>
      </c>
      <c r="E627" s="22" t="inlineStr">
        <is>
          <t>Nexa Fermanagh (S41)</t>
        </is>
      </c>
      <c r="F627" s="22" t="inlineStr">
        <is>
          <t>Anh</t>
        </is>
      </c>
      <c r="G627" s="22" t="inlineStr">
        <is>
          <t>POS</t>
        </is>
      </c>
      <c r="H627" s="31" t="n">
        <v>17011.94</v>
      </c>
      <c r="I627" s="31" t="n">
        <v>0</v>
      </c>
      <c r="J627" s="31" t="n">
        <v>17011.94</v>
      </c>
      <c r="K627" s="31" t="n">
        <v>34.95</v>
      </c>
      <c r="L627" s="32" t="n">
        <v>4</v>
      </c>
      <c r="M627" s="32" t="n">
        <v>41</v>
      </c>
      <c r="N627" s="31" t="n">
        <v>16976.99</v>
      </c>
      <c r="O627" s="31" t="n">
        <v>17011.94</v>
      </c>
      <c r="P627" s="22" t="n">
        <v>0</v>
      </c>
      <c r="Q627" s="22" t="n">
        <v>0</v>
      </c>
      <c r="R627" s="22" t="n">
        <v>0</v>
      </c>
    </row>
    <row r="628">
      <c r="A628" s="22" t="n">
        <v>201702</v>
      </c>
      <c r="B628" s="22" t="inlineStr">
        <is>
          <t>02/2017</t>
        </is>
      </c>
      <c r="C628" s="22" t="n">
        <v>42</v>
      </c>
      <c r="D628" s="22" t="inlineStr">
        <is>
          <t>S42</t>
        </is>
      </c>
      <c r="E628" s="22" t="inlineStr">
        <is>
          <t>Nexa North Down (S42)</t>
        </is>
      </c>
      <c r="F628" s="22" t="inlineStr">
        <is>
          <t>Anh</t>
        </is>
      </c>
      <c r="G628" s="22" t="inlineStr">
        <is>
          <t>POS</t>
        </is>
      </c>
      <c r="H628" s="31" t="n">
        <v>14732.67</v>
      </c>
      <c r="I628" s="31" t="n">
        <v>0</v>
      </c>
      <c r="J628" s="31" t="n">
        <v>14732.67</v>
      </c>
      <c r="K628" s="31" t="n">
        <v>3791.77</v>
      </c>
      <c r="L628" s="32" t="n">
        <v>8</v>
      </c>
      <c r="M628" s="32" t="n">
        <v>46</v>
      </c>
      <c r="N628" s="31" t="n">
        <v>10940.9</v>
      </c>
      <c r="O628" s="31" t="n">
        <v>14732.67</v>
      </c>
      <c r="P628" s="22" t="n">
        <v>0</v>
      </c>
      <c r="Q628" s="22" t="n">
        <v>0</v>
      </c>
      <c r="R628" s="22" t="n">
        <v>0</v>
      </c>
    </row>
    <row r="629">
      <c r="A629" s="22" t="n">
        <v>201702</v>
      </c>
      <c r="B629" s="22" t="inlineStr">
        <is>
          <t>02/2017</t>
        </is>
      </c>
      <c r="C629" s="22" t="n">
        <v>43</v>
      </c>
      <c r="D629" s="22" t="inlineStr">
        <is>
          <t>S43</t>
        </is>
      </c>
      <c r="E629" s="22" t="inlineStr">
        <is>
          <t>Nexa Alaska (S43)</t>
        </is>
      </c>
      <c r="F629" s="22" t="inlineStr">
        <is>
          <t>Mỹ</t>
        </is>
      </c>
      <c r="G629" s="22" t="inlineStr">
        <is>
          <t>POS</t>
        </is>
      </c>
      <c r="H629" s="31" t="n">
        <v>22312.81</v>
      </c>
      <c r="I629" s="31" t="n">
        <v>0</v>
      </c>
      <c r="J629" s="31" t="n">
        <v>22312.81</v>
      </c>
      <c r="K629" s="31" t="n">
        <v>0</v>
      </c>
      <c r="L629" s="32" t="n">
        <v>6</v>
      </c>
      <c r="M629" s="32" t="n">
        <v>74</v>
      </c>
      <c r="N629" s="31" t="n">
        <v>22312.81</v>
      </c>
      <c r="O629" s="31" t="n">
        <v>22312.81</v>
      </c>
      <c r="P629" s="22" t="n">
        <v>0</v>
      </c>
      <c r="Q629" s="22" t="n">
        <v>0</v>
      </c>
      <c r="R629" s="22" t="n">
        <v>0</v>
      </c>
    </row>
    <row r="630">
      <c r="A630" s="22" t="n">
        <v>201702</v>
      </c>
      <c r="B630" s="22" t="inlineStr">
        <is>
          <t>02/2017</t>
        </is>
      </c>
      <c r="C630" s="22" t="n">
        <v>44</v>
      </c>
      <c r="D630" s="22" t="inlineStr">
        <is>
          <t>S44</t>
        </is>
      </c>
      <c r="E630" s="22" t="inlineStr">
        <is>
          <t>Nexa Arkansas (S44)</t>
        </is>
      </c>
      <c r="F630" s="22" t="inlineStr">
        <is>
          <t>Mỹ</t>
        </is>
      </c>
      <c r="G630" s="22" t="inlineStr">
        <is>
          <t>POS</t>
        </is>
      </c>
      <c r="H630" s="31" t="n">
        <v>8959.6</v>
      </c>
      <c r="I630" s="31" t="n">
        <v>0</v>
      </c>
      <c r="J630" s="31" t="n">
        <v>8959.6</v>
      </c>
      <c r="K630" s="31" t="n">
        <v>57.88</v>
      </c>
      <c r="L630" s="32" t="n">
        <v>4</v>
      </c>
      <c r="M630" s="32" t="n">
        <v>21</v>
      </c>
      <c r="N630" s="31" t="n">
        <v>8901.719999999999</v>
      </c>
      <c r="O630" s="31" t="n">
        <v>8959.6</v>
      </c>
      <c r="P630" s="22" t="n">
        <v>0</v>
      </c>
      <c r="Q630" s="22" t="n">
        <v>0</v>
      </c>
      <c r="R630" s="22" t="n">
        <v>1</v>
      </c>
    </row>
    <row r="631">
      <c r="A631" s="22" t="n">
        <v>201702</v>
      </c>
      <c r="B631" s="22" t="inlineStr">
        <is>
          <t>02/2017</t>
        </is>
      </c>
      <c r="C631" s="22" t="n">
        <v>45</v>
      </c>
      <c r="D631" s="22" t="inlineStr">
        <is>
          <t>S45</t>
        </is>
      </c>
      <c r="E631" s="22" t="inlineStr">
        <is>
          <t>Nexa Connecticut (S45)</t>
        </is>
      </c>
      <c r="F631" s="22" t="inlineStr">
        <is>
          <t>Mỹ</t>
        </is>
      </c>
      <c r="G631" s="22" t="inlineStr">
        <is>
          <t>POS</t>
        </is>
      </c>
      <c r="H631" s="31" t="n">
        <v>7229.98</v>
      </c>
      <c r="I631" s="31" t="n">
        <v>0</v>
      </c>
      <c r="J631" s="31" t="n">
        <v>7229.98</v>
      </c>
      <c r="K631" s="31" t="n">
        <v>12.66</v>
      </c>
      <c r="L631" s="32" t="n">
        <v>5</v>
      </c>
      <c r="M631" s="32" t="n">
        <v>42</v>
      </c>
      <c r="N631" s="31" t="n">
        <v>7217.32</v>
      </c>
      <c r="O631" s="31" t="n">
        <v>7229.98</v>
      </c>
      <c r="P631" s="22" t="n">
        <v>0</v>
      </c>
      <c r="Q631" s="22" t="n">
        <v>0</v>
      </c>
      <c r="R631" s="22" t="n">
        <v>0</v>
      </c>
    </row>
    <row r="632">
      <c r="A632" s="22" t="n">
        <v>201702</v>
      </c>
      <c r="B632" s="22" t="inlineStr">
        <is>
          <t>02/2017</t>
        </is>
      </c>
      <c r="C632" s="22" t="n">
        <v>47</v>
      </c>
      <c r="D632" s="22" t="inlineStr">
        <is>
          <t>S47</t>
        </is>
      </c>
      <c r="E632" s="22" t="inlineStr">
        <is>
          <t>Nexa Hawaii (S47)</t>
        </is>
      </c>
      <c r="F632" s="22" t="inlineStr">
        <is>
          <t>Mỹ</t>
        </is>
      </c>
      <c r="G632" s="22" t="inlineStr">
        <is>
          <t>POS</t>
        </is>
      </c>
      <c r="H632" s="31" t="n">
        <v>8154.02</v>
      </c>
      <c r="I632" s="31" t="n">
        <v>0</v>
      </c>
      <c r="J632" s="31" t="n">
        <v>8154.02</v>
      </c>
      <c r="K632" s="31" t="n">
        <v>0</v>
      </c>
      <c r="L632" s="32" t="n">
        <v>8</v>
      </c>
      <c r="M632" s="32" t="n">
        <v>47</v>
      </c>
      <c r="N632" s="31" t="n">
        <v>8154.02</v>
      </c>
      <c r="O632" s="31" t="n">
        <v>8154.02</v>
      </c>
      <c r="P632" s="22" t="n">
        <v>0</v>
      </c>
      <c r="Q632" s="22" t="n">
        <v>0</v>
      </c>
      <c r="R632" s="22" t="n">
        <v>0</v>
      </c>
    </row>
    <row r="633">
      <c r="A633" s="22" t="n">
        <v>201702</v>
      </c>
      <c r="B633" s="22" t="inlineStr">
        <is>
          <t>02/2017</t>
        </is>
      </c>
      <c r="C633" s="22" t="n">
        <v>48</v>
      </c>
      <c r="D633" s="22" t="inlineStr">
        <is>
          <t>S48</t>
        </is>
      </c>
      <c r="E633" s="22" t="inlineStr">
        <is>
          <t>Nexa Idaho (S48)</t>
        </is>
      </c>
      <c r="F633" s="22" t="inlineStr">
        <is>
          <t>Mỹ</t>
        </is>
      </c>
      <c r="G633" s="22" t="inlineStr">
        <is>
          <t>POS</t>
        </is>
      </c>
      <c r="H633" s="31" t="n">
        <v>11290.78</v>
      </c>
      <c r="I633" s="31" t="n">
        <v>0</v>
      </c>
      <c r="J633" s="31" t="n">
        <v>11290.78</v>
      </c>
      <c r="K633" s="31" t="n">
        <v>0</v>
      </c>
      <c r="L633" s="32" t="n">
        <v>6</v>
      </c>
      <c r="M633" s="32" t="n">
        <v>39</v>
      </c>
      <c r="N633" s="31" t="n">
        <v>11290.78</v>
      </c>
      <c r="O633" s="31" t="n">
        <v>11290.78</v>
      </c>
      <c r="P633" s="22" t="n">
        <v>0</v>
      </c>
      <c r="Q633" s="22" t="n">
        <v>0</v>
      </c>
      <c r="R633" s="22" t="n">
        <v>0</v>
      </c>
    </row>
    <row r="634">
      <c r="A634" s="22" t="n">
        <v>201702</v>
      </c>
      <c r="B634" s="22" t="inlineStr">
        <is>
          <t>02/2017</t>
        </is>
      </c>
      <c r="C634" s="22" t="n">
        <v>50</v>
      </c>
      <c r="D634" s="22" t="inlineStr">
        <is>
          <t>S50</t>
        </is>
      </c>
      <c r="E634" s="22" t="inlineStr">
        <is>
          <t>Nexa Kansas (S50)</t>
        </is>
      </c>
      <c r="F634" s="22" t="inlineStr">
        <is>
          <t>Mỹ</t>
        </is>
      </c>
      <c r="G634" s="22" t="inlineStr">
        <is>
          <t>POS</t>
        </is>
      </c>
      <c r="H634" s="31" t="n">
        <v>11943.09</v>
      </c>
      <c r="I634" s="31" t="n">
        <v>0</v>
      </c>
      <c r="J634" s="31" t="n">
        <v>11943.09</v>
      </c>
      <c r="K634" s="31" t="n">
        <v>0</v>
      </c>
      <c r="L634" s="32" t="n">
        <v>9</v>
      </c>
      <c r="M634" s="32" t="n">
        <v>70</v>
      </c>
      <c r="N634" s="31" t="n">
        <v>11943.09</v>
      </c>
      <c r="O634" s="31" t="n">
        <v>11943.09</v>
      </c>
      <c r="P634" s="22" t="n">
        <v>1</v>
      </c>
      <c r="Q634" s="22" t="n">
        <v>0</v>
      </c>
      <c r="R634" s="22" t="n">
        <v>0</v>
      </c>
    </row>
    <row r="635">
      <c r="A635" s="22" t="n">
        <v>201702</v>
      </c>
      <c r="B635" s="22" t="inlineStr">
        <is>
          <t>02/2017</t>
        </is>
      </c>
      <c r="C635" s="22" t="n">
        <v>51</v>
      </c>
      <c r="D635" s="22" t="inlineStr">
        <is>
          <t>S51</t>
        </is>
      </c>
      <c r="E635" s="22" t="inlineStr">
        <is>
          <t>Nexa Maine (S51)</t>
        </is>
      </c>
      <c r="F635" s="22" t="inlineStr">
        <is>
          <t>Mỹ</t>
        </is>
      </c>
      <c r="G635" s="22" t="inlineStr">
        <is>
          <t>POS</t>
        </is>
      </c>
      <c r="H635" s="31" t="n">
        <v>18243.22</v>
      </c>
      <c r="I635" s="31" t="n">
        <v>0</v>
      </c>
      <c r="J635" s="31" t="n">
        <v>18243.22</v>
      </c>
      <c r="K635" s="31" t="n">
        <v>0</v>
      </c>
      <c r="L635" s="32" t="n">
        <v>10</v>
      </c>
      <c r="M635" s="32" t="n">
        <v>58</v>
      </c>
      <c r="N635" s="31" t="n">
        <v>18243.22</v>
      </c>
      <c r="O635" s="31" t="n">
        <v>18243.22</v>
      </c>
      <c r="P635" s="22" t="n">
        <v>0</v>
      </c>
      <c r="Q635" s="22" t="n">
        <v>0</v>
      </c>
      <c r="R635" s="22" t="n">
        <v>0</v>
      </c>
    </row>
    <row r="636">
      <c r="A636" s="22" t="n">
        <v>201702</v>
      </c>
      <c r="B636" s="22" t="inlineStr">
        <is>
          <t>02/2017</t>
        </is>
      </c>
      <c r="C636" s="22" t="n">
        <v>53</v>
      </c>
      <c r="D636" s="22" t="inlineStr">
        <is>
          <t>S53</t>
        </is>
      </c>
      <c r="E636" s="22" t="inlineStr">
        <is>
          <t>Nexa Montana (S53)</t>
        </is>
      </c>
      <c r="F636" s="22" t="inlineStr">
        <is>
          <t>Mỹ</t>
        </is>
      </c>
      <c r="G636" s="22" t="inlineStr">
        <is>
          <t>POS</t>
        </is>
      </c>
      <c r="H636" s="31" t="n">
        <v>11404.27</v>
      </c>
      <c r="I636" s="31" t="n">
        <v>0</v>
      </c>
      <c r="J636" s="31" t="n">
        <v>11404.27</v>
      </c>
      <c r="K636" s="31" t="n">
        <v>0</v>
      </c>
      <c r="L636" s="32" t="n">
        <v>7</v>
      </c>
      <c r="M636" s="32" t="n">
        <v>67</v>
      </c>
      <c r="N636" s="31" t="n">
        <v>11404.27</v>
      </c>
      <c r="O636" s="31" t="n">
        <v>11404.27</v>
      </c>
      <c r="P636" s="22" t="n">
        <v>1</v>
      </c>
      <c r="Q636" s="22" t="n">
        <v>0</v>
      </c>
      <c r="R636" s="22" t="n">
        <v>0</v>
      </c>
    </row>
    <row r="637">
      <c r="A637" s="22" t="n">
        <v>201702</v>
      </c>
      <c r="B637" s="22" t="inlineStr">
        <is>
          <t>02/2017</t>
        </is>
      </c>
      <c r="C637" s="22" t="n">
        <v>54</v>
      </c>
      <c r="D637" s="22" t="inlineStr">
        <is>
          <t>S54</t>
        </is>
      </c>
      <c r="E637" s="22" t="inlineStr">
        <is>
          <t>Nexa Nebraska (S54)</t>
        </is>
      </c>
      <c r="F637" s="22" t="inlineStr">
        <is>
          <t>Mỹ</t>
        </is>
      </c>
      <c r="G637" s="22" t="inlineStr">
        <is>
          <t>POS</t>
        </is>
      </c>
      <c r="H637" s="31" t="n">
        <v>14911.74</v>
      </c>
      <c r="I637" s="31" t="n">
        <v>0</v>
      </c>
      <c r="J637" s="31" t="n">
        <v>14911.74</v>
      </c>
      <c r="K637" s="31" t="n">
        <v>47.95</v>
      </c>
      <c r="L637" s="32" t="n">
        <v>10</v>
      </c>
      <c r="M637" s="32" t="n">
        <v>61</v>
      </c>
      <c r="N637" s="31" t="n">
        <v>14863.79</v>
      </c>
      <c r="O637" s="31" t="n">
        <v>14911.74</v>
      </c>
      <c r="P637" s="22" t="n">
        <v>1</v>
      </c>
      <c r="Q637" s="22" t="n">
        <v>0</v>
      </c>
      <c r="R637" s="22" t="n">
        <v>0</v>
      </c>
    </row>
    <row r="638">
      <c r="A638" s="22" t="n">
        <v>201702</v>
      </c>
      <c r="B638" s="22" t="inlineStr">
        <is>
          <t>02/2017</t>
        </is>
      </c>
      <c r="C638" s="22" t="n">
        <v>55</v>
      </c>
      <c r="D638" s="22" t="inlineStr">
        <is>
          <t>S55</t>
        </is>
      </c>
      <c r="E638" s="22" t="inlineStr">
        <is>
          <t>Nexa Nevada (S55)</t>
        </is>
      </c>
      <c r="F638" s="22" t="inlineStr">
        <is>
          <t>Mỹ</t>
        </is>
      </c>
      <c r="G638" s="22" t="inlineStr">
        <is>
          <t>POS</t>
        </is>
      </c>
      <c r="H638" s="31" t="n">
        <v>16291.24</v>
      </c>
      <c r="I638" s="31" t="n">
        <v>0</v>
      </c>
      <c r="J638" s="31" t="n">
        <v>16291.24</v>
      </c>
      <c r="K638" s="31" t="n">
        <v>219</v>
      </c>
      <c r="L638" s="32" t="n">
        <v>7</v>
      </c>
      <c r="M638" s="32" t="n">
        <v>44</v>
      </c>
      <c r="N638" s="31" t="n">
        <v>16072.24</v>
      </c>
      <c r="O638" s="31" t="n">
        <v>16291.24</v>
      </c>
      <c r="P638" s="22" t="n">
        <v>0</v>
      </c>
      <c r="Q638" s="22" t="n">
        <v>0</v>
      </c>
      <c r="R638" s="22" t="n">
        <v>0</v>
      </c>
    </row>
    <row r="639">
      <c r="A639" s="22" t="n">
        <v>201702</v>
      </c>
      <c r="B639" s="22" t="inlineStr">
        <is>
          <t>02/2017</t>
        </is>
      </c>
      <c r="C639" s="22" t="n">
        <v>56</v>
      </c>
      <c r="D639" s="22" t="inlineStr">
        <is>
          <t>S56</t>
        </is>
      </c>
      <c r="E639" s="22" t="inlineStr">
        <is>
          <t>Nexa New Hampshire (S56)</t>
        </is>
      </c>
      <c r="F639" s="22" t="inlineStr">
        <is>
          <t>Mỹ</t>
        </is>
      </c>
      <c r="G639" s="22" t="inlineStr">
        <is>
          <t>POS</t>
        </is>
      </c>
      <c r="H639" s="31" t="n">
        <v>32228.28</v>
      </c>
      <c r="I639" s="31" t="n">
        <v>0</v>
      </c>
      <c r="J639" s="31" t="n">
        <v>32228.28</v>
      </c>
      <c r="K639" s="31" t="n">
        <v>0</v>
      </c>
      <c r="L639" s="32" t="n">
        <v>10</v>
      </c>
      <c r="M639" s="32" t="n">
        <v>69</v>
      </c>
      <c r="N639" s="31" t="n">
        <v>32228.28</v>
      </c>
      <c r="O639" s="31" t="n">
        <v>32228.28</v>
      </c>
      <c r="P639" s="22" t="n">
        <v>0</v>
      </c>
      <c r="Q639" s="22" t="n">
        <v>0</v>
      </c>
      <c r="R639" s="22" t="n">
        <v>0</v>
      </c>
    </row>
    <row r="640">
      <c r="A640" s="22" t="n">
        <v>201702</v>
      </c>
      <c r="B640" s="22" t="inlineStr">
        <is>
          <t>02/2017</t>
        </is>
      </c>
      <c r="C640" s="22" t="n">
        <v>57</v>
      </c>
      <c r="D640" s="22" t="inlineStr">
        <is>
          <t>S57</t>
        </is>
      </c>
      <c r="E640" s="22" t="inlineStr">
        <is>
          <t>Nexa New Mexico (S57)</t>
        </is>
      </c>
      <c r="F640" s="22" t="inlineStr">
        <is>
          <t>Mỹ</t>
        </is>
      </c>
      <c r="G640" s="22" t="inlineStr">
        <is>
          <t>POS</t>
        </is>
      </c>
      <c r="H640" s="31" t="n">
        <v>17642.56</v>
      </c>
      <c r="I640" s="31" t="n">
        <v>0</v>
      </c>
      <c r="J640" s="31" t="n">
        <v>17642.56</v>
      </c>
      <c r="K640" s="31" t="n">
        <v>0</v>
      </c>
      <c r="L640" s="32" t="n">
        <v>8</v>
      </c>
      <c r="M640" s="32" t="n">
        <v>48</v>
      </c>
      <c r="N640" s="31" t="n">
        <v>17642.56</v>
      </c>
      <c r="O640" s="31" t="n">
        <v>17642.56</v>
      </c>
      <c r="P640" s="22" t="n">
        <v>0</v>
      </c>
      <c r="Q640" s="22" t="n">
        <v>0</v>
      </c>
      <c r="R640" s="22" t="n">
        <v>0</v>
      </c>
    </row>
    <row r="641">
      <c r="A641" s="22" t="n">
        <v>201702</v>
      </c>
      <c r="B641" s="22" t="inlineStr">
        <is>
          <t>02/2017</t>
        </is>
      </c>
      <c r="C641" s="22" t="n">
        <v>59</v>
      </c>
      <c r="D641" s="22" t="inlineStr">
        <is>
          <t>S59</t>
        </is>
      </c>
      <c r="E641" s="22" t="inlineStr">
        <is>
          <t>Nexa Oregon (S59)</t>
        </is>
      </c>
      <c r="F641" s="22" t="inlineStr">
        <is>
          <t>Mỹ</t>
        </is>
      </c>
      <c r="G641" s="22" t="inlineStr">
        <is>
          <t>POS</t>
        </is>
      </c>
      <c r="H641" s="31" t="n">
        <v>30259.85</v>
      </c>
      <c r="I641" s="31" t="n">
        <v>0</v>
      </c>
      <c r="J641" s="31" t="n">
        <v>30259.85</v>
      </c>
      <c r="K641" s="31" t="n">
        <v>0</v>
      </c>
      <c r="L641" s="32" t="n">
        <v>10</v>
      </c>
      <c r="M641" s="32" t="n">
        <v>57</v>
      </c>
      <c r="N641" s="31" t="n">
        <v>30259.85</v>
      </c>
      <c r="O641" s="31" t="n">
        <v>30259.85</v>
      </c>
      <c r="P641" s="22" t="n">
        <v>0</v>
      </c>
      <c r="Q641" s="22" t="n">
        <v>0</v>
      </c>
      <c r="R641" s="22" t="n">
        <v>0</v>
      </c>
    </row>
    <row r="642">
      <c r="A642" s="22" t="n">
        <v>201702</v>
      </c>
      <c r="B642" s="22" t="inlineStr">
        <is>
          <t>02/2017</t>
        </is>
      </c>
      <c r="C642" s="22" t="n">
        <v>61</v>
      </c>
      <c r="D642" s="22" t="inlineStr">
        <is>
          <t>S61</t>
        </is>
      </c>
      <c r="E642" s="22" t="inlineStr">
        <is>
          <t>Nexa South Carolina (S61)</t>
        </is>
      </c>
      <c r="F642" s="22" t="inlineStr">
        <is>
          <t>Mỹ</t>
        </is>
      </c>
      <c r="G642" s="22" t="inlineStr">
        <is>
          <t>POS</t>
        </is>
      </c>
      <c r="H642" s="31" t="n">
        <v>21553.73</v>
      </c>
      <c r="I642" s="31" t="n">
        <v>0</v>
      </c>
      <c r="J642" s="31" t="n">
        <v>21553.73</v>
      </c>
      <c r="K642" s="31" t="n">
        <v>99.98999999999999</v>
      </c>
      <c r="L642" s="32" t="n">
        <v>9</v>
      </c>
      <c r="M642" s="32" t="n">
        <v>75</v>
      </c>
      <c r="N642" s="31" t="n">
        <v>21453.74</v>
      </c>
      <c r="O642" s="31" t="n">
        <v>21553.73</v>
      </c>
      <c r="P642" s="22" t="n">
        <v>0</v>
      </c>
      <c r="Q642" s="22" t="n">
        <v>0</v>
      </c>
      <c r="R642" s="22" t="n">
        <v>0</v>
      </c>
    </row>
    <row r="643">
      <c r="A643" s="22" t="n">
        <v>201702</v>
      </c>
      <c r="B643" s="22" t="inlineStr">
        <is>
          <t>02/2017</t>
        </is>
      </c>
      <c r="C643" s="22" t="n">
        <v>63</v>
      </c>
      <c r="D643" s="22" t="inlineStr">
        <is>
          <t>S63</t>
        </is>
      </c>
      <c r="E643" s="22" t="inlineStr">
        <is>
          <t>Nexa Utah (S63)</t>
        </is>
      </c>
      <c r="F643" s="22" t="inlineStr">
        <is>
          <t>Mỹ</t>
        </is>
      </c>
      <c r="G643" s="22" t="inlineStr">
        <is>
          <t>POS</t>
        </is>
      </c>
      <c r="H643" s="31" t="n">
        <v>6078.83</v>
      </c>
      <c r="I643" s="31" t="n">
        <v>0</v>
      </c>
      <c r="J643" s="31" t="n">
        <v>6078.83</v>
      </c>
      <c r="K643" s="31" t="n">
        <v>600.4</v>
      </c>
      <c r="L643" s="32" t="n">
        <v>9</v>
      </c>
      <c r="M643" s="32" t="n">
        <v>44</v>
      </c>
      <c r="N643" s="31" t="n">
        <v>5478.43</v>
      </c>
      <c r="O643" s="31" t="n">
        <v>6078.83</v>
      </c>
      <c r="P643" s="22" t="n">
        <v>0</v>
      </c>
      <c r="Q643" s="22" t="n">
        <v>0</v>
      </c>
      <c r="R643" s="22" t="n">
        <v>0</v>
      </c>
    </row>
    <row r="644">
      <c r="A644" s="22" t="n">
        <v>201702</v>
      </c>
      <c r="B644" s="22" t="inlineStr">
        <is>
          <t>02/2017</t>
        </is>
      </c>
      <c r="C644" s="22" t="n">
        <v>64</v>
      </c>
      <c r="D644" s="22" t="inlineStr">
        <is>
          <t>S64</t>
        </is>
      </c>
      <c r="E644" s="22" t="inlineStr">
        <is>
          <t>Nexa Washington DC (S64)</t>
        </is>
      </c>
      <c r="F644" s="22" t="inlineStr">
        <is>
          <t>Mỹ</t>
        </is>
      </c>
      <c r="G644" s="22" t="inlineStr">
        <is>
          <t>POS</t>
        </is>
      </c>
      <c r="H644" s="31" t="n">
        <v>7205.85</v>
      </c>
      <c r="I644" s="31" t="n">
        <v>0</v>
      </c>
      <c r="J644" s="31" t="n">
        <v>7205.85</v>
      </c>
      <c r="K644" s="31" t="n">
        <v>0</v>
      </c>
      <c r="L644" s="32" t="n">
        <v>5</v>
      </c>
      <c r="M644" s="32" t="n">
        <v>28</v>
      </c>
      <c r="N644" s="31" t="n">
        <v>7205.85</v>
      </c>
      <c r="O644" s="31" t="n">
        <v>7205.85</v>
      </c>
      <c r="P644" s="22" t="n">
        <v>0</v>
      </c>
      <c r="Q644" s="22" t="n">
        <v>0</v>
      </c>
      <c r="R644" s="22" t="n">
        <v>0</v>
      </c>
    </row>
    <row r="645">
      <c r="A645" s="22" t="n">
        <v>201702</v>
      </c>
      <c r="B645" s="22" t="inlineStr">
        <is>
          <t>02/2017</t>
        </is>
      </c>
      <c r="C645" s="22" t="n">
        <v>65</v>
      </c>
      <c r="D645" s="22" t="inlineStr">
        <is>
          <t>S65</t>
        </is>
      </c>
      <c r="E645" s="22" t="inlineStr">
        <is>
          <t>Nexa West Virginia (S65)</t>
        </is>
      </c>
      <c r="F645" s="22" t="inlineStr">
        <is>
          <t>Mỹ</t>
        </is>
      </c>
      <c r="G645" s="22" t="inlineStr">
        <is>
          <t>POS</t>
        </is>
      </c>
      <c r="H645" s="31" t="n">
        <v>11980.18</v>
      </c>
      <c r="I645" s="31" t="n">
        <v>0</v>
      </c>
      <c r="J645" s="31" t="n">
        <v>11980.18</v>
      </c>
      <c r="K645" s="31" t="n">
        <v>794.99</v>
      </c>
      <c r="L645" s="32" t="n">
        <v>7</v>
      </c>
      <c r="M645" s="32" t="n">
        <v>40</v>
      </c>
      <c r="N645" s="31" t="n">
        <v>11185.19</v>
      </c>
      <c r="O645" s="31" t="n">
        <v>11980.18</v>
      </c>
      <c r="P645" s="22" t="n">
        <v>1</v>
      </c>
      <c r="Q645" s="22" t="n">
        <v>0</v>
      </c>
      <c r="R645" s="22" t="n">
        <v>0</v>
      </c>
    </row>
    <row r="646">
      <c r="A646" s="22" t="n">
        <v>201702</v>
      </c>
      <c r="B646" s="22" t="inlineStr">
        <is>
          <t>02/2017</t>
        </is>
      </c>
      <c r="C646" s="22" t="n">
        <v>66</v>
      </c>
      <c r="D646" s="22" t="inlineStr">
        <is>
          <t>S66</t>
        </is>
      </c>
      <c r="E646" s="22" t="inlineStr">
        <is>
          <t>Nexa Wyoming (S66)</t>
        </is>
      </c>
      <c r="F646" s="22" t="inlineStr">
        <is>
          <t>Mỹ</t>
        </is>
      </c>
      <c r="G646" s="22" t="inlineStr">
        <is>
          <t>POS</t>
        </is>
      </c>
      <c r="H646" s="31" t="n">
        <v>29338.92</v>
      </c>
      <c r="I646" s="31" t="n">
        <v>0</v>
      </c>
      <c r="J646" s="31" t="n">
        <v>29338.92</v>
      </c>
      <c r="K646" s="31" t="n">
        <v>13.89</v>
      </c>
      <c r="L646" s="32" t="n">
        <v>11</v>
      </c>
      <c r="M646" s="32" t="n">
        <v>92</v>
      </c>
      <c r="N646" s="31" t="n">
        <v>29325.03</v>
      </c>
      <c r="O646" s="31" t="n">
        <v>29338.92</v>
      </c>
      <c r="P646" s="22" t="n">
        <v>0</v>
      </c>
      <c r="Q646" s="22" t="n">
        <v>0</v>
      </c>
      <c r="R646" s="22" t="n">
        <v>0</v>
      </c>
    </row>
    <row r="647">
      <c r="A647" s="22" t="n">
        <v>201703</v>
      </c>
      <c r="B647" s="22" t="inlineStr">
        <is>
          <t>03/2017</t>
        </is>
      </c>
      <c r="C647" s="22" t="n">
        <v>0</v>
      </c>
      <c r="D647" s="22" t="inlineStr">
        <is>
          <t>ONL</t>
        </is>
      </c>
      <c r="E647" s="22" t="inlineStr">
        <is>
          <t>Nexa Online (website/app)</t>
        </is>
      </c>
      <c r="F647" s="22" t="inlineStr">
        <is>
          <t>Online</t>
        </is>
      </c>
      <c r="G647" s="22" t="inlineStr">
        <is>
          <t>ONLINE</t>
        </is>
      </c>
      <c r="H647" s="31" t="n">
        <v>42050.25</v>
      </c>
      <c r="I647" s="31" t="n">
        <v>1673.26</v>
      </c>
      <c r="J647" s="31" t="n">
        <v>40376.99</v>
      </c>
      <c r="K647" s="31" t="n">
        <v>4630.69</v>
      </c>
      <c r="L647" s="32" t="n">
        <v>15</v>
      </c>
      <c r="M647" s="32" t="n">
        <v>178</v>
      </c>
      <c r="N647" s="31" t="n">
        <v>63906.13</v>
      </c>
      <c r="O647" s="31" t="n">
        <v>68536.82000000001</v>
      </c>
      <c r="P647" s="22" t="n">
        <v>4</v>
      </c>
      <c r="Q647" s="22" t="n">
        <v>0</v>
      </c>
      <c r="R647" s="22" t="n">
        <v>0</v>
      </c>
    </row>
    <row r="648">
      <c r="A648" s="22" t="n">
        <v>201703</v>
      </c>
      <c r="B648" s="22" t="inlineStr">
        <is>
          <t>03/2017</t>
        </is>
      </c>
      <c r="C648" s="22" t="n">
        <v>5</v>
      </c>
      <c r="D648" s="22" t="inlineStr">
        <is>
          <t>S05</t>
        </is>
      </c>
      <c r="E648" s="22" t="inlineStr">
        <is>
          <t>Nexa Victoria (S05)</t>
        </is>
      </c>
      <c r="F648" s="22" t="inlineStr">
        <is>
          <t>Úc</t>
        </is>
      </c>
      <c r="G648" s="22" t="inlineStr">
        <is>
          <t>POS</t>
        </is>
      </c>
      <c r="H648" s="31" t="n">
        <v>6303.95</v>
      </c>
      <c r="I648" s="31" t="n">
        <v>0</v>
      </c>
      <c r="J648" s="31" t="n">
        <v>6303.95</v>
      </c>
      <c r="K648" s="31" t="n">
        <v>0</v>
      </c>
      <c r="L648" s="32" t="n">
        <v>3</v>
      </c>
      <c r="M648" s="32" t="n">
        <v>50</v>
      </c>
      <c r="N648" s="31" t="n">
        <v>6303.95</v>
      </c>
      <c r="O648" s="31" t="n">
        <v>6303.95</v>
      </c>
      <c r="P648" s="22" t="n">
        <v>0</v>
      </c>
      <c r="Q648" s="22" t="n">
        <v>0</v>
      </c>
      <c r="R648" s="22" t="n">
        <v>0</v>
      </c>
    </row>
    <row r="649">
      <c r="A649" s="22" t="n">
        <v>201703</v>
      </c>
      <c r="B649" s="22" t="inlineStr">
        <is>
          <t>03/2017</t>
        </is>
      </c>
      <c r="C649" s="22" t="n">
        <v>6</v>
      </c>
      <c r="D649" s="22" t="inlineStr">
        <is>
          <t>S06</t>
        </is>
      </c>
      <c r="E649" s="22" t="inlineStr">
        <is>
          <t>Nexa Western Australia (S06)</t>
        </is>
      </c>
      <c r="F649" s="22" t="inlineStr">
        <is>
          <t>Úc</t>
        </is>
      </c>
      <c r="G649" s="22" t="inlineStr">
        <is>
          <t>POS</t>
        </is>
      </c>
      <c r="H649" s="31" t="n">
        <v>412.93</v>
      </c>
      <c r="I649" s="31" t="n">
        <v>0</v>
      </c>
      <c r="J649" s="31" t="n">
        <v>412.93</v>
      </c>
      <c r="K649" s="31" t="n">
        <v>0</v>
      </c>
      <c r="L649" s="32" t="n">
        <v>1</v>
      </c>
      <c r="M649" s="32" t="n">
        <v>7</v>
      </c>
      <c r="N649" s="31" t="n">
        <v>412.93</v>
      </c>
      <c r="O649" s="31" t="n">
        <v>412.93</v>
      </c>
      <c r="P649" s="22" t="n">
        <v>0</v>
      </c>
      <c r="Q649" s="22" t="n">
        <v>0</v>
      </c>
      <c r="R649" s="22" t="n">
        <v>0</v>
      </c>
    </row>
    <row r="650">
      <c r="A650" s="22" t="n">
        <v>201703</v>
      </c>
      <c r="B650" s="22" t="inlineStr">
        <is>
          <t>03/2017</t>
        </is>
      </c>
      <c r="C650" s="22" t="n">
        <v>8</v>
      </c>
      <c r="D650" s="22" t="inlineStr">
        <is>
          <t>S08</t>
        </is>
      </c>
      <c r="E650" s="22" t="inlineStr">
        <is>
          <t>Nexa Newfoundland and Labrador (S08)</t>
        </is>
      </c>
      <c r="F650" s="22" t="inlineStr">
        <is>
          <t>Canada</t>
        </is>
      </c>
      <c r="G650" s="22" t="inlineStr">
        <is>
          <t>POS</t>
        </is>
      </c>
      <c r="H650" s="31" t="n">
        <v>13010.89</v>
      </c>
      <c r="I650" s="31" t="n">
        <v>0</v>
      </c>
      <c r="J650" s="31" t="n">
        <v>13010.89</v>
      </c>
      <c r="K650" s="31" t="n">
        <v>198</v>
      </c>
      <c r="L650" s="32" t="n">
        <v>5</v>
      </c>
      <c r="M650" s="32" t="n">
        <v>32</v>
      </c>
      <c r="N650" s="31" t="n">
        <v>12812.89</v>
      </c>
      <c r="O650" s="31" t="n">
        <v>13010.89</v>
      </c>
      <c r="P650" s="22" t="n">
        <v>0</v>
      </c>
      <c r="Q650" s="22" t="n">
        <v>0</v>
      </c>
      <c r="R650" s="22" t="n">
        <v>0</v>
      </c>
    </row>
    <row r="651">
      <c r="A651" s="22" t="n">
        <v>201703</v>
      </c>
      <c r="B651" s="22" t="inlineStr">
        <is>
          <t>03/2017</t>
        </is>
      </c>
      <c r="C651" s="22" t="n">
        <v>9</v>
      </c>
      <c r="D651" s="22" t="inlineStr">
        <is>
          <t>S09</t>
        </is>
      </c>
      <c r="E651" s="22" t="inlineStr">
        <is>
          <t>Nexa Northwest Territories (S09)</t>
        </is>
      </c>
      <c r="F651" s="22" t="inlineStr">
        <is>
          <t>Canada</t>
        </is>
      </c>
      <c r="G651" s="22" t="inlineStr">
        <is>
          <t>POS</t>
        </is>
      </c>
      <c r="H651" s="31" t="n">
        <v>3380.6</v>
      </c>
      <c r="I651" s="31" t="n">
        <v>0</v>
      </c>
      <c r="J651" s="31" t="n">
        <v>3380.6</v>
      </c>
      <c r="K651" s="31" t="n">
        <v>0</v>
      </c>
      <c r="L651" s="32" t="n">
        <v>2</v>
      </c>
      <c r="M651" s="32" t="n">
        <v>21</v>
      </c>
      <c r="N651" s="31" t="n">
        <v>3380.6</v>
      </c>
      <c r="O651" s="31" t="n">
        <v>3380.6</v>
      </c>
      <c r="P651" s="22" t="n">
        <v>0</v>
      </c>
      <c r="Q651" s="22" t="n">
        <v>0</v>
      </c>
      <c r="R651" s="22" t="n">
        <v>0</v>
      </c>
    </row>
    <row r="652">
      <c r="A652" s="22" t="n">
        <v>201703</v>
      </c>
      <c r="B652" s="22" t="inlineStr">
        <is>
          <t>03/2017</t>
        </is>
      </c>
      <c r="C652" s="22" t="n">
        <v>10</v>
      </c>
      <c r="D652" s="22" t="inlineStr">
        <is>
          <t>S10</t>
        </is>
      </c>
      <c r="E652" s="22" t="inlineStr">
        <is>
          <t>Nexa Nunavut (S10)</t>
        </is>
      </c>
      <c r="F652" s="22" t="inlineStr">
        <is>
          <t>Canada</t>
        </is>
      </c>
      <c r="G652" s="22" t="inlineStr">
        <is>
          <t>POS</t>
        </is>
      </c>
      <c r="H652" s="31" t="n">
        <v>9952.01</v>
      </c>
      <c r="I652" s="31" t="n">
        <v>0</v>
      </c>
      <c r="J652" s="31" t="n">
        <v>9952.01</v>
      </c>
      <c r="K652" s="31" t="n">
        <v>179.99</v>
      </c>
      <c r="L652" s="32" t="n">
        <v>3</v>
      </c>
      <c r="M652" s="32" t="n">
        <v>23</v>
      </c>
      <c r="N652" s="31" t="n">
        <v>9772.02</v>
      </c>
      <c r="O652" s="31" t="n">
        <v>9952.01</v>
      </c>
      <c r="P652" s="22" t="n">
        <v>0</v>
      </c>
      <c r="Q652" s="22" t="n">
        <v>0</v>
      </c>
      <c r="R652" s="22" t="n">
        <v>0</v>
      </c>
    </row>
    <row r="653">
      <c r="A653" s="22" t="n">
        <v>201703</v>
      </c>
      <c r="B653" s="22" t="inlineStr">
        <is>
          <t>03/2017</t>
        </is>
      </c>
      <c r="C653" s="22" t="n">
        <v>13</v>
      </c>
      <c r="D653" s="22" t="inlineStr">
        <is>
          <t>S13</t>
        </is>
      </c>
      <c r="E653" s="22" t="inlineStr">
        <is>
          <t>Nexa Corse (S13)</t>
        </is>
      </c>
      <c r="F653" s="22" t="inlineStr">
        <is>
          <t>Pháp</t>
        </is>
      </c>
      <c r="G653" s="22" t="inlineStr">
        <is>
          <t>POS</t>
        </is>
      </c>
      <c r="H653" s="31" t="n">
        <v>14520.08</v>
      </c>
      <c r="I653" s="31" t="n">
        <v>0</v>
      </c>
      <c r="J653" s="31" t="n">
        <v>14520.08</v>
      </c>
      <c r="K653" s="31" t="n">
        <v>0</v>
      </c>
      <c r="L653" s="32" t="n">
        <v>2</v>
      </c>
      <c r="M653" s="32" t="n">
        <v>38</v>
      </c>
      <c r="N653" s="31" t="n">
        <v>14520.08</v>
      </c>
      <c r="O653" s="31" t="n">
        <v>14520.08</v>
      </c>
      <c r="P653" s="22" t="n">
        <v>0</v>
      </c>
      <c r="Q653" s="22" t="n">
        <v>0</v>
      </c>
      <c r="R653" s="22" t="n">
        <v>0</v>
      </c>
    </row>
    <row r="654">
      <c r="A654" s="22" t="n">
        <v>201703</v>
      </c>
      <c r="B654" s="22" t="inlineStr">
        <is>
          <t>03/2017</t>
        </is>
      </c>
      <c r="C654" s="22" t="n">
        <v>16</v>
      </c>
      <c r="D654" s="22" t="inlineStr">
        <is>
          <t>S16</t>
        </is>
      </c>
      <c r="E654" s="22" t="inlineStr">
        <is>
          <t>Nexa Limousin (S16)</t>
        </is>
      </c>
      <c r="F654" s="22" t="inlineStr">
        <is>
          <t>Pháp</t>
        </is>
      </c>
      <c r="G654" s="22" t="inlineStr">
        <is>
          <t>POS</t>
        </is>
      </c>
      <c r="H654" s="31" t="n">
        <v>3195.5</v>
      </c>
      <c r="I654" s="31" t="n">
        <v>0</v>
      </c>
      <c r="J654" s="31" t="n">
        <v>3195.5</v>
      </c>
      <c r="K654" s="31" t="n">
        <v>0</v>
      </c>
      <c r="L654" s="32" t="n">
        <v>1</v>
      </c>
      <c r="M654" s="32" t="n">
        <v>10</v>
      </c>
      <c r="N654" s="31" t="n">
        <v>3195.5</v>
      </c>
      <c r="O654" s="31" t="n">
        <v>3195.5</v>
      </c>
      <c r="P654" s="22" t="n">
        <v>0</v>
      </c>
      <c r="Q654" s="22" t="n">
        <v>0</v>
      </c>
      <c r="R654" s="22" t="n">
        <v>0</v>
      </c>
    </row>
    <row r="655">
      <c r="A655" s="22" t="n">
        <v>201703</v>
      </c>
      <c r="B655" s="22" t="inlineStr">
        <is>
          <t>03/2017</t>
        </is>
      </c>
      <c r="C655" s="22" t="n">
        <v>19</v>
      </c>
      <c r="D655" s="22" t="inlineStr">
        <is>
          <t>S19</t>
        </is>
      </c>
      <c r="E655" s="22" t="inlineStr">
        <is>
          <t>Nexa Berlin (S19)</t>
        </is>
      </c>
      <c r="F655" s="22" t="inlineStr">
        <is>
          <t>Đức</t>
        </is>
      </c>
      <c r="G655" s="22" t="inlineStr">
        <is>
          <t>POS</t>
        </is>
      </c>
      <c r="H655" s="31" t="n">
        <v>749.97</v>
      </c>
      <c r="I655" s="31" t="n">
        <v>0</v>
      </c>
      <c r="J655" s="31" t="n">
        <v>749.97</v>
      </c>
      <c r="K655" s="31" t="n">
        <v>0</v>
      </c>
      <c r="L655" s="32" t="n">
        <v>1</v>
      </c>
      <c r="M655" s="32" t="n">
        <v>4</v>
      </c>
      <c r="N655" s="31" t="n">
        <v>749.97</v>
      </c>
      <c r="O655" s="31" t="n">
        <v>749.97</v>
      </c>
      <c r="P655" s="22" t="n">
        <v>0</v>
      </c>
      <c r="Q655" s="22" t="n">
        <v>0</v>
      </c>
      <c r="R655" s="22" t="n">
        <v>0</v>
      </c>
    </row>
    <row r="656">
      <c r="A656" s="22" t="n">
        <v>201703</v>
      </c>
      <c r="B656" s="22" t="inlineStr">
        <is>
          <t>03/2017</t>
        </is>
      </c>
      <c r="C656" s="22" t="n">
        <v>20</v>
      </c>
      <c r="D656" s="22" t="inlineStr">
        <is>
          <t>S20</t>
        </is>
      </c>
      <c r="E656" s="22" t="inlineStr">
        <is>
          <t>Nexa Brandenburg (S20)</t>
        </is>
      </c>
      <c r="F656" s="22" t="inlineStr">
        <is>
          <t>Đức</t>
        </is>
      </c>
      <c r="G656" s="22" t="inlineStr">
        <is>
          <t>POS</t>
        </is>
      </c>
      <c r="H656" s="31" t="n">
        <v>1484.81</v>
      </c>
      <c r="I656" s="31" t="n">
        <v>0</v>
      </c>
      <c r="J656" s="31" t="n">
        <v>1484.81</v>
      </c>
      <c r="K656" s="31" t="n">
        <v>1287.5</v>
      </c>
      <c r="L656" s="32" t="n">
        <v>3</v>
      </c>
      <c r="M656" s="32" t="n">
        <v>9</v>
      </c>
      <c r="N656" s="31" t="n">
        <v>197.31</v>
      </c>
      <c r="O656" s="31" t="n">
        <v>1484.81</v>
      </c>
      <c r="P656" s="22" t="n">
        <v>0</v>
      </c>
      <c r="Q656" s="22" t="n">
        <v>0</v>
      </c>
      <c r="R656" s="22" t="n">
        <v>0</v>
      </c>
    </row>
    <row r="657">
      <c r="A657" s="22" t="n">
        <v>201703</v>
      </c>
      <c r="B657" s="22" t="inlineStr">
        <is>
          <t>03/2017</t>
        </is>
      </c>
      <c r="C657" s="22" t="n">
        <v>22</v>
      </c>
      <c r="D657" s="22" t="inlineStr">
        <is>
          <t>S22</t>
        </is>
      </c>
      <c r="E657" s="22" t="inlineStr">
        <is>
          <t>Nexa Freistaat Thüringen (S22)</t>
        </is>
      </c>
      <c r="F657" s="22" t="inlineStr">
        <is>
          <t>Đức</t>
        </is>
      </c>
      <c r="G657" s="22" t="inlineStr">
        <is>
          <t>POS</t>
        </is>
      </c>
      <c r="H657" s="31" t="n">
        <v>2026.9</v>
      </c>
      <c r="I657" s="31" t="n">
        <v>0</v>
      </c>
      <c r="J657" s="31" t="n">
        <v>2026.9</v>
      </c>
      <c r="K657" s="31" t="n">
        <v>0</v>
      </c>
      <c r="L657" s="32" t="n">
        <v>2</v>
      </c>
      <c r="M657" s="32" t="n">
        <v>4</v>
      </c>
      <c r="N657" s="31" t="n">
        <v>2026.9</v>
      </c>
      <c r="O657" s="31" t="n">
        <v>2026.9</v>
      </c>
      <c r="P657" s="22" t="n">
        <v>0</v>
      </c>
      <c r="Q657" s="22" t="n">
        <v>0</v>
      </c>
      <c r="R657" s="22" t="n">
        <v>0</v>
      </c>
    </row>
    <row r="658">
      <c r="A658" s="22" t="n">
        <v>201703</v>
      </c>
      <c r="B658" s="22" t="inlineStr">
        <is>
          <t>03/2017</t>
        </is>
      </c>
      <c r="C658" s="22" t="n">
        <v>23</v>
      </c>
      <c r="D658" s="22" t="inlineStr">
        <is>
          <t>S23</t>
        </is>
      </c>
      <c r="E658" s="22" t="inlineStr">
        <is>
          <t>Nexa Hamburg (S23)</t>
        </is>
      </c>
      <c r="F658" s="22" t="inlineStr">
        <is>
          <t>Đức</t>
        </is>
      </c>
      <c r="G658" s="22" t="inlineStr">
        <is>
          <t>POS</t>
        </is>
      </c>
      <c r="H658" s="31" t="n">
        <v>953.3</v>
      </c>
      <c r="I658" s="31" t="n">
        <v>0</v>
      </c>
      <c r="J658" s="31" t="n">
        <v>953.3</v>
      </c>
      <c r="K658" s="31" t="n">
        <v>0</v>
      </c>
      <c r="L658" s="32" t="n">
        <v>2</v>
      </c>
      <c r="M658" s="32" t="n">
        <v>8</v>
      </c>
      <c r="N658" s="31" t="n">
        <v>953.3</v>
      </c>
      <c r="O658" s="31" t="n">
        <v>953.3</v>
      </c>
      <c r="P658" s="22" t="n">
        <v>0</v>
      </c>
      <c r="Q658" s="22" t="n">
        <v>0</v>
      </c>
      <c r="R658" s="22" t="n">
        <v>0</v>
      </c>
    </row>
    <row r="659">
      <c r="A659" s="22" t="n">
        <v>201703</v>
      </c>
      <c r="B659" s="22" t="inlineStr">
        <is>
          <t>03/2017</t>
        </is>
      </c>
      <c r="C659" s="22" t="n">
        <v>24</v>
      </c>
      <c r="D659" s="22" t="inlineStr">
        <is>
          <t>S24</t>
        </is>
      </c>
      <c r="E659" s="22" t="inlineStr">
        <is>
          <t>Nexa Hessen (S24)</t>
        </is>
      </c>
      <c r="F659" s="22" t="inlineStr">
        <is>
          <t>Đức</t>
        </is>
      </c>
      <c r="G659" s="22" t="inlineStr">
        <is>
          <t>POS</t>
        </is>
      </c>
      <c r="H659" s="31" t="n">
        <v>556.46</v>
      </c>
      <c r="I659" s="31" t="n">
        <v>0</v>
      </c>
      <c r="J659" s="31" t="n">
        <v>556.46</v>
      </c>
      <c r="K659" s="31" t="n">
        <v>0</v>
      </c>
      <c r="L659" s="32" t="n">
        <v>2</v>
      </c>
      <c r="M659" s="32" t="n">
        <v>13</v>
      </c>
      <c r="N659" s="31" t="n">
        <v>556.46</v>
      </c>
      <c r="O659" s="31" t="n">
        <v>556.46</v>
      </c>
      <c r="P659" s="22" t="n">
        <v>0</v>
      </c>
      <c r="Q659" s="22" t="n">
        <v>0</v>
      </c>
      <c r="R659" s="22" t="n">
        <v>0</v>
      </c>
    </row>
    <row r="660">
      <c r="A660" s="22" t="n">
        <v>201703</v>
      </c>
      <c r="B660" s="22" t="inlineStr">
        <is>
          <t>03/2017</t>
        </is>
      </c>
      <c r="C660" s="22" t="n">
        <v>27</v>
      </c>
      <c r="D660" s="22" t="inlineStr">
        <is>
          <t>S27</t>
        </is>
      </c>
      <c r="E660" s="22" t="inlineStr">
        <is>
          <t>Nexa Sachsen-Anhalt (S27)</t>
        </is>
      </c>
      <c r="F660" s="22" t="inlineStr">
        <is>
          <t>Đức</t>
        </is>
      </c>
      <c r="G660" s="22" t="inlineStr">
        <is>
          <t>POS</t>
        </is>
      </c>
      <c r="H660" s="31" t="n">
        <v>2625.5</v>
      </c>
      <c r="I660" s="31" t="n">
        <v>0</v>
      </c>
      <c r="J660" s="31" t="n">
        <v>2625.5</v>
      </c>
      <c r="K660" s="31" t="n">
        <v>0</v>
      </c>
      <c r="L660" s="32" t="n">
        <v>2</v>
      </c>
      <c r="M660" s="32" t="n">
        <v>9</v>
      </c>
      <c r="N660" s="31" t="n">
        <v>2625.5</v>
      </c>
      <c r="O660" s="31" t="n">
        <v>2625.5</v>
      </c>
      <c r="P660" s="22" t="n">
        <v>0</v>
      </c>
      <c r="Q660" s="22" t="n">
        <v>0</v>
      </c>
      <c r="R660" s="22" t="n">
        <v>0</v>
      </c>
    </row>
    <row r="661">
      <c r="A661" s="22" t="n">
        <v>201703</v>
      </c>
      <c r="B661" s="22" t="inlineStr">
        <is>
          <t>03/2017</t>
        </is>
      </c>
      <c r="C661" s="22" t="n">
        <v>28</v>
      </c>
      <c r="D661" s="22" t="inlineStr">
        <is>
          <t>S28</t>
        </is>
      </c>
      <c r="E661" s="22" t="inlineStr">
        <is>
          <t>Nexa Caltanissetta (S28)</t>
        </is>
      </c>
      <c r="F661" s="22" t="inlineStr">
        <is>
          <t>Ý</t>
        </is>
      </c>
      <c r="G661" s="22" t="inlineStr">
        <is>
          <t>POS</t>
        </is>
      </c>
      <c r="H661" s="31" t="n">
        <v>3033.64</v>
      </c>
      <c r="I661" s="31" t="n">
        <v>0</v>
      </c>
      <c r="J661" s="31" t="n">
        <v>3033.64</v>
      </c>
      <c r="K661" s="31" t="n">
        <v>0</v>
      </c>
      <c r="L661" s="32" t="n">
        <v>2</v>
      </c>
      <c r="M661" s="32" t="n">
        <v>27</v>
      </c>
      <c r="N661" s="31" t="n">
        <v>3033.64</v>
      </c>
      <c r="O661" s="31" t="n">
        <v>3033.64</v>
      </c>
      <c r="P661" s="22" t="n">
        <v>0</v>
      </c>
      <c r="Q661" s="22" t="n">
        <v>0</v>
      </c>
      <c r="R661" s="22" t="n">
        <v>0</v>
      </c>
    </row>
    <row r="662">
      <c r="A662" s="22" t="n">
        <v>201703</v>
      </c>
      <c r="B662" s="22" t="inlineStr">
        <is>
          <t>03/2017</t>
        </is>
      </c>
      <c r="C662" s="22" t="n">
        <v>29</v>
      </c>
      <c r="D662" s="22" t="inlineStr">
        <is>
          <t>S29</t>
        </is>
      </c>
      <c r="E662" s="22" t="inlineStr">
        <is>
          <t>Nexa Enna (S29)</t>
        </is>
      </c>
      <c r="F662" s="22" t="inlineStr">
        <is>
          <t>Ý</t>
        </is>
      </c>
      <c r="G662" s="22" t="inlineStr">
        <is>
          <t>POS</t>
        </is>
      </c>
      <c r="H662" s="31" t="n">
        <v>1973.35</v>
      </c>
      <c r="I662" s="31" t="n">
        <v>0</v>
      </c>
      <c r="J662" s="31" t="n">
        <v>1973.35</v>
      </c>
      <c r="K662" s="31" t="n">
        <v>0</v>
      </c>
      <c r="L662" s="32" t="n">
        <v>1</v>
      </c>
      <c r="M662" s="32" t="n">
        <v>10</v>
      </c>
      <c r="N662" s="31" t="n">
        <v>1973.35</v>
      </c>
      <c r="O662" s="31" t="n">
        <v>1973.35</v>
      </c>
      <c r="P662" s="22" t="n">
        <v>0</v>
      </c>
      <c r="Q662" s="22" t="n">
        <v>0</v>
      </c>
      <c r="R662" s="22" t="n">
        <v>0</v>
      </c>
    </row>
    <row r="663">
      <c r="A663" s="22" t="n">
        <v>201703</v>
      </c>
      <c r="B663" s="22" t="inlineStr">
        <is>
          <t>03/2017</t>
        </is>
      </c>
      <c r="C663" s="22" t="n">
        <v>30</v>
      </c>
      <c r="D663" s="22" t="inlineStr">
        <is>
          <t>S30</t>
        </is>
      </c>
      <c r="E663" s="22" t="inlineStr">
        <is>
          <t>Nexa Pesaro (S30)</t>
        </is>
      </c>
      <c r="F663" s="22" t="inlineStr">
        <is>
          <t>Ý</t>
        </is>
      </c>
      <c r="G663" s="22" t="inlineStr">
        <is>
          <t>POS</t>
        </is>
      </c>
      <c r="H663" s="31" t="n">
        <v>19656.97</v>
      </c>
      <c r="I663" s="31" t="n">
        <v>0</v>
      </c>
      <c r="J663" s="31" t="n">
        <v>19656.97</v>
      </c>
      <c r="K663" s="31" t="n">
        <v>22.89</v>
      </c>
      <c r="L663" s="32" t="n">
        <v>1</v>
      </c>
      <c r="M663" s="32" t="n">
        <v>16</v>
      </c>
      <c r="N663" s="31" t="n">
        <v>19634.08</v>
      </c>
      <c r="O663" s="31" t="n">
        <v>19656.97</v>
      </c>
      <c r="P663" s="22" t="n">
        <v>0</v>
      </c>
      <c r="Q663" s="22" t="n">
        <v>0</v>
      </c>
      <c r="R663" s="22" t="n">
        <v>0</v>
      </c>
    </row>
    <row r="664">
      <c r="A664" s="22" t="n">
        <v>201703</v>
      </c>
      <c r="B664" s="22" t="inlineStr">
        <is>
          <t>03/2017</t>
        </is>
      </c>
      <c r="C664" s="22" t="n">
        <v>33</v>
      </c>
      <c r="D664" s="22" t="inlineStr">
        <is>
          <t>S33</t>
        </is>
      </c>
      <c r="E664" s="22" t="inlineStr">
        <is>
          <t>Nexa Friesland (S33)</t>
        </is>
      </c>
      <c r="F664" s="22" t="inlineStr">
        <is>
          <t>Hà Lan</t>
        </is>
      </c>
      <c r="G664" s="22" t="inlineStr">
        <is>
          <t>POS</t>
        </is>
      </c>
      <c r="H664" s="31" t="n">
        <v>2582.83</v>
      </c>
      <c r="I664" s="31" t="n">
        <v>0</v>
      </c>
      <c r="J664" s="31" t="n">
        <v>2582.83</v>
      </c>
      <c r="K664" s="31" t="n">
        <v>1758</v>
      </c>
      <c r="L664" s="32" t="n">
        <v>2</v>
      </c>
      <c r="M664" s="32" t="n">
        <v>18</v>
      </c>
      <c r="N664" s="31" t="n">
        <v>824.83</v>
      </c>
      <c r="O664" s="31" t="n">
        <v>2582.83</v>
      </c>
      <c r="P664" s="22" t="n">
        <v>0</v>
      </c>
      <c r="Q664" s="22" t="n">
        <v>0</v>
      </c>
      <c r="R664" s="22" t="n">
        <v>0</v>
      </c>
    </row>
    <row r="665">
      <c r="A665" s="22" t="n">
        <v>201703</v>
      </c>
      <c r="B665" s="22" t="inlineStr">
        <is>
          <t>03/2017</t>
        </is>
      </c>
      <c r="C665" s="22" t="n">
        <v>36</v>
      </c>
      <c r="D665" s="22" t="inlineStr">
        <is>
          <t>S36</t>
        </is>
      </c>
      <c r="E665" s="22" t="inlineStr">
        <is>
          <t>Nexa Armagh (S36)</t>
        </is>
      </c>
      <c r="F665" s="22" t="inlineStr">
        <is>
          <t>Anh</t>
        </is>
      </c>
      <c r="G665" s="22" t="inlineStr">
        <is>
          <t>POS</t>
        </is>
      </c>
      <c r="H665" s="31" t="n">
        <v>3724.87</v>
      </c>
      <c r="I665" s="31" t="n">
        <v>0</v>
      </c>
      <c r="J665" s="31" t="n">
        <v>3724.87</v>
      </c>
      <c r="K665" s="31" t="n">
        <v>1336.17</v>
      </c>
      <c r="L665" s="32" t="n">
        <v>2</v>
      </c>
      <c r="M665" s="32" t="n">
        <v>28</v>
      </c>
      <c r="N665" s="31" t="n">
        <v>2388.7</v>
      </c>
      <c r="O665" s="31" t="n">
        <v>3724.87</v>
      </c>
      <c r="P665" s="22" t="n">
        <v>0</v>
      </c>
      <c r="Q665" s="22" t="n">
        <v>0</v>
      </c>
      <c r="R665" s="22" t="n">
        <v>0</v>
      </c>
    </row>
    <row r="666">
      <c r="A666" s="22" t="n">
        <v>201703</v>
      </c>
      <c r="B666" s="22" t="inlineStr">
        <is>
          <t>03/2017</t>
        </is>
      </c>
      <c r="C666" s="22" t="n">
        <v>37</v>
      </c>
      <c r="D666" s="22" t="inlineStr">
        <is>
          <t>S37</t>
        </is>
      </c>
      <c r="E666" s="22" t="inlineStr">
        <is>
          <t>Nexa Ayrshire (S37)</t>
        </is>
      </c>
      <c r="F666" s="22" t="inlineStr">
        <is>
          <t>Anh</t>
        </is>
      </c>
      <c r="G666" s="22" t="inlineStr">
        <is>
          <t>POS</t>
        </is>
      </c>
      <c r="H666" s="31" t="n">
        <v>6302.14</v>
      </c>
      <c r="I666" s="31" t="n">
        <v>0</v>
      </c>
      <c r="J666" s="31" t="n">
        <v>6302.14</v>
      </c>
      <c r="K666" s="31" t="n">
        <v>1968</v>
      </c>
      <c r="L666" s="32" t="n">
        <v>3</v>
      </c>
      <c r="M666" s="32" t="n">
        <v>23</v>
      </c>
      <c r="N666" s="31" t="n">
        <v>4334.14</v>
      </c>
      <c r="O666" s="31" t="n">
        <v>6302.14</v>
      </c>
      <c r="P666" s="22" t="n">
        <v>0</v>
      </c>
      <c r="Q666" s="22" t="n">
        <v>0</v>
      </c>
      <c r="R666" s="22" t="n">
        <v>0</v>
      </c>
    </row>
    <row r="667">
      <c r="A667" s="22" t="n">
        <v>201703</v>
      </c>
      <c r="B667" s="22" t="inlineStr">
        <is>
          <t>03/2017</t>
        </is>
      </c>
      <c r="C667" s="22" t="n">
        <v>38</v>
      </c>
      <c r="D667" s="22" t="inlineStr">
        <is>
          <t>S38</t>
        </is>
      </c>
      <c r="E667" s="22" t="inlineStr">
        <is>
          <t>Nexa Belfast (S38)</t>
        </is>
      </c>
      <c r="F667" s="22" t="inlineStr">
        <is>
          <t>Anh</t>
        </is>
      </c>
      <c r="G667" s="22" t="inlineStr">
        <is>
          <t>POS</t>
        </is>
      </c>
      <c r="H667" s="31" t="n">
        <v>1118</v>
      </c>
      <c r="I667" s="31" t="n">
        <v>0</v>
      </c>
      <c r="J667" s="31" t="n">
        <v>1118</v>
      </c>
      <c r="K667" s="31" t="n">
        <v>0</v>
      </c>
      <c r="L667" s="32" t="n">
        <v>1</v>
      </c>
      <c r="M667" s="32" t="n">
        <v>2</v>
      </c>
      <c r="N667" s="31" t="n">
        <v>1118</v>
      </c>
      <c r="O667" s="31" t="n">
        <v>1118</v>
      </c>
      <c r="P667" s="22" t="n">
        <v>0</v>
      </c>
      <c r="Q667" s="22" t="n">
        <v>0</v>
      </c>
      <c r="R667" s="22" t="n">
        <v>0</v>
      </c>
    </row>
    <row r="668">
      <c r="A668" s="22" t="n">
        <v>201703</v>
      </c>
      <c r="B668" s="22" t="inlineStr">
        <is>
          <t>03/2017</t>
        </is>
      </c>
      <c r="C668" s="22" t="n">
        <v>39</v>
      </c>
      <c r="D668" s="22" t="inlineStr">
        <is>
          <t>S39</t>
        </is>
      </c>
      <c r="E668" s="22" t="inlineStr">
        <is>
          <t>Nexa Blaenau Gwent (S39)</t>
        </is>
      </c>
      <c r="F668" s="22" t="inlineStr">
        <is>
          <t>Anh</t>
        </is>
      </c>
      <c r="G668" s="22" t="inlineStr">
        <is>
          <t>POS</t>
        </is>
      </c>
      <c r="H668" s="31" t="n">
        <v>18501.4</v>
      </c>
      <c r="I668" s="31" t="n">
        <v>0</v>
      </c>
      <c r="J668" s="31" t="n">
        <v>18501.4</v>
      </c>
      <c r="K668" s="31" t="n">
        <v>0</v>
      </c>
      <c r="L668" s="32" t="n">
        <v>2</v>
      </c>
      <c r="M668" s="32" t="n">
        <v>16</v>
      </c>
      <c r="N668" s="31" t="n">
        <v>18501.4</v>
      </c>
      <c r="O668" s="31" t="n">
        <v>18501.4</v>
      </c>
      <c r="P668" s="22" t="n">
        <v>0</v>
      </c>
      <c r="Q668" s="22" t="n">
        <v>0</v>
      </c>
      <c r="R668" s="22" t="n">
        <v>0</v>
      </c>
    </row>
    <row r="669">
      <c r="A669" s="22" t="n">
        <v>201703</v>
      </c>
      <c r="B669" s="22" t="inlineStr">
        <is>
          <t>03/2017</t>
        </is>
      </c>
      <c r="C669" s="22" t="n">
        <v>40</v>
      </c>
      <c r="D669" s="22" t="inlineStr">
        <is>
          <t>S40</t>
        </is>
      </c>
      <c r="E669" s="22" t="inlineStr">
        <is>
          <t>Nexa Dungannon and South Tyrone (S40)</t>
        </is>
      </c>
      <c r="F669" s="22" t="inlineStr">
        <is>
          <t>Anh</t>
        </is>
      </c>
      <c r="G669" s="22" t="inlineStr">
        <is>
          <t>POS</t>
        </is>
      </c>
      <c r="H669" s="31" t="n">
        <v>1052.9</v>
      </c>
      <c r="I669" s="31" t="n">
        <v>0</v>
      </c>
      <c r="J669" s="31" t="n">
        <v>1052.9</v>
      </c>
      <c r="K669" s="31" t="n">
        <v>1524</v>
      </c>
      <c r="L669" s="32" t="n">
        <v>2</v>
      </c>
      <c r="M669" s="32" t="n">
        <v>5</v>
      </c>
      <c r="N669" s="31" t="n">
        <v>-471.1</v>
      </c>
      <c r="O669" s="31" t="n">
        <v>1052.9</v>
      </c>
      <c r="P669" s="22" t="n">
        <v>0</v>
      </c>
      <c r="Q669" s="22" t="n">
        <v>0</v>
      </c>
      <c r="R669" s="22" t="n">
        <v>0</v>
      </c>
    </row>
    <row r="670">
      <c r="A670" s="22" t="n">
        <v>201703</v>
      </c>
      <c r="B670" s="22" t="inlineStr">
        <is>
          <t>03/2017</t>
        </is>
      </c>
      <c r="C670" s="22" t="n">
        <v>41</v>
      </c>
      <c r="D670" s="22" t="inlineStr">
        <is>
          <t>S41</t>
        </is>
      </c>
      <c r="E670" s="22" t="inlineStr">
        <is>
          <t>Nexa Fermanagh (S41)</t>
        </is>
      </c>
      <c r="F670" s="22" t="inlineStr">
        <is>
          <t>Anh</t>
        </is>
      </c>
      <c r="G670" s="22" t="inlineStr">
        <is>
          <t>POS</t>
        </is>
      </c>
      <c r="H670" s="31" t="n">
        <v>1329.65</v>
      </c>
      <c r="I670" s="31" t="n">
        <v>0</v>
      </c>
      <c r="J670" s="31" t="n">
        <v>1329.65</v>
      </c>
      <c r="K670" s="31" t="n">
        <v>0</v>
      </c>
      <c r="L670" s="32" t="n">
        <v>2</v>
      </c>
      <c r="M670" s="32" t="n">
        <v>8</v>
      </c>
      <c r="N670" s="31" t="n">
        <v>1329.65</v>
      </c>
      <c r="O670" s="31" t="n">
        <v>1329.65</v>
      </c>
      <c r="P670" s="22" t="n">
        <v>0</v>
      </c>
      <c r="Q670" s="22" t="n">
        <v>0</v>
      </c>
      <c r="R670" s="22" t="n">
        <v>0</v>
      </c>
    </row>
    <row r="671">
      <c r="A671" s="22" t="n">
        <v>201703</v>
      </c>
      <c r="B671" s="22" t="inlineStr">
        <is>
          <t>03/2017</t>
        </is>
      </c>
      <c r="C671" s="22" t="n">
        <v>42</v>
      </c>
      <c r="D671" s="22" t="inlineStr">
        <is>
          <t>S42</t>
        </is>
      </c>
      <c r="E671" s="22" t="inlineStr">
        <is>
          <t>Nexa North Down (S42)</t>
        </is>
      </c>
      <c r="F671" s="22" t="inlineStr">
        <is>
          <t>Anh</t>
        </is>
      </c>
      <c r="G671" s="22" t="inlineStr">
        <is>
          <t>POS</t>
        </is>
      </c>
      <c r="H671" s="31" t="n">
        <v>7910.34</v>
      </c>
      <c r="I671" s="31" t="n">
        <v>0</v>
      </c>
      <c r="J671" s="31" t="n">
        <v>7910.34</v>
      </c>
      <c r="K671" s="31" t="n">
        <v>1020.9</v>
      </c>
      <c r="L671" s="32" t="n">
        <v>3</v>
      </c>
      <c r="M671" s="32" t="n">
        <v>33</v>
      </c>
      <c r="N671" s="31" t="n">
        <v>6889.44</v>
      </c>
      <c r="O671" s="31" t="n">
        <v>7910.34</v>
      </c>
      <c r="P671" s="22" t="n">
        <v>0</v>
      </c>
      <c r="Q671" s="22" t="n">
        <v>0</v>
      </c>
      <c r="R671" s="22" t="n">
        <v>0</v>
      </c>
    </row>
    <row r="672">
      <c r="A672" s="22" t="n">
        <v>201703</v>
      </c>
      <c r="B672" s="22" t="inlineStr">
        <is>
          <t>03/2017</t>
        </is>
      </c>
      <c r="C672" s="22" t="n">
        <v>43</v>
      </c>
      <c r="D672" s="22" t="inlineStr">
        <is>
          <t>S43</t>
        </is>
      </c>
      <c r="E672" s="22" t="inlineStr">
        <is>
          <t>Nexa Alaska (S43)</t>
        </is>
      </c>
      <c r="F672" s="22" t="inlineStr">
        <is>
          <t>Mỹ</t>
        </is>
      </c>
      <c r="G672" s="22" t="inlineStr">
        <is>
          <t>POS</t>
        </is>
      </c>
      <c r="H672" s="31" t="n">
        <v>6097.8</v>
      </c>
      <c r="I672" s="31" t="n">
        <v>304.9</v>
      </c>
      <c r="J672" s="31" t="n">
        <v>5792.9</v>
      </c>
      <c r="K672" s="31" t="n">
        <v>0</v>
      </c>
      <c r="L672" s="32" t="n">
        <v>2</v>
      </c>
      <c r="M672" s="32" t="n">
        <v>25</v>
      </c>
      <c r="N672" s="31" t="n">
        <v>5792.9</v>
      </c>
      <c r="O672" s="31" t="n">
        <v>5792.9</v>
      </c>
      <c r="P672" s="22" t="n">
        <v>0</v>
      </c>
      <c r="Q672" s="22" t="n">
        <v>0</v>
      </c>
      <c r="R672" s="22" t="n">
        <v>0</v>
      </c>
    </row>
    <row r="673">
      <c r="A673" s="22" t="n">
        <v>201703</v>
      </c>
      <c r="B673" s="22" t="inlineStr">
        <is>
          <t>03/2017</t>
        </is>
      </c>
      <c r="C673" s="22" t="n">
        <v>44</v>
      </c>
      <c r="D673" s="22" t="inlineStr">
        <is>
          <t>S44</t>
        </is>
      </c>
      <c r="E673" s="22" t="inlineStr">
        <is>
          <t>Nexa Arkansas (S44)</t>
        </is>
      </c>
      <c r="F673" s="22" t="inlineStr">
        <is>
          <t>Mỹ</t>
        </is>
      </c>
      <c r="G673" s="22" t="inlineStr">
        <is>
          <t>POS</t>
        </is>
      </c>
      <c r="H673" s="31" t="n">
        <v>3420</v>
      </c>
      <c r="I673" s="31" t="n">
        <v>171</v>
      </c>
      <c r="J673" s="31" t="n">
        <v>3249</v>
      </c>
      <c r="K673" s="31" t="n">
        <v>0</v>
      </c>
      <c r="L673" s="32" t="n">
        <v>1</v>
      </c>
      <c r="M673" s="32" t="n">
        <v>8</v>
      </c>
      <c r="N673" s="31" t="n">
        <v>3249</v>
      </c>
      <c r="O673" s="31" t="n">
        <v>3249</v>
      </c>
      <c r="P673" s="22" t="n">
        <v>0</v>
      </c>
      <c r="Q673" s="22" t="n">
        <v>0</v>
      </c>
      <c r="R673" s="22" t="n">
        <v>0</v>
      </c>
    </row>
    <row r="674">
      <c r="A674" s="22" t="n">
        <v>201703</v>
      </c>
      <c r="B674" s="22" t="inlineStr">
        <is>
          <t>03/2017</t>
        </is>
      </c>
      <c r="C674" s="22" t="n">
        <v>45</v>
      </c>
      <c r="D674" s="22" t="inlineStr">
        <is>
          <t>S45</t>
        </is>
      </c>
      <c r="E674" s="22" t="inlineStr">
        <is>
          <t>Nexa Connecticut (S45)</t>
        </is>
      </c>
      <c r="F674" s="22" t="inlineStr">
        <is>
          <t>Mỹ</t>
        </is>
      </c>
      <c r="G674" s="22" t="inlineStr">
        <is>
          <t>POS</t>
        </is>
      </c>
      <c r="H674" s="31" t="n">
        <v>2612.83</v>
      </c>
      <c r="I674" s="31" t="n">
        <v>0</v>
      </c>
      <c r="J674" s="31" t="n">
        <v>2612.83</v>
      </c>
      <c r="K674" s="31" t="n">
        <v>0</v>
      </c>
      <c r="L674" s="32" t="n">
        <v>3</v>
      </c>
      <c r="M674" s="32" t="n">
        <v>16</v>
      </c>
      <c r="N674" s="31" t="n">
        <v>2612.83</v>
      </c>
      <c r="O674" s="31" t="n">
        <v>2612.83</v>
      </c>
      <c r="P674" s="22" t="n">
        <v>0</v>
      </c>
      <c r="Q674" s="22" t="n">
        <v>0</v>
      </c>
      <c r="R674" s="22" t="n">
        <v>0</v>
      </c>
    </row>
    <row r="675">
      <c r="A675" s="22" t="n">
        <v>201703</v>
      </c>
      <c r="B675" s="22" t="inlineStr">
        <is>
          <t>03/2017</t>
        </is>
      </c>
      <c r="C675" s="22" t="n">
        <v>47</v>
      </c>
      <c r="D675" s="22" t="inlineStr">
        <is>
          <t>S47</t>
        </is>
      </c>
      <c r="E675" s="22" t="inlineStr">
        <is>
          <t>Nexa Hawaii (S47)</t>
        </is>
      </c>
      <c r="F675" s="22" t="inlineStr">
        <is>
          <t>Mỹ</t>
        </is>
      </c>
      <c r="G675" s="22" t="inlineStr">
        <is>
          <t>POS</t>
        </is>
      </c>
      <c r="H675" s="31" t="n">
        <v>5171.48</v>
      </c>
      <c r="I675" s="31" t="n">
        <v>0</v>
      </c>
      <c r="J675" s="31" t="n">
        <v>5171.48</v>
      </c>
      <c r="K675" s="31" t="n">
        <v>1331.88</v>
      </c>
      <c r="L675" s="32" t="n">
        <v>1</v>
      </c>
      <c r="M675" s="32" t="n">
        <v>15</v>
      </c>
      <c r="N675" s="31" t="n">
        <v>3839.6</v>
      </c>
      <c r="O675" s="31" t="n">
        <v>5171.48</v>
      </c>
      <c r="P675" s="22" t="n">
        <v>0</v>
      </c>
      <c r="Q675" s="22" t="n">
        <v>0</v>
      </c>
      <c r="R675" s="22" t="n">
        <v>0</v>
      </c>
    </row>
    <row r="676">
      <c r="A676" s="22" t="n">
        <v>201703</v>
      </c>
      <c r="B676" s="22" t="inlineStr">
        <is>
          <t>03/2017</t>
        </is>
      </c>
      <c r="C676" s="22" t="n">
        <v>48</v>
      </c>
      <c r="D676" s="22" t="inlineStr">
        <is>
          <t>S48</t>
        </is>
      </c>
      <c r="E676" s="22" t="inlineStr">
        <is>
          <t>Nexa Idaho (S48)</t>
        </is>
      </c>
      <c r="F676" s="22" t="inlineStr">
        <is>
          <t>Mỹ</t>
        </is>
      </c>
      <c r="G676" s="22" t="inlineStr">
        <is>
          <t>POS</t>
        </is>
      </c>
      <c r="H676" s="31" t="n">
        <v>7477.23</v>
      </c>
      <c r="I676" s="31" t="n">
        <v>26</v>
      </c>
      <c r="J676" s="31" t="n">
        <v>7451.23</v>
      </c>
      <c r="K676" s="31" t="n">
        <v>0</v>
      </c>
      <c r="L676" s="32" t="n">
        <v>5</v>
      </c>
      <c r="M676" s="32" t="n">
        <v>28</v>
      </c>
      <c r="N676" s="31" t="n">
        <v>7451.23</v>
      </c>
      <c r="O676" s="31" t="n">
        <v>7451.23</v>
      </c>
      <c r="P676" s="22" t="n">
        <v>0</v>
      </c>
      <c r="Q676" s="22" t="n">
        <v>0</v>
      </c>
      <c r="R676" s="22" t="n">
        <v>1</v>
      </c>
    </row>
    <row r="677">
      <c r="A677" s="22" t="n">
        <v>201703</v>
      </c>
      <c r="B677" s="22" t="inlineStr">
        <is>
          <t>03/2017</t>
        </is>
      </c>
      <c r="C677" s="22" t="n">
        <v>50</v>
      </c>
      <c r="D677" s="22" t="inlineStr">
        <is>
          <t>S50</t>
        </is>
      </c>
      <c r="E677" s="22" t="inlineStr">
        <is>
          <t>Nexa Kansas (S50)</t>
        </is>
      </c>
      <c r="F677" s="22" t="inlineStr">
        <is>
          <t>Mỹ</t>
        </is>
      </c>
      <c r="G677" s="22" t="inlineStr">
        <is>
          <t>POS</t>
        </is>
      </c>
      <c r="H677" s="31" t="n">
        <v>13578.23</v>
      </c>
      <c r="I677" s="31" t="n">
        <v>0</v>
      </c>
      <c r="J677" s="31" t="n">
        <v>13578.23</v>
      </c>
      <c r="K677" s="31" t="n">
        <v>299</v>
      </c>
      <c r="L677" s="32" t="n">
        <v>5</v>
      </c>
      <c r="M677" s="32" t="n">
        <v>31</v>
      </c>
      <c r="N677" s="31" t="n">
        <v>13279.23</v>
      </c>
      <c r="O677" s="31" t="n">
        <v>13578.23</v>
      </c>
      <c r="P677" s="22" t="n">
        <v>0</v>
      </c>
      <c r="Q677" s="22" t="n">
        <v>0</v>
      </c>
      <c r="R677" s="22" t="n">
        <v>0</v>
      </c>
    </row>
    <row r="678">
      <c r="A678" s="22" t="n">
        <v>201703</v>
      </c>
      <c r="B678" s="22" t="inlineStr">
        <is>
          <t>03/2017</t>
        </is>
      </c>
      <c r="C678" s="22" t="n">
        <v>51</v>
      </c>
      <c r="D678" s="22" t="inlineStr">
        <is>
          <t>S51</t>
        </is>
      </c>
      <c r="E678" s="22" t="inlineStr">
        <is>
          <t>Nexa Maine (S51)</t>
        </is>
      </c>
      <c r="F678" s="22" t="inlineStr">
        <is>
          <t>Mỹ</t>
        </is>
      </c>
      <c r="G678" s="22" t="inlineStr">
        <is>
          <t>POS</t>
        </is>
      </c>
      <c r="H678" s="31" t="n">
        <v>10524.97</v>
      </c>
      <c r="I678" s="31" t="n">
        <v>230.15</v>
      </c>
      <c r="J678" s="31" t="n">
        <v>10294.82</v>
      </c>
      <c r="K678" s="31" t="n">
        <v>299.99</v>
      </c>
      <c r="L678" s="32" t="n">
        <v>5</v>
      </c>
      <c r="M678" s="32" t="n">
        <v>28</v>
      </c>
      <c r="N678" s="31" t="n">
        <v>9994.83</v>
      </c>
      <c r="O678" s="31" t="n">
        <v>10294.82</v>
      </c>
      <c r="P678" s="22" t="n">
        <v>0</v>
      </c>
      <c r="Q678" s="22" t="n">
        <v>0</v>
      </c>
      <c r="R678" s="22" t="n">
        <v>1</v>
      </c>
    </row>
    <row r="679">
      <c r="A679" s="22" t="n">
        <v>201703</v>
      </c>
      <c r="B679" s="22" t="inlineStr">
        <is>
          <t>03/2017</t>
        </is>
      </c>
      <c r="C679" s="22" t="n">
        <v>53</v>
      </c>
      <c r="D679" s="22" t="inlineStr">
        <is>
          <t>S53</t>
        </is>
      </c>
      <c r="E679" s="22" t="inlineStr">
        <is>
          <t>Nexa Montana (S53)</t>
        </is>
      </c>
      <c r="F679" s="22" t="inlineStr">
        <is>
          <t>Mỹ</t>
        </is>
      </c>
      <c r="G679" s="22" t="inlineStr">
        <is>
          <t>POS</t>
        </is>
      </c>
      <c r="H679" s="31" t="n">
        <v>4768.45</v>
      </c>
      <c r="I679" s="31" t="n">
        <v>0</v>
      </c>
      <c r="J679" s="31" t="n">
        <v>4768.45</v>
      </c>
      <c r="K679" s="31" t="n">
        <v>190.98</v>
      </c>
      <c r="L679" s="32" t="n">
        <v>5</v>
      </c>
      <c r="M679" s="32" t="n">
        <v>28</v>
      </c>
      <c r="N679" s="31" t="n">
        <v>4577.47</v>
      </c>
      <c r="O679" s="31" t="n">
        <v>4768.45</v>
      </c>
      <c r="P679" s="22" t="n">
        <v>0</v>
      </c>
      <c r="Q679" s="22" t="n">
        <v>0</v>
      </c>
      <c r="R679" s="22" t="n">
        <v>0</v>
      </c>
    </row>
    <row r="680">
      <c r="A680" s="22" t="n">
        <v>201703</v>
      </c>
      <c r="B680" s="22" t="inlineStr">
        <is>
          <t>03/2017</t>
        </is>
      </c>
      <c r="C680" s="22" t="n">
        <v>54</v>
      </c>
      <c r="D680" s="22" t="inlineStr">
        <is>
          <t>S54</t>
        </is>
      </c>
      <c r="E680" s="22" t="inlineStr">
        <is>
          <t>Nexa Nebraska (S54)</t>
        </is>
      </c>
      <c r="F680" s="22" t="inlineStr">
        <is>
          <t>Mỹ</t>
        </is>
      </c>
      <c r="G680" s="22" t="inlineStr">
        <is>
          <t>POS</t>
        </is>
      </c>
      <c r="H680" s="31" t="n">
        <v>18189.8</v>
      </c>
      <c r="I680" s="31" t="n">
        <v>0</v>
      </c>
      <c r="J680" s="31" t="n">
        <v>18189.8</v>
      </c>
      <c r="K680" s="31" t="n">
        <v>933.5</v>
      </c>
      <c r="L680" s="32" t="n">
        <v>5</v>
      </c>
      <c r="M680" s="32" t="n">
        <v>61</v>
      </c>
      <c r="N680" s="31" t="n">
        <v>17256.3</v>
      </c>
      <c r="O680" s="31" t="n">
        <v>18189.8</v>
      </c>
      <c r="P680" s="22" t="n">
        <v>0</v>
      </c>
      <c r="Q680" s="22" t="n">
        <v>0</v>
      </c>
      <c r="R680" s="22" t="n">
        <v>0</v>
      </c>
    </row>
    <row r="681">
      <c r="A681" s="22" t="n">
        <v>201703</v>
      </c>
      <c r="B681" s="22" t="inlineStr">
        <is>
          <t>03/2017</t>
        </is>
      </c>
      <c r="C681" s="22" t="n">
        <v>55</v>
      </c>
      <c r="D681" s="22" t="inlineStr">
        <is>
          <t>S55</t>
        </is>
      </c>
      <c r="E681" s="22" t="inlineStr">
        <is>
          <t>Nexa Nevada (S55)</t>
        </is>
      </c>
      <c r="F681" s="22" t="inlineStr">
        <is>
          <t>Mỹ</t>
        </is>
      </c>
      <c r="G681" s="22" t="inlineStr">
        <is>
          <t>POS</t>
        </is>
      </c>
      <c r="H681" s="31" t="n">
        <v>1098</v>
      </c>
      <c r="I681" s="31" t="n">
        <v>0</v>
      </c>
      <c r="J681" s="31" t="n">
        <v>1098</v>
      </c>
      <c r="K681" s="31" t="n">
        <v>2214</v>
      </c>
      <c r="L681" s="32" t="n">
        <v>1</v>
      </c>
      <c r="M681" s="32" t="n">
        <v>3</v>
      </c>
      <c r="N681" s="31" t="n">
        <v>-1116</v>
      </c>
      <c r="O681" s="31" t="n">
        <v>1098</v>
      </c>
      <c r="P681" s="22" t="n">
        <v>0</v>
      </c>
      <c r="Q681" s="22" t="n">
        <v>0</v>
      </c>
      <c r="R681" s="22" t="n">
        <v>0</v>
      </c>
    </row>
    <row r="682">
      <c r="A682" s="22" t="n">
        <v>201703</v>
      </c>
      <c r="B682" s="22" t="inlineStr">
        <is>
          <t>03/2017</t>
        </is>
      </c>
      <c r="C682" s="22" t="n">
        <v>56</v>
      </c>
      <c r="D682" s="22" t="inlineStr">
        <is>
          <t>S56</t>
        </is>
      </c>
      <c r="E682" s="22" t="inlineStr">
        <is>
          <t>Nexa New Hampshire (S56)</t>
        </is>
      </c>
      <c r="F682" s="22" t="inlineStr">
        <is>
          <t>Mỹ</t>
        </is>
      </c>
      <c r="G682" s="22" t="inlineStr">
        <is>
          <t>POS</t>
        </is>
      </c>
      <c r="H682" s="31" t="n">
        <v>6062.36</v>
      </c>
      <c r="I682" s="31" t="n">
        <v>0</v>
      </c>
      <c r="J682" s="31" t="n">
        <v>6062.36</v>
      </c>
      <c r="K682" s="31" t="n">
        <v>3057.88</v>
      </c>
      <c r="L682" s="32" t="n">
        <v>3</v>
      </c>
      <c r="M682" s="32" t="n">
        <v>22</v>
      </c>
      <c r="N682" s="31" t="n">
        <v>3004.48</v>
      </c>
      <c r="O682" s="31" t="n">
        <v>6062.36</v>
      </c>
      <c r="P682" s="22" t="n">
        <v>0</v>
      </c>
      <c r="Q682" s="22" t="n">
        <v>0</v>
      </c>
      <c r="R682" s="22" t="n">
        <v>0</v>
      </c>
    </row>
    <row r="683">
      <c r="A683" s="22" t="n">
        <v>201703</v>
      </c>
      <c r="B683" s="22" t="inlineStr">
        <is>
          <t>03/2017</t>
        </is>
      </c>
      <c r="C683" s="22" t="n">
        <v>57</v>
      </c>
      <c r="D683" s="22" t="inlineStr">
        <is>
          <t>S57</t>
        </is>
      </c>
      <c r="E683" s="22" t="inlineStr">
        <is>
          <t>Nexa New Mexico (S57)</t>
        </is>
      </c>
      <c r="F683" s="22" t="inlineStr">
        <is>
          <t>Mỹ</t>
        </is>
      </c>
      <c r="G683" s="22" t="inlineStr">
        <is>
          <t>POS</t>
        </is>
      </c>
      <c r="H683" s="31" t="n">
        <v>16859</v>
      </c>
      <c r="I683" s="31" t="n">
        <v>813</v>
      </c>
      <c r="J683" s="31" t="n">
        <v>16046</v>
      </c>
      <c r="K683" s="31" t="n">
        <v>600</v>
      </c>
      <c r="L683" s="32" t="n">
        <v>2</v>
      </c>
      <c r="M683" s="32" t="n">
        <v>9</v>
      </c>
      <c r="N683" s="31" t="n">
        <v>15446</v>
      </c>
      <c r="O683" s="31" t="n">
        <v>16046</v>
      </c>
      <c r="P683" s="22" t="n">
        <v>0</v>
      </c>
      <c r="Q683" s="22" t="n">
        <v>0</v>
      </c>
      <c r="R683" s="22" t="n">
        <v>0</v>
      </c>
    </row>
    <row r="684">
      <c r="A684" s="22" t="n">
        <v>201703</v>
      </c>
      <c r="B684" s="22" t="inlineStr">
        <is>
          <t>03/2017</t>
        </is>
      </c>
      <c r="C684" s="22" t="n">
        <v>59</v>
      </c>
      <c r="D684" s="22" t="inlineStr">
        <is>
          <t>S59</t>
        </is>
      </c>
      <c r="E684" s="22" t="inlineStr">
        <is>
          <t>Nexa Oregon (S59)</t>
        </is>
      </c>
      <c r="F684" s="22" t="inlineStr">
        <is>
          <t>Mỹ</t>
        </is>
      </c>
      <c r="G684" s="22" t="inlineStr">
        <is>
          <t>POS</t>
        </is>
      </c>
      <c r="H684" s="31" t="n">
        <v>6425.99</v>
      </c>
      <c r="I684" s="31" t="n">
        <v>174.3</v>
      </c>
      <c r="J684" s="31" t="n">
        <v>6251.69</v>
      </c>
      <c r="K684" s="31" t="n">
        <v>3299.97</v>
      </c>
      <c r="L684" s="32" t="n">
        <v>2</v>
      </c>
      <c r="M684" s="32" t="n">
        <v>8</v>
      </c>
      <c r="N684" s="31" t="n">
        <v>2951.72</v>
      </c>
      <c r="O684" s="31" t="n">
        <v>6251.69</v>
      </c>
      <c r="P684" s="22" t="n">
        <v>0</v>
      </c>
      <c r="Q684" s="22" t="n">
        <v>0</v>
      </c>
      <c r="R684" s="22" t="n">
        <v>0</v>
      </c>
    </row>
    <row r="685">
      <c r="A685" s="22" t="n">
        <v>201703</v>
      </c>
      <c r="B685" s="22" t="inlineStr">
        <is>
          <t>03/2017</t>
        </is>
      </c>
      <c r="C685" s="22" t="n">
        <v>61</v>
      </c>
      <c r="D685" s="22" t="inlineStr">
        <is>
          <t>S61</t>
        </is>
      </c>
      <c r="E685" s="22" t="inlineStr">
        <is>
          <t>Nexa South Carolina (S61)</t>
        </is>
      </c>
      <c r="F685" s="22" t="inlineStr">
        <is>
          <t>Mỹ</t>
        </is>
      </c>
      <c r="G685" s="22" t="inlineStr">
        <is>
          <t>POS</t>
        </is>
      </c>
      <c r="H685" s="31" t="n">
        <v>5200.49</v>
      </c>
      <c r="I685" s="31" t="n">
        <v>5.39</v>
      </c>
      <c r="J685" s="31" t="n">
        <v>5195.1</v>
      </c>
      <c r="K685" s="31" t="n">
        <v>9.99</v>
      </c>
      <c r="L685" s="32" t="n">
        <v>3</v>
      </c>
      <c r="M685" s="32" t="n">
        <v>21</v>
      </c>
      <c r="N685" s="31" t="n">
        <v>5185.11</v>
      </c>
      <c r="O685" s="31" t="n">
        <v>5195.1</v>
      </c>
      <c r="P685" s="22" t="n">
        <v>0</v>
      </c>
      <c r="Q685" s="22" t="n">
        <v>0</v>
      </c>
      <c r="R685" s="22" t="n">
        <v>0</v>
      </c>
    </row>
    <row r="686">
      <c r="A686" s="22" t="n">
        <v>201703</v>
      </c>
      <c r="B686" s="22" t="inlineStr">
        <is>
          <t>03/2017</t>
        </is>
      </c>
      <c r="C686" s="22" t="n">
        <v>63</v>
      </c>
      <c r="D686" s="22" t="inlineStr">
        <is>
          <t>S63</t>
        </is>
      </c>
      <c r="E686" s="22" t="inlineStr">
        <is>
          <t>Nexa Utah (S63)</t>
        </is>
      </c>
      <c r="F686" s="22" t="inlineStr">
        <is>
          <t>Mỹ</t>
        </is>
      </c>
      <c r="G686" s="22" t="inlineStr">
        <is>
          <t>POS</t>
        </is>
      </c>
      <c r="H686" s="31" t="n">
        <v>4266.89</v>
      </c>
      <c r="I686" s="31" t="n">
        <v>0</v>
      </c>
      <c r="J686" s="31" t="n">
        <v>4266.89</v>
      </c>
      <c r="K686" s="31" t="n">
        <v>300.54</v>
      </c>
      <c r="L686" s="32" t="n">
        <v>4</v>
      </c>
      <c r="M686" s="32" t="n">
        <v>20</v>
      </c>
      <c r="N686" s="31" t="n">
        <v>3966.35</v>
      </c>
      <c r="O686" s="31" t="n">
        <v>4266.89</v>
      </c>
      <c r="P686" s="22" t="n">
        <v>0</v>
      </c>
      <c r="Q686" s="22" t="n">
        <v>0</v>
      </c>
      <c r="R686" s="22" t="n">
        <v>0</v>
      </c>
    </row>
    <row r="687">
      <c r="A687" s="22" t="n">
        <v>201703</v>
      </c>
      <c r="B687" s="22" t="inlineStr">
        <is>
          <t>03/2017</t>
        </is>
      </c>
      <c r="C687" s="22" t="n">
        <v>64</v>
      </c>
      <c r="D687" s="22" t="inlineStr">
        <is>
          <t>S64</t>
        </is>
      </c>
      <c r="E687" s="22" t="inlineStr">
        <is>
          <t>Nexa Washington DC (S64)</t>
        </is>
      </c>
      <c r="F687" s="22" t="inlineStr">
        <is>
          <t>Mỹ</t>
        </is>
      </c>
      <c r="G687" s="22" t="inlineStr">
        <is>
          <t>POS</t>
        </is>
      </c>
      <c r="H687" s="31" t="n">
        <v>27881.36</v>
      </c>
      <c r="I687" s="31" t="n">
        <v>150.8</v>
      </c>
      <c r="J687" s="31" t="n">
        <v>27730.56</v>
      </c>
      <c r="K687" s="31" t="n">
        <v>1199.94</v>
      </c>
      <c r="L687" s="32" t="n">
        <v>8</v>
      </c>
      <c r="M687" s="32" t="n">
        <v>73</v>
      </c>
      <c r="N687" s="31" t="n">
        <v>26530.62</v>
      </c>
      <c r="O687" s="31" t="n">
        <v>27730.56</v>
      </c>
      <c r="P687" s="22" t="n">
        <v>0</v>
      </c>
      <c r="Q687" s="22" t="n">
        <v>0</v>
      </c>
      <c r="R687" s="22" t="n">
        <v>0</v>
      </c>
    </row>
    <row r="688">
      <c r="A688" s="22" t="n">
        <v>201703</v>
      </c>
      <c r="B688" s="22" t="inlineStr">
        <is>
          <t>03/2017</t>
        </is>
      </c>
      <c r="C688" s="22" t="n">
        <v>65</v>
      </c>
      <c r="D688" s="22" t="inlineStr">
        <is>
          <t>S65</t>
        </is>
      </c>
      <c r="E688" s="22" t="inlineStr">
        <is>
          <t>Nexa West Virginia (S65)</t>
        </is>
      </c>
      <c r="F688" s="22" t="inlineStr">
        <is>
          <t>Mỹ</t>
        </is>
      </c>
      <c r="G688" s="22" t="inlineStr">
        <is>
          <t>POS</t>
        </is>
      </c>
      <c r="H688" s="31" t="n">
        <v>16330.64</v>
      </c>
      <c r="I688" s="31" t="n">
        <v>0</v>
      </c>
      <c r="J688" s="31" t="n">
        <v>16330.64</v>
      </c>
      <c r="K688" s="31" t="n">
        <v>474.95</v>
      </c>
      <c r="L688" s="32" t="n">
        <v>4</v>
      </c>
      <c r="M688" s="32" t="n">
        <v>26</v>
      </c>
      <c r="N688" s="31" t="n">
        <v>15855.69</v>
      </c>
      <c r="O688" s="31" t="n">
        <v>16330.64</v>
      </c>
      <c r="P688" s="22" t="n">
        <v>0</v>
      </c>
      <c r="Q688" s="22" t="n">
        <v>0</v>
      </c>
      <c r="R688" s="22" t="n">
        <v>0</v>
      </c>
    </row>
    <row r="689">
      <c r="A689" s="22" t="n">
        <v>201703</v>
      </c>
      <c r="B689" s="22" t="inlineStr">
        <is>
          <t>03/2017</t>
        </is>
      </c>
      <c r="C689" s="22" t="n">
        <v>66</v>
      </c>
      <c r="D689" s="22" t="inlineStr">
        <is>
          <t>S66</t>
        </is>
      </c>
      <c r="E689" s="22" t="inlineStr">
        <is>
          <t>Nexa Wyoming (S66)</t>
        </is>
      </c>
      <c r="F689" s="22" t="inlineStr">
        <is>
          <t>Mỹ</t>
        </is>
      </c>
      <c r="G689" s="22" t="inlineStr">
        <is>
          <t>POS</t>
        </is>
      </c>
      <c r="H689" s="31" t="n">
        <v>1349.96</v>
      </c>
      <c r="I689" s="31" t="n">
        <v>0</v>
      </c>
      <c r="J689" s="31" t="n">
        <v>1349.96</v>
      </c>
      <c r="K689" s="31" t="n">
        <v>0</v>
      </c>
      <c r="L689" s="32" t="n">
        <v>2</v>
      </c>
      <c r="M689" s="32" t="n">
        <v>5</v>
      </c>
      <c r="N689" s="31" t="n">
        <v>1349.96</v>
      </c>
      <c r="O689" s="31" t="n">
        <v>1349.96</v>
      </c>
      <c r="P689" s="22" t="n">
        <v>0</v>
      </c>
      <c r="Q689" s="22" t="n">
        <v>0</v>
      </c>
      <c r="R689" s="22" t="n">
        <v>0</v>
      </c>
    </row>
    <row r="690">
      <c r="A690" s="22" t="n">
        <v>201704</v>
      </c>
      <c r="B690" s="22" t="inlineStr">
        <is>
          <t>04/2017</t>
        </is>
      </c>
      <c r="C690" s="22" t="n">
        <v>0</v>
      </c>
      <c r="D690" s="22" t="inlineStr">
        <is>
          <t>ONL</t>
        </is>
      </c>
      <c r="E690" s="22" t="inlineStr">
        <is>
          <t>Nexa Online (website/app)</t>
        </is>
      </c>
      <c r="F690" s="22" t="inlineStr">
        <is>
          <t>Online</t>
        </is>
      </c>
      <c r="G690" s="22" t="inlineStr">
        <is>
          <t>ONLINE</t>
        </is>
      </c>
      <c r="H690" s="31" t="n">
        <v>2550.89</v>
      </c>
      <c r="I690" s="31" t="n">
        <v>31.9</v>
      </c>
      <c r="J690" s="31" t="n">
        <v>2518.99</v>
      </c>
      <c r="K690" s="31" t="n">
        <v>0</v>
      </c>
      <c r="L690" s="32" t="n">
        <v>3</v>
      </c>
      <c r="M690" s="32" t="n">
        <v>18</v>
      </c>
      <c r="N690" s="31" t="n">
        <v>0</v>
      </c>
      <c r="O690" s="31" t="n">
        <v>0</v>
      </c>
      <c r="P690" s="22" t="n">
        <v>0</v>
      </c>
      <c r="Q690" s="22" t="n">
        <v>0</v>
      </c>
      <c r="R690" s="22" t="n">
        <v>0</v>
      </c>
    </row>
    <row r="691">
      <c r="A691" s="22" t="n">
        <v>201704</v>
      </c>
      <c r="B691" s="22" t="inlineStr">
        <is>
          <t>04/2017</t>
        </is>
      </c>
      <c r="C691" s="22" t="n">
        <v>5</v>
      </c>
      <c r="D691" s="22" t="inlineStr">
        <is>
          <t>S05</t>
        </is>
      </c>
      <c r="E691" s="22" t="inlineStr">
        <is>
          <t>Nexa Victoria (S05)</t>
        </is>
      </c>
      <c r="F691" s="22" t="inlineStr">
        <is>
          <t>Úc</t>
        </is>
      </c>
      <c r="G691" s="22" t="inlineStr">
        <is>
          <t>POS</t>
        </is>
      </c>
      <c r="H691" s="31" t="n">
        <v>660</v>
      </c>
      <c r="I691" s="31" t="n">
        <v>0</v>
      </c>
      <c r="J691" s="31" t="n">
        <v>660</v>
      </c>
      <c r="K691" s="31" t="n">
        <v>0</v>
      </c>
      <c r="L691" s="32" t="n">
        <v>1</v>
      </c>
      <c r="M691" s="32" t="n">
        <v>2</v>
      </c>
      <c r="N691" s="31" t="n">
        <v>660</v>
      </c>
      <c r="O691" s="31" t="n">
        <v>660</v>
      </c>
      <c r="P691" s="22" t="n">
        <v>0</v>
      </c>
      <c r="Q691" s="22" t="n">
        <v>0</v>
      </c>
      <c r="R691" s="22" t="n">
        <v>0</v>
      </c>
    </row>
    <row r="692">
      <c r="A692" s="22" t="n">
        <v>201704</v>
      </c>
      <c r="B692" s="22" t="inlineStr">
        <is>
          <t>04/2017</t>
        </is>
      </c>
      <c r="C692" s="22" t="n">
        <v>8</v>
      </c>
      <c r="D692" s="22" t="inlineStr">
        <is>
          <t>S08</t>
        </is>
      </c>
      <c r="E692" s="22" t="inlineStr">
        <is>
          <t>Nexa Newfoundland and Labrador (S08)</t>
        </is>
      </c>
      <c r="F692" s="22" t="inlineStr">
        <is>
          <t>Canada</t>
        </is>
      </c>
      <c r="G692" s="22" t="inlineStr">
        <is>
          <t>POS</t>
        </is>
      </c>
      <c r="H692" s="31" t="n">
        <v>3031.74</v>
      </c>
      <c r="I692" s="31" t="n">
        <v>0</v>
      </c>
      <c r="J692" s="31" t="n">
        <v>3031.74</v>
      </c>
      <c r="K692" s="31" t="n">
        <v>0</v>
      </c>
      <c r="L692" s="32" t="n">
        <v>1</v>
      </c>
      <c r="M692" s="32" t="n">
        <v>14</v>
      </c>
      <c r="N692" s="31" t="n">
        <v>3031.74</v>
      </c>
      <c r="O692" s="31" t="n">
        <v>3031.74</v>
      </c>
      <c r="P692" s="22" t="n">
        <v>0</v>
      </c>
      <c r="Q692" s="22" t="n">
        <v>0</v>
      </c>
      <c r="R692" s="22" t="n">
        <v>0</v>
      </c>
    </row>
    <row r="693">
      <c r="A693" s="22" t="n">
        <v>201704</v>
      </c>
      <c r="B693" s="22" t="inlineStr">
        <is>
          <t>04/2017</t>
        </is>
      </c>
      <c r="C693" s="22" t="n">
        <v>19</v>
      </c>
      <c r="D693" s="22" t="inlineStr">
        <is>
          <t>S19</t>
        </is>
      </c>
      <c r="E693" s="22" t="inlineStr">
        <is>
          <t>Nexa Berlin (S19)</t>
        </is>
      </c>
      <c r="F693" s="22" t="inlineStr">
        <is>
          <t>Đức</t>
        </is>
      </c>
      <c r="G693" s="22" t="inlineStr">
        <is>
          <t>POS</t>
        </is>
      </c>
      <c r="H693" s="31" t="n">
        <v>362</v>
      </c>
      <c r="I693" s="31" t="n">
        <v>0</v>
      </c>
      <c r="J693" s="31" t="n">
        <v>362</v>
      </c>
      <c r="K693" s="31" t="n">
        <v>113.98</v>
      </c>
      <c r="L693" s="32" t="n">
        <v>1</v>
      </c>
      <c r="M693" s="32" t="n">
        <v>2</v>
      </c>
      <c r="N693" s="31" t="n">
        <v>248.02</v>
      </c>
      <c r="O693" s="31" t="n">
        <v>362</v>
      </c>
      <c r="P693" s="22" t="n">
        <v>0</v>
      </c>
      <c r="Q693" s="22" t="n">
        <v>0</v>
      </c>
      <c r="R693" s="22" t="n">
        <v>0</v>
      </c>
    </row>
    <row r="694">
      <c r="A694" s="22" t="n">
        <v>201704</v>
      </c>
      <c r="B694" s="22" t="inlineStr">
        <is>
          <t>04/2017</t>
        </is>
      </c>
      <c r="C694" s="22" t="n">
        <v>22</v>
      </c>
      <c r="D694" s="22" t="inlineStr">
        <is>
          <t>S22</t>
        </is>
      </c>
      <c r="E694" s="22" t="inlineStr">
        <is>
          <t>Nexa Freistaat Thüringen (S22)</t>
        </is>
      </c>
      <c r="F694" s="22" t="inlineStr">
        <is>
          <t>Đức</t>
        </is>
      </c>
      <c r="G694" s="22" t="inlineStr">
        <is>
          <t>POS</t>
        </is>
      </c>
      <c r="H694" s="31" t="n">
        <v>64.90000000000001</v>
      </c>
      <c r="I694" s="31" t="n">
        <v>0</v>
      </c>
      <c r="J694" s="31" t="n">
        <v>64.90000000000001</v>
      </c>
      <c r="K694" s="31" t="n">
        <v>0</v>
      </c>
      <c r="L694" s="32" t="n">
        <v>1</v>
      </c>
      <c r="M694" s="32" t="n">
        <v>1</v>
      </c>
      <c r="N694" s="31" t="n">
        <v>64.90000000000001</v>
      </c>
      <c r="O694" s="31" t="n">
        <v>64.90000000000001</v>
      </c>
      <c r="P694" s="22" t="n">
        <v>0</v>
      </c>
      <c r="Q694" s="22" t="n">
        <v>0</v>
      </c>
      <c r="R694" s="22" t="n">
        <v>0</v>
      </c>
    </row>
    <row r="695">
      <c r="A695" s="22" t="n">
        <v>201704</v>
      </c>
      <c r="B695" s="22" t="inlineStr">
        <is>
          <t>04/2017</t>
        </is>
      </c>
      <c r="C695" s="22" t="n">
        <v>23</v>
      </c>
      <c r="D695" s="22" t="inlineStr">
        <is>
          <t>S23</t>
        </is>
      </c>
      <c r="E695" s="22" t="inlineStr">
        <is>
          <t>Nexa Hamburg (S23)</t>
        </is>
      </c>
      <c r="F695" s="22" t="inlineStr">
        <is>
          <t>Đức</t>
        </is>
      </c>
      <c r="G695" s="22" t="inlineStr">
        <is>
          <t>POS</t>
        </is>
      </c>
      <c r="H695" s="31" t="n">
        <v>624</v>
      </c>
      <c r="I695" s="31" t="n">
        <v>0</v>
      </c>
      <c r="J695" s="31" t="n">
        <v>624</v>
      </c>
      <c r="K695" s="31" t="n">
        <v>0</v>
      </c>
      <c r="L695" s="32" t="n">
        <v>1</v>
      </c>
      <c r="M695" s="32" t="n">
        <v>3</v>
      </c>
      <c r="N695" s="31" t="n">
        <v>624</v>
      </c>
      <c r="O695" s="31" t="n">
        <v>624</v>
      </c>
      <c r="P695" s="22" t="n">
        <v>0</v>
      </c>
      <c r="Q695" s="22" t="n">
        <v>0</v>
      </c>
      <c r="R695" s="22" t="n">
        <v>0</v>
      </c>
    </row>
    <row r="696">
      <c r="A696" s="22" t="n">
        <v>201704</v>
      </c>
      <c r="B696" s="22" t="inlineStr">
        <is>
          <t>04/2017</t>
        </is>
      </c>
      <c r="C696" s="22" t="n">
        <v>24</v>
      </c>
      <c r="D696" s="22" t="inlineStr">
        <is>
          <t>S24</t>
        </is>
      </c>
      <c r="E696" s="22" t="inlineStr">
        <is>
          <t>Nexa Hessen (S24)</t>
        </is>
      </c>
      <c r="F696" s="22" t="inlineStr">
        <is>
          <t>Đức</t>
        </is>
      </c>
      <c r="G696" s="22" t="inlineStr">
        <is>
          <t>POS</t>
        </is>
      </c>
      <c r="H696" s="31" t="n">
        <v>0</v>
      </c>
      <c r="I696" s="31" t="n">
        <v>0</v>
      </c>
      <c r="J696" s="31" t="n">
        <v>0</v>
      </c>
      <c r="K696" s="31" t="n">
        <v>86</v>
      </c>
      <c r="L696" s="32" t="n">
        <v>0</v>
      </c>
      <c r="M696" s="32" t="n">
        <v>0</v>
      </c>
      <c r="N696" s="31" t="n">
        <v>-86</v>
      </c>
      <c r="O696" s="31" t="n">
        <v>0</v>
      </c>
      <c r="P696" s="22" t="n">
        <v>0</v>
      </c>
      <c r="Q696" s="22" t="n">
        <v>0</v>
      </c>
      <c r="R696" s="22" t="n">
        <v>0</v>
      </c>
    </row>
    <row r="697">
      <c r="A697" s="22" t="n">
        <v>201704</v>
      </c>
      <c r="B697" s="22" t="inlineStr">
        <is>
          <t>04/2017</t>
        </is>
      </c>
      <c r="C697" s="22" t="n">
        <v>28</v>
      </c>
      <c r="D697" s="22" t="inlineStr">
        <is>
          <t>S28</t>
        </is>
      </c>
      <c r="E697" s="22" t="inlineStr">
        <is>
          <t>Nexa Caltanissetta (S28)</t>
        </is>
      </c>
      <c r="F697" s="22" t="inlineStr">
        <is>
          <t>Ý</t>
        </is>
      </c>
      <c r="G697" s="22" t="inlineStr">
        <is>
          <t>POS</t>
        </is>
      </c>
      <c r="H697" s="31" t="n">
        <v>398</v>
      </c>
      <c r="I697" s="31" t="n">
        <v>0</v>
      </c>
      <c r="J697" s="31" t="n">
        <v>398</v>
      </c>
      <c r="K697" s="31" t="n">
        <v>0</v>
      </c>
      <c r="L697" s="32" t="n">
        <v>1</v>
      </c>
      <c r="M697" s="32" t="n">
        <v>2</v>
      </c>
      <c r="N697" s="31" t="n">
        <v>398</v>
      </c>
      <c r="O697" s="31" t="n">
        <v>398</v>
      </c>
      <c r="P697" s="22" t="n">
        <v>0</v>
      </c>
      <c r="Q697" s="22" t="n">
        <v>0</v>
      </c>
      <c r="R697" s="22" t="n">
        <v>0</v>
      </c>
    </row>
    <row r="698">
      <c r="A698" s="22" t="n">
        <v>201704</v>
      </c>
      <c r="B698" s="22" t="inlineStr">
        <is>
          <t>04/2017</t>
        </is>
      </c>
      <c r="C698" s="22" t="n">
        <v>29</v>
      </c>
      <c r="D698" s="22" t="inlineStr">
        <is>
          <t>S29</t>
        </is>
      </c>
      <c r="E698" s="22" t="inlineStr">
        <is>
          <t>Nexa Enna (S29)</t>
        </is>
      </c>
      <c r="F698" s="22" t="inlineStr">
        <is>
          <t>Ý</t>
        </is>
      </c>
      <c r="G698" s="22" t="inlineStr">
        <is>
          <t>POS</t>
        </is>
      </c>
      <c r="H698" s="31" t="n">
        <v>2880</v>
      </c>
      <c r="I698" s="31" t="n">
        <v>0</v>
      </c>
      <c r="J698" s="31" t="n">
        <v>2880</v>
      </c>
      <c r="K698" s="31" t="n">
        <v>0</v>
      </c>
      <c r="L698" s="32" t="n">
        <v>1</v>
      </c>
      <c r="M698" s="32" t="n">
        <v>10</v>
      </c>
      <c r="N698" s="31" t="n">
        <v>2880</v>
      </c>
      <c r="O698" s="31" t="n">
        <v>2880</v>
      </c>
      <c r="P698" s="22" t="n">
        <v>0</v>
      </c>
      <c r="Q698" s="22" t="n">
        <v>0</v>
      </c>
      <c r="R698" s="22" t="n">
        <v>0</v>
      </c>
    </row>
    <row r="699">
      <c r="A699" s="22" t="n">
        <v>201704</v>
      </c>
      <c r="B699" s="22" t="inlineStr">
        <is>
          <t>04/2017</t>
        </is>
      </c>
      <c r="C699" s="22" t="n">
        <v>34</v>
      </c>
      <c r="D699" s="22" t="inlineStr">
        <is>
          <t>S34</t>
        </is>
      </c>
      <c r="E699" s="22" t="inlineStr">
        <is>
          <t>Nexa Groningen (S34)</t>
        </is>
      </c>
      <c r="F699" s="22" t="inlineStr">
        <is>
          <t>Hà Lan</t>
        </is>
      </c>
      <c r="G699" s="22" t="inlineStr">
        <is>
          <t>POS</t>
        </is>
      </c>
      <c r="H699" s="31" t="n">
        <v>1135.99</v>
      </c>
      <c r="I699" s="31" t="n">
        <v>0</v>
      </c>
      <c r="J699" s="31" t="n">
        <v>1135.99</v>
      </c>
      <c r="K699" s="31" t="n">
        <v>717</v>
      </c>
      <c r="L699" s="32" t="n">
        <v>1</v>
      </c>
      <c r="M699" s="32" t="n">
        <v>5</v>
      </c>
      <c r="N699" s="31" t="n">
        <v>418.99</v>
      </c>
      <c r="O699" s="31" t="n">
        <v>1135.99</v>
      </c>
      <c r="P699" s="22" t="n">
        <v>0</v>
      </c>
      <c r="Q699" s="22" t="n">
        <v>0</v>
      </c>
      <c r="R699" s="22" t="n">
        <v>0</v>
      </c>
    </row>
    <row r="700">
      <c r="A700" s="22" t="n">
        <v>201704</v>
      </c>
      <c r="B700" s="22" t="inlineStr">
        <is>
          <t>04/2017</t>
        </is>
      </c>
      <c r="C700" s="22" t="n">
        <v>42</v>
      </c>
      <c r="D700" s="22" t="inlineStr">
        <is>
          <t>S42</t>
        </is>
      </c>
      <c r="E700" s="22" t="inlineStr">
        <is>
          <t>Nexa North Down (S42)</t>
        </is>
      </c>
      <c r="F700" s="22" t="inlineStr">
        <is>
          <t>Anh</t>
        </is>
      </c>
      <c r="G700" s="22" t="inlineStr">
        <is>
          <t>POS</t>
        </is>
      </c>
      <c r="H700" s="31" t="n">
        <v>399</v>
      </c>
      <c r="I700" s="31" t="n">
        <v>0</v>
      </c>
      <c r="J700" s="31" t="n">
        <v>399</v>
      </c>
      <c r="K700" s="31" t="n">
        <v>0</v>
      </c>
      <c r="L700" s="32" t="n">
        <v>1</v>
      </c>
      <c r="M700" s="32" t="n">
        <v>1</v>
      </c>
      <c r="N700" s="31" t="n">
        <v>399</v>
      </c>
      <c r="O700" s="31" t="n">
        <v>399</v>
      </c>
      <c r="P700" s="22" t="n">
        <v>0</v>
      </c>
      <c r="Q700" s="22" t="n">
        <v>0</v>
      </c>
      <c r="R700" s="22" t="n">
        <v>0</v>
      </c>
    </row>
    <row r="701">
      <c r="A701" s="22" t="n">
        <v>201704</v>
      </c>
      <c r="B701" s="22" t="inlineStr">
        <is>
          <t>04/2017</t>
        </is>
      </c>
      <c r="C701" s="22" t="n">
        <v>43</v>
      </c>
      <c r="D701" s="22" t="inlineStr">
        <is>
          <t>S43</t>
        </is>
      </c>
      <c r="E701" s="22" t="inlineStr">
        <is>
          <t>Nexa Alaska (S43)</t>
        </is>
      </c>
      <c r="F701" s="22" t="inlineStr">
        <is>
          <t>Mỹ</t>
        </is>
      </c>
      <c r="G701" s="22" t="inlineStr">
        <is>
          <t>POS</t>
        </is>
      </c>
      <c r="H701" s="31" t="n">
        <v>299.9</v>
      </c>
      <c r="I701" s="31" t="n">
        <v>0</v>
      </c>
      <c r="J701" s="31" t="n">
        <v>299.9</v>
      </c>
      <c r="K701" s="31" t="n">
        <v>299.9</v>
      </c>
      <c r="L701" s="32" t="n">
        <v>1</v>
      </c>
      <c r="M701" s="32" t="n">
        <v>2</v>
      </c>
      <c r="N701" s="31" t="n">
        <v>0</v>
      </c>
      <c r="O701" s="31" t="n">
        <v>299.9</v>
      </c>
      <c r="P701" s="22" t="n">
        <v>0</v>
      </c>
      <c r="Q701" s="22" t="n">
        <v>0</v>
      </c>
      <c r="R701" s="22" t="n">
        <v>0</v>
      </c>
    </row>
    <row r="702">
      <c r="A702" s="22" t="n">
        <v>201704</v>
      </c>
      <c r="B702" s="22" t="inlineStr">
        <is>
          <t>04/2017</t>
        </is>
      </c>
      <c r="C702" s="22" t="n">
        <v>45</v>
      </c>
      <c r="D702" s="22" t="inlineStr">
        <is>
          <t>S45</t>
        </is>
      </c>
      <c r="E702" s="22" t="inlineStr">
        <is>
          <t>Nexa Connecticut (S45)</t>
        </is>
      </c>
      <c r="F702" s="22" t="inlineStr">
        <is>
          <t>Mỹ</t>
        </is>
      </c>
      <c r="G702" s="22" t="inlineStr">
        <is>
          <t>POS</t>
        </is>
      </c>
      <c r="H702" s="31" t="n">
        <v>652</v>
      </c>
      <c r="I702" s="31" t="n">
        <v>0</v>
      </c>
      <c r="J702" s="31" t="n">
        <v>652</v>
      </c>
      <c r="K702" s="31" t="n">
        <v>0</v>
      </c>
      <c r="L702" s="32" t="n">
        <v>1</v>
      </c>
      <c r="M702" s="32" t="n">
        <v>6</v>
      </c>
      <c r="N702" s="31" t="n">
        <v>652</v>
      </c>
      <c r="O702" s="31" t="n">
        <v>652</v>
      </c>
      <c r="P702" s="22" t="n">
        <v>0</v>
      </c>
      <c r="Q702" s="22" t="n">
        <v>0</v>
      </c>
      <c r="R702" s="22" t="n">
        <v>0</v>
      </c>
    </row>
    <row r="703">
      <c r="A703" s="22" t="n">
        <v>201704</v>
      </c>
      <c r="B703" s="22" t="inlineStr">
        <is>
          <t>04/2017</t>
        </is>
      </c>
      <c r="C703" s="22" t="n">
        <v>47</v>
      </c>
      <c r="D703" s="22" t="inlineStr">
        <is>
          <t>S47</t>
        </is>
      </c>
      <c r="E703" s="22" t="inlineStr">
        <is>
          <t>Nexa Hawaii (S47)</t>
        </is>
      </c>
      <c r="F703" s="22" t="inlineStr">
        <is>
          <t>Mỹ</t>
        </is>
      </c>
      <c r="G703" s="22" t="inlineStr">
        <is>
          <t>POS</t>
        </is>
      </c>
      <c r="H703" s="31" t="n">
        <v>5307.97</v>
      </c>
      <c r="I703" s="31" t="n">
        <v>0</v>
      </c>
      <c r="J703" s="31" t="n">
        <v>5307.97</v>
      </c>
      <c r="K703" s="31" t="n">
        <v>0</v>
      </c>
      <c r="L703" s="32" t="n">
        <v>1</v>
      </c>
      <c r="M703" s="32" t="n">
        <v>10</v>
      </c>
      <c r="N703" s="31" t="n">
        <v>5307.97</v>
      </c>
      <c r="O703" s="31" t="n">
        <v>5307.97</v>
      </c>
      <c r="P703" s="22" t="n">
        <v>0</v>
      </c>
      <c r="Q703" s="22" t="n">
        <v>0</v>
      </c>
      <c r="R703" s="22" t="n">
        <v>0</v>
      </c>
    </row>
    <row r="704">
      <c r="A704" s="22" t="n">
        <v>201704</v>
      </c>
      <c r="B704" s="22" t="inlineStr">
        <is>
          <t>04/2017</t>
        </is>
      </c>
      <c r="C704" s="22" t="n">
        <v>48</v>
      </c>
      <c r="D704" s="22" t="inlineStr">
        <is>
          <t>S48</t>
        </is>
      </c>
      <c r="E704" s="22" t="inlineStr">
        <is>
          <t>Nexa Idaho (S48)</t>
        </is>
      </c>
      <c r="F704" s="22" t="inlineStr">
        <is>
          <t>Mỹ</t>
        </is>
      </c>
      <c r="G704" s="22" t="inlineStr">
        <is>
          <t>POS</t>
        </is>
      </c>
      <c r="H704" s="31" t="n">
        <v>826</v>
      </c>
      <c r="I704" s="31" t="n">
        <v>0</v>
      </c>
      <c r="J704" s="31" t="n">
        <v>826</v>
      </c>
      <c r="K704" s="31" t="n">
        <v>0</v>
      </c>
      <c r="L704" s="32" t="n">
        <v>1</v>
      </c>
      <c r="M704" s="32" t="n">
        <v>7</v>
      </c>
      <c r="N704" s="31" t="n">
        <v>826</v>
      </c>
      <c r="O704" s="31" t="n">
        <v>826</v>
      </c>
      <c r="P704" s="22" t="n">
        <v>0</v>
      </c>
      <c r="Q704" s="22" t="n">
        <v>0</v>
      </c>
      <c r="R704" s="22" t="n">
        <v>0</v>
      </c>
    </row>
    <row r="705">
      <c r="A705" s="22" t="n">
        <v>201704</v>
      </c>
      <c r="B705" s="22" t="inlineStr">
        <is>
          <t>04/2017</t>
        </is>
      </c>
      <c r="C705" s="22" t="n">
        <v>50</v>
      </c>
      <c r="D705" s="22" t="inlineStr">
        <is>
          <t>S50</t>
        </is>
      </c>
      <c r="E705" s="22" t="inlineStr">
        <is>
          <t>Nexa Kansas (S50)</t>
        </is>
      </c>
      <c r="F705" s="22" t="inlineStr">
        <is>
          <t>Mỹ</t>
        </is>
      </c>
      <c r="G705" s="22" t="inlineStr">
        <is>
          <t>POS</t>
        </is>
      </c>
      <c r="H705" s="31" t="n">
        <v>1574.84</v>
      </c>
      <c r="I705" s="31" t="n">
        <v>0</v>
      </c>
      <c r="J705" s="31" t="n">
        <v>1574.84</v>
      </c>
      <c r="K705" s="31" t="n">
        <v>0</v>
      </c>
      <c r="L705" s="32" t="n">
        <v>1</v>
      </c>
      <c r="M705" s="32" t="n">
        <v>12</v>
      </c>
      <c r="N705" s="31" t="n">
        <v>1574.84</v>
      </c>
      <c r="O705" s="31" t="n">
        <v>1574.84</v>
      </c>
      <c r="P705" s="22" t="n">
        <v>0</v>
      </c>
      <c r="Q705" s="22" t="n">
        <v>0</v>
      </c>
      <c r="R705" s="22" t="n">
        <v>0</v>
      </c>
    </row>
    <row r="706">
      <c r="A706" s="22" t="n">
        <v>201704</v>
      </c>
      <c r="B706" s="22" t="inlineStr">
        <is>
          <t>04/2017</t>
        </is>
      </c>
      <c r="C706" s="22" t="n">
        <v>53</v>
      </c>
      <c r="D706" s="22" t="inlineStr">
        <is>
          <t>S53</t>
        </is>
      </c>
      <c r="E706" s="22" t="inlineStr">
        <is>
          <t>Nexa Montana (S53)</t>
        </is>
      </c>
      <c r="F706" s="22" t="inlineStr">
        <is>
          <t>Mỹ</t>
        </is>
      </c>
      <c r="G706" s="22" t="inlineStr">
        <is>
          <t>POS</t>
        </is>
      </c>
      <c r="H706" s="31" t="n">
        <v>10853.47</v>
      </c>
      <c r="I706" s="31" t="n">
        <v>0</v>
      </c>
      <c r="J706" s="31" t="n">
        <v>10853.47</v>
      </c>
      <c r="K706" s="31" t="n">
        <v>0</v>
      </c>
      <c r="L706" s="32" t="n">
        <v>1</v>
      </c>
      <c r="M706" s="32" t="n">
        <v>24</v>
      </c>
      <c r="N706" s="31" t="n">
        <v>10853.47</v>
      </c>
      <c r="O706" s="31" t="n">
        <v>10853.47</v>
      </c>
      <c r="P706" s="22" t="n">
        <v>0</v>
      </c>
      <c r="Q706" s="22" t="n">
        <v>0</v>
      </c>
      <c r="R706" s="22" t="n">
        <v>0</v>
      </c>
    </row>
    <row r="707">
      <c r="A707" s="22" t="n">
        <v>201704</v>
      </c>
      <c r="B707" s="22" t="inlineStr">
        <is>
          <t>04/2017</t>
        </is>
      </c>
      <c r="C707" s="22" t="n">
        <v>54</v>
      </c>
      <c r="D707" s="22" t="inlineStr">
        <is>
          <t>S54</t>
        </is>
      </c>
      <c r="E707" s="22" t="inlineStr">
        <is>
          <t>Nexa Nebraska (S54)</t>
        </is>
      </c>
      <c r="F707" s="22" t="inlineStr">
        <is>
          <t>Mỹ</t>
        </is>
      </c>
      <c r="G707" s="22" t="inlineStr">
        <is>
          <t>POS</t>
        </is>
      </c>
      <c r="H707" s="31" t="n">
        <v>19398.94</v>
      </c>
      <c r="I707" s="31" t="n">
        <v>0</v>
      </c>
      <c r="J707" s="31" t="n">
        <v>19398.94</v>
      </c>
      <c r="K707" s="31" t="n">
        <v>0</v>
      </c>
      <c r="L707" s="32" t="n">
        <v>1</v>
      </c>
      <c r="M707" s="32" t="n">
        <v>7</v>
      </c>
      <c r="N707" s="31" t="n">
        <v>19398.94</v>
      </c>
      <c r="O707" s="31" t="n">
        <v>19398.94</v>
      </c>
      <c r="P707" s="22" t="n">
        <v>0</v>
      </c>
      <c r="Q707" s="22" t="n">
        <v>0</v>
      </c>
      <c r="R707" s="22" t="n">
        <v>0</v>
      </c>
    </row>
    <row r="708">
      <c r="A708" s="22" t="n">
        <v>201704</v>
      </c>
      <c r="B708" s="22" t="inlineStr">
        <is>
          <t>04/2017</t>
        </is>
      </c>
      <c r="C708" s="22" t="n">
        <v>55</v>
      </c>
      <c r="D708" s="22" t="inlineStr">
        <is>
          <t>S55</t>
        </is>
      </c>
      <c r="E708" s="22" t="inlineStr">
        <is>
          <t>Nexa Nevada (S55)</t>
        </is>
      </c>
      <c r="F708" s="22" t="inlineStr">
        <is>
          <t>Mỹ</t>
        </is>
      </c>
      <c r="G708" s="22" t="inlineStr">
        <is>
          <t>POS</t>
        </is>
      </c>
      <c r="H708" s="31" t="n">
        <v>448</v>
      </c>
      <c r="I708" s="31" t="n">
        <v>0</v>
      </c>
      <c r="J708" s="31" t="n">
        <v>448</v>
      </c>
      <c r="K708" s="31" t="n">
        <v>0</v>
      </c>
      <c r="L708" s="32" t="n">
        <v>2</v>
      </c>
      <c r="M708" s="32" t="n">
        <v>2</v>
      </c>
      <c r="N708" s="31" t="n">
        <v>448</v>
      </c>
      <c r="O708" s="31" t="n">
        <v>448</v>
      </c>
      <c r="P708" s="22" t="n">
        <v>0</v>
      </c>
      <c r="Q708" s="22" t="n">
        <v>0</v>
      </c>
      <c r="R708" s="22" t="n">
        <v>0</v>
      </c>
    </row>
    <row r="709">
      <c r="A709" s="22" t="n">
        <v>201704</v>
      </c>
      <c r="B709" s="22" t="inlineStr">
        <is>
          <t>04/2017</t>
        </is>
      </c>
      <c r="C709" s="22" t="n">
        <v>57</v>
      </c>
      <c r="D709" s="22" t="inlineStr">
        <is>
          <t>S57</t>
        </is>
      </c>
      <c r="E709" s="22" t="inlineStr">
        <is>
          <t>Nexa New Mexico (S57)</t>
        </is>
      </c>
      <c r="F709" s="22" t="inlineStr">
        <is>
          <t>Mỹ</t>
        </is>
      </c>
      <c r="G709" s="22" t="inlineStr">
        <is>
          <t>POS</t>
        </is>
      </c>
      <c r="H709" s="31" t="n">
        <v>1585.93</v>
      </c>
      <c r="I709" s="31" t="n">
        <v>0</v>
      </c>
      <c r="J709" s="31" t="n">
        <v>1585.93</v>
      </c>
      <c r="K709" s="31" t="n">
        <v>0</v>
      </c>
      <c r="L709" s="32" t="n">
        <v>1</v>
      </c>
      <c r="M709" s="32" t="n">
        <v>9</v>
      </c>
      <c r="N709" s="31" t="n">
        <v>1585.93</v>
      </c>
      <c r="O709" s="31" t="n">
        <v>1585.93</v>
      </c>
      <c r="P709" s="22" t="n">
        <v>0</v>
      </c>
      <c r="Q709" s="22" t="n">
        <v>0</v>
      </c>
      <c r="R709" s="22" t="n">
        <v>0</v>
      </c>
    </row>
    <row r="710">
      <c r="A710" s="22" t="n">
        <v>201704</v>
      </c>
      <c r="B710" s="22" t="inlineStr">
        <is>
          <t>04/2017</t>
        </is>
      </c>
      <c r="C710" s="22" t="n">
        <v>59</v>
      </c>
      <c r="D710" s="22" t="inlineStr">
        <is>
          <t>S59</t>
        </is>
      </c>
      <c r="E710" s="22" t="inlineStr">
        <is>
          <t>Nexa Oregon (S59)</t>
        </is>
      </c>
      <c r="F710" s="22" t="inlineStr">
        <is>
          <t>Mỹ</t>
        </is>
      </c>
      <c r="G710" s="22" t="inlineStr">
        <is>
          <t>POS</t>
        </is>
      </c>
      <c r="H710" s="31" t="n">
        <v>1528.75</v>
      </c>
      <c r="I710" s="31" t="n">
        <v>0</v>
      </c>
      <c r="J710" s="31" t="n">
        <v>1528.75</v>
      </c>
      <c r="K710" s="31" t="n">
        <v>0</v>
      </c>
      <c r="L710" s="32" t="n">
        <v>1</v>
      </c>
      <c r="M710" s="32" t="n">
        <v>6</v>
      </c>
      <c r="N710" s="31" t="n">
        <v>1528.75</v>
      </c>
      <c r="O710" s="31" t="n">
        <v>1528.75</v>
      </c>
      <c r="P710" s="22" t="n">
        <v>0</v>
      </c>
      <c r="Q710" s="22" t="n">
        <v>0</v>
      </c>
      <c r="R710" s="22" t="n">
        <v>0</v>
      </c>
    </row>
    <row r="711">
      <c r="A711" s="22" t="n">
        <v>201704</v>
      </c>
      <c r="B711" s="22" t="inlineStr">
        <is>
          <t>04/2017</t>
        </is>
      </c>
      <c r="C711" s="22" t="n">
        <v>61</v>
      </c>
      <c r="D711" s="22" t="inlineStr">
        <is>
          <t>S61</t>
        </is>
      </c>
      <c r="E711" s="22" t="inlineStr">
        <is>
          <t>Nexa South Carolina (S61)</t>
        </is>
      </c>
      <c r="F711" s="22" t="inlineStr">
        <is>
          <t>Mỹ</t>
        </is>
      </c>
      <c r="G711" s="22" t="inlineStr">
        <is>
          <t>POS</t>
        </is>
      </c>
      <c r="H711" s="31" t="n">
        <v>0</v>
      </c>
      <c r="I711" s="31" t="n">
        <v>0</v>
      </c>
      <c r="J711" s="31" t="n">
        <v>0</v>
      </c>
      <c r="K711" s="31" t="n">
        <v>3115</v>
      </c>
      <c r="L711" s="32" t="n">
        <v>0</v>
      </c>
      <c r="M711" s="32" t="n">
        <v>0</v>
      </c>
      <c r="N711" s="31" t="n">
        <v>-3115</v>
      </c>
      <c r="O711" s="31" t="n">
        <v>0</v>
      </c>
      <c r="P711" s="22" t="n">
        <v>0</v>
      </c>
      <c r="Q711" s="22" t="n">
        <v>0</v>
      </c>
      <c r="R711" s="22" t="n">
        <v>0</v>
      </c>
    </row>
    <row r="712">
      <c r="A712" s="22" t="n">
        <v>201704</v>
      </c>
      <c r="B712" s="22" t="inlineStr">
        <is>
          <t>04/2017</t>
        </is>
      </c>
      <c r="C712" s="22" t="n">
        <v>63</v>
      </c>
      <c r="D712" s="22" t="inlineStr">
        <is>
          <t>S63</t>
        </is>
      </c>
      <c r="E712" s="22" t="inlineStr">
        <is>
          <t>Nexa Utah (S63)</t>
        </is>
      </c>
      <c r="F712" s="22" t="inlineStr">
        <is>
          <t>Mỹ</t>
        </is>
      </c>
      <c r="G712" s="22" t="inlineStr">
        <is>
          <t>POS</t>
        </is>
      </c>
      <c r="H712" s="31" t="n">
        <v>1409.91</v>
      </c>
      <c r="I712" s="31" t="n">
        <v>0</v>
      </c>
      <c r="J712" s="31" t="n">
        <v>1409.91</v>
      </c>
      <c r="K712" s="31" t="n">
        <v>0</v>
      </c>
      <c r="L712" s="32" t="n">
        <v>1</v>
      </c>
      <c r="M712" s="32" t="n">
        <v>3</v>
      </c>
      <c r="N712" s="31" t="n">
        <v>1409.91</v>
      </c>
      <c r="O712" s="31" t="n">
        <v>1409.91</v>
      </c>
      <c r="P712" s="22" t="n">
        <v>0</v>
      </c>
      <c r="Q712" s="22" t="n">
        <v>0</v>
      </c>
      <c r="R712" s="22" t="n">
        <v>0</v>
      </c>
    </row>
    <row r="713">
      <c r="A713" s="22" t="n">
        <v>201704</v>
      </c>
      <c r="B713" s="22" t="inlineStr">
        <is>
          <t>04/2017</t>
        </is>
      </c>
      <c r="C713" s="22" t="n">
        <v>64</v>
      </c>
      <c r="D713" s="22" t="inlineStr">
        <is>
          <t>S64</t>
        </is>
      </c>
      <c r="E713" s="22" t="inlineStr">
        <is>
          <t>Nexa Washington DC (S64)</t>
        </is>
      </c>
      <c r="F713" s="22" t="inlineStr">
        <is>
          <t>Mỹ</t>
        </is>
      </c>
      <c r="G713" s="22" t="inlineStr">
        <is>
          <t>POS</t>
        </is>
      </c>
      <c r="H713" s="31" t="n">
        <v>1692.89</v>
      </c>
      <c r="I713" s="31" t="n">
        <v>0</v>
      </c>
      <c r="J713" s="31" t="n">
        <v>1692.89</v>
      </c>
      <c r="K713" s="31" t="n">
        <v>0</v>
      </c>
      <c r="L713" s="32" t="n">
        <v>1</v>
      </c>
      <c r="M713" s="32" t="n">
        <v>9</v>
      </c>
      <c r="N713" s="31" t="n">
        <v>1692.89</v>
      </c>
      <c r="O713" s="31" t="n">
        <v>1692.89</v>
      </c>
      <c r="P713" s="22" t="n">
        <v>0</v>
      </c>
      <c r="Q713" s="22" t="n">
        <v>0</v>
      </c>
      <c r="R713" s="22" t="n">
        <v>0</v>
      </c>
    </row>
    <row r="714">
      <c r="A714" s="22" t="n">
        <v>201704</v>
      </c>
      <c r="B714" s="22" t="inlineStr">
        <is>
          <t>04/2017</t>
        </is>
      </c>
      <c r="C714" s="22" t="n">
        <v>65</v>
      </c>
      <c r="D714" s="22" t="inlineStr">
        <is>
          <t>S65</t>
        </is>
      </c>
      <c r="E714" s="22" t="inlineStr">
        <is>
          <t>Nexa West Virginia (S65)</t>
        </is>
      </c>
      <c r="F714" s="22" t="inlineStr">
        <is>
          <t>Mỹ</t>
        </is>
      </c>
      <c r="G714" s="22" t="inlineStr">
        <is>
          <t>POS</t>
        </is>
      </c>
      <c r="H714" s="31" t="n">
        <v>894.95</v>
      </c>
      <c r="I714" s="31" t="n">
        <v>0</v>
      </c>
      <c r="J714" s="31" t="n">
        <v>894.95</v>
      </c>
      <c r="K714" s="31" t="n">
        <v>0</v>
      </c>
      <c r="L714" s="32" t="n">
        <v>1</v>
      </c>
      <c r="M714" s="32" t="n">
        <v>6</v>
      </c>
      <c r="N714" s="31" t="n">
        <v>894.95</v>
      </c>
      <c r="O714" s="31" t="n">
        <v>894.95</v>
      </c>
      <c r="P714" s="22" t="n">
        <v>0</v>
      </c>
      <c r="Q714" s="22" t="n">
        <v>0</v>
      </c>
      <c r="R714" s="22" t="n">
        <v>0</v>
      </c>
    </row>
    <row r="715">
      <c r="A715" s="22" t="n">
        <v>201705</v>
      </c>
      <c r="B715" s="22" t="inlineStr">
        <is>
          <t>05/2017</t>
        </is>
      </c>
      <c r="C715" s="22" t="n">
        <v>0</v>
      </c>
      <c r="D715" s="22" t="inlineStr">
        <is>
          <t>ONL</t>
        </is>
      </c>
      <c r="E715" s="22" t="inlineStr">
        <is>
          <t>Nexa Online (website/app)</t>
        </is>
      </c>
      <c r="F715" s="22" t="inlineStr">
        <is>
          <t>Online</t>
        </is>
      </c>
      <c r="G715" s="22" t="inlineStr">
        <is>
          <t>ONLINE</t>
        </is>
      </c>
      <c r="H715" s="31" t="n">
        <v>115009.38</v>
      </c>
      <c r="I715" s="31" t="n">
        <v>2803.98</v>
      </c>
      <c r="J715" s="31" t="n">
        <v>112205.4</v>
      </c>
      <c r="K715" s="31" t="n">
        <v>71.95999999999999</v>
      </c>
      <c r="L715" s="32" t="n">
        <v>55</v>
      </c>
      <c r="M715" s="32" t="n">
        <v>416</v>
      </c>
      <c r="N715" s="31" t="n">
        <v>88484.53999999999</v>
      </c>
      <c r="O715" s="31" t="n">
        <v>88556.5</v>
      </c>
      <c r="P715" s="22" t="n">
        <v>1</v>
      </c>
      <c r="Q715" s="22" t="n">
        <v>0</v>
      </c>
      <c r="R715" s="22" t="n">
        <v>0</v>
      </c>
    </row>
    <row r="716">
      <c r="A716" s="22" t="n">
        <v>201705</v>
      </c>
      <c r="B716" s="22" t="inlineStr">
        <is>
          <t>05/2017</t>
        </is>
      </c>
      <c r="C716" s="22" t="n">
        <v>1</v>
      </c>
      <c r="D716" s="22" t="inlineStr">
        <is>
          <t>S01</t>
        </is>
      </c>
      <c r="E716" s="22" t="inlineStr">
        <is>
          <t>Nexa Australian Capital Territory (S01)</t>
        </is>
      </c>
      <c r="F716" s="22" t="inlineStr">
        <is>
          <t>Úc</t>
        </is>
      </c>
      <c r="G716" s="22" t="inlineStr">
        <is>
          <t>POS</t>
        </is>
      </c>
      <c r="H716" s="31" t="n">
        <v>233.17</v>
      </c>
      <c r="I716" s="31" t="n">
        <v>0</v>
      </c>
      <c r="J716" s="31" t="n">
        <v>233.17</v>
      </c>
      <c r="K716" s="31" t="n">
        <v>0</v>
      </c>
      <c r="L716" s="32" t="n">
        <v>2</v>
      </c>
      <c r="M716" s="32" t="n">
        <v>7</v>
      </c>
      <c r="N716" s="31" t="n">
        <v>233.17</v>
      </c>
      <c r="O716" s="31" t="n">
        <v>233.17</v>
      </c>
      <c r="P716" s="22" t="n">
        <v>0</v>
      </c>
      <c r="Q716" s="22" t="n">
        <v>0</v>
      </c>
      <c r="R716" s="22" t="n">
        <v>0</v>
      </c>
    </row>
    <row r="717">
      <c r="A717" s="22" t="n">
        <v>201705</v>
      </c>
      <c r="B717" s="22" t="inlineStr">
        <is>
          <t>05/2017</t>
        </is>
      </c>
      <c r="C717" s="22" t="n">
        <v>4</v>
      </c>
      <c r="D717" s="22" t="inlineStr">
        <is>
          <t>S04</t>
        </is>
      </c>
      <c r="E717" s="22" t="inlineStr">
        <is>
          <t>Nexa Tasmania (S04)</t>
        </is>
      </c>
      <c r="F717" s="22" t="inlineStr">
        <is>
          <t>Úc</t>
        </is>
      </c>
      <c r="G717" s="22" t="inlineStr">
        <is>
          <t>POS</t>
        </is>
      </c>
      <c r="H717" s="31" t="n">
        <v>15151.48</v>
      </c>
      <c r="I717" s="31" t="n">
        <v>0</v>
      </c>
      <c r="J717" s="31" t="n">
        <v>15151.48</v>
      </c>
      <c r="K717" s="31" t="n">
        <v>0</v>
      </c>
      <c r="L717" s="32" t="n">
        <v>2</v>
      </c>
      <c r="M717" s="32" t="n">
        <v>25</v>
      </c>
      <c r="N717" s="31" t="n">
        <v>15151.48</v>
      </c>
      <c r="O717" s="31" t="n">
        <v>15151.48</v>
      </c>
      <c r="P717" s="22" t="n">
        <v>0</v>
      </c>
      <c r="Q717" s="22" t="n">
        <v>0</v>
      </c>
      <c r="R717" s="22" t="n">
        <v>0</v>
      </c>
    </row>
    <row r="718">
      <c r="A718" s="22" t="n">
        <v>201705</v>
      </c>
      <c r="B718" s="22" t="inlineStr">
        <is>
          <t>05/2017</t>
        </is>
      </c>
      <c r="C718" s="22" t="n">
        <v>5</v>
      </c>
      <c r="D718" s="22" t="inlineStr">
        <is>
          <t>S05</t>
        </is>
      </c>
      <c r="E718" s="22" t="inlineStr">
        <is>
          <t>Nexa Victoria (S05)</t>
        </is>
      </c>
      <c r="F718" s="22" t="inlineStr">
        <is>
          <t>Úc</t>
        </is>
      </c>
      <c r="G718" s="22" t="inlineStr">
        <is>
          <t>POS</t>
        </is>
      </c>
      <c r="H718" s="31" t="n">
        <v>4903.13</v>
      </c>
      <c r="I718" s="31" t="n">
        <v>0</v>
      </c>
      <c r="J718" s="31" t="n">
        <v>4903.13</v>
      </c>
      <c r="K718" s="31" t="n">
        <v>0</v>
      </c>
      <c r="L718" s="32" t="n">
        <v>3</v>
      </c>
      <c r="M718" s="32" t="n">
        <v>19</v>
      </c>
      <c r="N718" s="31" t="n">
        <v>4903.13</v>
      </c>
      <c r="O718" s="31" t="n">
        <v>4903.13</v>
      </c>
      <c r="P718" s="22" t="n">
        <v>0</v>
      </c>
      <c r="Q718" s="22" t="n">
        <v>0</v>
      </c>
      <c r="R718" s="22" t="n">
        <v>0</v>
      </c>
    </row>
    <row r="719">
      <c r="A719" s="22" t="n">
        <v>201705</v>
      </c>
      <c r="B719" s="22" t="inlineStr">
        <is>
          <t>05/2017</t>
        </is>
      </c>
      <c r="C719" s="22" t="n">
        <v>6</v>
      </c>
      <c r="D719" s="22" t="inlineStr">
        <is>
          <t>S06</t>
        </is>
      </c>
      <c r="E719" s="22" t="inlineStr">
        <is>
          <t>Nexa Western Australia (S06)</t>
        </is>
      </c>
      <c r="F719" s="22" t="inlineStr">
        <is>
          <t>Úc</t>
        </is>
      </c>
      <c r="G719" s="22" t="inlineStr">
        <is>
          <t>POS</t>
        </is>
      </c>
      <c r="H719" s="31" t="n">
        <v>10871.85</v>
      </c>
      <c r="I719" s="31" t="n">
        <v>0</v>
      </c>
      <c r="J719" s="31" t="n">
        <v>10871.85</v>
      </c>
      <c r="K719" s="31" t="n">
        <v>0</v>
      </c>
      <c r="L719" s="32" t="n">
        <v>1</v>
      </c>
      <c r="M719" s="32" t="n">
        <v>10</v>
      </c>
      <c r="N719" s="31" t="n">
        <v>10871.85</v>
      </c>
      <c r="O719" s="31" t="n">
        <v>10871.85</v>
      </c>
      <c r="P719" s="22" t="n">
        <v>0</v>
      </c>
      <c r="Q719" s="22" t="n">
        <v>0</v>
      </c>
      <c r="R719" s="22" t="n">
        <v>0</v>
      </c>
    </row>
    <row r="720">
      <c r="A720" s="22" t="n">
        <v>201705</v>
      </c>
      <c r="B720" s="22" t="inlineStr">
        <is>
          <t>05/2017</t>
        </is>
      </c>
      <c r="C720" s="22" t="n">
        <v>8</v>
      </c>
      <c r="D720" s="22" t="inlineStr">
        <is>
          <t>S08</t>
        </is>
      </c>
      <c r="E720" s="22" t="inlineStr">
        <is>
          <t>Nexa Newfoundland and Labrador (S08)</t>
        </is>
      </c>
      <c r="F720" s="22" t="inlineStr">
        <is>
          <t>Canada</t>
        </is>
      </c>
      <c r="G720" s="22" t="inlineStr">
        <is>
          <t>POS</t>
        </is>
      </c>
      <c r="H720" s="31" t="n">
        <v>15785.36</v>
      </c>
      <c r="I720" s="31" t="n">
        <v>0</v>
      </c>
      <c r="J720" s="31" t="n">
        <v>15785.36</v>
      </c>
      <c r="K720" s="31" t="n">
        <v>0</v>
      </c>
      <c r="L720" s="32" t="n">
        <v>4</v>
      </c>
      <c r="M720" s="32" t="n">
        <v>50</v>
      </c>
      <c r="N720" s="31" t="n">
        <v>15785.36</v>
      </c>
      <c r="O720" s="31" t="n">
        <v>15785.36</v>
      </c>
      <c r="P720" s="22" t="n">
        <v>0</v>
      </c>
      <c r="Q720" s="22" t="n">
        <v>0</v>
      </c>
      <c r="R720" s="22" t="n">
        <v>0</v>
      </c>
    </row>
    <row r="721">
      <c r="A721" s="22" t="n">
        <v>201705</v>
      </c>
      <c r="B721" s="22" t="inlineStr">
        <is>
          <t>05/2017</t>
        </is>
      </c>
      <c r="C721" s="22" t="n">
        <v>9</v>
      </c>
      <c r="D721" s="22" t="inlineStr">
        <is>
          <t>S09</t>
        </is>
      </c>
      <c r="E721" s="22" t="inlineStr">
        <is>
          <t>Nexa Northwest Territories (S09)</t>
        </is>
      </c>
      <c r="F721" s="22" t="inlineStr">
        <is>
          <t>Canada</t>
        </is>
      </c>
      <c r="G721" s="22" t="inlineStr">
        <is>
          <t>POS</t>
        </is>
      </c>
      <c r="H721" s="31" t="n">
        <v>14298.15</v>
      </c>
      <c r="I721" s="31" t="n">
        <v>0</v>
      </c>
      <c r="J721" s="31" t="n">
        <v>14298.15</v>
      </c>
      <c r="K721" s="31" t="n">
        <v>0</v>
      </c>
      <c r="L721" s="32" t="n">
        <v>9</v>
      </c>
      <c r="M721" s="32" t="n">
        <v>42</v>
      </c>
      <c r="N721" s="31" t="n">
        <v>14298.15</v>
      </c>
      <c r="O721" s="31" t="n">
        <v>14298.15</v>
      </c>
      <c r="P721" s="22" t="n">
        <v>0</v>
      </c>
      <c r="Q721" s="22" t="n">
        <v>0</v>
      </c>
      <c r="R721" s="22" t="n">
        <v>0</v>
      </c>
    </row>
    <row r="722">
      <c r="A722" s="22" t="n">
        <v>201705</v>
      </c>
      <c r="B722" s="22" t="inlineStr">
        <is>
          <t>05/2017</t>
        </is>
      </c>
      <c r="C722" s="22" t="n">
        <v>10</v>
      </c>
      <c r="D722" s="22" t="inlineStr">
        <is>
          <t>S10</t>
        </is>
      </c>
      <c r="E722" s="22" t="inlineStr">
        <is>
          <t>Nexa Nunavut (S10)</t>
        </is>
      </c>
      <c r="F722" s="22" t="inlineStr">
        <is>
          <t>Canada</t>
        </is>
      </c>
      <c r="G722" s="22" t="inlineStr">
        <is>
          <t>POS</t>
        </is>
      </c>
      <c r="H722" s="31" t="n">
        <v>4587.66</v>
      </c>
      <c r="I722" s="31" t="n">
        <v>0</v>
      </c>
      <c r="J722" s="31" t="n">
        <v>4587.66</v>
      </c>
      <c r="K722" s="31" t="n">
        <v>0</v>
      </c>
      <c r="L722" s="32" t="n">
        <v>5</v>
      </c>
      <c r="M722" s="32" t="n">
        <v>19</v>
      </c>
      <c r="N722" s="31" t="n">
        <v>4587.66</v>
      </c>
      <c r="O722" s="31" t="n">
        <v>4587.66</v>
      </c>
      <c r="P722" s="22" t="n">
        <v>1</v>
      </c>
      <c r="Q722" s="22" t="n">
        <v>0</v>
      </c>
      <c r="R722" s="22" t="n">
        <v>0</v>
      </c>
    </row>
    <row r="723">
      <c r="A723" s="22" t="n">
        <v>201705</v>
      </c>
      <c r="B723" s="22" t="inlineStr">
        <is>
          <t>05/2017</t>
        </is>
      </c>
      <c r="C723" s="22" t="n">
        <v>12</v>
      </c>
      <c r="D723" s="22" t="inlineStr">
        <is>
          <t>S12</t>
        </is>
      </c>
      <c r="E723" s="22" t="inlineStr">
        <is>
          <t>Nexa Basse-Normandie (S12)</t>
        </is>
      </c>
      <c r="F723" s="22" t="inlineStr">
        <is>
          <t>Pháp</t>
        </is>
      </c>
      <c r="G723" s="22" t="inlineStr">
        <is>
          <t>POS</t>
        </is>
      </c>
      <c r="H723" s="31" t="n">
        <v>1946</v>
      </c>
      <c r="I723" s="31" t="n">
        <v>0</v>
      </c>
      <c r="J723" s="31" t="n">
        <v>1946</v>
      </c>
      <c r="K723" s="31" t="n">
        <v>0</v>
      </c>
      <c r="L723" s="32" t="n">
        <v>1</v>
      </c>
      <c r="M723" s="32" t="n">
        <v>8</v>
      </c>
      <c r="N723" s="31" t="n">
        <v>1946</v>
      </c>
      <c r="O723" s="31" t="n">
        <v>1946</v>
      </c>
      <c r="P723" s="22" t="n">
        <v>0</v>
      </c>
      <c r="Q723" s="22" t="n">
        <v>0</v>
      </c>
      <c r="R723" s="22" t="n">
        <v>0</v>
      </c>
    </row>
    <row r="724">
      <c r="A724" s="22" t="n">
        <v>201705</v>
      </c>
      <c r="B724" s="22" t="inlineStr">
        <is>
          <t>05/2017</t>
        </is>
      </c>
      <c r="C724" s="22" t="n">
        <v>13</v>
      </c>
      <c r="D724" s="22" t="inlineStr">
        <is>
          <t>S13</t>
        </is>
      </c>
      <c r="E724" s="22" t="inlineStr">
        <is>
          <t>Nexa Corse (S13)</t>
        </is>
      </c>
      <c r="F724" s="22" t="inlineStr">
        <is>
          <t>Pháp</t>
        </is>
      </c>
      <c r="G724" s="22" t="inlineStr">
        <is>
          <t>POS</t>
        </is>
      </c>
      <c r="H724" s="31" t="n">
        <v>848.97</v>
      </c>
      <c r="I724" s="31" t="n">
        <v>0</v>
      </c>
      <c r="J724" s="31" t="n">
        <v>848.97</v>
      </c>
      <c r="K724" s="31" t="n">
        <v>0</v>
      </c>
      <c r="L724" s="32" t="n">
        <v>1</v>
      </c>
      <c r="M724" s="32" t="n">
        <v>14</v>
      </c>
      <c r="N724" s="31" t="n">
        <v>848.97</v>
      </c>
      <c r="O724" s="31" t="n">
        <v>848.97</v>
      </c>
      <c r="P724" s="22" t="n">
        <v>0</v>
      </c>
      <c r="Q724" s="22" t="n">
        <v>0</v>
      </c>
      <c r="R724" s="22" t="n">
        <v>0</v>
      </c>
    </row>
    <row r="725">
      <c r="A725" s="22" t="n">
        <v>201705</v>
      </c>
      <c r="B725" s="22" t="inlineStr">
        <is>
          <t>05/2017</t>
        </is>
      </c>
      <c r="C725" s="22" t="n">
        <v>14</v>
      </c>
      <c r="D725" s="22" t="inlineStr">
        <is>
          <t>S14</t>
        </is>
      </c>
      <c r="E725" s="22" t="inlineStr">
        <is>
          <t>Nexa Franche-Comté (S14)</t>
        </is>
      </c>
      <c r="F725" s="22" t="inlineStr">
        <is>
          <t>Pháp</t>
        </is>
      </c>
      <c r="G725" s="22" t="inlineStr">
        <is>
          <t>POS</t>
        </is>
      </c>
      <c r="H725" s="31" t="n">
        <v>3510</v>
      </c>
      <c r="I725" s="31" t="n">
        <v>0</v>
      </c>
      <c r="J725" s="31" t="n">
        <v>3510</v>
      </c>
      <c r="K725" s="31" t="n">
        <v>0</v>
      </c>
      <c r="L725" s="32" t="n">
        <v>1</v>
      </c>
      <c r="M725" s="32" t="n">
        <v>4</v>
      </c>
      <c r="N725" s="31" t="n">
        <v>3510</v>
      </c>
      <c r="O725" s="31" t="n">
        <v>3510</v>
      </c>
      <c r="P725" s="22" t="n">
        <v>0</v>
      </c>
      <c r="Q725" s="22" t="n">
        <v>0</v>
      </c>
      <c r="R725" s="22" t="n">
        <v>0</v>
      </c>
    </row>
    <row r="726">
      <c r="A726" s="22" t="n">
        <v>201705</v>
      </c>
      <c r="B726" s="22" t="inlineStr">
        <is>
          <t>05/2017</t>
        </is>
      </c>
      <c r="C726" s="22" t="n">
        <v>15</v>
      </c>
      <c r="D726" s="22" t="inlineStr">
        <is>
          <t>S15</t>
        </is>
      </c>
      <c r="E726" s="22" t="inlineStr">
        <is>
          <t>Nexa La Réunion (S15)</t>
        </is>
      </c>
      <c r="F726" s="22" t="inlineStr">
        <is>
          <t>Pháp</t>
        </is>
      </c>
      <c r="G726" s="22" t="inlineStr">
        <is>
          <t>POS</t>
        </is>
      </c>
      <c r="H726" s="31" t="n">
        <v>9873.200000000001</v>
      </c>
      <c r="I726" s="31" t="n">
        <v>0</v>
      </c>
      <c r="J726" s="31" t="n">
        <v>9873.200000000001</v>
      </c>
      <c r="K726" s="31" t="n">
        <v>0</v>
      </c>
      <c r="L726" s="32" t="n">
        <v>1</v>
      </c>
      <c r="M726" s="32" t="n">
        <v>7</v>
      </c>
      <c r="N726" s="31" t="n">
        <v>9873.200000000001</v>
      </c>
      <c r="O726" s="31" t="n">
        <v>9873.200000000001</v>
      </c>
      <c r="P726" s="22" t="n">
        <v>0</v>
      </c>
      <c r="Q726" s="22" t="n">
        <v>0</v>
      </c>
      <c r="R726" s="22" t="n">
        <v>0</v>
      </c>
    </row>
    <row r="727">
      <c r="A727" s="22" t="n">
        <v>201705</v>
      </c>
      <c r="B727" s="22" t="inlineStr">
        <is>
          <t>05/2017</t>
        </is>
      </c>
      <c r="C727" s="22" t="n">
        <v>17</v>
      </c>
      <c r="D727" s="22" t="inlineStr">
        <is>
          <t>S17</t>
        </is>
      </c>
      <c r="E727" s="22" t="inlineStr">
        <is>
          <t>Nexa Martinique (S17)</t>
        </is>
      </c>
      <c r="F727" s="22" t="inlineStr">
        <is>
          <t>Pháp</t>
        </is>
      </c>
      <c r="G727" s="22" t="inlineStr">
        <is>
          <t>POS</t>
        </is>
      </c>
      <c r="H727" s="31" t="n">
        <v>3050.57</v>
      </c>
      <c r="I727" s="31" t="n">
        <v>0</v>
      </c>
      <c r="J727" s="31" t="n">
        <v>3050.57</v>
      </c>
      <c r="K727" s="31" t="n">
        <v>0</v>
      </c>
      <c r="L727" s="32" t="n">
        <v>1</v>
      </c>
      <c r="M727" s="32" t="n">
        <v>16</v>
      </c>
      <c r="N727" s="31" t="n">
        <v>3050.57</v>
      </c>
      <c r="O727" s="31" t="n">
        <v>3050.57</v>
      </c>
      <c r="P727" s="22" t="n">
        <v>0</v>
      </c>
      <c r="Q727" s="22" t="n">
        <v>0</v>
      </c>
      <c r="R727" s="22" t="n">
        <v>0</v>
      </c>
    </row>
    <row r="728">
      <c r="A728" s="22" t="n">
        <v>201705</v>
      </c>
      <c r="B728" s="22" t="inlineStr">
        <is>
          <t>05/2017</t>
        </is>
      </c>
      <c r="C728" s="22" t="n">
        <v>19</v>
      </c>
      <c r="D728" s="22" t="inlineStr">
        <is>
          <t>S19</t>
        </is>
      </c>
      <c r="E728" s="22" t="inlineStr">
        <is>
          <t>Nexa Berlin (S19)</t>
        </is>
      </c>
      <c r="F728" s="22" t="inlineStr">
        <is>
          <t>Đức</t>
        </is>
      </c>
      <c r="G728" s="22" t="inlineStr">
        <is>
          <t>POS</t>
        </is>
      </c>
      <c r="H728" s="31" t="n">
        <v>12903.87</v>
      </c>
      <c r="I728" s="31" t="n">
        <v>0</v>
      </c>
      <c r="J728" s="31" t="n">
        <v>12903.87</v>
      </c>
      <c r="K728" s="31" t="n">
        <v>0</v>
      </c>
      <c r="L728" s="32" t="n">
        <v>3</v>
      </c>
      <c r="M728" s="32" t="n">
        <v>19</v>
      </c>
      <c r="N728" s="31" t="n">
        <v>12903.87</v>
      </c>
      <c r="O728" s="31" t="n">
        <v>12903.87</v>
      </c>
      <c r="P728" s="22" t="n">
        <v>0</v>
      </c>
      <c r="Q728" s="22" t="n">
        <v>0</v>
      </c>
      <c r="R728" s="22" t="n">
        <v>1</v>
      </c>
    </row>
    <row r="729">
      <c r="A729" s="22" t="n">
        <v>201705</v>
      </c>
      <c r="B729" s="22" t="inlineStr">
        <is>
          <t>05/2017</t>
        </is>
      </c>
      <c r="C729" s="22" t="n">
        <v>20</v>
      </c>
      <c r="D729" s="22" t="inlineStr">
        <is>
          <t>S20</t>
        </is>
      </c>
      <c r="E729" s="22" t="inlineStr">
        <is>
          <t>Nexa Brandenburg (S20)</t>
        </is>
      </c>
      <c r="F729" s="22" t="inlineStr">
        <is>
          <t>Đức</t>
        </is>
      </c>
      <c r="G729" s="22" t="inlineStr">
        <is>
          <t>POS</t>
        </is>
      </c>
      <c r="H729" s="31" t="n">
        <v>9333.18</v>
      </c>
      <c r="I729" s="31" t="n">
        <v>0</v>
      </c>
      <c r="J729" s="31" t="n">
        <v>9333.18</v>
      </c>
      <c r="K729" s="31" t="n">
        <v>0</v>
      </c>
      <c r="L729" s="32" t="n">
        <v>2</v>
      </c>
      <c r="M729" s="32" t="n">
        <v>22</v>
      </c>
      <c r="N729" s="31" t="n">
        <v>9333.18</v>
      </c>
      <c r="O729" s="31" t="n">
        <v>9333.18</v>
      </c>
      <c r="P729" s="22" t="n">
        <v>0</v>
      </c>
      <c r="Q729" s="22" t="n">
        <v>0</v>
      </c>
      <c r="R729" s="22" t="n">
        <v>0</v>
      </c>
    </row>
    <row r="730">
      <c r="A730" s="22" t="n">
        <v>201705</v>
      </c>
      <c r="B730" s="22" t="inlineStr">
        <is>
          <t>05/2017</t>
        </is>
      </c>
      <c r="C730" s="22" t="n">
        <v>22</v>
      </c>
      <c r="D730" s="22" t="inlineStr">
        <is>
          <t>S22</t>
        </is>
      </c>
      <c r="E730" s="22" t="inlineStr">
        <is>
          <t>Nexa Freistaat Thüringen (S22)</t>
        </is>
      </c>
      <c r="F730" s="22" t="inlineStr">
        <is>
          <t>Đức</t>
        </is>
      </c>
      <c r="G730" s="22" t="inlineStr">
        <is>
          <t>POS</t>
        </is>
      </c>
      <c r="H730" s="31" t="n">
        <v>2115.9</v>
      </c>
      <c r="I730" s="31" t="n">
        <v>0</v>
      </c>
      <c r="J730" s="31" t="n">
        <v>2115.9</v>
      </c>
      <c r="K730" s="31" t="n">
        <v>0</v>
      </c>
      <c r="L730" s="32" t="n">
        <v>2</v>
      </c>
      <c r="M730" s="32" t="n">
        <v>6</v>
      </c>
      <c r="N730" s="31" t="n">
        <v>2115.9</v>
      </c>
      <c r="O730" s="31" t="n">
        <v>2115.9</v>
      </c>
      <c r="P730" s="22" t="n">
        <v>0</v>
      </c>
      <c r="Q730" s="22" t="n">
        <v>0</v>
      </c>
      <c r="R730" s="22" t="n">
        <v>0</v>
      </c>
    </row>
    <row r="731">
      <c r="A731" s="22" t="n">
        <v>201705</v>
      </c>
      <c r="B731" s="22" t="inlineStr">
        <is>
          <t>05/2017</t>
        </is>
      </c>
      <c r="C731" s="22" t="n">
        <v>23</v>
      </c>
      <c r="D731" s="22" t="inlineStr">
        <is>
          <t>S23</t>
        </is>
      </c>
      <c r="E731" s="22" t="inlineStr">
        <is>
          <t>Nexa Hamburg (S23)</t>
        </is>
      </c>
      <c r="F731" s="22" t="inlineStr">
        <is>
          <t>Đức</t>
        </is>
      </c>
      <c r="G731" s="22" t="inlineStr">
        <is>
          <t>POS</t>
        </is>
      </c>
      <c r="H731" s="31" t="n">
        <v>10834.22</v>
      </c>
      <c r="I731" s="31" t="n">
        <v>0</v>
      </c>
      <c r="J731" s="31" t="n">
        <v>10834.22</v>
      </c>
      <c r="K731" s="31" t="n">
        <v>0</v>
      </c>
      <c r="L731" s="32" t="n">
        <v>4</v>
      </c>
      <c r="M731" s="32" t="n">
        <v>27</v>
      </c>
      <c r="N731" s="31" t="n">
        <v>10834.22</v>
      </c>
      <c r="O731" s="31" t="n">
        <v>10834.22</v>
      </c>
      <c r="P731" s="22" t="n">
        <v>0</v>
      </c>
      <c r="Q731" s="22" t="n">
        <v>0</v>
      </c>
      <c r="R731" s="22" t="n">
        <v>0</v>
      </c>
    </row>
    <row r="732">
      <c r="A732" s="22" t="n">
        <v>201705</v>
      </c>
      <c r="B732" s="22" t="inlineStr">
        <is>
          <t>05/2017</t>
        </is>
      </c>
      <c r="C732" s="22" t="n">
        <v>24</v>
      </c>
      <c r="D732" s="22" t="inlineStr">
        <is>
          <t>S24</t>
        </is>
      </c>
      <c r="E732" s="22" t="inlineStr">
        <is>
          <t>Nexa Hessen (S24)</t>
        </is>
      </c>
      <c r="F732" s="22" t="inlineStr">
        <is>
          <t>Đức</t>
        </is>
      </c>
      <c r="G732" s="22" t="inlineStr">
        <is>
          <t>POS</t>
        </is>
      </c>
      <c r="H732" s="31" t="n">
        <v>707.6900000000001</v>
      </c>
      <c r="I732" s="31" t="n">
        <v>0</v>
      </c>
      <c r="J732" s="31" t="n">
        <v>707.6900000000001</v>
      </c>
      <c r="K732" s="31" t="n">
        <v>0</v>
      </c>
      <c r="L732" s="32" t="n">
        <v>1</v>
      </c>
      <c r="M732" s="32" t="n">
        <v>4</v>
      </c>
      <c r="N732" s="31" t="n">
        <v>707.6900000000001</v>
      </c>
      <c r="O732" s="31" t="n">
        <v>707.6900000000001</v>
      </c>
      <c r="P732" s="22" t="n">
        <v>0</v>
      </c>
      <c r="Q732" s="22" t="n">
        <v>0</v>
      </c>
      <c r="R732" s="22" t="n">
        <v>0</v>
      </c>
    </row>
    <row r="733">
      <c r="A733" s="22" t="n">
        <v>201705</v>
      </c>
      <c r="B733" s="22" t="inlineStr">
        <is>
          <t>05/2017</t>
        </is>
      </c>
      <c r="C733" s="22" t="n">
        <v>27</v>
      </c>
      <c r="D733" s="22" t="inlineStr">
        <is>
          <t>S27</t>
        </is>
      </c>
      <c r="E733" s="22" t="inlineStr">
        <is>
          <t>Nexa Sachsen-Anhalt (S27)</t>
        </is>
      </c>
      <c r="F733" s="22" t="inlineStr">
        <is>
          <t>Đức</t>
        </is>
      </c>
      <c r="G733" s="22" t="inlineStr">
        <is>
          <t>POS</t>
        </is>
      </c>
      <c r="H733" s="31" t="n">
        <v>9071.1</v>
      </c>
      <c r="I733" s="31" t="n">
        <v>0</v>
      </c>
      <c r="J733" s="31" t="n">
        <v>9071.1</v>
      </c>
      <c r="K733" s="31" t="n">
        <v>0</v>
      </c>
      <c r="L733" s="32" t="n">
        <v>5</v>
      </c>
      <c r="M733" s="32" t="n">
        <v>46</v>
      </c>
      <c r="N733" s="31" t="n">
        <v>9071.1</v>
      </c>
      <c r="O733" s="31" t="n">
        <v>9071.1</v>
      </c>
      <c r="P733" s="22" t="n">
        <v>0</v>
      </c>
      <c r="Q733" s="22" t="n">
        <v>0</v>
      </c>
      <c r="R733" s="22" t="n">
        <v>0</v>
      </c>
    </row>
    <row r="734">
      <c r="A734" s="22" t="n">
        <v>201705</v>
      </c>
      <c r="B734" s="22" t="inlineStr">
        <is>
          <t>05/2017</t>
        </is>
      </c>
      <c r="C734" s="22" t="n">
        <v>28</v>
      </c>
      <c r="D734" s="22" t="inlineStr">
        <is>
          <t>S28</t>
        </is>
      </c>
      <c r="E734" s="22" t="inlineStr">
        <is>
          <t>Nexa Caltanissetta (S28)</t>
        </is>
      </c>
      <c r="F734" s="22" t="inlineStr">
        <is>
          <t>Ý</t>
        </is>
      </c>
      <c r="G734" s="22" t="inlineStr">
        <is>
          <t>POS</t>
        </is>
      </c>
      <c r="H734" s="31" t="n">
        <v>24545.82</v>
      </c>
      <c r="I734" s="31" t="n">
        <v>0</v>
      </c>
      <c r="J734" s="31" t="n">
        <v>24545.82</v>
      </c>
      <c r="K734" s="31" t="n">
        <v>429.99</v>
      </c>
      <c r="L734" s="32" t="n">
        <v>6</v>
      </c>
      <c r="M734" s="32" t="n">
        <v>69</v>
      </c>
      <c r="N734" s="31" t="n">
        <v>24115.83</v>
      </c>
      <c r="O734" s="31" t="n">
        <v>24545.82</v>
      </c>
      <c r="P734" s="22" t="n">
        <v>0</v>
      </c>
      <c r="Q734" s="22" t="n">
        <v>0</v>
      </c>
      <c r="R734" s="22" t="n">
        <v>0</v>
      </c>
    </row>
    <row r="735">
      <c r="A735" s="22" t="n">
        <v>201705</v>
      </c>
      <c r="B735" s="22" t="inlineStr">
        <is>
          <t>05/2017</t>
        </is>
      </c>
      <c r="C735" s="22" t="n">
        <v>29</v>
      </c>
      <c r="D735" s="22" t="inlineStr">
        <is>
          <t>S29</t>
        </is>
      </c>
      <c r="E735" s="22" t="inlineStr">
        <is>
          <t>Nexa Enna (S29)</t>
        </is>
      </c>
      <c r="F735" s="22" t="inlineStr">
        <is>
          <t>Ý</t>
        </is>
      </c>
      <c r="G735" s="22" t="inlineStr">
        <is>
          <t>POS</t>
        </is>
      </c>
      <c r="H735" s="31" t="n">
        <v>343.77</v>
      </c>
      <c r="I735" s="31" t="n">
        <v>0</v>
      </c>
      <c r="J735" s="31" t="n">
        <v>343.77</v>
      </c>
      <c r="K735" s="31" t="n">
        <v>0</v>
      </c>
      <c r="L735" s="32" t="n">
        <v>2</v>
      </c>
      <c r="M735" s="32" t="n">
        <v>5</v>
      </c>
      <c r="N735" s="31" t="n">
        <v>343.77</v>
      </c>
      <c r="O735" s="31" t="n">
        <v>343.77</v>
      </c>
      <c r="P735" s="22" t="n">
        <v>0</v>
      </c>
      <c r="Q735" s="22" t="n">
        <v>0</v>
      </c>
      <c r="R735" s="22" t="n">
        <v>0</v>
      </c>
    </row>
    <row r="736">
      <c r="A736" s="22" t="n">
        <v>201705</v>
      </c>
      <c r="B736" s="22" t="inlineStr">
        <is>
          <t>05/2017</t>
        </is>
      </c>
      <c r="C736" s="22" t="n">
        <v>30</v>
      </c>
      <c r="D736" s="22" t="inlineStr">
        <is>
          <t>S30</t>
        </is>
      </c>
      <c r="E736" s="22" t="inlineStr">
        <is>
          <t>Nexa Pesaro (S30)</t>
        </is>
      </c>
      <c r="F736" s="22" t="inlineStr">
        <is>
          <t>Ý</t>
        </is>
      </c>
      <c r="G736" s="22" t="inlineStr">
        <is>
          <t>POS</t>
        </is>
      </c>
      <c r="H736" s="31" t="n">
        <v>2453.01</v>
      </c>
      <c r="I736" s="31" t="n">
        <v>0</v>
      </c>
      <c r="J736" s="31" t="n">
        <v>2453.01</v>
      </c>
      <c r="K736" s="31" t="n">
        <v>0</v>
      </c>
      <c r="L736" s="32" t="n">
        <v>6</v>
      </c>
      <c r="M736" s="32" t="n">
        <v>29</v>
      </c>
      <c r="N736" s="31" t="n">
        <v>2453.01</v>
      </c>
      <c r="O736" s="31" t="n">
        <v>2453.01</v>
      </c>
      <c r="P736" s="22" t="n">
        <v>0</v>
      </c>
      <c r="Q736" s="22" t="n">
        <v>0</v>
      </c>
      <c r="R736" s="22" t="n">
        <v>0</v>
      </c>
    </row>
    <row r="737">
      <c r="A737" s="22" t="n">
        <v>201705</v>
      </c>
      <c r="B737" s="22" t="inlineStr">
        <is>
          <t>05/2017</t>
        </is>
      </c>
      <c r="C737" s="22" t="n">
        <v>31</v>
      </c>
      <c r="D737" s="22" t="inlineStr">
        <is>
          <t>S31</t>
        </is>
      </c>
      <c r="E737" s="22" t="inlineStr">
        <is>
          <t>Nexa Drenthe (S31)</t>
        </is>
      </c>
      <c r="F737" s="22" t="inlineStr">
        <is>
          <t>Hà Lan</t>
        </is>
      </c>
      <c r="G737" s="22" t="inlineStr">
        <is>
          <t>POS</t>
        </is>
      </c>
      <c r="H737" s="31" t="n">
        <v>3056.4</v>
      </c>
      <c r="I737" s="31" t="n">
        <v>0</v>
      </c>
      <c r="J737" s="31" t="n">
        <v>3056.4</v>
      </c>
      <c r="K737" s="31" t="n">
        <v>0</v>
      </c>
      <c r="L737" s="32" t="n">
        <v>2</v>
      </c>
      <c r="M737" s="32" t="n">
        <v>12</v>
      </c>
      <c r="N737" s="31" t="n">
        <v>3056.4</v>
      </c>
      <c r="O737" s="31" t="n">
        <v>3056.4</v>
      </c>
      <c r="P737" s="22" t="n">
        <v>0</v>
      </c>
      <c r="Q737" s="22" t="n">
        <v>0</v>
      </c>
      <c r="R737" s="22" t="n">
        <v>0</v>
      </c>
    </row>
    <row r="738">
      <c r="A738" s="22" t="n">
        <v>201705</v>
      </c>
      <c r="B738" s="22" t="inlineStr">
        <is>
          <t>05/2017</t>
        </is>
      </c>
      <c r="C738" s="22" t="n">
        <v>32</v>
      </c>
      <c r="D738" s="22" t="inlineStr">
        <is>
          <t>S32</t>
        </is>
      </c>
      <c r="E738" s="22" t="inlineStr">
        <is>
          <t>Nexa Flevoland (S32)</t>
        </is>
      </c>
      <c r="F738" s="22" t="inlineStr">
        <is>
          <t>Hà Lan</t>
        </is>
      </c>
      <c r="G738" s="22" t="inlineStr">
        <is>
          <t>POS</t>
        </is>
      </c>
      <c r="H738" s="31" t="n">
        <v>4836.97</v>
      </c>
      <c r="I738" s="31" t="n">
        <v>0</v>
      </c>
      <c r="J738" s="31" t="n">
        <v>4836.97</v>
      </c>
      <c r="K738" s="31" t="n">
        <v>0</v>
      </c>
      <c r="L738" s="32" t="n">
        <v>2</v>
      </c>
      <c r="M738" s="32" t="n">
        <v>12</v>
      </c>
      <c r="N738" s="31" t="n">
        <v>4836.97</v>
      </c>
      <c r="O738" s="31" t="n">
        <v>4836.97</v>
      </c>
      <c r="P738" s="22" t="n">
        <v>0</v>
      </c>
      <c r="Q738" s="22" t="n">
        <v>0</v>
      </c>
      <c r="R738" s="22" t="n">
        <v>0</v>
      </c>
    </row>
    <row r="739">
      <c r="A739" s="22" t="n">
        <v>201705</v>
      </c>
      <c r="B739" s="22" t="inlineStr">
        <is>
          <t>05/2017</t>
        </is>
      </c>
      <c r="C739" s="22" t="n">
        <v>33</v>
      </c>
      <c r="D739" s="22" t="inlineStr">
        <is>
          <t>S33</t>
        </is>
      </c>
      <c r="E739" s="22" t="inlineStr">
        <is>
          <t>Nexa Friesland (S33)</t>
        </is>
      </c>
      <c r="F739" s="22" t="inlineStr">
        <is>
          <t>Hà Lan</t>
        </is>
      </c>
      <c r="G739" s="22" t="inlineStr">
        <is>
          <t>POS</t>
        </is>
      </c>
      <c r="H739" s="31" t="n">
        <v>6904.8</v>
      </c>
      <c r="I739" s="31" t="n">
        <v>0</v>
      </c>
      <c r="J739" s="31" t="n">
        <v>6904.8</v>
      </c>
      <c r="K739" s="31" t="n">
        <v>0</v>
      </c>
      <c r="L739" s="32" t="n">
        <v>2</v>
      </c>
      <c r="M739" s="32" t="n">
        <v>22</v>
      </c>
      <c r="N739" s="31" t="n">
        <v>6904.8</v>
      </c>
      <c r="O739" s="31" t="n">
        <v>6904.8</v>
      </c>
      <c r="P739" s="22" t="n">
        <v>0</v>
      </c>
      <c r="Q739" s="22" t="n">
        <v>0</v>
      </c>
      <c r="R739" s="22" t="n">
        <v>0</v>
      </c>
    </row>
    <row r="740">
      <c r="A740" s="22" t="n">
        <v>201705</v>
      </c>
      <c r="B740" s="22" t="inlineStr">
        <is>
          <t>05/2017</t>
        </is>
      </c>
      <c r="C740" s="22" t="n">
        <v>34</v>
      </c>
      <c r="D740" s="22" t="inlineStr">
        <is>
          <t>S34</t>
        </is>
      </c>
      <c r="E740" s="22" t="inlineStr">
        <is>
          <t>Nexa Groningen (S34)</t>
        </is>
      </c>
      <c r="F740" s="22" t="inlineStr">
        <is>
          <t>Hà Lan</t>
        </is>
      </c>
      <c r="G740" s="22" t="inlineStr">
        <is>
          <t>POS</t>
        </is>
      </c>
      <c r="H740" s="31" t="n">
        <v>5138.96</v>
      </c>
      <c r="I740" s="31" t="n">
        <v>0</v>
      </c>
      <c r="J740" s="31" t="n">
        <v>5138.96</v>
      </c>
      <c r="K740" s="31" t="n">
        <v>0</v>
      </c>
      <c r="L740" s="32" t="n">
        <v>2</v>
      </c>
      <c r="M740" s="32" t="n">
        <v>13</v>
      </c>
      <c r="N740" s="31" t="n">
        <v>5138.96</v>
      </c>
      <c r="O740" s="31" t="n">
        <v>5138.96</v>
      </c>
      <c r="P740" s="22" t="n">
        <v>0</v>
      </c>
      <c r="Q740" s="22" t="n">
        <v>0</v>
      </c>
      <c r="R740" s="22" t="n">
        <v>0</v>
      </c>
    </row>
    <row r="741">
      <c r="A741" s="22" t="n">
        <v>201705</v>
      </c>
      <c r="B741" s="22" t="inlineStr">
        <is>
          <t>05/2017</t>
        </is>
      </c>
      <c r="C741" s="22" t="n">
        <v>36</v>
      </c>
      <c r="D741" s="22" t="inlineStr">
        <is>
          <t>S36</t>
        </is>
      </c>
      <c r="E741" s="22" t="inlineStr">
        <is>
          <t>Nexa Armagh (S36)</t>
        </is>
      </c>
      <c r="F741" s="22" t="inlineStr">
        <is>
          <t>Anh</t>
        </is>
      </c>
      <c r="G741" s="22" t="inlineStr">
        <is>
          <t>POS</t>
        </is>
      </c>
      <c r="H741" s="31" t="n">
        <v>3437.78</v>
      </c>
      <c r="I741" s="31" t="n">
        <v>0</v>
      </c>
      <c r="J741" s="31" t="n">
        <v>3437.78</v>
      </c>
      <c r="K741" s="31" t="n">
        <v>0</v>
      </c>
      <c r="L741" s="32" t="n">
        <v>3</v>
      </c>
      <c r="M741" s="32" t="n">
        <v>35</v>
      </c>
      <c r="N741" s="31" t="n">
        <v>3437.78</v>
      </c>
      <c r="O741" s="31" t="n">
        <v>3437.78</v>
      </c>
      <c r="P741" s="22" t="n">
        <v>0</v>
      </c>
      <c r="Q741" s="22" t="n">
        <v>0</v>
      </c>
      <c r="R741" s="22" t="n">
        <v>0</v>
      </c>
    </row>
    <row r="742">
      <c r="A742" s="22" t="n">
        <v>201705</v>
      </c>
      <c r="B742" s="22" t="inlineStr">
        <is>
          <t>05/2017</t>
        </is>
      </c>
      <c r="C742" s="22" t="n">
        <v>37</v>
      </c>
      <c r="D742" s="22" t="inlineStr">
        <is>
          <t>S37</t>
        </is>
      </c>
      <c r="E742" s="22" t="inlineStr">
        <is>
          <t>Nexa Ayrshire (S37)</t>
        </is>
      </c>
      <c r="F742" s="22" t="inlineStr">
        <is>
          <t>Anh</t>
        </is>
      </c>
      <c r="G742" s="22" t="inlineStr">
        <is>
          <t>POS</t>
        </is>
      </c>
      <c r="H742" s="31" t="n">
        <v>12459</v>
      </c>
      <c r="I742" s="31" t="n">
        <v>0</v>
      </c>
      <c r="J742" s="31" t="n">
        <v>12459</v>
      </c>
      <c r="K742" s="31" t="n">
        <v>0</v>
      </c>
      <c r="L742" s="32" t="n">
        <v>1</v>
      </c>
      <c r="M742" s="32" t="n">
        <v>11</v>
      </c>
      <c r="N742" s="31" t="n">
        <v>12459</v>
      </c>
      <c r="O742" s="31" t="n">
        <v>12459</v>
      </c>
      <c r="P742" s="22" t="n">
        <v>0</v>
      </c>
      <c r="Q742" s="22" t="n">
        <v>0</v>
      </c>
      <c r="R742" s="22" t="n">
        <v>0</v>
      </c>
    </row>
    <row r="743">
      <c r="A743" s="22" t="n">
        <v>201705</v>
      </c>
      <c r="B743" s="22" t="inlineStr">
        <is>
          <t>05/2017</t>
        </is>
      </c>
      <c r="C743" s="22" t="n">
        <v>38</v>
      </c>
      <c r="D743" s="22" t="inlineStr">
        <is>
          <t>S38</t>
        </is>
      </c>
      <c r="E743" s="22" t="inlineStr">
        <is>
          <t>Nexa Belfast (S38)</t>
        </is>
      </c>
      <c r="F743" s="22" t="inlineStr">
        <is>
          <t>Anh</t>
        </is>
      </c>
      <c r="G743" s="22" t="inlineStr">
        <is>
          <t>POS</t>
        </is>
      </c>
      <c r="H743" s="31" t="n">
        <v>6029.3</v>
      </c>
      <c r="I743" s="31" t="n">
        <v>0</v>
      </c>
      <c r="J743" s="31" t="n">
        <v>6029.3</v>
      </c>
      <c r="K743" s="31" t="n">
        <v>257.5</v>
      </c>
      <c r="L743" s="32" t="n">
        <v>3</v>
      </c>
      <c r="M743" s="32" t="n">
        <v>18</v>
      </c>
      <c r="N743" s="31" t="n">
        <v>5771.8</v>
      </c>
      <c r="O743" s="31" t="n">
        <v>6029.3</v>
      </c>
      <c r="P743" s="22" t="n">
        <v>0</v>
      </c>
      <c r="Q743" s="22" t="n">
        <v>0</v>
      </c>
      <c r="R743" s="22" t="n">
        <v>0</v>
      </c>
    </row>
    <row r="744">
      <c r="A744" s="22" t="n">
        <v>201705</v>
      </c>
      <c r="B744" s="22" t="inlineStr">
        <is>
          <t>05/2017</t>
        </is>
      </c>
      <c r="C744" s="22" t="n">
        <v>39</v>
      </c>
      <c r="D744" s="22" t="inlineStr">
        <is>
          <t>S39</t>
        </is>
      </c>
      <c r="E744" s="22" t="inlineStr">
        <is>
          <t>Nexa Blaenau Gwent (S39)</t>
        </is>
      </c>
      <c r="F744" s="22" t="inlineStr">
        <is>
          <t>Anh</t>
        </is>
      </c>
      <c r="G744" s="22" t="inlineStr">
        <is>
          <t>POS</t>
        </is>
      </c>
      <c r="H744" s="31" t="n">
        <v>15615.14</v>
      </c>
      <c r="I744" s="31" t="n">
        <v>0</v>
      </c>
      <c r="J744" s="31" t="n">
        <v>15615.14</v>
      </c>
      <c r="K744" s="31" t="n">
        <v>0</v>
      </c>
      <c r="L744" s="32" t="n">
        <v>4</v>
      </c>
      <c r="M744" s="32" t="n">
        <v>46</v>
      </c>
      <c r="N744" s="31" t="n">
        <v>15615.14</v>
      </c>
      <c r="O744" s="31" t="n">
        <v>15615.14</v>
      </c>
      <c r="P744" s="22" t="n">
        <v>0</v>
      </c>
      <c r="Q744" s="22" t="n">
        <v>0</v>
      </c>
      <c r="R744" s="22" t="n">
        <v>0</v>
      </c>
    </row>
    <row r="745">
      <c r="A745" s="22" t="n">
        <v>201705</v>
      </c>
      <c r="B745" s="22" t="inlineStr">
        <is>
          <t>05/2017</t>
        </is>
      </c>
      <c r="C745" s="22" t="n">
        <v>40</v>
      </c>
      <c r="D745" s="22" t="inlineStr">
        <is>
          <t>S40</t>
        </is>
      </c>
      <c r="E745" s="22" t="inlineStr">
        <is>
          <t>Nexa Dungannon and South Tyrone (S40)</t>
        </is>
      </c>
      <c r="F745" s="22" t="inlineStr">
        <is>
          <t>Anh</t>
        </is>
      </c>
      <c r="G745" s="22" t="inlineStr">
        <is>
          <t>POS</t>
        </is>
      </c>
      <c r="H745" s="31" t="n">
        <v>9523.84</v>
      </c>
      <c r="I745" s="31" t="n">
        <v>0</v>
      </c>
      <c r="J745" s="31" t="n">
        <v>9523.84</v>
      </c>
      <c r="K745" s="31" t="n">
        <v>0</v>
      </c>
      <c r="L745" s="32" t="n">
        <v>5</v>
      </c>
      <c r="M745" s="32" t="n">
        <v>52</v>
      </c>
      <c r="N745" s="31" t="n">
        <v>9523.84</v>
      </c>
      <c r="O745" s="31" t="n">
        <v>9523.84</v>
      </c>
      <c r="P745" s="22" t="n">
        <v>0</v>
      </c>
      <c r="Q745" s="22" t="n">
        <v>0</v>
      </c>
      <c r="R745" s="22" t="n">
        <v>0</v>
      </c>
    </row>
    <row r="746">
      <c r="A746" s="22" t="n">
        <v>201705</v>
      </c>
      <c r="B746" s="22" t="inlineStr">
        <is>
          <t>05/2017</t>
        </is>
      </c>
      <c r="C746" s="22" t="n">
        <v>41</v>
      </c>
      <c r="D746" s="22" t="inlineStr">
        <is>
          <t>S41</t>
        </is>
      </c>
      <c r="E746" s="22" t="inlineStr">
        <is>
          <t>Nexa Fermanagh (S41)</t>
        </is>
      </c>
      <c r="F746" s="22" t="inlineStr">
        <is>
          <t>Anh</t>
        </is>
      </c>
      <c r="G746" s="22" t="inlineStr">
        <is>
          <t>POS</t>
        </is>
      </c>
      <c r="H746" s="31" t="n">
        <v>5930.81</v>
      </c>
      <c r="I746" s="31" t="n">
        <v>0</v>
      </c>
      <c r="J746" s="31" t="n">
        <v>5930.81</v>
      </c>
      <c r="K746" s="31" t="n">
        <v>0</v>
      </c>
      <c r="L746" s="32" t="n">
        <v>6</v>
      </c>
      <c r="M746" s="32" t="n">
        <v>36</v>
      </c>
      <c r="N746" s="31" t="n">
        <v>5930.81</v>
      </c>
      <c r="O746" s="31" t="n">
        <v>5930.81</v>
      </c>
      <c r="P746" s="22" t="n">
        <v>0</v>
      </c>
      <c r="Q746" s="22" t="n">
        <v>0</v>
      </c>
      <c r="R746" s="22" t="n">
        <v>0</v>
      </c>
    </row>
    <row r="747">
      <c r="A747" s="22" t="n">
        <v>201705</v>
      </c>
      <c r="B747" s="22" t="inlineStr">
        <is>
          <t>05/2017</t>
        </is>
      </c>
      <c r="C747" s="22" t="n">
        <v>42</v>
      </c>
      <c r="D747" s="22" t="inlineStr">
        <is>
          <t>S42</t>
        </is>
      </c>
      <c r="E747" s="22" t="inlineStr">
        <is>
          <t>Nexa North Down (S42)</t>
        </is>
      </c>
      <c r="F747" s="22" t="inlineStr">
        <is>
          <t>Anh</t>
        </is>
      </c>
      <c r="G747" s="22" t="inlineStr">
        <is>
          <t>POS</t>
        </is>
      </c>
      <c r="H747" s="31" t="n">
        <v>11763.43</v>
      </c>
      <c r="I747" s="31" t="n">
        <v>0</v>
      </c>
      <c r="J747" s="31" t="n">
        <v>11763.43</v>
      </c>
      <c r="K747" s="31" t="n">
        <v>0</v>
      </c>
      <c r="L747" s="32" t="n">
        <v>3</v>
      </c>
      <c r="M747" s="32" t="n">
        <v>24</v>
      </c>
      <c r="N747" s="31" t="n">
        <v>11763.43</v>
      </c>
      <c r="O747" s="31" t="n">
        <v>11763.43</v>
      </c>
      <c r="P747" s="22" t="n">
        <v>0</v>
      </c>
      <c r="Q747" s="22" t="n">
        <v>0</v>
      </c>
      <c r="R747" s="22" t="n">
        <v>0</v>
      </c>
    </row>
    <row r="748">
      <c r="A748" s="22" t="n">
        <v>201705</v>
      </c>
      <c r="B748" s="22" t="inlineStr">
        <is>
          <t>05/2017</t>
        </is>
      </c>
      <c r="C748" s="22" t="n">
        <v>43</v>
      </c>
      <c r="D748" s="22" t="inlineStr">
        <is>
          <t>S43</t>
        </is>
      </c>
      <c r="E748" s="22" t="inlineStr">
        <is>
          <t>Nexa Alaska (S43)</t>
        </is>
      </c>
      <c r="F748" s="22" t="inlineStr">
        <is>
          <t>Mỹ</t>
        </is>
      </c>
      <c r="G748" s="22" t="inlineStr">
        <is>
          <t>POS</t>
        </is>
      </c>
      <c r="H748" s="31" t="n">
        <v>17740.51</v>
      </c>
      <c r="I748" s="31" t="n">
        <v>0</v>
      </c>
      <c r="J748" s="31" t="n">
        <v>17740.51</v>
      </c>
      <c r="K748" s="31" t="n">
        <v>32</v>
      </c>
      <c r="L748" s="32" t="n">
        <v>5</v>
      </c>
      <c r="M748" s="32" t="n">
        <v>52</v>
      </c>
      <c r="N748" s="31" t="n">
        <v>17708.51</v>
      </c>
      <c r="O748" s="31" t="n">
        <v>17740.51</v>
      </c>
      <c r="P748" s="22" t="n">
        <v>0</v>
      </c>
      <c r="Q748" s="22" t="n">
        <v>0</v>
      </c>
      <c r="R748" s="22" t="n">
        <v>0</v>
      </c>
    </row>
    <row r="749">
      <c r="A749" s="22" t="n">
        <v>201705</v>
      </c>
      <c r="B749" s="22" t="inlineStr">
        <is>
          <t>05/2017</t>
        </is>
      </c>
      <c r="C749" s="22" t="n">
        <v>44</v>
      </c>
      <c r="D749" s="22" t="inlineStr">
        <is>
          <t>S44</t>
        </is>
      </c>
      <c r="E749" s="22" t="inlineStr">
        <is>
          <t>Nexa Arkansas (S44)</t>
        </is>
      </c>
      <c r="F749" s="22" t="inlineStr">
        <is>
          <t>Mỹ</t>
        </is>
      </c>
      <c r="G749" s="22" t="inlineStr">
        <is>
          <t>POS</t>
        </is>
      </c>
      <c r="H749" s="31" t="n">
        <v>14080.36</v>
      </c>
      <c r="I749" s="31" t="n">
        <v>0</v>
      </c>
      <c r="J749" s="31" t="n">
        <v>14080.36</v>
      </c>
      <c r="K749" s="31" t="n">
        <v>0</v>
      </c>
      <c r="L749" s="32" t="n">
        <v>7</v>
      </c>
      <c r="M749" s="32" t="n">
        <v>55</v>
      </c>
      <c r="N749" s="31" t="n">
        <v>14080.36</v>
      </c>
      <c r="O749" s="31" t="n">
        <v>14080.36</v>
      </c>
      <c r="P749" s="22" t="n">
        <v>0</v>
      </c>
      <c r="Q749" s="22" t="n">
        <v>0</v>
      </c>
      <c r="R749" s="22" t="n">
        <v>0</v>
      </c>
    </row>
    <row r="750">
      <c r="A750" s="22" t="n">
        <v>201705</v>
      </c>
      <c r="B750" s="22" t="inlineStr">
        <is>
          <t>05/2017</t>
        </is>
      </c>
      <c r="C750" s="22" t="n">
        <v>45</v>
      </c>
      <c r="D750" s="22" t="inlineStr">
        <is>
          <t>S45</t>
        </is>
      </c>
      <c r="E750" s="22" t="inlineStr">
        <is>
          <t>Nexa Connecticut (S45)</t>
        </is>
      </c>
      <c r="F750" s="22" t="inlineStr">
        <is>
          <t>Mỹ</t>
        </is>
      </c>
      <c r="G750" s="22" t="inlineStr">
        <is>
          <t>POS</t>
        </is>
      </c>
      <c r="H750" s="31" t="n">
        <v>15331.69</v>
      </c>
      <c r="I750" s="31" t="n">
        <v>0</v>
      </c>
      <c r="J750" s="31" t="n">
        <v>15331.69</v>
      </c>
      <c r="K750" s="31" t="n">
        <v>0</v>
      </c>
      <c r="L750" s="32" t="n">
        <v>5</v>
      </c>
      <c r="M750" s="32" t="n">
        <v>47</v>
      </c>
      <c r="N750" s="31" t="n">
        <v>15331.69</v>
      </c>
      <c r="O750" s="31" t="n">
        <v>15331.69</v>
      </c>
      <c r="P750" s="22" t="n">
        <v>0</v>
      </c>
      <c r="Q750" s="22" t="n">
        <v>0</v>
      </c>
      <c r="R750" s="22" t="n">
        <v>0</v>
      </c>
    </row>
    <row r="751">
      <c r="A751" s="22" t="n">
        <v>201705</v>
      </c>
      <c r="B751" s="22" t="inlineStr">
        <is>
          <t>05/2017</t>
        </is>
      </c>
      <c r="C751" s="22" t="n">
        <v>47</v>
      </c>
      <c r="D751" s="22" t="inlineStr">
        <is>
          <t>S47</t>
        </is>
      </c>
      <c r="E751" s="22" t="inlineStr">
        <is>
          <t>Nexa Hawaii (S47)</t>
        </is>
      </c>
      <c r="F751" s="22" t="inlineStr">
        <is>
          <t>Mỹ</t>
        </is>
      </c>
      <c r="G751" s="22" t="inlineStr">
        <is>
          <t>POS</t>
        </is>
      </c>
      <c r="H751" s="31" t="n">
        <v>11950.95</v>
      </c>
      <c r="I751" s="31" t="n">
        <v>0</v>
      </c>
      <c r="J751" s="31" t="n">
        <v>11950.95</v>
      </c>
      <c r="K751" s="31" t="n">
        <v>56.99</v>
      </c>
      <c r="L751" s="32" t="n">
        <v>4</v>
      </c>
      <c r="M751" s="32" t="n">
        <v>44</v>
      </c>
      <c r="N751" s="31" t="n">
        <v>11893.96</v>
      </c>
      <c r="O751" s="31" t="n">
        <v>11950.95</v>
      </c>
      <c r="P751" s="22" t="n">
        <v>0</v>
      </c>
      <c r="Q751" s="22" t="n">
        <v>0</v>
      </c>
      <c r="R751" s="22" t="n">
        <v>0</v>
      </c>
    </row>
    <row r="752">
      <c r="A752" s="22" t="n">
        <v>201705</v>
      </c>
      <c r="B752" s="22" t="inlineStr">
        <is>
          <t>05/2017</t>
        </is>
      </c>
      <c r="C752" s="22" t="n">
        <v>48</v>
      </c>
      <c r="D752" s="22" t="inlineStr">
        <is>
          <t>S48</t>
        </is>
      </c>
      <c r="E752" s="22" t="inlineStr">
        <is>
          <t>Nexa Idaho (S48)</t>
        </is>
      </c>
      <c r="F752" s="22" t="inlineStr">
        <is>
          <t>Mỹ</t>
        </is>
      </c>
      <c r="G752" s="22" t="inlineStr">
        <is>
          <t>POS</t>
        </is>
      </c>
      <c r="H752" s="31" t="n">
        <v>12406.75</v>
      </c>
      <c r="I752" s="31" t="n">
        <v>0</v>
      </c>
      <c r="J752" s="31" t="n">
        <v>12406.75</v>
      </c>
      <c r="K752" s="31" t="n">
        <v>0</v>
      </c>
      <c r="L752" s="32" t="n">
        <v>4</v>
      </c>
      <c r="M752" s="32" t="n">
        <v>25</v>
      </c>
      <c r="N752" s="31" t="n">
        <v>12406.75</v>
      </c>
      <c r="O752" s="31" t="n">
        <v>12406.75</v>
      </c>
      <c r="P752" s="22" t="n">
        <v>0</v>
      </c>
      <c r="Q752" s="22" t="n">
        <v>0</v>
      </c>
      <c r="R752" s="22" t="n">
        <v>0</v>
      </c>
    </row>
    <row r="753">
      <c r="A753" s="22" t="n">
        <v>201705</v>
      </c>
      <c r="B753" s="22" t="inlineStr">
        <is>
          <t>05/2017</t>
        </is>
      </c>
      <c r="C753" s="22" t="n">
        <v>50</v>
      </c>
      <c r="D753" s="22" t="inlineStr">
        <is>
          <t>S50</t>
        </is>
      </c>
      <c r="E753" s="22" t="inlineStr">
        <is>
          <t>Nexa Kansas (S50)</t>
        </is>
      </c>
      <c r="F753" s="22" t="inlineStr">
        <is>
          <t>Mỹ</t>
        </is>
      </c>
      <c r="G753" s="22" t="inlineStr">
        <is>
          <t>POS</t>
        </is>
      </c>
      <c r="H753" s="31" t="n">
        <v>37399.29</v>
      </c>
      <c r="I753" s="31" t="n">
        <v>0</v>
      </c>
      <c r="J753" s="31" t="n">
        <v>37399.29</v>
      </c>
      <c r="K753" s="31" t="n">
        <v>173.64</v>
      </c>
      <c r="L753" s="32" t="n">
        <v>11</v>
      </c>
      <c r="M753" s="32" t="n">
        <v>109</v>
      </c>
      <c r="N753" s="31" t="n">
        <v>37225.65</v>
      </c>
      <c r="O753" s="31" t="n">
        <v>37399.29</v>
      </c>
      <c r="P753" s="22" t="n">
        <v>0</v>
      </c>
      <c r="Q753" s="22" t="n">
        <v>0</v>
      </c>
      <c r="R753" s="22" t="n">
        <v>0</v>
      </c>
    </row>
    <row r="754">
      <c r="A754" s="22" t="n">
        <v>201705</v>
      </c>
      <c r="B754" s="22" t="inlineStr">
        <is>
          <t>05/2017</t>
        </is>
      </c>
      <c r="C754" s="22" t="n">
        <v>51</v>
      </c>
      <c r="D754" s="22" t="inlineStr">
        <is>
          <t>S51</t>
        </is>
      </c>
      <c r="E754" s="22" t="inlineStr">
        <is>
          <t>Nexa Maine (S51)</t>
        </is>
      </c>
      <c r="F754" s="22" t="inlineStr">
        <is>
          <t>Mỹ</t>
        </is>
      </c>
      <c r="G754" s="22" t="inlineStr">
        <is>
          <t>POS</t>
        </is>
      </c>
      <c r="H754" s="31" t="n">
        <v>12290.88</v>
      </c>
      <c r="I754" s="31" t="n">
        <v>0</v>
      </c>
      <c r="J754" s="31" t="n">
        <v>12290.88</v>
      </c>
      <c r="K754" s="31" t="n">
        <v>869</v>
      </c>
      <c r="L754" s="32" t="n">
        <v>4</v>
      </c>
      <c r="M754" s="32" t="n">
        <v>35</v>
      </c>
      <c r="N754" s="31" t="n">
        <v>11421.88</v>
      </c>
      <c r="O754" s="31" t="n">
        <v>12290.88</v>
      </c>
      <c r="P754" s="22" t="n">
        <v>0</v>
      </c>
      <c r="Q754" s="22" t="n">
        <v>0</v>
      </c>
      <c r="R754" s="22" t="n">
        <v>0</v>
      </c>
    </row>
    <row r="755">
      <c r="A755" s="22" t="n">
        <v>201705</v>
      </c>
      <c r="B755" s="22" t="inlineStr">
        <is>
          <t>05/2017</t>
        </is>
      </c>
      <c r="C755" s="22" t="n">
        <v>53</v>
      </c>
      <c r="D755" s="22" t="inlineStr">
        <is>
          <t>S53</t>
        </is>
      </c>
      <c r="E755" s="22" t="inlineStr">
        <is>
          <t>Nexa Montana (S53)</t>
        </is>
      </c>
      <c r="F755" s="22" t="inlineStr">
        <is>
          <t>Mỹ</t>
        </is>
      </c>
      <c r="G755" s="22" t="inlineStr">
        <is>
          <t>POS</t>
        </is>
      </c>
      <c r="H755" s="31" t="n">
        <v>4291.91</v>
      </c>
      <c r="I755" s="31" t="n">
        <v>0</v>
      </c>
      <c r="J755" s="31" t="n">
        <v>4291.91</v>
      </c>
      <c r="K755" s="31" t="n">
        <v>0</v>
      </c>
      <c r="L755" s="32" t="n">
        <v>1</v>
      </c>
      <c r="M755" s="32" t="n">
        <v>7</v>
      </c>
      <c r="N755" s="31" t="n">
        <v>4291.91</v>
      </c>
      <c r="O755" s="31" t="n">
        <v>4291.91</v>
      </c>
      <c r="P755" s="22" t="n">
        <v>1</v>
      </c>
      <c r="Q755" s="22" t="n">
        <v>0</v>
      </c>
      <c r="R755" s="22" t="n">
        <v>0</v>
      </c>
    </row>
    <row r="756">
      <c r="A756" s="22" t="n">
        <v>201705</v>
      </c>
      <c r="B756" s="22" t="inlineStr">
        <is>
          <t>05/2017</t>
        </is>
      </c>
      <c r="C756" s="22" t="n">
        <v>54</v>
      </c>
      <c r="D756" s="22" t="inlineStr">
        <is>
          <t>S54</t>
        </is>
      </c>
      <c r="E756" s="22" t="inlineStr">
        <is>
          <t>Nexa Nebraska (S54)</t>
        </is>
      </c>
      <c r="F756" s="22" t="inlineStr">
        <is>
          <t>Mỹ</t>
        </is>
      </c>
      <c r="G756" s="22" t="inlineStr">
        <is>
          <t>POS</t>
        </is>
      </c>
      <c r="H756" s="31" t="n">
        <v>15503.38</v>
      </c>
      <c r="I756" s="31" t="n">
        <v>0</v>
      </c>
      <c r="J756" s="31" t="n">
        <v>15503.38</v>
      </c>
      <c r="K756" s="31" t="n">
        <v>0</v>
      </c>
      <c r="L756" s="32" t="n">
        <v>7</v>
      </c>
      <c r="M756" s="32" t="n">
        <v>54</v>
      </c>
      <c r="N756" s="31" t="n">
        <v>15503.38</v>
      </c>
      <c r="O756" s="31" t="n">
        <v>15503.38</v>
      </c>
      <c r="P756" s="22" t="n">
        <v>0</v>
      </c>
      <c r="Q756" s="22" t="n">
        <v>0</v>
      </c>
      <c r="R756" s="22" t="n">
        <v>0</v>
      </c>
    </row>
    <row r="757">
      <c r="A757" s="22" t="n">
        <v>201705</v>
      </c>
      <c r="B757" s="22" t="inlineStr">
        <is>
          <t>05/2017</t>
        </is>
      </c>
      <c r="C757" s="22" t="n">
        <v>55</v>
      </c>
      <c r="D757" s="22" t="inlineStr">
        <is>
          <t>S55</t>
        </is>
      </c>
      <c r="E757" s="22" t="inlineStr">
        <is>
          <t>Nexa Nevada (S55)</t>
        </is>
      </c>
      <c r="F757" s="22" t="inlineStr">
        <is>
          <t>Mỹ</t>
        </is>
      </c>
      <c r="G757" s="22" t="inlineStr">
        <is>
          <t>POS</t>
        </is>
      </c>
      <c r="H757" s="31" t="n">
        <v>26869.47</v>
      </c>
      <c r="I757" s="31" t="n">
        <v>0</v>
      </c>
      <c r="J757" s="31" t="n">
        <v>26869.47</v>
      </c>
      <c r="K757" s="31" t="n">
        <v>3857.85</v>
      </c>
      <c r="L757" s="32" t="n">
        <v>8</v>
      </c>
      <c r="M757" s="32" t="n">
        <v>59</v>
      </c>
      <c r="N757" s="31" t="n">
        <v>23011.62</v>
      </c>
      <c r="O757" s="31" t="n">
        <v>26869.47</v>
      </c>
      <c r="P757" s="22" t="n">
        <v>0</v>
      </c>
      <c r="Q757" s="22" t="n">
        <v>0</v>
      </c>
      <c r="R757" s="22" t="n">
        <v>0</v>
      </c>
    </row>
    <row r="758">
      <c r="A758" s="22" t="n">
        <v>201705</v>
      </c>
      <c r="B758" s="22" t="inlineStr">
        <is>
          <t>05/2017</t>
        </is>
      </c>
      <c r="C758" s="22" t="n">
        <v>56</v>
      </c>
      <c r="D758" s="22" t="inlineStr">
        <is>
          <t>S56</t>
        </is>
      </c>
      <c r="E758" s="22" t="inlineStr">
        <is>
          <t>Nexa New Hampshire (S56)</t>
        </is>
      </c>
      <c r="F758" s="22" t="inlineStr">
        <is>
          <t>Mỹ</t>
        </is>
      </c>
      <c r="G758" s="22" t="inlineStr">
        <is>
          <t>POS</t>
        </is>
      </c>
      <c r="H758" s="31" t="n">
        <v>297.44</v>
      </c>
      <c r="I758" s="31" t="n">
        <v>0</v>
      </c>
      <c r="J758" s="31" t="n">
        <v>297.44</v>
      </c>
      <c r="K758" s="31" t="n">
        <v>0</v>
      </c>
      <c r="L758" s="32" t="n">
        <v>1</v>
      </c>
      <c r="M758" s="32" t="n">
        <v>7</v>
      </c>
      <c r="N758" s="31" t="n">
        <v>297.44</v>
      </c>
      <c r="O758" s="31" t="n">
        <v>297.44</v>
      </c>
      <c r="P758" s="22" t="n">
        <v>0</v>
      </c>
      <c r="Q758" s="22" t="n">
        <v>0</v>
      </c>
      <c r="R758" s="22" t="n">
        <v>0</v>
      </c>
    </row>
    <row r="759">
      <c r="A759" s="22" t="n">
        <v>201705</v>
      </c>
      <c r="B759" s="22" t="inlineStr">
        <is>
          <t>05/2017</t>
        </is>
      </c>
      <c r="C759" s="22" t="n">
        <v>57</v>
      </c>
      <c r="D759" s="22" t="inlineStr">
        <is>
          <t>S57</t>
        </is>
      </c>
      <c r="E759" s="22" t="inlineStr">
        <is>
          <t>Nexa New Mexico (S57)</t>
        </is>
      </c>
      <c r="F759" s="22" t="inlineStr">
        <is>
          <t>Mỹ</t>
        </is>
      </c>
      <c r="G759" s="22" t="inlineStr">
        <is>
          <t>POS</t>
        </is>
      </c>
      <c r="H759" s="31" t="n">
        <v>16383.58</v>
      </c>
      <c r="I759" s="31" t="n">
        <v>0</v>
      </c>
      <c r="J759" s="31" t="n">
        <v>16383.58</v>
      </c>
      <c r="K759" s="31" t="n">
        <v>0</v>
      </c>
      <c r="L759" s="32" t="n">
        <v>6</v>
      </c>
      <c r="M759" s="32" t="n">
        <v>64</v>
      </c>
      <c r="N759" s="31" t="n">
        <v>16383.58</v>
      </c>
      <c r="O759" s="31" t="n">
        <v>16383.58</v>
      </c>
      <c r="P759" s="22" t="n">
        <v>0</v>
      </c>
      <c r="Q759" s="22" t="n">
        <v>0</v>
      </c>
      <c r="R759" s="22" t="n">
        <v>0</v>
      </c>
    </row>
    <row r="760">
      <c r="A760" s="22" t="n">
        <v>201705</v>
      </c>
      <c r="B760" s="22" t="inlineStr">
        <is>
          <t>05/2017</t>
        </is>
      </c>
      <c r="C760" s="22" t="n">
        <v>59</v>
      </c>
      <c r="D760" s="22" t="inlineStr">
        <is>
          <t>S59</t>
        </is>
      </c>
      <c r="E760" s="22" t="inlineStr">
        <is>
          <t>Nexa Oregon (S59)</t>
        </is>
      </c>
      <c r="F760" s="22" t="inlineStr">
        <is>
          <t>Mỹ</t>
        </is>
      </c>
      <c r="G760" s="22" t="inlineStr">
        <is>
          <t>POS</t>
        </is>
      </c>
      <c r="H760" s="31" t="n">
        <v>6499.99</v>
      </c>
      <c r="I760" s="31" t="n">
        <v>0</v>
      </c>
      <c r="J760" s="31" t="n">
        <v>6499.99</v>
      </c>
      <c r="K760" s="31" t="n">
        <v>0</v>
      </c>
      <c r="L760" s="32" t="n">
        <v>3</v>
      </c>
      <c r="M760" s="32" t="n">
        <v>20</v>
      </c>
      <c r="N760" s="31" t="n">
        <v>6499.99</v>
      </c>
      <c r="O760" s="31" t="n">
        <v>6499.99</v>
      </c>
      <c r="P760" s="22" t="n">
        <v>0</v>
      </c>
      <c r="Q760" s="22" t="n">
        <v>0</v>
      </c>
      <c r="R760" s="22" t="n">
        <v>0</v>
      </c>
    </row>
    <row r="761">
      <c r="A761" s="22" t="n">
        <v>201705</v>
      </c>
      <c r="B761" s="22" t="inlineStr">
        <is>
          <t>05/2017</t>
        </is>
      </c>
      <c r="C761" s="22" t="n">
        <v>61</v>
      </c>
      <c r="D761" s="22" t="inlineStr">
        <is>
          <t>S61</t>
        </is>
      </c>
      <c r="E761" s="22" t="inlineStr">
        <is>
          <t>Nexa South Carolina (S61)</t>
        </is>
      </c>
      <c r="F761" s="22" t="inlineStr">
        <is>
          <t>Mỹ</t>
        </is>
      </c>
      <c r="G761" s="22" t="inlineStr">
        <is>
          <t>POS</t>
        </is>
      </c>
      <c r="H761" s="31" t="n">
        <v>8826.780000000001</v>
      </c>
      <c r="I761" s="31" t="n">
        <v>0</v>
      </c>
      <c r="J761" s="31" t="n">
        <v>8826.780000000001</v>
      </c>
      <c r="K761" s="31" t="n">
        <v>0</v>
      </c>
      <c r="L761" s="32" t="n">
        <v>5</v>
      </c>
      <c r="M761" s="32" t="n">
        <v>35</v>
      </c>
      <c r="N761" s="31" t="n">
        <v>8826.780000000001</v>
      </c>
      <c r="O761" s="31" t="n">
        <v>8826.780000000001</v>
      </c>
      <c r="P761" s="22" t="n">
        <v>1</v>
      </c>
      <c r="Q761" s="22" t="n">
        <v>0</v>
      </c>
      <c r="R761" s="22" t="n">
        <v>0</v>
      </c>
    </row>
    <row r="762">
      <c r="A762" s="22" t="n">
        <v>201705</v>
      </c>
      <c r="B762" s="22" t="inlineStr">
        <is>
          <t>05/2017</t>
        </is>
      </c>
      <c r="C762" s="22" t="n">
        <v>63</v>
      </c>
      <c r="D762" s="22" t="inlineStr">
        <is>
          <t>S63</t>
        </is>
      </c>
      <c r="E762" s="22" t="inlineStr">
        <is>
          <t>Nexa Utah (S63)</t>
        </is>
      </c>
      <c r="F762" s="22" t="inlineStr">
        <is>
          <t>Mỹ</t>
        </is>
      </c>
      <c r="G762" s="22" t="inlineStr">
        <is>
          <t>POS</t>
        </is>
      </c>
      <c r="H762" s="31" t="n">
        <v>7499.98</v>
      </c>
      <c r="I762" s="31" t="n">
        <v>0</v>
      </c>
      <c r="J762" s="31" t="n">
        <v>7499.98</v>
      </c>
      <c r="K762" s="31" t="n">
        <v>181</v>
      </c>
      <c r="L762" s="32" t="n">
        <v>7</v>
      </c>
      <c r="M762" s="32" t="n">
        <v>28</v>
      </c>
      <c r="N762" s="31" t="n">
        <v>7318.98</v>
      </c>
      <c r="O762" s="31" t="n">
        <v>7499.98</v>
      </c>
      <c r="P762" s="22" t="n">
        <v>1</v>
      </c>
      <c r="Q762" s="22" t="n">
        <v>0</v>
      </c>
      <c r="R762" s="22" t="n">
        <v>0</v>
      </c>
    </row>
    <row r="763">
      <c r="A763" s="22" t="n">
        <v>201705</v>
      </c>
      <c r="B763" s="22" t="inlineStr">
        <is>
          <t>05/2017</t>
        </is>
      </c>
      <c r="C763" s="22" t="n">
        <v>64</v>
      </c>
      <c r="D763" s="22" t="inlineStr">
        <is>
          <t>S64</t>
        </is>
      </c>
      <c r="E763" s="22" t="inlineStr">
        <is>
          <t>Nexa Washington DC (S64)</t>
        </is>
      </c>
      <c r="F763" s="22" t="inlineStr">
        <is>
          <t>Mỹ</t>
        </is>
      </c>
      <c r="G763" s="22" t="inlineStr">
        <is>
          <t>POS</t>
        </is>
      </c>
      <c r="H763" s="31" t="n">
        <v>9328.5</v>
      </c>
      <c r="I763" s="31" t="n">
        <v>0</v>
      </c>
      <c r="J763" s="31" t="n">
        <v>9328.5</v>
      </c>
      <c r="K763" s="31" t="n">
        <v>299.99</v>
      </c>
      <c r="L763" s="32" t="n">
        <v>8</v>
      </c>
      <c r="M763" s="32" t="n">
        <v>37</v>
      </c>
      <c r="N763" s="31" t="n">
        <v>9028.51</v>
      </c>
      <c r="O763" s="31" t="n">
        <v>9328.5</v>
      </c>
      <c r="P763" s="22" t="n">
        <v>0</v>
      </c>
      <c r="Q763" s="22" t="n">
        <v>0</v>
      </c>
      <c r="R763" s="22" t="n">
        <v>0</v>
      </c>
    </row>
    <row r="764">
      <c r="A764" s="22" t="n">
        <v>201705</v>
      </c>
      <c r="B764" s="22" t="inlineStr">
        <is>
          <t>05/2017</t>
        </is>
      </c>
      <c r="C764" s="22" t="n">
        <v>65</v>
      </c>
      <c r="D764" s="22" t="inlineStr">
        <is>
          <t>S65</t>
        </is>
      </c>
      <c r="E764" s="22" t="inlineStr">
        <is>
          <t>Nexa West Virginia (S65)</t>
        </is>
      </c>
      <c r="F764" s="22" t="inlineStr">
        <is>
          <t>Mỹ</t>
        </is>
      </c>
      <c r="G764" s="22" t="inlineStr">
        <is>
          <t>POS</t>
        </is>
      </c>
      <c r="H764" s="31" t="n">
        <v>26297.51</v>
      </c>
      <c r="I764" s="31" t="n">
        <v>0</v>
      </c>
      <c r="J764" s="31" t="n">
        <v>26297.51</v>
      </c>
      <c r="K764" s="31" t="n">
        <v>0</v>
      </c>
      <c r="L764" s="32" t="n">
        <v>5</v>
      </c>
      <c r="M764" s="32" t="n">
        <v>46</v>
      </c>
      <c r="N764" s="31" t="n">
        <v>26297.51</v>
      </c>
      <c r="O764" s="31" t="n">
        <v>26297.51</v>
      </c>
      <c r="P764" s="22" t="n">
        <v>0</v>
      </c>
      <c r="Q764" s="22" t="n">
        <v>0</v>
      </c>
      <c r="R764" s="22" t="n">
        <v>0</v>
      </c>
    </row>
    <row r="765">
      <c r="A765" s="22" t="n">
        <v>201705</v>
      </c>
      <c r="B765" s="22" t="inlineStr">
        <is>
          <t>05/2017</t>
        </is>
      </c>
      <c r="C765" s="22" t="n">
        <v>66</v>
      </c>
      <c r="D765" s="22" t="inlineStr">
        <is>
          <t>S66</t>
        </is>
      </c>
      <c r="E765" s="22" t="inlineStr">
        <is>
          <t>Nexa Wyoming (S66)</t>
        </is>
      </c>
      <c r="F765" s="22" t="inlineStr">
        <is>
          <t>Mỹ</t>
        </is>
      </c>
      <c r="G765" s="22" t="inlineStr">
        <is>
          <t>POS</t>
        </is>
      </c>
      <c r="H765" s="31" t="n">
        <v>10729.09</v>
      </c>
      <c r="I765" s="31" t="n">
        <v>0</v>
      </c>
      <c r="J765" s="31" t="n">
        <v>10729.09</v>
      </c>
      <c r="K765" s="31" t="n">
        <v>436.98</v>
      </c>
      <c r="L765" s="32" t="n">
        <v>10</v>
      </c>
      <c r="M765" s="32" t="n">
        <v>58</v>
      </c>
      <c r="N765" s="31" t="n">
        <v>10292.11</v>
      </c>
      <c r="O765" s="31" t="n">
        <v>10729.09</v>
      </c>
      <c r="P765" s="22" t="n">
        <v>0</v>
      </c>
      <c r="Q765" s="22" t="n">
        <v>0</v>
      </c>
      <c r="R765" s="22" t="n">
        <v>0</v>
      </c>
    </row>
    <row r="766">
      <c r="A766" s="22" t="n">
        <v>201706</v>
      </c>
      <c r="B766" s="22" t="inlineStr">
        <is>
          <t>06/2017</t>
        </is>
      </c>
      <c r="C766" s="22" t="n">
        <v>0</v>
      </c>
      <c r="D766" s="22" t="inlineStr">
        <is>
          <t>ONL</t>
        </is>
      </c>
      <c r="E766" s="22" t="inlineStr">
        <is>
          <t>Nexa Online (website/app)</t>
        </is>
      </c>
      <c r="F766" s="22" t="inlineStr">
        <is>
          <t>Online</t>
        </is>
      </c>
      <c r="G766" s="22" t="inlineStr">
        <is>
          <t>ONLINE</t>
        </is>
      </c>
      <c r="H766" s="31" t="n">
        <v>92784.75999999999</v>
      </c>
      <c r="I766" s="31" t="n">
        <v>2329.79</v>
      </c>
      <c r="J766" s="31" t="n">
        <v>90454.97</v>
      </c>
      <c r="K766" s="31" t="n">
        <v>268</v>
      </c>
      <c r="L766" s="32" t="n">
        <v>44</v>
      </c>
      <c r="M766" s="32" t="n">
        <v>314</v>
      </c>
      <c r="N766" s="31" t="n">
        <v>98245.39999999999</v>
      </c>
      <c r="O766" s="31" t="n">
        <v>98513.39999999999</v>
      </c>
      <c r="P766" s="22" t="n">
        <v>1</v>
      </c>
      <c r="Q766" s="22" t="n">
        <v>0</v>
      </c>
      <c r="R766" s="22" t="n">
        <v>0</v>
      </c>
    </row>
    <row r="767">
      <c r="A767" s="22" t="n">
        <v>201706</v>
      </c>
      <c r="B767" s="22" t="inlineStr">
        <is>
          <t>06/2017</t>
        </is>
      </c>
      <c r="C767" s="22" t="n">
        <v>1</v>
      </c>
      <c r="D767" s="22" t="inlineStr">
        <is>
          <t>S01</t>
        </is>
      </c>
      <c r="E767" s="22" t="inlineStr">
        <is>
          <t>Nexa Australian Capital Territory (S01)</t>
        </is>
      </c>
      <c r="F767" s="22" t="inlineStr">
        <is>
          <t>Úc</t>
        </is>
      </c>
      <c r="G767" s="22" t="inlineStr">
        <is>
          <t>POS</t>
        </is>
      </c>
      <c r="H767" s="31" t="n">
        <v>0</v>
      </c>
      <c r="I767" s="31" t="n">
        <v>0</v>
      </c>
      <c r="J767" s="31" t="n">
        <v>0</v>
      </c>
      <c r="K767" s="31" t="n">
        <v>115</v>
      </c>
      <c r="L767" s="32" t="n">
        <v>0</v>
      </c>
      <c r="M767" s="32" t="n">
        <v>0</v>
      </c>
      <c r="N767" s="31" t="n">
        <v>-115</v>
      </c>
      <c r="O767" s="31" t="n">
        <v>0</v>
      </c>
      <c r="P767" s="22" t="n">
        <v>0</v>
      </c>
      <c r="Q767" s="22" t="n">
        <v>0</v>
      </c>
      <c r="R767" s="22" t="n">
        <v>0</v>
      </c>
    </row>
    <row r="768">
      <c r="A768" s="22" t="n">
        <v>201706</v>
      </c>
      <c r="B768" s="22" t="inlineStr">
        <is>
          <t>06/2017</t>
        </is>
      </c>
      <c r="C768" s="22" t="n">
        <v>4</v>
      </c>
      <c r="D768" s="22" t="inlineStr">
        <is>
          <t>S04</t>
        </is>
      </c>
      <c r="E768" s="22" t="inlineStr">
        <is>
          <t>Nexa Tasmania (S04)</t>
        </is>
      </c>
      <c r="F768" s="22" t="inlineStr">
        <is>
          <t>Úc</t>
        </is>
      </c>
      <c r="G768" s="22" t="inlineStr">
        <is>
          <t>POS</t>
        </is>
      </c>
      <c r="H768" s="31" t="n">
        <v>289.99</v>
      </c>
      <c r="I768" s="31" t="n">
        <v>0</v>
      </c>
      <c r="J768" s="31" t="n">
        <v>289.99</v>
      </c>
      <c r="K768" s="31" t="n">
        <v>518.99</v>
      </c>
      <c r="L768" s="32" t="n">
        <v>1</v>
      </c>
      <c r="M768" s="32" t="n">
        <v>1</v>
      </c>
      <c r="N768" s="31" t="n">
        <v>-229</v>
      </c>
      <c r="O768" s="31" t="n">
        <v>289.99</v>
      </c>
      <c r="P768" s="22" t="n">
        <v>0</v>
      </c>
      <c r="Q768" s="22" t="n">
        <v>0</v>
      </c>
      <c r="R768" s="22" t="n">
        <v>0</v>
      </c>
    </row>
    <row r="769">
      <c r="A769" s="22" t="n">
        <v>201706</v>
      </c>
      <c r="B769" s="22" t="inlineStr">
        <is>
          <t>06/2017</t>
        </is>
      </c>
      <c r="C769" s="22" t="n">
        <v>5</v>
      </c>
      <c r="D769" s="22" t="inlineStr">
        <is>
          <t>S05</t>
        </is>
      </c>
      <c r="E769" s="22" t="inlineStr">
        <is>
          <t>Nexa Victoria (S05)</t>
        </is>
      </c>
      <c r="F769" s="22" t="inlineStr">
        <is>
          <t>Úc</t>
        </is>
      </c>
      <c r="G769" s="22" t="inlineStr">
        <is>
          <t>POS</t>
        </is>
      </c>
      <c r="H769" s="31" t="n">
        <v>218.97</v>
      </c>
      <c r="I769" s="31" t="n">
        <v>0</v>
      </c>
      <c r="J769" s="31" t="n">
        <v>218.97</v>
      </c>
      <c r="K769" s="31" t="n">
        <v>0</v>
      </c>
      <c r="L769" s="32" t="n">
        <v>2</v>
      </c>
      <c r="M769" s="32" t="n">
        <v>6</v>
      </c>
      <c r="N769" s="31" t="n">
        <v>218.97</v>
      </c>
      <c r="O769" s="31" t="n">
        <v>218.97</v>
      </c>
      <c r="P769" s="22" t="n">
        <v>0</v>
      </c>
      <c r="Q769" s="22" t="n">
        <v>0</v>
      </c>
      <c r="R769" s="22" t="n">
        <v>0</v>
      </c>
    </row>
    <row r="770">
      <c r="A770" s="22" t="n">
        <v>201706</v>
      </c>
      <c r="B770" s="22" t="inlineStr">
        <is>
          <t>06/2017</t>
        </is>
      </c>
      <c r="C770" s="22" t="n">
        <v>6</v>
      </c>
      <c r="D770" s="22" t="inlineStr">
        <is>
          <t>S06</t>
        </is>
      </c>
      <c r="E770" s="22" t="inlineStr">
        <is>
          <t>Nexa Western Australia (S06)</t>
        </is>
      </c>
      <c r="F770" s="22" t="inlineStr">
        <is>
          <t>Úc</t>
        </is>
      </c>
      <c r="G770" s="22" t="inlineStr">
        <is>
          <t>POS</t>
        </is>
      </c>
      <c r="H770" s="31" t="n">
        <v>10770.24</v>
      </c>
      <c r="I770" s="31" t="n">
        <v>0</v>
      </c>
      <c r="J770" s="31" t="n">
        <v>10770.24</v>
      </c>
      <c r="K770" s="31" t="n">
        <v>0</v>
      </c>
      <c r="L770" s="32" t="n">
        <v>4</v>
      </c>
      <c r="M770" s="32" t="n">
        <v>33</v>
      </c>
      <c r="N770" s="31" t="n">
        <v>10770.24</v>
      </c>
      <c r="O770" s="31" t="n">
        <v>10770.24</v>
      </c>
      <c r="P770" s="22" t="n">
        <v>0</v>
      </c>
      <c r="Q770" s="22" t="n">
        <v>0</v>
      </c>
      <c r="R770" s="22" t="n">
        <v>0</v>
      </c>
    </row>
    <row r="771">
      <c r="A771" s="22" t="n">
        <v>201706</v>
      </c>
      <c r="B771" s="22" t="inlineStr">
        <is>
          <t>06/2017</t>
        </is>
      </c>
      <c r="C771" s="22" t="n">
        <v>8</v>
      </c>
      <c r="D771" s="22" t="inlineStr">
        <is>
          <t>S08</t>
        </is>
      </c>
      <c r="E771" s="22" t="inlineStr">
        <is>
          <t>Nexa Newfoundland and Labrador (S08)</t>
        </is>
      </c>
      <c r="F771" s="22" t="inlineStr">
        <is>
          <t>Canada</t>
        </is>
      </c>
      <c r="G771" s="22" t="inlineStr">
        <is>
          <t>POS</t>
        </is>
      </c>
      <c r="H771" s="31" t="n">
        <v>15703.31</v>
      </c>
      <c r="I771" s="31" t="n">
        <v>0</v>
      </c>
      <c r="J771" s="31" t="n">
        <v>15703.31</v>
      </c>
      <c r="K771" s="31" t="n">
        <v>35.99</v>
      </c>
      <c r="L771" s="32" t="n">
        <v>7</v>
      </c>
      <c r="M771" s="32" t="n">
        <v>49</v>
      </c>
      <c r="N771" s="31" t="n">
        <v>15667.32</v>
      </c>
      <c r="O771" s="31" t="n">
        <v>15703.31</v>
      </c>
      <c r="P771" s="22" t="n">
        <v>0</v>
      </c>
      <c r="Q771" s="22" t="n">
        <v>0</v>
      </c>
      <c r="R771" s="22" t="n">
        <v>0</v>
      </c>
    </row>
    <row r="772">
      <c r="A772" s="22" t="n">
        <v>201706</v>
      </c>
      <c r="B772" s="22" t="inlineStr">
        <is>
          <t>06/2017</t>
        </is>
      </c>
      <c r="C772" s="22" t="n">
        <v>9</v>
      </c>
      <c r="D772" s="22" t="inlineStr">
        <is>
          <t>S09</t>
        </is>
      </c>
      <c r="E772" s="22" t="inlineStr">
        <is>
          <t>Nexa Northwest Territories (S09)</t>
        </is>
      </c>
      <c r="F772" s="22" t="inlineStr">
        <is>
          <t>Canada</t>
        </is>
      </c>
      <c r="G772" s="22" t="inlineStr">
        <is>
          <t>POS</t>
        </is>
      </c>
      <c r="H772" s="31" t="n">
        <v>5803.45</v>
      </c>
      <c r="I772" s="31" t="n">
        <v>0</v>
      </c>
      <c r="J772" s="31" t="n">
        <v>5803.45</v>
      </c>
      <c r="K772" s="31" t="n">
        <v>0</v>
      </c>
      <c r="L772" s="32" t="n">
        <v>3</v>
      </c>
      <c r="M772" s="32" t="n">
        <v>26</v>
      </c>
      <c r="N772" s="31" t="n">
        <v>5803.45</v>
      </c>
      <c r="O772" s="31" t="n">
        <v>5803.45</v>
      </c>
      <c r="P772" s="22" t="n">
        <v>1</v>
      </c>
      <c r="Q772" s="22" t="n">
        <v>0</v>
      </c>
      <c r="R772" s="22" t="n">
        <v>0</v>
      </c>
    </row>
    <row r="773">
      <c r="A773" s="22" t="n">
        <v>201706</v>
      </c>
      <c r="B773" s="22" t="inlineStr">
        <is>
          <t>06/2017</t>
        </is>
      </c>
      <c r="C773" s="22" t="n">
        <v>10</v>
      </c>
      <c r="D773" s="22" t="inlineStr">
        <is>
          <t>S10</t>
        </is>
      </c>
      <c r="E773" s="22" t="inlineStr">
        <is>
          <t>Nexa Nunavut (S10)</t>
        </is>
      </c>
      <c r="F773" s="22" t="inlineStr">
        <is>
          <t>Canada</t>
        </is>
      </c>
      <c r="G773" s="22" t="inlineStr">
        <is>
          <t>POS</t>
        </is>
      </c>
      <c r="H773" s="31" t="n">
        <v>34969.02</v>
      </c>
      <c r="I773" s="31" t="n">
        <v>0</v>
      </c>
      <c r="J773" s="31" t="n">
        <v>34969.02</v>
      </c>
      <c r="K773" s="31" t="n">
        <v>5394</v>
      </c>
      <c r="L773" s="32" t="n">
        <v>8</v>
      </c>
      <c r="M773" s="32" t="n">
        <v>84</v>
      </c>
      <c r="N773" s="31" t="n">
        <v>29575.02</v>
      </c>
      <c r="O773" s="31" t="n">
        <v>34969.02</v>
      </c>
      <c r="P773" s="22" t="n">
        <v>1</v>
      </c>
      <c r="Q773" s="22" t="n">
        <v>0</v>
      </c>
      <c r="R773" s="22" t="n">
        <v>0</v>
      </c>
    </row>
    <row r="774">
      <c r="A774" s="22" t="n">
        <v>201706</v>
      </c>
      <c r="B774" s="22" t="inlineStr">
        <is>
          <t>06/2017</t>
        </is>
      </c>
      <c r="C774" s="22" t="n">
        <v>13</v>
      </c>
      <c r="D774" s="22" t="inlineStr">
        <is>
          <t>S13</t>
        </is>
      </c>
      <c r="E774" s="22" t="inlineStr">
        <is>
          <t>Nexa Corse (S13)</t>
        </is>
      </c>
      <c r="F774" s="22" t="inlineStr">
        <is>
          <t>Pháp</t>
        </is>
      </c>
      <c r="G774" s="22" t="inlineStr">
        <is>
          <t>POS</t>
        </is>
      </c>
      <c r="H774" s="31" t="n">
        <v>1567</v>
      </c>
      <c r="I774" s="31" t="n">
        <v>0</v>
      </c>
      <c r="J774" s="31" t="n">
        <v>1567</v>
      </c>
      <c r="K774" s="31" t="n">
        <v>0</v>
      </c>
      <c r="L774" s="32" t="n">
        <v>1</v>
      </c>
      <c r="M774" s="32" t="n">
        <v>7</v>
      </c>
      <c r="N774" s="31" t="n">
        <v>1567</v>
      </c>
      <c r="O774" s="31" t="n">
        <v>1567</v>
      </c>
      <c r="P774" s="22" t="n">
        <v>0</v>
      </c>
      <c r="Q774" s="22" t="n">
        <v>0</v>
      </c>
      <c r="R774" s="22" t="n">
        <v>0</v>
      </c>
    </row>
    <row r="775">
      <c r="A775" s="22" t="n">
        <v>201706</v>
      </c>
      <c r="B775" s="22" t="inlineStr">
        <is>
          <t>06/2017</t>
        </is>
      </c>
      <c r="C775" s="22" t="n">
        <v>15</v>
      </c>
      <c r="D775" s="22" t="inlineStr">
        <is>
          <t>S15</t>
        </is>
      </c>
      <c r="E775" s="22" t="inlineStr">
        <is>
          <t>Nexa La Réunion (S15)</t>
        </is>
      </c>
      <c r="F775" s="22" t="inlineStr">
        <is>
          <t>Pháp</t>
        </is>
      </c>
      <c r="G775" s="22" t="inlineStr">
        <is>
          <t>POS</t>
        </is>
      </c>
      <c r="H775" s="31" t="n">
        <v>1516.26</v>
      </c>
      <c r="I775" s="31" t="n">
        <v>0</v>
      </c>
      <c r="J775" s="31" t="n">
        <v>1516.26</v>
      </c>
      <c r="K775" s="31" t="n">
        <v>0</v>
      </c>
      <c r="L775" s="32" t="n">
        <v>2</v>
      </c>
      <c r="M775" s="32" t="n">
        <v>17</v>
      </c>
      <c r="N775" s="31" t="n">
        <v>1516.26</v>
      </c>
      <c r="O775" s="31" t="n">
        <v>1516.26</v>
      </c>
      <c r="P775" s="22" t="n">
        <v>0</v>
      </c>
      <c r="Q775" s="22" t="n">
        <v>0</v>
      </c>
      <c r="R775" s="22" t="n">
        <v>0</v>
      </c>
    </row>
    <row r="776">
      <c r="A776" s="22" t="n">
        <v>201706</v>
      </c>
      <c r="B776" s="22" t="inlineStr">
        <is>
          <t>06/2017</t>
        </is>
      </c>
      <c r="C776" s="22" t="n">
        <v>16</v>
      </c>
      <c r="D776" s="22" t="inlineStr">
        <is>
          <t>S16</t>
        </is>
      </c>
      <c r="E776" s="22" t="inlineStr">
        <is>
          <t>Nexa Limousin (S16)</t>
        </is>
      </c>
      <c r="F776" s="22" t="inlineStr">
        <is>
          <t>Pháp</t>
        </is>
      </c>
      <c r="G776" s="22" t="inlineStr">
        <is>
          <t>POS</t>
        </is>
      </c>
      <c r="H776" s="31" t="n">
        <v>1436.98</v>
      </c>
      <c r="I776" s="31" t="n">
        <v>0</v>
      </c>
      <c r="J776" s="31" t="n">
        <v>1436.98</v>
      </c>
      <c r="K776" s="31" t="n">
        <v>0</v>
      </c>
      <c r="L776" s="32" t="n">
        <v>1</v>
      </c>
      <c r="M776" s="32" t="n">
        <v>5</v>
      </c>
      <c r="N776" s="31" t="n">
        <v>1436.98</v>
      </c>
      <c r="O776" s="31" t="n">
        <v>1436.98</v>
      </c>
      <c r="P776" s="22" t="n">
        <v>0</v>
      </c>
      <c r="Q776" s="22" t="n">
        <v>0</v>
      </c>
      <c r="R776" s="22" t="n">
        <v>0</v>
      </c>
    </row>
    <row r="777">
      <c r="A777" s="22" t="n">
        <v>201706</v>
      </c>
      <c r="B777" s="22" t="inlineStr">
        <is>
          <t>06/2017</t>
        </is>
      </c>
      <c r="C777" s="22" t="n">
        <v>18</v>
      </c>
      <c r="D777" s="22" t="inlineStr">
        <is>
          <t>S18</t>
        </is>
      </c>
      <c r="E777" s="22" t="inlineStr">
        <is>
          <t>Nexa Mayotte (S18)</t>
        </is>
      </c>
      <c r="F777" s="22" t="inlineStr">
        <is>
          <t>Pháp</t>
        </is>
      </c>
      <c r="G777" s="22" t="inlineStr">
        <is>
          <t>POS</t>
        </is>
      </c>
      <c r="H777" s="31" t="n">
        <v>2642.49</v>
      </c>
      <c r="I777" s="31" t="n">
        <v>0</v>
      </c>
      <c r="J777" s="31" t="n">
        <v>2642.49</v>
      </c>
      <c r="K777" s="31" t="n">
        <v>0</v>
      </c>
      <c r="L777" s="32" t="n">
        <v>1</v>
      </c>
      <c r="M777" s="32" t="n">
        <v>4</v>
      </c>
      <c r="N777" s="31" t="n">
        <v>2642.49</v>
      </c>
      <c r="O777" s="31" t="n">
        <v>2642.49</v>
      </c>
      <c r="P777" s="22" t="n">
        <v>0</v>
      </c>
      <c r="Q777" s="22" t="n">
        <v>0</v>
      </c>
      <c r="R777" s="22" t="n">
        <v>0</v>
      </c>
    </row>
    <row r="778">
      <c r="A778" s="22" t="n">
        <v>201706</v>
      </c>
      <c r="B778" s="22" t="inlineStr">
        <is>
          <t>06/2017</t>
        </is>
      </c>
      <c r="C778" s="22" t="n">
        <v>19</v>
      </c>
      <c r="D778" s="22" t="inlineStr">
        <is>
          <t>S19</t>
        </is>
      </c>
      <c r="E778" s="22" t="inlineStr">
        <is>
          <t>Nexa Berlin (S19)</t>
        </is>
      </c>
      <c r="F778" s="22" t="inlineStr">
        <is>
          <t>Đức</t>
        </is>
      </c>
      <c r="G778" s="22" t="inlineStr">
        <is>
          <t>POS</t>
        </is>
      </c>
      <c r="H778" s="31" t="n">
        <v>4267.32</v>
      </c>
      <c r="I778" s="31" t="n">
        <v>0</v>
      </c>
      <c r="J778" s="31" t="n">
        <v>4267.32</v>
      </c>
      <c r="K778" s="31" t="n">
        <v>99.98999999999999</v>
      </c>
      <c r="L778" s="32" t="n">
        <v>2</v>
      </c>
      <c r="M778" s="32" t="n">
        <v>22</v>
      </c>
      <c r="N778" s="31" t="n">
        <v>4167.33</v>
      </c>
      <c r="O778" s="31" t="n">
        <v>4267.32</v>
      </c>
      <c r="P778" s="22" t="n">
        <v>0</v>
      </c>
      <c r="Q778" s="22" t="n">
        <v>0</v>
      </c>
      <c r="R778" s="22" t="n">
        <v>0</v>
      </c>
    </row>
    <row r="779">
      <c r="A779" s="22" t="n">
        <v>201706</v>
      </c>
      <c r="B779" s="22" t="inlineStr">
        <is>
          <t>06/2017</t>
        </is>
      </c>
      <c r="C779" s="22" t="n">
        <v>20</v>
      </c>
      <c r="D779" s="22" t="inlineStr">
        <is>
          <t>S20</t>
        </is>
      </c>
      <c r="E779" s="22" t="inlineStr">
        <is>
          <t>Nexa Brandenburg (S20)</t>
        </is>
      </c>
      <c r="F779" s="22" t="inlineStr">
        <is>
          <t>Đức</t>
        </is>
      </c>
      <c r="G779" s="22" t="inlineStr">
        <is>
          <t>POS</t>
        </is>
      </c>
      <c r="H779" s="31" t="n">
        <v>9634.309999999999</v>
      </c>
      <c r="I779" s="31" t="n">
        <v>0</v>
      </c>
      <c r="J779" s="31" t="n">
        <v>9634.309999999999</v>
      </c>
      <c r="K779" s="31" t="n">
        <v>0</v>
      </c>
      <c r="L779" s="32" t="n">
        <v>3</v>
      </c>
      <c r="M779" s="32" t="n">
        <v>29</v>
      </c>
      <c r="N779" s="31" t="n">
        <v>9634.309999999999</v>
      </c>
      <c r="O779" s="31" t="n">
        <v>9634.309999999999</v>
      </c>
      <c r="P779" s="22" t="n">
        <v>0</v>
      </c>
      <c r="Q779" s="22" t="n">
        <v>0</v>
      </c>
      <c r="R779" s="22" t="n">
        <v>0</v>
      </c>
    </row>
    <row r="780">
      <c r="A780" s="22" t="n">
        <v>201706</v>
      </c>
      <c r="B780" s="22" t="inlineStr">
        <is>
          <t>06/2017</t>
        </is>
      </c>
      <c r="C780" s="22" t="n">
        <v>22</v>
      </c>
      <c r="D780" s="22" t="inlineStr">
        <is>
          <t>S22</t>
        </is>
      </c>
      <c r="E780" s="22" t="inlineStr">
        <is>
          <t>Nexa Freistaat Thüringen (S22)</t>
        </is>
      </c>
      <c r="F780" s="22" t="inlineStr">
        <is>
          <t>Đức</t>
        </is>
      </c>
      <c r="G780" s="22" t="inlineStr">
        <is>
          <t>POS</t>
        </is>
      </c>
      <c r="H780" s="31" t="n">
        <v>3594</v>
      </c>
      <c r="I780" s="31" t="n">
        <v>0</v>
      </c>
      <c r="J780" s="31" t="n">
        <v>3594</v>
      </c>
      <c r="K780" s="31" t="n">
        <v>0</v>
      </c>
      <c r="L780" s="32" t="n">
        <v>2</v>
      </c>
      <c r="M780" s="32" t="n">
        <v>11</v>
      </c>
      <c r="N780" s="31" t="n">
        <v>3594</v>
      </c>
      <c r="O780" s="31" t="n">
        <v>3594</v>
      </c>
      <c r="P780" s="22" t="n">
        <v>0</v>
      </c>
      <c r="Q780" s="22" t="n">
        <v>0</v>
      </c>
      <c r="R780" s="22" t="n">
        <v>0</v>
      </c>
    </row>
    <row r="781">
      <c r="A781" s="22" t="n">
        <v>201706</v>
      </c>
      <c r="B781" s="22" t="inlineStr">
        <is>
          <t>06/2017</t>
        </is>
      </c>
      <c r="C781" s="22" t="n">
        <v>23</v>
      </c>
      <c r="D781" s="22" t="inlineStr">
        <is>
          <t>S23</t>
        </is>
      </c>
      <c r="E781" s="22" t="inlineStr">
        <is>
          <t>Nexa Hamburg (S23)</t>
        </is>
      </c>
      <c r="F781" s="22" t="inlineStr">
        <is>
          <t>Đức</t>
        </is>
      </c>
      <c r="G781" s="22" t="inlineStr">
        <is>
          <t>POS</t>
        </is>
      </c>
      <c r="H781" s="31" t="n">
        <v>23155.69</v>
      </c>
      <c r="I781" s="31" t="n">
        <v>0</v>
      </c>
      <c r="J781" s="31" t="n">
        <v>23155.69</v>
      </c>
      <c r="K781" s="31" t="n">
        <v>0</v>
      </c>
      <c r="L781" s="32" t="n">
        <v>3</v>
      </c>
      <c r="M781" s="32" t="n">
        <v>31</v>
      </c>
      <c r="N781" s="31" t="n">
        <v>23155.69</v>
      </c>
      <c r="O781" s="31" t="n">
        <v>23155.69</v>
      </c>
      <c r="P781" s="22" t="n">
        <v>0</v>
      </c>
      <c r="Q781" s="22" t="n">
        <v>0</v>
      </c>
      <c r="R781" s="22" t="n">
        <v>0</v>
      </c>
    </row>
    <row r="782">
      <c r="A782" s="22" t="n">
        <v>201706</v>
      </c>
      <c r="B782" s="22" t="inlineStr">
        <is>
          <t>06/2017</t>
        </is>
      </c>
      <c r="C782" s="22" t="n">
        <v>24</v>
      </c>
      <c r="D782" s="22" t="inlineStr">
        <is>
          <t>S24</t>
        </is>
      </c>
      <c r="E782" s="22" t="inlineStr">
        <is>
          <t>Nexa Hessen (S24)</t>
        </is>
      </c>
      <c r="F782" s="22" t="inlineStr">
        <is>
          <t>Đức</t>
        </is>
      </c>
      <c r="G782" s="22" t="inlineStr">
        <is>
          <t>POS</t>
        </is>
      </c>
      <c r="H782" s="31" t="n">
        <v>2648.9</v>
      </c>
      <c r="I782" s="31" t="n">
        <v>0</v>
      </c>
      <c r="J782" s="31" t="n">
        <v>2648.9</v>
      </c>
      <c r="K782" s="31" t="n">
        <v>0</v>
      </c>
      <c r="L782" s="32" t="n">
        <v>2</v>
      </c>
      <c r="M782" s="32" t="n">
        <v>17</v>
      </c>
      <c r="N782" s="31" t="n">
        <v>2648.9</v>
      </c>
      <c r="O782" s="31" t="n">
        <v>2648.9</v>
      </c>
      <c r="P782" s="22" t="n">
        <v>0</v>
      </c>
      <c r="Q782" s="22" t="n">
        <v>0</v>
      </c>
      <c r="R782" s="22" t="n">
        <v>0</v>
      </c>
    </row>
    <row r="783">
      <c r="A783" s="22" t="n">
        <v>201706</v>
      </c>
      <c r="B783" s="22" t="inlineStr">
        <is>
          <t>06/2017</t>
        </is>
      </c>
      <c r="C783" s="22" t="n">
        <v>27</v>
      </c>
      <c r="D783" s="22" t="inlineStr">
        <is>
          <t>S27</t>
        </is>
      </c>
      <c r="E783" s="22" t="inlineStr">
        <is>
          <t>Nexa Sachsen-Anhalt (S27)</t>
        </is>
      </c>
      <c r="F783" s="22" t="inlineStr">
        <is>
          <t>Đức</t>
        </is>
      </c>
      <c r="G783" s="22" t="inlineStr">
        <is>
          <t>POS</t>
        </is>
      </c>
      <c r="H783" s="31" t="n">
        <v>3455.93</v>
      </c>
      <c r="I783" s="31" t="n">
        <v>0</v>
      </c>
      <c r="J783" s="31" t="n">
        <v>3455.93</v>
      </c>
      <c r="K783" s="31" t="n">
        <v>0</v>
      </c>
      <c r="L783" s="32" t="n">
        <v>3</v>
      </c>
      <c r="M783" s="32" t="n">
        <v>12</v>
      </c>
      <c r="N783" s="31" t="n">
        <v>3455.93</v>
      </c>
      <c r="O783" s="31" t="n">
        <v>3455.93</v>
      </c>
      <c r="P783" s="22" t="n">
        <v>0</v>
      </c>
      <c r="Q783" s="22" t="n">
        <v>0</v>
      </c>
      <c r="R783" s="22" t="n">
        <v>0</v>
      </c>
    </row>
    <row r="784">
      <c r="A784" s="22" t="n">
        <v>201706</v>
      </c>
      <c r="B784" s="22" t="inlineStr">
        <is>
          <t>06/2017</t>
        </is>
      </c>
      <c r="C784" s="22" t="n">
        <v>28</v>
      </c>
      <c r="D784" s="22" t="inlineStr">
        <is>
          <t>S28</t>
        </is>
      </c>
      <c r="E784" s="22" t="inlineStr">
        <is>
          <t>Nexa Caltanissetta (S28)</t>
        </is>
      </c>
      <c r="F784" s="22" t="inlineStr">
        <is>
          <t>Ý</t>
        </is>
      </c>
      <c r="G784" s="22" t="inlineStr">
        <is>
          <t>POS</t>
        </is>
      </c>
      <c r="H784" s="31" t="n">
        <v>6219.07</v>
      </c>
      <c r="I784" s="31" t="n">
        <v>0</v>
      </c>
      <c r="J784" s="31" t="n">
        <v>6219.07</v>
      </c>
      <c r="K784" s="31" t="n">
        <v>0</v>
      </c>
      <c r="L784" s="32" t="n">
        <v>4</v>
      </c>
      <c r="M784" s="32" t="n">
        <v>35</v>
      </c>
      <c r="N784" s="31" t="n">
        <v>6219.07</v>
      </c>
      <c r="O784" s="31" t="n">
        <v>6219.07</v>
      </c>
      <c r="P784" s="22" t="n">
        <v>0</v>
      </c>
      <c r="Q784" s="22" t="n">
        <v>0</v>
      </c>
      <c r="R784" s="22" t="n">
        <v>0</v>
      </c>
    </row>
    <row r="785">
      <c r="A785" s="22" t="n">
        <v>201706</v>
      </c>
      <c r="B785" s="22" t="inlineStr">
        <is>
          <t>06/2017</t>
        </is>
      </c>
      <c r="C785" s="22" t="n">
        <v>29</v>
      </c>
      <c r="D785" s="22" t="inlineStr">
        <is>
          <t>S29</t>
        </is>
      </c>
      <c r="E785" s="22" t="inlineStr">
        <is>
          <t>Nexa Enna (S29)</t>
        </is>
      </c>
      <c r="F785" s="22" t="inlineStr">
        <is>
          <t>Ý</t>
        </is>
      </c>
      <c r="G785" s="22" t="inlineStr">
        <is>
          <t>POS</t>
        </is>
      </c>
      <c r="H785" s="31" t="n">
        <v>12421.5</v>
      </c>
      <c r="I785" s="31" t="n">
        <v>0</v>
      </c>
      <c r="J785" s="31" t="n">
        <v>12421.5</v>
      </c>
      <c r="K785" s="31" t="n">
        <v>199.99</v>
      </c>
      <c r="L785" s="32" t="n">
        <v>5</v>
      </c>
      <c r="M785" s="32" t="n">
        <v>36</v>
      </c>
      <c r="N785" s="31" t="n">
        <v>12221.51</v>
      </c>
      <c r="O785" s="31" t="n">
        <v>12421.5</v>
      </c>
      <c r="P785" s="22" t="n">
        <v>0</v>
      </c>
      <c r="Q785" s="22" t="n">
        <v>0</v>
      </c>
      <c r="R785" s="22" t="n">
        <v>0</v>
      </c>
    </row>
    <row r="786">
      <c r="A786" s="22" t="n">
        <v>201706</v>
      </c>
      <c r="B786" s="22" t="inlineStr">
        <is>
          <t>06/2017</t>
        </is>
      </c>
      <c r="C786" s="22" t="n">
        <v>30</v>
      </c>
      <c r="D786" s="22" t="inlineStr">
        <is>
          <t>S30</t>
        </is>
      </c>
      <c r="E786" s="22" t="inlineStr">
        <is>
          <t>Nexa Pesaro (S30)</t>
        </is>
      </c>
      <c r="F786" s="22" t="inlineStr">
        <is>
          <t>Ý</t>
        </is>
      </c>
      <c r="G786" s="22" t="inlineStr">
        <is>
          <t>POS</t>
        </is>
      </c>
      <c r="H786" s="31" t="n">
        <v>6247.57</v>
      </c>
      <c r="I786" s="31" t="n">
        <v>0</v>
      </c>
      <c r="J786" s="31" t="n">
        <v>6247.57</v>
      </c>
      <c r="K786" s="31" t="n">
        <v>179.99</v>
      </c>
      <c r="L786" s="32" t="n">
        <v>5</v>
      </c>
      <c r="M786" s="32" t="n">
        <v>30</v>
      </c>
      <c r="N786" s="31" t="n">
        <v>6067.58</v>
      </c>
      <c r="O786" s="31" t="n">
        <v>6247.57</v>
      </c>
      <c r="P786" s="22" t="n">
        <v>0</v>
      </c>
      <c r="Q786" s="22" t="n">
        <v>0</v>
      </c>
      <c r="R786" s="22" t="n">
        <v>0</v>
      </c>
    </row>
    <row r="787">
      <c r="A787" s="22" t="n">
        <v>201706</v>
      </c>
      <c r="B787" s="22" t="inlineStr">
        <is>
          <t>06/2017</t>
        </is>
      </c>
      <c r="C787" s="22" t="n">
        <v>31</v>
      </c>
      <c r="D787" s="22" t="inlineStr">
        <is>
          <t>S31</t>
        </is>
      </c>
      <c r="E787" s="22" t="inlineStr">
        <is>
          <t>Nexa Drenthe (S31)</t>
        </is>
      </c>
      <c r="F787" s="22" t="inlineStr">
        <is>
          <t>Hà Lan</t>
        </is>
      </c>
      <c r="G787" s="22" t="inlineStr">
        <is>
          <t>POS</t>
        </is>
      </c>
      <c r="H787" s="31" t="n">
        <v>5276.79</v>
      </c>
      <c r="I787" s="31" t="n">
        <v>0</v>
      </c>
      <c r="J787" s="31" t="n">
        <v>5276.79</v>
      </c>
      <c r="K787" s="31" t="n">
        <v>0</v>
      </c>
      <c r="L787" s="32" t="n">
        <v>2</v>
      </c>
      <c r="M787" s="32" t="n">
        <v>12</v>
      </c>
      <c r="N787" s="31" t="n">
        <v>5276.79</v>
      </c>
      <c r="O787" s="31" t="n">
        <v>5276.79</v>
      </c>
      <c r="P787" s="22" t="n">
        <v>0</v>
      </c>
      <c r="Q787" s="22" t="n">
        <v>0</v>
      </c>
      <c r="R787" s="22" t="n">
        <v>0</v>
      </c>
    </row>
    <row r="788">
      <c r="A788" s="22" t="n">
        <v>201706</v>
      </c>
      <c r="B788" s="22" t="inlineStr">
        <is>
          <t>06/2017</t>
        </is>
      </c>
      <c r="C788" s="22" t="n">
        <v>32</v>
      </c>
      <c r="D788" s="22" t="inlineStr">
        <is>
          <t>S32</t>
        </is>
      </c>
      <c r="E788" s="22" t="inlineStr">
        <is>
          <t>Nexa Flevoland (S32)</t>
        </is>
      </c>
      <c r="F788" s="22" t="inlineStr">
        <is>
          <t>Hà Lan</t>
        </is>
      </c>
      <c r="G788" s="22" t="inlineStr">
        <is>
          <t>POS</t>
        </is>
      </c>
      <c r="H788" s="31" t="n">
        <v>1113.96</v>
      </c>
      <c r="I788" s="31" t="n">
        <v>0</v>
      </c>
      <c r="J788" s="31" t="n">
        <v>1113.96</v>
      </c>
      <c r="K788" s="31" t="n">
        <v>0</v>
      </c>
      <c r="L788" s="32" t="n">
        <v>2</v>
      </c>
      <c r="M788" s="32" t="n">
        <v>8</v>
      </c>
      <c r="N788" s="31" t="n">
        <v>1113.96</v>
      </c>
      <c r="O788" s="31" t="n">
        <v>1113.96</v>
      </c>
      <c r="P788" s="22" t="n">
        <v>0</v>
      </c>
      <c r="Q788" s="22" t="n">
        <v>0</v>
      </c>
      <c r="R788" s="22" t="n">
        <v>0</v>
      </c>
    </row>
    <row r="789">
      <c r="A789" s="22" t="n">
        <v>201706</v>
      </c>
      <c r="B789" s="22" t="inlineStr">
        <is>
          <t>06/2017</t>
        </is>
      </c>
      <c r="C789" s="22" t="n">
        <v>33</v>
      </c>
      <c r="D789" s="22" t="inlineStr">
        <is>
          <t>S33</t>
        </is>
      </c>
      <c r="E789" s="22" t="inlineStr">
        <is>
          <t>Nexa Friesland (S33)</t>
        </is>
      </c>
      <c r="F789" s="22" t="inlineStr">
        <is>
          <t>Hà Lan</t>
        </is>
      </c>
      <c r="G789" s="22" t="inlineStr">
        <is>
          <t>POS</t>
        </is>
      </c>
      <c r="H789" s="31" t="n">
        <v>13532.08</v>
      </c>
      <c r="I789" s="31" t="n">
        <v>0</v>
      </c>
      <c r="J789" s="31" t="n">
        <v>13532.08</v>
      </c>
      <c r="K789" s="31" t="n">
        <v>0</v>
      </c>
      <c r="L789" s="32" t="n">
        <v>4</v>
      </c>
      <c r="M789" s="32" t="n">
        <v>59</v>
      </c>
      <c r="N789" s="31" t="n">
        <v>13532.08</v>
      </c>
      <c r="O789" s="31" t="n">
        <v>13532.08</v>
      </c>
      <c r="P789" s="22" t="n">
        <v>0</v>
      </c>
      <c r="Q789" s="22" t="n">
        <v>0</v>
      </c>
      <c r="R789" s="22" t="n">
        <v>0</v>
      </c>
    </row>
    <row r="790">
      <c r="A790" s="22" t="n">
        <v>201706</v>
      </c>
      <c r="B790" s="22" t="inlineStr">
        <is>
          <t>06/2017</t>
        </is>
      </c>
      <c r="C790" s="22" t="n">
        <v>34</v>
      </c>
      <c r="D790" s="22" t="inlineStr">
        <is>
          <t>S34</t>
        </is>
      </c>
      <c r="E790" s="22" t="inlineStr">
        <is>
          <t>Nexa Groningen (S34)</t>
        </is>
      </c>
      <c r="F790" s="22" t="inlineStr">
        <is>
          <t>Hà Lan</t>
        </is>
      </c>
      <c r="G790" s="22" t="inlineStr">
        <is>
          <t>POS</t>
        </is>
      </c>
      <c r="H790" s="31" t="n">
        <v>826</v>
      </c>
      <c r="I790" s="31" t="n">
        <v>0</v>
      </c>
      <c r="J790" s="31" t="n">
        <v>826</v>
      </c>
      <c r="K790" s="31" t="n">
        <v>329</v>
      </c>
      <c r="L790" s="32" t="n">
        <v>3</v>
      </c>
      <c r="M790" s="32" t="n">
        <v>5</v>
      </c>
      <c r="N790" s="31" t="n">
        <v>497</v>
      </c>
      <c r="O790" s="31" t="n">
        <v>826</v>
      </c>
      <c r="P790" s="22" t="n">
        <v>0</v>
      </c>
      <c r="Q790" s="22" t="n">
        <v>0</v>
      </c>
      <c r="R790" s="22" t="n">
        <v>0</v>
      </c>
    </row>
    <row r="791">
      <c r="A791" s="22" t="n">
        <v>201706</v>
      </c>
      <c r="B791" s="22" t="inlineStr">
        <is>
          <t>06/2017</t>
        </is>
      </c>
      <c r="C791" s="22" t="n">
        <v>36</v>
      </c>
      <c r="D791" s="22" t="inlineStr">
        <is>
          <t>S36</t>
        </is>
      </c>
      <c r="E791" s="22" t="inlineStr">
        <is>
          <t>Nexa Armagh (S36)</t>
        </is>
      </c>
      <c r="F791" s="22" t="inlineStr">
        <is>
          <t>Anh</t>
        </is>
      </c>
      <c r="G791" s="22" t="inlineStr">
        <is>
          <t>POS</t>
        </is>
      </c>
      <c r="H791" s="31" t="n">
        <v>2745.25</v>
      </c>
      <c r="I791" s="31" t="n">
        <v>0</v>
      </c>
      <c r="J791" s="31" t="n">
        <v>2745.25</v>
      </c>
      <c r="K791" s="31" t="n">
        <v>0</v>
      </c>
      <c r="L791" s="32" t="n">
        <v>3</v>
      </c>
      <c r="M791" s="32" t="n">
        <v>9</v>
      </c>
      <c r="N791" s="31" t="n">
        <v>2745.25</v>
      </c>
      <c r="O791" s="31" t="n">
        <v>2745.25</v>
      </c>
      <c r="P791" s="22" t="n">
        <v>0</v>
      </c>
      <c r="Q791" s="22" t="n">
        <v>0</v>
      </c>
      <c r="R791" s="22" t="n">
        <v>0</v>
      </c>
    </row>
    <row r="792">
      <c r="A792" s="22" t="n">
        <v>201706</v>
      </c>
      <c r="B792" s="22" t="inlineStr">
        <is>
          <t>06/2017</t>
        </is>
      </c>
      <c r="C792" s="22" t="n">
        <v>37</v>
      </c>
      <c r="D792" s="22" t="inlineStr">
        <is>
          <t>S37</t>
        </is>
      </c>
      <c r="E792" s="22" t="inlineStr">
        <is>
          <t>Nexa Ayrshire (S37)</t>
        </is>
      </c>
      <c r="F792" s="22" t="inlineStr">
        <is>
          <t>Anh</t>
        </is>
      </c>
      <c r="G792" s="22" t="inlineStr">
        <is>
          <t>POS</t>
        </is>
      </c>
      <c r="H792" s="31" t="n">
        <v>16623.02</v>
      </c>
      <c r="I792" s="31" t="n">
        <v>0</v>
      </c>
      <c r="J792" s="31" t="n">
        <v>16623.02</v>
      </c>
      <c r="K792" s="31" t="n">
        <v>406.88</v>
      </c>
      <c r="L792" s="32" t="n">
        <v>6</v>
      </c>
      <c r="M792" s="32" t="n">
        <v>60</v>
      </c>
      <c r="N792" s="31" t="n">
        <v>16565.14</v>
      </c>
      <c r="O792" s="31" t="n">
        <v>16623.02</v>
      </c>
      <c r="P792" s="22" t="n">
        <v>0</v>
      </c>
      <c r="Q792" s="22" t="n">
        <v>0</v>
      </c>
      <c r="R792" s="22" t="n">
        <v>0</v>
      </c>
    </row>
    <row r="793">
      <c r="A793" s="22" t="n">
        <v>201706</v>
      </c>
      <c r="B793" s="22" t="inlineStr">
        <is>
          <t>06/2017</t>
        </is>
      </c>
      <c r="C793" s="22" t="n">
        <v>38</v>
      </c>
      <c r="D793" s="22" t="inlineStr">
        <is>
          <t>S38</t>
        </is>
      </c>
      <c r="E793" s="22" t="inlineStr">
        <is>
          <t>Nexa Belfast (S38)</t>
        </is>
      </c>
      <c r="F793" s="22" t="inlineStr">
        <is>
          <t>Anh</t>
        </is>
      </c>
      <c r="G793" s="22" t="inlineStr">
        <is>
          <t>POS</t>
        </is>
      </c>
      <c r="H793" s="31" t="n">
        <v>33576.14</v>
      </c>
      <c r="I793" s="31" t="n">
        <v>0</v>
      </c>
      <c r="J793" s="31" t="n">
        <v>33576.14</v>
      </c>
      <c r="K793" s="31" t="n">
        <v>0</v>
      </c>
      <c r="L793" s="32" t="n">
        <v>8</v>
      </c>
      <c r="M793" s="32" t="n">
        <v>67</v>
      </c>
      <c r="N793" s="31" t="n">
        <v>33576.14</v>
      </c>
      <c r="O793" s="31" t="n">
        <v>33576.14</v>
      </c>
      <c r="P793" s="22" t="n">
        <v>0</v>
      </c>
      <c r="Q793" s="22" t="n">
        <v>0</v>
      </c>
      <c r="R793" s="22" t="n">
        <v>0</v>
      </c>
    </row>
    <row r="794">
      <c r="A794" s="22" t="n">
        <v>201706</v>
      </c>
      <c r="B794" s="22" t="inlineStr">
        <is>
          <t>06/2017</t>
        </is>
      </c>
      <c r="C794" s="22" t="n">
        <v>39</v>
      </c>
      <c r="D794" s="22" t="inlineStr">
        <is>
          <t>S39</t>
        </is>
      </c>
      <c r="E794" s="22" t="inlineStr">
        <is>
          <t>Nexa Blaenau Gwent (S39)</t>
        </is>
      </c>
      <c r="F794" s="22" t="inlineStr">
        <is>
          <t>Anh</t>
        </is>
      </c>
      <c r="G794" s="22" t="inlineStr">
        <is>
          <t>POS</t>
        </is>
      </c>
      <c r="H794" s="31" t="n">
        <v>13748.86</v>
      </c>
      <c r="I794" s="31" t="n">
        <v>0</v>
      </c>
      <c r="J794" s="31" t="n">
        <v>13748.86</v>
      </c>
      <c r="K794" s="31" t="n">
        <v>0</v>
      </c>
      <c r="L794" s="32" t="n">
        <v>5</v>
      </c>
      <c r="M794" s="32" t="n">
        <v>40</v>
      </c>
      <c r="N794" s="31" t="n">
        <v>13748.86</v>
      </c>
      <c r="O794" s="31" t="n">
        <v>13748.86</v>
      </c>
      <c r="P794" s="22" t="n">
        <v>1</v>
      </c>
      <c r="Q794" s="22" t="n">
        <v>0</v>
      </c>
      <c r="R794" s="22" t="n">
        <v>0</v>
      </c>
    </row>
    <row r="795">
      <c r="A795" s="22" t="n">
        <v>201706</v>
      </c>
      <c r="B795" s="22" t="inlineStr">
        <is>
          <t>06/2017</t>
        </is>
      </c>
      <c r="C795" s="22" t="n">
        <v>40</v>
      </c>
      <c r="D795" s="22" t="inlineStr">
        <is>
          <t>S40</t>
        </is>
      </c>
      <c r="E795" s="22" t="inlineStr">
        <is>
          <t>Nexa Dungannon and South Tyrone (S40)</t>
        </is>
      </c>
      <c r="F795" s="22" t="inlineStr">
        <is>
          <t>Anh</t>
        </is>
      </c>
      <c r="G795" s="22" t="inlineStr">
        <is>
          <t>POS</t>
        </is>
      </c>
      <c r="H795" s="31" t="n">
        <v>13965.22</v>
      </c>
      <c r="I795" s="31" t="n">
        <v>0</v>
      </c>
      <c r="J795" s="31" t="n">
        <v>13965.22</v>
      </c>
      <c r="K795" s="31" t="n">
        <v>0</v>
      </c>
      <c r="L795" s="32" t="n">
        <v>7</v>
      </c>
      <c r="M795" s="32" t="n">
        <v>63</v>
      </c>
      <c r="N795" s="31" t="n">
        <v>13965.22</v>
      </c>
      <c r="O795" s="31" t="n">
        <v>13965.22</v>
      </c>
      <c r="P795" s="22" t="n">
        <v>0</v>
      </c>
      <c r="Q795" s="22" t="n">
        <v>0</v>
      </c>
      <c r="R795" s="22" t="n">
        <v>0</v>
      </c>
    </row>
    <row r="796">
      <c r="A796" s="22" t="n">
        <v>201706</v>
      </c>
      <c r="B796" s="22" t="inlineStr">
        <is>
          <t>06/2017</t>
        </is>
      </c>
      <c r="C796" s="22" t="n">
        <v>41</v>
      </c>
      <c r="D796" s="22" t="inlineStr">
        <is>
          <t>S41</t>
        </is>
      </c>
      <c r="E796" s="22" t="inlineStr">
        <is>
          <t>Nexa Fermanagh (S41)</t>
        </is>
      </c>
      <c r="F796" s="22" t="inlineStr">
        <is>
          <t>Anh</t>
        </is>
      </c>
      <c r="G796" s="22" t="inlineStr">
        <is>
          <t>POS</t>
        </is>
      </c>
      <c r="H796" s="31" t="n">
        <v>47057.61</v>
      </c>
      <c r="I796" s="31" t="n">
        <v>0</v>
      </c>
      <c r="J796" s="31" t="n">
        <v>47057.61</v>
      </c>
      <c r="K796" s="31" t="n">
        <v>0</v>
      </c>
      <c r="L796" s="32" t="n">
        <v>13</v>
      </c>
      <c r="M796" s="32" t="n">
        <v>114</v>
      </c>
      <c r="N796" s="31" t="n">
        <v>47057.61</v>
      </c>
      <c r="O796" s="31" t="n">
        <v>47057.61</v>
      </c>
      <c r="P796" s="22" t="n">
        <v>0</v>
      </c>
      <c r="Q796" s="22" t="n">
        <v>0</v>
      </c>
      <c r="R796" s="22" t="n">
        <v>0</v>
      </c>
    </row>
    <row r="797">
      <c r="A797" s="22" t="n">
        <v>201706</v>
      </c>
      <c r="B797" s="22" t="inlineStr">
        <is>
          <t>06/2017</t>
        </is>
      </c>
      <c r="C797" s="22" t="n">
        <v>42</v>
      </c>
      <c r="D797" s="22" t="inlineStr">
        <is>
          <t>S42</t>
        </is>
      </c>
      <c r="E797" s="22" t="inlineStr">
        <is>
          <t>Nexa North Down (S42)</t>
        </is>
      </c>
      <c r="F797" s="22" t="inlineStr">
        <is>
          <t>Anh</t>
        </is>
      </c>
      <c r="G797" s="22" t="inlineStr">
        <is>
          <t>POS</t>
        </is>
      </c>
      <c r="H797" s="31" t="n">
        <v>558.8</v>
      </c>
      <c r="I797" s="31" t="n">
        <v>0</v>
      </c>
      <c r="J797" s="31" t="n">
        <v>558.8</v>
      </c>
      <c r="K797" s="31" t="n">
        <v>2907</v>
      </c>
      <c r="L797" s="32" t="n">
        <v>2</v>
      </c>
      <c r="M797" s="32" t="n">
        <v>8</v>
      </c>
      <c r="N797" s="31" t="n">
        <v>-2348.2</v>
      </c>
      <c r="O797" s="31" t="n">
        <v>558.8</v>
      </c>
      <c r="P797" s="22" t="n">
        <v>0</v>
      </c>
      <c r="Q797" s="22" t="n">
        <v>0</v>
      </c>
      <c r="R797" s="22" t="n">
        <v>0</v>
      </c>
    </row>
    <row r="798">
      <c r="A798" s="22" t="n">
        <v>201706</v>
      </c>
      <c r="B798" s="22" t="inlineStr">
        <is>
          <t>06/2017</t>
        </is>
      </c>
      <c r="C798" s="22" t="n">
        <v>43</v>
      </c>
      <c r="D798" s="22" t="inlineStr">
        <is>
          <t>S43</t>
        </is>
      </c>
      <c r="E798" s="22" t="inlineStr">
        <is>
          <t>Nexa Alaska (S43)</t>
        </is>
      </c>
      <c r="F798" s="22" t="inlineStr">
        <is>
          <t>Mỹ</t>
        </is>
      </c>
      <c r="G798" s="22" t="inlineStr">
        <is>
          <t>POS</t>
        </is>
      </c>
      <c r="H798" s="31" t="n">
        <v>8035</v>
      </c>
      <c r="I798" s="31" t="n">
        <v>0</v>
      </c>
      <c r="J798" s="31" t="n">
        <v>8035</v>
      </c>
      <c r="K798" s="31" t="n">
        <v>0</v>
      </c>
      <c r="L798" s="32" t="n">
        <v>3</v>
      </c>
      <c r="M798" s="32" t="n">
        <v>16</v>
      </c>
      <c r="N798" s="31" t="n">
        <v>8035</v>
      </c>
      <c r="O798" s="31" t="n">
        <v>8035</v>
      </c>
      <c r="P798" s="22" t="n">
        <v>0</v>
      </c>
      <c r="Q798" s="22" t="n">
        <v>0</v>
      </c>
      <c r="R798" s="22" t="n">
        <v>0</v>
      </c>
    </row>
    <row r="799">
      <c r="A799" s="22" t="n">
        <v>201706</v>
      </c>
      <c r="B799" s="22" t="inlineStr">
        <is>
          <t>06/2017</t>
        </is>
      </c>
      <c r="C799" s="22" t="n">
        <v>44</v>
      </c>
      <c r="D799" s="22" t="inlineStr">
        <is>
          <t>S44</t>
        </is>
      </c>
      <c r="E799" s="22" t="inlineStr">
        <is>
          <t>Nexa Arkansas (S44)</t>
        </is>
      </c>
      <c r="F799" s="22" t="inlineStr">
        <is>
          <t>Mỹ</t>
        </is>
      </c>
      <c r="G799" s="22" t="inlineStr">
        <is>
          <t>POS</t>
        </is>
      </c>
      <c r="H799" s="31" t="n">
        <v>30124.98</v>
      </c>
      <c r="I799" s="31" t="n">
        <v>0</v>
      </c>
      <c r="J799" s="31" t="n">
        <v>30124.98</v>
      </c>
      <c r="K799" s="31" t="n">
        <v>598</v>
      </c>
      <c r="L799" s="32" t="n">
        <v>6</v>
      </c>
      <c r="M799" s="32" t="n">
        <v>51</v>
      </c>
      <c r="N799" s="31" t="n">
        <v>29526.98</v>
      </c>
      <c r="O799" s="31" t="n">
        <v>30124.98</v>
      </c>
      <c r="P799" s="22" t="n">
        <v>0</v>
      </c>
      <c r="Q799" s="22" t="n">
        <v>0</v>
      </c>
      <c r="R799" s="22" t="n">
        <v>0</v>
      </c>
    </row>
    <row r="800">
      <c r="A800" s="22" t="n">
        <v>201706</v>
      </c>
      <c r="B800" s="22" t="inlineStr">
        <is>
          <t>06/2017</t>
        </is>
      </c>
      <c r="C800" s="22" t="n">
        <v>45</v>
      </c>
      <c r="D800" s="22" t="inlineStr">
        <is>
          <t>S45</t>
        </is>
      </c>
      <c r="E800" s="22" t="inlineStr">
        <is>
          <t>Nexa Connecticut (S45)</t>
        </is>
      </c>
      <c r="F800" s="22" t="inlineStr">
        <is>
          <t>Mỹ</t>
        </is>
      </c>
      <c r="G800" s="22" t="inlineStr">
        <is>
          <t>POS</t>
        </is>
      </c>
      <c r="H800" s="31" t="n">
        <v>22950</v>
      </c>
      <c r="I800" s="31" t="n">
        <v>0</v>
      </c>
      <c r="J800" s="31" t="n">
        <v>22950</v>
      </c>
      <c r="K800" s="31" t="n">
        <v>0</v>
      </c>
      <c r="L800" s="32" t="n">
        <v>7</v>
      </c>
      <c r="M800" s="32" t="n">
        <v>52</v>
      </c>
      <c r="N800" s="31" t="n">
        <v>22950</v>
      </c>
      <c r="O800" s="31" t="n">
        <v>22950</v>
      </c>
      <c r="P800" s="22" t="n">
        <v>1</v>
      </c>
      <c r="Q800" s="22" t="n">
        <v>0</v>
      </c>
      <c r="R800" s="22" t="n">
        <v>0</v>
      </c>
    </row>
    <row r="801">
      <c r="A801" s="22" t="n">
        <v>201706</v>
      </c>
      <c r="B801" s="22" t="inlineStr">
        <is>
          <t>06/2017</t>
        </is>
      </c>
      <c r="C801" s="22" t="n">
        <v>47</v>
      </c>
      <c r="D801" s="22" t="inlineStr">
        <is>
          <t>S47</t>
        </is>
      </c>
      <c r="E801" s="22" t="inlineStr">
        <is>
          <t>Nexa Hawaii (S47)</t>
        </is>
      </c>
      <c r="F801" s="22" t="inlineStr">
        <is>
          <t>Mỹ</t>
        </is>
      </c>
      <c r="G801" s="22" t="inlineStr">
        <is>
          <t>POS</t>
        </is>
      </c>
      <c r="H801" s="31" t="n">
        <v>5590.91</v>
      </c>
      <c r="I801" s="31" t="n">
        <v>0</v>
      </c>
      <c r="J801" s="31" t="n">
        <v>5590.91</v>
      </c>
      <c r="K801" s="31" t="n">
        <v>0</v>
      </c>
      <c r="L801" s="32" t="n">
        <v>4</v>
      </c>
      <c r="M801" s="32" t="n">
        <v>12</v>
      </c>
      <c r="N801" s="31" t="n">
        <v>5590.91</v>
      </c>
      <c r="O801" s="31" t="n">
        <v>5590.91</v>
      </c>
      <c r="P801" s="22" t="n">
        <v>0</v>
      </c>
      <c r="Q801" s="22" t="n">
        <v>0</v>
      </c>
      <c r="R801" s="22" t="n">
        <v>0</v>
      </c>
    </row>
    <row r="802">
      <c r="A802" s="22" t="n">
        <v>201706</v>
      </c>
      <c r="B802" s="22" t="inlineStr">
        <is>
          <t>06/2017</t>
        </is>
      </c>
      <c r="C802" s="22" t="n">
        <v>48</v>
      </c>
      <c r="D802" s="22" t="inlineStr">
        <is>
          <t>S48</t>
        </is>
      </c>
      <c r="E802" s="22" t="inlineStr">
        <is>
          <t>Nexa Idaho (S48)</t>
        </is>
      </c>
      <c r="F802" s="22" t="inlineStr">
        <is>
          <t>Mỹ</t>
        </is>
      </c>
      <c r="G802" s="22" t="inlineStr">
        <is>
          <t>POS</t>
        </is>
      </c>
      <c r="H802" s="31" t="n">
        <v>15699.51</v>
      </c>
      <c r="I802" s="31" t="n">
        <v>0</v>
      </c>
      <c r="J802" s="31" t="n">
        <v>15699.51</v>
      </c>
      <c r="K802" s="31" t="n">
        <v>299.95</v>
      </c>
      <c r="L802" s="32" t="n">
        <v>7</v>
      </c>
      <c r="M802" s="32" t="n">
        <v>65</v>
      </c>
      <c r="N802" s="31" t="n">
        <v>15399.56</v>
      </c>
      <c r="O802" s="31" t="n">
        <v>15699.51</v>
      </c>
      <c r="P802" s="22" t="n">
        <v>0</v>
      </c>
      <c r="Q802" s="22" t="n">
        <v>0</v>
      </c>
      <c r="R802" s="22" t="n">
        <v>0</v>
      </c>
    </row>
    <row r="803">
      <c r="A803" s="22" t="n">
        <v>201706</v>
      </c>
      <c r="B803" s="22" t="inlineStr">
        <is>
          <t>06/2017</t>
        </is>
      </c>
      <c r="C803" s="22" t="n">
        <v>50</v>
      </c>
      <c r="D803" s="22" t="inlineStr">
        <is>
          <t>S50</t>
        </is>
      </c>
      <c r="E803" s="22" t="inlineStr">
        <is>
          <t>Nexa Kansas (S50)</t>
        </is>
      </c>
      <c r="F803" s="22" t="inlineStr">
        <is>
          <t>Mỹ</t>
        </is>
      </c>
      <c r="G803" s="22" t="inlineStr">
        <is>
          <t>POS</t>
        </is>
      </c>
      <c r="H803" s="31" t="n">
        <v>14003.75</v>
      </c>
      <c r="I803" s="31" t="n">
        <v>0</v>
      </c>
      <c r="J803" s="31" t="n">
        <v>14003.75</v>
      </c>
      <c r="K803" s="31" t="n">
        <v>0</v>
      </c>
      <c r="L803" s="32" t="n">
        <v>7</v>
      </c>
      <c r="M803" s="32" t="n">
        <v>61</v>
      </c>
      <c r="N803" s="31" t="n">
        <v>14003.75</v>
      </c>
      <c r="O803" s="31" t="n">
        <v>14003.75</v>
      </c>
      <c r="P803" s="22" t="n">
        <v>0</v>
      </c>
      <c r="Q803" s="22" t="n">
        <v>0</v>
      </c>
      <c r="R803" s="22" t="n">
        <v>0</v>
      </c>
    </row>
    <row r="804">
      <c r="A804" s="22" t="n">
        <v>201706</v>
      </c>
      <c r="B804" s="22" t="inlineStr">
        <is>
          <t>06/2017</t>
        </is>
      </c>
      <c r="C804" s="22" t="n">
        <v>51</v>
      </c>
      <c r="D804" s="22" t="inlineStr">
        <is>
          <t>S51</t>
        </is>
      </c>
      <c r="E804" s="22" t="inlineStr">
        <is>
          <t>Nexa Maine (S51)</t>
        </is>
      </c>
      <c r="F804" s="22" t="inlineStr">
        <is>
          <t>Mỹ</t>
        </is>
      </c>
      <c r="G804" s="22" t="inlineStr">
        <is>
          <t>POS</t>
        </is>
      </c>
      <c r="H804" s="31" t="n">
        <v>7893.58</v>
      </c>
      <c r="I804" s="31" t="n">
        <v>0</v>
      </c>
      <c r="J804" s="31" t="n">
        <v>7893.58</v>
      </c>
      <c r="K804" s="31" t="n">
        <v>297.39</v>
      </c>
      <c r="L804" s="32" t="n">
        <v>9</v>
      </c>
      <c r="M804" s="32" t="n">
        <v>41</v>
      </c>
      <c r="N804" s="31" t="n">
        <v>7596.19</v>
      </c>
      <c r="O804" s="31" t="n">
        <v>7893.58</v>
      </c>
      <c r="P804" s="22" t="n">
        <v>0</v>
      </c>
      <c r="Q804" s="22" t="n">
        <v>0</v>
      </c>
      <c r="R804" s="22" t="n">
        <v>0</v>
      </c>
    </row>
    <row r="805">
      <c r="A805" s="22" t="n">
        <v>201706</v>
      </c>
      <c r="B805" s="22" t="inlineStr">
        <is>
          <t>06/2017</t>
        </is>
      </c>
      <c r="C805" s="22" t="n">
        <v>53</v>
      </c>
      <c r="D805" s="22" t="inlineStr">
        <is>
          <t>S53</t>
        </is>
      </c>
      <c r="E805" s="22" t="inlineStr">
        <is>
          <t>Nexa Montana (S53)</t>
        </is>
      </c>
      <c r="F805" s="22" t="inlineStr">
        <is>
          <t>Mỹ</t>
        </is>
      </c>
      <c r="G805" s="22" t="inlineStr">
        <is>
          <t>POS</t>
        </is>
      </c>
      <c r="H805" s="31" t="n">
        <v>5915.74</v>
      </c>
      <c r="I805" s="31" t="n">
        <v>0</v>
      </c>
      <c r="J805" s="31" t="n">
        <v>5915.74</v>
      </c>
      <c r="K805" s="31" t="n">
        <v>0</v>
      </c>
      <c r="L805" s="32" t="n">
        <v>4</v>
      </c>
      <c r="M805" s="32" t="n">
        <v>25</v>
      </c>
      <c r="N805" s="31" t="n">
        <v>5915.74</v>
      </c>
      <c r="O805" s="31" t="n">
        <v>5915.74</v>
      </c>
      <c r="P805" s="22" t="n">
        <v>0</v>
      </c>
      <c r="Q805" s="22" t="n">
        <v>0</v>
      </c>
      <c r="R805" s="22" t="n">
        <v>0</v>
      </c>
    </row>
    <row r="806">
      <c r="A806" s="22" t="n">
        <v>201706</v>
      </c>
      <c r="B806" s="22" t="inlineStr">
        <is>
          <t>06/2017</t>
        </is>
      </c>
      <c r="C806" s="22" t="n">
        <v>54</v>
      </c>
      <c r="D806" s="22" t="inlineStr">
        <is>
          <t>S54</t>
        </is>
      </c>
      <c r="E806" s="22" t="inlineStr">
        <is>
          <t>Nexa Nebraska (S54)</t>
        </is>
      </c>
      <c r="F806" s="22" t="inlineStr">
        <is>
          <t>Mỹ</t>
        </is>
      </c>
      <c r="G806" s="22" t="inlineStr">
        <is>
          <t>POS</t>
        </is>
      </c>
      <c r="H806" s="31" t="n">
        <v>20562.38</v>
      </c>
      <c r="I806" s="31" t="n">
        <v>0</v>
      </c>
      <c r="J806" s="31" t="n">
        <v>20562.38</v>
      </c>
      <c r="K806" s="31" t="n">
        <v>779.97</v>
      </c>
      <c r="L806" s="32" t="n">
        <v>9</v>
      </c>
      <c r="M806" s="32" t="n">
        <v>72</v>
      </c>
      <c r="N806" s="31" t="n">
        <v>19782.41</v>
      </c>
      <c r="O806" s="31" t="n">
        <v>20562.38</v>
      </c>
      <c r="P806" s="22" t="n">
        <v>0</v>
      </c>
      <c r="Q806" s="22" t="n">
        <v>0</v>
      </c>
      <c r="R806" s="22" t="n">
        <v>0</v>
      </c>
    </row>
    <row r="807">
      <c r="A807" s="22" t="n">
        <v>201706</v>
      </c>
      <c r="B807" s="22" t="inlineStr">
        <is>
          <t>06/2017</t>
        </is>
      </c>
      <c r="C807" s="22" t="n">
        <v>55</v>
      </c>
      <c r="D807" s="22" t="inlineStr">
        <is>
          <t>S55</t>
        </is>
      </c>
      <c r="E807" s="22" t="inlineStr">
        <is>
          <t>Nexa Nevada (S55)</t>
        </is>
      </c>
      <c r="F807" s="22" t="inlineStr">
        <is>
          <t>Mỹ</t>
        </is>
      </c>
      <c r="G807" s="22" t="inlineStr">
        <is>
          <t>POS</t>
        </is>
      </c>
      <c r="H807" s="31" t="n">
        <v>38588.73</v>
      </c>
      <c r="I807" s="31" t="n">
        <v>0</v>
      </c>
      <c r="J807" s="31" t="n">
        <v>38588.73</v>
      </c>
      <c r="K807" s="31" t="n">
        <v>0</v>
      </c>
      <c r="L807" s="32" t="n">
        <v>7</v>
      </c>
      <c r="M807" s="32" t="n">
        <v>44</v>
      </c>
      <c r="N807" s="31" t="n">
        <v>38588.73</v>
      </c>
      <c r="O807" s="31" t="n">
        <v>38588.73</v>
      </c>
      <c r="P807" s="22" t="n">
        <v>0</v>
      </c>
      <c r="Q807" s="22" t="n">
        <v>0</v>
      </c>
      <c r="R807" s="22" t="n">
        <v>0</v>
      </c>
    </row>
    <row r="808">
      <c r="A808" s="22" t="n">
        <v>201706</v>
      </c>
      <c r="B808" s="22" t="inlineStr">
        <is>
          <t>06/2017</t>
        </is>
      </c>
      <c r="C808" s="22" t="n">
        <v>56</v>
      </c>
      <c r="D808" s="22" t="inlineStr">
        <is>
          <t>S56</t>
        </is>
      </c>
      <c r="E808" s="22" t="inlineStr">
        <is>
          <t>Nexa New Hampshire (S56)</t>
        </is>
      </c>
      <c r="F808" s="22" t="inlineStr">
        <is>
          <t>Mỹ</t>
        </is>
      </c>
      <c r="G808" s="22" t="inlineStr">
        <is>
          <t>POS</t>
        </is>
      </c>
      <c r="H808" s="31" t="n">
        <v>6236.29</v>
      </c>
      <c r="I808" s="31" t="n">
        <v>0</v>
      </c>
      <c r="J808" s="31" t="n">
        <v>6236.29</v>
      </c>
      <c r="K808" s="31" t="n">
        <v>0</v>
      </c>
      <c r="L808" s="32" t="n">
        <v>9</v>
      </c>
      <c r="M808" s="32" t="n">
        <v>40</v>
      </c>
      <c r="N808" s="31" t="n">
        <v>6236.29</v>
      </c>
      <c r="O808" s="31" t="n">
        <v>6236.29</v>
      </c>
      <c r="P808" s="22" t="n">
        <v>1</v>
      </c>
      <c r="Q808" s="22" t="n">
        <v>0</v>
      </c>
      <c r="R808" s="22" t="n">
        <v>0</v>
      </c>
    </row>
    <row r="809">
      <c r="A809" s="22" t="n">
        <v>201706</v>
      </c>
      <c r="B809" s="22" t="inlineStr">
        <is>
          <t>06/2017</t>
        </is>
      </c>
      <c r="C809" s="22" t="n">
        <v>57</v>
      </c>
      <c r="D809" s="22" t="inlineStr">
        <is>
          <t>S57</t>
        </is>
      </c>
      <c r="E809" s="22" t="inlineStr">
        <is>
          <t>Nexa New Mexico (S57)</t>
        </is>
      </c>
      <c r="F809" s="22" t="inlineStr">
        <is>
          <t>Mỹ</t>
        </is>
      </c>
      <c r="G809" s="22" t="inlineStr">
        <is>
          <t>POS</t>
        </is>
      </c>
      <c r="H809" s="31" t="n">
        <v>8046.6</v>
      </c>
      <c r="I809" s="31" t="n">
        <v>0</v>
      </c>
      <c r="J809" s="31" t="n">
        <v>8046.6</v>
      </c>
      <c r="K809" s="31" t="n">
        <v>0</v>
      </c>
      <c r="L809" s="32" t="n">
        <v>7</v>
      </c>
      <c r="M809" s="32" t="n">
        <v>48</v>
      </c>
      <c r="N809" s="31" t="n">
        <v>8046.6</v>
      </c>
      <c r="O809" s="31" t="n">
        <v>8046.6</v>
      </c>
      <c r="P809" s="22" t="n">
        <v>1</v>
      </c>
      <c r="Q809" s="22" t="n">
        <v>0</v>
      </c>
      <c r="R809" s="22" t="n">
        <v>0</v>
      </c>
    </row>
    <row r="810">
      <c r="A810" s="22" t="n">
        <v>201706</v>
      </c>
      <c r="B810" s="22" t="inlineStr">
        <is>
          <t>06/2017</t>
        </is>
      </c>
      <c r="C810" s="22" t="n">
        <v>59</v>
      </c>
      <c r="D810" s="22" t="inlineStr">
        <is>
          <t>S59</t>
        </is>
      </c>
      <c r="E810" s="22" t="inlineStr">
        <is>
          <t>Nexa Oregon (S59)</t>
        </is>
      </c>
      <c r="F810" s="22" t="inlineStr">
        <is>
          <t>Mỹ</t>
        </is>
      </c>
      <c r="G810" s="22" t="inlineStr">
        <is>
          <t>POS</t>
        </is>
      </c>
      <c r="H810" s="31" t="n">
        <v>16993.13</v>
      </c>
      <c r="I810" s="31" t="n">
        <v>0</v>
      </c>
      <c r="J810" s="31" t="n">
        <v>16993.13</v>
      </c>
      <c r="K810" s="31" t="n">
        <v>278</v>
      </c>
      <c r="L810" s="32" t="n">
        <v>8</v>
      </c>
      <c r="M810" s="32" t="n">
        <v>48</v>
      </c>
      <c r="N810" s="31" t="n">
        <v>16715.13</v>
      </c>
      <c r="O810" s="31" t="n">
        <v>16993.13</v>
      </c>
      <c r="P810" s="22" t="n">
        <v>0</v>
      </c>
      <c r="Q810" s="22" t="n">
        <v>0</v>
      </c>
      <c r="R810" s="22" t="n">
        <v>0</v>
      </c>
    </row>
    <row r="811">
      <c r="A811" s="22" t="n">
        <v>201706</v>
      </c>
      <c r="B811" s="22" t="inlineStr">
        <is>
          <t>06/2017</t>
        </is>
      </c>
      <c r="C811" s="22" t="n">
        <v>61</v>
      </c>
      <c r="D811" s="22" t="inlineStr">
        <is>
          <t>S61</t>
        </is>
      </c>
      <c r="E811" s="22" t="inlineStr">
        <is>
          <t>Nexa South Carolina (S61)</t>
        </is>
      </c>
      <c r="F811" s="22" t="inlineStr">
        <is>
          <t>Mỹ</t>
        </is>
      </c>
      <c r="G811" s="22" t="inlineStr">
        <is>
          <t>POS</t>
        </is>
      </c>
      <c r="H811" s="31" t="n">
        <v>5034.97</v>
      </c>
      <c r="I811" s="31" t="n">
        <v>0</v>
      </c>
      <c r="J811" s="31" t="n">
        <v>5034.97</v>
      </c>
      <c r="K811" s="31" t="n">
        <v>0</v>
      </c>
      <c r="L811" s="32" t="n">
        <v>3</v>
      </c>
      <c r="M811" s="32" t="n">
        <v>26</v>
      </c>
      <c r="N811" s="31" t="n">
        <v>5034.97</v>
      </c>
      <c r="O811" s="31" t="n">
        <v>5034.97</v>
      </c>
      <c r="P811" s="22" t="n">
        <v>0</v>
      </c>
      <c r="Q811" s="22" t="n">
        <v>0</v>
      </c>
      <c r="R811" s="22" t="n">
        <v>0</v>
      </c>
    </row>
    <row r="812">
      <c r="A812" s="22" t="n">
        <v>201706</v>
      </c>
      <c r="B812" s="22" t="inlineStr">
        <is>
          <t>06/2017</t>
        </is>
      </c>
      <c r="C812" s="22" t="n">
        <v>63</v>
      </c>
      <c r="D812" s="22" t="inlineStr">
        <is>
          <t>S63</t>
        </is>
      </c>
      <c r="E812" s="22" t="inlineStr">
        <is>
          <t>Nexa Utah (S63)</t>
        </is>
      </c>
      <c r="F812" s="22" t="inlineStr">
        <is>
          <t>Mỹ</t>
        </is>
      </c>
      <c r="G812" s="22" t="inlineStr">
        <is>
          <t>POS</t>
        </is>
      </c>
      <c r="H812" s="31" t="n">
        <v>268.95</v>
      </c>
      <c r="I812" s="31" t="n">
        <v>0</v>
      </c>
      <c r="J812" s="31" t="n">
        <v>268.95</v>
      </c>
      <c r="K812" s="31" t="n">
        <v>0</v>
      </c>
      <c r="L812" s="32" t="n">
        <v>1</v>
      </c>
      <c r="M812" s="32" t="n">
        <v>2</v>
      </c>
      <c r="N812" s="31" t="n">
        <v>268.95</v>
      </c>
      <c r="O812" s="31" t="n">
        <v>268.95</v>
      </c>
      <c r="P812" s="22" t="n">
        <v>0</v>
      </c>
      <c r="Q812" s="22" t="n">
        <v>0</v>
      </c>
      <c r="R812" s="22" t="n">
        <v>0</v>
      </c>
    </row>
    <row r="813">
      <c r="A813" s="22" t="n">
        <v>201706</v>
      </c>
      <c r="B813" s="22" t="inlineStr">
        <is>
          <t>06/2017</t>
        </is>
      </c>
      <c r="C813" s="22" t="n">
        <v>64</v>
      </c>
      <c r="D813" s="22" t="inlineStr">
        <is>
          <t>S64</t>
        </is>
      </c>
      <c r="E813" s="22" t="inlineStr">
        <is>
          <t>Nexa Washington DC (S64)</t>
        </is>
      </c>
      <c r="F813" s="22" t="inlineStr">
        <is>
          <t>Mỹ</t>
        </is>
      </c>
      <c r="G813" s="22" t="inlineStr">
        <is>
          <t>POS</t>
        </is>
      </c>
      <c r="H813" s="31" t="n">
        <v>4145.67</v>
      </c>
      <c r="I813" s="31" t="n">
        <v>0</v>
      </c>
      <c r="J813" s="31" t="n">
        <v>4145.67</v>
      </c>
      <c r="K813" s="31" t="n">
        <v>0</v>
      </c>
      <c r="L813" s="32" t="n">
        <v>5</v>
      </c>
      <c r="M813" s="32" t="n">
        <v>32</v>
      </c>
      <c r="N813" s="31" t="n">
        <v>4145.67</v>
      </c>
      <c r="O813" s="31" t="n">
        <v>4145.67</v>
      </c>
      <c r="P813" s="22" t="n">
        <v>0</v>
      </c>
      <c r="Q813" s="22" t="n">
        <v>0</v>
      </c>
      <c r="R813" s="22" t="n">
        <v>0</v>
      </c>
    </row>
    <row r="814">
      <c r="A814" s="22" t="n">
        <v>201706</v>
      </c>
      <c r="B814" s="22" t="inlineStr">
        <is>
          <t>06/2017</t>
        </is>
      </c>
      <c r="C814" s="22" t="n">
        <v>65</v>
      </c>
      <c r="D814" s="22" t="inlineStr">
        <is>
          <t>S65</t>
        </is>
      </c>
      <c r="E814" s="22" t="inlineStr">
        <is>
          <t>Nexa West Virginia (S65)</t>
        </is>
      </c>
      <c r="F814" s="22" t="inlineStr">
        <is>
          <t>Mỹ</t>
        </is>
      </c>
      <c r="G814" s="22" t="inlineStr">
        <is>
          <t>POS</t>
        </is>
      </c>
      <c r="H814" s="31" t="n">
        <v>25312.24</v>
      </c>
      <c r="I814" s="31" t="n">
        <v>0</v>
      </c>
      <c r="J814" s="31" t="n">
        <v>25312.24</v>
      </c>
      <c r="K814" s="31" t="n">
        <v>0</v>
      </c>
      <c r="L814" s="32" t="n">
        <v>6</v>
      </c>
      <c r="M814" s="32" t="n">
        <v>48</v>
      </c>
      <c r="N814" s="31" t="n">
        <v>25312.24</v>
      </c>
      <c r="O814" s="31" t="n">
        <v>25312.24</v>
      </c>
      <c r="P814" s="22" t="n">
        <v>0</v>
      </c>
      <c r="Q814" s="22" t="n">
        <v>0</v>
      </c>
      <c r="R814" s="22" t="n">
        <v>0</v>
      </c>
    </row>
    <row r="815">
      <c r="A815" s="22" t="n">
        <v>201706</v>
      </c>
      <c r="B815" s="22" t="inlineStr">
        <is>
          <t>06/2017</t>
        </is>
      </c>
      <c r="C815" s="22" t="n">
        <v>66</v>
      </c>
      <c r="D815" s="22" t="inlineStr">
        <is>
          <t>S66</t>
        </is>
      </c>
      <c r="E815" s="22" t="inlineStr">
        <is>
          <t>Nexa Wyoming (S66)</t>
        </is>
      </c>
      <c r="F815" s="22" t="inlineStr">
        <is>
          <t>Mỹ</t>
        </is>
      </c>
      <c r="G815" s="22" t="inlineStr">
        <is>
          <t>POS</t>
        </is>
      </c>
      <c r="H815" s="31" t="n">
        <v>2563.67</v>
      </c>
      <c r="I815" s="31" t="n">
        <v>0</v>
      </c>
      <c r="J815" s="31" t="n">
        <v>2563.67</v>
      </c>
      <c r="K815" s="31" t="n">
        <v>0</v>
      </c>
      <c r="L815" s="32" t="n">
        <v>4</v>
      </c>
      <c r="M815" s="32" t="n">
        <v>11</v>
      </c>
      <c r="N815" s="31" t="n">
        <v>2563.67</v>
      </c>
      <c r="O815" s="31" t="n">
        <v>2563.67</v>
      </c>
      <c r="P815" s="22" t="n">
        <v>0</v>
      </c>
      <c r="Q815" s="22" t="n">
        <v>0</v>
      </c>
      <c r="R815" s="22" t="n">
        <v>1</v>
      </c>
    </row>
    <row r="816">
      <c r="A816" s="22" t="n">
        <v>201707</v>
      </c>
      <c r="B816" s="22" t="inlineStr">
        <is>
          <t>07/2017</t>
        </is>
      </c>
      <c r="C816" s="22" t="n">
        <v>0</v>
      </c>
      <c r="D816" s="22" t="inlineStr">
        <is>
          <t>ONL</t>
        </is>
      </c>
      <c r="E816" s="22" t="inlineStr">
        <is>
          <t>Nexa Online (website/app)</t>
        </is>
      </c>
      <c r="F816" s="22" t="inlineStr">
        <is>
          <t>Online</t>
        </is>
      </c>
      <c r="G816" s="22" t="inlineStr">
        <is>
          <t>ONLINE</t>
        </is>
      </c>
      <c r="H816" s="31" t="n">
        <v>81597.82000000001</v>
      </c>
      <c r="I816" s="31" t="n">
        <v>1555.96</v>
      </c>
      <c r="J816" s="31" t="n">
        <v>80041.86</v>
      </c>
      <c r="K816" s="31" t="n">
        <v>453.1</v>
      </c>
      <c r="L816" s="32" t="n">
        <v>51</v>
      </c>
      <c r="M816" s="32" t="n">
        <v>380</v>
      </c>
      <c r="N816" s="31" t="n">
        <v>92314.75999999999</v>
      </c>
      <c r="O816" s="31" t="n">
        <v>92767.86</v>
      </c>
      <c r="P816" s="22" t="n">
        <v>2</v>
      </c>
      <c r="Q816" s="22" t="n">
        <v>0</v>
      </c>
      <c r="R816" s="22" t="n">
        <v>0</v>
      </c>
    </row>
    <row r="817">
      <c r="A817" s="22" t="n">
        <v>201707</v>
      </c>
      <c r="B817" s="22" t="inlineStr">
        <is>
          <t>07/2017</t>
        </is>
      </c>
      <c r="C817" s="22" t="n">
        <v>1</v>
      </c>
      <c r="D817" s="22" t="inlineStr">
        <is>
          <t>S01</t>
        </is>
      </c>
      <c r="E817" s="22" t="inlineStr">
        <is>
          <t>Nexa Australian Capital Territory (S01)</t>
        </is>
      </c>
      <c r="F817" s="22" t="inlineStr">
        <is>
          <t>Úc</t>
        </is>
      </c>
      <c r="G817" s="22" t="inlineStr">
        <is>
          <t>POS</t>
        </is>
      </c>
      <c r="H817" s="31" t="n">
        <v>4658.02</v>
      </c>
      <c r="I817" s="31" t="n">
        <v>0</v>
      </c>
      <c r="J817" s="31" t="n">
        <v>4658.02</v>
      </c>
      <c r="K817" s="31" t="n">
        <v>0</v>
      </c>
      <c r="L817" s="32" t="n">
        <v>2</v>
      </c>
      <c r="M817" s="32" t="n">
        <v>23</v>
      </c>
      <c r="N817" s="31" t="n">
        <v>4658.02</v>
      </c>
      <c r="O817" s="31" t="n">
        <v>4658.02</v>
      </c>
      <c r="P817" s="22" t="n">
        <v>0</v>
      </c>
      <c r="Q817" s="22" t="n">
        <v>0</v>
      </c>
      <c r="R817" s="22" t="n">
        <v>0</v>
      </c>
    </row>
    <row r="818">
      <c r="A818" s="22" t="n">
        <v>201707</v>
      </c>
      <c r="B818" s="22" t="inlineStr">
        <is>
          <t>07/2017</t>
        </is>
      </c>
      <c r="C818" s="22" t="n">
        <v>4</v>
      </c>
      <c r="D818" s="22" t="inlineStr">
        <is>
          <t>S04</t>
        </is>
      </c>
      <c r="E818" s="22" t="inlineStr">
        <is>
          <t>Nexa Tasmania (S04)</t>
        </is>
      </c>
      <c r="F818" s="22" t="inlineStr">
        <is>
          <t>Úc</t>
        </is>
      </c>
      <c r="G818" s="22" t="inlineStr">
        <is>
          <t>POS</t>
        </is>
      </c>
      <c r="H818" s="31" t="n">
        <v>14523.37</v>
      </c>
      <c r="I818" s="31" t="n">
        <v>0</v>
      </c>
      <c r="J818" s="31" t="n">
        <v>14523.37</v>
      </c>
      <c r="K818" s="31" t="n">
        <v>0</v>
      </c>
      <c r="L818" s="32" t="n">
        <v>2</v>
      </c>
      <c r="M818" s="32" t="n">
        <v>17</v>
      </c>
      <c r="N818" s="31" t="n">
        <v>14523.37</v>
      </c>
      <c r="O818" s="31" t="n">
        <v>14523.37</v>
      </c>
      <c r="P818" s="22" t="n">
        <v>0</v>
      </c>
      <c r="Q818" s="22" t="n">
        <v>0</v>
      </c>
      <c r="R818" s="22" t="n">
        <v>0</v>
      </c>
    </row>
    <row r="819">
      <c r="A819" s="22" t="n">
        <v>201707</v>
      </c>
      <c r="B819" s="22" t="inlineStr">
        <is>
          <t>07/2017</t>
        </is>
      </c>
      <c r="C819" s="22" t="n">
        <v>5</v>
      </c>
      <c r="D819" s="22" t="inlineStr">
        <is>
          <t>S05</t>
        </is>
      </c>
      <c r="E819" s="22" t="inlineStr">
        <is>
          <t>Nexa Victoria (S05)</t>
        </is>
      </c>
      <c r="F819" s="22" t="inlineStr">
        <is>
          <t>Úc</t>
        </is>
      </c>
      <c r="G819" s="22" t="inlineStr">
        <is>
          <t>POS</t>
        </is>
      </c>
      <c r="H819" s="31" t="n">
        <v>2185.2</v>
      </c>
      <c r="I819" s="31" t="n">
        <v>0</v>
      </c>
      <c r="J819" s="31" t="n">
        <v>2185.2</v>
      </c>
      <c r="K819" s="31" t="n">
        <v>0</v>
      </c>
      <c r="L819" s="32" t="n">
        <v>3</v>
      </c>
      <c r="M819" s="32" t="n">
        <v>16</v>
      </c>
      <c r="N819" s="31" t="n">
        <v>2185.2</v>
      </c>
      <c r="O819" s="31" t="n">
        <v>2185.2</v>
      </c>
      <c r="P819" s="22" t="n">
        <v>0</v>
      </c>
      <c r="Q819" s="22" t="n">
        <v>0</v>
      </c>
      <c r="R819" s="22" t="n">
        <v>0</v>
      </c>
    </row>
    <row r="820">
      <c r="A820" s="22" t="n">
        <v>201707</v>
      </c>
      <c r="B820" s="22" t="inlineStr">
        <is>
          <t>07/2017</t>
        </is>
      </c>
      <c r="C820" s="22" t="n">
        <v>6</v>
      </c>
      <c r="D820" s="22" t="inlineStr">
        <is>
          <t>S06</t>
        </is>
      </c>
      <c r="E820" s="22" t="inlineStr">
        <is>
          <t>Nexa Western Australia (S06)</t>
        </is>
      </c>
      <c r="F820" s="22" t="inlineStr">
        <is>
          <t>Úc</t>
        </is>
      </c>
      <c r="G820" s="22" t="inlineStr">
        <is>
          <t>POS</t>
        </is>
      </c>
      <c r="H820" s="31" t="n">
        <v>6460.89</v>
      </c>
      <c r="I820" s="31" t="n">
        <v>0</v>
      </c>
      <c r="J820" s="31" t="n">
        <v>6460.89</v>
      </c>
      <c r="K820" s="31" t="n">
        <v>0</v>
      </c>
      <c r="L820" s="32" t="n">
        <v>4</v>
      </c>
      <c r="M820" s="32" t="n">
        <v>20</v>
      </c>
      <c r="N820" s="31" t="n">
        <v>6460.89</v>
      </c>
      <c r="O820" s="31" t="n">
        <v>6460.89</v>
      </c>
      <c r="P820" s="22" t="n">
        <v>0</v>
      </c>
      <c r="Q820" s="22" t="n">
        <v>0</v>
      </c>
      <c r="R820" s="22" t="n">
        <v>0</v>
      </c>
    </row>
    <row r="821">
      <c r="A821" s="22" t="n">
        <v>201707</v>
      </c>
      <c r="B821" s="22" t="inlineStr">
        <is>
          <t>07/2017</t>
        </is>
      </c>
      <c r="C821" s="22" t="n">
        <v>8</v>
      </c>
      <c r="D821" s="22" t="inlineStr">
        <is>
          <t>S08</t>
        </is>
      </c>
      <c r="E821" s="22" t="inlineStr">
        <is>
          <t>Nexa Newfoundland and Labrador (S08)</t>
        </is>
      </c>
      <c r="F821" s="22" t="inlineStr">
        <is>
          <t>Canada</t>
        </is>
      </c>
      <c r="G821" s="22" t="inlineStr">
        <is>
          <t>POS</t>
        </is>
      </c>
      <c r="H821" s="31" t="n">
        <v>8872.99</v>
      </c>
      <c r="I821" s="31" t="n">
        <v>0</v>
      </c>
      <c r="J821" s="31" t="n">
        <v>8872.99</v>
      </c>
      <c r="K821" s="31" t="n">
        <v>625.95</v>
      </c>
      <c r="L821" s="32" t="n">
        <v>6</v>
      </c>
      <c r="M821" s="32" t="n">
        <v>55</v>
      </c>
      <c r="N821" s="31" t="n">
        <v>8396.99</v>
      </c>
      <c r="O821" s="31" t="n">
        <v>8872.99</v>
      </c>
      <c r="P821" s="22" t="n">
        <v>0</v>
      </c>
      <c r="Q821" s="22" t="n">
        <v>0</v>
      </c>
      <c r="R821" s="22" t="n">
        <v>0</v>
      </c>
    </row>
    <row r="822">
      <c r="A822" s="22" t="n">
        <v>201707</v>
      </c>
      <c r="B822" s="22" t="inlineStr">
        <is>
          <t>07/2017</t>
        </is>
      </c>
      <c r="C822" s="22" t="n">
        <v>9</v>
      </c>
      <c r="D822" s="22" t="inlineStr">
        <is>
          <t>S09</t>
        </is>
      </c>
      <c r="E822" s="22" t="inlineStr">
        <is>
          <t>Nexa Northwest Territories (S09)</t>
        </is>
      </c>
      <c r="F822" s="22" t="inlineStr">
        <is>
          <t>Canada</t>
        </is>
      </c>
      <c r="G822" s="22" t="inlineStr">
        <is>
          <t>POS</t>
        </is>
      </c>
      <c r="H822" s="31" t="n">
        <v>29123.32</v>
      </c>
      <c r="I822" s="31" t="n">
        <v>0</v>
      </c>
      <c r="J822" s="31" t="n">
        <v>29123.32</v>
      </c>
      <c r="K822" s="31" t="n">
        <v>1259.93</v>
      </c>
      <c r="L822" s="32" t="n">
        <v>7</v>
      </c>
      <c r="M822" s="32" t="n">
        <v>80</v>
      </c>
      <c r="N822" s="31" t="n">
        <v>27863.39</v>
      </c>
      <c r="O822" s="31" t="n">
        <v>29123.32</v>
      </c>
      <c r="P822" s="22" t="n">
        <v>0</v>
      </c>
      <c r="Q822" s="22" t="n">
        <v>0</v>
      </c>
      <c r="R822" s="22" t="n">
        <v>1</v>
      </c>
    </row>
    <row r="823">
      <c r="A823" s="22" t="n">
        <v>201707</v>
      </c>
      <c r="B823" s="22" t="inlineStr">
        <is>
          <t>07/2017</t>
        </is>
      </c>
      <c r="C823" s="22" t="n">
        <v>10</v>
      </c>
      <c r="D823" s="22" t="inlineStr">
        <is>
          <t>S10</t>
        </is>
      </c>
      <c r="E823" s="22" t="inlineStr">
        <is>
          <t>Nexa Nunavut (S10)</t>
        </is>
      </c>
      <c r="F823" s="22" t="inlineStr">
        <is>
          <t>Canada</t>
        </is>
      </c>
      <c r="G823" s="22" t="inlineStr">
        <is>
          <t>POS</t>
        </is>
      </c>
      <c r="H823" s="31" t="n">
        <v>6813.77</v>
      </c>
      <c r="I823" s="31" t="n">
        <v>0</v>
      </c>
      <c r="J823" s="31" t="n">
        <v>6813.77</v>
      </c>
      <c r="K823" s="31" t="n">
        <v>853.6799999999999</v>
      </c>
      <c r="L823" s="32" t="n">
        <v>5</v>
      </c>
      <c r="M823" s="32" t="n">
        <v>23</v>
      </c>
      <c r="N823" s="31" t="n">
        <v>5960.09</v>
      </c>
      <c r="O823" s="31" t="n">
        <v>6813.77</v>
      </c>
      <c r="P823" s="22" t="n">
        <v>1</v>
      </c>
      <c r="Q823" s="22" t="n">
        <v>0</v>
      </c>
      <c r="R823" s="22" t="n">
        <v>0</v>
      </c>
    </row>
    <row r="824">
      <c r="A824" s="22" t="n">
        <v>201707</v>
      </c>
      <c r="B824" s="22" t="inlineStr">
        <is>
          <t>07/2017</t>
        </is>
      </c>
      <c r="C824" s="22" t="n">
        <v>12</v>
      </c>
      <c r="D824" s="22" t="inlineStr">
        <is>
          <t>S12</t>
        </is>
      </c>
      <c r="E824" s="22" t="inlineStr">
        <is>
          <t>Nexa Basse-Normandie (S12)</t>
        </is>
      </c>
      <c r="F824" s="22" t="inlineStr">
        <is>
          <t>Pháp</t>
        </is>
      </c>
      <c r="G824" s="22" t="inlineStr">
        <is>
          <t>POS</t>
        </is>
      </c>
      <c r="H824" s="31" t="n">
        <v>996.96</v>
      </c>
      <c r="I824" s="31" t="n">
        <v>0</v>
      </c>
      <c r="J824" s="31" t="n">
        <v>996.96</v>
      </c>
      <c r="K824" s="31" t="n">
        <v>0</v>
      </c>
      <c r="L824" s="32" t="n">
        <v>1</v>
      </c>
      <c r="M824" s="32" t="n">
        <v>7</v>
      </c>
      <c r="N824" s="31" t="n">
        <v>996.96</v>
      </c>
      <c r="O824" s="31" t="n">
        <v>996.96</v>
      </c>
      <c r="P824" s="22" t="n">
        <v>0</v>
      </c>
      <c r="Q824" s="22" t="n">
        <v>0</v>
      </c>
      <c r="R824" s="22" t="n">
        <v>0</v>
      </c>
    </row>
    <row r="825">
      <c r="A825" s="22" t="n">
        <v>201707</v>
      </c>
      <c r="B825" s="22" t="inlineStr">
        <is>
          <t>07/2017</t>
        </is>
      </c>
      <c r="C825" s="22" t="n">
        <v>15</v>
      </c>
      <c r="D825" s="22" t="inlineStr">
        <is>
          <t>S15</t>
        </is>
      </c>
      <c r="E825" s="22" t="inlineStr">
        <is>
          <t>Nexa La Réunion (S15)</t>
        </is>
      </c>
      <c r="F825" s="22" t="inlineStr">
        <is>
          <t>Pháp</t>
        </is>
      </c>
      <c r="G825" s="22" t="inlineStr">
        <is>
          <t>POS</t>
        </is>
      </c>
      <c r="H825" s="31" t="n">
        <v>2096.88</v>
      </c>
      <c r="I825" s="31" t="n">
        <v>0</v>
      </c>
      <c r="J825" s="31" t="n">
        <v>2096.88</v>
      </c>
      <c r="K825" s="31" t="n">
        <v>0</v>
      </c>
      <c r="L825" s="32" t="n">
        <v>2</v>
      </c>
      <c r="M825" s="32" t="n">
        <v>13</v>
      </c>
      <c r="N825" s="31" t="n">
        <v>2096.88</v>
      </c>
      <c r="O825" s="31" t="n">
        <v>2096.88</v>
      </c>
      <c r="P825" s="22" t="n">
        <v>1</v>
      </c>
      <c r="Q825" s="22" t="n">
        <v>0</v>
      </c>
      <c r="R825" s="22" t="n">
        <v>0</v>
      </c>
    </row>
    <row r="826">
      <c r="A826" s="22" t="n">
        <v>201707</v>
      </c>
      <c r="B826" s="22" t="inlineStr">
        <is>
          <t>07/2017</t>
        </is>
      </c>
      <c r="C826" s="22" t="n">
        <v>16</v>
      </c>
      <c r="D826" s="22" t="inlineStr">
        <is>
          <t>S16</t>
        </is>
      </c>
      <c r="E826" s="22" t="inlineStr">
        <is>
          <t>Nexa Limousin (S16)</t>
        </is>
      </c>
      <c r="F826" s="22" t="inlineStr">
        <is>
          <t>Pháp</t>
        </is>
      </c>
      <c r="G826" s="22" t="inlineStr">
        <is>
          <t>POS</t>
        </is>
      </c>
      <c r="H826" s="31" t="n">
        <v>1514.94</v>
      </c>
      <c r="I826" s="31" t="n">
        <v>0</v>
      </c>
      <c r="J826" s="31" t="n">
        <v>1514.94</v>
      </c>
      <c r="K826" s="31" t="n">
        <v>0</v>
      </c>
      <c r="L826" s="32" t="n">
        <v>1</v>
      </c>
      <c r="M826" s="32" t="n">
        <v>9</v>
      </c>
      <c r="N826" s="31" t="n">
        <v>1514.94</v>
      </c>
      <c r="O826" s="31" t="n">
        <v>1514.94</v>
      </c>
      <c r="P826" s="22" t="n">
        <v>0</v>
      </c>
      <c r="Q826" s="22" t="n">
        <v>0</v>
      </c>
      <c r="R826" s="22" t="n">
        <v>0</v>
      </c>
    </row>
    <row r="827">
      <c r="A827" s="22" t="n">
        <v>201707</v>
      </c>
      <c r="B827" s="22" t="inlineStr">
        <is>
          <t>07/2017</t>
        </is>
      </c>
      <c r="C827" s="22" t="n">
        <v>17</v>
      </c>
      <c r="D827" s="22" t="inlineStr">
        <is>
          <t>S17</t>
        </is>
      </c>
      <c r="E827" s="22" t="inlineStr">
        <is>
          <t>Nexa Martinique (S17)</t>
        </is>
      </c>
      <c r="F827" s="22" t="inlineStr">
        <is>
          <t>Pháp</t>
        </is>
      </c>
      <c r="G827" s="22" t="inlineStr">
        <is>
          <t>POS</t>
        </is>
      </c>
      <c r="H827" s="31" t="n">
        <v>2169.51</v>
      </c>
      <c r="I827" s="31" t="n">
        <v>0</v>
      </c>
      <c r="J827" s="31" t="n">
        <v>2169.51</v>
      </c>
      <c r="K827" s="31" t="n">
        <v>0</v>
      </c>
      <c r="L827" s="32" t="n">
        <v>1</v>
      </c>
      <c r="M827" s="32" t="n">
        <v>21</v>
      </c>
      <c r="N827" s="31" t="n">
        <v>2169.51</v>
      </c>
      <c r="O827" s="31" t="n">
        <v>2169.51</v>
      </c>
      <c r="P827" s="22" t="n">
        <v>0</v>
      </c>
      <c r="Q827" s="22" t="n">
        <v>0</v>
      </c>
      <c r="R827" s="22" t="n">
        <v>0</v>
      </c>
    </row>
    <row r="828">
      <c r="A828" s="22" t="n">
        <v>201707</v>
      </c>
      <c r="B828" s="22" t="inlineStr">
        <is>
          <t>07/2017</t>
        </is>
      </c>
      <c r="C828" s="22" t="n">
        <v>19</v>
      </c>
      <c r="D828" s="22" t="inlineStr">
        <is>
          <t>S19</t>
        </is>
      </c>
      <c r="E828" s="22" t="inlineStr">
        <is>
          <t>Nexa Berlin (S19)</t>
        </is>
      </c>
      <c r="F828" s="22" t="inlineStr">
        <is>
          <t>Đức</t>
        </is>
      </c>
      <c r="G828" s="22" t="inlineStr">
        <is>
          <t>POS</t>
        </is>
      </c>
      <c r="H828" s="31" t="n">
        <v>11380.43</v>
      </c>
      <c r="I828" s="31" t="n">
        <v>0</v>
      </c>
      <c r="J828" s="31" t="n">
        <v>11380.43</v>
      </c>
      <c r="K828" s="31" t="n">
        <v>9.99</v>
      </c>
      <c r="L828" s="32" t="n">
        <v>4</v>
      </c>
      <c r="M828" s="32" t="n">
        <v>38</v>
      </c>
      <c r="N828" s="31" t="n">
        <v>11370.44</v>
      </c>
      <c r="O828" s="31" t="n">
        <v>11380.43</v>
      </c>
      <c r="P828" s="22" t="n">
        <v>0</v>
      </c>
      <c r="Q828" s="22" t="n">
        <v>0</v>
      </c>
      <c r="R828" s="22" t="n">
        <v>0</v>
      </c>
    </row>
    <row r="829">
      <c r="A829" s="22" t="n">
        <v>201707</v>
      </c>
      <c r="B829" s="22" t="inlineStr">
        <is>
          <t>07/2017</t>
        </is>
      </c>
      <c r="C829" s="22" t="n">
        <v>20</v>
      </c>
      <c r="D829" s="22" t="inlineStr">
        <is>
          <t>S20</t>
        </is>
      </c>
      <c r="E829" s="22" t="inlineStr">
        <is>
          <t>Nexa Brandenburg (S20)</t>
        </is>
      </c>
      <c r="F829" s="22" t="inlineStr">
        <is>
          <t>Đức</t>
        </is>
      </c>
      <c r="G829" s="22" t="inlineStr">
        <is>
          <t>POS</t>
        </is>
      </c>
      <c r="H829" s="31" t="n">
        <v>4143.8</v>
      </c>
      <c r="I829" s="31" t="n">
        <v>0</v>
      </c>
      <c r="J829" s="31" t="n">
        <v>4143.8</v>
      </c>
      <c r="K829" s="31" t="n">
        <v>0</v>
      </c>
      <c r="L829" s="32" t="n">
        <v>3</v>
      </c>
      <c r="M829" s="32" t="n">
        <v>10</v>
      </c>
      <c r="N829" s="31" t="n">
        <v>4143.8</v>
      </c>
      <c r="O829" s="31" t="n">
        <v>4143.8</v>
      </c>
      <c r="P829" s="22" t="n">
        <v>0</v>
      </c>
      <c r="Q829" s="22" t="n">
        <v>0</v>
      </c>
      <c r="R829" s="22" t="n">
        <v>0</v>
      </c>
    </row>
    <row r="830">
      <c r="A830" s="22" t="n">
        <v>201707</v>
      </c>
      <c r="B830" s="22" t="inlineStr">
        <is>
          <t>07/2017</t>
        </is>
      </c>
      <c r="C830" s="22" t="n">
        <v>22</v>
      </c>
      <c r="D830" s="22" t="inlineStr">
        <is>
          <t>S22</t>
        </is>
      </c>
      <c r="E830" s="22" t="inlineStr">
        <is>
          <t>Nexa Freistaat Thüringen (S22)</t>
        </is>
      </c>
      <c r="F830" s="22" t="inlineStr">
        <is>
          <t>Đức</t>
        </is>
      </c>
      <c r="G830" s="22" t="inlineStr">
        <is>
          <t>POS</t>
        </is>
      </c>
      <c r="H830" s="31" t="n">
        <v>7701.9</v>
      </c>
      <c r="I830" s="31" t="n">
        <v>0</v>
      </c>
      <c r="J830" s="31" t="n">
        <v>7701.9</v>
      </c>
      <c r="K830" s="31" t="n">
        <v>1178</v>
      </c>
      <c r="L830" s="32" t="n">
        <v>2</v>
      </c>
      <c r="M830" s="32" t="n">
        <v>19</v>
      </c>
      <c r="N830" s="31" t="n">
        <v>6523.9</v>
      </c>
      <c r="O830" s="31" t="n">
        <v>7701.9</v>
      </c>
      <c r="P830" s="22" t="n">
        <v>0</v>
      </c>
      <c r="Q830" s="22" t="n">
        <v>0</v>
      </c>
      <c r="R830" s="22" t="n">
        <v>0</v>
      </c>
    </row>
    <row r="831">
      <c r="A831" s="22" t="n">
        <v>201707</v>
      </c>
      <c r="B831" s="22" t="inlineStr">
        <is>
          <t>07/2017</t>
        </is>
      </c>
      <c r="C831" s="22" t="n">
        <v>23</v>
      </c>
      <c r="D831" s="22" t="inlineStr">
        <is>
          <t>S23</t>
        </is>
      </c>
      <c r="E831" s="22" t="inlineStr">
        <is>
          <t>Nexa Hamburg (S23)</t>
        </is>
      </c>
      <c r="F831" s="22" t="inlineStr">
        <is>
          <t>Đức</t>
        </is>
      </c>
      <c r="G831" s="22" t="inlineStr">
        <is>
          <t>POS</t>
        </is>
      </c>
      <c r="H831" s="31" t="n">
        <v>1175.92</v>
      </c>
      <c r="I831" s="31" t="n">
        <v>0</v>
      </c>
      <c r="J831" s="31" t="n">
        <v>1175.92</v>
      </c>
      <c r="K831" s="31" t="n">
        <v>0</v>
      </c>
      <c r="L831" s="32" t="n">
        <v>3</v>
      </c>
      <c r="M831" s="32" t="n">
        <v>17</v>
      </c>
      <c r="N831" s="31" t="n">
        <v>1175.92</v>
      </c>
      <c r="O831" s="31" t="n">
        <v>1175.92</v>
      </c>
      <c r="P831" s="22" t="n">
        <v>0</v>
      </c>
      <c r="Q831" s="22" t="n">
        <v>0</v>
      </c>
      <c r="R831" s="22" t="n">
        <v>0</v>
      </c>
    </row>
    <row r="832">
      <c r="A832" s="22" t="n">
        <v>201707</v>
      </c>
      <c r="B832" s="22" t="inlineStr">
        <is>
          <t>07/2017</t>
        </is>
      </c>
      <c r="C832" s="22" t="n">
        <v>27</v>
      </c>
      <c r="D832" s="22" t="inlineStr">
        <is>
          <t>S27</t>
        </is>
      </c>
      <c r="E832" s="22" t="inlineStr">
        <is>
          <t>Nexa Sachsen-Anhalt (S27)</t>
        </is>
      </c>
      <c r="F832" s="22" t="inlineStr">
        <is>
          <t>Đức</t>
        </is>
      </c>
      <c r="G832" s="22" t="inlineStr">
        <is>
          <t>POS</t>
        </is>
      </c>
      <c r="H832" s="31" t="n">
        <v>516</v>
      </c>
      <c r="I832" s="31" t="n">
        <v>0</v>
      </c>
      <c r="J832" s="31" t="n">
        <v>516</v>
      </c>
      <c r="K832" s="31" t="n">
        <v>0</v>
      </c>
      <c r="L832" s="32" t="n">
        <v>1</v>
      </c>
      <c r="M832" s="32" t="n">
        <v>4</v>
      </c>
      <c r="N832" s="31" t="n">
        <v>516</v>
      </c>
      <c r="O832" s="31" t="n">
        <v>516</v>
      </c>
      <c r="P832" s="22" t="n">
        <v>0</v>
      </c>
      <c r="Q832" s="22" t="n">
        <v>0</v>
      </c>
      <c r="R832" s="22" t="n">
        <v>0</v>
      </c>
    </row>
    <row r="833">
      <c r="A833" s="22" t="n">
        <v>201707</v>
      </c>
      <c r="B833" s="22" t="inlineStr">
        <is>
          <t>07/2017</t>
        </is>
      </c>
      <c r="C833" s="22" t="n">
        <v>28</v>
      </c>
      <c r="D833" s="22" t="inlineStr">
        <is>
          <t>S28</t>
        </is>
      </c>
      <c r="E833" s="22" t="inlineStr">
        <is>
          <t>Nexa Caltanissetta (S28)</t>
        </is>
      </c>
      <c r="F833" s="22" t="inlineStr">
        <is>
          <t>Ý</t>
        </is>
      </c>
      <c r="G833" s="22" t="inlineStr">
        <is>
          <t>POS</t>
        </is>
      </c>
      <c r="H833" s="31" t="n">
        <v>3851.92</v>
      </c>
      <c r="I833" s="31" t="n">
        <v>0</v>
      </c>
      <c r="J833" s="31" t="n">
        <v>3851.92</v>
      </c>
      <c r="K833" s="31" t="n">
        <v>269.9</v>
      </c>
      <c r="L833" s="32" t="n">
        <v>4</v>
      </c>
      <c r="M833" s="32" t="n">
        <v>33</v>
      </c>
      <c r="N833" s="31" t="n">
        <v>3582.02</v>
      </c>
      <c r="O833" s="31" t="n">
        <v>3851.92</v>
      </c>
      <c r="P833" s="22" t="n">
        <v>0</v>
      </c>
      <c r="Q833" s="22" t="n">
        <v>0</v>
      </c>
      <c r="R833" s="22" t="n">
        <v>0</v>
      </c>
    </row>
    <row r="834">
      <c r="A834" s="22" t="n">
        <v>201707</v>
      </c>
      <c r="B834" s="22" t="inlineStr">
        <is>
          <t>07/2017</t>
        </is>
      </c>
      <c r="C834" s="22" t="n">
        <v>29</v>
      </c>
      <c r="D834" s="22" t="inlineStr">
        <is>
          <t>S29</t>
        </is>
      </c>
      <c r="E834" s="22" t="inlineStr">
        <is>
          <t>Nexa Enna (S29)</t>
        </is>
      </c>
      <c r="F834" s="22" t="inlineStr">
        <is>
          <t>Ý</t>
        </is>
      </c>
      <c r="G834" s="22" t="inlineStr">
        <is>
          <t>POS</t>
        </is>
      </c>
      <c r="H834" s="31" t="n">
        <v>22081.71</v>
      </c>
      <c r="I834" s="31" t="n">
        <v>0</v>
      </c>
      <c r="J834" s="31" t="n">
        <v>22081.71</v>
      </c>
      <c r="K834" s="31" t="n">
        <v>269.9</v>
      </c>
      <c r="L834" s="32" t="n">
        <v>6</v>
      </c>
      <c r="M834" s="32" t="n">
        <v>58</v>
      </c>
      <c r="N834" s="31" t="n">
        <v>21811.81</v>
      </c>
      <c r="O834" s="31" t="n">
        <v>22081.71</v>
      </c>
      <c r="P834" s="22" t="n">
        <v>0</v>
      </c>
      <c r="Q834" s="22" t="n">
        <v>0</v>
      </c>
      <c r="R834" s="22" t="n">
        <v>0</v>
      </c>
    </row>
    <row r="835">
      <c r="A835" s="22" t="n">
        <v>201707</v>
      </c>
      <c r="B835" s="22" t="inlineStr">
        <is>
          <t>07/2017</t>
        </is>
      </c>
      <c r="C835" s="22" t="n">
        <v>30</v>
      </c>
      <c r="D835" s="22" t="inlineStr">
        <is>
          <t>S30</t>
        </is>
      </c>
      <c r="E835" s="22" t="inlineStr">
        <is>
          <t>Nexa Pesaro (S30)</t>
        </is>
      </c>
      <c r="F835" s="22" t="inlineStr">
        <is>
          <t>Ý</t>
        </is>
      </c>
      <c r="G835" s="22" t="inlineStr">
        <is>
          <t>POS</t>
        </is>
      </c>
      <c r="H835" s="31" t="n">
        <v>2322</v>
      </c>
      <c r="I835" s="31" t="n">
        <v>0</v>
      </c>
      <c r="J835" s="31" t="n">
        <v>2322</v>
      </c>
      <c r="K835" s="31" t="n">
        <v>0</v>
      </c>
      <c r="L835" s="32" t="n">
        <v>1</v>
      </c>
      <c r="M835" s="32" t="n">
        <v>8</v>
      </c>
      <c r="N835" s="31" t="n">
        <v>2322</v>
      </c>
      <c r="O835" s="31" t="n">
        <v>2322</v>
      </c>
      <c r="P835" s="22" t="n">
        <v>0</v>
      </c>
      <c r="Q835" s="22" t="n">
        <v>0</v>
      </c>
      <c r="R835" s="22" t="n">
        <v>0</v>
      </c>
    </row>
    <row r="836">
      <c r="A836" s="22" t="n">
        <v>201707</v>
      </c>
      <c r="B836" s="22" t="inlineStr">
        <is>
          <t>07/2017</t>
        </is>
      </c>
      <c r="C836" s="22" t="n">
        <v>31</v>
      </c>
      <c r="D836" s="22" t="inlineStr">
        <is>
          <t>S31</t>
        </is>
      </c>
      <c r="E836" s="22" t="inlineStr">
        <is>
          <t>Nexa Drenthe (S31)</t>
        </is>
      </c>
      <c r="F836" s="22" t="inlineStr">
        <is>
          <t>Hà Lan</t>
        </is>
      </c>
      <c r="G836" s="22" t="inlineStr">
        <is>
          <t>POS</t>
        </is>
      </c>
      <c r="H836" s="31" t="n">
        <v>8024.53</v>
      </c>
      <c r="I836" s="31" t="n">
        <v>0</v>
      </c>
      <c r="J836" s="31" t="n">
        <v>8024.53</v>
      </c>
      <c r="K836" s="31" t="n">
        <v>0</v>
      </c>
      <c r="L836" s="32" t="n">
        <v>4</v>
      </c>
      <c r="M836" s="32" t="n">
        <v>19</v>
      </c>
      <c r="N836" s="31" t="n">
        <v>8024.53</v>
      </c>
      <c r="O836" s="31" t="n">
        <v>8024.53</v>
      </c>
      <c r="P836" s="22" t="n">
        <v>0</v>
      </c>
      <c r="Q836" s="22" t="n">
        <v>0</v>
      </c>
      <c r="R836" s="22" t="n">
        <v>0</v>
      </c>
    </row>
    <row r="837">
      <c r="A837" s="22" t="n">
        <v>201707</v>
      </c>
      <c r="B837" s="22" t="inlineStr">
        <is>
          <t>07/2017</t>
        </is>
      </c>
      <c r="C837" s="22" t="n">
        <v>33</v>
      </c>
      <c r="D837" s="22" t="inlineStr">
        <is>
          <t>S33</t>
        </is>
      </c>
      <c r="E837" s="22" t="inlineStr">
        <is>
          <t>Nexa Friesland (S33)</t>
        </is>
      </c>
      <c r="F837" s="22" t="inlineStr">
        <is>
          <t>Hà Lan</t>
        </is>
      </c>
      <c r="G837" s="22" t="inlineStr">
        <is>
          <t>POS</t>
        </is>
      </c>
      <c r="H837" s="31" t="n">
        <v>5898.91</v>
      </c>
      <c r="I837" s="31" t="n">
        <v>0</v>
      </c>
      <c r="J837" s="31" t="n">
        <v>5898.91</v>
      </c>
      <c r="K837" s="31" t="n">
        <v>0</v>
      </c>
      <c r="L837" s="32" t="n">
        <v>4</v>
      </c>
      <c r="M837" s="32" t="n">
        <v>27</v>
      </c>
      <c r="N837" s="31" t="n">
        <v>5898.91</v>
      </c>
      <c r="O837" s="31" t="n">
        <v>5898.91</v>
      </c>
      <c r="P837" s="22" t="n">
        <v>1</v>
      </c>
      <c r="Q837" s="22" t="n">
        <v>0</v>
      </c>
      <c r="R837" s="22" t="n">
        <v>0</v>
      </c>
    </row>
    <row r="838">
      <c r="A838" s="22" t="n">
        <v>201707</v>
      </c>
      <c r="B838" s="22" t="inlineStr">
        <is>
          <t>07/2017</t>
        </is>
      </c>
      <c r="C838" s="22" t="n">
        <v>34</v>
      </c>
      <c r="D838" s="22" t="inlineStr">
        <is>
          <t>S34</t>
        </is>
      </c>
      <c r="E838" s="22" t="inlineStr">
        <is>
          <t>Nexa Groningen (S34)</t>
        </is>
      </c>
      <c r="F838" s="22" t="inlineStr">
        <is>
          <t>Hà Lan</t>
        </is>
      </c>
      <c r="G838" s="22" t="inlineStr">
        <is>
          <t>POS</t>
        </is>
      </c>
      <c r="H838" s="31" t="n">
        <v>1142.88</v>
      </c>
      <c r="I838" s="31" t="n">
        <v>0</v>
      </c>
      <c r="J838" s="31" t="n">
        <v>1142.88</v>
      </c>
      <c r="K838" s="31" t="n">
        <v>231</v>
      </c>
      <c r="L838" s="32" t="n">
        <v>2</v>
      </c>
      <c r="M838" s="32" t="n">
        <v>4</v>
      </c>
      <c r="N838" s="31" t="n">
        <v>911.88</v>
      </c>
      <c r="O838" s="31" t="n">
        <v>1142.88</v>
      </c>
      <c r="P838" s="22" t="n">
        <v>0</v>
      </c>
      <c r="Q838" s="22" t="n">
        <v>0</v>
      </c>
      <c r="R838" s="22" t="n">
        <v>0</v>
      </c>
    </row>
    <row r="839">
      <c r="A839" s="22" t="n">
        <v>201707</v>
      </c>
      <c r="B839" s="22" t="inlineStr">
        <is>
          <t>07/2017</t>
        </is>
      </c>
      <c r="C839" s="22" t="n">
        <v>36</v>
      </c>
      <c r="D839" s="22" t="inlineStr">
        <is>
          <t>S36</t>
        </is>
      </c>
      <c r="E839" s="22" t="inlineStr">
        <is>
          <t>Nexa Armagh (S36)</t>
        </is>
      </c>
      <c r="F839" s="22" t="inlineStr">
        <is>
          <t>Anh</t>
        </is>
      </c>
      <c r="G839" s="22" t="inlineStr">
        <is>
          <t>POS</t>
        </is>
      </c>
      <c r="H839" s="31" t="n">
        <v>12557.53</v>
      </c>
      <c r="I839" s="31" t="n">
        <v>0</v>
      </c>
      <c r="J839" s="31" t="n">
        <v>12557.53</v>
      </c>
      <c r="K839" s="31" t="n">
        <v>0</v>
      </c>
      <c r="L839" s="32" t="n">
        <v>4</v>
      </c>
      <c r="M839" s="32" t="n">
        <v>29</v>
      </c>
      <c r="N839" s="31" t="n">
        <v>12557.53</v>
      </c>
      <c r="O839" s="31" t="n">
        <v>12557.53</v>
      </c>
      <c r="P839" s="22" t="n">
        <v>0</v>
      </c>
      <c r="Q839" s="22" t="n">
        <v>0</v>
      </c>
      <c r="R839" s="22" t="n">
        <v>0</v>
      </c>
    </row>
    <row r="840">
      <c r="A840" s="22" t="n">
        <v>201707</v>
      </c>
      <c r="B840" s="22" t="inlineStr">
        <is>
          <t>07/2017</t>
        </is>
      </c>
      <c r="C840" s="22" t="n">
        <v>37</v>
      </c>
      <c r="D840" s="22" t="inlineStr">
        <is>
          <t>S37</t>
        </is>
      </c>
      <c r="E840" s="22" t="inlineStr">
        <is>
          <t>Nexa Ayrshire (S37)</t>
        </is>
      </c>
      <c r="F840" s="22" t="inlineStr">
        <is>
          <t>Anh</t>
        </is>
      </c>
      <c r="G840" s="22" t="inlineStr">
        <is>
          <t>POS</t>
        </is>
      </c>
      <c r="H840" s="31" t="n">
        <v>699</v>
      </c>
      <c r="I840" s="31" t="n">
        <v>0</v>
      </c>
      <c r="J840" s="31" t="n">
        <v>699</v>
      </c>
      <c r="K840" s="31" t="n">
        <v>0</v>
      </c>
      <c r="L840" s="32" t="n">
        <v>1</v>
      </c>
      <c r="M840" s="32" t="n">
        <v>1</v>
      </c>
      <c r="N840" s="31" t="n">
        <v>350</v>
      </c>
      <c r="O840" s="31" t="n">
        <v>699</v>
      </c>
      <c r="P840" s="22" t="n">
        <v>0</v>
      </c>
      <c r="Q840" s="22" t="n">
        <v>0</v>
      </c>
      <c r="R840" s="22" t="n">
        <v>0</v>
      </c>
    </row>
    <row r="841">
      <c r="A841" s="22" t="n">
        <v>201707</v>
      </c>
      <c r="B841" s="22" t="inlineStr">
        <is>
          <t>07/2017</t>
        </is>
      </c>
      <c r="C841" s="22" t="n">
        <v>38</v>
      </c>
      <c r="D841" s="22" t="inlineStr">
        <is>
          <t>S38</t>
        </is>
      </c>
      <c r="E841" s="22" t="inlineStr">
        <is>
          <t>Nexa Belfast (S38)</t>
        </is>
      </c>
      <c r="F841" s="22" t="inlineStr">
        <is>
          <t>Anh</t>
        </is>
      </c>
      <c r="G841" s="22" t="inlineStr">
        <is>
          <t>POS</t>
        </is>
      </c>
      <c r="H841" s="31" t="n">
        <v>4115.37</v>
      </c>
      <c r="I841" s="31" t="n">
        <v>0</v>
      </c>
      <c r="J841" s="31" t="n">
        <v>4115.37</v>
      </c>
      <c r="K841" s="31" t="n">
        <v>1003.97</v>
      </c>
      <c r="L841" s="32" t="n">
        <v>5</v>
      </c>
      <c r="M841" s="32" t="n">
        <v>38</v>
      </c>
      <c r="N841" s="31" t="n">
        <v>3111.4</v>
      </c>
      <c r="O841" s="31" t="n">
        <v>4115.37</v>
      </c>
      <c r="P841" s="22" t="n">
        <v>0</v>
      </c>
      <c r="Q841" s="22" t="n">
        <v>0</v>
      </c>
      <c r="R841" s="22" t="n">
        <v>0</v>
      </c>
    </row>
    <row r="842">
      <c r="A842" s="22" t="n">
        <v>201707</v>
      </c>
      <c r="B842" s="22" t="inlineStr">
        <is>
          <t>07/2017</t>
        </is>
      </c>
      <c r="C842" s="22" t="n">
        <v>39</v>
      </c>
      <c r="D842" s="22" t="inlineStr">
        <is>
          <t>S39</t>
        </is>
      </c>
      <c r="E842" s="22" t="inlineStr">
        <is>
          <t>Nexa Blaenau Gwent (S39)</t>
        </is>
      </c>
      <c r="F842" s="22" t="inlineStr">
        <is>
          <t>Anh</t>
        </is>
      </c>
      <c r="G842" s="22" t="inlineStr">
        <is>
          <t>POS</t>
        </is>
      </c>
      <c r="H842" s="31" t="n">
        <v>19772.65</v>
      </c>
      <c r="I842" s="31" t="n">
        <v>0</v>
      </c>
      <c r="J842" s="31" t="n">
        <v>19772.65</v>
      </c>
      <c r="K842" s="31" t="n">
        <v>0</v>
      </c>
      <c r="L842" s="32" t="n">
        <v>4</v>
      </c>
      <c r="M842" s="32" t="n">
        <v>49</v>
      </c>
      <c r="N842" s="31" t="n">
        <v>19772.65</v>
      </c>
      <c r="O842" s="31" t="n">
        <v>19772.65</v>
      </c>
      <c r="P842" s="22" t="n">
        <v>1</v>
      </c>
      <c r="Q842" s="22" t="n">
        <v>0</v>
      </c>
      <c r="R842" s="22" t="n">
        <v>0</v>
      </c>
    </row>
    <row r="843">
      <c r="A843" s="22" t="n">
        <v>201707</v>
      </c>
      <c r="B843" s="22" t="inlineStr">
        <is>
          <t>07/2017</t>
        </is>
      </c>
      <c r="C843" s="22" t="n">
        <v>40</v>
      </c>
      <c r="D843" s="22" t="inlineStr">
        <is>
          <t>S40</t>
        </is>
      </c>
      <c r="E843" s="22" t="inlineStr">
        <is>
          <t>Nexa Dungannon and South Tyrone (S40)</t>
        </is>
      </c>
      <c r="F843" s="22" t="inlineStr">
        <is>
          <t>Anh</t>
        </is>
      </c>
      <c r="G843" s="22" t="inlineStr">
        <is>
          <t>POS</t>
        </is>
      </c>
      <c r="H843" s="31" t="n">
        <v>16432.14</v>
      </c>
      <c r="I843" s="31" t="n">
        <v>0</v>
      </c>
      <c r="J843" s="31" t="n">
        <v>16432.14</v>
      </c>
      <c r="K843" s="31" t="n">
        <v>0</v>
      </c>
      <c r="L843" s="32" t="n">
        <v>7</v>
      </c>
      <c r="M843" s="32" t="n">
        <v>68</v>
      </c>
      <c r="N843" s="31" t="n">
        <v>16432.14</v>
      </c>
      <c r="O843" s="31" t="n">
        <v>16432.14</v>
      </c>
      <c r="P843" s="22" t="n">
        <v>0</v>
      </c>
      <c r="Q843" s="22" t="n">
        <v>0</v>
      </c>
      <c r="R843" s="22" t="n">
        <v>0</v>
      </c>
    </row>
    <row r="844">
      <c r="A844" s="22" t="n">
        <v>201707</v>
      </c>
      <c r="B844" s="22" t="inlineStr">
        <is>
          <t>07/2017</t>
        </is>
      </c>
      <c r="C844" s="22" t="n">
        <v>41</v>
      </c>
      <c r="D844" s="22" t="inlineStr">
        <is>
          <t>S41</t>
        </is>
      </c>
      <c r="E844" s="22" t="inlineStr">
        <is>
          <t>Nexa Fermanagh (S41)</t>
        </is>
      </c>
      <c r="F844" s="22" t="inlineStr">
        <is>
          <t>Anh</t>
        </is>
      </c>
      <c r="G844" s="22" t="inlineStr">
        <is>
          <t>POS</t>
        </is>
      </c>
      <c r="H844" s="31" t="n">
        <v>11619.76</v>
      </c>
      <c r="I844" s="31" t="n">
        <v>0</v>
      </c>
      <c r="J844" s="31" t="n">
        <v>11619.76</v>
      </c>
      <c r="K844" s="31" t="n">
        <v>849.9400000000001</v>
      </c>
      <c r="L844" s="32" t="n">
        <v>4</v>
      </c>
      <c r="M844" s="32" t="n">
        <v>35</v>
      </c>
      <c r="N844" s="31" t="n">
        <v>10769.82</v>
      </c>
      <c r="O844" s="31" t="n">
        <v>11619.76</v>
      </c>
      <c r="P844" s="22" t="n">
        <v>0</v>
      </c>
      <c r="Q844" s="22" t="n">
        <v>0</v>
      </c>
      <c r="R844" s="22" t="n">
        <v>0</v>
      </c>
    </row>
    <row r="845">
      <c r="A845" s="22" t="n">
        <v>201707</v>
      </c>
      <c r="B845" s="22" t="inlineStr">
        <is>
          <t>07/2017</t>
        </is>
      </c>
      <c r="C845" s="22" t="n">
        <v>42</v>
      </c>
      <c r="D845" s="22" t="inlineStr">
        <is>
          <t>S42</t>
        </is>
      </c>
      <c r="E845" s="22" t="inlineStr">
        <is>
          <t>Nexa North Down (S42)</t>
        </is>
      </c>
      <c r="F845" s="22" t="inlineStr">
        <is>
          <t>Anh</t>
        </is>
      </c>
      <c r="G845" s="22" t="inlineStr">
        <is>
          <t>POS</t>
        </is>
      </c>
      <c r="H845" s="31" t="n">
        <v>1233.98</v>
      </c>
      <c r="I845" s="31" t="n">
        <v>0</v>
      </c>
      <c r="J845" s="31" t="n">
        <v>1233.98</v>
      </c>
      <c r="K845" s="31" t="n">
        <v>0</v>
      </c>
      <c r="L845" s="32" t="n">
        <v>2</v>
      </c>
      <c r="M845" s="32" t="n">
        <v>6</v>
      </c>
      <c r="N845" s="31" t="n">
        <v>1233.98</v>
      </c>
      <c r="O845" s="31" t="n">
        <v>1233.98</v>
      </c>
      <c r="P845" s="22" t="n">
        <v>1</v>
      </c>
      <c r="Q845" s="22" t="n">
        <v>0</v>
      </c>
      <c r="R845" s="22" t="n">
        <v>0</v>
      </c>
    </row>
    <row r="846">
      <c r="A846" s="22" t="n">
        <v>201707</v>
      </c>
      <c r="B846" s="22" t="inlineStr">
        <is>
          <t>07/2017</t>
        </is>
      </c>
      <c r="C846" s="22" t="n">
        <v>43</v>
      </c>
      <c r="D846" s="22" t="inlineStr">
        <is>
          <t>S43</t>
        </is>
      </c>
      <c r="E846" s="22" t="inlineStr">
        <is>
          <t>Nexa Alaska (S43)</t>
        </is>
      </c>
      <c r="F846" s="22" t="inlineStr">
        <is>
          <t>Mỹ</t>
        </is>
      </c>
      <c r="G846" s="22" t="inlineStr">
        <is>
          <t>POS</t>
        </is>
      </c>
      <c r="H846" s="31" t="n">
        <v>559.89</v>
      </c>
      <c r="I846" s="31" t="n">
        <v>0</v>
      </c>
      <c r="J846" s="31" t="n">
        <v>559.89</v>
      </c>
      <c r="K846" s="31" t="n">
        <v>0</v>
      </c>
      <c r="L846" s="32" t="n">
        <v>2</v>
      </c>
      <c r="M846" s="32" t="n">
        <v>2</v>
      </c>
      <c r="N846" s="31" t="n">
        <v>559.89</v>
      </c>
      <c r="O846" s="31" t="n">
        <v>559.89</v>
      </c>
      <c r="P846" s="22" t="n">
        <v>0</v>
      </c>
      <c r="Q846" s="22" t="n">
        <v>0</v>
      </c>
      <c r="R846" s="22" t="n">
        <v>0</v>
      </c>
    </row>
    <row r="847">
      <c r="A847" s="22" t="n">
        <v>201707</v>
      </c>
      <c r="B847" s="22" t="inlineStr">
        <is>
          <t>07/2017</t>
        </is>
      </c>
      <c r="C847" s="22" t="n">
        <v>44</v>
      </c>
      <c r="D847" s="22" t="inlineStr">
        <is>
          <t>S44</t>
        </is>
      </c>
      <c r="E847" s="22" t="inlineStr">
        <is>
          <t>Nexa Arkansas (S44)</t>
        </is>
      </c>
      <c r="F847" s="22" t="inlineStr">
        <is>
          <t>Mỹ</t>
        </is>
      </c>
      <c r="G847" s="22" t="inlineStr">
        <is>
          <t>POS</t>
        </is>
      </c>
      <c r="H847" s="31" t="n">
        <v>6399.95</v>
      </c>
      <c r="I847" s="31" t="n">
        <v>0</v>
      </c>
      <c r="J847" s="31" t="n">
        <v>6399.95</v>
      </c>
      <c r="K847" s="31" t="n">
        <v>0</v>
      </c>
      <c r="L847" s="32" t="n">
        <v>4</v>
      </c>
      <c r="M847" s="32" t="n">
        <v>30</v>
      </c>
      <c r="N847" s="31" t="n">
        <v>6399.95</v>
      </c>
      <c r="O847" s="31" t="n">
        <v>6399.95</v>
      </c>
      <c r="P847" s="22" t="n">
        <v>0</v>
      </c>
      <c r="Q847" s="22" t="n">
        <v>0</v>
      </c>
      <c r="R847" s="22" t="n">
        <v>0</v>
      </c>
    </row>
    <row r="848">
      <c r="A848" s="22" t="n">
        <v>201707</v>
      </c>
      <c r="B848" s="22" t="inlineStr">
        <is>
          <t>07/2017</t>
        </is>
      </c>
      <c r="C848" s="22" t="n">
        <v>45</v>
      </c>
      <c r="D848" s="22" t="inlineStr">
        <is>
          <t>S45</t>
        </is>
      </c>
      <c r="E848" s="22" t="inlineStr">
        <is>
          <t>Nexa Connecticut (S45)</t>
        </is>
      </c>
      <c r="F848" s="22" t="inlineStr">
        <is>
          <t>Mỹ</t>
        </is>
      </c>
      <c r="G848" s="22" t="inlineStr">
        <is>
          <t>POS</t>
        </is>
      </c>
      <c r="H848" s="31" t="n">
        <v>16182.53</v>
      </c>
      <c r="I848" s="31" t="n">
        <v>0</v>
      </c>
      <c r="J848" s="31" t="n">
        <v>16182.53</v>
      </c>
      <c r="K848" s="31" t="n">
        <v>0</v>
      </c>
      <c r="L848" s="32" t="n">
        <v>7</v>
      </c>
      <c r="M848" s="32" t="n">
        <v>46</v>
      </c>
      <c r="N848" s="31" t="n">
        <v>16182.53</v>
      </c>
      <c r="O848" s="31" t="n">
        <v>16182.53</v>
      </c>
      <c r="P848" s="22" t="n">
        <v>0</v>
      </c>
      <c r="Q848" s="22" t="n">
        <v>0</v>
      </c>
      <c r="R848" s="22" t="n">
        <v>0</v>
      </c>
    </row>
    <row r="849">
      <c r="A849" s="22" t="n">
        <v>201707</v>
      </c>
      <c r="B849" s="22" t="inlineStr">
        <is>
          <t>07/2017</t>
        </is>
      </c>
      <c r="C849" s="22" t="n">
        <v>47</v>
      </c>
      <c r="D849" s="22" t="inlineStr">
        <is>
          <t>S47</t>
        </is>
      </c>
      <c r="E849" s="22" t="inlineStr">
        <is>
          <t>Nexa Hawaii (S47)</t>
        </is>
      </c>
      <c r="F849" s="22" t="inlineStr">
        <is>
          <t>Mỹ</t>
        </is>
      </c>
      <c r="G849" s="22" t="inlineStr">
        <is>
          <t>POS</t>
        </is>
      </c>
      <c r="H849" s="31" t="n">
        <v>8694.700000000001</v>
      </c>
      <c r="I849" s="31" t="n">
        <v>0</v>
      </c>
      <c r="J849" s="31" t="n">
        <v>8694.700000000001</v>
      </c>
      <c r="K849" s="31" t="n">
        <v>0</v>
      </c>
      <c r="L849" s="32" t="n">
        <v>4</v>
      </c>
      <c r="M849" s="32" t="n">
        <v>29</v>
      </c>
      <c r="N849" s="31" t="n">
        <v>8694.700000000001</v>
      </c>
      <c r="O849" s="31" t="n">
        <v>8694.700000000001</v>
      </c>
      <c r="P849" s="22" t="n">
        <v>0</v>
      </c>
      <c r="Q849" s="22" t="n">
        <v>0</v>
      </c>
      <c r="R849" s="22" t="n">
        <v>0</v>
      </c>
    </row>
    <row r="850">
      <c r="A850" s="22" t="n">
        <v>201707</v>
      </c>
      <c r="B850" s="22" t="inlineStr">
        <is>
          <t>07/2017</t>
        </is>
      </c>
      <c r="C850" s="22" t="n">
        <v>48</v>
      </c>
      <c r="D850" s="22" t="inlineStr">
        <is>
          <t>S48</t>
        </is>
      </c>
      <c r="E850" s="22" t="inlineStr">
        <is>
          <t>Nexa Idaho (S48)</t>
        </is>
      </c>
      <c r="F850" s="22" t="inlineStr">
        <is>
          <t>Mỹ</t>
        </is>
      </c>
      <c r="G850" s="22" t="inlineStr">
        <is>
          <t>POS</t>
        </is>
      </c>
      <c r="H850" s="31" t="n">
        <v>1793.94</v>
      </c>
      <c r="I850" s="31" t="n">
        <v>0</v>
      </c>
      <c r="J850" s="31" t="n">
        <v>1793.94</v>
      </c>
      <c r="K850" s="31" t="n">
        <v>759.85</v>
      </c>
      <c r="L850" s="32" t="n">
        <v>4</v>
      </c>
      <c r="M850" s="32" t="n">
        <v>11</v>
      </c>
      <c r="N850" s="31" t="n">
        <v>1034.09</v>
      </c>
      <c r="O850" s="31" t="n">
        <v>1793.94</v>
      </c>
      <c r="P850" s="22" t="n">
        <v>1</v>
      </c>
      <c r="Q850" s="22" t="n">
        <v>0</v>
      </c>
      <c r="R850" s="22" t="n">
        <v>0</v>
      </c>
    </row>
    <row r="851">
      <c r="A851" s="22" t="n">
        <v>201707</v>
      </c>
      <c r="B851" s="22" t="inlineStr">
        <is>
          <t>07/2017</t>
        </is>
      </c>
      <c r="C851" s="22" t="n">
        <v>50</v>
      </c>
      <c r="D851" s="22" t="inlineStr">
        <is>
          <t>S50</t>
        </is>
      </c>
      <c r="E851" s="22" t="inlineStr">
        <is>
          <t>Nexa Kansas (S50)</t>
        </is>
      </c>
      <c r="F851" s="22" t="inlineStr">
        <is>
          <t>Mỹ</t>
        </is>
      </c>
      <c r="G851" s="22" t="inlineStr">
        <is>
          <t>POS</t>
        </is>
      </c>
      <c r="H851" s="31" t="n">
        <v>23821.09</v>
      </c>
      <c r="I851" s="31" t="n">
        <v>0</v>
      </c>
      <c r="J851" s="31" t="n">
        <v>23821.09</v>
      </c>
      <c r="K851" s="31" t="n">
        <v>451.38</v>
      </c>
      <c r="L851" s="32" t="n">
        <v>10</v>
      </c>
      <c r="M851" s="32" t="n">
        <v>68</v>
      </c>
      <c r="N851" s="31" t="n">
        <v>23369.71</v>
      </c>
      <c r="O851" s="31" t="n">
        <v>23821.09</v>
      </c>
      <c r="P851" s="22" t="n">
        <v>0</v>
      </c>
      <c r="Q851" s="22" t="n">
        <v>0</v>
      </c>
      <c r="R851" s="22" t="n">
        <v>0</v>
      </c>
    </row>
    <row r="852">
      <c r="A852" s="22" t="n">
        <v>201707</v>
      </c>
      <c r="B852" s="22" t="inlineStr">
        <is>
          <t>07/2017</t>
        </is>
      </c>
      <c r="C852" s="22" t="n">
        <v>51</v>
      </c>
      <c r="D852" s="22" t="inlineStr">
        <is>
          <t>S51</t>
        </is>
      </c>
      <c r="E852" s="22" t="inlineStr">
        <is>
          <t>Nexa Maine (S51)</t>
        </is>
      </c>
      <c r="F852" s="22" t="inlineStr">
        <is>
          <t>Mỹ</t>
        </is>
      </c>
      <c r="G852" s="22" t="inlineStr">
        <is>
          <t>POS</t>
        </is>
      </c>
      <c r="H852" s="31" t="n">
        <v>12891.54</v>
      </c>
      <c r="I852" s="31" t="n">
        <v>0</v>
      </c>
      <c r="J852" s="31" t="n">
        <v>12891.54</v>
      </c>
      <c r="K852" s="31" t="n">
        <v>6.99</v>
      </c>
      <c r="L852" s="32" t="n">
        <v>3</v>
      </c>
      <c r="M852" s="32" t="n">
        <v>29</v>
      </c>
      <c r="N852" s="31" t="n">
        <v>12884.55</v>
      </c>
      <c r="O852" s="31" t="n">
        <v>12891.54</v>
      </c>
      <c r="P852" s="22" t="n">
        <v>0</v>
      </c>
      <c r="Q852" s="22" t="n">
        <v>0</v>
      </c>
      <c r="R852" s="22" t="n">
        <v>0</v>
      </c>
    </row>
    <row r="853">
      <c r="A853" s="22" t="n">
        <v>201707</v>
      </c>
      <c r="B853" s="22" t="inlineStr">
        <is>
          <t>07/2017</t>
        </is>
      </c>
      <c r="C853" s="22" t="n">
        <v>53</v>
      </c>
      <c r="D853" s="22" t="inlineStr">
        <is>
          <t>S53</t>
        </is>
      </c>
      <c r="E853" s="22" t="inlineStr">
        <is>
          <t>Nexa Montana (S53)</t>
        </is>
      </c>
      <c r="F853" s="22" t="inlineStr">
        <is>
          <t>Mỹ</t>
        </is>
      </c>
      <c r="G853" s="22" t="inlineStr">
        <is>
          <t>POS</t>
        </is>
      </c>
      <c r="H853" s="31" t="n">
        <v>1102.48</v>
      </c>
      <c r="I853" s="31" t="n">
        <v>0</v>
      </c>
      <c r="J853" s="31" t="n">
        <v>1102.48</v>
      </c>
      <c r="K853" s="31" t="n">
        <v>0</v>
      </c>
      <c r="L853" s="32" t="n">
        <v>2</v>
      </c>
      <c r="M853" s="32" t="n">
        <v>4</v>
      </c>
      <c r="N853" s="31" t="n">
        <v>1102.48</v>
      </c>
      <c r="O853" s="31" t="n">
        <v>1102.48</v>
      </c>
      <c r="P853" s="22" t="n">
        <v>0</v>
      </c>
      <c r="Q853" s="22" t="n">
        <v>0</v>
      </c>
      <c r="R853" s="22" t="n">
        <v>0</v>
      </c>
    </row>
    <row r="854">
      <c r="A854" s="22" t="n">
        <v>201707</v>
      </c>
      <c r="B854" s="22" t="inlineStr">
        <is>
          <t>07/2017</t>
        </is>
      </c>
      <c r="C854" s="22" t="n">
        <v>54</v>
      </c>
      <c r="D854" s="22" t="inlineStr">
        <is>
          <t>S54</t>
        </is>
      </c>
      <c r="E854" s="22" t="inlineStr">
        <is>
          <t>Nexa Nebraska (S54)</t>
        </is>
      </c>
      <c r="F854" s="22" t="inlineStr">
        <is>
          <t>Mỹ</t>
        </is>
      </c>
      <c r="G854" s="22" t="inlineStr">
        <is>
          <t>POS</t>
        </is>
      </c>
      <c r="H854" s="31" t="n">
        <v>13812.96</v>
      </c>
      <c r="I854" s="31" t="n">
        <v>0</v>
      </c>
      <c r="J854" s="31" t="n">
        <v>13812.96</v>
      </c>
      <c r="K854" s="31" t="n">
        <v>0</v>
      </c>
      <c r="L854" s="32" t="n">
        <v>7</v>
      </c>
      <c r="M854" s="32" t="n">
        <v>57</v>
      </c>
      <c r="N854" s="31" t="n">
        <v>13812.96</v>
      </c>
      <c r="O854" s="31" t="n">
        <v>13812.96</v>
      </c>
      <c r="P854" s="22" t="n">
        <v>0</v>
      </c>
      <c r="Q854" s="22" t="n">
        <v>0</v>
      </c>
      <c r="R854" s="22" t="n">
        <v>0</v>
      </c>
    </row>
    <row r="855">
      <c r="A855" s="22" t="n">
        <v>201707</v>
      </c>
      <c r="B855" s="22" t="inlineStr">
        <is>
          <t>07/2017</t>
        </is>
      </c>
      <c r="C855" s="22" t="n">
        <v>55</v>
      </c>
      <c r="D855" s="22" t="inlineStr">
        <is>
          <t>S55</t>
        </is>
      </c>
      <c r="E855" s="22" t="inlineStr">
        <is>
          <t>Nexa Nevada (S55)</t>
        </is>
      </c>
      <c r="F855" s="22" t="inlineStr">
        <is>
          <t>Mỹ</t>
        </is>
      </c>
      <c r="G855" s="22" t="inlineStr">
        <is>
          <t>POS</t>
        </is>
      </c>
      <c r="H855" s="31" t="n">
        <v>13657.97</v>
      </c>
      <c r="I855" s="31" t="n">
        <v>0</v>
      </c>
      <c r="J855" s="31" t="n">
        <v>13657.97</v>
      </c>
      <c r="K855" s="31" t="n">
        <v>119</v>
      </c>
      <c r="L855" s="32" t="n">
        <v>6</v>
      </c>
      <c r="M855" s="32" t="n">
        <v>32</v>
      </c>
      <c r="N855" s="31" t="n">
        <v>13538.97</v>
      </c>
      <c r="O855" s="31" t="n">
        <v>13657.97</v>
      </c>
      <c r="P855" s="22" t="n">
        <v>0</v>
      </c>
      <c r="Q855" s="22" t="n">
        <v>0</v>
      </c>
      <c r="R855" s="22" t="n">
        <v>0</v>
      </c>
    </row>
    <row r="856">
      <c r="A856" s="22" t="n">
        <v>201707</v>
      </c>
      <c r="B856" s="22" t="inlineStr">
        <is>
          <t>07/2017</t>
        </is>
      </c>
      <c r="C856" s="22" t="n">
        <v>56</v>
      </c>
      <c r="D856" s="22" t="inlineStr">
        <is>
          <t>S56</t>
        </is>
      </c>
      <c r="E856" s="22" t="inlineStr">
        <is>
          <t>Nexa New Hampshire (S56)</t>
        </is>
      </c>
      <c r="F856" s="22" t="inlineStr">
        <is>
          <t>Mỹ</t>
        </is>
      </c>
      <c r="G856" s="22" t="inlineStr">
        <is>
          <t>POS</t>
        </is>
      </c>
      <c r="H856" s="31" t="n">
        <v>19904.92</v>
      </c>
      <c r="I856" s="31" t="n">
        <v>0</v>
      </c>
      <c r="J856" s="31" t="n">
        <v>19904.92</v>
      </c>
      <c r="K856" s="31" t="n">
        <v>0</v>
      </c>
      <c r="L856" s="32" t="n">
        <v>3</v>
      </c>
      <c r="M856" s="32" t="n">
        <v>32</v>
      </c>
      <c r="N856" s="31" t="n">
        <v>19904.92</v>
      </c>
      <c r="O856" s="31" t="n">
        <v>19904.92</v>
      </c>
      <c r="P856" s="22" t="n">
        <v>0</v>
      </c>
      <c r="Q856" s="22" t="n">
        <v>0</v>
      </c>
      <c r="R856" s="22" t="n">
        <v>0</v>
      </c>
    </row>
    <row r="857">
      <c r="A857" s="22" t="n">
        <v>201707</v>
      </c>
      <c r="B857" s="22" t="inlineStr">
        <is>
          <t>07/2017</t>
        </is>
      </c>
      <c r="C857" s="22" t="n">
        <v>57</v>
      </c>
      <c r="D857" s="22" t="inlineStr">
        <is>
          <t>S57</t>
        </is>
      </c>
      <c r="E857" s="22" t="inlineStr">
        <is>
          <t>Nexa New Mexico (S57)</t>
        </is>
      </c>
      <c r="F857" s="22" t="inlineStr">
        <is>
          <t>Mỹ</t>
        </is>
      </c>
      <c r="G857" s="22" t="inlineStr">
        <is>
          <t>POS</t>
        </is>
      </c>
      <c r="H857" s="31" t="n">
        <v>2342.92</v>
      </c>
      <c r="I857" s="31" t="n">
        <v>0</v>
      </c>
      <c r="J857" s="31" t="n">
        <v>2342.92</v>
      </c>
      <c r="K857" s="31" t="n">
        <v>162.2</v>
      </c>
      <c r="L857" s="32" t="n">
        <v>2</v>
      </c>
      <c r="M857" s="32" t="n">
        <v>12</v>
      </c>
      <c r="N857" s="31" t="n">
        <v>2180.72</v>
      </c>
      <c r="O857" s="31" t="n">
        <v>2342.92</v>
      </c>
      <c r="P857" s="22" t="n">
        <v>0</v>
      </c>
      <c r="Q857" s="22" t="n">
        <v>0</v>
      </c>
      <c r="R857" s="22" t="n">
        <v>0</v>
      </c>
    </row>
    <row r="858">
      <c r="A858" s="22" t="n">
        <v>201707</v>
      </c>
      <c r="B858" s="22" t="inlineStr">
        <is>
          <t>07/2017</t>
        </is>
      </c>
      <c r="C858" s="22" t="n">
        <v>59</v>
      </c>
      <c r="D858" s="22" t="inlineStr">
        <is>
          <t>S59</t>
        </is>
      </c>
      <c r="E858" s="22" t="inlineStr">
        <is>
          <t>Nexa Oregon (S59)</t>
        </is>
      </c>
      <c r="F858" s="22" t="inlineStr">
        <is>
          <t>Mỹ</t>
        </is>
      </c>
      <c r="G858" s="22" t="inlineStr">
        <is>
          <t>POS</t>
        </is>
      </c>
      <c r="H858" s="31" t="n">
        <v>16720.59</v>
      </c>
      <c r="I858" s="31" t="n">
        <v>0</v>
      </c>
      <c r="J858" s="31" t="n">
        <v>16720.59</v>
      </c>
      <c r="K858" s="31" t="n">
        <v>0</v>
      </c>
      <c r="L858" s="32" t="n">
        <v>9</v>
      </c>
      <c r="M858" s="32" t="n">
        <v>44</v>
      </c>
      <c r="N858" s="31" t="n">
        <v>16720.59</v>
      </c>
      <c r="O858" s="31" t="n">
        <v>16720.59</v>
      </c>
      <c r="P858" s="22" t="n">
        <v>0</v>
      </c>
      <c r="Q858" s="22" t="n">
        <v>0</v>
      </c>
      <c r="R858" s="22" t="n">
        <v>0</v>
      </c>
    </row>
    <row r="859">
      <c r="A859" s="22" t="n">
        <v>201707</v>
      </c>
      <c r="B859" s="22" t="inlineStr">
        <is>
          <t>07/2017</t>
        </is>
      </c>
      <c r="C859" s="22" t="n">
        <v>61</v>
      </c>
      <c r="D859" s="22" t="inlineStr">
        <is>
          <t>S61</t>
        </is>
      </c>
      <c r="E859" s="22" t="inlineStr">
        <is>
          <t>Nexa South Carolina (S61)</t>
        </is>
      </c>
      <c r="F859" s="22" t="inlineStr">
        <is>
          <t>Mỹ</t>
        </is>
      </c>
      <c r="G859" s="22" t="inlineStr">
        <is>
          <t>POS</t>
        </is>
      </c>
      <c r="H859" s="31" t="n">
        <v>8440.26</v>
      </c>
      <c r="I859" s="31" t="n">
        <v>0</v>
      </c>
      <c r="J859" s="31" t="n">
        <v>8440.26</v>
      </c>
      <c r="K859" s="31" t="n">
        <v>279.98</v>
      </c>
      <c r="L859" s="32" t="n">
        <v>5</v>
      </c>
      <c r="M859" s="32" t="n">
        <v>30</v>
      </c>
      <c r="N859" s="31" t="n">
        <v>8160.28</v>
      </c>
      <c r="O859" s="31" t="n">
        <v>8440.26</v>
      </c>
      <c r="P859" s="22" t="n">
        <v>0</v>
      </c>
      <c r="Q859" s="22" t="n">
        <v>0</v>
      </c>
      <c r="R859" s="22" t="n">
        <v>0</v>
      </c>
    </row>
    <row r="860">
      <c r="A860" s="22" t="n">
        <v>201707</v>
      </c>
      <c r="B860" s="22" t="inlineStr">
        <is>
          <t>07/2017</t>
        </is>
      </c>
      <c r="C860" s="22" t="n">
        <v>63</v>
      </c>
      <c r="D860" s="22" t="inlineStr">
        <is>
          <t>S63</t>
        </is>
      </c>
      <c r="E860" s="22" t="inlineStr">
        <is>
          <t>Nexa Utah (S63)</t>
        </is>
      </c>
      <c r="F860" s="22" t="inlineStr">
        <is>
          <t>Mỹ</t>
        </is>
      </c>
      <c r="G860" s="22" t="inlineStr">
        <is>
          <t>POS</t>
        </is>
      </c>
      <c r="H860" s="31" t="n">
        <v>13443.94</v>
      </c>
      <c r="I860" s="31" t="n">
        <v>0</v>
      </c>
      <c r="J860" s="31" t="n">
        <v>13443.94</v>
      </c>
      <c r="K860" s="31" t="n">
        <v>0</v>
      </c>
      <c r="L860" s="32" t="n">
        <v>5</v>
      </c>
      <c r="M860" s="32" t="n">
        <v>31</v>
      </c>
      <c r="N860" s="31" t="n">
        <v>13443.94</v>
      </c>
      <c r="O860" s="31" t="n">
        <v>13443.94</v>
      </c>
      <c r="P860" s="22" t="n">
        <v>0</v>
      </c>
      <c r="Q860" s="22" t="n">
        <v>0</v>
      </c>
      <c r="R860" s="22" t="n">
        <v>0</v>
      </c>
    </row>
    <row r="861">
      <c r="A861" s="22" t="n">
        <v>201707</v>
      </c>
      <c r="B861" s="22" t="inlineStr">
        <is>
          <t>07/2017</t>
        </is>
      </c>
      <c r="C861" s="22" t="n">
        <v>64</v>
      </c>
      <c r="D861" s="22" t="inlineStr">
        <is>
          <t>S64</t>
        </is>
      </c>
      <c r="E861" s="22" t="inlineStr">
        <is>
          <t>Nexa Washington DC (S64)</t>
        </is>
      </c>
      <c r="F861" s="22" t="inlineStr">
        <is>
          <t>Mỹ</t>
        </is>
      </c>
      <c r="G861" s="22" t="inlineStr">
        <is>
          <t>POS</t>
        </is>
      </c>
      <c r="H861" s="31" t="n">
        <v>4413.12</v>
      </c>
      <c r="I861" s="31" t="n">
        <v>0</v>
      </c>
      <c r="J861" s="31" t="n">
        <v>4413.12</v>
      </c>
      <c r="K861" s="31" t="n">
        <v>0</v>
      </c>
      <c r="L861" s="32" t="n">
        <v>4</v>
      </c>
      <c r="M861" s="32" t="n">
        <v>20</v>
      </c>
      <c r="N861" s="31" t="n">
        <v>4413.12</v>
      </c>
      <c r="O861" s="31" t="n">
        <v>4413.12</v>
      </c>
      <c r="P861" s="22" t="n">
        <v>0</v>
      </c>
      <c r="Q861" s="22" t="n">
        <v>0</v>
      </c>
      <c r="R861" s="22" t="n">
        <v>0</v>
      </c>
    </row>
    <row r="862">
      <c r="A862" s="22" t="n">
        <v>201707</v>
      </c>
      <c r="B862" s="22" t="inlineStr">
        <is>
          <t>07/2017</t>
        </is>
      </c>
      <c r="C862" s="22" t="n">
        <v>65</v>
      </c>
      <c r="D862" s="22" t="inlineStr">
        <is>
          <t>S65</t>
        </is>
      </c>
      <c r="E862" s="22" t="inlineStr">
        <is>
          <t>Nexa West Virginia (S65)</t>
        </is>
      </c>
      <c r="F862" s="22" t="inlineStr">
        <is>
          <t>Mỹ</t>
        </is>
      </c>
      <c r="G862" s="22" t="inlineStr">
        <is>
          <t>POS</t>
        </is>
      </c>
      <c r="H862" s="31" t="n">
        <v>29210.83</v>
      </c>
      <c r="I862" s="31" t="n">
        <v>0</v>
      </c>
      <c r="J862" s="31" t="n">
        <v>29210.83</v>
      </c>
      <c r="K862" s="31" t="n">
        <v>419.97</v>
      </c>
      <c r="L862" s="32" t="n">
        <v>5</v>
      </c>
      <c r="M862" s="32" t="n">
        <v>31</v>
      </c>
      <c r="N862" s="31" t="n">
        <v>28790.86</v>
      </c>
      <c r="O862" s="31" t="n">
        <v>29210.83</v>
      </c>
      <c r="P862" s="22" t="n">
        <v>0</v>
      </c>
      <c r="Q862" s="22" t="n">
        <v>0</v>
      </c>
      <c r="R862" s="22" t="n">
        <v>0</v>
      </c>
    </row>
    <row r="863">
      <c r="A863" s="22" t="n">
        <v>201707</v>
      </c>
      <c r="B863" s="22" t="inlineStr">
        <is>
          <t>07/2017</t>
        </is>
      </c>
      <c r="C863" s="22" t="n">
        <v>66</v>
      </c>
      <c r="D863" s="22" t="inlineStr">
        <is>
          <t>S66</t>
        </is>
      </c>
      <c r="E863" s="22" t="inlineStr">
        <is>
          <t>Nexa Wyoming (S66)</t>
        </is>
      </c>
      <c r="F863" s="22" t="inlineStr">
        <is>
          <t>Mỹ</t>
        </is>
      </c>
      <c r="G863" s="22" t="inlineStr">
        <is>
          <t>POS</t>
        </is>
      </c>
      <c r="H863" s="31" t="n">
        <v>10805.09</v>
      </c>
      <c r="I863" s="31" t="n">
        <v>0</v>
      </c>
      <c r="J863" s="31" t="n">
        <v>10805.09</v>
      </c>
      <c r="K863" s="31" t="n">
        <v>4661.58</v>
      </c>
      <c r="L863" s="32" t="n">
        <v>4</v>
      </c>
      <c r="M863" s="32" t="n">
        <v>23</v>
      </c>
      <c r="N863" s="31" t="n">
        <v>6143.51</v>
      </c>
      <c r="O863" s="31" t="n">
        <v>10805.09</v>
      </c>
      <c r="P863" s="22" t="n">
        <v>0</v>
      </c>
      <c r="Q863" s="22" t="n">
        <v>0</v>
      </c>
      <c r="R863" s="22" t="n">
        <v>0</v>
      </c>
    </row>
    <row r="864">
      <c r="A864" s="22" t="n">
        <v>201708</v>
      </c>
      <c r="B864" s="22" t="inlineStr">
        <is>
          <t>08/2017</t>
        </is>
      </c>
      <c r="C864" s="22" t="n">
        <v>0</v>
      </c>
      <c r="D864" s="22" t="inlineStr">
        <is>
          <t>ONL</t>
        </is>
      </c>
      <c r="E864" s="22" t="inlineStr">
        <is>
          <t>Nexa Online (website/app)</t>
        </is>
      </c>
      <c r="F864" s="22" t="inlineStr">
        <is>
          <t>Online</t>
        </is>
      </c>
      <c r="G864" s="22" t="inlineStr">
        <is>
          <t>ONLINE</t>
        </is>
      </c>
      <c r="H864" s="31" t="n">
        <v>98652.34</v>
      </c>
      <c r="I864" s="31" t="n">
        <v>8340.440000000001</v>
      </c>
      <c r="J864" s="31" t="n">
        <v>90311.89999999999</v>
      </c>
      <c r="K864" s="31" t="n">
        <v>764.9</v>
      </c>
      <c r="L864" s="32" t="n">
        <v>51</v>
      </c>
      <c r="M864" s="32" t="n">
        <v>403</v>
      </c>
      <c r="N864" s="31" t="n">
        <v>70765.21000000001</v>
      </c>
      <c r="O864" s="31" t="n">
        <v>71530.11</v>
      </c>
      <c r="P864" s="22" t="n">
        <v>2</v>
      </c>
      <c r="Q864" s="22" t="n">
        <v>0</v>
      </c>
      <c r="R864" s="22" t="n">
        <v>0</v>
      </c>
    </row>
    <row r="865">
      <c r="A865" s="22" t="n">
        <v>201708</v>
      </c>
      <c r="B865" s="22" t="inlineStr">
        <is>
          <t>08/2017</t>
        </is>
      </c>
      <c r="C865" s="22" t="n">
        <v>1</v>
      </c>
      <c r="D865" s="22" t="inlineStr">
        <is>
          <t>S01</t>
        </is>
      </c>
      <c r="E865" s="22" t="inlineStr">
        <is>
          <t>Nexa Australian Capital Territory (S01)</t>
        </is>
      </c>
      <c r="F865" s="22" t="inlineStr">
        <is>
          <t>Úc</t>
        </is>
      </c>
      <c r="G865" s="22" t="inlineStr">
        <is>
          <t>POS</t>
        </is>
      </c>
      <c r="H865" s="31" t="n">
        <v>561.23</v>
      </c>
      <c r="I865" s="31" t="n">
        <v>56.12</v>
      </c>
      <c r="J865" s="31" t="n">
        <v>505.11</v>
      </c>
      <c r="K865" s="31" t="n">
        <v>0</v>
      </c>
      <c r="L865" s="32" t="n">
        <v>2</v>
      </c>
      <c r="M865" s="32" t="n">
        <v>7</v>
      </c>
      <c r="N865" s="31" t="n">
        <v>505.11</v>
      </c>
      <c r="O865" s="31" t="n">
        <v>505.11</v>
      </c>
      <c r="P865" s="22" t="n">
        <v>0</v>
      </c>
      <c r="Q865" s="22" t="n">
        <v>0</v>
      </c>
      <c r="R865" s="22" t="n">
        <v>0</v>
      </c>
    </row>
    <row r="866">
      <c r="A866" s="22" t="n">
        <v>201708</v>
      </c>
      <c r="B866" s="22" t="inlineStr">
        <is>
          <t>08/2017</t>
        </is>
      </c>
      <c r="C866" s="22" t="n">
        <v>4</v>
      </c>
      <c r="D866" s="22" t="inlineStr">
        <is>
          <t>S04</t>
        </is>
      </c>
      <c r="E866" s="22" t="inlineStr">
        <is>
          <t>Nexa Tasmania (S04)</t>
        </is>
      </c>
      <c r="F866" s="22" t="inlineStr">
        <is>
          <t>Úc</t>
        </is>
      </c>
      <c r="G866" s="22" t="inlineStr">
        <is>
          <t>POS</t>
        </is>
      </c>
      <c r="H866" s="31" t="n">
        <v>2437.32</v>
      </c>
      <c r="I866" s="31" t="n">
        <v>0</v>
      </c>
      <c r="J866" s="31" t="n">
        <v>2437.32</v>
      </c>
      <c r="K866" s="31" t="n">
        <v>0</v>
      </c>
      <c r="L866" s="32" t="n">
        <v>2</v>
      </c>
      <c r="M866" s="32" t="n">
        <v>11</v>
      </c>
      <c r="N866" s="31" t="n">
        <v>2437.32</v>
      </c>
      <c r="O866" s="31" t="n">
        <v>2437.32</v>
      </c>
      <c r="P866" s="22" t="n">
        <v>0</v>
      </c>
      <c r="Q866" s="22" t="n">
        <v>0</v>
      </c>
      <c r="R866" s="22" t="n">
        <v>0</v>
      </c>
    </row>
    <row r="867">
      <c r="A867" s="22" t="n">
        <v>201708</v>
      </c>
      <c r="B867" s="22" t="inlineStr">
        <is>
          <t>08/2017</t>
        </is>
      </c>
      <c r="C867" s="22" t="n">
        <v>5</v>
      </c>
      <c r="D867" s="22" t="inlineStr">
        <is>
          <t>S05</t>
        </is>
      </c>
      <c r="E867" s="22" t="inlineStr">
        <is>
          <t>Nexa Victoria (S05)</t>
        </is>
      </c>
      <c r="F867" s="22" t="inlineStr">
        <is>
          <t>Úc</t>
        </is>
      </c>
      <c r="G867" s="22" t="inlineStr">
        <is>
          <t>POS</t>
        </is>
      </c>
      <c r="H867" s="31" t="n">
        <v>14242.13</v>
      </c>
      <c r="I867" s="31" t="n">
        <v>633.03</v>
      </c>
      <c r="J867" s="31" t="n">
        <v>13609.1</v>
      </c>
      <c r="K867" s="31" t="n">
        <v>0</v>
      </c>
      <c r="L867" s="32" t="n">
        <v>5</v>
      </c>
      <c r="M867" s="32" t="n">
        <v>48</v>
      </c>
      <c r="N867" s="31" t="n">
        <v>13609.1</v>
      </c>
      <c r="O867" s="31" t="n">
        <v>13609.1</v>
      </c>
      <c r="P867" s="22" t="n">
        <v>0</v>
      </c>
      <c r="Q867" s="22" t="n">
        <v>0</v>
      </c>
      <c r="R867" s="22" t="n">
        <v>0</v>
      </c>
    </row>
    <row r="868">
      <c r="A868" s="22" t="n">
        <v>201708</v>
      </c>
      <c r="B868" s="22" t="inlineStr">
        <is>
          <t>08/2017</t>
        </is>
      </c>
      <c r="C868" s="22" t="n">
        <v>8</v>
      </c>
      <c r="D868" s="22" t="inlineStr">
        <is>
          <t>S08</t>
        </is>
      </c>
      <c r="E868" s="22" t="inlineStr">
        <is>
          <t>Nexa Newfoundland and Labrador (S08)</t>
        </is>
      </c>
      <c r="F868" s="22" t="inlineStr">
        <is>
          <t>Canada</t>
        </is>
      </c>
      <c r="G868" s="22" t="inlineStr">
        <is>
          <t>POS</t>
        </is>
      </c>
      <c r="H868" s="31" t="n">
        <v>22491.99</v>
      </c>
      <c r="I868" s="31" t="n">
        <v>1357.45</v>
      </c>
      <c r="J868" s="31" t="n">
        <v>21134.54</v>
      </c>
      <c r="K868" s="31" t="n">
        <v>701.99</v>
      </c>
      <c r="L868" s="32" t="n">
        <v>8</v>
      </c>
      <c r="M868" s="32" t="n">
        <v>62</v>
      </c>
      <c r="N868" s="31" t="n">
        <v>20282.6</v>
      </c>
      <c r="O868" s="31" t="n">
        <v>21134.54</v>
      </c>
      <c r="P868" s="22" t="n">
        <v>0</v>
      </c>
      <c r="Q868" s="22" t="n">
        <v>0</v>
      </c>
      <c r="R868" s="22" t="n">
        <v>0</v>
      </c>
    </row>
    <row r="869">
      <c r="A869" s="22" t="n">
        <v>201708</v>
      </c>
      <c r="B869" s="22" t="inlineStr">
        <is>
          <t>08/2017</t>
        </is>
      </c>
      <c r="C869" s="22" t="n">
        <v>9</v>
      </c>
      <c r="D869" s="22" t="inlineStr">
        <is>
          <t>S09</t>
        </is>
      </c>
      <c r="E869" s="22" t="inlineStr">
        <is>
          <t>Nexa Northwest Territories (S09)</t>
        </is>
      </c>
      <c r="F869" s="22" t="inlineStr">
        <is>
          <t>Canada</t>
        </is>
      </c>
      <c r="G869" s="22" t="inlineStr">
        <is>
          <t>POS</t>
        </is>
      </c>
      <c r="H869" s="31" t="n">
        <v>14954.9</v>
      </c>
      <c r="I869" s="31" t="n">
        <v>801.48</v>
      </c>
      <c r="J869" s="31" t="n">
        <v>14153.42</v>
      </c>
      <c r="K869" s="31" t="n">
        <v>0</v>
      </c>
      <c r="L869" s="32" t="n">
        <v>6</v>
      </c>
      <c r="M869" s="32" t="n">
        <v>55</v>
      </c>
      <c r="N869" s="31" t="n">
        <v>14153.42</v>
      </c>
      <c r="O869" s="31" t="n">
        <v>14153.42</v>
      </c>
      <c r="P869" s="22" t="n">
        <v>2</v>
      </c>
      <c r="Q869" s="22" t="n">
        <v>0</v>
      </c>
      <c r="R869" s="22" t="n">
        <v>0</v>
      </c>
    </row>
    <row r="870">
      <c r="A870" s="22" t="n">
        <v>201708</v>
      </c>
      <c r="B870" s="22" t="inlineStr">
        <is>
          <t>08/2017</t>
        </is>
      </c>
      <c r="C870" s="22" t="n">
        <v>10</v>
      </c>
      <c r="D870" s="22" t="inlineStr">
        <is>
          <t>S10</t>
        </is>
      </c>
      <c r="E870" s="22" t="inlineStr">
        <is>
          <t>Nexa Nunavut (S10)</t>
        </is>
      </c>
      <c r="F870" s="22" t="inlineStr">
        <is>
          <t>Canada</t>
        </is>
      </c>
      <c r="G870" s="22" t="inlineStr">
        <is>
          <t>POS</t>
        </is>
      </c>
      <c r="H870" s="31" t="n">
        <v>8307.1</v>
      </c>
      <c r="I870" s="31" t="n">
        <v>107.2</v>
      </c>
      <c r="J870" s="31" t="n">
        <v>8199.9</v>
      </c>
      <c r="K870" s="31" t="n">
        <v>0</v>
      </c>
      <c r="L870" s="32" t="n">
        <v>4</v>
      </c>
      <c r="M870" s="32" t="n">
        <v>33</v>
      </c>
      <c r="N870" s="31" t="n">
        <v>8199.9</v>
      </c>
      <c r="O870" s="31" t="n">
        <v>8199.9</v>
      </c>
      <c r="P870" s="22" t="n">
        <v>0</v>
      </c>
      <c r="Q870" s="22" t="n">
        <v>0</v>
      </c>
      <c r="R870" s="22" t="n">
        <v>0</v>
      </c>
    </row>
    <row r="871">
      <c r="A871" s="22" t="n">
        <v>201708</v>
      </c>
      <c r="B871" s="22" t="inlineStr">
        <is>
          <t>08/2017</t>
        </is>
      </c>
      <c r="C871" s="22" t="n">
        <v>15</v>
      </c>
      <c r="D871" s="22" t="inlineStr">
        <is>
          <t>S15</t>
        </is>
      </c>
      <c r="E871" s="22" t="inlineStr">
        <is>
          <t>Nexa La Réunion (S15)</t>
        </is>
      </c>
      <c r="F871" s="22" t="inlineStr">
        <is>
          <t>Pháp</t>
        </is>
      </c>
      <c r="G871" s="22" t="inlineStr">
        <is>
          <t>POS</t>
        </is>
      </c>
      <c r="H871" s="31" t="n">
        <v>5245.29</v>
      </c>
      <c r="I871" s="31" t="n">
        <v>524.53</v>
      </c>
      <c r="J871" s="31" t="n">
        <v>4720.76</v>
      </c>
      <c r="K871" s="31" t="n">
        <v>0</v>
      </c>
      <c r="L871" s="32" t="n">
        <v>3</v>
      </c>
      <c r="M871" s="32" t="n">
        <v>19</v>
      </c>
      <c r="N871" s="31" t="n">
        <v>4720.76</v>
      </c>
      <c r="O871" s="31" t="n">
        <v>4720.76</v>
      </c>
      <c r="P871" s="22" t="n">
        <v>0</v>
      </c>
      <c r="Q871" s="22" t="n">
        <v>0</v>
      </c>
      <c r="R871" s="22" t="n">
        <v>0</v>
      </c>
    </row>
    <row r="872">
      <c r="A872" s="22" t="n">
        <v>201708</v>
      </c>
      <c r="B872" s="22" t="inlineStr">
        <is>
          <t>08/2017</t>
        </is>
      </c>
      <c r="C872" s="22" t="n">
        <v>17</v>
      </c>
      <c r="D872" s="22" t="inlineStr">
        <is>
          <t>S17</t>
        </is>
      </c>
      <c r="E872" s="22" t="inlineStr">
        <is>
          <t>Nexa Martinique (S17)</t>
        </is>
      </c>
      <c r="F872" s="22" t="inlineStr">
        <is>
          <t>Pháp</t>
        </is>
      </c>
      <c r="G872" s="22" t="inlineStr">
        <is>
          <t>POS</t>
        </is>
      </c>
      <c r="H872" s="31" t="n">
        <v>4796.95</v>
      </c>
      <c r="I872" s="31" t="n">
        <v>479.7</v>
      </c>
      <c r="J872" s="31" t="n">
        <v>4317.25</v>
      </c>
      <c r="K872" s="31" t="n">
        <v>0</v>
      </c>
      <c r="L872" s="32" t="n">
        <v>1</v>
      </c>
      <c r="M872" s="32" t="n">
        <v>8</v>
      </c>
      <c r="N872" s="31" t="n">
        <v>4317.25</v>
      </c>
      <c r="O872" s="31" t="n">
        <v>4317.25</v>
      </c>
      <c r="P872" s="22" t="n">
        <v>0</v>
      </c>
      <c r="Q872" s="22" t="n">
        <v>0</v>
      </c>
      <c r="R872" s="22" t="n">
        <v>0</v>
      </c>
    </row>
    <row r="873">
      <c r="A873" s="22" t="n">
        <v>201708</v>
      </c>
      <c r="B873" s="22" t="inlineStr">
        <is>
          <t>08/2017</t>
        </is>
      </c>
      <c r="C873" s="22" t="n">
        <v>18</v>
      </c>
      <c r="D873" s="22" t="inlineStr">
        <is>
          <t>S18</t>
        </is>
      </c>
      <c r="E873" s="22" t="inlineStr">
        <is>
          <t>Nexa Mayotte (S18)</t>
        </is>
      </c>
      <c r="F873" s="22" t="inlineStr">
        <is>
          <t>Pháp</t>
        </is>
      </c>
      <c r="G873" s="22" t="inlineStr">
        <is>
          <t>POS</t>
        </is>
      </c>
      <c r="H873" s="31" t="n">
        <v>999.89</v>
      </c>
      <c r="I873" s="31" t="n">
        <v>99.98999999999999</v>
      </c>
      <c r="J873" s="31" t="n">
        <v>899.9</v>
      </c>
      <c r="K873" s="31" t="n">
        <v>0</v>
      </c>
      <c r="L873" s="32" t="n">
        <v>1</v>
      </c>
      <c r="M873" s="32" t="n">
        <v>2</v>
      </c>
      <c r="N873" s="31" t="n">
        <v>899.9</v>
      </c>
      <c r="O873" s="31" t="n">
        <v>899.9</v>
      </c>
      <c r="P873" s="22" t="n">
        <v>0</v>
      </c>
      <c r="Q873" s="22" t="n">
        <v>0</v>
      </c>
      <c r="R873" s="22" t="n">
        <v>0</v>
      </c>
    </row>
    <row r="874">
      <c r="A874" s="22" t="n">
        <v>201708</v>
      </c>
      <c r="B874" s="22" t="inlineStr">
        <is>
          <t>08/2017</t>
        </is>
      </c>
      <c r="C874" s="22" t="n">
        <v>19</v>
      </c>
      <c r="D874" s="22" t="inlineStr">
        <is>
          <t>S19</t>
        </is>
      </c>
      <c r="E874" s="22" t="inlineStr">
        <is>
          <t>Nexa Berlin (S19)</t>
        </is>
      </c>
      <c r="F874" s="22" t="inlineStr">
        <is>
          <t>Đức</t>
        </is>
      </c>
      <c r="G874" s="22" t="inlineStr">
        <is>
          <t>POS</t>
        </is>
      </c>
      <c r="H874" s="31" t="n">
        <v>5671.09</v>
      </c>
      <c r="I874" s="31" t="n">
        <v>236.8</v>
      </c>
      <c r="J874" s="31" t="n">
        <v>5434.29</v>
      </c>
      <c r="K874" s="31" t="n">
        <v>0</v>
      </c>
      <c r="L874" s="32" t="n">
        <v>2</v>
      </c>
      <c r="M874" s="32" t="n">
        <v>19</v>
      </c>
      <c r="N874" s="31" t="n">
        <v>5434.29</v>
      </c>
      <c r="O874" s="31" t="n">
        <v>5434.29</v>
      </c>
      <c r="P874" s="22" t="n">
        <v>0</v>
      </c>
      <c r="Q874" s="22" t="n">
        <v>0</v>
      </c>
      <c r="R874" s="22" t="n">
        <v>0</v>
      </c>
    </row>
    <row r="875">
      <c r="A875" s="22" t="n">
        <v>201708</v>
      </c>
      <c r="B875" s="22" t="inlineStr">
        <is>
          <t>08/2017</t>
        </is>
      </c>
      <c r="C875" s="22" t="n">
        <v>20</v>
      </c>
      <c r="D875" s="22" t="inlineStr">
        <is>
          <t>S20</t>
        </is>
      </c>
      <c r="E875" s="22" t="inlineStr">
        <is>
          <t>Nexa Brandenburg (S20)</t>
        </is>
      </c>
      <c r="F875" s="22" t="inlineStr">
        <is>
          <t>Đức</t>
        </is>
      </c>
      <c r="G875" s="22" t="inlineStr">
        <is>
          <t>POS</t>
        </is>
      </c>
      <c r="H875" s="31" t="n">
        <v>3906.73</v>
      </c>
      <c r="I875" s="31" t="n">
        <v>0</v>
      </c>
      <c r="J875" s="31" t="n">
        <v>3906.73</v>
      </c>
      <c r="K875" s="31" t="n">
        <v>0</v>
      </c>
      <c r="L875" s="32" t="n">
        <v>2</v>
      </c>
      <c r="M875" s="32" t="n">
        <v>17</v>
      </c>
      <c r="N875" s="31" t="n">
        <v>3906.73</v>
      </c>
      <c r="O875" s="31" t="n">
        <v>3906.73</v>
      </c>
      <c r="P875" s="22" t="n">
        <v>0</v>
      </c>
      <c r="Q875" s="22" t="n">
        <v>0</v>
      </c>
      <c r="R875" s="22" t="n">
        <v>0</v>
      </c>
    </row>
    <row r="876">
      <c r="A876" s="22" t="n">
        <v>201708</v>
      </c>
      <c r="B876" s="22" t="inlineStr">
        <is>
          <t>08/2017</t>
        </is>
      </c>
      <c r="C876" s="22" t="n">
        <v>22</v>
      </c>
      <c r="D876" s="22" t="inlineStr">
        <is>
          <t>S22</t>
        </is>
      </c>
      <c r="E876" s="22" t="inlineStr">
        <is>
          <t>Nexa Freistaat Thüringen (S22)</t>
        </is>
      </c>
      <c r="F876" s="22" t="inlineStr">
        <is>
          <t>Đức</t>
        </is>
      </c>
      <c r="G876" s="22" t="inlineStr">
        <is>
          <t>POS</t>
        </is>
      </c>
      <c r="H876" s="31" t="n">
        <v>12507.54</v>
      </c>
      <c r="I876" s="31" t="n">
        <v>607.8</v>
      </c>
      <c r="J876" s="31" t="n">
        <v>11899.74</v>
      </c>
      <c r="K876" s="31" t="n">
        <v>0</v>
      </c>
      <c r="L876" s="32" t="n">
        <v>7</v>
      </c>
      <c r="M876" s="32" t="n">
        <v>50</v>
      </c>
      <c r="N876" s="31" t="n">
        <v>11899.74</v>
      </c>
      <c r="O876" s="31" t="n">
        <v>11899.74</v>
      </c>
      <c r="P876" s="22" t="n">
        <v>0</v>
      </c>
      <c r="Q876" s="22" t="n">
        <v>0</v>
      </c>
      <c r="R876" s="22" t="n">
        <v>0</v>
      </c>
    </row>
    <row r="877">
      <c r="A877" s="22" t="n">
        <v>201708</v>
      </c>
      <c r="B877" s="22" t="inlineStr">
        <is>
          <t>08/2017</t>
        </is>
      </c>
      <c r="C877" s="22" t="n">
        <v>23</v>
      </c>
      <c r="D877" s="22" t="inlineStr">
        <is>
          <t>S23</t>
        </is>
      </c>
      <c r="E877" s="22" t="inlineStr">
        <is>
          <t>Nexa Hamburg (S23)</t>
        </is>
      </c>
      <c r="F877" s="22" t="inlineStr">
        <is>
          <t>Đức</t>
        </is>
      </c>
      <c r="G877" s="22" t="inlineStr">
        <is>
          <t>POS</t>
        </is>
      </c>
      <c r="H877" s="31" t="n">
        <v>11320.11</v>
      </c>
      <c r="I877" s="31" t="n">
        <v>337.31</v>
      </c>
      <c r="J877" s="31" t="n">
        <v>10982.8</v>
      </c>
      <c r="K877" s="31" t="n">
        <v>4905.96</v>
      </c>
      <c r="L877" s="32" t="n">
        <v>3</v>
      </c>
      <c r="M877" s="32" t="n">
        <v>42</v>
      </c>
      <c r="N877" s="31" t="n">
        <v>6076.84</v>
      </c>
      <c r="O877" s="31" t="n">
        <v>10982.8</v>
      </c>
      <c r="P877" s="22" t="n">
        <v>0</v>
      </c>
      <c r="Q877" s="22" t="n">
        <v>0</v>
      </c>
      <c r="R877" s="22" t="n">
        <v>0</v>
      </c>
    </row>
    <row r="878">
      <c r="A878" s="22" t="n">
        <v>201708</v>
      </c>
      <c r="B878" s="22" t="inlineStr">
        <is>
          <t>08/2017</t>
        </is>
      </c>
      <c r="C878" s="22" t="n">
        <v>27</v>
      </c>
      <c r="D878" s="22" t="inlineStr">
        <is>
          <t>S27</t>
        </is>
      </c>
      <c r="E878" s="22" t="inlineStr">
        <is>
          <t>Nexa Sachsen-Anhalt (S27)</t>
        </is>
      </c>
      <c r="F878" s="22" t="inlineStr">
        <is>
          <t>Đức</t>
        </is>
      </c>
      <c r="G878" s="22" t="inlineStr">
        <is>
          <t>POS</t>
        </is>
      </c>
      <c r="H878" s="31" t="n">
        <v>1938</v>
      </c>
      <c r="I878" s="31" t="n">
        <v>0</v>
      </c>
      <c r="J878" s="31" t="n">
        <v>1938</v>
      </c>
      <c r="K878" s="31" t="n">
        <v>0</v>
      </c>
      <c r="L878" s="32" t="n">
        <v>1</v>
      </c>
      <c r="M878" s="32" t="n">
        <v>2</v>
      </c>
      <c r="N878" s="31" t="n">
        <v>1938</v>
      </c>
      <c r="O878" s="31" t="n">
        <v>1938</v>
      </c>
      <c r="P878" s="22" t="n">
        <v>0</v>
      </c>
      <c r="Q878" s="22" t="n">
        <v>0</v>
      </c>
      <c r="R878" s="22" t="n">
        <v>0</v>
      </c>
    </row>
    <row r="879">
      <c r="A879" s="22" t="n">
        <v>201708</v>
      </c>
      <c r="B879" s="22" t="inlineStr">
        <is>
          <t>08/2017</t>
        </is>
      </c>
      <c r="C879" s="22" t="n">
        <v>29</v>
      </c>
      <c r="D879" s="22" t="inlineStr">
        <is>
          <t>S29</t>
        </is>
      </c>
      <c r="E879" s="22" t="inlineStr">
        <is>
          <t>Nexa Enna (S29)</t>
        </is>
      </c>
      <c r="F879" s="22" t="inlineStr">
        <is>
          <t>Ý</t>
        </is>
      </c>
      <c r="G879" s="22" t="inlineStr">
        <is>
          <t>POS</t>
        </is>
      </c>
      <c r="H879" s="31" t="n">
        <v>25577.2</v>
      </c>
      <c r="I879" s="31" t="n">
        <v>1121.81</v>
      </c>
      <c r="J879" s="31" t="n">
        <v>24455.39</v>
      </c>
      <c r="K879" s="31" t="n">
        <v>782.1</v>
      </c>
      <c r="L879" s="32" t="n">
        <v>9</v>
      </c>
      <c r="M879" s="32" t="n">
        <v>72</v>
      </c>
      <c r="N879" s="31" t="n">
        <v>23673.29</v>
      </c>
      <c r="O879" s="31" t="n">
        <v>24455.39</v>
      </c>
      <c r="P879" s="22" t="n">
        <v>0</v>
      </c>
      <c r="Q879" s="22" t="n">
        <v>0</v>
      </c>
      <c r="R879" s="22" t="n">
        <v>0</v>
      </c>
    </row>
    <row r="880">
      <c r="A880" s="22" t="n">
        <v>201708</v>
      </c>
      <c r="B880" s="22" t="inlineStr">
        <is>
          <t>08/2017</t>
        </is>
      </c>
      <c r="C880" s="22" t="n">
        <v>30</v>
      </c>
      <c r="D880" s="22" t="inlineStr">
        <is>
          <t>S30</t>
        </is>
      </c>
      <c r="E880" s="22" t="inlineStr">
        <is>
          <t>Nexa Pesaro (S30)</t>
        </is>
      </c>
      <c r="F880" s="22" t="inlineStr">
        <is>
          <t>Ý</t>
        </is>
      </c>
      <c r="G880" s="22" t="inlineStr">
        <is>
          <t>POS</t>
        </is>
      </c>
      <c r="H880" s="31" t="n">
        <v>15253.03</v>
      </c>
      <c r="I880" s="31" t="n">
        <v>1157.13</v>
      </c>
      <c r="J880" s="31" t="n">
        <v>14095.9</v>
      </c>
      <c r="K880" s="31" t="n">
        <v>0</v>
      </c>
      <c r="L880" s="32" t="n">
        <v>6</v>
      </c>
      <c r="M880" s="32" t="n">
        <v>47</v>
      </c>
      <c r="N880" s="31" t="n">
        <v>14095.9</v>
      </c>
      <c r="O880" s="31" t="n">
        <v>14095.9</v>
      </c>
      <c r="P880" s="22" t="n">
        <v>0</v>
      </c>
      <c r="Q880" s="22" t="n">
        <v>0</v>
      </c>
      <c r="R880" s="22" t="n">
        <v>0</v>
      </c>
    </row>
    <row r="881">
      <c r="A881" s="22" t="n">
        <v>201708</v>
      </c>
      <c r="B881" s="22" t="inlineStr">
        <is>
          <t>08/2017</t>
        </is>
      </c>
      <c r="C881" s="22" t="n">
        <v>31</v>
      </c>
      <c r="D881" s="22" t="inlineStr">
        <is>
          <t>S31</t>
        </is>
      </c>
      <c r="E881" s="22" t="inlineStr">
        <is>
          <t>Nexa Drenthe (S31)</t>
        </is>
      </c>
      <c r="F881" s="22" t="inlineStr">
        <is>
          <t>Hà Lan</t>
        </is>
      </c>
      <c r="G881" s="22" t="inlineStr">
        <is>
          <t>POS</t>
        </is>
      </c>
      <c r="H881" s="31" t="n">
        <v>6504.21</v>
      </c>
      <c r="I881" s="31" t="n">
        <v>19.82</v>
      </c>
      <c r="J881" s="31" t="n">
        <v>6484.39</v>
      </c>
      <c r="K881" s="31" t="n">
        <v>0</v>
      </c>
      <c r="L881" s="32" t="n">
        <v>2</v>
      </c>
      <c r="M881" s="32" t="n">
        <v>24</v>
      </c>
      <c r="N881" s="31" t="n">
        <v>6484.39</v>
      </c>
      <c r="O881" s="31" t="n">
        <v>6484.39</v>
      </c>
      <c r="P881" s="22" t="n">
        <v>0</v>
      </c>
      <c r="Q881" s="22" t="n">
        <v>0</v>
      </c>
      <c r="R881" s="22" t="n">
        <v>0</v>
      </c>
    </row>
    <row r="882">
      <c r="A882" s="22" t="n">
        <v>201708</v>
      </c>
      <c r="B882" s="22" t="inlineStr">
        <is>
          <t>08/2017</t>
        </is>
      </c>
      <c r="C882" s="22" t="n">
        <v>32</v>
      </c>
      <c r="D882" s="22" t="inlineStr">
        <is>
          <t>S32</t>
        </is>
      </c>
      <c r="E882" s="22" t="inlineStr">
        <is>
          <t>Nexa Flevoland (S32)</t>
        </is>
      </c>
      <c r="F882" s="22" t="inlineStr">
        <is>
          <t>Hà Lan</t>
        </is>
      </c>
      <c r="G882" s="22" t="inlineStr">
        <is>
          <t>POS</t>
        </is>
      </c>
      <c r="H882" s="31" t="n">
        <v>2313.96</v>
      </c>
      <c r="I882" s="31" t="n">
        <v>103.4</v>
      </c>
      <c r="J882" s="31" t="n">
        <v>2210.56</v>
      </c>
      <c r="K882" s="31" t="n">
        <v>0</v>
      </c>
      <c r="L882" s="32" t="n">
        <v>2</v>
      </c>
      <c r="M882" s="32" t="n">
        <v>9</v>
      </c>
      <c r="N882" s="31" t="n">
        <v>2210.56</v>
      </c>
      <c r="O882" s="31" t="n">
        <v>2210.56</v>
      </c>
      <c r="P882" s="22" t="n">
        <v>0</v>
      </c>
      <c r="Q882" s="22" t="n">
        <v>0</v>
      </c>
      <c r="R882" s="22" t="n">
        <v>0</v>
      </c>
    </row>
    <row r="883">
      <c r="A883" s="22" t="n">
        <v>201708</v>
      </c>
      <c r="B883" s="22" t="inlineStr">
        <is>
          <t>08/2017</t>
        </is>
      </c>
      <c r="C883" s="22" t="n">
        <v>33</v>
      </c>
      <c r="D883" s="22" t="inlineStr">
        <is>
          <t>S33</t>
        </is>
      </c>
      <c r="E883" s="22" t="inlineStr">
        <is>
          <t>Nexa Friesland (S33)</t>
        </is>
      </c>
      <c r="F883" s="22" t="inlineStr">
        <is>
          <t>Hà Lan</t>
        </is>
      </c>
      <c r="G883" s="22" t="inlineStr">
        <is>
          <t>POS</t>
        </is>
      </c>
      <c r="H883" s="31" t="n">
        <v>3337.05</v>
      </c>
      <c r="I883" s="31" t="n">
        <v>333.7</v>
      </c>
      <c r="J883" s="31" t="n">
        <v>3003.35</v>
      </c>
      <c r="K883" s="31" t="n">
        <v>0</v>
      </c>
      <c r="L883" s="32" t="n">
        <v>3</v>
      </c>
      <c r="M883" s="32" t="n">
        <v>39</v>
      </c>
      <c r="N883" s="31" t="n">
        <v>3003.35</v>
      </c>
      <c r="O883" s="31" t="n">
        <v>3003.35</v>
      </c>
      <c r="P883" s="22" t="n">
        <v>0</v>
      </c>
      <c r="Q883" s="22" t="n">
        <v>0</v>
      </c>
      <c r="R883" s="22" t="n">
        <v>0</v>
      </c>
    </row>
    <row r="884">
      <c r="A884" s="22" t="n">
        <v>201708</v>
      </c>
      <c r="B884" s="22" t="inlineStr">
        <is>
          <t>08/2017</t>
        </is>
      </c>
      <c r="C884" s="22" t="n">
        <v>34</v>
      </c>
      <c r="D884" s="22" t="inlineStr">
        <is>
          <t>S34</t>
        </is>
      </c>
      <c r="E884" s="22" t="inlineStr">
        <is>
          <t>Nexa Groningen (S34)</t>
        </is>
      </c>
      <c r="F884" s="22" t="inlineStr">
        <is>
          <t>Hà Lan</t>
        </is>
      </c>
      <c r="G884" s="22" t="inlineStr">
        <is>
          <t>POS</t>
        </is>
      </c>
      <c r="H884" s="31" t="n">
        <v>389.7</v>
      </c>
      <c r="I884" s="31" t="n">
        <v>38.97</v>
      </c>
      <c r="J884" s="31" t="n">
        <v>350.73</v>
      </c>
      <c r="K884" s="31" t="n">
        <v>0</v>
      </c>
      <c r="L884" s="32" t="n">
        <v>1</v>
      </c>
      <c r="M884" s="32" t="n">
        <v>3</v>
      </c>
      <c r="N884" s="31" t="n">
        <v>350.73</v>
      </c>
      <c r="O884" s="31" t="n">
        <v>350.73</v>
      </c>
      <c r="P884" s="22" t="n">
        <v>0</v>
      </c>
      <c r="Q884" s="22" t="n">
        <v>0</v>
      </c>
      <c r="R884" s="22" t="n">
        <v>0</v>
      </c>
    </row>
    <row r="885">
      <c r="A885" s="22" t="n">
        <v>201708</v>
      </c>
      <c r="B885" s="22" t="inlineStr">
        <is>
          <t>08/2017</t>
        </is>
      </c>
      <c r="C885" s="22" t="n">
        <v>36</v>
      </c>
      <c r="D885" s="22" t="inlineStr">
        <is>
          <t>S36</t>
        </is>
      </c>
      <c r="E885" s="22" t="inlineStr">
        <is>
          <t>Nexa Armagh (S36)</t>
        </is>
      </c>
      <c r="F885" s="22" t="inlineStr">
        <is>
          <t>Anh</t>
        </is>
      </c>
      <c r="G885" s="22" t="inlineStr">
        <is>
          <t>POS</t>
        </is>
      </c>
      <c r="H885" s="31" t="n">
        <v>7567.4</v>
      </c>
      <c r="I885" s="31" t="n">
        <v>237.4</v>
      </c>
      <c r="J885" s="31" t="n">
        <v>7330</v>
      </c>
      <c r="K885" s="31" t="n">
        <v>1495</v>
      </c>
      <c r="L885" s="32" t="n">
        <v>6</v>
      </c>
      <c r="M885" s="32" t="n">
        <v>28</v>
      </c>
      <c r="N885" s="31" t="n">
        <v>5835</v>
      </c>
      <c r="O885" s="31" t="n">
        <v>7330</v>
      </c>
      <c r="P885" s="22" t="n">
        <v>0</v>
      </c>
      <c r="Q885" s="22" t="n">
        <v>0</v>
      </c>
      <c r="R885" s="22" t="n">
        <v>0</v>
      </c>
    </row>
    <row r="886">
      <c r="A886" s="22" t="n">
        <v>201708</v>
      </c>
      <c r="B886" s="22" t="inlineStr">
        <is>
          <t>08/2017</t>
        </is>
      </c>
      <c r="C886" s="22" t="n">
        <v>37</v>
      </c>
      <c r="D886" s="22" t="inlineStr">
        <is>
          <t>S37</t>
        </is>
      </c>
      <c r="E886" s="22" t="inlineStr">
        <is>
          <t>Nexa Ayrshire (S37)</t>
        </is>
      </c>
      <c r="F886" s="22" t="inlineStr">
        <is>
          <t>Anh</t>
        </is>
      </c>
      <c r="G886" s="22" t="inlineStr">
        <is>
          <t>POS</t>
        </is>
      </c>
      <c r="H886" s="31" t="n">
        <v>18244.16</v>
      </c>
      <c r="I886" s="31" t="n">
        <v>710.4299999999999</v>
      </c>
      <c r="J886" s="31" t="n">
        <v>17533.73</v>
      </c>
      <c r="K886" s="31" t="n">
        <v>23.12</v>
      </c>
      <c r="L886" s="32" t="n">
        <v>5</v>
      </c>
      <c r="M886" s="32" t="n">
        <v>30</v>
      </c>
      <c r="N886" s="31" t="n">
        <v>17510.61</v>
      </c>
      <c r="O886" s="31" t="n">
        <v>17533.73</v>
      </c>
      <c r="P886" s="22" t="n">
        <v>0</v>
      </c>
      <c r="Q886" s="22" t="n">
        <v>0</v>
      </c>
      <c r="R886" s="22" t="n">
        <v>0</v>
      </c>
    </row>
    <row r="887">
      <c r="A887" s="22" t="n">
        <v>201708</v>
      </c>
      <c r="B887" s="22" t="inlineStr">
        <is>
          <t>08/2017</t>
        </is>
      </c>
      <c r="C887" s="22" t="n">
        <v>38</v>
      </c>
      <c r="D887" s="22" t="inlineStr">
        <is>
          <t>S38</t>
        </is>
      </c>
      <c r="E887" s="22" t="inlineStr">
        <is>
          <t>Nexa Belfast (S38)</t>
        </is>
      </c>
      <c r="F887" s="22" t="inlineStr">
        <is>
          <t>Anh</t>
        </is>
      </c>
      <c r="G887" s="22" t="inlineStr">
        <is>
          <t>POS</t>
        </is>
      </c>
      <c r="H887" s="31" t="n">
        <v>2122.37</v>
      </c>
      <c r="I887" s="31" t="n">
        <v>0</v>
      </c>
      <c r="J887" s="31" t="n">
        <v>2122.37</v>
      </c>
      <c r="K887" s="31" t="n">
        <v>0</v>
      </c>
      <c r="L887" s="32" t="n">
        <v>2</v>
      </c>
      <c r="M887" s="32" t="n">
        <v>10</v>
      </c>
      <c r="N887" s="31" t="n">
        <v>2122.37</v>
      </c>
      <c r="O887" s="31" t="n">
        <v>2122.37</v>
      </c>
      <c r="P887" s="22" t="n">
        <v>0</v>
      </c>
      <c r="Q887" s="22" t="n">
        <v>0</v>
      </c>
      <c r="R887" s="22" t="n">
        <v>0</v>
      </c>
    </row>
    <row r="888">
      <c r="A888" s="22" t="n">
        <v>201708</v>
      </c>
      <c r="B888" s="22" t="inlineStr">
        <is>
          <t>08/2017</t>
        </is>
      </c>
      <c r="C888" s="22" t="n">
        <v>39</v>
      </c>
      <c r="D888" s="22" t="inlineStr">
        <is>
          <t>S39</t>
        </is>
      </c>
      <c r="E888" s="22" t="inlineStr">
        <is>
          <t>Nexa Blaenau Gwent (S39)</t>
        </is>
      </c>
      <c r="F888" s="22" t="inlineStr">
        <is>
          <t>Anh</t>
        </is>
      </c>
      <c r="G888" s="22" t="inlineStr">
        <is>
          <t>POS</t>
        </is>
      </c>
      <c r="H888" s="31" t="n">
        <v>5395.24</v>
      </c>
      <c r="I888" s="31" t="n">
        <v>41.6</v>
      </c>
      <c r="J888" s="31" t="n">
        <v>5353.64</v>
      </c>
      <c r="K888" s="31" t="n">
        <v>0</v>
      </c>
      <c r="L888" s="32" t="n">
        <v>6</v>
      </c>
      <c r="M888" s="32" t="n">
        <v>28</v>
      </c>
      <c r="N888" s="31" t="n">
        <v>5353.64</v>
      </c>
      <c r="O888" s="31" t="n">
        <v>5353.64</v>
      </c>
      <c r="P888" s="22" t="n">
        <v>0</v>
      </c>
      <c r="Q888" s="22" t="n">
        <v>0</v>
      </c>
      <c r="R888" s="22" t="n">
        <v>0</v>
      </c>
    </row>
    <row r="889">
      <c r="A889" s="22" t="n">
        <v>201708</v>
      </c>
      <c r="B889" s="22" t="inlineStr">
        <is>
          <t>08/2017</t>
        </is>
      </c>
      <c r="C889" s="22" t="n">
        <v>40</v>
      </c>
      <c r="D889" s="22" t="inlineStr">
        <is>
          <t>S40</t>
        </is>
      </c>
      <c r="E889" s="22" t="inlineStr">
        <is>
          <t>Nexa Dungannon and South Tyrone (S40)</t>
        </is>
      </c>
      <c r="F889" s="22" t="inlineStr">
        <is>
          <t>Anh</t>
        </is>
      </c>
      <c r="G889" s="22" t="inlineStr">
        <is>
          <t>POS</t>
        </is>
      </c>
      <c r="H889" s="31" t="n">
        <v>24926.09</v>
      </c>
      <c r="I889" s="31" t="n">
        <v>1017.62</v>
      </c>
      <c r="J889" s="31" t="n">
        <v>23908.47</v>
      </c>
      <c r="K889" s="31" t="n">
        <v>0</v>
      </c>
      <c r="L889" s="32" t="n">
        <v>6</v>
      </c>
      <c r="M889" s="32" t="n">
        <v>48</v>
      </c>
      <c r="N889" s="31" t="n">
        <v>23908.47</v>
      </c>
      <c r="O889" s="31" t="n">
        <v>23908.47</v>
      </c>
      <c r="P889" s="22" t="n">
        <v>0</v>
      </c>
      <c r="Q889" s="22" t="n">
        <v>0</v>
      </c>
      <c r="R889" s="22" t="n">
        <v>0</v>
      </c>
    </row>
    <row r="890">
      <c r="A890" s="22" t="n">
        <v>201708</v>
      </c>
      <c r="B890" s="22" t="inlineStr">
        <is>
          <t>08/2017</t>
        </is>
      </c>
      <c r="C890" s="22" t="n">
        <v>41</v>
      </c>
      <c r="D890" s="22" t="inlineStr">
        <is>
          <t>S41</t>
        </is>
      </c>
      <c r="E890" s="22" t="inlineStr">
        <is>
          <t>Nexa Fermanagh (S41)</t>
        </is>
      </c>
      <c r="F890" s="22" t="inlineStr">
        <is>
          <t>Anh</t>
        </is>
      </c>
      <c r="G890" s="22" t="inlineStr">
        <is>
          <t>POS</t>
        </is>
      </c>
      <c r="H890" s="31" t="n">
        <v>2563.76</v>
      </c>
      <c r="I890" s="31" t="n">
        <v>178.4</v>
      </c>
      <c r="J890" s="31" t="n">
        <v>2385.36</v>
      </c>
      <c r="K890" s="31" t="n">
        <v>0</v>
      </c>
      <c r="L890" s="32" t="n">
        <v>2</v>
      </c>
      <c r="M890" s="32" t="n">
        <v>12</v>
      </c>
      <c r="N890" s="31" t="n">
        <v>2385.36</v>
      </c>
      <c r="O890" s="31" t="n">
        <v>2385.36</v>
      </c>
      <c r="P890" s="22" t="n">
        <v>0</v>
      </c>
      <c r="Q890" s="22" t="n">
        <v>0</v>
      </c>
      <c r="R890" s="22" t="n">
        <v>0</v>
      </c>
    </row>
    <row r="891">
      <c r="A891" s="22" t="n">
        <v>201708</v>
      </c>
      <c r="B891" s="22" t="inlineStr">
        <is>
          <t>08/2017</t>
        </is>
      </c>
      <c r="C891" s="22" t="n">
        <v>42</v>
      </c>
      <c r="D891" s="22" t="inlineStr">
        <is>
          <t>S42</t>
        </is>
      </c>
      <c r="E891" s="22" t="inlineStr">
        <is>
          <t>Nexa North Down (S42)</t>
        </is>
      </c>
      <c r="F891" s="22" t="inlineStr">
        <is>
          <t>Anh</t>
        </is>
      </c>
      <c r="G891" s="22" t="inlineStr">
        <is>
          <t>POS</t>
        </is>
      </c>
      <c r="H891" s="31" t="n">
        <v>14296.4</v>
      </c>
      <c r="I891" s="31" t="n">
        <v>330.26</v>
      </c>
      <c r="J891" s="31" t="n">
        <v>13966.14</v>
      </c>
      <c r="K891" s="31" t="n">
        <v>0</v>
      </c>
      <c r="L891" s="32" t="n">
        <v>7</v>
      </c>
      <c r="M891" s="32" t="n">
        <v>54</v>
      </c>
      <c r="N891" s="31" t="n">
        <v>13966.14</v>
      </c>
      <c r="O891" s="31" t="n">
        <v>13966.14</v>
      </c>
      <c r="P891" s="22" t="n">
        <v>0</v>
      </c>
      <c r="Q891" s="22" t="n">
        <v>0</v>
      </c>
      <c r="R891" s="22" t="n">
        <v>0</v>
      </c>
    </row>
    <row r="892">
      <c r="A892" s="22" t="n">
        <v>201708</v>
      </c>
      <c r="B892" s="22" t="inlineStr">
        <is>
          <t>08/2017</t>
        </is>
      </c>
      <c r="C892" s="22" t="n">
        <v>43</v>
      </c>
      <c r="D892" s="22" t="inlineStr">
        <is>
          <t>S43</t>
        </is>
      </c>
      <c r="E892" s="22" t="inlineStr">
        <is>
          <t>Nexa Alaska (S43)</t>
        </is>
      </c>
      <c r="F892" s="22" t="inlineStr">
        <is>
          <t>Mỹ</t>
        </is>
      </c>
      <c r="G892" s="22" t="inlineStr">
        <is>
          <t>POS</t>
        </is>
      </c>
      <c r="H892" s="31" t="n">
        <v>32495.66</v>
      </c>
      <c r="I892" s="31" t="n">
        <v>573.29</v>
      </c>
      <c r="J892" s="31" t="n">
        <v>31922.37</v>
      </c>
      <c r="K892" s="31" t="n">
        <v>0</v>
      </c>
      <c r="L892" s="32" t="n">
        <v>7</v>
      </c>
      <c r="M892" s="32" t="n">
        <v>59</v>
      </c>
      <c r="N892" s="31" t="n">
        <v>31922.37</v>
      </c>
      <c r="O892" s="31" t="n">
        <v>31922.37</v>
      </c>
      <c r="P892" s="22" t="n">
        <v>0</v>
      </c>
      <c r="Q892" s="22" t="n">
        <v>0</v>
      </c>
      <c r="R892" s="22" t="n">
        <v>0</v>
      </c>
    </row>
    <row r="893">
      <c r="A893" s="22" t="n">
        <v>201708</v>
      </c>
      <c r="B893" s="22" t="inlineStr">
        <is>
          <t>08/2017</t>
        </is>
      </c>
      <c r="C893" s="22" t="n">
        <v>44</v>
      </c>
      <c r="D893" s="22" t="inlineStr">
        <is>
          <t>S44</t>
        </is>
      </c>
      <c r="E893" s="22" t="inlineStr">
        <is>
          <t>Nexa Arkansas (S44)</t>
        </is>
      </c>
      <c r="F893" s="22" t="inlineStr">
        <is>
          <t>Mỹ</t>
        </is>
      </c>
      <c r="G893" s="22" t="inlineStr">
        <is>
          <t>POS</t>
        </is>
      </c>
      <c r="H893" s="31" t="n">
        <v>5303.84</v>
      </c>
      <c r="I893" s="31" t="n">
        <v>530.39</v>
      </c>
      <c r="J893" s="31" t="n">
        <v>4773.45</v>
      </c>
      <c r="K893" s="31" t="n">
        <v>0</v>
      </c>
      <c r="L893" s="32" t="n">
        <v>4</v>
      </c>
      <c r="M893" s="32" t="n">
        <v>33</v>
      </c>
      <c r="N893" s="31" t="n">
        <v>4773.45</v>
      </c>
      <c r="O893" s="31" t="n">
        <v>4773.45</v>
      </c>
      <c r="P893" s="22" t="n">
        <v>0</v>
      </c>
      <c r="Q893" s="22" t="n">
        <v>0</v>
      </c>
      <c r="R893" s="22" t="n">
        <v>0</v>
      </c>
    </row>
    <row r="894">
      <c r="A894" s="22" t="n">
        <v>201708</v>
      </c>
      <c r="B894" s="22" t="inlineStr">
        <is>
          <t>08/2017</t>
        </is>
      </c>
      <c r="C894" s="22" t="n">
        <v>45</v>
      </c>
      <c r="D894" s="22" t="inlineStr">
        <is>
          <t>S45</t>
        </is>
      </c>
      <c r="E894" s="22" t="inlineStr">
        <is>
          <t>Nexa Connecticut (S45)</t>
        </is>
      </c>
      <c r="F894" s="22" t="inlineStr">
        <is>
          <t>Mỹ</t>
        </is>
      </c>
      <c r="G894" s="22" t="inlineStr">
        <is>
          <t>POS</t>
        </is>
      </c>
      <c r="H894" s="31" t="n">
        <v>24121.73</v>
      </c>
      <c r="I894" s="31" t="n">
        <v>1717.95</v>
      </c>
      <c r="J894" s="31" t="n">
        <v>22403.78</v>
      </c>
      <c r="K894" s="31" t="n">
        <v>484.2</v>
      </c>
      <c r="L894" s="32" t="n">
        <v>9</v>
      </c>
      <c r="M894" s="32" t="n">
        <v>67</v>
      </c>
      <c r="N894" s="31" t="n">
        <v>21919.58</v>
      </c>
      <c r="O894" s="31" t="n">
        <v>22403.78</v>
      </c>
      <c r="P894" s="22" t="n">
        <v>0</v>
      </c>
      <c r="Q894" s="22" t="n">
        <v>0</v>
      </c>
      <c r="R894" s="22" t="n">
        <v>0</v>
      </c>
    </row>
    <row r="895">
      <c r="A895" s="22" t="n">
        <v>201708</v>
      </c>
      <c r="B895" s="22" t="inlineStr">
        <is>
          <t>08/2017</t>
        </is>
      </c>
      <c r="C895" s="22" t="n">
        <v>47</v>
      </c>
      <c r="D895" s="22" t="inlineStr">
        <is>
          <t>S47</t>
        </is>
      </c>
      <c r="E895" s="22" t="inlineStr">
        <is>
          <t>Nexa Hawaii (S47)</t>
        </is>
      </c>
      <c r="F895" s="22" t="inlineStr">
        <is>
          <t>Mỹ</t>
        </is>
      </c>
      <c r="G895" s="22" t="inlineStr">
        <is>
          <t>POS</t>
        </is>
      </c>
      <c r="H895" s="31" t="n">
        <v>7017.18</v>
      </c>
      <c r="I895" s="31" t="n">
        <v>471.55</v>
      </c>
      <c r="J895" s="31" t="n">
        <v>6545.63</v>
      </c>
      <c r="K895" s="31" t="n">
        <v>0</v>
      </c>
      <c r="L895" s="32" t="n">
        <v>6</v>
      </c>
      <c r="M895" s="32" t="n">
        <v>32</v>
      </c>
      <c r="N895" s="31" t="n">
        <v>6545.63</v>
      </c>
      <c r="O895" s="31" t="n">
        <v>6545.63</v>
      </c>
      <c r="P895" s="22" t="n">
        <v>0</v>
      </c>
      <c r="Q895" s="22" t="n">
        <v>0</v>
      </c>
      <c r="R895" s="22" t="n">
        <v>0</v>
      </c>
    </row>
    <row r="896">
      <c r="A896" s="22" t="n">
        <v>201708</v>
      </c>
      <c r="B896" s="22" t="inlineStr">
        <is>
          <t>08/2017</t>
        </is>
      </c>
      <c r="C896" s="22" t="n">
        <v>48</v>
      </c>
      <c r="D896" s="22" t="inlineStr">
        <is>
          <t>S48</t>
        </is>
      </c>
      <c r="E896" s="22" t="inlineStr">
        <is>
          <t>Nexa Idaho (S48)</t>
        </is>
      </c>
      <c r="F896" s="22" t="inlineStr">
        <is>
          <t>Mỹ</t>
        </is>
      </c>
      <c r="G896" s="22" t="inlineStr">
        <is>
          <t>POS</t>
        </is>
      </c>
      <c r="H896" s="31" t="n">
        <v>11812.4</v>
      </c>
      <c r="I896" s="31" t="n">
        <v>194.15</v>
      </c>
      <c r="J896" s="31" t="n">
        <v>11618.25</v>
      </c>
      <c r="K896" s="31" t="n">
        <v>0</v>
      </c>
      <c r="L896" s="32" t="n">
        <v>5</v>
      </c>
      <c r="M896" s="32" t="n">
        <v>47</v>
      </c>
      <c r="N896" s="31" t="n">
        <v>11618.25</v>
      </c>
      <c r="O896" s="31" t="n">
        <v>11618.25</v>
      </c>
      <c r="P896" s="22" t="n">
        <v>0</v>
      </c>
      <c r="Q896" s="22" t="n">
        <v>0</v>
      </c>
      <c r="R896" s="22" t="n">
        <v>0</v>
      </c>
    </row>
    <row r="897">
      <c r="A897" s="22" t="n">
        <v>201708</v>
      </c>
      <c r="B897" s="22" t="inlineStr">
        <is>
          <t>08/2017</t>
        </is>
      </c>
      <c r="C897" s="22" t="n">
        <v>50</v>
      </c>
      <c r="D897" s="22" t="inlineStr">
        <is>
          <t>S50</t>
        </is>
      </c>
      <c r="E897" s="22" t="inlineStr">
        <is>
          <t>Nexa Kansas (S50)</t>
        </is>
      </c>
      <c r="F897" s="22" t="inlineStr">
        <is>
          <t>Mỹ</t>
        </is>
      </c>
      <c r="G897" s="22" t="inlineStr">
        <is>
          <t>POS</t>
        </is>
      </c>
      <c r="H897" s="31" t="n">
        <v>4711.51</v>
      </c>
      <c r="I897" s="31" t="n">
        <v>0</v>
      </c>
      <c r="J897" s="31" t="n">
        <v>4711.51</v>
      </c>
      <c r="K897" s="31" t="n">
        <v>446.5</v>
      </c>
      <c r="L897" s="32" t="n">
        <v>3</v>
      </c>
      <c r="M897" s="32" t="n">
        <v>29</v>
      </c>
      <c r="N897" s="31" t="n">
        <v>4265.01</v>
      </c>
      <c r="O897" s="31" t="n">
        <v>4711.51</v>
      </c>
      <c r="P897" s="22" t="n">
        <v>0</v>
      </c>
      <c r="Q897" s="22" t="n">
        <v>0</v>
      </c>
      <c r="R897" s="22" t="n">
        <v>0</v>
      </c>
    </row>
    <row r="898">
      <c r="A898" s="22" t="n">
        <v>201708</v>
      </c>
      <c r="B898" s="22" t="inlineStr">
        <is>
          <t>08/2017</t>
        </is>
      </c>
      <c r="C898" s="22" t="n">
        <v>51</v>
      </c>
      <c r="D898" s="22" t="inlineStr">
        <is>
          <t>S51</t>
        </is>
      </c>
      <c r="E898" s="22" t="inlineStr">
        <is>
          <t>Nexa Maine (S51)</t>
        </is>
      </c>
      <c r="F898" s="22" t="inlineStr">
        <is>
          <t>Mỹ</t>
        </is>
      </c>
      <c r="G898" s="22" t="inlineStr">
        <is>
          <t>POS</t>
        </is>
      </c>
      <c r="H898" s="31" t="n">
        <v>4295.23</v>
      </c>
      <c r="I898" s="31" t="n">
        <v>115.14</v>
      </c>
      <c r="J898" s="31" t="n">
        <v>4180.09</v>
      </c>
      <c r="K898" s="31" t="n">
        <v>310</v>
      </c>
      <c r="L898" s="32" t="n">
        <v>6</v>
      </c>
      <c r="M898" s="32" t="n">
        <v>33</v>
      </c>
      <c r="N898" s="31" t="n">
        <v>3870.09</v>
      </c>
      <c r="O898" s="31" t="n">
        <v>4180.09</v>
      </c>
      <c r="P898" s="22" t="n">
        <v>0</v>
      </c>
      <c r="Q898" s="22" t="n">
        <v>0</v>
      </c>
      <c r="R898" s="22" t="n">
        <v>0</v>
      </c>
    </row>
    <row r="899">
      <c r="A899" s="22" t="n">
        <v>201708</v>
      </c>
      <c r="B899" s="22" t="inlineStr">
        <is>
          <t>08/2017</t>
        </is>
      </c>
      <c r="C899" s="22" t="n">
        <v>53</v>
      </c>
      <c r="D899" s="22" t="inlineStr">
        <is>
          <t>S53</t>
        </is>
      </c>
      <c r="E899" s="22" t="inlineStr">
        <is>
          <t>Nexa Montana (S53)</t>
        </is>
      </c>
      <c r="F899" s="22" t="inlineStr">
        <is>
          <t>Mỹ</t>
        </is>
      </c>
      <c r="G899" s="22" t="inlineStr">
        <is>
          <t>POS</t>
        </is>
      </c>
      <c r="H899" s="31" t="n">
        <v>31361.8</v>
      </c>
      <c r="I899" s="31" t="n">
        <v>1795.72</v>
      </c>
      <c r="J899" s="31" t="n">
        <v>29566.08</v>
      </c>
      <c r="K899" s="31" t="n">
        <v>61.92</v>
      </c>
      <c r="L899" s="32" t="n">
        <v>6</v>
      </c>
      <c r="M899" s="32" t="n">
        <v>41</v>
      </c>
      <c r="N899" s="31" t="n">
        <v>29504.16</v>
      </c>
      <c r="O899" s="31" t="n">
        <v>29566.08</v>
      </c>
      <c r="P899" s="22" t="n">
        <v>0</v>
      </c>
      <c r="Q899" s="22" t="n">
        <v>0</v>
      </c>
      <c r="R899" s="22" t="n">
        <v>0</v>
      </c>
    </row>
    <row r="900">
      <c r="A900" s="22" t="n">
        <v>201708</v>
      </c>
      <c r="B900" s="22" t="inlineStr">
        <is>
          <t>08/2017</t>
        </is>
      </c>
      <c r="C900" s="22" t="n">
        <v>54</v>
      </c>
      <c r="D900" s="22" t="inlineStr">
        <is>
          <t>S54</t>
        </is>
      </c>
      <c r="E900" s="22" t="inlineStr">
        <is>
          <t>Nexa Nebraska (S54)</t>
        </is>
      </c>
      <c r="F900" s="22" t="inlineStr">
        <is>
          <t>Mỹ</t>
        </is>
      </c>
      <c r="G900" s="22" t="inlineStr">
        <is>
          <t>POS</t>
        </is>
      </c>
      <c r="H900" s="31" t="n">
        <v>23058.2</v>
      </c>
      <c r="I900" s="31" t="n">
        <v>1275.98</v>
      </c>
      <c r="J900" s="31" t="n">
        <v>21782.22</v>
      </c>
      <c r="K900" s="31" t="n">
        <v>0</v>
      </c>
      <c r="L900" s="32" t="n">
        <v>9</v>
      </c>
      <c r="M900" s="32" t="n">
        <v>69</v>
      </c>
      <c r="N900" s="31" t="n">
        <v>21782.22</v>
      </c>
      <c r="O900" s="31" t="n">
        <v>21782.22</v>
      </c>
      <c r="P900" s="22" t="n">
        <v>0</v>
      </c>
      <c r="Q900" s="22" t="n">
        <v>0</v>
      </c>
      <c r="R900" s="22" t="n">
        <v>0</v>
      </c>
    </row>
    <row r="901">
      <c r="A901" s="22" t="n">
        <v>201708</v>
      </c>
      <c r="B901" s="22" t="inlineStr">
        <is>
          <t>08/2017</t>
        </is>
      </c>
      <c r="C901" s="22" t="n">
        <v>55</v>
      </c>
      <c r="D901" s="22" t="inlineStr">
        <is>
          <t>S55</t>
        </is>
      </c>
      <c r="E901" s="22" t="inlineStr">
        <is>
          <t>Nexa Nevada (S55)</t>
        </is>
      </c>
      <c r="F901" s="22" t="inlineStr">
        <is>
          <t>Mỹ</t>
        </is>
      </c>
      <c r="G901" s="22" t="inlineStr">
        <is>
          <t>POS</t>
        </is>
      </c>
      <c r="H901" s="31" t="n">
        <v>1745.83</v>
      </c>
      <c r="I901" s="31" t="n">
        <v>174.6</v>
      </c>
      <c r="J901" s="31" t="n">
        <v>1571.23</v>
      </c>
      <c r="K901" s="31" t="n">
        <v>0</v>
      </c>
      <c r="L901" s="32" t="n">
        <v>3</v>
      </c>
      <c r="M901" s="32" t="n">
        <v>15</v>
      </c>
      <c r="N901" s="31" t="n">
        <v>1571.23</v>
      </c>
      <c r="O901" s="31" t="n">
        <v>1571.23</v>
      </c>
      <c r="P901" s="22" t="n">
        <v>0</v>
      </c>
      <c r="Q901" s="22" t="n">
        <v>0</v>
      </c>
      <c r="R901" s="22" t="n">
        <v>0</v>
      </c>
    </row>
    <row r="902">
      <c r="A902" s="22" t="n">
        <v>201708</v>
      </c>
      <c r="B902" s="22" t="inlineStr">
        <is>
          <t>08/2017</t>
        </is>
      </c>
      <c r="C902" s="22" t="n">
        <v>56</v>
      </c>
      <c r="D902" s="22" t="inlineStr">
        <is>
          <t>S56</t>
        </is>
      </c>
      <c r="E902" s="22" t="inlineStr">
        <is>
          <t>Nexa New Hampshire (S56)</t>
        </is>
      </c>
      <c r="F902" s="22" t="inlineStr">
        <is>
          <t>Mỹ</t>
        </is>
      </c>
      <c r="G902" s="22" t="inlineStr">
        <is>
          <t>POS</t>
        </is>
      </c>
      <c r="H902" s="31" t="n">
        <v>23592.21</v>
      </c>
      <c r="I902" s="31" t="n">
        <v>888.4</v>
      </c>
      <c r="J902" s="31" t="n">
        <v>22703.81</v>
      </c>
      <c r="K902" s="31" t="n">
        <v>0</v>
      </c>
      <c r="L902" s="32" t="n">
        <v>5</v>
      </c>
      <c r="M902" s="32" t="n">
        <v>70</v>
      </c>
      <c r="N902" s="31" t="n">
        <v>22703.81</v>
      </c>
      <c r="O902" s="31" t="n">
        <v>22703.81</v>
      </c>
      <c r="P902" s="22" t="n">
        <v>0</v>
      </c>
      <c r="Q902" s="22" t="n">
        <v>0</v>
      </c>
      <c r="R902" s="22" t="n">
        <v>0</v>
      </c>
    </row>
    <row r="903">
      <c r="A903" s="22" t="n">
        <v>201708</v>
      </c>
      <c r="B903" s="22" t="inlineStr">
        <is>
          <t>08/2017</t>
        </is>
      </c>
      <c r="C903" s="22" t="n">
        <v>57</v>
      </c>
      <c r="D903" s="22" t="inlineStr">
        <is>
          <t>S57</t>
        </is>
      </c>
      <c r="E903" s="22" t="inlineStr">
        <is>
          <t>Nexa New Mexico (S57)</t>
        </is>
      </c>
      <c r="F903" s="22" t="inlineStr">
        <is>
          <t>Mỹ</t>
        </is>
      </c>
      <c r="G903" s="22" t="inlineStr">
        <is>
          <t>POS</t>
        </is>
      </c>
      <c r="H903" s="31" t="n">
        <v>9587.389999999999</v>
      </c>
      <c r="I903" s="31" t="n">
        <v>565.5</v>
      </c>
      <c r="J903" s="31" t="n">
        <v>9021.889999999999</v>
      </c>
      <c r="K903" s="31" t="n">
        <v>0</v>
      </c>
      <c r="L903" s="32" t="n">
        <v>6</v>
      </c>
      <c r="M903" s="32" t="n">
        <v>45</v>
      </c>
      <c r="N903" s="31" t="n">
        <v>9021.889999999999</v>
      </c>
      <c r="O903" s="31" t="n">
        <v>9021.889999999999</v>
      </c>
      <c r="P903" s="22" t="n">
        <v>1</v>
      </c>
      <c r="Q903" s="22" t="n">
        <v>0</v>
      </c>
      <c r="R903" s="22" t="n">
        <v>0</v>
      </c>
    </row>
    <row r="904">
      <c r="A904" s="22" t="n">
        <v>201708</v>
      </c>
      <c r="B904" s="22" t="inlineStr">
        <is>
          <t>08/2017</t>
        </is>
      </c>
      <c r="C904" s="22" t="n">
        <v>59</v>
      </c>
      <c r="D904" s="22" t="inlineStr">
        <is>
          <t>S59</t>
        </is>
      </c>
      <c r="E904" s="22" t="inlineStr">
        <is>
          <t>Nexa Oregon (S59)</t>
        </is>
      </c>
      <c r="F904" s="22" t="inlineStr">
        <is>
          <t>Mỹ</t>
        </is>
      </c>
      <c r="G904" s="22" t="inlineStr">
        <is>
          <t>POS</t>
        </is>
      </c>
      <c r="H904" s="31" t="n">
        <v>22923.31</v>
      </c>
      <c r="I904" s="31" t="n">
        <v>2044.71</v>
      </c>
      <c r="J904" s="31" t="n">
        <v>20878.6</v>
      </c>
      <c r="K904" s="31" t="n">
        <v>0</v>
      </c>
      <c r="L904" s="32" t="n">
        <v>4</v>
      </c>
      <c r="M904" s="32" t="n">
        <v>34</v>
      </c>
      <c r="N904" s="31" t="n">
        <v>20878.6</v>
      </c>
      <c r="O904" s="31" t="n">
        <v>20878.6</v>
      </c>
      <c r="P904" s="22" t="n">
        <v>0</v>
      </c>
      <c r="Q904" s="22" t="n">
        <v>0</v>
      </c>
      <c r="R904" s="22" t="n">
        <v>0</v>
      </c>
    </row>
    <row r="905">
      <c r="A905" s="22" t="n">
        <v>201708</v>
      </c>
      <c r="B905" s="22" t="inlineStr">
        <is>
          <t>08/2017</t>
        </is>
      </c>
      <c r="C905" s="22" t="n">
        <v>61</v>
      </c>
      <c r="D905" s="22" t="inlineStr">
        <is>
          <t>S61</t>
        </is>
      </c>
      <c r="E905" s="22" t="inlineStr">
        <is>
          <t>Nexa South Carolina (S61)</t>
        </is>
      </c>
      <c r="F905" s="22" t="inlineStr">
        <is>
          <t>Mỹ</t>
        </is>
      </c>
      <c r="G905" s="22" t="inlineStr">
        <is>
          <t>POS</t>
        </is>
      </c>
      <c r="H905" s="31" t="n">
        <v>477.9</v>
      </c>
      <c r="I905" s="31" t="n">
        <v>0</v>
      </c>
      <c r="J905" s="31" t="n">
        <v>477.9</v>
      </c>
      <c r="K905" s="31" t="n">
        <v>37.95</v>
      </c>
      <c r="L905" s="32" t="n">
        <v>1</v>
      </c>
      <c r="M905" s="32" t="n">
        <v>5</v>
      </c>
      <c r="N905" s="31" t="n">
        <v>439.95</v>
      </c>
      <c r="O905" s="31" t="n">
        <v>477.9</v>
      </c>
      <c r="P905" s="22" t="n">
        <v>0</v>
      </c>
      <c r="Q905" s="22" t="n">
        <v>0</v>
      </c>
      <c r="R905" s="22" t="n">
        <v>0</v>
      </c>
    </row>
    <row r="906">
      <c r="A906" s="22" t="n">
        <v>201708</v>
      </c>
      <c r="B906" s="22" t="inlineStr">
        <is>
          <t>08/2017</t>
        </is>
      </c>
      <c r="C906" s="22" t="n">
        <v>63</v>
      </c>
      <c r="D906" s="22" t="inlineStr">
        <is>
          <t>S63</t>
        </is>
      </c>
      <c r="E906" s="22" t="inlineStr">
        <is>
          <t>Nexa Utah (S63)</t>
        </is>
      </c>
      <c r="F906" s="22" t="inlineStr">
        <is>
          <t>Mỹ</t>
        </is>
      </c>
      <c r="G906" s="22" t="inlineStr">
        <is>
          <t>POS</t>
        </is>
      </c>
      <c r="H906" s="31" t="n">
        <v>13690.64</v>
      </c>
      <c r="I906" s="31" t="n">
        <v>874.45</v>
      </c>
      <c r="J906" s="31" t="n">
        <v>12816.19</v>
      </c>
      <c r="K906" s="31" t="n">
        <v>0</v>
      </c>
      <c r="L906" s="32" t="n">
        <v>11</v>
      </c>
      <c r="M906" s="32" t="n">
        <v>71</v>
      </c>
      <c r="N906" s="31" t="n">
        <v>12816.19</v>
      </c>
      <c r="O906" s="31" t="n">
        <v>12816.19</v>
      </c>
      <c r="P906" s="22" t="n">
        <v>0</v>
      </c>
      <c r="Q906" s="22" t="n">
        <v>0</v>
      </c>
      <c r="R906" s="22" t="n">
        <v>0</v>
      </c>
    </row>
    <row r="907">
      <c r="A907" s="22" t="n">
        <v>201708</v>
      </c>
      <c r="B907" s="22" t="inlineStr">
        <is>
          <t>08/2017</t>
        </is>
      </c>
      <c r="C907" s="22" t="n">
        <v>64</v>
      </c>
      <c r="D907" s="22" t="inlineStr">
        <is>
          <t>S64</t>
        </is>
      </c>
      <c r="E907" s="22" t="inlineStr">
        <is>
          <t>Nexa Washington DC (S64)</t>
        </is>
      </c>
      <c r="F907" s="22" t="inlineStr">
        <is>
          <t>Mỹ</t>
        </is>
      </c>
      <c r="G907" s="22" t="inlineStr">
        <is>
          <t>POS</t>
        </is>
      </c>
      <c r="H907" s="31" t="n">
        <v>20542.52</v>
      </c>
      <c r="I907" s="31" t="n">
        <v>1505.47</v>
      </c>
      <c r="J907" s="31" t="n">
        <v>19037.05</v>
      </c>
      <c r="K907" s="31" t="n">
        <v>0</v>
      </c>
      <c r="L907" s="32" t="n">
        <v>8</v>
      </c>
      <c r="M907" s="32" t="n">
        <v>66</v>
      </c>
      <c r="N907" s="31" t="n">
        <v>19037.05</v>
      </c>
      <c r="O907" s="31" t="n">
        <v>19037.05</v>
      </c>
      <c r="P907" s="22" t="n">
        <v>0</v>
      </c>
      <c r="Q907" s="22" t="n">
        <v>0</v>
      </c>
      <c r="R907" s="22" t="n">
        <v>1</v>
      </c>
    </row>
    <row r="908">
      <c r="A908" s="22" t="n">
        <v>201708</v>
      </c>
      <c r="B908" s="22" t="inlineStr">
        <is>
          <t>08/2017</t>
        </is>
      </c>
      <c r="C908" s="22" t="n">
        <v>65</v>
      </c>
      <c r="D908" s="22" t="inlineStr">
        <is>
          <t>S65</t>
        </is>
      </c>
      <c r="E908" s="22" t="inlineStr">
        <is>
          <t>Nexa West Virginia (S65)</t>
        </is>
      </c>
      <c r="F908" s="22" t="inlineStr">
        <is>
          <t>Mỹ</t>
        </is>
      </c>
      <c r="G908" s="22" t="inlineStr">
        <is>
          <t>POS</t>
        </is>
      </c>
      <c r="H908" s="31" t="n">
        <v>8140.81</v>
      </c>
      <c r="I908" s="31" t="n">
        <v>284.24</v>
      </c>
      <c r="J908" s="31" t="n">
        <v>7856.57</v>
      </c>
      <c r="K908" s="31" t="n">
        <v>0</v>
      </c>
      <c r="L908" s="32" t="n">
        <v>5</v>
      </c>
      <c r="M908" s="32" t="n">
        <v>41</v>
      </c>
      <c r="N908" s="31" t="n">
        <v>7856.57</v>
      </c>
      <c r="O908" s="31" t="n">
        <v>7856.57</v>
      </c>
      <c r="P908" s="22" t="n">
        <v>0</v>
      </c>
      <c r="Q908" s="22" t="n">
        <v>0</v>
      </c>
      <c r="R908" s="22" t="n">
        <v>0</v>
      </c>
    </row>
    <row r="909">
      <c r="A909" s="22" t="n">
        <v>201708</v>
      </c>
      <c r="B909" s="22" t="inlineStr">
        <is>
          <t>08/2017</t>
        </is>
      </c>
      <c r="C909" s="22" t="n">
        <v>66</v>
      </c>
      <c r="D909" s="22" t="inlineStr">
        <is>
          <t>S66</t>
        </is>
      </c>
      <c r="E909" s="22" t="inlineStr">
        <is>
          <t>Nexa Wyoming (S66)</t>
        </is>
      </c>
      <c r="F909" s="22" t="inlineStr">
        <is>
          <t>Mỹ</t>
        </is>
      </c>
      <c r="G909" s="22" t="inlineStr">
        <is>
          <t>POS</t>
        </is>
      </c>
      <c r="H909" s="31" t="n">
        <v>8623.51</v>
      </c>
      <c r="I909" s="31" t="n">
        <v>42</v>
      </c>
      <c r="J909" s="31" t="n">
        <v>8581.51</v>
      </c>
      <c r="K909" s="31" t="n">
        <v>0</v>
      </c>
      <c r="L909" s="32" t="n">
        <v>5</v>
      </c>
      <c r="M909" s="32" t="n">
        <v>46</v>
      </c>
      <c r="N909" s="31" t="n">
        <v>8581.51</v>
      </c>
      <c r="O909" s="31" t="n">
        <v>8581.51</v>
      </c>
      <c r="P909" s="22" t="n">
        <v>0</v>
      </c>
      <c r="Q909" s="22" t="n">
        <v>0</v>
      </c>
      <c r="R909" s="22" t="n">
        <v>0</v>
      </c>
    </row>
    <row r="910">
      <c r="A910" s="22" t="n">
        <v>201709</v>
      </c>
      <c r="B910" s="22" t="inlineStr">
        <is>
          <t>09/2017</t>
        </is>
      </c>
      <c r="C910" s="22" t="n">
        <v>0</v>
      </c>
      <c r="D910" s="22" t="inlineStr">
        <is>
          <t>ONL</t>
        </is>
      </c>
      <c r="E910" s="22" t="inlineStr">
        <is>
          <t>Nexa Online (website/app)</t>
        </is>
      </c>
      <c r="F910" s="22" t="inlineStr">
        <is>
          <t>Online</t>
        </is>
      </c>
      <c r="G910" s="22" t="inlineStr">
        <is>
          <t>ONLINE</t>
        </is>
      </c>
      <c r="H910" s="31" t="n">
        <v>97847.95</v>
      </c>
      <c r="I910" s="31" t="n">
        <v>3180.14</v>
      </c>
      <c r="J910" s="31" t="n">
        <v>94667.81</v>
      </c>
      <c r="K910" s="31" t="n">
        <v>1858.32</v>
      </c>
      <c r="L910" s="32" t="n">
        <v>58</v>
      </c>
      <c r="M910" s="32" t="n">
        <v>440</v>
      </c>
      <c r="N910" s="31" t="n">
        <v>100381.3</v>
      </c>
      <c r="O910" s="31" t="n">
        <v>102239.62</v>
      </c>
      <c r="P910" s="22" t="n">
        <v>3</v>
      </c>
      <c r="Q910" s="22" t="n">
        <v>0</v>
      </c>
      <c r="R910" s="22" t="n">
        <v>1</v>
      </c>
    </row>
    <row r="911">
      <c r="A911" s="22" t="n">
        <v>201709</v>
      </c>
      <c r="B911" s="22" t="inlineStr">
        <is>
          <t>09/2017</t>
        </is>
      </c>
      <c r="C911" s="22" t="n">
        <v>1</v>
      </c>
      <c r="D911" s="22" t="inlineStr">
        <is>
          <t>S01</t>
        </is>
      </c>
      <c r="E911" s="22" t="inlineStr">
        <is>
          <t>Nexa Australian Capital Territory (S01)</t>
        </is>
      </c>
      <c r="F911" s="22" t="inlineStr">
        <is>
          <t>Úc</t>
        </is>
      </c>
      <c r="G911" s="22" t="inlineStr">
        <is>
          <t>POS</t>
        </is>
      </c>
      <c r="H911" s="31" t="n">
        <v>0</v>
      </c>
      <c r="I911" s="31" t="n">
        <v>0</v>
      </c>
      <c r="J911" s="31" t="n">
        <v>0</v>
      </c>
      <c r="K911" s="31" t="n">
        <v>0</v>
      </c>
      <c r="L911" s="32" t="n">
        <v>0</v>
      </c>
      <c r="M911" s="32" t="n">
        <v>0</v>
      </c>
      <c r="N911" s="31" t="n">
        <v>0</v>
      </c>
      <c r="O911" s="31" t="n">
        <v>0</v>
      </c>
      <c r="P911" s="22" t="n">
        <v>1</v>
      </c>
      <c r="Q911" s="22" t="n">
        <v>0</v>
      </c>
      <c r="R911" s="22" t="n">
        <v>0</v>
      </c>
    </row>
    <row r="912">
      <c r="A912" s="22" t="n">
        <v>201709</v>
      </c>
      <c r="B912" s="22" t="inlineStr">
        <is>
          <t>09/2017</t>
        </is>
      </c>
      <c r="C912" s="22" t="n">
        <v>4</v>
      </c>
      <c r="D912" s="22" t="inlineStr">
        <is>
          <t>S04</t>
        </is>
      </c>
      <c r="E912" s="22" t="inlineStr">
        <is>
          <t>Nexa Tasmania (S04)</t>
        </is>
      </c>
      <c r="F912" s="22" t="inlineStr">
        <is>
          <t>Úc</t>
        </is>
      </c>
      <c r="G912" s="22" t="inlineStr">
        <is>
          <t>POS</t>
        </is>
      </c>
      <c r="H912" s="31" t="n">
        <v>770.42</v>
      </c>
      <c r="I912" s="31" t="n">
        <v>0</v>
      </c>
      <c r="J912" s="31" t="n">
        <v>770.42</v>
      </c>
      <c r="K912" s="31" t="n">
        <v>0</v>
      </c>
      <c r="L912" s="32" t="n">
        <v>1</v>
      </c>
      <c r="M912" s="32" t="n">
        <v>12</v>
      </c>
      <c r="N912" s="31" t="n">
        <v>770.42</v>
      </c>
      <c r="O912" s="31" t="n">
        <v>770.42</v>
      </c>
      <c r="P912" s="22" t="n">
        <v>0</v>
      </c>
      <c r="Q912" s="22" t="n">
        <v>0</v>
      </c>
      <c r="R912" s="22" t="n">
        <v>0</v>
      </c>
    </row>
    <row r="913">
      <c r="A913" s="22" t="n">
        <v>201709</v>
      </c>
      <c r="B913" s="22" t="inlineStr">
        <is>
          <t>09/2017</t>
        </is>
      </c>
      <c r="C913" s="22" t="n">
        <v>5</v>
      </c>
      <c r="D913" s="22" t="inlineStr">
        <is>
          <t>S05</t>
        </is>
      </c>
      <c r="E913" s="22" t="inlineStr">
        <is>
          <t>Nexa Victoria (S05)</t>
        </is>
      </c>
      <c r="F913" s="22" t="inlineStr">
        <is>
          <t>Úc</t>
        </is>
      </c>
      <c r="G913" s="22" t="inlineStr">
        <is>
          <t>POS</t>
        </is>
      </c>
      <c r="H913" s="31" t="n">
        <v>1932.94</v>
      </c>
      <c r="I913" s="31" t="n">
        <v>155.6</v>
      </c>
      <c r="J913" s="31" t="n">
        <v>1777.34</v>
      </c>
      <c r="K913" s="31" t="n">
        <v>0</v>
      </c>
      <c r="L913" s="32" t="n">
        <v>2</v>
      </c>
      <c r="M913" s="32" t="n">
        <v>15</v>
      </c>
      <c r="N913" s="31" t="n">
        <v>1777.34</v>
      </c>
      <c r="O913" s="31" t="n">
        <v>1777.34</v>
      </c>
      <c r="P913" s="22" t="n">
        <v>0</v>
      </c>
      <c r="Q913" s="22" t="n">
        <v>0</v>
      </c>
      <c r="R913" s="22" t="n">
        <v>0</v>
      </c>
    </row>
    <row r="914">
      <c r="A914" s="22" t="n">
        <v>201709</v>
      </c>
      <c r="B914" s="22" t="inlineStr">
        <is>
          <t>09/2017</t>
        </is>
      </c>
      <c r="C914" s="22" t="n">
        <v>6</v>
      </c>
      <c r="D914" s="22" t="inlineStr">
        <is>
          <t>S06</t>
        </is>
      </c>
      <c r="E914" s="22" t="inlineStr">
        <is>
          <t>Nexa Western Australia (S06)</t>
        </is>
      </c>
      <c r="F914" s="22" t="inlineStr">
        <is>
          <t>Úc</t>
        </is>
      </c>
      <c r="G914" s="22" t="inlineStr">
        <is>
          <t>POS</t>
        </is>
      </c>
      <c r="H914" s="31" t="n">
        <v>21496.62</v>
      </c>
      <c r="I914" s="31" t="n">
        <v>0</v>
      </c>
      <c r="J914" s="31" t="n">
        <v>21496.62</v>
      </c>
      <c r="K914" s="31" t="n">
        <v>0</v>
      </c>
      <c r="L914" s="32" t="n">
        <v>5</v>
      </c>
      <c r="M914" s="32" t="n">
        <v>32</v>
      </c>
      <c r="N914" s="31" t="n">
        <v>21496.62</v>
      </c>
      <c r="O914" s="31" t="n">
        <v>21496.62</v>
      </c>
      <c r="P914" s="22" t="n">
        <v>0</v>
      </c>
      <c r="Q914" s="22" t="n">
        <v>0</v>
      </c>
      <c r="R914" s="22" t="n">
        <v>0</v>
      </c>
    </row>
    <row r="915">
      <c r="A915" s="22" t="n">
        <v>201709</v>
      </c>
      <c r="B915" s="22" t="inlineStr">
        <is>
          <t>09/2017</t>
        </is>
      </c>
      <c r="C915" s="22" t="n">
        <v>8</v>
      </c>
      <c r="D915" s="22" t="inlineStr">
        <is>
          <t>S08</t>
        </is>
      </c>
      <c r="E915" s="22" t="inlineStr">
        <is>
          <t>Nexa Newfoundland and Labrador (S08)</t>
        </is>
      </c>
      <c r="F915" s="22" t="inlineStr">
        <is>
          <t>Canada</t>
        </is>
      </c>
      <c r="G915" s="22" t="inlineStr">
        <is>
          <t>POS</t>
        </is>
      </c>
      <c r="H915" s="31" t="n">
        <v>17735.31</v>
      </c>
      <c r="I915" s="31" t="n">
        <v>22.9</v>
      </c>
      <c r="J915" s="31" t="n">
        <v>17712.41</v>
      </c>
      <c r="K915" s="31" t="n">
        <v>0</v>
      </c>
      <c r="L915" s="32" t="n">
        <v>7</v>
      </c>
      <c r="M915" s="32" t="n">
        <v>32</v>
      </c>
      <c r="N915" s="31" t="n">
        <v>17712.41</v>
      </c>
      <c r="O915" s="31" t="n">
        <v>17712.41</v>
      </c>
      <c r="P915" s="22" t="n">
        <v>0</v>
      </c>
      <c r="Q915" s="22" t="n">
        <v>0</v>
      </c>
      <c r="R915" s="22" t="n">
        <v>0</v>
      </c>
    </row>
    <row r="916">
      <c r="A916" s="22" t="n">
        <v>201709</v>
      </c>
      <c r="B916" s="22" t="inlineStr">
        <is>
          <t>09/2017</t>
        </is>
      </c>
      <c r="C916" s="22" t="n">
        <v>9</v>
      </c>
      <c r="D916" s="22" t="inlineStr">
        <is>
          <t>S09</t>
        </is>
      </c>
      <c r="E916" s="22" t="inlineStr">
        <is>
          <t>Nexa Northwest Territories (S09)</t>
        </is>
      </c>
      <c r="F916" s="22" t="inlineStr">
        <is>
          <t>Canada</t>
        </is>
      </c>
      <c r="G916" s="22" t="inlineStr">
        <is>
          <t>POS</t>
        </is>
      </c>
      <c r="H916" s="31" t="n">
        <v>9045.02</v>
      </c>
      <c r="I916" s="31" t="n">
        <v>35.21</v>
      </c>
      <c r="J916" s="31" t="n">
        <v>9009.809999999999</v>
      </c>
      <c r="K916" s="31" t="n">
        <v>0</v>
      </c>
      <c r="L916" s="32" t="n">
        <v>6</v>
      </c>
      <c r="M916" s="32" t="n">
        <v>30</v>
      </c>
      <c r="N916" s="31" t="n">
        <v>9009.809999999999</v>
      </c>
      <c r="O916" s="31" t="n">
        <v>9009.809999999999</v>
      </c>
      <c r="P916" s="22" t="n">
        <v>1</v>
      </c>
      <c r="Q916" s="22" t="n">
        <v>0</v>
      </c>
      <c r="R916" s="22" t="n">
        <v>0</v>
      </c>
    </row>
    <row r="917">
      <c r="A917" s="22" t="n">
        <v>201709</v>
      </c>
      <c r="B917" s="22" t="inlineStr">
        <is>
          <t>09/2017</t>
        </is>
      </c>
      <c r="C917" s="22" t="n">
        <v>10</v>
      </c>
      <c r="D917" s="22" t="inlineStr">
        <is>
          <t>S10</t>
        </is>
      </c>
      <c r="E917" s="22" t="inlineStr">
        <is>
          <t>Nexa Nunavut (S10)</t>
        </is>
      </c>
      <c r="F917" s="22" t="inlineStr">
        <is>
          <t>Canada</t>
        </is>
      </c>
      <c r="G917" s="22" t="inlineStr">
        <is>
          <t>POS</t>
        </is>
      </c>
      <c r="H917" s="31" t="n">
        <v>7835.29</v>
      </c>
      <c r="I917" s="31" t="n">
        <v>0</v>
      </c>
      <c r="J917" s="31" t="n">
        <v>7835.29</v>
      </c>
      <c r="K917" s="31" t="n">
        <v>0</v>
      </c>
      <c r="L917" s="32" t="n">
        <v>3</v>
      </c>
      <c r="M917" s="32" t="n">
        <v>29</v>
      </c>
      <c r="N917" s="31" t="n">
        <v>7835.29</v>
      </c>
      <c r="O917" s="31" t="n">
        <v>7835.29</v>
      </c>
      <c r="P917" s="22" t="n">
        <v>0</v>
      </c>
      <c r="Q917" s="22" t="n">
        <v>0</v>
      </c>
      <c r="R917" s="22" t="n">
        <v>0</v>
      </c>
    </row>
    <row r="918">
      <c r="A918" s="22" t="n">
        <v>201709</v>
      </c>
      <c r="B918" s="22" t="inlineStr">
        <is>
          <t>09/2017</t>
        </is>
      </c>
      <c r="C918" s="22" t="n">
        <v>14</v>
      </c>
      <c r="D918" s="22" t="inlineStr">
        <is>
          <t>S14</t>
        </is>
      </c>
      <c r="E918" s="22" t="inlineStr">
        <is>
          <t>Nexa Franche-Comté (S14)</t>
        </is>
      </c>
      <c r="F918" s="22" t="inlineStr">
        <is>
          <t>Pháp</t>
        </is>
      </c>
      <c r="G918" s="22" t="inlineStr">
        <is>
          <t>POS</t>
        </is>
      </c>
      <c r="H918" s="31" t="n">
        <v>3145.5</v>
      </c>
      <c r="I918" s="31" t="n">
        <v>0</v>
      </c>
      <c r="J918" s="31" t="n">
        <v>3145.5</v>
      </c>
      <c r="K918" s="31" t="n">
        <v>0</v>
      </c>
      <c r="L918" s="32" t="n">
        <v>1</v>
      </c>
      <c r="M918" s="32" t="n">
        <v>16</v>
      </c>
      <c r="N918" s="31" t="n">
        <v>3145.5</v>
      </c>
      <c r="O918" s="31" t="n">
        <v>3145.5</v>
      </c>
      <c r="P918" s="22" t="n">
        <v>0</v>
      </c>
      <c r="Q918" s="22" t="n">
        <v>0</v>
      </c>
      <c r="R918" s="22" t="n">
        <v>0</v>
      </c>
    </row>
    <row r="919">
      <c r="A919" s="22" t="n">
        <v>201709</v>
      </c>
      <c r="B919" s="22" t="inlineStr">
        <is>
          <t>09/2017</t>
        </is>
      </c>
      <c r="C919" s="22" t="n">
        <v>15</v>
      </c>
      <c r="D919" s="22" t="inlineStr">
        <is>
          <t>S15</t>
        </is>
      </c>
      <c r="E919" s="22" t="inlineStr">
        <is>
          <t>Nexa La Réunion (S15)</t>
        </is>
      </c>
      <c r="F919" s="22" t="inlineStr">
        <is>
          <t>Pháp</t>
        </is>
      </c>
      <c r="G919" s="22" t="inlineStr">
        <is>
          <t>POS</t>
        </is>
      </c>
      <c r="H919" s="31" t="n">
        <v>2104.43</v>
      </c>
      <c r="I919" s="31" t="n">
        <v>43.3</v>
      </c>
      <c r="J919" s="31" t="n">
        <v>2061.13</v>
      </c>
      <c r="K919" s="31" t="n">
        <v>0</v>
      </c>
      <c r="L919" s="32" t="n">
        <v>2</v>
      </c>
      <c r="M919" s="32" t="n">
        <v>7</v>
      </c>
      <c r="N919" s="31" t="n">
        <v>2061.13</v>
      </c>
      <c r="O919" s="31" t="n">
        <v>2061.13</v>
      </c>
      <c r="P919" s="22" t="n">
        <v>0</v>
      </c>
      <c r="Q919" s="22" t="n">
        <v>0</v>
      </c>
      <c r="R919" s="22" t="n">
        <v>0</v>
      </c>
    </row>
    <row r="920">
      <c r="A920" s="22" t="n">
        <v>201709</v>
      </c>
      <c r="B920" s="22" t="inlineStr">
        <is>
          <t>09/2017</t>
        </is>
      </c>
      <c r="C920" s="22" t="n">
        <v>16</v>
      </c>
      <c r="D920" s="22" t="inlineStr">
        <is>
          <t>S16</t>
        </is>
      </c>
      <c r="E920" s="22" t="inlineStr">
        <is>
          <t>Nexa Limousin (S16)</t>
        </is>
      </c>
      <c r="F920" s="22" t="inlineStr">
        <is>
          <t>Pháp</t>
        </is>
      </c>
      <c r="G920" s="22" t="inlineStr">
        <is>
          <t>POS</t>
        </is>
      </c>
      <c r="H920" s="31" t="n">
        <v>26.97</v>
      </c>
      <c r="I920" s="31" t="n">
        <v>0</v>
      </c>
      <c r="J920" s="31" t="n">
        <v>26.97</v>
      </c>
      <c r="K920" s="31" t="n">
        <v>0</v>
      </c>
      <c r="L920" s="32" t="n">
        <v>1</v>
      </c>
      <c r="M920" s="32" t="n">
        <v>3</v>
      </c>
      <c r="N920" s="31" t="n">
        <v>26.97</v>
      </c>
      <c r="O920" s="31" t="n">
        <v>26.97</v>
      </c>
      <c r="P920" s="22" t="n">
        <v>0</v>
      </c>
      <c r="Q920" s="22" t="n">
        <v>0</v>
      </c>
      <c r="R920" s="22" t="n">
        <v>0</v>
      </c>
    </row>
    <row r="921">
      <c r="A921" s="22" t="n">
        <v>201709</v>
      </c>
      <c r="B921" s="22" t="inlineStr">
        <is>
          <t>09/2017</t>
        </is>
      </c>
      <c r="C921" s="22" t="n">
        <v>17</v>
      </c>
      <c r="D921" s="22" t="inlineStr">
        <is>
          <t>S17</t>
        </is>
      </c>
      <c r="E921" s="22" t="inlineStr">
        <is>
          <t>Nexa Martinique (S17)</t>
        </is>
      </c>
      <c r="F921" s="22" t="inlineStr">
        <is>
          <t>Pháp</t>
        </is>
      </c>
      <c r="G921" s="22" t="inlineStr">
        <is>
          <t>POS</t>
        </is>
      </c>
      <c r="H921" s="31" t="n">
        <v>1863.97</v>
      </c>
      <c r="I921" s="31" t="n">
        <v>186.4</v>
      </c>
      <c r="J921" s="31" t="n">
        <v>1677.57</v>
      </c>
      <c r="K921" s="31" t="n">
        <v>0</v>
      </c>
      <c r="L921" s="32" t="n">
        <v>1</v>
      </c>
      <c r="M921" s="32" t="n">
        <v>9</v>
      </c>
      <c r="N921" s="31" t="n">
        <v>1677.57</v>
      </c>
      <c r="O921" s="31" t="n">
        <v>1677.57</v>
      </c>
      <c r="P921" s="22" t="n">
        <v>0</v>
      </c>
      <c r="Q921" s="22" t="n">
        <v>0</v>
      </c>
      <c r="R921" s="22" t="n">
        <v>0</v>
      </c>
    </row>
    <row r="922">
      <c r="A922" s="22" t="n">
        <v>201709</v>
      </c>
      <c r="B922" s="22" t="inlineStr">
        <is>
          <t>09/2017</t>
        </is>
      </c>
      <c r="C922" s="22" t="n">
        <v>19</v>
      </c>
      <c r="D922" s="22" t="inlineStr">
        <is>
          <t>S19</t>
        </is>
      </c>
      <c r="E922" s="22" t="inlineStr">
        <is>
          <t>Nexa Berlin (S19)</t>
        </is>
      </c>
      <c r="F922" s="22" t="inlineStr">
        <is>
          <t>Đức</t>
        </is>
      </c>
      <c r="G922" s="22" t="inlineStr">
        <is>
          <t>POS</t>
        </is>
      </c>
      <c r="H922" s="31" t="n">
        <v>559.5</v>
      </c>
      <c r="I922" s="31" t="n">
        <v>0</v>
      </c>
      <c r="J922" s="31" t="n">
        <v>559.5</v>
      </c>
      <c r="K922" s="31" t="n">
        <v>0</v>
      </c>
      <c r="L922" s="32" t="n">
        <v>2</v>
      </c>
      <c r="M922" s="32" t="n">
        <v>2</v>
      </c>
      <c r="N922" s="31" t="n">
        <v>559.5</v>
      </c>
      <c r="O922" s="31" t="n">
        <v>559.5</v>
      </c>
      <c r="P922" s="22" t="n">
        <v>0</v>
      </c>
      <c r="Q922" s="22" t="n">
        <v>0</v>
      </c>
      <c r="R922" s="22" t="n">
        <v>0</v>
      </c>
    </row>
    <row r="923">
      <c r="A923" s="22" t="n">
        <v>201709</v>
      </c>
      <c r="B923" s="22" t="inlineStr">
        <is>
          <t>09/2017</t>
        </is>
      </c>
      <c r="C923" s="22" t="n">
        <v>20</v>
      </c>
      <c r="D923" s="22" t="inlineStr">
        <is>
          <t>S20</t>
        </is>
      </c>
      <c r="E923" s="22" t="inlineStr">
        <is>
          <t>Nexa Brandenburg (S20)</t>
        </is>
      </c>
      <c r="F923" s="22" t="inlineStr">
        <is>
          <t>Đức</t>
        </is>
      </c>
      <c r="G923" s="22" t="inlineStr">
        <is>
          <t>POS</t>
        </is>
      </c>
      <c r="H923" s="31" t="n">
        <v>14629.24</v>
      </c>
      <c r="I923" s="31" t="n">
        <v>78.90000000000001</v>
      </c>
      <c r="J923" s="31" t="n">
        <v>14550.34</v>
      </c>
      <c r="K923" s="31" t="n">
        <v>0</v>
      </c>
      <c r="L923" s="32" t="n">
        <v>6</v>
      </c>
      <c r="M923" s="32" t="n">
        <v>47</v>
      </c>
      <c r="N923" s="31" t="n">
        <v>14550.34</v>
      </c>
      <c r="O923" s="31" t="n">
        <v>14550.34</v>
      </c>
      <c r="P923" s="22" t="n">
        <v>0</v>
      </c>
      <c r="Q923" s="22" t="n">
        <v>0</v>
      </c>
      <c r="R923" s="22" t="n">
        <v>0</v>
      </c>
    </row>
    <row r="924">
      <c r="A924" s="22" t="n">
        <v>201709</v>
      </c>
      <c r="B924" s="22" t="inlineStr">
        <is>
          <t>09/2017</t>
        </is>
      </c>
      <c r="C924" s="22" t="n">
        <v>22</v>
      </c>
      <c r="D924" s="22" t="inlineStr">
        <is>
          <t>S22</t>
        </is>
      </c>
      <c r="E924" s="22" t="inlineStr">
        <is>
          <t>Nexa Freistaat Thüringen (S22)</t>
        </is>
      </c>
      <c r="F924" s="22" t="inlineStr">
        <is>
          <t>Đức</t>
        </is>
      </c>
      <c r="G924" s="22" t="inlineStr">
        <is>
          <t>POS</t>
        </is>
      </c>
      <c r="H924" s="31" t="n">
        <v>3869.4</v>
      </c>
      <c r="I924" s="31" t="n">
        <v>45.98</v>
      </c>
      <c r="J924" s="31" t="n">
        <v>3823.42</v>
      </c>
      <c r="K924" s="31" t="n">
        <v>304.19</v>
      </c>
      <c r="L924" s="32" t="n">
        <v>3</v>
      </c>
      <c r="M924" s="32" t="n">
        <v>13</v>
      </c>
      <c r="N924" s="31" t="n">
        <v>3519.23</v>
      </c>
      <c r="O924" s="31" t="n">
        <v>3823.42</v>
      </c>
      <c r="P924" s="22" t="n">
        <v>0</v>
      </c>
      <c r="Q924" s="22" t="n">
        <v>0</v>
      </c>
      <c r="R924" s="22" t="n">
        <v>0</v>
      </c>
    </row>
    <row r="925">
      <c r="A925" s="22" t="n">
        <v>201709</v>
      </c>
      <c r="B925" s="22" t="inlineStr">
        <is>
          <t>09/2017</t>
        </is>
      </c>
      <c r="C925" s="22" t="n">
        <v>23</v>
      </c>
      <c r="D925" s="22" t="inlineStr">
        <is>
          <t>S23</t>
        </is>
      </c>
      <c r="E925" s="22" t="inlineStr">
        <is>
          <t>Nexa Hamburg (S23)</t>
        </is>
      </c>
      <c r="F925" s="22" t="inlineStr">
        <is>
          <t>Đức</t>
        </is>
      </c>
      <c r="G925" s="22" t="inlineStr">
        <is>
          <t>POS</t>
        </is>
      </c>
      <c r="H925" s="31" t="n">
        <v>6665.42</v>
      </c>
      <c r="I925" s="31" t="n">
        <v>494.95</v>
      </c>
      <c r="J925" s="31" t="n">
        <v>6170.47</v>
      </c>
      <c r="K925" s="31" t="n">
        <v>0</v>
      </c>
      <c r="L925" s="32" t="n">
        <v>4</v>
      </c>
      <c r="M925" s="32" t="n">
        <v>19</v>
      </c>
      <c r="N925" s="31" t="n">
        <v>6170.47</v>
      </c>
      <c r="O925" s="31" t="n">
        <v>6170.47</v>
      </c>
      <c r="P925" s="22" t="n">
        <v>0</v>
      </c>
      <c r="Q925" s="22" t="n">
        <v>0</v>
      </c>
      <c r="R925" s="22" t="n">
        <v>0</v>
      </c>
    </row>
    <row r="926">
      <c r="A926" s="22" t="n">
        <v>201709</v>
      </c>
      <c r="B926" s="22" t="inlineStr">
        <is>
          <t>09/2017</t>
        </is>
      </c>
      <c r="C926" s="22" t="n">
        <v>24</v>
      </c>
      <c r="D926" s="22" t="inlineStr">
        <is>
          <t>S24</t>
        </is>
      </c>
      <c r="E926" s="22" t="inlineStr">
        <is>
          <t>Nexa Hessen (S24)</t>
        </is>
      </c>
      <c r="F926" s="22" t="inlineStr">
        <is>
          <t>Đức</t>
        </is>
      </c>
      <c r="G926" s="22" t="inlineStr">
        <is>
          <t>POS</t>
        </is>
      </c>
      <c r="H926" s="31" t="n">
        <v>17514.77</v>
      </c>
      <c r="I926" s="31" t="n">
        <v>593.45</v>
      </c>
      <c r="J926" s="31" t="n">
        <v>16921.32</v>
      </c>
      <c r="K926" s="31" t="n">
        <v>0</v>
      </c>
      <c r="L926" s="32" t="n">
        <v>7</v>
      </c>
      <c r="M926" s="32" t="n">
        <v>65</v>
      </c>
      <c r="N926" s="31" t="n">
        <v>16921.32</v>
      </c>
      <c r="O926" s="31" t="n">
        <v>16921.32</v>
      </c>
      <c r="P926" s="22" t="n">
        <v>0</v>
      </c>
      <c r="Q926" s="22" t="n">
        <v>0</v>
      </c>
      <c r="R926" s="22" t="n">
        <v>0</v>
      </c>
    </row>
    <row r="927">
      <c r="A927" s="22" t="n">
        <v>201709</v>
      </c>
      <c r="B927" s="22" t="inlineStr">
        <is>
          <t>09/2017</t>
        </is>
      </c>
      <c r="C927" s="22" t="n">
        <v>27</v>
      </c>
      <c r="D927" s="22" t="inlineStr">
        <is>
          <t>S27</t>
        </is>
      </c>
      <c r="E927" s="22" t="inlineStr">
        <is>
          <t>Nexa Sachsen-Anhalt (S27)</t>
        </is>
      </c>
      <c r="F927" s="22" t="inlineStr">
        <is>
          <t>Đức</t>
        </is>
      </c>
      <c r="G927" s="22" t="inlineStr">
        <is>
          <t>POS</t>
        </is>
      </c>
      <c r="H927" s="31" t="n">
        <v>15260.71</v>
      </c>
      <c r="I927" s="31" t="n">
        <v>376.41</v>
      </c>
      <c r="J927" s="31" t="n">
        <v>14884.3</v>
      </c>
      <c r="K927" s="31" t="n">
        <v>0</v>
      </c>
      <c r="L927" s="32" t="n">
        <v>7</v>
      </c>
      <c r="M927" s="32" t="n">
        <v>62</v>
      </c>
      <c r="N927" s="31" t="n">
        <v>14884.3</v>
      </c>
      <c r="O927" s="31" t="n">
        <v>14884.3</v>
      </c>
      <c r="P927" s="22" t="n">
        <v>0</v>
      </c>
      <c r="Q927" s="22" t="n">
        <v>0</v>
      </c>
      <c r="R927" s="22" t="n">
        <v>0</v>
      </c>
    </row>
    <row r="928">
      <c r="A928" s="22" t="n">
        <v>201709</v>
      </c>
      <c r="B928" s="22" t="inlineStr">
        <is>
          <t>09/2017</t>
        </is>
      </c>
      <c r="C928" s="22" t="n">
        <v>29</v>
      </c>
      <c r="D928" s="22" t="inlineStr">
        <is>
          <t>S29</t>
        </is>
      </c>
      <c r="E928" s="22" t="inlineStr">
        <is>
          <t>Nexa Enna (S29)</t>
        </is>
      </c>
      <c r="F928" s="22" t="inlineStr">
        <is>
          <t>Ý</t>
        </is>
      </c>
      <c r="G928" s="22" t="inlineStr">
        <is>
          <t>POS</t>
        </is>
      </c>
      <c r="H928" s="31" t="n">
        <v>7403.66</v>
      </c>
      <c r="I928" s="31" t="n">
        <v>516.38</v>
      </c>
      <c r="J928" s="31" t="n">
        <v>6887.28</v>
      </c>
      <c r="K928" s="31" t="n">
        <v>3897</v>
      </c>
      <c r="L928" s="32" t="n">
        <v>5</v>
      </c>
      <c r="M928" s="32" t="n">
        <v>36</v>
      </c>
      <c r="N928" s="31" t="n">
        <v>2990.28</v>
      </c>
      <c r="O928" s="31" t="n">
        <v>6887.28</v>
      </c>
      <c r="P928" s="22" t="n">
        <v>0</v>
      </c>
      <c r="Q928" s="22" t="n">
        <v>0</v>
      </c>
      <c r="R928" s="22" t="n">
        <v>0</v>
      </c>
    </row>
    <row r="929">
      <c r="A929" s="22" t="n">
        <v>201709</v>
      </c>
      <c r="B929" s="22" t="inlineStr">
        <is>
          <t>09/2017</t>
        </is>
      </c>
      <c r="C929" s="22" t="n">
        <v>30</v>
      </c>
      <c r="D929" s="22" t="inlineStr">
        <is>
          <t>S30</t>
        </is>
      </c>
      <c r="E929" s="22" t="inlineStr">
        <is>
          <t>Nexa Pesaro (S30)</t>
        </is>
      </c>
      <c r="F929" s="22" t="inlineStr">
        <is>
          <t>Ý</t>
        </is>
      </c>
      <c r="G929" s="22" t="inlineStr">
        <is>
          <t>POS</t>
        </is>
      </c>
      <c r="H929" s="31" t="n">
        <v>16133.23</v>
      </c>
      <c r="I929" s="31" t="n">
        <v>959.77</v>
      </c>
      <c r="J929" s="31" t="n">
        <v>15173.46</v>
      </c>
      <c r="K929" s="31" t="n">
        <v>449.91</v>
      </c>
      <c r="L929" s="32" t="n">
        <v>5</v>
      </c>
      <c r="M929" s="32" t="n">
        <v>55</v>
      </c>
      <c r="N929" s="31" t="n">
        <v>14723.55</v>
      </c>
      <c r="O929" s="31" t="n">
        <v>15173.46</v>
      </c>
      <c r="P929" s="22" t="n">
        <v>0</v>
      </c>
      <c r="Q929" s="22" t="n">
        <v>0</v>
      </c>
      <c r="R929" s="22" t="n">
        <v>0</v>
      </c>
    </row>
    <row r="930">
      <c r="A930" s="22" t="n">
        <v>201709</v>
      </c>
      <c r="B930" s="22" t="inlineStr">
        <is>
          <t>09/2017</t>
        </is>
      </c>
      <c r="C930" s="22" t="n">
        <v>32</v>
      </c>
      <c r="D930" s="22" t="inlineStr">
        <is>
          <t>S32</t>
        </is>
      </c>
      <c r="E930" s="22" t="inlineStr">
        <is>
          <t>Nexa Flevoland (S32)</t>
        </is>
      </c>
      <c r="F930" s="22" t="inlineStr">
        <is>
          <t>Hà Lan</t>
        </is>
      </c>
      <c r="G930" s="22" t="inlineStr">
        <is>
          <t>POS</t>
        </is>
      </c>
      <c r="H930" s="31" t="n">
        <v>6058.72</v>
      </c>
      <c r="I930" s="31" t="n">
        <v>0</v>
      </c>
      <c r="J930" s="31" t="n">
        <v>6058.72</v>
      </c>
      <c r="K930" s="31" t="n">
        <v>0</v>
      </c>
      <c r="L930" s="32" t="n">
        <v>3</v>
      </c>
      <c r="M930" s="32" t="n">
        <v>29</v>
      </c>
      <c r="N930" s="31" t="n">
        <v>6058.72</v>
      </c>
      <c r="O930" s="31" t="n">
        <v>6058.72</v>
      </c>
      <c r="P930" s="22" t="n">
        <v>0</v>
      </c>
      <c r="Q930" s="22" t="n">
        <v>0</v>
      </c>
      <c r="R930" s="22" t="n">
        <v>0</v>
      </c>
    </row>
    <row r="931">
      <c r="A931" s="22" t="n">
        <v>201709</v>
      </c>
      <c r="B931" s="22" t="inlineStr">
        <is>
          <t>09/2017</t>
        </is>
      </c>
      <c r="C931" s="22" t="n">
        <v>33</v>
      </c>
      <c r="D931" s="22" t="inlineStr">
        <is>
          <t>S33</t>
        </is>
      </c>
      <c r="E931" s="22" t="inlineStr">
        <is>
          <t>Nexa Friesland (S33)</t>
        </is>
      </c>
      <c r="F931" s="22" t="inlineStr">
        <is>
          <t>Hà Lan</t>
        </is>
      </c>
      <c r="G931" s="22" t="inlineStr">
        <is>
          <t>POS</t>
        </is>
      </c>
      <c r="H931" s="31" t="n">
        <v>7778</v>
      </c>
      <c r="I931" s="31" t="n">
        <v>0</v>
      </c>
      <c r="J931" s="31" t="n">
        <v>7778</v>
      </c>
      <c r="K931" s="31" t="n">
        <v>0</v>
      </c>
      <c r="L931" s="32" t="n">
        <v>2</v>
      </c>
      <c r="M931" s="32" t="n">
        <v>15</v>
      </c>
      <c r="N931" s="31" t="n">
        <v>7778</v>
      </c>
      <c r="O931" s="31" t="n">
        <v>7778</v>
      </c>
      <c r="P931" s="22" t="n">
        <v>0</v>
      </c>
      <c r="Q931" s="22" t="n">
        <v>0</v>
      </c>
      <c r="R931" s="22" t="n">
        <v>0</v>
      </c>
    </row>
    <row r="932">
      <c r="A932" s="22" t="n">
        <v>201709</v>
      </c>
      <c r="B932" s="22" t="inlineStr">
        <is>
          <t>09/2017</t>
        </is>
      </c>
      <c r="C932" s="22" t="n">
        <v>34</v>
      </c>
      <c r="D932" s="22" t="inlineStr">
        <is>
          <t>S34</t>
        </is>
      </c>
      <c r="E932" s="22" t="inlineStr">
        <is>
          <t>Nexa Groningen (S34)</t>
        </is>
      </c>
      <c r="F932" s="22" t="inlineStr">
        <is>
          <t>Hà Lan</t>
        </is>
      </c>
      <c r="G932" s="22" t="inlineStr">
        <is>
          <t>POS</t>
        </is>
      </c>
      <c r="H932" s="31" t="n">
        <v>867.21</v>
      </c>
      <c r="I932" s="31" t="n">
        <v>0</v>
      </c>
      <c r="J932" s="31" t="n">
        <v>867.21</v>
      </c>
      <c r="K932" s="31" t="n">
        <v>0</v>
      </c>
      <c r="L932" s="32" t="n">
        <v>1</v>
      </c>
      <c r="M932" s="32" t="n">
        <v>10</v>
      </c>
      <c r="N932" s="31" t="n">
        <v>867.21</v>
      </c>
      <c r="O932" s="31" t="n">
        <v>867.21</v>
      </c>
      <c r="P932" s="22" t="n">
        <v>1</v>
      </c>
      <c r="Q932" s="22" t="n">
        <v>0</v>
      </c>
      <c r="R932" s="22" t="n">
        <v>0</v>
      </c>
    </row>
    <row r="933">
      <c r="A933" s="22" t="n">
        <v>201709</v>
      </c>
      <c r="B933" s="22" t="inlineStr">
        <is>
          <t>09/2017</t>
        </is>
      </c>
      <c r="C933" s="22" t="n">
        <v>36</v>
      </c>
      <c r="D933" s="22" t="inlineStr">
        <is>
          <t>S36</t>
        </is>
      </c>
      <c r="E933" s="22" t="inlineStr">
        <is>
          <t>Nexa Armagh (S36)</t>
        </is>
      </c>
      <c r="F933" s="22" t="inlineStr">
        <is>
          <t>Anh</t>
        </is>
      </c>
      <c r="G933" s="22" t="inlineStr">
        <is>
          <t>POS</t>
        </is>
      </c>
      <c r="H933" s="31" t="n">
        <v>17356.1</v>
      </c>
      <c r="I933" s="31" t="n">
        <v>1223.35</v>
      </c>
      <c r="J933" s="31" t="n">
        <v>16132.75</v>
      </c>
      <c r="K933" s="31" t="n">
        <v>89.98</v>
      </c>
      <c r="L933" s="32" t="n">
        <v>6</v>
      </c>
      <c r="M933" s="32" t="n">
        <v>80</v>
      </c>
      <c r="N933" s="31" t="n">
        <v>16132.75</v>
      </c>
      <c r="O933" s="31" t="n">
        <v>16132.75</v>
      </c>
      <c r="P933" s="22" t="n">
        <v>1</v>
      </c>
      <c r="Q933" s="22" t="n">
        <v>0</v>
      </c>
      <c r="R933" s="22" t="n">
        <v>0</v>
      </c>
    </row>
    <row r="934">
      <c r="A934" s="22" t="n">
        <v>201709</v>
      </c>
      <c r="B934" s="22" t="inlineStr">
        <is>
          <t>09/2017</t>
        </is>
      </c>
      <c r="C934" s="22" t="n">
        <v>37</v>
      </c>
      <c r="D934" s="22" t="inlineStr">
        <is>
          <t>S37</t>
        </is>
      </c>
      <c r="E934" s="22" t="inlineStr">
        <is>
          <t>Nexa Ayrshire (S37)</t>
        </is>
      </c>
      <c r="F934" s="22" t="inlineStr">
        <is>
          <t>Anh</t>
        </is>
      </c>
      <c r="G934" s="22" t="inlineStr">
        <is>
          <t>POS</t>
        </is>
      </c>
      <c r="H934" s="31" t="n">
        <v>6283.66</v>
      </c>
      <c r="I934" s="31" t="n">
        <v>194.47</v>
      </c>
      <c r="J934" s="31" t="n">
        <v>6089.19</v>
      </c>
      <c r="K934" s="31" t="n">
        <v>0</v>
      </c>
      <c r="L934" s="32" t="n">
        <v>3</v>
      </c>
      <c r="M934" s="32" t="n">
        <v>26</v>
      </c>
      <c r="N934" s="31" t="n">
        <v>6089.19</v>
      </c>
      <c r="O934" s="31" t="n">
        <v>6089.19</v>
      </c>
      <c r="P934" s="22" t="n">
        <v>0</v>
      </c>
      <c r="Q934" s="22" t="n">
        <v>0</v>
      </c>
      <c r="R934" s="22" t="n">
        <v>0</v>
      </c>
    </row>
    <row r="935">
      <c r="A935" s="22" t="n">
        <v>201709</v>
      </c>
      <c r="B935" s="22" t="inlineStr">
        <is>
          <t>09/2017</t>
        </is>
      </c>
      <c r="C935" s="22" t="n">
        <v>38</v>
      </c>
      <c r="D935" s="22" t="inlineStr">
        <is>
          <t>S38</t>
        </is>
      </c>
      <c r="E935" s="22" t="inlineStr">
        <is>
          <t>Nexa Belfast (S38)</t>
        </is>
      </c>
      <c r="F935" s="22" t="inlineStr">
        <is>
          <t>Anh</t>
        </is>
      </c>
      <c r="G935" s="22" t="inlineStr">
        <is>
          <t>POS</t>
        </is>
      </c>
      <c r="H935" s="31" t="n">
        <v>28164.01</v>
      </c>
      <c r="I935" s="31" t="n">
        <v>382.58</v>
      </c>
      <c r="J935" s="31" t="n">
        <v>27781.43</v>
      </c>
      <c r="K935" s="31" t="n">
        <v>0</v>
      </c>
      <c r="L935" s="32" t="n">
        <v>6</v>
      </c>
      <c r="M935" s="32" t="n">
        <v>61</v>
      </c>
      <c r="N935" s="31" t="n">
        <v>27781.43</v>
      </c>
      <c r="O935" s="31" t="n">
        <v>27781.43</v>
      </c>
      <c r="P935" s="22" t="n">
        <v>0</v>
      </c>
      <c r="Q935" s="22" t="n">
        <v>0</v>
      </c>
      <c r="R935" s="22" t="n">
        <v>0</v>
      </c>
    </row>
    <row r="936">
      <c r="A936" s="22" t="n">
        <v>201709</v>
      </c>
      <c r="B936" s="22" t="inlineStr">
        <is>
          <t>09/2017</t>
        </is>
      </c>
      <c r="C936" s="22" t="n">
        <v>39</v>
      </c>
      <c r="D936" s="22" t="inlineStr">
        <is>
          <t>S39</t>
        </is>
      </c>
      <c r="E936" s="22" t="inlineStr">
        <is>
          <t>Nexa Blaenau Gwent (S39)</t>
        </is>
      </c>
      <c r="F936" s="22" t="inlineStr">
        <is>
          <t>Anh</t>
        </is>
      </c>
      <c r="G936" s="22" t="inlineStr">
        <is>
          <t>POS</t>
        </is>
      </c>
      <c r="H936" s="31" t="n">
        <v>2112.19</v>
      </c>
      <c r="I936" s="31" t="n">
        <v>211.22</v>
      </c>
      <c r="J936" s="31" t="n">
        <v>1900.97</v>
      </c>
      <c r="K936" s="31" t="n">
        <v>0</v>
      </c>
      <c r="L936" s="32" t="n">
        <v>1</v>
      </c>
      <c r="M936" s="32" t="n">
        <v>4</v>
      </c>
      <c r="N936" s="31" t="n">
        <v>1900.97</v>
      </c>
      <c r="O936" s="31" t="n">
        <v>1900.97</v>
      </c>
      <c r="P936" s="22" t="n">
        <v>0</v>
      </c>
      <c r="Q936" s="22" t="n">
        <v>0</v>
      </c>
      <c r="R936" s="22" t="n">
        <v>0</v>
      </c>
    </row>
    <row r="937">
      <c r="A937" s="22" t="n">
        <v>201709</v>
      </c>
      <c r="B937" s="22" t="inlineStr">
        <is>
          <t>09/2017</t>
        </is>
      </c>
      <c r="C937" s="22" t="n">
        <v>40</v>
      </c>
      <c r="D937" s="22" t="inlineStr">
        <is>
          <t>S40</t>
        </is>
      </c>
      <c r="E937" s="22" t="inlineStr">
        <is>
          <t>Nexa Dungannon and South Tyrone (S40)</t>
        </is>
      </c>
      <c r="F937" s="22" t="inlineStr">
        <is>
          <t>Anh</t>
        </is>
      </c>
      <c r="G937" s="22" t="inlineStr">
        <is>
          <t>POS</t>
        </is>
      </c>
      <c r="H937" s="31" t="n">
        <v>22059</v>
      </c>
      <c r="I937" s="31" t="n">
        <v>28.1</v>
      </c>
      <c r="J937" s="31" t="n">
        <v>22030.9</v>
      </c>
      <c r="K937" s="31" t="n">
        <v>0</v>
      </c>
      <c r="L937" s="32" t="n">
        <v>2</v>
      </c>
      <c r="M937" s="32" t="n">
        <v>14</v>
      </c>
      <c r="N937" s="31" t="n">
        <v>22030.9</v>
      </c>
      <c r="O937" s="31" t="n">
        <v>22030.9</v>
      </c>
      <c r="P937" s="22" t="n">
        <v>0</v>
      </c>
      <c r="Q937" s="22" t="n">
        <v>0</v>
      </c>
      <c r="R937" s="22" t="n">
        <v>0</v>
      </c>
    </row>
    <row r="938">
      <c r="A938" s="22" t="n">
        <v>201709</v>
      </c>
      <c r="B938" s="22" t="inlineStr">
        <is>
          <t>09/2017</t>
        </is>
      </c>
      <c r="C938" s="22" t="n">
        <v>41</v>
      </c>
      <c r="D938" s="22" t="inlineStr">
        <is>
          <t>S41</t>
        </is>
      </c>
      <c r="E938" s="22" t="inlineStr">
        <is>
          <t>Nexa Fermanagh (S41)</t>
        </is>
      </c>
      <c r="F938" s="22" t="inlineStr">
        <is>
          <t>Anh</t>
        </is>
      </c>
      <c r="G938" s="22" t="inlineStr">
        <is>
          <t>POS</t>
        </is>
      </c>
      <c r="H938" s="31" t="n">
        <v>4592.12</v>
      </c>
      <c r="I938" s="31" t="n">
        <v>45.69</v>
      </c>
      <c r="J938" s="31" t="n">
        <v>4546.43</v>
      </c>
      <c r="K938" s="31" t="n">
        <v>0</v>
      </c>
      <c r="L938" s="32" t="n">
        <v>3</v>
      </c>
      <c r="M938" s="32" t="n">
        <v>20</v>
      </c>
      <c r="N938" s="31" t="n">
        <v>4546.43</v>
      </c>
      <c r="O938" s="31" t="n">
        <v>4546.43</v>
      </c>
      <c r="P938" s="22" t="n">
        <v>0</v>
      </c>
      <c r="Q938" s="22" t="n">
        <v>0</v>
      </c>
      <c r="R938" s="22" t="n">
        <v>0</v>
      </c>
    </row>
    <row r="939">
      <c r="A939" s="22" t="n">
        <v>201709</v>
      </c>
      <c r="B939" s="22" t="inlineStr">
        <is>
          <t>09/2017</t>
        </is>
      </c>
      <c r="C939" s="22" t="n">
        <v>42</v>
      </c>
      <c r="D939" s="22" t="inlineStr">
        <is>
          <t>S42</t>
        </is>
      </c>
      <c r="E939" s="22" t="inlineStr">
        <is>
          <t>Nexa North Down (S42)</t>
        </is>
      </c>
      <c r="F939" s="22" t="inlineStr">
        <is>
          <t>Anh</t>
        </is>
      </c>
      <c r="G939" s="22" t="inlineStr">
        <is>
          <t>POS</t>
        </is>
      </c>
      <c r="H939" s="31" t="n">
        <v>10524.38</v>
      </c>
      <c r="I939" s="31" t="n">
        <v>406.26</v>
      </c>
      <c r="J939" s="31" t="n">
        <v>10118.12</v>
      </c>
      <c r="K939" s="31" t="n">
        <v>1224.99</v>
      </c>
      <c r="L939" s="32" t="n">
        <v>7</v>
      </c>
      <c r="M939" s="32" t="n">
        <v>37</v>
      </c>
      <c r="N939" s="31" t="n">
        <v>8893.129999999999</v>
      </c>
      <c r="O939" s="31" t="n">
        <v>10118.12</v>
      </c>
      <c r="P939" s="22" t="n">
        <v>0</v>
      </c>
      <c r="Q939" s="22" t="n">
        <v>0</v>
      </c>
      <c r="R939" s="22" t="n">
        <v>0</v>
      </c>
    </row>
    <row r="940">
      <c r="A940" s="22" t="n">
        <v>201709</v>
      </c>
      <c r="B940" s="22" t="inlineStr">
        <is>
          <t>09/2017</t>
        </is>
      </c>
      <c r="C940" s="22" t="n">
        <v>43</v>
      </c>
      <c r="D940" s="22" t="inlineStr">
        <is>
          <t>S43</t>
        </is>
      </c>
      <c r="E940" s="22" t="inlineStr">
        <is>
          <t>Nexa Alaska (S43)</t>
        </is>
      </c>
      <c r="F940" s="22" t="inlineStr">
        <is>
          <t>Mỹ</t>
        </is>
      </c>
      <c r="G940" s="22" t="inlineStr">
        <is>
          <t>POS</t>
        </is>
      </c>
      <c r="H940" s="31" t="n">
        <v>19449</v>
      </c>
      <c r="I940" s="31" t="n">
        <v>266.24</v>
      </c>
      <c r="J940" s="31" t="n">
        <v>19182.76</v>
      </c>
      <c r="K940" s="31" t="n">
        <v>179.1</v>
      </c>
      <c r="L940" s="32" t="n">
        <v>9</v>
      </c>
      <c r="M940" s="32" t="n">
        <v>99</v>
      </c>
      <c r="N940" s="31" t="n">
        <v>19003.66</v>
      </c>
      <c r="O940" s="31" t="n">
        <v>19182.76</v>
      </c>
      <c r="P940" s="22" t="n">
        <v>0</v>
      </c>
      <c r="Q940" s="22" t="n">
        <v>0</v>
      </c>
      <c r="R940" s="22" t="n">
        <v>0</v>
      </c>
    </row>
    <row r="941">
      <c r="A941" s="22" t="n">
        <v>201709</v>
      </c>
      <c r="B941" s="22" t="inlineStr">
        <is>
          <t>09/2017</t>
        </is>
      </c>
      <c r="C941" s="22" t="n">
        <v>44</v>
      </c>
      <c r="D941" s="22" t="inlineStr">
        <is>
          <t>S44</t>
        </is>
      </c>
      <c r="E941" s="22" t="inlineStr">
        <is>
          <t>Nexa Arkansas (S44)</t>
        </is>
      </c>
      <c r="F941" s="22" t="inlineStr">
        <is>
          <t>Mỹ</t>
        </is>
      </c>
      <c r="G941" s="22" t="inlineStr">
        <is>
          <t>POS</t>
        </is>
      </c>
      <c r="H941" s="31" t="n">
        <v>25451.59</v>
      </c>
      <c r="I941" s="31" t="n">
        <v>345.7</v>
      </c>
      <c r="J941" s="31" t="n">
        <v>25105.89</v>
      </c>
      <c r="K941" s="31" t="n">
        <v>0</v>
      </c>
      <c r="L941" s="32" t="n">
        <v>7</v>
      </c>
      <c r="M941" s="32" t="n">
        <v>41</v>
      </c>
      <c r="N941" s="31" t="n">
        <v>25105.89</v>
      </c>
      <c r="O941" s="31" t="n">
        <v>25105.89</v>
      </c>
      <c r="P941" s="22" t="n">
        <v>0</v>
      </c>
      <c r="Q941" s="22" t="n">
        <v>0</v>
      </c>
      <c r="R941" s="22" t="n">
        <v>0</v>
      </c>
    </row>
    <row r="942">
      <c r="A942" s="22" t="n">
        <v>201709</v>
      </c>
      <c r="B942" s="22" t="inlineStr">
        <is>
          <t>09/2017</t>
        </is>
      </c>
      <c r="C942" s="22" t="n">
        <v>45</v>
      </c>
      <c r="D942" s="22" t="inlineStr">
        <is>
          <t>S45</t>
        </is>
      </c>
      <c r="E942" s="22" t="inlineStr">
        <is>
          <t>Nexa Connecticut (S45)</t>
        </is>
      </c>
      <c r="F942" s="22" t="inlineStr">
        <is>
          <t>Mỹ</t>
        </is>
      </c>
      <c r="G942" s="22" t="inlineStr">
        <is>
          <t>POS</t>
        </is>
      </c>
      <c r="H942" s="31" t="n">
        <v>32120.18</v>
      </c>
      <c r="I942" s="31" t="n">
        <v>965.98</v>
      </c>
      <c r="J942" s="31" t="n">
        <v>31154.2</v>
      </c>
      <c r="K942" s="31" t="n">
        <v>0</v>
      </c>
      <c r="L942" s="32" t="n">
        <v>6</v>
      </c>
      <c r="M942" s="32" t="n">
        <v>41</v>
      </c>
      <c r="N942" s="31" t="n">
        <v>31154.2</v>
      </c>
      <c r="O942" s="31" t="n">
        <v>31154.2</v>
      </c>
      <c r="P942" s="22" t="n">
        <v>0</v>
      </c>
      <c r="Q942" s="22" t="n">
        <v>0</v>
      </c>
      <c r="R942" s="22" t="n">
        <v>0</v>
      </c>
    </row>
    <row r="943">
      <c r="A943" s="22" t="n">
        <v>201709</v>
      </c>
      <c r="B943" s="22" t="inlineStr">
        <is>
          <t>09/2017</t>
        </is>
      </c>
      <c r="C943" s="22" t="n">
        <v>47</v>
      </c>
      <c r="D943" s="22" t="inlineStr">
        <is>
          <t>S47</t>
        </is>
      </c>
      <c r="E943" s="22" t="inlineStr">
        <is>
          <t>Nexa Hawaii (S47)</t>
        </is>
      </c>
      <c r="F943" s="22" t="inlineStr">
        <is>
          <t>Mỹ</t>
        </is>
      </c>
      <c r="G943" s="22" t="inlineStr">
        <is>
          <t>POS</t>
        </is>
      </c>
      <c r="H943" s="31" t="n">
        <v>8091</v>
      </c>
      <c r="I943" s="31" t="n">
        <v>0</v>
      </c>
      <c r="J943" s="31" t="n">
        <v>8091</v>
      </c>
      <c r="K943" s="31" t="n">
        <v>0</v>
      </c>
      <c r="L943" s="32" t="n">
        <v>1</v>
      </c>
      <c r="M943" s="32" t="n">
        <v>9</v>
      </c>
      <c r="N943" s="31" t="n">
        <v>8091</v>
      </c>
      <c r="O943" s="31" t="n">
        <v>8091</v>
      </c>
      <c r="P943" s="22" t="n">
        <v>1</v>
      </c>
      <c r="Q943" s="22" t="n">
        <v>0</v>
      </c>
      <c r="R943" s="22" t="n">
        <v>0</v>
      </c>
    </row>
    <row r="944">
      <c r="A944" s="22" t="n">
        <v>201709</v>
      </c>
      <c r="B944" s="22" t="inlineStr">
        <is>
          <t>09/2017</t>
        </is>
      </c>
      <c r="C944" s="22" t="n">
        <v>48</v>
      </c>
      <c r="D944" s="22" t="inlineStr">
        <is>
          <t>S48</t>
        </is>
      </c>
      <c r="E944" s="22" t="inlineStr">
        <is>
          <t>Nexa Idaho (S48)</t>
        </is>
      </c>
      <c r="F944" s="22" t="inlineStr">
        <is>
          <t>Mỹ</t>
        </is>
      </c>
      <c r="G944" s="22" t="inlineStr">
        <is>
          <t>POS</t>
        </is>
      </c>
      <c r="H944" s="31" t="n">
        <v>15758.52</v>
      </c>
      <c r="I944" s="31" t="n">
        <v>17.15</v>
      </c>
      <c r="J944" s="31" t="n">
        <v>15741.37</v>
      </c>
      <c r="K944" s="31" t="n">
        <v>0</v>
      </c>
      <c r="L944" s="32" t="n">
        <v>7</v>
      </c>
      <c r="M944" s="32" t="n">
        <v>59</v>
      </c>
      <c r="N944" s="31" t="n">
        <v>15741.37</v>
      </c>
      <c r="O944" s="31" t="n">
        <v>15741.37</v>
      </c>
      <c r="P944" s="22" t="n">
        <v>1</v>
      </c>
      <c r="Q944" s="22" t="n">
        <v>0</v>
      </c>
      <c r="R944" s="22" t="n">
        <v>0</v>
      </c>
    </row>
    <row r="945">
      <c r="A945" s="22" t="n">
        <v>201709</v>
      </c>
      <c r="B945" s="22" t="inlineStr">
        <is>
          <t>09/2017</t>
        </is>
      </c>
      <c r="C945" s="22" t="n">
        <v>50</v>
      </c>
      <c r="D945" s="22" t="inlineStr">
        <is>
          <t>S50</t>
        </is>
      </c>
      <c r="E945" s="22" t="inlineStr">
        <is>
          <t>Nexa Kansas (S50)</t>
        </is>
      </c>
      <c r="F945" s="22" t="inlineStr">
        <is>
          <t>Mỹ</t>
        </is>
      </c>
      <c r="G945" s="22" t="inlineStr">
        <is>
          <t>POS</t>
        </is>
      </c>
      <c r="H945" s="31" t="n">
        <v>17983.85</v>
      </c>
      <c r="I945" s="31" t="n">
        <v>1222.26</v>
      </c>
      <c r="J945" s="31" t="n">
        <v>16761.59</v>
      </c>
      <c r="K945" s="31" t="n">
        <v>0</v>
      </c>
      <c r="L945" s="32" t="n">
        <v>7</v>
      </c>
      <c r="M945" s="32" t="n">
        <v>70</v>
      </c>
      <c r="N945" s="31" t="n">
        <v>16761.59</v>
      </c>
      <c r="O945" s="31" t="n">
        <v>16761.59</v>
      </c>
      <c r="P945" s="22" t="n">
        <v>0</v>
      </c>
      <c r="Q945" s="22" t="n">
        <v>0</v>
      </c>
      <c r="R945" s="22" t="n">
        <v>0</v>
      </c>
    </row>
    <row r="946">
      <c r="A946" s="22" t="n">
        <v>201709</v>
      </c>
      <c r="B946" s="22" t="inlineStr">
        <is>
          <t>09/2017</t>
        </is>
      </c>
      <c r="C946" s="22" t="n">
        <v>51</v>
      </c>
      <c r="D946" s="22" t="inlineStr">
        <is>
          <t>S51</t>
        </is>
      </c>
      <c r="E946" s="22" t="inlineStr">
        <is>
          <t>Nexa Maine (S51)</t>
        </is>
      </c>
      <c r="F946" s="22" t="inlineStr">
        <is>
          <t>Mỹ</t>
        </is>
      </c>
      <c r="G946" s="22" t="inlineStr">
        <is>
          <t>POS</t>
        </is>
      </c>
      <c r="H946" s="31" t="n">
        <v>22827.74</v>
      </c>
      <c r="I946" s="31" t="n">
        <v>163.4</v>
      </c>
      <c r="J946" s="31" t="n">
        <v>22664.34</v>
      </c>
      <c r="K946" s="31" t="n">
        <v>1153.98</v>
      </c>
      <c r="L946" s="32" t="n">
        <v>11</v>
      </c>
      <c r="M946" s="32" t="n">
        <v>69</v>
      </c>
      <c r="N946" s="31" t="n">
        <v>22628.36</v>
      </c>
      <c r="O946" s="31" t="n">
        <v>22664.34</v>
      </c>
      <c r="P946" s="22" t="n">
        <v>2</v>
      </c>
      <c r="Q946" s="22" t="n">
        <v>0</v>
      </c>
      <c r="R946" s="22" t="n">
        <v>0</v>
      </c>
    </row>
    <row r="947">
      <c r="A947" s="22" t="n">
        <v>201709</v>
      </c>
      <c r="B947" s="22" t="inlineStr">
        <is>
          <t>09/2017</t>
        </is>
      </c>
      <c r="C947" s="22" t="n">
        <v>53</v>
      </c>
      <c r="D947" s="22" t="inlineStr">
        <is>
          <t>S53</t>
        </is>
      </c>
      <c r="E947" s="22" t="inlineStr">
        <is>
          <t>Nexa Montana (S53)</t>
        </is>
      </c>
      <c r="F947" s="22" t="inlineStr">
        <is>
          <t>Mỹ</t>
        </is>
      </c>
      <c r="G947" s="22" t="inlineStr">
        <is>
          <t>POS</t>
        </is>
      </c>
      <c r="H947" s="31" t="n">
        <v>19130.11</v>
      </c>
      <c r="I947" s="31" t="n">
        <v>1442.46</v>
      </c>
      <c r="J947" s="31" t="n">
        <v>17687.65</v>
      </c>
      <c r="K947" s="31" t="n">
        <v>116.99</v>
      </c>
      <c r="L947" s="32" t="n">
        <v>5</v>
      </c>
      <c r="M947" s="32" t="n">
        <v>58</v>
      </c>
      <c r="N947" s="31" t="n">
        <v>17570.66</v>
      </c>
      <c r="O947" s="31" t="n">
        <v>17687.65</v>
      </c>
      <c r="P947" s="22" t="n">
        <v>0</v>
      </c>
      <c r="Q947" s="22" t="n">
        <v>0</v>
      </c>
      <c r="R947" s="22" t="n">
        <v>0</v>
      </c>
    </row>
    <row r="948">
      <c r="A948" s="22" t="n">
        <v>201709</v>
      </c>
      <c r="B948" s="22" t="inlineStr">
        <is>
          <t>09/2017</t>
        </is>
      </c>
      <c r="C948" s="22" t="n">
        <v>54</v>
      </c>
      <c r="D948" s="22" t="inlineStr">
        <is>
          <t>S54</t>
        </is>
      </c>
      <c r="E948" s="22" t="inlineStr">
        <is>
          <t>Nexa Nebraska (S54)</t>
        </is>
      </c>
      <c r="F948" s="22" t="inlineStr">
        <is>
          <t>Mỹ</t>
        </is>
      </c>
      <c r="G948" s="22" t="inlineStr">
        <is>
          <t>POS</t>
        </is>
      </c>
      <c r="H948" s="31" t="n">
        <v>7976.23</v>
      </c>
      <c r="I948" s="31" t="n">
        <v>224.91</v>
      </c>
      <c r="J948" s="31" t="n">
        <v>7751.32</v>
      </c>
      <c r="K948" s="31" t="n">
        <v>17.99</v>
      </c>
      <c r="L948" s="32" t="n">
        <v>7</v>
      </c>
      <c r="M948" s="32" t="n">
        <v>36</v>
      </c>
      <c r="N948" s="31" t="n">
        <v>7733.33</v>
      </c>
      <c r="O948" s="31" t="n">
        <v>7751.32</v>
      </c>
      <c r="P948" s="22" t="n">
        <v>1</v>
      </c>
      <c r="Q948" s="22" t="n">
        <v>0</v>
      </c>
      <c r="R948" s="22" t="n">
        <v>0</v>
      </c>
    </row>
    <row r="949">
      <c r="A949" s="22" t="n">
        <v>201709</v>
      </c>
      <c r="B949" s="22" t="inlineStr">
        <is>
          <t>09/2017</t>
        </is>
      </c>
      <c r="C949" s="22" t="n">
        <v>55</v>
      </c>
      <c r="D949" s="22" t="inlineStr">
        <is>
          <t>S55</t>
        </is>
      </c>
      <c r="E949" s="22" t="inlineStr">
        <is>
          <t>Nexa Nevada (S55)</t>
        </is>
      </c>
      <c r="F949" s="22" t="inlineStr">
        <is>
          <t>Mỹ</t>
        </is>
      </c>
      <c r="G949" s="22" t="inlineStr">
        <is>
          <t>POS</t>
        </is>
      </c>
      <c r="H949" s="31" t="n">
        <v>28810.49</v>
      </c>
      <c r="I949" s="31" t="n">
        <v>1262.5</v>
      </c>
      <c r="J949" s="31" t="n">
        <v>27547.99</v>
      </c>
      <c r="K949" s="31" t="n">
        <v>877.5</v>
      </c>
      <c r="L949" s="32" t="n">
        <v>11</v>
      </c>
      <c r="M949" s="32" t="n">
        <v>86</v>
      </c>
      <c r="N949" s="31" t="n">
        <v>27547.99</v>
      </c>
      <c r="O949" s="31" t="n">
        <v>27547.99</v>
      </c>
      <c r="P949" s="22" t="n">
        <v>1</v>
      </c>
      <c r="Q949" s="22" t="n">
        <v>0</v>
      </c>
      <c r="R949" s="22" t="n">
        <v>0</v>
      </c>
    </row>
    <row r="950">
      <c r="A950" s="22" t="n">
        <v>201709</v>
      </c>
      <c r="B950" s="22" t="inlineStr">
        <is>
          <t>09/2017</t>
        </is>
      </c>
      <c r="C950" s="22" t="n">
        <v>56</v>
      </c>
      <c r="D950" s="22" t="inlineStr">
        <is>
          <t>S56</t>
        </is>
      </c>
      <c r="E950" s="22" t="inlineStr">
        <is>
          <t>Nexa New Hampshire (S56)</t>
        </is>
      </c>
      <c r="F950" s="22" t="inlineStr">
        <is>
          <t>Mỹ</t>
        </is>
      </c>
      <c r="G950" s="22" t="inlineStr">
        <is>
          <t>POS</t>
        </is>
      </c>
      <c r="H950" s="31" t="n">
        <v>24656.07</v>
      </c>
      <c r="I950" s="31" t="n">
        <v>0</v>
      </c>
      <c r="J950" s="31" t="n">
        <v>24656.07</v>
      </c>
      <c r="K950" s="31" t="n">
        <v>0</v>
      </c>
      <c r="L950" s="32" t="n">
        <v>6</v>
      </c>
      <c r="M950" s="32" t="n">
        <v>64</v>
      </c>
      <c r="N950" s="31" t="n">
        <v>24656.07</v>
      </c>
      <c r="O950" s="31" t="n">
        <v>24656.07</v>
      </c>
      <c r="P950" s="22" t="n">
        <v>0</v>
      </c>
      <c r="Q950" s="22" t="n">
        <v>0</v>
      </c>
      <c r="R950" s="22" t="n">
        <v>0</v>
      </c>
    </row>
    <row r="951">
      <c r="A951" s="22" t="n">
        <v>201709</v>
      </c>
      <c r="B951" s="22" t="inlineStr">
        <is>
          <t>09/2017</t>
        </is>
      </c>
      <c r="C951" s="22" t="n">
        <v>57</v>
      </c>
      <c r="D951" s="22" t="inlineStr">
        <is>
          <t>S57</t>
        </is>
      </c>
      <c r="E951" s="22" t="inlineStr">
        <is>
          <t>Nexa New Mexico (S57)</t>
        </is>
      </c>
      <c r="F951" s="22" t="inlineStr">
        <is>
          <t>Mỹ</t>
        </is>
      </c>
      <c r="G951" s="22" t="inlineStr">
        <is>
          <t>POS</t>
        </is>
      </c>
      <c r="H951" s="31" t="n">
        <v>19026.23</v>
      </c>
      <c r="I951" s="31" t="n">
        <v>545.29</v>
      </c>
      <c r="J951" s="31" t="n">
        <v>18480.94</v>
      </c>
      <c r="K951" s="31" t="n">
        <v>400.5</v>
      </c>
      <c r="L951" s="32" t="n">
        <v>7</v>
      </c>
      <c r="M951" s="32" t="n">
        <v>53</v>
      </c>
      <c r="N951" s="31" t="n">
        <v>18080.44</v>
      </c>
      <c r="O951" s="31" t="n">
        <v>18480.94</v>
      </c>
      <c r="P951" s="22" t="n">
        <v>0</v>
      </c>
      <c r="Q951" s="22" t="n">
        <v>0</v>
      </c>
      <c r="R951" s="22" t="n">
        <v>0</v>
      </c>
    </row>
    <row r="952">
      <c r="A952" s="22" t="n">
        <v>201709</v>
      </c>
      <c r="B952" s="22" t="inlineStr">
        <is>
          <t>09/2017</t>
        </is>
      </c>
      <c r="C952" s="22" t="n">
        <v>59</v>
      </c>
      <c r="D952" s="22" t="inlineStr">
        <is>
          <t>S59</t>
        </is>
      </c>
      <c r="E952" s="22" t="inlineStr">
        <is>
          <t>Nexa Oregon (S59)</t>
        </is>
      </c>
      <c r="F952" s="22" t="inlineStr">
        <is>
          <t>Mỹ</t>
        </is>
      </c>
      <c r="G952" s="22" t="inlineStr">
        <is>
          <t>POS</t>
        </is>
      </c>
      <c r="H952" s="31" t="n">
        <v>4180.64</v>
      </c>
      <c r="I952" s="31" t="n">
        <v>134.27</v>
      </c>
      <c r="J952" s="31" t="n">
        <v>4046.37</v>
      </c>
      <c r="K952" s="31" t="n">
        <v>0</v>
      </c>
      <c r="L952" s="32" t="n">
        <v>2</v>
      </c>
      <c r="M952" s="32" t="n">
        <v>16</v>
      </c>
      <c r="N952" s="31" t="n">
        <v>4046.37</v>
      </c>
      <c r="O952" s="31" t="n">
        <v>4046.37</v>
      </c>
      <c r="P952" s="22" t="n">
        <v>0</v>
      </c>
      <c r="Q952" s="22" t="n">
        <v>0</v>
      </c>
      <c r="R952" s="22" t="n">
        <v>0</v>
      </c>
    </row>
    <row r="953">
      <c r="A953" s="22" t="n">
        <v>201709</v>
      </c>
      <c r="B953" s="22" t="inlineStr">
        <is>
          <t>09/2017</t>
        </is>
      </c>
      <c r="C953" s="22" t="n">
        <v>61</v>
      </c>
      <c r="D953" s="22" t="inlineStr">
        <is>
          <t>S61</t>
        </is>
      </c>
      <c r="E953" s="22" t="inlineStr">
        <is>
          <t>Nexa South Carolina (S61)</t>
        </is>
      </c>
      <c r="F953" s="22" t="inlineStr">
        <is>
          <t>Mỹ</t>
        </is>
      </c>
      <c r="G953" s="22" t="inlineStr">
        <is>
          <t>POS</t>
        </is>
      </c>
      <c r="H953" s="31" t="n">
        <v>17528.65</v>
      </c>
      <c r="I953" s="31" t="n">
        <v>46.17</v>
      </c>
      <c r="J953" s="31" t="n">
        <v>17482.48</v>
      </c>
      <c r="K953" s="31" t="n">
        <v>0</v>
      </c>
      <c r="L953" s="32" t="n">
        <v>4</v>
      </c>
      <c r="M953" s="32" t="n">
        <v>34</v>
      </c>
      <c r="N953" s="31" t="n">
        <v>17482.48</v>
      </c>
      <c r="O953" s="31" t="n">
        <v>17482.48</v>
      </c>
      <c r="P953" s="22" t="n">
        <v>0</v>
      </c>
      <c r="Q953" s="22" t="n">
        <v>0</v>
      </c>
      <c r="R953" s="22" t="n">
        <v>0</v>
      </c>
    </row>
    <row r="954">
      <c r="A954" s="22" t="n">
        <v>201709</v>
      </c>
      <c r="B954" s="22" t="inlineStr">
        <is>
          <t>09/2017</t>
        </is>
      </c>
      <c r="C954" s="22" t="n">
        <v>63</v>
      </c>
      <c r="D954" s="22" t="inlineStr">
        <is>
          <t>S63</t>
        </is>
      </c>
      <c r="E954" s="22" t="inlineStr">
        <is>
          <t>Nexa Utah (S63)</t>
        </is>
      </c>
      <c r="F954" s="22" t="inlineStr">
        <is>
          <t>Mỹ</t>
        </is>
      </c>
      <c r="G954" s="22" t="inlineStr">
        <is>
          <t>POS</t>
        </is>
      </c>
      <c r="H954" s="31" t="n">
        <v>13676.23</v>
      </c>
      <c r="I954" s="31" t="n">
        <v>70.48999999999999</v>
      </c>
      <c r="J954" s="31" t="n">
        <v>13605.74</v>
      </c>
      <c r="K954" s="31" t="n">
        <v>256</v>
      </c>
      <c r="L954" s="32" t="n">
        <v>6</v>
      </c>
      <c r="M954" s="32" t="n">
        <v>40</v>
      </c>
      <c r="N954" s="31" t="n">
        <v>13349.74</v>
      </c>
      <c r="O954" s="31" t="n">
        <v>13605.74</v>
      </c>
      <c r="P954" s="22" t="n">
        <v>0</v>
      </c>
      <c r="Q954" s="22" t="n">
        <v>0</v>
      </c>
      <c r="R954" s="22" t="n">
        <v>0</v>
      </c>
    </row>
    <row r="955">
      <c r="A955" s="22" t="n">
        <v>201709</v>
      </c>
      <c r="B955" s="22" t="inlineStr">
        <is>
          <t>09/2017</t>
        </is>
      </c>
      <c r="C955" s="22" t="n">
        <v>64</v>
      </c>
      <c r="D955" s="22" t="inlineStr">
        <is>
          <t>S64</t>
        </is>
      </c>
      <c r="E955" s="22" t="inlineStr">
        <is>
          <t>Nexa Washington DC (S64)</t>
        </is>
      </c>
      <c r="F955" s="22" t="inlineStr">
        <is>
          <t>Mỹ</t>
        </is>
      </c>
      <c r="G955" s="22" t="inlineStr">
        <is>
          <t>POS</t>
        </is>
      </c>
      <c r="H955" s="31" t="n">
        <v>8005.79</v>
      </c>
      <c r="I955" s="31" t="n">
        <v>480</v>
      </c>
      <c r="J955" s="31" t="n">
        <v>7525.79</v>
      </c>
      <c r="K955" s="31" t="n">
        <v>157.44</v>
      </c>
      <c r="L955" s="32" t="n">
        <v>4</v>
      </c>
      <c r="M955" s="32" t="n">
        <v>21</v>
      </c>
      <c r="N955" s="31" t="n">
        <v>7368.35</v>
      </c>
      <c r="O955" s="31" t="n">
        <v>7525.79</v>
      </c>
      <c r="P955" s="22" t="n">
        <v>1</v>
      </c>
      <c r="Q955" s="22" t="n">
        <v>0</v>
      </c>
      <c r="R955" s="22" t="n">
        <v>0</v>
      </c>
    </row>
    <row r="956">
      <c r="A956" s="22" t="n">
        <v>201709</v>
      </c>
      <c r="B956" s="22" t="inlineStr">
        <is>
          <t>09/2017</t>
        </is>
      </c>
      <c r="C956" s="22" t="n">
        <v>65</v>
      </c>
      <c r="D956" s="22" t="inlineStr">
        <is>
          <t>S65</t>
        </is>
      </c>
      <c r="E956" s="22" t="inlineStr">
        <is>
          <t>Nexa West Virginia (S65)</t>
        </is>
      </c>
      <c r="F956" s="22" t="inlineStr">
        <is>
          <t>Mỹ</t>
        </is>
      </c>
      <c r="G956" s="22" t="inlineStr">
        <is>
          <t>POS</t>
        </is>
      </c>
      <c r="H956" s="31" t="n">
        <v>15577.11</v>
      </c>
      <c r="I956" s="31" t="n">
        <v>83.89</v>
      </c>
      <c r="J956" s="31" t="n">
        <v>15493.22</v>
      </c>
      <c r="K956" s="31" t="n">
        <v>0</v>
      </c>
      <c r="L956" s="32" t="n">
        <v>6</v>
      </c>
      <c r="M956" s="32" t="n">
        <v>36</v>
      </c>
      <c r="N956" s="31" t="n">
        <v>15493.22</v>
      </c>
      <c r="O956" s="31" t="n">
        <v>15493.22</v>
      </c>
      <c r="P956" s="22" t="n">
        <v>0</v>
      </c>
      <c r="Q956" s="22" t="n">
        <v>0</v>
      </c>
      <c r="R956" s="22" t="n">
        <v>0</v>
      </c>
    </row>
    <row r="957">
      <c r="A957" s="22" t="n">
        <v>201709</v>
      </c>
      <c r="B957" s="22" t="inlineStr">
        <is>
          <t>09/2017</t>
        </is>
      </c>
      <c r="C957" s="22" t="n">
        <v>66</v>
      </c>
      <c r="D957" s="22" t="inlineStr">
        <is>
          <t>S66</t>
        </is>
      </c>
      <c r="E957" s="22" t="inlineStr">
        <is>
          <t>Nexa Wyoming (S66)</t>
        </is>
      </c>
      <c r="F957" s="22" t="inlineStr">
        <is>
          <t>Mỹ</t>
        </is>
      </c>
      <c r="G957" s="22" t="inlineStr">
        <is>
          <t>POS</t>
        </is>
      </c>
      <c r="H957" s="31" t="n">
        <v>10905.38</v>
      </c>
      <c r="I957" s="31" t="n">
        <v>4.06</v>
      </c>
      <c r="J957" s="31" t="n">
        <v>10901.32</v>
      </c>
      <c r="K957" s="31" t="n">
        <v>0</v>
      </c>
      <c r="L957" s="32" t="n">
        <v>6</v>
      </c>
      <c r="M957" s="32" t="n">
        <v>36</v>
      </c>
      <c r="N957" s="31" t="n">
        <v>10901.32</v>
      </c>
      <c r="O957" s="31" t="n">
        <v>10901.32</v>
      </c>
      <c r="P957" s="22" t="n">
        <v>0</v>
      </c>
      <c r="Q957" s="22" t="n">
        <v>0</v>
      </c>
      <c r="R957" s="22" t="n">
        <v>0</v>
      </c>
    </row>
    <row r="958">
      <c r="A958" s="22" t="n">
        <v>201710</v>
      </c>
      <c r="B958" s="22" t="inlineStr">
        <is>
          <t>10/2017</t>
        </is>
      </c>
      <c r="C958" s="22" t="n">
        <v>0</v>
      </c>
      <c r="D958" s="22" t="inlineStr">
        <is>
          <t>ONL</t>
        </is>
      </c>
      <c r="E958" s="22" t="inlineStr">
        <is>
          <t>Nexa Online (website/app)</t>
        </is>
      </c>
      <c r="F958" s="22" t="inlineStr">
        <is>
          <t>Online</t>
        </is>
      </c>
      <c r="G958" s="22" t="inlineStr">
        <is>
          <t>ONLINE</t>
        </is>
      </c>
      <c r="H958" s="31" t="n">
        <v>150114.79</v>
      </c>
      <c r="I958" s="31" t="n">
        <v>2636.84</v>
      </c>
      <c r="J958" s="31" t="n">
        <v>147477.95</v>
      </c>
      <c r="K958" s="31" t="n">
        <v>1946.65</v>
      </c>
      <c r="L958" s="32" t="n">
        <v>65</v>
      </c>
      <c r="M958" s="32" t="n">
        <v>515</v>
      </c>
      <c r="N958" s="31" t="n">
        <v>147107.32</v>
      </c>
      <c r="O958" s="31" t="n">
        <v>149053.97</v>
      </c>
      <c r="P958" s="22" t="n">
        <v>2</v>
      </c>
      <c r="Q958" s="22" t="n">
        <v>0</v>
      </c>
      <c r="R958" s="22" t="n">
        <v>1</v>
      </c>
    </row>
    <row r="959">
      <c r="A959" s="22" t="n">
        <v>201710</v>
      </c>
      <c r="B959" s="22" t="inlineStr">
        <is>
          <t>10/2017</t>
        </is>
      </c>
      <c r="C959" s="22" t="n">
        <v>1</v>
      </c>
      <c r="D959" s="22" t="inlineStr">
        <is>
          <t>S01</t>
        </is>
      </c>
      <c r="E959" s="22" t="inlineStr">
        <is>
          <t>Nexa Australian Capital Territory (S01)</t>
        </is>
      </c>
      <c r="F959" s="22" t="inlineStr">
        <is>
          <t>Úc</t>
        </is>
      </c>
      <c r="G959" s="22" t="inlineStr">
        <is>
          <t>POS</t>
        </is>
      </c>
      <c r="H959" s="31" t="n">
        <v>3779.28</v>
      </c>
      <c r="I959" s="31" t="n">
        <v>0</v>
      </c>
      <c r="J959" s="31" t="n">
        <v>3779.28</v>
      </c>
      <c r="K959" s="31" t="n">
        <v>0</v>
      </c>
      <c r="L959" s="32" t="n">
        <v>2</v>
      </c>
      <c r="M959" s="32" t="n">
        <v>24</v>
      </c>
      <c r="N959" s="31" t="n">
        <v>3779.28</v>
      </c>
      <c r="O959" s="31" t="n">
        <v>3779.28</v>
      </c>
      <c r="P959" s="22" t="n">
        <v>0</v>
      </c>
      <c r="Q959" s="22" t="n">
        <v>0</v>
      </c>
      <c r="R959" s="22" t="n">
        <v>0</v>
      </c>
    </row>
    <row r="960">
      <c r="A960" s="22" t="n">
        <v>201710</v>
      </c>
      <c r="B960" s="22" t="inlineStr">
        <is>
          <t>10/2017</t>
        </is>
      </c>
      <c r="C960" s="22" t="n">
        <v>4</v>
      </c>
      <c r="D960" s="22" t="inlineStr">
        <is>
          <t>S04</t>
        </is>
      </c>
      <c r="E960" s="22" t="inlineStr">
        <is>
          <t>Nexa Tasmania (S04)</t>
        </is>
      </c>
      <c r="F960" s="22" t="inlineStr">
        <is>
          <t>Úc</t>
        </is>
      </c>
      <c r="G960" s="22" t="inlineStr">
        <is>
          <t>POS</t>
        </is>
      </c>
      <c r="H960" s="31" t="n">
        <v>11977.04</v>
      </c>
      <c r="I960" s="31" t="n">
        <v>0</v>
      </c>
      <c r="J960" s="31" t="n">
        <v>11977.04</v>
      </c>
      <c r="K960" s="31" t="n">
        <v>0</v>
      </c>
      <c r="L960" s="32" t="n">
        <v>3</v>
      </c>
      <c r="M960" s="32" t="n">
        <v>50</v>
      </c>
      <c r="N960" s="31" t="n">
        <v>11977.04</v>
      </c>
      <c r="O960" s="31" t="n">
        <v>11977.04</v>
      </c>
      <c r="P960" s="22" t="n">
        <v>0</v>
      </c>
      <c r="Q960" s="22" t="n">
        <v>0</v>
      </c>
      <c r="R960" s="22" t="n">
        <v>0</v>
      </c>
    </row>
    <row r="961">
      <c r="A961" s="22" t="n">
        <v>201710</v>
      </c>
      <c r="B961" s="22" t="inlineStr">
        <is>
          <t>10/2017</t>
        </is>
      </c>
      <c r="C961" s="22" t="n">
        <v>5</v>
      </c>
      <c r="D961" s="22" t="inlineStr">
        <is>
          <t>S05</t>
        </is>
      </c>
      <c r="E961" s="22" t="inlineStr">
        <is>
          <t>Nexa Victoria (S05)</t>
        </is>
      </c>
      <c r="F961" s="22" t="inlineStr">
        <is>
          <t>Úc</t>
        </is>
      </c>
      <c r="G961" s="22" t="inlineStr">
        <is>
          <t>POS</t>
        </is>
      </c>
      <c r="H961" s="31" t="n">
        <v>3134.63</v>
      </c>
      <c r="I961" s="31" t="n">
        <v>0</v>
      </c>
      <c r="J961" s="31" t="n">
        <v>3134.63</v>
      </c>
      <c r="K961" s="31" t="n">
        <v>248</v>
      </c>
      <c r="L961" s="32" t="n">
        <v>4</v>
      </c>
      <c r="M961" s="32" t="n">
        <v>14</v>
      </c>
      <c r="N961" s="31" t="n">
        <v>2886.63</v>
      </c>
      <c r="O961" s="31" t="n">
        <v>3134.63</v>
      </c>
      <c r="P961" s="22" t="n">
        <v>0</v>
      </c>
      <c r="Q961" s="22" t="n">
        <v>0</v>
      </c>
      <c r="R961" s="22" t="n">
        <v>0</v>
      </c>
    </row>
    <row r="962">
      <c r="A962" s="22" t="n">
        <v>201710</v>
      </c>
      <c r="B962" s="22" t="inlineStr">
        <is>
          <t>10/2017</t>
        </is>
      </c>
      <c r="C962" s="22" t="n">
        <v>6</v>
      </c>
      <c r="D962" s="22" t="inlineStr">
        <is>
          <t>S06</t>
        </is>
      </c>
      <c r="E962" s="22" t="inlineStr">
        <is>
          <t>Nexa Western Australia (S06)</t>
        </is>
      </c>
      <c r="F962" s="22" t="inlineStr">
        <is>
          <t>Úc</t>
        </is>
      </c>
      <c r="G962" s="22" t="inlineStr">
        <is>
          <t>POS</t>
        </is>
      </c>
      <c r="H962" s="31" t="n">
        <v>11300.95</v>
      </c>
      <c r="I962" s="31" t="n">
        <v>0</v>
      </c>
      <c r="J962" s="31" t="n">
        <v>11300.95</v>
      </c>
      <c r="K962" s="31" t="n">
        <v>0</v>
      </c>
      <c r="L962" s="32" t="n">
        <v>6</v>
      </c>
      <c r="M962" s="32" t="n">
        <v>47</v>
      </c>
      <c r="N962" s="31" t="n">
        <v>11300.95</v>
      </c>
      <c r="O962" s="31" t="n">
        <v>11300.95</v>
      </c>
      <c r="P962" s="22" t="n">
        <v>1</v>
      </c>
      <c r="Q962" s="22" t="n">
        <v>0</v>
      </c>
      <c r="R962" s="22" t="n">
        <v>0</v>
      </c>
    </row>
    <row r="963">
      <c r="A963" s="22" t="n">
        <v>201710</v>
      </c>
      <c r="B963" s="22" t="inlineStr">
        <is>
          <t>10/2017</t>
        </is>
      </c>
      <c r="C963" s="22" t="n">
        <v>8</v>
      </c>
      <c r="D963" s="22" t="inlineStr">
        <is>
          <t>S08</t>
        </is>
      </c>
      <c r="E963" s="22" t="inlineStr">
        <is>
          <t>Nexa Newfoundland and Labrador (S08)</t>
        </is>
      </c>
      <c r="F963" s="22" t="inlineStr">
        <is>
          <t>Canada</t>
        </is>
      </c>
      <c r="G963" s="22" t="inlineStr">
        <is>
          <t>POS</t>
        </is>
      </c>
      <c r="H963" s="31" t="n">
        <v>12372.15</v>
      </c>
      <c r="I963" s="31" t="n">
        <v>0</v>
      </c>
      <c r="J963" s="31" t="n">
        <v>12372.15</v>
      </c>
      <c r="K963" s="31" t="n">
        <v>0</v>
      </c>
      <c r="L963" s="32" t="n">
        <v>5</v>
      </c>
      <c r="M963" s="32" t="n">
        <v>23</v>
      </c>
      <c r="N963" s="31" t="n">
        <v>12372.15</v>
      </c>
      <c r="O963" s="31" t="n">
        <v>12372.15</v>
      </c>
      <c r="P963" s="22" t="n">
        <v>0</v>
      </c>
      <c r="Q963" s="22" t="n">
        <v>0</v>
      </c>
      <c r="R963" s="22" t="n">
        <v>0</v>
      </c>
    </row>
    <row r="964">
      <c r="A964" s="22" t="n">
        <v>201710</v>
      </c>
      <c r="B964" s="22" t="inlineStr">
        <is>
          <t>10/2017</t>
        </is>
      </c>
      <c r="C964" s="22" t="n">
        <v>9</v>
      </c>
      <c r="D964" s="22" t="inlineStr">
        <is>
          <t>S09</t>
        </is>
      </c>
      <c r="E964" s="22" t="inlineStr">
        <is>
          <t>Nexa Northwest Territories (S09)</t>
        </is>
      </c>
      <c r="F964" s="22" t="inlineStr">
        <is>
          <t>Canada</t>
        </is>
      </c>
      <c r="G964" s="22" t="inlineStr">
        <is>
          <t>POS</t>
        </is>
      </c>
      <c r="H964" s="31" t="n">
        <v>19490.95</v>
      </c>
      <c r="I964" s="31" t="n">
        <v>0</v>
      </c>
      <c r="J964" s="31" t="n">
        <v>19490.95</v>
      </c>
      <c r="K964" s="31" t="n">
        <v>0</v>
      </c>
      <c r="L964" s="32" t="n">
        <v>9</v>
      </c>
      <c r="M964" s="32" t="n">
        <v>64</v>
      </c>
      <c r="N964" s="31" t="n">
        <v>19490.95</v>
      </c>
      <c r="O964" s="31" t="n">
        <v>19490.95</v>
      </c>
      <c r="P964" s="22" t="n">
        <v>2</v>
      </c>
      <c r="Q964" s="22" t="n">
        <v>0</v>
      </c>
      <c r="R964" s="22" t="n">
        <v>0</v>
      </c>
    </row>
    <row r="965">
      <c r="A965" s="22" t="n">
        <v>201710</v>
      </c>
      <c r="B965" s="22" t="inlineStr">
        <is>
          <t>10/2017</t>
        </is>
      </c>
      <c r="C965" s="22" t="n">
        <v>10</v>
      </c>
      <c r="D965" s="22" t="inlineStr">
        <is>
          <t>S10</t>
        </is>
      </c>
      <c r="E965" s="22" t="inlineStr">
        <is>
          <t>Nexa Nunavut (S10)</t>
        </is>
      </c>
      <c r="F965" s="22" t="inlineStr">
        <is>
          <t>Canada</t>
        </is>
      </c>
      <c r="G965" s="22" t="inlineStr">
        <is>
          <t>POS</t>
        </is>
      </c>
      <c r="H965" s="31" t="n">
        <v>1806.76</v>
      </c>
      <c r="I965" s="31" t="n">
        <v>0</v>
      </c>
      <c r="J965" s="31" t="n">
        <v>1806.76</v>
      </c>
      <c r="K965" s="31" t="n">
        <v>361.93</v>
      </c>
      <c r="L965" s="32" t="n">
        <v>3</v>
      </c>
      <c r="M965" s="32" t="n">
        <v>7</v>
      </c>
      <c r="N965" s="31" t="n">
        <v>1444.83</v>
      </c>
      <c r="O965" s="31" t="n">
        <v>1806.76</v>
      </c>
      <c r="P965" s="22" t="n">
        <v>0</v>
      </c>
      <c r="Q965" s="22" t="n">
        <v>0</v>
      </c>
      <c r="R965" s="22" t="n">
        <v>0</v>
      </c>
    </row>
    <row r="966">
      <c r="A966" s="22" t="n">
        <v>201710</v>
      </c>
      <c r="B966" s="22" t="inlineStr">
        <is>
          <t>10/2017</t>
        </is>
      </c>
      <c r="C966" s="22" t="n">
        <v>13</v>
      </c>
      <c r="D966" s="22" t="inlineStr">
        <is>
          <t>S13</t>
        </is>
      </c>
      <c r="E966" s="22" t="inlineStr">
        <is>
          <t>Nexa Corse (S13)</t>
        </is>
      </c>
      <c r="F966" s="22" t="inlineStr">
        <is>
          <t>Pháp</t>
        </is>
      </c>
      <c r="G966" s="22" t="inlineStr">
        <is>
          <t>POS</t>
        </is>
      </c>
      <c r="H966" s="31" t="n">
        <v>0</v>
      </c>
      <c r="I966" s="31" t="n">
        <v>0</v>
      </c>
      <c r="J966" s="31" t="n">
        <v>0</v>
      </c>
      <c r="K966" s="31" t="n">
        <v>0</v>
      </c>
      <c r="L966" s="32" t="n">
        <v>0</v>
      </c>
      <c r="M966" s="32" t="n">
        <v>0</v>
      </c>
      <c r="N966" s="31" t="n">
        <v>0</v>
      </c>
      <c r="O966" s="31" t="n">
        <v>0</v>
      </c>
      <c r="P966" s="22" t="n">
        <v>1</v>
      </c>
      <c r="Q966" s="22" t="n">
        <v>0</v>
      </c>
      <c r="R966" s="22" t="n">
        <v>0</v>
      </c>
    </row>
    <row r="967">
      <c r="A967" s="22" t="n">
        <v>201710</v>
      </c>
      <c r="B967" s="22" t="inlineStr">
        <is>
          <t>10/2017</t>
        </is>
      </c>
      <c r="C967" s="22" t="n">
        <v>15</v>
      </c>
      <c r="D967" s="22" t="inlineStr">
        <is>
          <t>S15</t>
        </is>
      </c>
      <c r="E967" s="22" t="inlineStr">
        <is>
          <t>Nexa La Réunion (S15)</t>
        </is>
      </c>
      <c r="F967" s="22" t="inlineStr">
        <is>
          <t>Pháp</t>
        </is>
      </c>
      <c r="G967" s="22" t="inlineStr">
        <is>
          <t>POS</t>
        </is>
      </c>
      <c r="H967" s="31" t="n">
        <v>3000</v>
      </c>
      <c r="I967" s="31" t="n">
        <v>0</v>
      </c>
      <c r="J967" s="31" t="n">
        <v>3000</v>
      </c>
      <c r="K967" s="31" t="n">
        <v>0</v>
      </c>
      <c r="L967" s="32" t="n">
        <v>1</v>
      </c>
      <c r="M967" s="32" t="n">
        <v>10</v>
      </c>
      <c r="N967" s="31" t="n">
        <v>3000</v>
      </c>
      <c r="O967" s="31" t="n">
        <v>3000</v>
      </c>
      <c r="P967" s="22" t="n">
        <v>0</v>
      </c>
      <c r="Q967" s="22" t="n">
        <v>0</v>
      </c>
      <c r="R967" s="22" t="n">
        <v>0</v>
      </c>
    </row>
    <row r="968">
      <c r="A968" s="22" t="n">
        <v>201710</v>
      </c>
      <c r="B968" s="22" t="inlineStr">
        <is>
          <t>10/2017</t>
        </is>
      </c>
      <c r="C968" s="22" t="n">
        <v>17</v>
      </c>
      <c r="D968" s="22" t="inlineStr">
        <is>
          <t>S17</t>
        </is>
      </c>
      <c r="E968" s="22" t="inlineStr">
        <is>
          <t>Nexa Martinique (S17)</t>
        </is>
      </c>
      <c r="F968" s="22" t="inlineStr">
        <is>
          <t>Pháp</t>
        </is>
      </c>
      <c r="G968" s="22" t="inlineStr">
        <is>
          <t>POS</t>
        </is>
      </c>
      <c r="H968" s="31" t="n">
        <v>2107.88</v>
      </c>
      <c r="I968" s="31" t="n">
        <v>0</v>
      </c>
      <c r="J968" s="31" t="n">
        <v>2107.88</v>
      </c>
      <c r="K968" s="31" t="n">
        <v>0</v>
      </c>
      <c r="L968" s="32" t="n">
        <v>1</v>
      </c>
      <c r="M968" s="32" t="n">
        <v>6</v>
      </c>
      <c r="N968" s="31" t="n">
        <v>2107.88</v>
      </c>
      <c r="O968" s="31" t="n">
        <v>2107.88</v>
      </c>
      <c r="P968" s="22" t="n">
        <v>0</v>
      </c>
      <c r="Q968" s="22" t="n">
        <v>0</v>
      </c>
      <c r="R968" s="22" t="n">
        <v>0</v>
      </c>
    </row>
    <row r="969">
      <c r="A969" s="22" t="n">
        <v>201710</v>
      </c>
      <c r="B969" s="22" t="inlineStr">
        <is>
          <t>10/2017</t>
        </is>
      </c>
      <c r="C969" s="22" t="n">
        <v>19</v>
      </c>
      <c r="D969" s="22" t="inlineStr">
        <is>
          <t>S19</t>
        </is>
      </c>
      <c r="E969" s="22" t="inlineStr">
        <is>
          <t>Nexa Berlin (S19)</t>
        </is>
      </c>
      <c r="F969" s="22" t="inlineStr">
        <is>
          <t>Đức</t>
        </is>
      </c>
      <c r="G969" s="22" t="inlineStr">
        <is>
          <t>POS</t>
        </is>
      </c>
      <c r="H969" s="31" t="n">
        <v>1725.82</v>
      </c>
      <c r="I969" s="31" t="n">
        <v>0</v>
      </c>
      <c r="J969" s="31" t="n">
        <v>1725.82</v>
      </c>
      <c r="K969" s="31" t="n">
        <v>0</v>
      </c>
      <c r="L969" s="32" t="n">
        <v>2</v>
      </c>
      <c r="M969" s="32" t="n">
        <v>12</v>
      </c>
      <c r="N969" s="31" t="n">
        <v>1725.82</v>
      </c>
      <c r="O969" s="31" t="n">
        <v>1725.82</v>
      </c>
      <c r="P969" s="22" t="n">
        <v>0</v>
      </c>
      <c r="Q969" s="22" t="n">
        <v>0</v>
      </c>
      <c r="R969" s="22" t="n">
        <v>0</v>
      </c>
    </row>
    <row r="970">
      <c r="A970" s="22" t="n">
        <v>201710</v>
      </c>
      <c r="B970" s="22" t="inlineStr">
        <is>
          <t>10/2017</t>
        </is>
      </c>
      <c r="C970" s="22" t="n">
        <v>20</v>
      </c>
      <c r="D970" s="22" t="inlineStr">
        <is>
          <t>S20</t>
        </is>
      </c>
      <c r="E970" s="22" t="inlineStr">
        <is>
          <t>Nexa Brandenburg (S20)</t>
        </is>
      </c>
      <c r="F970" s="22" t="inlineStr">
        <is>
          <t>Đức</t>
        </is>
      </c>
      <c r="G970" s="22" t="inlineStr">
        <is>
          <t>POS</t>
        </is>
      </c>
      <c r="H970" s="31" t="n">
        <v>644.46</v>
      </c>
      <c r="I970" s="31" t="n">
        <v>0</v>
      </c>
      <c r="J970" s="31" t="n">
        <v>644.46</v>
      </c>
      <c r="K970" s="31" t="n">
        <v>0</v>
      </c>
      <c r="L970" s="32" t="n">
        <v>1</v>
      </c>
      <c r="M970" s="32" t="n">
        <v>6</v>
      </c>
      <c r="N970" s="31" t="n">
        <v>644.46</v>
      </c>
      <c r="O970" s="31" t="n">
        <v>644.46</v>
      </c>
      <c r="P970" s="22" t="n">
        <v>0</v>
      </c>
      <c r="Q970" s="22" t="n">
        <v>0</v>
      </c>
      <c r="R970" s="22" t="n">
        <v>0</v>
      </c>
    </row>
    <row r="971">
      <c r="A971" s="22" t="n">
        <v>201710</v>
      </c>
      <c r="B971" s="22" t="inlineStr">
        <is>
          <t>10/2017</t>
        </is>
      </c>
      <c r="C971" s="22" t="n">
        <v>22</v>
      </c>
      <c r="D971" s="22" t="inlineStr">
        <is>
          <t>S22</t>
        </is>
      </c>
      <c r="E971" s="22" t="inlineStr">
        <is>
          <t>Nexa Freistaat Thüringen (S22)</t>
        </is>
      </c>
      <c r="F971" s="22" t="inlineStr">
        <is>
          <t>Đức</t>
        </is>
      </c>
      <c r="G971" s="22" t="inlineStr">
        <is>
          <t>POS</t>
        </is>
      </c>
      <c r="H971" s="31" t="n">
        <v>12807.35</v>
      </c>
      <c r="I971" s="31" t="n">
        <v>0</v>
      </c>
      <c r="J971" s="31" t="n">
        <v>12807.35</v>
      </c>
      <c r="K971" s="31" t="n">
        <v>872.4</v>
      </c>
      <c r="L971" s="32" t="n">
        <v>7</v>
      </c>
      <c r="M971" s="32" t="n">
        <v>62</v>
      </c>
      <c r="N971" s="31" t="n">
        <v>11934.95</v>
      </c>
      <c r="O971" s="31" t="n">
        <v>12807.35</v>
      </c>
      <c r="P971" s="22" t="n">
        <v>0</v>
      </c>
      <c r="Q971" s="22" t="n">
        <v>0</v>
      </c>
      <c r="R971" s="22" t="n">
        <v>0</v>
      </c>
    </row>
    <row r="972">
      <c r="A972" s="22" t="n">
        <v>201710</v>
      </c>
      <c r="B972" s="22" t="inlineStr">
        <is>
          <t>10/2017</t>
        </is>
      </c>
      <c r="C972" s="22" t="n">
        <v>23</v>
      </c>
      <c r="D972" s="22" t="inlineStr">
        <is>
          <t>S23</t>
        </is>
      </c>
      <c r="E972" s="22" t="inlineStr">
        <is>
          <t>Nexa Hamburg (S23)</t>
        </is>
      </c>
      <c r="F972" s="22" t="inlineStr">
        <is>
          <t>Đức</t>
        </is>
      </c>
      <c r="G972" s="22" t="inlineStr">
        <is>
          <t>POS</t>
        </is>
      </c>
      <c r="H972" s="31" t="n">
        <v>986.41</v>
      </c>
      <c r="I972" s="31" t="n">
        <v>0</v>
      </c>
      <c r="J972" s="31" t="n">
        <v>986.41</v>
      </c>
      <c r="K972" s="31" t="n">
        <v>991.98</v>
      </c>
      <c r="L972" s="32" t="n">
        <v>2</v>
      </c>
      <c r="M972" s="32" t="n">
        <v>8</v>
      </c>
      <c r="N972" s="31" t="n">
        <v>-5.57</v>
      </c>
      <c r="O972" s="31" t="n">
        <v>986.41</v>
      </c>
      <c r="P972" s="22" t="n">
        <v>0</v>
      </c>
      <c r="Q972" s="22" t="n">
        <v>0</v>
      </c>
      <c r="R972" s="22" t="n">
        <v>0</v>
      </c>
    </row>
    <row r="973">
      <c r="A973" s="22" t="n">
        <v>201710</v>
      </c>
      <c r="B973" s="22" t="inlineStr">
        <is>
          <t>10/2017</t>
        </is>
      </c>
      <c r="C973" s="22" t="n">
        <v>27</v>
      </c>
      <c r="D973" s="22" t="inlineStr">
        <is>
          <t>S27</t>
        </is>
      </c>
      <c r="E973" s="22" t="inlineStr">
        <is>
          <t>Nexa Sachsen-Anhalt (S27)</t>
        </is>
      </c>
      <c r="F973" s="22" t="inlineStr">
        <is>
          <t>Đức</t>
        </is>
      </c>
      <c r="G973" s="22" t="inlineStr">
        <is>
          <t>POS</t>
        </is>
      </c>
      <c r="H973" s="31" t="n">
        <v>1582.35</v>
      </c>
      <c r="I973" s="31" t="n">
        <v>0</v>
      </c>
      <c r="J973" s="31" t="n">
        <v>1582.35</v>
      </c>
      <c r="K973" s="31" t="n">
        <v>0</v>
      </c>
      <c r="L973" s="32" t="n">
        <v>2</v>
      </c>
      <c r="M973" s="32" t="n">
        <v>6</v>
      </c>
      <c r="N973" s="31" t="n">
        <v>1582.35</v>
      </c>
      <c r="O973" s="31" t="n">
        <v>1582.35</v>
      </c>
      <c r="P973" s="22" t="n">
        <v>0</v>
      </c>
      <c r="Q973" s="22" t="n">
        <v>0</v>
      </c>
      <c r="R973" s="22" t="n">
        <v>0</v>
      </c>
    </row>
    <row r="974">
      <c r="A974" s="22" t="n">
        <v>201710</v>
      </c>
      <c r="B974" s="22" t="inlineStr">
        <is>
          <t>10/2017</t>
        </is>
      </c>
      <c r="C974" s="22" t="n">
        <v>29</v>
      </c>
      <c r="D974" s="22" t="inlineStr">
        <is>
          <t>S29</t>
        </is>
      </c>
      <c r="E974" s="22" t="inlineStr">
        <is>
          <t>Nexa Enna (S29)</t>
        </is>
      </c>
      <c r="F974" s="22" t="inlineStr">
        <is>
          <t>Ý</t>
        </is>
      </c>
      <c r="G974" s="22" t="inlineStr">
        <is>
          <t>POS</t>
        </is>
      </c>
      <c r="H974" s="31" t="n">
        <v>23350.47</v>
      </c>
      <c r="I974" s="31" t="n">
        <v>0</v>
      </c>
      <c r="J974" s="31" t="n">
        <v>23350.47</v>
      </c>
      <c r="K974" s="31" t="n">
        <v>600</v>
      </c>
      <c r="L974" s="32" t="n">
        <v>7</v>
      </c>
      <c r="M974" s="32" t="n">
        <v>65</v>
      </c>
      <c r="N974" s="31" t="n">
        <v>23350.47</v>
      </c>
      <c r="O974" s="31" t="n">
        <v>23350.47</v>
      </c>
      <c r="P974" s="22" t="n">
        <v>0</v>
      </c>
      <c r="Q974" s="22" t="n">
        <v>0</v>
      </c>
      <c r="R974" s="22" t="n">
        <v>0</v>
      </c>
    </row>
    <row r="975">
      <c r="A975" s="22" t="n">
        <v>201710</v>
      </c>
      <c r="B975" s="22" t="inlineStr">
        <is>
          <t>10/2017</t>
        </is>
      </c>
      <c r="C975" s="22" t="n">
        <v>30</v>
      </c>
      <c r="D975" s="22" t="inlineStr">
        <is>
          <t>S30</t>
        </is>
      </c>
      <c r="E975" s="22" t="inlineStr">
        <is>
          <t>Nexa Pesaro (S30)</t>
        </is>
      </c>
      <c r="F975" s="22" t="inlineStr">
        <is>
          <t>Ý</t>
        </is>
      </c>
      <c r="G975" s="22" t="inlineStr">
        <is>
          <t>POS</t>
        </is>
      </c>
      <c r="H975" s="31" t="n">
        <v>16862.16</v>
      </c>
      <c r="I975" s="31" t="n">
        <v>0</v>
      </c>
      <c r="J975" s="31" t="n">
        <v>16862.16</v>
      </c>
      <c r="K975" s="31" t="n">
        <v>0</v>
      </c>
      <c r="L975" s="32" t="n">
        <v>5</v>
      </c>
      <c r="M975" s="32" t="n">
        <v>48</v>
      </c>
      <c r="N975" s="31" t="n">
        <v>16862.16</v>
      </c>
      <c r="O975" s="31" t="n">
        <v>16862.16</v>
      </c>
      <c r="P975" s="22" t="n">
        <v>0</v>
      </c>
      <c r="Q975" s="22" t="n">
        <v>0</v>
      </c>
      <c r="R975" s="22" t="n">
        <v>0</v>
      </c>
    </row>
    <row r="976">
      <c r="A976" s="22" t="n">
        <v>201710</v>
      </c>
      <c r="B976" s="22" t="inlineStr">
        <is>
          <t>10/2017</t>
        </is>
      </c>
      <c r="C976" s="22" t="n">
        <v>32</v>
      </c>
      <c r="D976" s="22" t="inlineStr">
        <is>
          <t>S32</t>
        </is>
      </c>
      <c r="E976" s="22" t="inlineStr">
        <is>
          <t>Nexa Flevoland (S32)</t>
        </is>
      </c>
      <c r="F976" s="22" t="inlineStr">
        <is>
          <t>Hà Lan</t>
        </is>
      </c>
      <c r="G976" s="22" t="inlineStr">
        <is>
          <t>POS</t>
        </is>
      </c>
      <c r="H976" s="31" t="n">
        <v>1039.85</v>
      </c>
      <c r="I976" s="31" t="n">
        <v>0</v>
      </c>
      <c r="J976" s="31" t="n">
        <v>1039.85</v>
      </c>
      <c r="K976" s="31" t="n">
        <v>0</v>
      </c>
      <c r="L976" s="32" t="n">
        <v>1</v>
      </c>
      <c r="M976" s="32" t="n">
        <v>5</v>
      </c>
      <c r="N976" s="31" t="n">
        <v>1039.85</v>
      </c>
      <c r="O976" s="31" t="n">
        <v>1039.85</v>
      </c>
      <c r="P976" s="22" t="n">
        <v>0</v>
      </c>
      <c r="Q976" s="22" t="n">
        <v>0</v>
      </c>
      <c r="R976" s="22" t="n">
        <v>0</v>
      </c>
    </row>
    <row r="977">
      <c r="A977" s="22" t="n">
        <v>201710</v>
      </c>
      <c r="B977" s="22" t="inlineStr">
        <is>
          <t>10/2017</t>
        </is>
      </c>
      <c r="C977" s="22" t="n">
        <v>33</v>
      </c>
      <c r="D977" s="22" t="inlineStr">
        <is>
          <t>S33</t>
        </is>
      </c>
      <c r="E977" s="22" t="inlineStr">
        <is>
          <t>Nexa Friesland (S33)</t>
        </is>
      </c>
      <c r="F977" s="22" t="inlineStr">
        <is>
          <t>Hà Lan</t>
        </is>
      </c>
      <c r="G977" s="22" t="inlineStr">
        <is>
          <t>POS</t>
        </is>
      </c>
      <c r="H977" s="31" t="n">
        <v>7377.32</v>
      </c>
      <c r="I977" s="31" t="n">
        <v>0</v>
      </c>
      <c r="J977" s="31" t="n">
        <v>7377.32</v>
      </c>
      <c r="K977" s="31" t="n">
        <v>0</v>
      </c>
      <c r="L977" s="32" t="n">
        <v>1</v>
      </c>
      <c r="M977" s="32" t="n">
        <v>10</v>
      </c>
      <c r="N977" s="31" t="n">
        <v>7377.32</v>
      </c>
      <c r="O977" s="31" t="n">
        <v>7377.32</v>
      </c>
      <c r="P977" s="22" t="n">
        <v>0</v>
      </c>
      <c r="Q977" s="22" t="n">
        <v>0</v>
      </c>
      <c r="R977" s="22" t="n">
        <v>0</v>
      </c>
    </row>
    <row r="978">
      <c r="A978" s="22" t="n">
        <v>201710</v>
      </c>
      <c r="B978" s="22" t="inlineStr">
        <is>
          <t>10/2017</t>
        </is>
      </c>
      <c r="C978" s="22" t="n">
        <v>34</v>
      </c>
      <c r="D978" s="22" t="inlineStr">
        <is>
          <t>S34</t>
        </is>
      </c>
      <c r="E978" s="22" t="inlineStr">
        <is>
          <t>Nexa Groningen (S34)</t>
        </is>
      </c>
      <c r="F978" s="22" t="inlineStr">
        <is>
          <t>Hà Lan</t>
        </is>
      </c>
      <c r="G978" s="22" t="inlineStr">
        <is>
          <t>POS</t>
        </is>
      </c>
      <c r="H978" s="31" t="n">
        <v>1491.98</v>
      </c>
      <c r="I978" s="31" t="n">
        <v>0</v>
      </c>
      <c r="J978" s="31" t="n">
        <v>1491.98</v>
      </c>
      <c r="K978" s="31" t="n">
        <v>0</v>
      </c>
      <c r="L978" s="32" t="n">
        <v>2</v>
      </c>
      <c r="M978" s="32" t="n">
        <v>7</v>
      </c>
      <c r="N978" s="31" t="n">
        <v>1491.98</v>
      </c>
      <c r="O978" s="31" t="n">
        <v>1491.98</v>
      </c>
      <c r="P978" s="22" t="n">
        <v>0</v>
      </c>
      <c r="Q978" s="22" t="n">
        <v>0</v>
      </c>
      <c r="R978" s="22" t="n">
        <v>0</v>
      </c>
    </row>
    <row r="979">
      <c r="A979" s="22" t="n">
        <v>201710</v>
      </c>
      <c r="B979" s="22" t="inlineStr">
        <is>
          <t>10/2017</t>
        </is>
      </c>
      <c r="C979" s="22" t="n">
        <v>36</v>
      </c>
      <c r="D979" s="22" t="inlineStr">
        <is>
          <t>S36</t>
        </is>
      </c>
      <c r="E979" s="22" t="inlineStr">
        <is>
          <t>Nexa Armagh (S36)</t>
        </is>
      </c>
      <c r="F979" s="22" t="inlineStr">
        <is>
          <t>Anh</t>
        </is>
      </c>
      <c r="G979" s="22" t="inlineStr">
        <is>
          <t>POS</t>
        </is>
      </c>
      <c r="H979" s="31" t="n">
        <v>17145.79</v>
      </c>
      <c r="I979" s="31" t="n">
        <v>0</v>
      </c>
      <c r="J979" s="31" t="n">
        <v>17145.79</v>
      </c>
      <c r="K979" s="31" t="n">
        <v>0</v>
      </c>
      <c r="L979" s="32" t="n">
        <v>6</v>
      </c>
      <c r="M979" s="32" t="n">
        <v>49</v>
      </c>
      <c r="N979" s="31" t="n">
        <v>17055.81</v>
      </c>
      <c r="O979" s="31" t="n">
        <v>17145.79</v>
      </c>
      <c r="P979" s="22" t="n">
        <v>0</v>
      </c>
      <c r="Q979" s="22" t="n">
        <v>0</v>
      </c>
      <c r="R979" s="22" t="n">
        <v>0</v>
      </c>
    </row>
    <row r="980">
      <c r="A980" s="22" t="n">
        <v>201710</v>
      </c>
      <c r="B980" s="22" t="inlineStr">
        <is>
          <t>10/2017</t>
        </is>
      </c>
      <c r="C980" s="22" t="n">
        <v>37</v>
      </c>
      <c r="D980" s="22" t="inlineStr">
        <is>
          <t>S37</t>
        </is>
      </c>
      <c r="E980" s="22" t="inlineStr">
        <is>
          <t>Nexa Ayrshire (S37)</t>
        </is>
      </c>
      <c r="F980" s="22" t="inlineStr">
        <is>
          <t>Anh</t>
        </is>
      </c>
      <c r="G980" s="22" t="inlineStr">
        <is>
          <t>POS</t>
        </is>
      </c>
      <c r="H980" s="31" t="n">
        <v>6705.18</v>
      </c>
      <c r="I980" s="31" t="n">
        <v>0</v>
      </c>
      <c r="J980" s="31" t="n">
        <v>6705.18</v>
      </c>
      <c r="K980" s="31" t="n">
        <v>0</v>
      </c>
      <c r="L980" s="32" t="n">
        <v>5</v>
      </c>
      <c r="M980" s="32" t="n">
        <v>43</v>
      </c>
      <c r="N980" s="31" t="n">
        <v>6705.18</v>
      </c>
      <c r="O980" s="31" t="n">
        <v>6705.18</v>
      </c>
      <c r="P980" s="22" t="n">
        <v>0</v>
      </c>
      <c r="Q980" s="22" t="n">
        <v>0</v>
      </c>
      <c r="R980" s="22" t="n">
        <v>0</v>
      </c>
    </row>
    <row r="981">
      <c r="A981" s="22" t="n">
        <v>201710</v>
      </c>
      <c r="B981" s="22" t="inlineStr">
        <is>
          <t>10/2017</t>
        </is>
      </c>
      <c r="C981" s="22" t="n">
        <v>38</v>
      </c>
      <c r="D981" s="22" t="inlineStr">
        <is>
          <t>S38</t>
        </is>
      </c>
      <c r="E981" s="22" t="inlineStr">
        <is>
          <t>Nexa Belfast (S38)</t>
        </is>
      </c>
      <c r="F981" s="22" t="inlineStr">
        <is>
          <t>Anh</t>
        </is>
      </c>
      <c r="G981" s="22" t="inlineStr">
        <is>
          <t>POS</t>
        </is>
      </c>
      <c r="H981" s="31" t="n">
        <v>4692.32</v>
      </c>
      <c r="I981" s="31" t="n">
        <v>0</v>
      </c>
      <c r="J981" s="31" t="n">
        <v>4692.32</v>
      </c>
      <c r="K981" s="31" t="n">
        <v>0</v>
      </c>
      <c r="L981" s="32" t="n">
        <v>4</v>
      </c>
      <c r="M981" s="32" t="n">
        <v>23</v>
      </c>
      <c r="N981" s="31" t="n">
        <v>4692.32</v>
      </c>
      <c r="O981" s="31" t="n">
        <v>4692.32</v>
      </c>
      <c r="P981" s="22" t="n">
        <v>0</v>
      </c>
      <c r="Q981" s="22" t="n">
        <v>0</v>
      </c>
      <c r="R981" s="22" t="n">
        <v>0</v>
      </c>
    </row>
    <row r="982">
      <c r="A982" s="22" t="n">
        <v>201710</v>
      </c>
      <c r="B982" s="22" t="inlineStr">
        <is>
          <t>10/2017</t>
        </is>
      </c>
      <c r="C982" s="22" t="n">
        <v>39</v>
      </c>
      <c r="D982" s="22" t="inlineStr">
        <is>
          <t>S39</t>
        </is>
      </c>
      <c r="E982" s="22" t="inlineStr">
        <is>
          <t>Nexa Blaenau Gwent (S39)</t>
        </is>
      </c>
      <c r="F982" s="22" t="inlineStr">
        <is>
          <t>Anh</t>
        </is>
      </c>
      <c r="G982" s="22" t="inlineStr">
        <is>
          <t>POS</t>
        </is>
      </c>
      <c r="H982" s="31" t="n">
        <v>33.98</v>
      </c>
      <c r="I982" s="31" t="n">
        <v>0</v>
      </c>
      <c r="J982" s="31" t="n">
        <v>33.98</v>
      </c>
      <c r="K982" s="31" t="n">
        <v>0</v>
      </c>
      <c r="L982" s="32" t="n">
        <v>1</v>
      </c>
      <c r="M982" s="32" t="n">
        <v>2</v>
      </c>
      <c r="N982" s="31" t="n">
        <v>33.98</v>
      </c>
      <c r="O982" s="31" t="n">
        <v>33.98</v>
      </c>
      <c r="P982" s="22" t="n">
        <v>0</v>
      </c>
      <c r="Q982" s="22" t="n">
        <v>0</v>
      </c>
      <c r="R982" s="22" t="n">
        <v>0</v>
      </c>
    </row>
    <row r="983">
      <c r="A983" s="22" t="n">
        <v>201710</v>
      </c>
      <c r="B983" s="22" t="inlineStr">
        <is>
          <t>10/2017</t>
        </is>
      </c>
      <c r="C983" s="22" t="n">
        <v>40</v>
      </c>
      <c r="D983" s="22" t="inlineStr">
        <is>
          <t>S40</t>
        </is>
      </c>
      <c r="E983" s="22" t="inlineStr">
        <is>
          <t>Nexa Dungannon and South Tyrone (S40)</t>
        </is>
      </c>
      <c r="F983" s="22" t="inlineStr">
        <is>
          <t>Anh</t>
        </is>
      </c>
      <c r="G983" s="22" t="inlineStr">
        <is>
          <t>POS</t>
        </is>
      </c>
      <c r="H983" s="31" t="n">
        <v>10570.89</v>
      </c>
      <c r="I983" s="31" t="n">
        <v>0</v>
      </c>
      <c r="J983" s="31" t="n">
        <v>10570.89</v>
      </c>
      <c r="K983" s="31" t="n">
        <v>0</v>
      </c>
      <c r="L983" s="32" t="n">
        <v>6</v>
      </c>
      <c r="M983" s="32" t="n">
        <v>47</v>
      </c>
      <c r="N983" s="31" t="n">
        <v>10570.89</v>
      </c>
      <c r="O983" s="31" t="n">
        <v>10570.89</v>
      </c>
      <c r="P983" s="22" t="n">
        <v>0</v>
      </c>
      <c r="Q983" s="22" t="n">
        <v>0</v>
      </c>
      <c r="R983" s="22" t="n">
        <v>0</v>
      </c>
    </row>
    <row r="984">
      <c r="A984" s="22" t="n">
        <v>201710</v>
      </c>
      <c r="B984" s="22" t="inlineStr">
        <is>
          <t>10/2017</t>
        </is>
      </c>
      <c r="C984" s="22" t="n">
        <v>41</v>
      </c>
      <c r="D984" s="22" t="inlineStr">
        <is>
          <t>S41</t>
        </is>
      </c>
      <c r="E984" s="22" t="inlineStr">
        <is>
          <t>Nexa Fermanagh (S41)</t>
        </is>
      </c>
      <c r="F984" s="22" t="inlineStr">
        <is>
          <t>Anh</t>
        </is>
      </c>
      <c r="G984" s="22" t="inlineStr">
        <is>
          <t>POS</t>
        </is>
      </c>
      <c r="H984" s="31" t="n">
        <v>7441.19</v>
      </c>
      <c r="I984" s="31" t="n">
        <v>0</v>
      </c>
      <c r="J984" s="31" t="n">
        <v>7441.19</v>
      </c>
      <c r="K984" s="31" t="n">
        <v>65.98999999999999</v>
      </c>
      <c r="L984" s="32" t="n">
        <v>10</v>
      </c>
      <c r="M984" s="32" t="n">
        <v>66</v>
      </c>
      <c r="N984" s="31" t="n">
        <v>7375.2</v>
      </c>
      <c r="O984" s="31" t="n">
        <v>7441.19</v>
      </c>
      <c r="P984" s="22" t="n">
        <v>0</v>
      </c>
      <c r="Q984" s="22" t="n">
        <v>0</v>
      </c>
      <c r="R984" s="22" t="n">
        <v>0</v>
      </c>
    </row>
    <row r="985">
      <c r="A985" s="22" t="n">
        <v>201710</v>
      </c>
      <c r="B985" s="22" t="inlineStr">
        <is>
          <t>10/2017</t>
        </is>
      </c>
      <c r="C985" s="22" t="n">
        <v>42</v>
      </c>
      <c r="D985" s="22" t="inlineStr">
        <is>
          <t>S42</t>
        </is>
      </c>
      <c r="E985" s="22" t="inlineStr">
        <is>
          <t>Nexa North Down (S42)</t>
        </is>
      </c>
      <c r="F985" s="22" t="inlineStr">
        <is>
          <t>Anh</t>
        </is>
      </c>
      <c r="G985" s="22" t="inlineStr">
        <is>
          <t>POS</t>
        </is>
      </c>
      <c r="H985" s="31" t="n">
        <v>5706.58</v>
      </c>
      <c r="I985" s="31" t="n">
        <v>0</v>
      </c>
      <c r="J985" s="31" t="n">
        <v>5706.58</v>
      </c>
      <c r="K985" s="31" t="n">
        <v>0</v>
      </c>
      <c r="L985" s="32" t="n">
        <v>6</v>
      </c>
      <c r="M985" s="32" t="n">
        <v>32</v>
      </c>
      <c r="N985" s="31" t="n">
        <v>5706.58</v>
      </c>
      <c r="O985" s="31" t="n">
        <v>5706.58</v>
      </c>
      <c r="P985" s="22" t="n">
        <v>0</v>
      </c>
      <c r="Q985" s="22" t="n">
        <v>0</v>
      </c>
      <c r="R985" s="22" t="n">
        <v>0</v>
      </c>
    </row>
    <row r="986">
      <c r="A986" s="22" t="n">
        <v>201710</v>
      </c>
      <c r="B986" s="22" t="inlineStr">
        <is>
          <t>10/2017</t>
        </is>
      </c>
      <c r="C986" s="22" t="n">
        <v>43</v>
      </c>
      <c r="D986" s="22" t="inlineStr">
        <is>
          <t>S43</t>
        </is>
      </c>
      <c r="E986" s="22" t="inlineStr">
        <is>
          <t>Nexa Alaska (S43)</t>
        </is>
      </c>
      <c r="F986" s="22" t="inlineStr">
        <is>
          <t>Mỹ</t>
        </is>
      </c>
      <c r="G986" s="22" t="inlineStr">
        <is>
          <t>POS</t>
        </is>
      </c>
      <c r="H986" s="31" t="n">
        <v>12423.53</v>
      </c>
      <c r="I986" s="31" t="n">
        <v>0</v>
      </c>
      <c r="J986" s="31" t="n">
        <v>12423.53</v>
      </c>
      <c r="K986" s="31" t="n">
        <v>1361.94</v>
      </c>
      <c r="L986" s="32" t="n">
        <v>8</v>
      </c>
      <c r="M986" s="32" t="n">
        <v>67</v>
      </c>
      <c r="N986" s="31" t="n">
        <v>11757.59</v>
      </c>
      <c r="O986" s="31" t="n">
        <v>12423.53</v>
      </c>
      <c r="P986" s="22" t="n">
        <v>0</v>
      </c>
      <c r="Q986" s="22" t="n">
        <v>0</v>
      </c>
      <c r="R986" s="22" t="n">
        <v>0</v>
      </c>
    </row>
    <row r="987">
      <c r="A987" s="22" t="n">
        <v>201710</v>
      </c>
      <c r="B987" s="22" t="inlineStr">
        <is>
          <t>10/2017</t>
        </is>
      </c>
      <c r="C987" s="22" t="n">
        <v>44</v>
      </c>
      <c r="D987" s="22" t="inlineStr">
        <is>
          <t>S44</t>
        </is>
      </c>
      <c r="E987" s="22" t="inlineStr">
        <is>
          <t>Nexa Arkansas (S44)</t>
        </is>
      </c>
      <c r="F987" s="22" t="inlineStr">
        <is>
          <t>Mỹ</t>
        </is>
      </c>
      <c r="G987" s="22" t="inlineStr">
        <is>
          <t>POS</t>
        </is>
      </c>
      <c r="H987" s="31" t="n">
        <v>12621.7</v>
      </c>
      <c r="I987" s="31" t="n">
        <v>0</v>
      </c>
      <c r="J987" s="31" t="n">
        <v>12621.7</v>
      </c>
      <c r="K987" s="31" t="n">
        <v>896.95</v>
      </c>
      <c r="L987" s="32" t="n">
        <v>6</v>
      </c>
      <c r="M987" s="32" t="n">
        <v>80</v>
      </c>
      <c r="N987" s="31" t="n">
        <v>11724.75</v>
      </c>
      <c r="O987" s="31" t="n">
        <v>12621.7</v>
      </c>
      <c r="P987" s="22" t="n">
        <v>1</v>
      </c>
      <c r="Q987" s="22" t="n">
        <v>0</v>
      </c>
      <c r="R987" s="22" t="n">
        <v>0</v>
      </c>
    </row>
    <row r="988">
      <c r="A988" s="22" t="n">
        <v>201710</v>
      </c>
      <c r="B988" s="22" t="inlineStr">
        <is>
          <t>10/2017</t>
        </is>
      </c>
      <c r="C988" s="22" t="n">
        <v>45</v>
      </c>
      <c r="D988" s="22" t="inlineStr">
        <is>
          <t>S45</t>
        </is>
      </c>
      <c r="E988" s="22" t="inlineStr">
        <is>
          <t>Nexa Connecticut (S45)</t>
        </is>
      </c>
      <c r="F988" s="22" t="inlineStr">
        <is>
          <t>Mỹ</t>
        </is>
      </c>
      <c r="G988" s="22" t="inlineStr">
        <is>
          <t>POS</t>
        </is>
      </c>
      <c r="H988" s="31" t="n">
        <v>10766.85</v>
      </c>
      <c r="I988" s="31" t="n">
        <v>0</v>
      </c>
      <c r="J988" s="31" t="n">
        <v>10766.85</v>
      </c>
      <c r="K988" s="31" t="n">
        <v>0</v>
      </c>
      <c r="L988" s="32" t="n">
        <v>7</v>
      </c>
      <c r="M988" s="32" t="n">
        <v>43</v>
      </c>
      <c r="N988" s="31" t="n">
        <v>10766.85</v>
      </c>
      <c r="O988" s="31" t="n">
        <v>10766.85</v>
      </c>
      <c r="P988" s="22" t="n">
        <v>0</v>
      </c>
      <c r="Q988" s="22" t="n">
        <v>0</v>
      </c>
      <c r="R988" s="22" t="n">
        <v>0</v>
      </c>
    </row>
    <row r="989">
      <c r="A989" s="22" t="n">
        <v>201710</v>
      </c>
      <c r="B989" s="22" t="inlineStr">
        <is>
          <t>10/2017</t>
        </is>
      </c>
      <c r="C989" s="22" t="n">
        <v>47</v>
      </c>
      <c r="D989" s="22" t="inlineStr">
        <is>
          <t>S47</t>
        </is>
      </c>
      <c r="E989" s="22" t="inlineStr">
        <is>
          <t>Nexa Hawaii (S47)</t>
        </is>
      </c>
      <c r="F989" s="22" t="inlineStr">
        <is>
          <t>Mỹ</t>
        </is>
      </c>
      <c r="G989" s="22" t="inlineStr">
        <is>
          <t>POS</t>
        </is>
      </c>
      <c r="H989" s="31" t="n">
        <v>24340.95</v>
      </c>
      <c r="I989" s="31" t="n">
        <v>0</v>
      </c>
      <c r="J989" s="31" t="n">
        <v>24340.95</v>
      </c>
      <c r="K989" s="31" t="n">
        <v>819</v>
      </c>
      <c r="L989" s="32" t="n">
        <v>8</v>
      </c>
      <c r="M989" s="32" t="n">
        <v>89</v>
      </c>
      <c r="N989" s="31" t="n">
        <v>23521.95</v>
      </c>
      <c r="O989" s="31" t="n">
        <v>24340.95</v>
      </c>
      <c r="P989" s="22" t="n">
        <v>0</v>
      </c>
      <c r="Q989" s="22" t="n">
        <v>0</v>
      </c>
      <c r="R989" s="22" t="n">
        <v>0</v>
      </c>
    </row>
    <row r="990">
      <c r="A990" s="22" t="n">
        <v>201710</v>
      </c>
      <c r="B990" s="22" t="inlineStr">
        <is>
          <t>10/2017</t>
        </is>
      </c>
      <c r="C990" s="22" t="n">
        <v>48</v>
      </c>
      <c r="D990" s="22" t="inlineStr">
        <is>
          <t>S48</t>
        </is>
      </c>
      <c r="E990" s="22" t="inlineStr">
        <is>
          <t>Nexa Idaho (S48)</t>
        </is>
      </c>
      <c r="F990" s="22" t="inlineStr">
        <is>
          <t>Mỹ</t>
        </is>
      </c>
      <c r="G990" s="22" t="inlineStr">
        <is>
          <t>POS</t>
        </is>
      </c>
      <c r="H990" s="31" t="n">
        <v>12017.12</v>
      </c>
      <c r="I990" s="31" t="n">
        <v>0</v>
      </c>
      <c r="J990" s="31" t="n">
        <v>12017.12</v>
      </c>
      <c r="K990" s="31" t="n">
        <v>0</v>
      </c>
      <c r="L990" s="32" t="n">
        <v>7</v>
      </c>
      <c r="M990" s="32" t="n">
        <v>53</v>
      </c>
      <c r="N990" s="31" t="n">
        <v>12017.12</v>
      </c>
      <c r="O990" s="31" t="n">
        <v>12017.12</v>
      </c>
      <c r="P990" s="22" t="n">
        <v>0</v>
      </c>
      <c r="Q990" s="22" t="n">
        <v>0</v>
      </c>
      <c r="R990" s="22" t="n">
        <v>0</v>
      </c>
    </row>
    <row r="991">
      <c r="A991" s="22" t="n">
        <v>201710</v>
      </c>
      <c r="B991" s="22" t="inlineStr">
        <is>
          <t>10/2017</t>
        </is>
      </c>
      <c r="C991" s="22" t="n">
        <v>50</v>
      </c>
      <c r="D991" s="22" t="inlineStr">
        <is>
          <t>S50</t>
        </is>
      </c>
      <c r="E991" s="22" t="inlineStr">
        <is>
          <t>Nexa Kansas (S50)</t>
        </is>
      </c>
      <c r="F991" s="22" t="inlineStr">
        <is>
          <t>Mỹ</t>
        </is>
      </c>
      <c r="G991" s="22" t="inlineStr">
        <is>
          <t>POS</t>
        </is>
      </c>
      <c r="H991" s="31" t="n">
        <v>2528.87</v>
      </c>
      <c r="I991" s="31" t="n">
        <v>0</v>
      </c>
      <c r="J991" s="31" t="n">
        <v>2528.87</v>
      </c>
      <c r="K991" s="31" t="n">
        <v>0</v>
      </c>
      <c r="L991" s="32" t="n">
        <v>3</v>
      </c>
      <c r="M991" s="32" t="n">
        <v>26</v>
      </c>
      <c r="N991" s="31" t="n">
        <v>2528.87</v>
      </c>
      <c r="O991" s="31" t="n">
        <v>2528.87</v>
      </c>
      <c r="P991" s="22" t="n">
        <v>2</v>
      </c>
      <c r="Q991" s="22" t="n">
        <v>0</v>
      </c>
      <c r="R991" s="22" t="n">
        <v>0</v>
      </c>
    </row>
    <row r="992">
      <c r="A992" s="22" t="n">
        <v>201710</v>
      </c>
      <c r="B992" s="22" t="inlineStr">
        <is>
          <t>10/2017</t>
        </is>
      </c>
      <c r="C992" s="22" t="n">
        <v>51</v>
      </c>
      <c r="D992" s="22" t="inlineStr">
        <is>
          <t>S51</t>
        </is>
      </c>
      <c r="E992" s="22" t="inlineStr">
        <is>
          <t>Nexa Maine (S51)</t>
        </is>
      </c>
      <c r="F992" s="22" t="inlineStr">
        <is>
          <t>Mỹ</t>
        </is>
      </c>
      <c r="G992" s="22" t="inlineStr">
        <is>
          <t>POS</t>
        </is>
      </c>
      <c r="H992" s="31" t="n">
        <v>15127</v>
      </c>
      <c r="I992" s="31" t="n">
        <v>0</v>
      </c>
      <c r="J992" s="31" t="n">
        <v>15127</v>
      </c>
      <c r="K992" s="31" t="n">
        <v>1489.98</v>
      </c>
      <c r="L992" s="32" t="n">
        <v>4</v>
      </c>
      <c r="M992" s="32" t="n">
        <v>36</v>
      </c>
      <c r="N992" s="31" t="n">
        <v>12519.02</v>
      </c>
      <c r="O992" s="31" t="n">
        <v>15127</v>
      </c>
      <c r="P992" s="22" t="n">
        <v>0</v>
      </c>
      <c r="Q992" s="22" t="n">
        <v>0</v>
      </c>
      <c r="R992" s="22" t="n">
        <v>0</v>
      </c>
    </row>
    <row r="993">
      <c r="A993" s="22" t="n">
        <v>201710</v>
      </c>
      <c r="B993" s="22" t="inlineStr">
        <is>
          <t>10/2017</t>
        </is>
      </c>
      <c r="C993" s="22" t="n">
        <v>53</v>
      </c>
      <c r="D993" s="22" t="inlineStr">
        <is>
          <t>S53</t>
        </is>
      </c>
      <c r="E993" s="22" t="inlineStr">
        <is>
          <t>Nexa Montana (S53)</t>
        </is>
      </c>
      <c r="F993" s="22" t="inlineStr">
        <is>
          <t>Mỹ</t>
        </is>
      </c>
      <c r="G993" s="22" t="inlineStr">
        <is>
          <t>POS</t>
        </is>
      </c>
      <c r="H993" s="31" t="n">
        <v>7890.71</v>
      </c>
      <c r="I993" s="31" t="n">
        <v>0</v>
      </c>
      <c r="J993" s="31" t="n">
        <v>7890.71</v>
      </c>
      <c r="K993" s="31" t="n">
        <v>1668.09</v>
      </c>
      <c r="L993" s="32" t="n">
        <v>2</v>
      </c>
      <c r="M993" s="32" t="n">
        <v>39</v>
      </c>
      <c r="N993" s="31" t="n">
        <v>6222.62</v>
      </c>
      <c r="O993" s="31" t="n">
        <v>7890.71</v>
      </c>
      <c r="P993" s="22" t="n">
        <v>0</v>
      </c>
      <c r="Q993" s="22" t="n">
        <v>0</v>
      </c>
      <c r="R993" s="22" t="n">
        <v>0</v>
      </c>
    </row>
    <row r="994">
      <c r="A994" s="22" t="n">
        <v>201710</v>
      </c>
      <c r="B994" s="22" t="inlineStr">
        <is>
          <t>10/2017</t>
        </is>
      </c>
      <c r="C994" s="22" t="n">
        <v>54</v>
      </c>
      <c r="D994" s="22" t="inlineStr">
        <is>
          <t>S54</t>
        </is>
      </c>
      <c r="E994" s="22" t="inlineStr">
        <is>
          <t>Nexa Nebraska (S54)</t>
        </is>
      </c>
      <c r="F994" s="22" t="inlineStr">
        <is>
          <t>Mỹ</t>
        </is>
      </c>
      <c r="G994" s="22" t="inlineStr">
        <is>
          <t>POS</t>
        </is>
      </c>
      <c r="H994" s="31" t="n">
        <v>16227.34</v>
      </c>
      <c r="I994" s="31" t="n">
        <v>0</v>
      </c>
      <c r="J994" s="31" t="n">
        <v>16227.34</v>
      </c>
      <c r="K994" s="31" t="n">
        <v>32</v>
      </c>
      <c r="L994" s="32" t="n">
        <v>8</v>
      </c>
      <c r="M994" s="32" t="n">
        <v>75</v>
      </c>
      <c r="N994" s="31" t="n">
        <v>16195.34</v>
      </c>
      <c r="O994" s="31" t="n">
        <v>16227.34</v>
      </c>
      <c r="P994" s="22" t="n">
        <v>0</v>
      </c>
      <c r="Q994" s="22" t="n">
        <v>0</v>
      </c>
      <c r="R994" s="22" t="n">
        <v>0</v>
      </c>
    </row>
    <row r="995">
      <c r="A995" s="22" t="n">
        <v>201710</v>
      </c>
      <c r="B995" s="22" t="inlineStr">
        <is>
          <t>10/2017</t>
        </is>
      </c>
      <c r="C995" s="22" t="n">
        <v>55</v>
      </c>
      <c r="D995" s="22" t="inlineStr">
        <is>
          <t>S55</t>
        </is>
      </c>
      <c r="E995" s="22" t="inlineStr">
        <is>
          <t>Nexa Nevada (S55)</t>
        </is>
      </c>
      <c r="F995" s="22" t="inlineStr">
        <is>
          <t>Mỹ</t>
        </is>
      </c>
      <c r="G995" s="22" t="inlineStr">
        <is>
          <t>POS</t>
        </is>
      </c>
      <c r="H995" s="31" t="n">
        <v>35326.88</v>
      </c>
      <c r="I995" s="31" t="n">
        <v>0</v>
      </c>
      <c r="J995" s="31" t="n">
        <v>35326.88</v>
      </c>
      <c r="K995" s="31" t="n">
        <v>91.56</v>
      </c>
      <c r="L995" s="32" t="n">
        <v>8</v>
      </c>
      <c r="M995" s="32" t="n">
        <v>79</v>
      </c>
      <c r="N995" s="31" t="n">
        <v>34357.82</v>
      </c>
      <c r="O995" s="31" t="n">
        <v>35326.88</v>
      </c>
      <c r="P995" s="22" t="n">
        <v>0</v>
      </c>
      <c r="Q995" s="22" t="n">
        <v>0</v>
      </c>
      <c r="R995" s="22" t="n">
        <v>0</v>
      </c>
    </row>
    <row r="996">
      <c r="A996" s="22" t="n">
        <v>201710</v>
      </c>
      <c r="B996" s="22" t="inlineStr">
        <is>
          <t>10/2017</t>
        </is>
      </c>
      <c r="C996" s="22" t="n">
        <v>56</v>
      </c>
      <c r="D996" s="22" t="inlineStr">
        <is>
          <t>S56</t>
        </is>
      </c>
      <c r="E996" s="22" t="inlineStr">
        <is>
          <t>Nexa New Hampshire (S56)</t>
        </is>
      </c>
      <c r="F996" s="22" t="inlineStr">
        <is>
          <t>Mỹ</t>
        </is>
      </c>
      <c r="G996" s="22" t="inlineStr">
        <is>
          <t>POS</t>
        </is>
      </c>
      <c r="H996" s="31" t="n">
        <v>14472.83</v>
      </c>
      <c r="I996" s="31" t="n">
        <v>0</v>
      </c>
      <c r="J996" s="31" t="n">
        <v>14472.83</v>
      </c>
      <c r="K996" s="31" t="n">
        <v>877.5</v>
      </c>
      <c r="L996" s="32" t="n">
        <v>7</v>
      </c>
      <c r="M996" s="32" t="n">
        <v>58</v>
      </c>
      <c r="N996" s="31" t="n">
        <v>13595.33</v>
      </c>
      <c r="O996" s="31" t="n">
        <v>14472.83</v>
      </c>
      <c r="P996" s="22" t="n">
        <v>1</v>
      </c>
      <c r="Q996" s="22" t="n">
        <v>0</v>
      </c>
      <c r="R996" s="22" t="n">
        <v>0</v>
      </c>
    </row>
    <row r="997">
      <c r="A997" s="22" t="n">
        <v>201710</v>
      </c>
      <c r="B997" s="22" t="inlineStr">
        <is>
          <t>10/2017</t>
        </is>
      </c>
      <c r="C997" s="22" t="n">
        <v>57</v>
      </c>
      <c r="D997" s="22" t="inlineStr">
        <is>
          <t>S57</t>
        </is>
      </c>
      <c r="E997" s="22" t="inlineStr">
        <is>
          <t>Nexa New Mexico (S57)</t>
        </is>
      </c>
      <c r="F997" s="22" t="inlineStr">
        <is>
          <t>Mỹ</t>
        </is>
      </c>
      <c r="G997" s="22" t="inlineStr">
        <is>
          <t>POS</t>
        </is>
      </c>
      <c r="H997" s="31" t="n">
        <v>21653.47</v>
      </c>
      <c r="I997" s="31" t="n">
        <v>0</v>
      </c>
      <c r="J997" s="31" t="n">
        <v>21653.47</v>
      </c>
      <c r="K997" s="31" t="n">
        <v>299.99</v>
      </c>
      <c r="L997" s="32" t="n">
        <v>9</v>
      </c>
      <c r="M997" s="32" t="n">
        <v>59</v>
      </c>
      <c r="N997" s="31" t="n">
        <v>21353.48</v>
      </c>
      <c r="O997" s="31" t="n">
        <v>21653.47</v>
      </c>
      <c r="P997" s="22" t="n">
        <v>0</v>
      </c>
      <c r="Q997" s="22" t="n">
        <v>0</v>
      </c>
      <c r="R997" s="22" t="n">
        <v>0</v>
      </c>
    </row>
    <row r="998">
      <c r="A998" s="22" t="n">
        <v>201710</v>
      </c>
      <c r="B998" s="22" t="inlineStr">
        <is>
          <t>10/2017</t>
        </is>
      </c>
      <c r="C998" s="22" t="n">
        <v>59</v>
      </c>
      <c r="D998" s="22" t="inlineStr">
        <is>
          <t>S59</t>
        </is>
      </c>
      <c r="E998" s="22" t="inlineStr">
        <is>
          <t>Nexa Oregon (S59)</t>
        </is>
      </c>
      <c r="F998" s="22" t="inlineStr">
        <is>
          <t>Mỹ</t>
        </is>
      </c>
      <c r="G998" s="22" t="inlineStr">
        <is>
          <t>POS</t>
        </is>
      </c>
      <c r="H998" s="31" t="n">
        <v>5008.91</v>
      </c>
      <c r="I998" s="31" t="n">
        <v>0</v>
      </c>
      <c r="J998" s="31" t="n">
        <v>5008.91</v>
      </c>
      <c r="K998" s="31" t="n">
        <v>0</v>
      </c>
      <c r="L998" s="32" t="n">
        <v>4</v>
      </c>
      <c r="M998" s="32" t="n">
        <v>17</v>
      </c>
      <c r="N998" s="31" t="n">
        <v>5008.91</v>
      </c>
      <c r="O998" s="31" t="n">
        <v>5008.91</v>
      </c>
      <c r="P998" s="22" t="n">
        <v>0</v>
      </c>
      <c r="Q998" s="22" t="n">
        <v>0</v>
      </c>
      <c r="R998" s="22" t="n">
        <v>0</v>
      </c>
    </row>
    <row r="999">
      <c r="A999" s="22" t="n">
        <v>201710</v>
      </c>
      <c r="B999" s="22" t="inlineStr">
        <is>
          <t>10/2017</t>
        </is>
      </c>
      <c r="C999" s="22" t="n">
        <v>61</v>
      </c>
      <c r="D999" s="22" t="inlineStr">
        <is>
          <t>S61</t>
        </is>
      </c>
      <c r="E999" s="22" t="inlineStr">
        <is>
          <t>Nexa South Carolina (S61)</t>
        </is>
      </c>
      <c r="F999" s="22" t="inlineStr">
        <is>
          <t>Mỹ</t>
        </is>
      </c>
      <c r="G999" s="22" t="inlineStr">
        <is>
          <t>POS</t>
        </is>
      </c>
      <c r="H999" s="31" t="n">
        <v>6279.06</v>
      </c>
      <c r="I999" s="31" t="n">
        <v>0</v>
      </c>
      <c r="J999" s="31" t="n">
        <v>6279.06</v>
      </c>
      <c r="K999" s="31" t="n">
        <v>328.86</v>
      </c>
      <c r="L999" s="32" t="n">
        <v>8</v>
      </c>
      <c r="M999" s="32" t="n">
        <v>42</v>
      </c>
      <c r="N999" s="31" t="n">
        <v>5950.2</v>
      </c>
      <c r="O999" s="31" t="n">
        <v>6279.06</v>
      </c>
      <c r="P999" s="22" t="n">
        <v>0</v>
      </c>
      <c r="Q999" s="22" t="n">
        <v>0</v>
      </c>
      <c r="R999" s="22" t="n">
        <v>0</v>
      </c>
    </row>
    <row r="1000">
      <c r="A1000" s="22" t="n">
        <v>201710</v>
      </c>
      <c r="B1000" s="22" t="inlineStr">
        <is>
          <t>10/2017</t>
        </is>
      </c>
      <c r="C1000" s="22" t="n">
        <v>63</v>
      </c>
      <c r="D1000" s="22" t="inlineStr">
        <is>
          <t>S63</t>
        </is>
      </c>
      <c r="E1000" s="22" t="inlineStr">
        <is>
          <t>Nexa Utah (S63)</t>
        </is>
      </c>
      <c r="F1000" s="22" t="inlineStr">
        <is>
          <t>Mỹ</t>
        </is>
      </c>
      <c r="G1000" s="22" t="inlineStr">
        <is>
          <t>POS</t>
        </is>
      </c>
      <c r="H1000" s="31" t="n">
        <v>22573.67</v>
      </c>
      <c r="I1000" s="31" t="n">
        <v>0</v>
      </c>
      <c r="J1000" s="31" t="n">
        <v>22573.67</v>
      </c>
      <c r="K1000" s="31" t="n">
        <v>0</v>
      </c>
      <c r="L1000" s="32" t="n">
        <v>8</v>
      </c>
      <c r="M1000" s="32" t="n">
        <v>76</v>
      </c>
      <c r="N1000" s="31" t="n">
        <v>22573.67</v>
      </c>
      <c r="O1000" s="31" t="n">
        <v>22573.67</v>
      </c>
      <c r="P1000" s="22" t="n">
        <v>0</v>
      </c>
      <c r="Q1000" s="22" t="n">
        <v>0</v>
      </c>
      <c r="R1000" s="22" t="n">
        <v>0</v>
      </c>
    </row>
    <row r="1001">
      <c r="A1001" s="22" t="n">
        <v>201710</v>
      </c>
      <c r="B1001" s="22" t="inlineStr">
        <is>
          <t>10/2017</t>
        </is>
      </c>
      <c r="C1001" s="22" t="n">
        <v>64</v>
      </c>
      <c r="D1001" s="22" t="inlineStr">
        <is>
          <t>S64</t>
        </is>
      </c>
      <c r="E1001" s="22" t="inlineStr">
        <is>
          <t>Nexa Washington DC (S64)</t>
        </is>
      </c>
      <c r="F1001" s="22" t="inlineStr">
        <is>
          <t>Mỹ</t>
        </is>
      </c>
      <c r="G1001" s="22" t="inlineStr">
        <is>
          <t>POS</t>
        </is>
      </c>
      <c r="H1001" s="31" t="n">
        <v>12801.57</v>
      </c>
      <c r="I1001" s="31" t="n">
        <v>0</v>
      </c>
      <c r="J1001" s="31" t="n">
        <v>12801.57</v>
      </c>
      <c r="K1001" s="31" t="n">
        <v>0</v>
      </c>
      <c r="L1001" s="32" t="n">
        <v>7</v>
      </c>
      <c r="M1001" s="32" t="n">
        <v>32</v>
      </c>
      <c r="N1001" s="31" t="n">
        <v>12801.57</v>
      </c>
      <c r="O1001" s="31" t="n">
        <v>12801.57</v>
      </c>
      <c r="P1001" s="22" t="n">
        <v>0</v>
      </c>
      <c r="Q1001" s="22" t="n">
        <v>0</v>
      </c>
      <c r="R1001" s="22" t="n">
        <v>0</v>
      </c>
    </row>
    <row r="1002">
      <c r="A1002" s="22" t="n">
        <v>201710</v>
      </c>
      <c r="B1002" s="22" t="inlineStr">
        <is>
          <t>10/2017</t>
        </is>
      </c>
      <c r="C1002" s="22" t="n">
        <v>65</v>
      </c>
      <c r="D1002" s="22" t="inlineStr">
        <is>
          <t>S65</t>
        </is>
      </c>
      <c r="E1002" s="22" t="inlineStr">
        <is>
          <t>Nexa West Virginia (S65)</t>
        </is>
      </c>
      <c r="F1002" s="22" t="inlineStr">
        <is>
          <t>Mỹ</t>
        </is>
      </c>
      <c r="G1002" s="22" t="inlineStr">
        <is>
          <t>POS</t>
        </is>
      </c>
      <c r="H1002" s="31" t="n">
        <v>29541.77</v>
      </c>
      <c r="I1002" s="31" t="n">
        <v>0</v>
      </c>
      <c r="J1002" s="31" t="n">
        <v>29541.77</v>
      </c>
      <c r="K1002" s="31" t="n">
        <v>359.98</v>
      </c>
      <c r="L1002" s="32" t="n">
        <v>6</v>
      </c>
      <c r="M1002" s="32" t="n">
        <v>80</v>
      </c>
      <c r="N1002" s="31" t="n">
        <v>29181.79</v>
      </c>
      <c r="O1002" s="31" t="n">
        <v>29541.77</v>
      </c>
      <c r="P1002" s="22" t="n">
        <v>0</v>
      </c>
      <c r="Q1002" s="22" t="n">
        <v>0</v>
      </c>
      <c r="R1002" s="22" t="n">
        <v>1</v>
      </c>
    </row>
    <row r="1003">
      <c r="A1003" s="22" t="n">
        <v>201710</v>
      </c>
      <c r="B1003" s="22" t="inlineStr">
        <is>
          <t>10/2017</t>
        </is>
      </c>
      <c r="C1003" s="22" t="n">
        <v>66</v>
      </c>
      <c r="D1003" s="22" t="inlineStr">
        <is>
          <t>S66</t>
        </is>
      </c>
      <c r="E1003" s="22" t="inlineStr">
        <is>
          <t>Nexa Wyoming (S66)</t>
        </is>
      </c>
      <c r="F1003" s="22" t="inlineStr">
        <is>
          <t>Mỹ</t>
        </is>
      </c>
      <c r="G1003" s="22" t="inlineStr">
        <is>
          <t>POS</t>
        </is>
      </c>
      <c r="H1003" s="31" t="n">
        <v>858.6</v>
      </c>
      <c r="I1003" s="31" t="n">
        <v>0</v>
      </c>
      <c r="J1003" s="31" t="n">
        <v>858.6</v>
      </c>
      <c r="K1003" s="31" t="n">
        <v>1178.99</v>
      </c>
      <c r="L1003" s="32" t="n">
        <v>1</v>
      </c>
      <c r="M1003" s="32" t="n">
        <v>5</v>
      </c>
      <c r="N1003" s="31" t="n">
        <v>-320.39</v>
      </c>
      <c r="O1003" s="31" t="n">
        <v>858.6</v>
      </c>
      <c r="P1003" s="22" t="n">
        <v>0</v>
      </c>
      <c r="Q1003" s="22" t="n">
        <v>0</v>
      </c>
      <c r="R1003" s="22" t="n">
        <v>0</v>
      </c>
    </row>
    <row r="1004">
      <c r="A1004" s="22" t="n">
        <v>201711</v>
      </c>
      <c r="B1004" s="22" t="inlineStr">
        <is>
          <t>11/2017</t>
        </is>
      </c>
      <c r="C1004" s="22" t="n">
        <v>0</v>
      </c>
      <c r="D1004" s="22" t="inlineStr">
        <is>
          <t>ONL</t>
        </is>
      </c>
      <c r="E1004" s="22" t="inlineStr">
        <is>
          <t>Nexa Online (website/app)</t>
        </is>
      </c>
      <c r="F1004" s="22" t="inlineStr">
        <is>
          <t>Online</t>
        </is>
      </c>
      <c r="G1004" s="22" t="inlineStr">
        <is>
          <t>ONLINE</t>
        </is>
      </c>
      <c r="H1004" s="31" t="n">
        <v>120607.79</v>
      </c>
      <c r="I1004" s="31" t="n">
        <v>6432.96</v>
      </c>
      <c r="J1004" s="31" t="n">
        <v>114174.83</v>
      </c>
      <c r="K1004" s="31" t="n">
        <v>3317.69</v>
      </c>
      <c r="L1004" s="32" t="n">
        <v>52</v>
      </c>
      <c r="M1004" s="32" t="n">
        <v>430</v>
      </c>
      <c r="N1004" s="31" t="n">
        <v>108984.56</v>
      </c>
      <c r="O1004" s="31" t="n">
        <v>112302.25</v>
      </c>
      <c r="P1004" s="22" t="n">
        <v>1</v>
      </c>
      <c r="Q1004" s="22" t="n">
        <v>0</v>
      </c>
      <c r="R1004" s="22" t="n">
        <v>0</v>
      </c>
    </row>
    <row r="1005">
      <c r="A1005" s="22" t="n">
        <v>201711</v>
      </c>
      <c r="B1005" s="22" t="inlineStr">
        <is>
          <t>11/2017</t>
        </is>
      </c>
      <c r="C1005" s="22" t="n">
        <v>1</v>
      </c>
      <c r="D1005" s="22" t="inlineStr">
        <is>
          <t>S01</t>
        </is>
      </c>
      <c r="E1005" s="22" t="inlineStr">
        <is>
          <t>Nexa Australian Capital Territory (S01)</t>
        </is>
      </c>
      <c r="F1005" s="22" t="inlineStr">
        <is>
          <t>Úc</t>
        </is>
      </c>
      <c r="G1005" s="22" t="inlineStr">
        <is>
          <t>POS</t>
        </is>
      </c>
      <c r="H1005" s="31" t="n">
        <v>7432.6</v>
      </c>
      <c r="I1005" s="31" t="n">
        <v>0</v>
      </c>
      <c r="J1005" s="31" t="n">
        <v>7432.6</v>
      </c>
      <c r="K1005" s="31" t="n">
        <v>0</v>
      </c>
      <c r="L1005" s="32" t="n">
        <v>1</v>
      </c>
      <c r="M1005" s="32" t="n">
        <v>13</v>
      </c>
      <c r="N1005" s="31" t="n">
        <v>7432.6</v>
      </c>
      <c r="O1005" s="31" t="n">
        <v>7432.6</v>
      </c>
      <c r="P1005" s="22" t="n">
        <v>0</v>
      </c>
      <c r="Q1005" s="22" t="n">
        <v>0</v>
      </c>
      <c r="R1005" s="22" t="n">
        <v>0</v>
      </c>
    </row>
    <row r="1006">
      <c r="A1006" s="22" t="n">
        <v>201711</v>
      </c>
      <c r="B1006" s="22" t="inlineStr">
        <is>
          <t>11/2017</t>
        </is>
      </c>
      <c r="C1006" s="22" t="n">
        <v>4</v>
      </c>
      <c r="D1006" s="22" t="inlineStr">
        <is>
          <t>S04</t>
        </is>
      </c>
      <c r="E1006" s="22" t="inlineStr">
        <is>
          <t>Nexa Tasmania (S04)</t>
        </is>
      </c>
      <c r="F1006" s="22" t="inlineStr">
        <is>
          <t>Úc</t>
        </is>
      </c>
      <c r="G1006" s="22" t="inlineStr">
        <is>
          <t>POS</t>
        </is>
      </c>
      <c r="H1006" s="31" t="n">
        <v>12946.71</v>
      </c>
      <c r="I1006" s="31" t="n">
        <v>0</v>
      </c>
      <c r="J1006" s="31" t="n">
        <v>12946.71</v>
      </c>
      <c r="K1006" s="31" t="n">
        <v>0</v>
      </c>
      <c r="L1006" s="32" t="n">
        <v>2</v>
      </c>
      <c r="M1006" s="32" t="n">
        <v>24</v>
      </c>
      <c r="N1006" s="31" t="n">
        <v>12946.71</v>
      </c>
      <c r="O1006" s="31" t="n">
        <v>12946.71</v>
      </c>
      <c r="P1006" s="22" t="n">
        <v>0</v>
      </c>
      <c r="Q1006" s="22" t="n">
        <v>0</v>
      </c>
      <c r="R1006" s="22" t="n">
        <v>0</v>
      </c>
    </row>
    <row r="1007">
      <c r="A1007" s="22" t="n">
        <v>201711</v>
      </c>
      <c r="B1007" s="22" t="inlineStr">
        <is>
          <t>11/2017</t>
        </is>
      </c>
      <c r="C1007" s="22" t="n">
        <v>5</v>
      </c>
      <c r="D1007" s="22" t="inlineStr">
        <is>
          <t>S05</t>
        </is>
      </c>
      <c r="E1007" s="22" t="inlineStr">
        <is>
          <t>Nexa Victoria (S05)</t>
        </is>
      </c>
      <c r="F1007" s="22" t="inlineStr">
        <is>
          <t>Úc</t>
        </is>
      </c>
      <c r="G1007" s="22" t="inlineStr">
        <is>
          <t>POS</t>
        </is>
      </c>
      <c r="H1007" s="31" t="n">
        <v>10561.24</v>
      </c>
      <c r="I1007" s="31" t="n">
        <v>0</v>
      </c>
      <c r="J1007" s="31" t="n">
        <v>10561.24</v>
      </c>
      <c r="K1007" s="31" t="n">
        <v>9.99</v>
      </c>
      <c r="L1007" s="32" t="n">
        <v>6</v>
      </c>
      <c r="M1007" s="32" t="n">
        <v>43</v>
      </c>
      <c r="N1007" s="31" t="n">
        <v>10551.25</v>
      </c>
      <c r="O1007" s="31" t="n">
        <v>10561.24</v>
      </c>
      <c r="P1007" s="22" t="n">
        <v>0</v>
      </c>
      <c r="Q1007" s="22" t="n">
        <v>0</v>
      </c>
      <c r="R1007" s="22" t="n">
        <v>0</v>
      </c>
    </row>
    <row r="1008">
      <c r="A1008" s="22" t="n">
        <v>201711</v>
      </c>
      <c r="B1008" s="22" t="inlineStr">
        <is>
          <t>11/2017</t>
        </is>
      </c>
      <c r="C1008" s="22" t="n">
        <v>6</v>
      </c>
      <c r="D1008" s="22" t="inlineStr">
        <is>
          <t>S06</t>
        </is>
      </c>
      <c r="E1008" s="22" t="inlineStr">
        <is>
          <t>Nexa Western Australia (S06)</t>
        </is>
      </c>
      <c r="F1008" s="22" t="inlineStr">
        <is>
          <t>Úc</t>
        </is>
      </c>
      <c r="G1008" s="22" t="inlineStr">
        <is>
          <t>POS</t>
        </is>
      </c>
      <c r="H1008" s="31" t="n">
        <v>0</v>
      </c>
      <c r="I1008" s="31" t="n">
        <v>0</v>
      </c>
      <c r="J1008" s="31" t="n">
        <v>0</v>
      </c>
      <c r="K1008" s="31" t="n">
        <v>0</v>
      </c>
      <c r="L1008" s="32" t="n">
        <v>0</v>
      </c>
      <c r="M1008" s="32" t="n">
        <v>0</v>
      </c>
      <c r="N1008" s="31" t="n">
        <v>0</v>
      </c>
      <c r="O1008" s="31" t="n">
        <v>0</v>
      </c>
      <c r="P1008" s="22" t="n">
        <v>1</v>
      </c>
      <c r="Q1008" s="22" t="n">
        <v>0</v>
      </c>
      <c r="R1008" s="22" t="n">
        <v>0</v>
      </c>
    </row>
    <row r="1009">
      <c r="A1009" s="22" t="n">
        <v>201711</v>
      </c>
      <c r="B1009" s="22" t="inlineStr">
        <is>
          <t>11/2017</t>
        </is>
      </c>
      <c r="C1009" s="22" t="n">
        <v>8</v>
      </c>
      <c r="D1009" s="22" t="inlineStr">
        <is>
          <t>S08</t>
        </is>
      </c>
      <c r="E1009" s="22" t="inlineStr">
        <is>
          <t>Nexa Newfoundland and Labrador (S08)</t>
        </is>
      </c>
      <c r="F1009" s="22" t="inlineStr">
        <is>
          <t>Canada</t>
        </is>
      </c>
      <c r="G1009" s="22" t="inlineStr">
        <is>
          <t>POS</t>
        </is>
      </c>
      <c r="H1009" s="31" t="n">
        <v>12522.67</v>
      </c>
      <c r="I1009" s="31" t="n">
        <v>0</v>
      </c>
      <c r="J1009" s="31" t="n">
        <v>12522.67</v>
      </c>
      <c r="K1009" s="31" t="n">
        <v>37.95</v>
      </c>
      <c r="L1009" s="32" t="n">
        <v>7</v>
      </c>
      <c r="M1009" s="32" t="n">
        <v>59</v>
      </c>
      <c r="N1009" s="31" t="n">
        <v>12484.72</v>
      </c>
      <c r="O1009" s="31" t="n">
        <v>12522.67</v>
      </c>
      <c r="P1009" s="22" t="n">
        <v>0</v>
      </c>
      <c r="Q1009" s="22" t="n">
        <v>0</v>
      </c>
      <c r="R1009" s="22" t="n">
        <v>0</v>
      </c>
    </row>
    <row r="1010">
      <c r="A1010" s="22" t="n">
        <v>201711</v>
      </c>
      <c r="B1010" s="22" t="inlineStr">
        <is>
          <t>11/2017</t>
        </is>
      </c>
      <c r="C1010" s="22" t="n">
        <v>9</v>
      </c>
      <c r="D1010" s="22" t="inlineStr">
        <is>
          <t>S09</t>
        </is>
      </c>
      <c r="E1010" s="22" t="inlineStr">
        <is>
          <t>Nexa Northwest Territories (S09)</t>
        </is>
      </c>
      <c r="F1010" s="22" t="inlineStr">
        <is>
          <t>Canada</t>
        </is>
      </c>
      <c r="G1010" s="22" t="inlineStr">
        <is>
          <t>POS</t>
        </is>
      </c>
      <c r="H1010" s="31" t="n">
        <v>13867.17</v>
      </c>
      <c r="I1010" s="31" t="n">
        <v>398.19</v>
      </c>
      <c r="J1010" s="31" t="n">
        <v>13468.98</v>
      </c>
      <c r="K1010" s="31" t="n">
        <v>0</v>
      </c>
      <c r="L1010" s="32" t="n">
        <v>14</v>
      </c>
      <c r="M1010" s="32" t="n">
        <v>73</v>
      </c>
      <c r="N1010" s="31" t="n">
        <v>13468.98</v>
      </c>
      <c r="O1010" s="31" t="n">
        <v>13468.98</v>
      </c>
      <c r="P1010" s="22" t="n">
        <v>1</v>
      </c>
      <c r="Q1010" s="22" t="n">
        <v>0</v>
      </c>
      <c r="R1010" s="22" t="n">
        <v>0</v>
      </c>
    </row>
    <row r="1011">
      <c r="A1011" s="22" t="n">
        <v>201711</v>
      </c>
      <c r="B1011" s="22" t="inlineStr">
        <is>
          <t>11/2017</t>
        </is>
      </c>
      <c r="C1011" s="22" t="n">
        <v>10</v>
      </c>
      <c r="D1011" s="22" t="inlineStr">
        <is>
          <t>S10</t>
        </is>
      </c>
      <c r="E1011" s="22" t="inlineStr">
        <is>
          <t>Nexa Nunavut (S10)</t>
        </is>
      </c>
      <c r="F1011" s="22" t="inlineStr">
        <is>
          <t>Canada</t>
        </is>
      </c>
      <c r="G1011" s="22" t="inlineStr">
        <is>
          <t>POS</t>
        </is>
      </c>
      <c r="H1011" s="31" t="n">
        <v>3981.25</v>
      </c>
      <c r="I1011" s="31" t="n">
        <v>258.49</v>
      </c>
      <c r="J1011" s="31" t="n">
        <v>3722.76</v>
      </c>
      <c r="K1011" s="31" t="n">
        <v>0</v>
      </c>
      <c r="L1011" s="32" t="n">
        <v>4</v>
      </c>
      <c r="M1011" s="32" t="n">
        <v>43</v>
      </c>
      <c r="N1011" s="31" t="n">
        <v>3722.76</v>
      </c>
      <c r="O1011" s="31" t="n">
        <v>3722.76</v>
      </c>
      <c r="P1011" s="22" t="n">
        <v>0</v>
      </c>
      <c r="Q1011" s="22" t="n">
        <v>0</v>
      </c>
      <c r="R1011" s="22" t="n">
        <v>0</v>
      </c>
    </row>
    <row r="1012">
      <c r="A1012" s="22" t="n">
        <v>201711</v>
      </c>
      <c r="B1012" s="22" t="inlineStr">
        <is>
          <t>11/2017</t>
        </is>
      </c>
      <c r="C1012" s="22" t="n">
        <v>12</v>
      </c>
      <c r="D1012" s="22" t="inlineStr">
        <is>
          <t>S12</t>
        </is>
      </c>
      <c r="E1012" s="22" t="inlineStr">
        <is>
          <t>Nexa Basse-Normandie (S12)</t>
        </is>
      </c>
      <c r="F1012" s="22" t="inlineStr">
        <is>
          <t>Pháp</t>
        </is>
      </c>
      <c r="G1012" s="22" t="inlineStr">
        <is>
          <t>POS</t>
        </is>
      </c>
      <c r="H1012" s="31" t="n">
        <v>8566.889999999999</v>
      </c>
      <c r="I1012" s="31" t="n">
        <v>0</v>
      </c>
      <c r="J1012" s="31" t="n">
        <v>8566.889999999999</v>
      </c>
      <c r="K1012" s="31" t="n">
        <v>934.5</v>
      </c>
      <c r="L1012" s="32" t="n">
        <v>2</v>
      </c>
      <c r="M1012" s="32" t="n">
        <v>31</v>
      </c>
      <c r="N1012" s="31" t="n">
        <v>7632.39</v>
      </c>
      <c r="O1012" s="31" t="n">
        <v>8566.889999999999</v>
      </c>
      <c r="P1012" s="22" t="n">
        <v>0</v>
      </c>
      <c r="Q1012" s="22" t="n">
        <v>0</v>
      </c>
      <c r="R1012" s="22" t="n">
        <v>0</v>
      </c>
    </row>
    <row r="1013">
      <c r="A1013" s="22" t="n">
        <v>201711</v>
      </c>
      <c r="B1013" s="22" t="inlineStr">
        <is>
          <t>11/2017</t>
        </is>
      </c>
      <c r="C1013" s="22" t="n">
        <v>13</v>
      </c>
      <c r="D1013" s="22" t="inlineStr">
        <is>
          <t>S13</t>
        </is>
      </c>
      <c r="E1013" s="22" t="inlineStr">
        <is>
          <t>Nexa Corse (S13)</t>
        </is>
      </c>
      <c r="F1013" s="22" t="inlineStr">
        <is>
          <t>Pháp</t>
        </is>
      </c>
      <c r="G1013" s="22" t="inlineStr">
        <is>
          <t>POS</t>
        </is>
      </c>
      <c r="H1013" s="31" t="n">
        <v>2226.84</v>
      </c>
      <c r="I1013" s="31" t="n">
        <v>334.02</v>
      </c>
      <c r="J1013" s="31" t="n">
        <v>1892.82</v>
      </c>
      <c r="K1013" s="31" t="n">
        <v>0</v>
      </c>
      <c r="L1013" s="32" t="n">
        <v>1</v>
      </c>
      <c r="M1013" s="32" t="n">
        <v>8</v>
      </c>
      <c r="N1013" s="31" t="n">
        <v>1892.82</v>
      </c>
      <c r="O1013" s="31" t="n">
        <v>1892.82</v>
      </c>
      <c r="P1013" s="22" t="n">
        <v>0</v>
      </c>
      <c r="Q1013" s="22" t="n">
        <v>0</v>
      </c>
      <c r="R1013" s="22" t="n">
        <v>0</v>
      </c>
    </row>
    <row r="1014">
      <c r="A1014" s="22" t="n">
        <v>201711</v>
      </c>
      <c r="B1014" s="22" t="inlineStr">
        <is>
          <t>11/2017</t>
        </is>
      </c>
      <c r="C1014" s="22" t="n">
        <v>14</v>
      </c>
      <c r="D1014" s="22" t="inlineStr">
        <is>
          <t>S14</t>
        </is>
      </c>
      <c r="E1014" s="22" t="inlineStr">
        <is>
          <t>Nexa Franche-Comté (S14)</t>
        </is>
      </c>
      <c r="F1014" s="22" t="inlineStr">
        <is>
          <t>Pháp</t>
        </is>
      </c>
      <c r="G1014" s="22" t="inlineStr">
        <is>
          <t>POS</t>
        </is>
      </c>
      <c r="H1014" s="31" t="n">
        <v>3086.76</v>
      </c>
      <c r="I1014" s="31" t="n">
        <v>0</v>
      </c>
      <c r="J1014" s="31" t="n">
        <v>3086.76</v>
      </c>
      <c r="K1014" s="31" t="n">
        <v>0</v>
      </c>
      <c r="L1014" s="32" t="n">
        <v>1</v>
      </c>
      <c r="M1014" s="32" t="n">
        <v>24</v>
      </c>
      <c r="N1014" s="31" t="n">
        <v>3086.76</v>
      </c>
      <c r="O1014" s="31" t="n">
        <v>3086.76</v>
      </c>
      <c r="P1014" s="22" t="n">
        <v>0</v>
      </c>
      <c r="Q1014" s="22" t="n">
        <v>0</v>
      </c>
      <c r="R1014" s="22" t="n">
        <v>0</v>
      </c>
    </row>
    <row r="1015">
      <c r="A1015" s="22" t="n">
        <v>201711</v>
      </c>
      <c r="B1015" s="22" t="inlineStr">
        <is>
          <t>11/2017</t>
        </is>
      </c>
      <c r="C1015" s="22" t="n">
        <v>15</v>
      </c>
      <c r="D1015" s="22" t="inlineStr">
        <is>
          <t>S15</t>
        </is>
      </c>
      <c r="E1015" s="22" t="inlineStr">
        <is>
          <t>Nexa La Réunion (S15)</t>
        </is>
      </c>
      <c r="F1015" s="22" t="inlineStr">
        <is>
          <t>Pháp</t>
        </is>
      </c>
      <c r="G1015" s="22" t="inlineStr">
        <is>
          <t>POS</t>
        </is>
      </c>
      <c r="H1015" s="31" t="n">
        <v>2315.86</v>
      </c>
      <c r="I1015" s="31" t="n">
        <v>0</v>
      </c>
      <c r="J1015" s="31" t="n">
        <v>2315.86</v>
      </c>
      <c r="K1015" s="31" t="n">
        <v>20.97</v>
      </c>
      <c r="L1015" s="32" t="n">
        <v>2</v>
      </c>
      <c r="M1015" s="32" t="n">
        <v>23</v>
      </c>
      <c r="N1015" s="31" t="n">
        <v>2294.89</v>
      </c>
      <c r="O1015" s="31" t="n">
        <v>2315.86</v>
      </c>
      <c r="P1015" s="22" t="n">
        <v>0</v>
      </c>
      <c r="Q1015" s="22" t="n">
        <v>0</v>
      </c>
      <c r="R1015" s="22" t="n">
        <v>0</v>
      </c>
    </row>
    <row r="1016">
      <c r="A1016" s="22" t="n">
        <v>201711</v>
      </c>
      <c r="B1016" s="22" t="inlineStr">
        <is>
          <t>11/2017</t>
        </is>
      </c>
      <c r="C1016" s="22" t="n">
        <v>17</v>
      </c>
      <c r="D1016" s="22" t="inlineStr">
        <is>
          <t>S17</t>
        </is>
      </c>
      <c r="E1016" s="22" t="inlineStr">
        <is>
          <t>Nexa Martinique (S17)</t>
        </is>
      </c>
      <c r="F1016" s="22" t="inlineStr">
        <is>
          <t>Pháp</t>
        </is>
      </c>
      <c r="G1016" s="22" t="inlineStr">
        <is>
          <t>POS</t>
        </is>
      </c>
      <c r="H1016" s="31" t="n">
        <v>6352</v>
      </c>
      <c r="I1016" s="31" t="n">
        <v>0</v>
      </c>
      <c r="J1016" s="31" t="n">
        <v>6352</v>
      </c>
      <c r="K1016" s="31" t="n">
        <v>0</v>
      </c>
      <c r="L1016" s="32" t="n">
        <v>1</v>
      </c>
      <c r="M1016" s="32" t="n">
        <v>18</v>
      </c>
      <c r="N1016" s="31" t="n">
        <v>6352</v>
      </c>
      <c r="O1016" s="31" t="n">
        <v>6352</v>
      </c>
      <c r="P1016" s="22" t="n">
        <v>0</v>
      </c>
      <c r="Q1016" s="22" t="n">
        <v>0</v>
      </c>
      <c r="R1016" s="22" t="n">
        <v>0</v>
      </c>
    </row>
    <row r="1017">
      <c r="A1017" s="22" t="n">
        <v>201711</v>
      </c>
      <c r="B1017" s="22" t="inlineStr">
        <is>
          <t>11/2017</t>
        </is>
      </c>
      <c r="C1017" s="22" t="n">
        <v>19</v>
      </c>
      <c r="D1017" s="22" t="inlineStr">
        <is>
          <t>S19</t>
        </is>
      </c>
      <c r="E1017" s="22" t="inlineStr">
        <is>
          <t>Nexa Berlin (S19)</t>
        </is>
      </c>
      <c r="F1017" s="22" t="inlineStr">
        <is>
          <t>Đức</t>
        </is>
      </c>
      <c r="G1017" s="22" t="inlineStr">
        <is>
          <t>POS</t>
        </is>
      </c>
      <c r="H1017" s="31" t="n">
        <v>2023.67</v>
      </c>
      <c r="I1017" s="31" t="n">
        <v>0</v>
      </c>
      <c r="J1017" s="31" t="n">
        <v>2023.67</v>
      </c>
      <c r="K1017" s="31" t="n">
        <v>0</v>
      </c>
      <c r="L1017" s="32" t="n">
        <v>3</v>
      </c>
      <c r="M1017" s="32" t="n">
        <v>17</v>
      </c>
      <c r="N1017" s="31" t="n">
        <v>2023.67</v>
      </c>
      <c r="O1017" s="31" t="n">
        <v>2023.67</v>
      </c>
      <c r="P1017" s="22" t="n">
        <v>0</v>
      </c>
      <c r="Q1017" s="22" t="n">
        <v>0</v>
      </c>
      <c r="R1017" s="22" t="n">
        <v>0</v>
      </c>
    </row>
    <row r="1018">
      <c r="A1018" s="22" t="n">
        <v>201711</v>
      </c>
      <c r="B1018" s="22" t="inlineStr">
        <is>
          <t>11/2017</t>
        </is>
      </c>
      <c r="C1018" s="22" t="n">
        <v>20</v>
      </c>
      <c r="D1018" s="22" t="inlineStr">
        <is>
          <t>S20</t>
        </is>
      </c>
      <c r="E1018" s="22" t="inlineStr">
        <is>
          <t>Nexa Brandenburg (S20)</t>
        </is>
      </c>
      <c r="F1018" s="22" t="inlineStr">
        <is>
          <t>Đức</t>
        </is>
      </c>
      <c r="G1018" s="22" t="inlineStr">
        <is>
          <t>POS</t>
        </is>
      </c>
      <c r="H1018" s="31" t="n">
        <v>5768.83</v>
      </c>
      <c r="I1018" s="31" t="n">
        <v>634.02</v>
      </c>
      <c r="J1018" s="31" t="n">
        <v>5134.81</v>
      </c>
      <c r="K1018" s="31" t="n">
        <v>0</v>
      </c>
      <c r="L1018" s="32" t="n">
        <v>2</v>
      </c>
      <c r="M1018" s="32" t="n">
        <v>42</v>
      </c>
      <c r="N1018" s="31" t="n">
        <v>5134.81</v>
      </c>
      <c r="O1018" s="31" t="n">
        <v>5134.81</v>
      </c>
      <c r="P1018" s="22" t="n">
        <v>0</v>
      </c>
      <c r="Q1018" s="22" t="n">
        <v>0</v>
      </c>
      <c r="R1018" s="22" t="n">
        <v>0</v>
      </c>
    </row>
    <row r="1019">
      <c r="A1019" s="22" t="n">
        <v>201711</v>
      </c>
      <c r="B1019" s="22" t="inlineStr">
        <is>
          <t>11/2017</t>
        </is>
      </c>
      <c r="C1019" s="22" t="n">
        <v>22</v>
      </c>
      <c r="D1019" s="22" t="inlineStr">
        <is>
          <t>S22</t>
        </is>
      </c>
      <c r="E1019" s="22" t="inlineStr">
        <is>
          <t>Nexa Freistaat Thüringen (S22)</t>
        </is>
      </c>
      <c r="F1019" s="22" t="inlineStr">
        <is>
          <t>Đức</t>
        </is>
      </c>
      <c r="G1019" s="22" t="inlineStr">
        <is>
          <t>POS</t>
        </is>
      </c>
      <c r="H1019" s="31" t="n">
        <v>5485.7</v>
      </c>
      <c r="I1019" s="31" t="n">
        <v>0</v>
      </c>
      <c r="J1019" s="31" t="n">
        <v>5485.7</v>
      </c>
      <c r="K1019" s="31" t="n">
        <v>919</v>
      </c>
      <c r="L1019" s="32" t="n">
        <v>3</v>
      </c>
      <c r="M1019" s="32" t="n">
        <v>18</v>
      </c>
      <c r="N1019" s="31" t="n">
        <v>4566.7</v>
      </c>
      <c r="O1019" s="31" t="n">
        <v>5485.7</v>
      </c>
      <c r="P1019" s="22" t="n">
        <v>0</v>
      </c>
      <c r="Q1019" s="22" t="n">
        <v>0</v>
      </c>
      <c r="R1019" s="22" t="n">
        <v>0</v>
      </c>
    </row>
    <row r="1020">
      <c r="A1020" s="22" t="n">
        <v>201711</v>
      </c>
      <c r="B1020" s="22" t="inlineStr">
        <is>
          <t>11/2017</t>
        </is>
      </c>
      <c r="C1020" s="22" t="n">
        <v>23</v>
      </c>
      <c r="D1020" s="22" t="inlineStr">
        <is>
          <t>S23</t>
        </is>
      </c>
      <c r="E1020" s="22" t="inlineStr">
        <is>
          <t>Nexa Hamburg (S23)</t>
        </is>
      </c>
      <c r="F1020" s="22" t="inlineStr">
        <is>
          <t>Đức</t>
        </is>
      </c>
      <c r="G1020" s="22" t="inlineStr">
        <is>
          <t>POS</t>
        </is>
      </c>
      <c r="H1020" s="31" t="n">
        <v>3879.05</v>
      </c>
      <c r="I1020" s="31" t="n">
        <v>14.8</v>
      </c>
      <c r="J1020" s="31" t="n">
        <v>3864.25</v>
      </c>
      <c r="K1020" s="31" t="n">
        <v>0</v>
      </c>
      <c r="L1020" s="32" t="n">
        <v>4</v>
      </c>
      <c r="M1020" s="32" t="n">
        <v>26</v>
      </c>
      <c r="N1020" s="31" t="n">
        <v>3864.25</v>
      </c>
      <c r="O1020" s="31" t="n">
        <v>3864.25</v>
      </c>
      <c r="P1020" s="22" t="n">
        <v>0</v>
      </c>
      <c r="Q1020" s="22" t="n">
        <v>0</v>
      </c>
      <c r="R1020" s="22" t="n">
        <v>0</v>
      </c>
    </row>
    <row r="1021">
      <c r="A1021" s="22" t="n">
        <v>201711</v>
      </c>
      <c r="B1021" s="22" t="inlineStr">
        <is>
          <t>11/2017</t>
        </is>
      </c>
      <c r="C1021" s="22" t="n">
        <v>24</v>
      </c>
      <c r="D1021" s="22" t="inlineStr">
        <is>
          <t>S24</t>
        </is>
      </c>
      <c r="E1021" s="22" t="inlineStr">
        <is>
          <t>Nexa Hessen (S24)</t>
        </is>
      </c>
      <c r="F1021" s="22" t="inlineStr">
        <is>
          <t>Đức</t>
        </is>
      </c>
      <c r="G1021" s="22" t="inlineStr">
        <is>
          <t>POS</t>
        </is>
      </c>
      <c r="H1021" s="31" t="n">
        <v>3907.74</v>
      </c>
      <c r="I1021" s="31" t="n">
        <v>0</v>
      </c>
      <c r="J1021" s="31" t="n">
        <v>3907.74</v>
      </c>
      <c r="K1021" s="31" t="n">
        <v>0</v>
      </c>
      <c r="L1021" s="32" t="n">
        <v>4</v>
      </c>
      <c r="M1021" s="32" t="n">
        <v>12</v>
      </c>
      <c r="N1021" s="31" t="n">
        <v>3907.74</v>
      </c>
      <c r="O1021" s="31" t="n">
        <v>3907.74</v>
      </c>
      <c r="P1021" s="22" t="n">
        <v>0</v>
      </c>
      <c r="Q1021" s="22" t="n">
        <v>0</v>
      </c>
      <c r="R1021" s="22" t="n">
        <v>0</v>
      </c>
    </row>
    <row r="1022">
      <c r="A1022" s="22" t="n">
        <v>201711</v>
      </c>
      <c r="B1022" s="22" t="inlineStr">
        <is>
          <t>11/2017</t>
        </is>
      </c>
      <c r="C1022" s="22" t="n">
        <v>27</v>
      </c>
      <c r="D1022" s="22" t="inlineStr">
        <is>
          <t>S27</t>
        </is>
      </c>
      <c r="E1022" s="22" t="inlineStr">
        <is>
          <t>Nexa Sachsen-Anhalt (S27)</t>
        </is>
      </c>
      <c r="F1022" s="22" t="inlineStr">
        <is>
          <t>Đức</t>
        </is>
      </c>
      <c r="G1022" s="22" t="inlineStr">
        <is>
          <t>POS</t>
        </is>
      </c>
      <c r="H1022" s="31" t="n">
        <v>2835.6</v>
      </c>
      <c r="I1022" s="31" t="n">
        <v>0</v>
      </c>
      <c r="J1022" s="31" t="n">
        <v>2835.6</v>
      </c>
      <c r="K1022" s="31" t="n">
        <v>0</v>
      </c>
      <c r="L1022" s="32" t="n">
        <v>1</v>
      </c>
      <c r="M1022" s="32" t="n">
        <v>8</v>
      </c>
      <c r="N1022" s="31" t="n">
        <v>2835.6</v>
      </c>
      <c r="O1022" s="31" t="n">
        <v>2835.6</v>
      </c>
      <c r="P1022" s="22" t="n">
        <v>1</v>
      </c>
      <c r="Q1022" s="22" t="n">
        <v>0</v>
      </c>
      <c r="R1022" s="22" t="n">
        <v>0</v>
      </c>
    </row>
    <row r="1023">
      <c r="A1023" s="22" t="n">
        <v>201711</v>
      </c>
      <c r="B1023" s="22" t="inlineStr">
        <is>
          <t>11/2017</t>
        </is>
      </c>
      <c r="C1023" s="22" t="n">
        <v>29</v>
      </c>
      <c r="D1023" s="22" t="inlineStr">
        <is>
          <t>S29</t>
        </is>
      </c>
      <c r="E1023" s="22" t="inlineStr">
        <is>
          <t>Nexa Enna (S29)</t>
        </is>
      </c>
      <c r="F1023" s="22" t="inlineStr">
        <is>
          <t>Ý</t>
        </is>
      </c>
      <c r="G1023" s="22" t="inlineStr">
        <is>
          <t>POS</t>
        </is>
      </c>
      <c r="H1023" s="31" t="n">
        <v>2824.93</v>
      </c>
      <c r="I1023" s="31" t="n">
        <v>0</v>
      </c>
      <c r="J1023" s="31" t="n">
        <v>2824.93</v>
      </c>
      <c r="K1023" s="31" t="n">
        <v>376</v>
      </c>
      <c r="L1023" s="32" t="n">
        <v>4</v>
      </c>
      <c r="M1023" s="32" t="n">
        <v>14</v>
      </c>
      <c r="N1023" s="31" t="n">
        <v>1848.93</v>
      </c>
      <c r="O1023" s="31" t="n">
        <v>2824.93</v>
      </c>
      <c r="P1023" s="22" t="n">
        <v>0</v>
      </c>
      <c r="Q1023" s="22" t="n">
        <v>0</v>
      </c>
      <c r="R1023" s="22" t="n">
        <v>0</v>
      </c>
    </row>
    <row r="1024">
      <c r="A1024" s="22" t="n">
        <v>201711</v>
      </c>
      <c r="B1024" s="22" t="inlineStr">
        <is>
          <t>11/2017</t>
        </is>
      </c>
      <c r="C1024" s="22" t="n">
        <v>30</v>
      </c>
      <c r="D1024" s="22" t="inlineStr">
        <is>
          <t>S30</t>
        </is>
      </c>
      <c r="E1024" s="22" t="inlineStr">
        <is>
          <t>Nexa Pesaro (S30)</t>
        </is>
      </c>
      <c r="F1024" s="22" t="inlineStr">
        <is>
          <t>Ý</t>
        </is>
      </c>
      <c r="G1024" s="22" t="inlineStr">
        <is>
          <t>POS</t>
        </is>
      </c>
      <c r="H1024" s="31" t="n">
        <v>13521.16</v>
      </c>
      <c r="I1024" s="31" t="n">
        <v>995.54</v>
      </c>
      <c r="J1024" s="31" t="n">
        <v>12525.62</v>
      </c>
      <c r="K1024" s="31" t="n">
        <v>0</v>
      </c>
      <c r="L1024" s="32" t="n">
        <v>6</v>
      </c>
      <c r="M1024" s="32" t="n">
        <v>63</v>
      </c>
      <c r="N1024" s="31" t="n">
        <v>12525.62</v>
      </c>
      <c r="O1024" s="31" t="n">
        <v>12525.62</v>
      </c>
      <c r="P1024" s="22" t="n">
        <v>0</v>
      </c>
      <c r="Q1024" s="22" t="n">
        <v>0</v>
      </c>
      <c r="R1024" s="22" t="n">
        <v>0</v>
      </c>
    </row>
    <row r="1025">
      <c r="A1025" s="22" t="n">
        <v>201711</v>
      </c>
      <c r="B1025" s="22" t="inlineStr">
        <is>
          <t>11/2017</t>
        </is>
      </c>
      <c r="C1025" s="22" t="n">
        <v>31</v>
      </c>
      <c r="D1025" s="22" t="inlineStr">
        <is>
          <t>S31</t>
        </is>
      </c>
      <c r="E1025" s="22" t="inlineStr">
        <is>
          <t>Nexa Drenthe (S31)</t>
        </is>
      </c>
      <c r="F1025" s="22" t="inlineStr">
        <is>
          <t>Hà Lan</t>
        </is>
      </c>
      <c r="G1025" s="22" t="inlineStr">
        <is>
          <t>POS</t>
        </is>
      </c>
      <c r="H1025" s="31" t="n">
        <v>12789.45</v>
      </c>
      <c r="I1025" s="31" t="n">
        <v>213.83</v>
      </c>
      <c r="J1025" s="31" t="n">
        <v>12575.62</v>
      </c>
      <c r="K1025" s="31" t="n">
        <v>0</v>
      </c>
      <c r="L1025" s="32" t="n">
        <v>4</v>
      </c>
      <c r="M1025" s="32" t="n">
        <v>31</v>
      </c>
      <c r="N1025" s="31" t="n">
        <v>12575.62</v>
      </c>
      <c r="O1025" s="31" t="n">
        <v>12575.62</v>
      </c>
      <c r="P1025" s="22" t="n">
        <v>0</v>
      </c>
      <c r="Q1025" s="22" t="n">
        <v>0</v>
      </c>
      <c r="R1025" s="22" t="n">
        <v>0</v>
      </c>
    </row>
    <row r="1026">
      <c r="A1026" s="22" t="n">
        <v>201711</v>
      </c>
      <c r="B1026" s="22" t="inlineStr">
        <is>
          <t>11/2017</t>
        </is>
      </c>
      <c r="C1026" s="22" t="n">
        <v>32</v>
      </c>
      <c r="D1026" s="22" t="inlineStr">
        <is>
          <t>S32</t>
        </is>
      </c>
      <c r="E1026" s="22" t="inlineStr">
        <is>
          <t>Nexa Flevoland (S32)</t>
        </is>
      </c>
      <c r="F1026" s="22" t="inlineStr">
        <is>
          <t>Hà Lan</t>
        </is>
      </c>
      <c r="G1026" s="22" t="inlineStr">
        <is>
          <t>POS</t>
        </is>
      </c>
      <c r="H1026" s="31" t="n">
        <v>401.98</v>
      </c>
      <c r="I1026" s="31" t="n">
        <v>60.3</v>
      </c>
      <c r="J1026" s="31" t="n">
        <v>341.68</v>
      </c>
      <c r="K1026" s="31" t="n">
        <v>0</v>
      </c>
      <c r="L1026" s="32" t="n">
        <v>1</v>
      </c>
      <c r="M1026" s="32" t="n">
        <v>3</v>
      </c>
      <c r="N1026" s="31" t="n">
        <v>341.68</v>
      </c>
      <c r="O1026" s="31" t="n">
        <v>341.68</v>
      </c>
      <c r="P1026" s="22" t="n">
        <v>0</v>
      </c>
      <c r="Q1026" s="22" t="n">
        <v>0</v>
      </c>
      <c r="R1026" s="22" t="n">
        <v>0</v>
      </c>
    </row>
    <row r="1027">
      <c r="A1027" s="22" t="n">
        <v>201711</v>
      </c>
      <c r="B1027" s="22" t="inlineStr">
        <is>
          <t>11/2017</t>
        </is>
      </c>
      <c r="C1027" s="22" t="n">
        <v>33</v>
      </c>
      <c r="D1027" s="22" t="inlineStr">
        <is>
          <t>S33</t>
        </is>
      </c>
      <c r="E1027" s="22" t="inlineStr">
        <is>
          <t>Nexa Friesland (S33)</t>
        </is>
      </c>
      <c r="F1027" s="22" t="inlineStr">
        <is>
          <t>Hà Lan</t>
        </is>
      </c>
      <c r="G1027" s="22" t="inlineStr">
        <is>
          <t>POS</t>
        </is>
      </c>
      <c r="H1027" s="31" t="n">
        <v>7319.48</v>
      </c>
      <c r="I1027" s="31" t="n">
        <v>816.27</v>
      </c>
      <c r="J1027" s="31" t="n">
        <v>6503.21</v>
      </c>
      <c r="K1027" s="31" t="n">
        <v>0</v>
      </c>
      <c r="L1027" s="32" t="n">
        <v>5</v>
      </c>
      <c r="M1027" s="32" t="n">
        <v>33</v>
      </c>
      <c r="N1027" s="31" t="n">
        <v>6503.21</v>
      </c>
      <c r="O1027" s="31" t="n">
        <v>6503.21</v>
      </c>
      <c r="P1027" s="22" t="n">
        <v>0</v>
      </c>
      <c r="Q1027" s="22" t="n">
        <v>0</v>
      </c>
      <c r="R1027" s="22" t="n">
        <v>0</v>
      </c>
    </row>
    <row r="1028">
      <c r="A1028" s="22" t="n">
        <v>201711</v>
      </c>
      <c r="B1028" s="22" t="inlineStr">
        <is>
          <t>11/2017</t>
        </is>
      </c>
      <c r="C1028" s="22" t="n">
        <v>34</v>
      </c>
      <c r="D1028" s="22" t="inlineStr">
        <is>
          <t>S34</t>
        </is>
      </c>
      <c r="E1028" s="22" t="inlineStr">
        <is>
          <t>Nexa Groningen (S34)</t>
        </is>
      </c>
      <c r="F1028" s="22" t="inlineStr">
        <is>
          <t>Hà Lan</t>
        </is>
      </c>
      <c r="G1028" s="22" t="inlineStr">
        <is>
          <t>POS</t>
        </is>
      </c>
      <c r="H1028" s="31" t="n">
        <v>5625.36</v>
      </c>
      <c r="I1028" s="31" t="n">
        <v>0</v>
      </c>
      <c r="J1028" s="31" t="n">
        <v>5625.36</v>
      </c>
      <c r="K1028" s="31" t="n">
        <v>0</v>
      </c>
      <c r="L1028" s="32" t="n">
        <v>4</v>
      </c>
      <c r="M1028" s="32" t="n">
        <v>31</v>
      </c>
      <c r="N1028" s="31" t="n">
        <v>5625.36</v>
      </c>
      <c r="O1028" s="31" t="n">
        <v>5625.36</v>
      </c>
      <c r="P1028" s="22" t="n">
        <v>0</v>
      </c>
      <c r="Q1028" s="22" t="n">
        <v>0</v>
      </c>
      <c r="R1028" s="22" t="n">
        <v>0</v>
      </c>
    </row>
    <row r="1029">
      <c r="A1029" s="22" t="n">
        <v>201711</v>
      </c>
      <c r="B1029" s="22" t="inlineStr">
        <is>
          <t>11/2017</t>
        </is>
      </c>
      <c r="C1029" s="22" t="n">
        <v>36</v>
      </c>
      <c r="D1029" s="22" t="inlineStr">
        <is>
          <t>S36</t>
        </is>
      </c>
      <c r="E1029" s="22" t="inlineStr">
        <is>
          <t>Nexa Armagh (S36)</t>
        </is>
      </c>
      <c r="F1029" s="22" t="inlineStr">
        <is>
          <t>Anh</t>
        </is>
      </c>
      <c r="G1029" s="22" t="inlineStr">
        <is>
          <t>POS</t>
        </is>
      </c>
      <c r="H1029" s="31" t="n">
        <v>11128.22</v>
      </c>
      <c r="I1029" s="31" t="n">
        <v>705.62</v>
      </c>
      <c r="J1029" s="31" t="n">
        <v>10422.6</v>
      </c>
      <c r="K1029" s="31" t="n">
        <v>5399.49</v>
      </c>
      <c r="L1029" s="32" t="n">
        <v>6</v>
      </c>
      <c r="M1029" s="32" t="n">
        <v>40</v>
      </c>
      <c r="N1029" s="31" t="n">
        <v>5023.11</v>
      </c>
      <c r="O1029" s="31" t="n">
        <v>10422.6</v>
      </c>
      <c r="P1029" s="22" t="n">
        <v>1</v>
      </c>
      <c r="Q1029" s="22" t="n">
        <v>0</v>
      </c>
      <c r="R1029" s="22" t="n">
        <v>0</v>
      </c>
    </row>
    <row r="1030">
      <c r="A1030" s="22" t="n">
        <v>201711</v>
      </c>
      <c r="B1030" s="22" t="inlineStr">
        <is>
          <t>11/2017</t>
        </is>
      </c>
      <c r="C1030" s="22" t="n">
        <v>37</v>
      </c>
      <c r="D1030" s="22" t="inlineStr">
        <is>
          <t>S37</t>
        </is>
      </c>
      <c r="E1030" s="22" t="inlineStr">
        <is>
          <t>Nexa Ayrshire (S37)</t>
        </is>
      </c>
      <c r="F1030" s="22" t="inlineStr">
        <is>
          <t>Anh</t>
        </is>
      </c>
      <c r="G1030" s="22" t="inlineStr">
        <is>
          <t>POS</t>
        </is>
      </c>
      <c r="H1030" s="31" t="n">
        <v>3156.27</v>
      </c>
      <c r="I1030" s="31" t="n">
        <v>0.61</v>
      </c>
      <c r="J1030" s="31" t="n">
        <v>3155.66</v>
      </c>
      <c r="K1030" s="31" t="n">
        <v>0</v>
      </c>
      <c r="L1030" s="32" t="n">
        <v>5</v>
      </c>
      <c r="M1030" s="32" t="n">
        <v>31</v>
      </c>
      <c r="N1030" s="31" t="n">
        <v>3155.66</v>
      </c>
      <c r="O1030" s="31" t="n">
        <v>3155.66</v>
      </c>
      <c r="P1030" s="22" t="n">
        <v>0</v>
      </c>
      <c r="Q1030" s="22" t="n">
        <v>0</v>
      </c>
      <c r="R1030" s="22" t="n">
        <v>0</v>
      </c>
    </row>
    <row r="1031">
      <c r="A1031" s="22" t="n">
        <v>201711</v>
      </c>
      <c r="B1031" s="22" t="inlineStr">
        <is>
          <t>11/2017</t>
        </is>
      </c>
      <c r="C1031" s="22" t="n">
        <v>38</v>
      </c>
      <c r="D1031" s="22" t="inlineStr">
        <is>
          <t>S38</t>
        </is>
      </c>
      <c r="E1031" s="22" t="inlineStr">
        <is>
          <t>Nexa Belfast (S38)</t>
        </is>
      </c>
      <c r="F1031" s="22" t="inlineStr">
        <is>
          <t>Anh</t>
        </is>
      </c>
      <c r="G1031" s="22" t="inlineStr">
        <is>
          <t>POS</t>
        </is>
      </c>
      <c r="H1031" s="31" t="n">
        <v>5476.76</v>
      </c>
      <c r="I1031" s="31" t="n">
        <v>133.8</v>
      </c>
      <c r="J1031" s="31" t="n">
        <v>5342.96</v>
      </c>
      <c r="K1031" s="31" t="n">
        <v>0</v>
      </c>
      <c r="L1031" s="32" t="n">
        <v>6</v>
      </c>
      <c r="M1031" s="32" t="n">
        <v>19</v>
      </c>
      <c r="N1031" s="31" t="n">
        <v>5342.96</v>
      </c>
      <c r="O1031" s="31" t="n">
        <v>5342.96</v>
      </c>
      <c r="P1031" s="22" t="n">
        <v>1</v>
      </c>
      <c r="Q1031" s="22" t="n">
        <v>0</v>
      </c>
      <c r="R1031" s="22" t="n">
        <v>0</v>
      </c>
    </row>
    <row r="1032">
      <c r="A1032" s="22" t="n">
        <v>201711</v>
      </c>
      <c r="B1032" s="22" t="inlineStr">
        <is>
          <t>11/2017</t>
        </is>
      </c>
      <c r="C1032" s="22" t="n">
        <v>39</v>
      </c>
      <c r="D1032" s="22" t="inlineStr">
        <is>
          <t>S39</t>
        </is>
      </c>
      <c r="E1032" s="22" t="inlineStr">
        <is>
          <t>Nexa Blaenau Gwent (S39)</t>
        </is>
      </c>
      <c r="F1032" s="22" t="inlineStr">
        <is>
          <t>Anh</t>
        </is>
      </c>
      <c r="G1032" s="22" t="inlineStr">
        <is>
          <t>POS</t>
        </is>
      </c>
      <c r="H1032" s="31" t="n">
        <v>19845.6</v>
      </c>
      <c r="I1032" s="31" t="n">
        <v>0</v>
      </c>
      <c r="J1032" s="31" t="n">
        <v>19845.6</v>
      </c>
      <c r="K1032" s="31" t="n">
        <v>0</v>
      </c>
      <c r="L1032" s="32" t="n">
        <v>4</v>
      </c>
      <c r="M1032" s="32" t="n">
        <v>28</v>
      </c>
      <c r="N1032" s="31" t="n">
        <v>19845.6</v>
      </c>
      <c r="O1032" s="31" t="n">
        <v>19845.6</v>
      </c>
      <c r="P1032" s="22" t="n">
        <v>0</v>
      </c>
      <c r="Q1032" s="22" t="n">
        <v>0</v>
      </c>
      <c r="R1032" s="22" t="n">
        <v>0</v>
      </c>
    </row>
    <row r="1033">
      <c r="A1033" s="22" t="n">
        <v>201711</v>
      </c>
      <c r="B1033" s="22" t="inlineStr">
        <is>
          <t>11/2017</t>
        </is>
      </c>
      <c r="C1033" s="22" t="n">
        <v>40</v>
      </c>
      <c r="D1033" s="22" t="inlineStr">
        <is>
          <t>S40</t>
        </is>
      </c>
      <c r="E1033" s="22" t="inlineStr">
        <is>
          <t>Nexa Dungannon and South Tyrone (S40)</t>
        </is>
      </c>
      <c r="F1033" s="22" t="inlineStr">
        <is>
          <t>Anh</t>
        </is>
      </c>
      <c r="G1033" s="22" t="inlineStr">
        <is>
          <t>POS</t>
        </is>
      </c>
      <c r="H1033" s="31" t="n">
        <v>11301.3</v>
      </c>
      <c r="I1033" s="31" t="n">
        <v>342.52</v>
      </c>
      <c r="J1033" s="31" t="n">
        <v>10958.78</v>
      </c>
      <c r="K1033" s="31" t="n">
        <v>0</v>
      </c>
      <c r="L1033" s="32" t="n">
        <v>3</v>
      </c>
      <c r="M1033" s="32" t="n">
        <v>42</v>
      </c>
      <c r="N1033" s="31" t="n">
        <v>10958.78</v>
      </c>
      <c r="O1033" s="31" t="n">
        <v>10958.78</v>
      </c>
      <c r="P1033" s="22" t="n">
        <v>0</v>
      </c>
      <c r="Q1033" s="22" t="n">
        <v>0</v>
      </c>
      <c r="R1033" s="22" t="n">
        <v>0</v>
      </c>
    </row>
    <row r="1034">
      <c r="A1034" s="22" t="n">
        <v>201711</v>
      </c>
      <c r="B1034" s="22" t="inlineStr">
        <is>
          <t>11/2017</t>
        </is>
      </c>
      <c r="C1034" s="22" t="n">
        <v>41</v>
      </c>
      <c r="D1034" s="22" t="inlineStr">
        <is>
          <t>S41</t>
        </is>
      </c>
      <c r="E1034" s="22" t="inlineStr">
        <is>
          <t>Nexa Fermanagh (S41)</t>
        </is>
      </c>
      <c r="F1034" s="22" t="inlineStr">
        <is>
          <t>Anh</t>
        </is>
      </c>
      <c r="G1034" s="22" t="inlineStr">
        <is>
          <t>POS</t>
        </is>
      </c>
      <c r="H1034" s="31" t="n">
        <v>7533.03</v>
      </c>
      <c r="I1034" s="31" t="n">
        <v>202.2</v>
      </c>
      <c r="J1034" s="31" t="n">
        <v>7330.83</v>
      </c>
      <c r="K1034" s="31" t="n">
        <v>159.99</v>
      </c>
      <c r="L1034" s="32" t="n">
        <v>3</v>
      </c>
      <c r="M1034" s="32" t="n">
        <v>34</v>
      </c>
      <c r="N1034" s="31" t="n">
        <v>7170.84</v>
      </c>
      <c r="O1034" s="31" t="n">
        <v>7330.83</v>
      </c>
      <c r="P1034" s="22" t="n">
        <v>0</v>
      </c>
      <c r="Q1034" s="22" t="n">
        <v>0</v>
      </c>
      <c r="R1034" s="22" t="n">
        <v>0</v>
      </c>
    </row>
    <row r="1035">
      <c r="A1035" s="22" t="n">
        <v>201711</v>
      </c>
      <c r="B1035" s="22" t="inlineStr">
        <is>
          <t>11/2017</t>
        </is>
      </c>
      <c r="C1035" s="22" t="n">
        <v>42</v>
      </c>
      <c r="D1035" s="22" t="inlineStr">
        <is>
          <t>S42</t>
        </is>
      </c>
      <c r="E1035" s="22" t="inlineStr">
        <is>
          <t>Nexa North Down (S42)</t>
        </is>
      </c>
      <c r="F1035" s="22" t="inlineStr">
        <is>
          <t>Anh</t>
        </is>
      </c>
      <c r="G1035" s="22" t="inlineStr">
        <is>
          <t>POS</t>
        </is>
      </c>
      <c r="H1035" s="31" t="n">
        <v>15938.34</v>
      </c>
      <c r="I1035" s="31" t="n">
        <v>430.97</v>
      </c>
      <c r="J1035" s="31" t="n">
        <v>15507.37</v>
      </c>
      <c r="K1035" s="31" t="n">
        <v>0</v>
      </c>
      <c r="L1035" s="32" t="n">
        <v>7</v>
      </c>
      <c r="M1035" s="32" t="n">
        <v>84</v>
      </c>
      <c r="N1035" s="31" t="n">
        <v>15507.37</v>
      </c>
      <c r="O1035" s="31" t="n">
        <v>15507.37</v>
      </c>
      <c r="P1035" s="22" t="n">
        <v>0</v>
      </c>
      <c r="Q1035" s="22" t="n">
        <v>0</v>
      </c>
      <c r="R1035" s="22" t="n">
        <v>0</v>
      </c>
    </row>
    <row r="1036">
      <c r="A1036" s="22" t="n">
        <v>201711</v>
      </c>
      <c r="B1036" s="22" t="inlineStr">
        <is>
          <t>11/2017</t>
        </is>
      </c>
      <c r="C1036" s="22" t="n">
        <v>43</v>
      </c>
      <c r="D1036" s="22" t="inlineStr">
        <is>
          <t>S43</t>
        </is>
      </c>
      <c r="E1036" s="22" t="inlineStr">
        <is>
          <t>Nexa Alaska (S43)</t>
        </is>
      </c>
      <c r="F1036" s="22" t="inlineStr">
        <is>
          <t>Mỹ</t>
        </is>
      </c>
      <c r="G1036" s="22" t="inlineStr">
        <is>
          <t>POS</t>
        </is>
      </c>
      <c r="H1036" s="31" t="n">
        <v>16315.86</v>
      </c>
      <c r="I1036" s="31" t="n">
        <v>0</v>
      </c>
      <c r="J1036" s="31" t="n">
        <v>16315.86</v>
      </c>
      <c r="K1036" s="31" t="n">
        <v>0</v>
      </c>
      <c r="L1036" s="32" t="n">
        <v>4</v>
      </c>
      <c r="M1036" s="32" t="n">
        <v>37</v>
      </c>
      <c r="N1036" s="31" t="n">
        <v>15619.86</v>
      </c>
      <c r="O1036" s="31" t="n">
        <v>16315.86</v>
      </c>
      <c r="P1036" s="22" t="n">
        <v>1</v>
      </c>
      <c r="Q1036" s="22" t="n">
        <v>0</v>
      </c>
      <c r="R1036" s="22" t="n">
        <v>0</v>
      </c>
    </row>
    <row r="1037">
      <c r="A1037" s="22" t="n">
        <v>201711</v>
      </c>
      <c r="B1037" s="22" t="inlineStr">
        <is>
          <t>11/2017</t>
        </is>
      </c>
      <c r="C1037" s="22" t="n">
        <v>44</v>
      </c>
      <c r="D1037" s="22" t="inlineStr">
        <is>
          <t>S44</t>
        </is>
      </c>
      <c r="E1037" s="22" t="inlineStr">
        <is>
          <t>Nexa Arkansas (S44)</t>
        </is>
      </c>
      <c r="F1037" s="22" t="inlineStr">
        <is>
          <t>Mỹ</t>
        </is>
      </c>
      <c r="G1037" s="22" t="inlineStr">
        <is>
          <t>POS</t>
        </is>
      </c>
      <c r="H1037" s="31" t="n">
        <v>31392.32</v>
      </c>
      <c r="I1037" s="31" t="n">
        <v>1421.68</v>
      </c>
      <c r="J1037" s="31" t="n">
        <v>29970.64</v>
      </c>
      <c r="K1037" s="31" t="n">
        <v>1838</v>
      </c>
      <c r="L1037" s="32" t="n">
        <v>14</v>
      </c>
      <c r="M1037" s="32" t="n">
        <v>85</v>
      </c>
      <c r="N1037" s="31" t="n">
        <v>28132.64</v>
      </c>
      <c r="O1037" s="31" t="n">
        <v>29970.64</v>
      </c>
      <c r="P1037" s="22" t="n">
        <v>0</v>
      </c>
      <c r="Q1037" s="22" t="n">
        <v>0</v>
      </c>
      <c r="R1037" s="22" t="n">
        <v>0</v>
      </c>
    </row>
    <row r="1038">
      <c r="A1038" s="22" t="n">
        <v>201711</v>
      </c>
      <c r="B1038" s="22" t="inlineStr">
        <is>
          <t>11/2017</t>
        </is>
      </c>
      <c r="C1038" s="22" t="n">
        <v>45</v>
      </c>
      <c r="D1038" s="22" t="inlineStr">
        <is>
          <t>S45</t>
        </is>
      </c>
      <c r="E1038" s="22" t="inlineStr">
        <is>
          <t>Nexa Connecticut (S45)</t>
        </is>
      </c>
      <c r="F1038" s="22" t="inlineStr">
        <is>
          <t>Mỹ</t>
        </is>
      </c>
      <c r="G1038" s="22" t="inlineStr">
        <is>
          <t>POS</t>
        </is>
      </c>
      <c r="H1038" s="31" t="n">
        <v>9862.709999999999</v>
      </c>
      <c r="I1038" s="31" t="n">
        <v>150.35</v>
      </c>
      <c r="J1038" s="31" t="n">
        <v>9712.360000000001</v>
      </c>
      <c r="K1038" s="31" t="n">
        <v>0</v>
      </c>
      <c r="L1038" s="32" t="n">
        <v>9</v>
      </c>
      <c r="M1038" s="32" t="n">
        <v>32</v>
      </c>
      <c r="N1038" s="31" t="n">
        <v>9712.360000000001</v>
      </c>
      <c r="O1038" s="31" t="n">
        <v>9712.360000000001</v>
      </c>
      <c r="P1038" s="22" t="n">
        <v>0</v>
      </c>
      <c r="Q1038" s="22" t="n">
        <v>0</v>
      </c>
      <c r="R1038" s="22" t="n">
        <v>0</v>
      </c>
    </row>
    <row r="1039">
      <c r="A1039" s="22" t="n">
        <v>201711</v>
      </c>
      <c r="B1039" s="22" t="inlineStr">
        <is>
          <t>11/2017</t>
        </is>
      </c>
      <c r="C1039" s="22" t="n">
        <v>47</v>
      </c>
      <c r="D1039" s="22" t="inlineStr">
        <is>
          <t>S47</t>
        </is>
      </c>
      <c r="E1039" s="22" t="inlineStr">
        <is>
          <t>Nexa Hawaii (S47)</t>
        </is>
      </c>
      <c r="F1039" s="22" t="inlineStr">
        <is>
          <t>Mỹ</t>
        </is>
      </c>
      <c r="G1039" s="22" t="inlineStr">
        <is>
          <t>POS</t>
        </is>
      </c>
      <c r="H1039" s="31" t="n">
        <v>17409.32</v>
      </c>
      <c r="I1039" s="31" t="n">
        <v>86.98999999999999</v>
      </c>
      <c r="J1039" s="31" t="n">
        <v>17322.33</v>
      </c>
      <c r="K1039" s="31" t="n">
        <v>14.19</v>
      </c>
      <c r="L1039" s="32" t="n">
        <v>9</v>
      </c>
      <c r="M1039" s="32" t="n">
        <v>57</v>
      </c>
      <c r="N1039" s="31" t="n">
        <v>17308.14</v>
      </c>
      <c r="O1039" s="31" t="n">
        <v>17322.33</v>
      </c>
      <c r="P1039" s="22" t="n">
        <v>1</v>
      </c>
      <c r="Q1039" s="22" t="n">
        <v>0</v>
      </c>
      <c r="R1039" s="22" t="n">
        <v>0</v>
      </c>
    </row>
    <row r="1040">
      <c r="A1040" s="22" t="n">
        <v>201711</v>
      </c>
      <c r="B1040" s="22" t="inlineStr">
        <is>
          <t>11/2017</t>
        </is>
      </c>
      <c r="C1040" s="22" t="n">
        <v>48</v>
      </c>
      <c r="D1040" s="22" t="inlineStr">
        <is>
          <t>S48</t>
        </is>
      </c>
      <c r="E1040" s="22" t="inlineStr">
        <is>
          <t>Nexa Idaho (S48)</t>
        </is>
      </c>
      <c r="F1040" s="22" t="inlineStr">
        <is>
          <t>Mỹ</t>
        </is>
      </c>
      <c r="G1040" s="22" t="inlineStr">
        <is>
          <t>POS</t>
        </is>
      </c>
      <c r="H1040" s="31" t="n">
        <v>22909.9</v>
      </c>
      <c r="I1040" s="31" t="n">
        <v>0</v>
      </c>
      <c r="J1040" s="31" t="n">
        <v>22909.9</v>
      </c>
      <c r="K1040" s="31" t="n">
        <v>0</v>
      </c>
      <c r="L1040" s="32" t="n">
        <v>9</v>
      </c>
      <c r="M1040" s="32" t="n">
        <v>57</v>
      </c>
      <c r="N1040" s="31" t="n">
        <v>22909.9</v>
      </c>
      <c r="O1040" s="31" t="n">
        <v>22909.9</v>
      </c>
      <c r="P1040" s="22" t="n">
        <v>1</v>
      </c>
      <c r="Q1040" s="22" t="n">
        <v>0</v>
      </c>
      <c r="R1040" s="22" t="n">
        <v>0</v>
      </c>
    </row>
    <row r="1041">
      <c r="A1041" s="22" t="n">
        <v>201711</v>
      </c>
      <c r="B1041" s="22" t="inlineStr">
        <is>
          <t>11/2017</t>
        </is>
      </c>
      <c r="C1041" s="22" t="n">
        <v>50</v>
      </c>
      <c r="D1041" s="22" t="inlineStr">
        <is>
          <t>S50</t>
        </is>
      </c>
      <c r="E1041" s="22" t="inlineStr">
        <is>
          <t>Nexa Kansas (S50)</t>
        </is>
      </c>
      <c r="F1041" s="22" t="inlineStr">
        <is>
          <t>Mỹ</t>
        </is>
      </c>
      <c r="G1041" s="22" t="inlineStr">
        <is>
          <t>POS</t>
        </is>
      </c>
      <c r="H1041" s="31" t="n">
        <v>19780.49</v>
      </c>
      <c r="I1041" s="31" t="n">
        <v>341.1</v>
      </c>
      <c r="J1041" s="31" t="n">
        <v>19439.39</v>
      </c>
      <c r="K1041" s="31" t="n">
        <v>0</v>
      </c>
      <c r="L1041" s="32" t="n">
        <v>6</v>
      </c>
      <c r="M1041" s="32" t="n">
        <v>45</v>
      </c>
      <c r="N1041" s="31" t="n">
        <v>19439.39</v>
      </c>
      <c r="O1041" s="31" t="n">
        <v>19439.39</v>
      </c>
      <c r="P1041" s="22" t="n">
        <v>1</v>
      </c>
      <c r="Q1041" s="22" t="n">
        <v>0</v>
      </c>
      <c r="R1041" s="22" t="n">
        <v>0</v>
      </c>
    </row>
    <row r="1042">
      <c r="A1042" s="22" t="n">
        <v>201711</v>
      </c>
      <c r="B1042" s="22" t="inlineStr">
        <is>
          <t>11/2017</t>
        </is>
      </c>
      <c r="C1042" s="22" t="n">
        <v>51</v>
      </c>
      <c r="D1042" s="22" t="inlineStr">
        <is>
          <t>S51</t>
        </is>
      </c>
      <c r="E1042" s="22" t="inlineStr">
        <is>
          <t>Nexa Maine (S51)</t>
        </is>
      </c>
      <c r="F1042" s="22" t="inlineStr">
        <is>
          <t>Mỹ</t>
        </is>
      </c>
      <c r="G1042" s="22" t="inlineStr">
        <is>
          <t>POS</t>
        </is>
      </c>
      <c r="H1042" s="31" t="n">
        <v>20568.18</v>
      </c>
      <c r="I1042" s="31" t="n">
        <v>0</v>
      </c>
      <c r="J1042" s="31" t="n">
        <v>20568.18</v>
      </c>
      <c r="K1042" s="31" t="n">
        <v>0</v>
      </c>
      <c r="L1042" s="32" t="n">
        <v>10</v>
      </c>
      <c r="M1042" s="32" t="n">
        <v>87</v>
      </c>
      <c r="N1042" s="31" t="n">
        <v>20568.18</v>
      </c>
      <c r="O1042" s="31" t="n">
        <v>20568.18</v>
      </c>
      <c r="P1042" s="22" t="n">
        <v>0</v>
      </c>
      <c r="Q1042" s="22" t="n">
        <v>0</v>
      </c>
      <c r="R1042" s="22" t="n">
        <v>0</v>
      </c>
    </row>
    <row r="1043">
      <c r="A1043" s="22" t="n">
        <v>201711</v>
      </c>
      <c r="B1043" s="22" t="inlineStr">
        <is>
          <t>11/2017</t>
        </is>
      </c>
      <c r="C1043" s="22" t="n">
        <v>53</v>
      </c>
      <c r="D1043" s="22" t="inlineStr">
        <is>
          <t>S53</t>
        </is>
      </c>
      <c r="E1043" s="22" t="inlineStr">
        <is>
          <t>Nexa Montana (S53)</t>
        </is>
      </c>
      <c r="F1043" s="22" t="inlineStr">
        <is>
          <t>Mỹ</t>
        </is>
      </c>
      <c r="G1043" s="22" t="inlineStr">
        <is>
          <t>POS</t>
        </is>
      </c>
      <c r="H1043" s="31" t="n">
        <v>19573.22</v>
      </c>
      <c r="I1043" s="31" t="n">
        <v>389.92</v>
      </c>
      <c r="J1043" s="31" t="n">
        <v>19183.3</v>
      </c>
      <c r="K1043" s="31" t="n">
        <v>0</v>
      </c>
      <c r="L1043" s="32" t="n">
        <v>10</v>
      </c>
      <c r="M1043" s="32" t="n">
        <v>87</v>
      </c>
      <c r="N1043" s="31" t="n">
        <v>19183.3</v>
      </c>
      <c r="O1043" s="31" t="n">
        <v>19183.3</v>
      </c>
      <c r="P1043" s="22" t="n">
        <v>0</v>
      </c>
      <c r="Q1043" s="22" t="n">
        <v>0</v>
      </c>
      <c r="R1043" s="22" t="n">
        <v>0</v>
      </c>
    </row>
    <row r="1044">
      <c r="A1044" s="22" t="n">
        <v>201711</v>
      </c>
      <c r="B1044" s="22" t="inlineStr">
        <is>
          <t>11/2017</t>
        </is>
      </c>
      <c r="C1044" s="22" t="n">
        <v>54</v>
      </c>
      <c r="D1044" s="22" t="inlineStr">
        <is>
          <t>S54</t>
        </is>
      </c>
      <c r="E1044" s="22" t="inlineStr">
        <is>
          <t>Nexa Nebraska (S54)</t>
        </is>
      </c>
      <c r="F1044" s="22" t="inlineStr">
        <is>
          <t>Mỹ</t>
        </is>
      </c>
      <c r="G1044" s="22" t="inlineStr">
        <is>
          <t>POS</t>
        </is>
      </c>
      <c r="H1044" s="31" t="n">
        <v>1389.71</v>
      </c>
      <c r="I1044" s="31" t="n">
        <v>55.35</v>
      </c>
      <c r="J1044" s="31" t="n">
        <v>1334.36</v>
      </c>
      <c r="K1044" s="31" t="n">
        <v>0</v>
      </c>
      <c r="L1044" s="32" t="n">
        <v>3</v>
      </c>
      <c r="M1044" s="32" t="n">
        <v>10</v>
      </c>
      <c r="N1044" s="31" t="n">
        <v>1334.36</v>
      </c>
      <c r="O1044" s="31" t="n">
        <v>1334.36</v>
      </c>
      <c r="P1044" s="22" t="n">
        <v>0</v>
      </c>
      <c r="Q1044" s="22" t="n">
        <v>0</v>
      </c>
      <c r="R1044" s="22" t="n">
        <v>0</v>
      </c>
    </row>
    <row r="1045">
      <c r="A1045" s="22" t="n">
        <v>201711</v>
      </c>
      <c r="B1045" s="22" t="inlineStr">
        <is>
          <t>11/2017</t>
        </is>
      </c>
      <c r="C1045" s="22" t="n">
        <v>55</v>
      </c>
      <c r="D1045" s="22" t="inlineStr">
        <is>
          <t>S55</t>
        </is>
      </c>
      <c r="E1045" s="22" t="inlineStr">
        <is>
          <t>Nexa Nevada (S55)</t>
        </is>
      </c>
      <c r="F1045" s="22" t="inlineStr">
        <is>
          <t>Mỹ</t>
        </is>
      </c>
      <c r="G1045" s="22" t="inlineStr">
        <is>
          <t>POS</t>
        </is>
      </c>
      <c r="H1045" s="31" t="n">
        <v>3310.67</v>
      </c>
      <c r="I1045" s="31" t="n">
        <v>323.94</v>
      </c>
      <c r="J1045" s="31" t="n">
        <v>2986.73</v>
      </c>
      <c r="K1045" s="31" t="n">
        <v>129.9</v>
      </c>
      <c r="L1045" s="32" t="n">
        <v>5</v>
      </c>
      <c r="M1045" s="32" t="n">
        <v>33</v>
      </c>
      <c r="N1045" s="31" t="n">
        <v>2856.83</v>
      </c>
      <c r="O1045" s="31" t="n">
        <v>2986.73</v>
      </c>
      <c r="P1045" s="22" t="n">
        <v>0</v>
      </c>
      <c r="Q1045" s="22" t="n">
        <v>0</v>
      </c>
      <c r="R1045" s="22" t="n">
        <v>0</v>
      </c>
    </row>
    <row r="1046">
      <c r="A1046" s="22" t="n">
        <v>201711</v>
      </c>
      <c r="B1046" s="22" t="inlineStr">
        <is>
          <t>11/2017</t>
        </is>
      </c>
      <c r="C1046" s="22" t="n">
        <v>56</v>
      </c>
      <c r="D1046" s="22" t="inlineStr">
        <is>
          <t>S56</t>
        </is>
      </c>
      <c r="E1046" s="22" t="inlineStr">
        <is>
          <t>Nexa New Hampshire (S56)</t>
        </is>
      </c>
      <c r="F1046" s="22" t="inlineStr">
        <is>
          <t>Mỹ</t>
        </is>
      </c>
      <c r="G1046" s="22" t="inlineStr">
        <is>
          <t>POS</t>
        </is>
      </c>
      <c r="H1046" s="31" t="n">
        <v>10998.19</v>
      </c>
      <c r="I1046" s="31" t="n">
        <v>551.27</v>
      </c>
      <c r="J1046" s="31" t="n">
        <v>10446.92</v>
      </c>
      <c r="K1046" s="31" t="n">
        <v>0</v>
      </c>
      <c r="L1046" s="32" t="n">
        <v>9</v>
      </c>
      <c r="M1046" s="32" t="n">
        <v>49</v>
      </c>
      <c r="N1046" s="31" t="n">
        <v>10446.92</v>
      </c>
      <c r="O1046" s="31" t="n">
        <v>10446.92</v>
      </c>
      <c r="P1046" s="22" t="n">
        <v>1</v>
      </c>
      <c r="Q1046" s="22" t="n">
        <v>0</v>
      </c>
      <c r="R1046" s="22" t="n">
        <v>0</v>
      </c>
    </row>
    <row r="1047">
      <c r="A1047" s="22" t="n">
        <v>201711</v>
      </c>
      <c r="B1047" s="22" t="inlineStr">
        <is>
          <t>11/2017</t>
        </is>
      </c>
      <c r="C1047" s="22" t="n">
        <v>57</v>
      </c>
      <c r="D1047" s="22" t="inlineStr">
        <is>
          <t>S57</t>
        </is>
      </c>
      <c r="E1047" s="22" t="inlineStr">
        <is>
          <t>Nexa New Mexico (S57)</t>
        </is>
      </c>
      <c r="F1047" s="22" t="inlineStr">
        <is>
          <t>Mỹ</t>
        </is>
      </c>
      <c r="G1047" s="22" t="inlineStr">
        <is>
          <t>POS</t>
        </is>
      </c>
      <c r="H1047" s="31" t="n">
        <v>6135.13</v>
      </c>
      <c r="I1047" s="31" t="n">
        <v>199.18</v>
      </c>
      <c r="J1047" s="31" t="n">
        <v>5935.95</v>
      </c>
      <c r="K1047" s="31" t="n">
        <v>0</v>
      </c>
      <c r="L1047" s="32" t="n">
        <v>4</v>
      </c>
      <c r="M1047" s="32" t="n">
        <v>24</v>
      </c>
      <c r="N1047" s="31" t="n">
        <v>5935.95</v>
      </c>
      <c r="O1047" s="31" t="n">
        <v>5935.95</v>
      </c>
      <c r="P1047" s="22" t="n">
        <v>1</v>
      </c>
      <c r="Q1047" s="22" t="n">
        <v>0</v>
      </c>
      <c r="R1047" s="22" t="n">
        <v>0</v>
      </c>
    </row>
    <row r="1048">
      <c r="A1048" s="22" t="n">
        <v>201711</v>
      </c>
      <c r="B1048" s="22" t="inlineStr">
        <is>
          <t>11/2017</t>
        </is>
      </c>
      <c r="C1048" s="22" t="n">
        <v>59</v>
      </c>
      <c r="D1048" s="22" t="inlineStr">
        <is>
          <t>S59</t>
        </is>
      </c>
      <c r="E1048" s="22" t="inlineStr">
        <is>
          <t>Nexa Oregon (S59)</t>
        </is>
      </c>
      <c r="F1048" s="22" t="inlineStr">
        <is>
          <t>Mỹ</t>
        </is>
      </c>
      <c r="G1048" s="22" t="inlineStr">
        <is>
          <t>POS</t>
        </is>
      </c>
      <c r="H1048" s="31" t="n">
        <v>13838.03</v>
      </c>
      <c r="I1048" s="31" t="n">
        <v>266.26</v>
      </c>
      <c r="J1048" s="31" t="n">
        <v>13571.77</v>
      </c>
      <c r="K1048" s="31" t="n">
        <v>265.2</v>
      </c>
      <c r="L1048" s="32" t="n">
        <v>10</v>
      </c>
      <c r="M1048" s="32" t="n">
        <v>51</v>
      </c>
      <c r="N1048" s="31" t="n">
        <v>13306.57</v>
      </c>
      <c r="O1048" s="31" t="n">
        <v>13571.77</v>
      </c>
      <c r="P1048" s="22" t="n">
        <v>0</v>
      </c>
      <c r="Q1048" s="22" t="n">
        <v>0</v>
      </c>
      <c r="R1048" s="22" t="n">
        <v>0</v>
      </c>
    </row>
    <row r="1049">
      <c r="A1049" s="22" t="n">
        <v>201711</v>
      </c>
      <c r="B1049" s="22" t="inlineStr">
        <is>
          <t>11/2017</t>
        </is>
      </c>
      <c r="C1049" s="22" t="n">
        <v>61</v>
      </c>
      <c r="D1049" s="22" t="inlineStr">
        <is>
          <t>S61</t>
        </is>
      </c>
      <c r="E1049" s="22" t="inlineStr">
        <is>
          <t>Nexa South Carolina (S61)</t>
        </is>
      </c>
      <c r="F1049" s="22" t="inlineStr">
        <is>
          <t>Mỹ</t>
        </is>
      </c>
      <c r="G1049" s="22" t="inlineStr">
        <is>
          <t>POS</t>
        </is>
      </c>
      <c r="H1049" s="31" t="n">
        <v>10984.52</v>
      </c>
      <c r="I1049" s="31" t="n">
        <v>252.83</v>
      </c>
      <c r="J1049" s="31" t="n">
        <v>10731.69</v>
      </c>
      <c r="K1049" s="31" t="n">
        <v>376</v>
      </c>
      <c r="L1049" s="32" t="n">
        <v>8</v>
      </c>
      <c r="M1049" s="32" t="n">
        <v>41</v>
      </c>
      <c r="N1049" s="31" t="n">
        <v>10355.69</v>
      </c>
      <c r="O1049" s="31" t="n">
        <v>10731.69</v>
      </c>
      <c r="P1049" s="22" t="n">
        <v>0</v>
      </c>
      <c r="Q1049" s="22" t="n">
        <v>0</v>
      </c>
      <c r="R1049" s="22" t="n">
        <v>1</v>
      </c>
    </row>
    <row r="1050">
      <c r="A1050" s="22" t="n">
        <v>201711</v>
      </c>
      <c r="B1050" s="22" t="inlineStr">
        <is>
          <t>11/2017</t>
        </is>
      </c>
      <c r="C1050" s="22" t="n">
        <v>63</v>
      </c>
      <c r="D1050" s="22" t="inlineStr">
        <is>
          <t>S63</t>
        </is>
      </c>
      <c r="E1050" s="22" t="inlineStr">
        <is>
          <t>Nexa Utah (S63)</t>
        </is>
      </c>
      <c r="F1050" s="22" t="inlineStr">
        <is>
          <t>Mỹ</t>
        </is>
      </c>
      <c r="G1050" s="22" t="inlineStr">
        <is>
          <t>POS</t>
        </is>
      </c>
      <c r="H1050" s="31" t="n">
        <v>16455.73</v>
      </c>
      <c r="I1050" s="31" t="n">
        <v>0</v>
      </c>
      <c r="J1050" s="31" t="n">
        <v>16455.73</v>
      </c>
      <c r="K1050" s="31" t="n">
        <v>237.45</v>
      </c>
      <c r="L1050" s="32" t="n">
        <v>7</v>
      </c>
      <c r="M1050" s="32" t="n">
        <v>58</v>
      </c>
      <c r="N1050" s="31" t="n">
        <v>16218.28</v>
      </c>
      <c r="O1050" s="31" t="n">
        <v>16455.73</v>
      </c>
      <c r="P1050" s="22" t="n">
        <v>1</v>
      </c>
      <c r="Q1050" s="22" t="n">
        <v>0</v>
      </c>
      <c r="R1050" s="22" t="n">
        <v>0</v>
      </c>
    </row>
    <row r="1051">
      <c r="A1051" s="22" t="n">
        <v>201711</v>
      </c>
      <c r="B1051" s="22" t="inlineStr">
        <is>
          <t>11/2017</t>
        </is>
      </c>
      <c r="C1051" s="22" t="n">
        <v>64</v>
      </c>
      <c r="D1051" s="22" t="inlineStr">
        <is>
          <t>S64</t>
        </is>
      </c>
      <c r="E1051" s="22" t="inlineStr">
        <is>
          <t>Nexa Washington DC (S64)</t>
        </is>
      </c>
      <c r="F1051" s="22" t="inlineStr">
        <is>
          <t>Mỹ</t>
        </is>
      </c>
      <c r="G1051" s="22" t="inlineStr">
        <is>
          <t>POS</t>
        </is>
      </c>
      <c r="H1051" s="31" t="n">
        <v>27923.07</v>
      </c>
      <c r="I1051" s="31" t="n">
        <v>1987.63</v>
      </c>
      <c r="J1051" s="31" t="n">
        <v>25935.44</v>
      </c>
      <c r="K1051" s="31" t="n">
        <v>676</v>
      </c>
      <c r="L1051" s="32" t="n">
        <v>10</v>
      </c>
      <c r="M1051" s="32" t="n">
        <v>91</v>
      </c>
      <c r="N1051" s="31" t="n">
        <v>25259.44</v>
      </c>
      <c r="O1051" s="31" t="n">
        <v>25935.44</v>
      </c>
      <c r="P1051" s="22" t="n">
        <v>0</v>
      </c>
      <c r="Q1051" s="22" t="n">
        <v>0</v>
      </c>
      <c r="R1051" s="22" t="n">
        <v>0</v>
      </c>
    </row>
    <row r="1052">
      <c r="A1052" s="22" t="n">
        <v>201711</v>
      </c>
      <c r="B1052" s="22" t="inlineStr">
        <is>
          <t>11/2017</t>
        </is>
      </c>
      <c r="C1052" s="22" t="n">
        <v>65</v>
      </c>
      <c r="D1052" s="22" t="inlineStr">
        <is>
          <t>S65</t>
        </is>
      </c>
      <c r="E1052" s="22" t="inlineStr">
        <is>
          <t>Nexa West Virginia (S65)</t>
        </is>
      </c>
      <c r="F1052" s="22" t="inlineStr">
        <is>
          <t>Mỹ</t>
        </is>
      </c>
      <c r="G1052" s="22" t="inlineStr">
        <is>
          <t>POS</t>
        </is>
      </c>
      <c r="H1052" s="31" t="n">
        <v>15393.35</v>
      </c>
      <c r="I1052" s="31" t="n">
        <v>1548.42</v>
      </c>
      <c r="J1052" s="31" t="n">
        <v>13844.93</v>
      </c>
      <c r="K1052" s="31" t="n">
        <v>89.5</v>
      </c>
      <c r="L1052" s="32" t="n">
        <v>9</v>
      </c>
      <c r="M1052" s="32" t="n">
        <v>47</v>
      </c>
      <c r="N1052" s="31" t="n">
        <v>13755.43</v>
      </c>
      <c r="O1052" s="31" t="n">
        <v>13844.93</v>
      </c>
      <c r="P1052" s="22" t="n">
        <v>0</v>
      </c>
      <c r="Q1052" s="22" t="n">
        <v>0</v>
      </c>
      <c r="R1052" s="22" t="n">
        <v>0</v>
      </c>
    </row>
    <row r="1053">
      <c r="A1053" s="22" t="n">
        <v>201711</v>
      </c>
      <c r="B1053" s="22" t="inlineStr">
        <is>
          <t>11/2017</t>
        </is>
      </c>
      <c r="C1053" s="22" t="n">
        <v>66</v>
      </c>
      <c r="D1053" s="22" t="inlineStr">
        <is>
          <t>S66</t>
        </is>
      </c>
      <c r="E1053" s="22" t="inlineStr">
        <is>
          <t>Nexa Wyoming (S66)</t>
        </is>
      </c>
      <c r="F1053" s="22" t="inlineStr">
        <is>
          <t>Mỹ</t>
        </is>
      </c>
      <c r="G1053" s="22" t="inlineStr">
        <is>
          <t>POS</t>
        </is>
      </c>
      <c r="H1053" s="31" t="n">
        <v>22728.74</v>
      </c>
      <c r="I1053" s="31" t="n">
        <v>925.05</v>
      </c>
      <c r="J1053" s="31" t="n">
        <v>21803.69</v>
      </c>
      <c r="K1053" s="31" t="n">
        <v>339</v>
      </c>
      <c r="L1053" s="32" t="n">
        <v>6</v>
      </c>
      <c r="M1053" s="32" t="n">
        <v>67</v>
      </c>
      <c r="N1053" s="31" t="n">
        <v>21464.69</v>
      </c>
      <c r="O1053" s="31" t="n">
        <v>21803.69</v>
      </c>
      <c r="P1053" s="22" t="n">
        <v>0</v>
      </c>
      <c r="Q1053" s="22" t="n">
        <v>0</v>
      </c>
      <c r="R1053" s="22" t="n">
        <v>0</v>
      </c>
    </row>
    <row r="1054">
      <c r="A1054" s="22" t="n">
        <v>201712</v>
      </c>
      <c r="B1054" s="22" t="inlineStr">
        <is>
          <t>12/2017</t>
        </is>
      </c>
      <c r="C1054" s="22" t="n">
        <v>0</v>
      </c>
      <c r="D1054" s="22" t="inlineStr">
        <is>
          <t>ONL</t>
        </is>
      </c>
      <c r="E1054" s="22" t="inlineStr">
        <is>
          <t>Nexa Online (website/app)</t>
        </is>
      </c>
      <c r="F1054" s="22" t="inlineStr">
        <is>
          <t>Online</t>
        </is>
      </c>
      <c r="G1054" s="22" t="inlineStr">
        <is>
          <t>ONLINE</t>
        </is>
      </c>
      <c r="H1054" s="31" t="n">
        <v>264446.97</v>
      </c>
      <c r="I1054" s="31" t="n">
        <v>13418.56</v>
      </c>
      <c r="J1054" s="31" t="n">
        <v>251028.41</v>
      </c>
      <c r="K1054" s="31" t="n">
        <v>3564.9</v>
      </c>
      <c r="L1054" s="32" t="n">
        <v>109</v>
      </c>
      <c r="M1054" s="32" t="n">
        <v>845</v>
      </c>
      <c r="N1054" s="31" t="n">
        <v>214167.48</v>
      </c>
      <c r="O1054" s="31" t="n">
        <v>217732.38</v>
      </c>
      <c r="P1054" s="22" t="n">
        <v>7</v>
      </c>
      <c r="Q1054" s="22" t="n">
        <v>0</v>
      </c>
      <c r="R1054" s="22" t="n">
        <v>1</v>
      </c>
    </row>
    <row r="1055">
      <c r="A1055" s="22" t="n">
        <v>201712</v>
      </c>
      <c r="B1055" s="22" t="inlineStr">
        <is>
          <t>12/2017</t>
        </is>
      </c>
      <c r="C1055" s="22" t="n">
        <v>1</v>
      </c>
      <c r="D1055" s="22" t="inlineStr">
        <is>
          <t>S01</t>
        </is>
      </c>
      <c r="E1055" s="22" t="inlineStr">
        <is>
          <t>Nexa Australian Capital Territory (S01)</t>
        </is>
      </c>
      <c r="F1055" s="22" t="inlineStr">
        <is>
          <t>Úc</t>
        </is>
      </c>
      <c r="G1055" s="22" t="inlineStr">
        <is>
          <t>POS</t>
        </is>
      </c>
      <c r="H1055" s="31" t="n">
        <v>6474.26</v>
      </c>
      <c r="I1055" s="31" t="n">
        <v>478.98</v>
      </c>
      <c r="J1055" s="31" t="n">
        <v>5995.28</v>
      </c>
      <c r="K1055" s="31" t="n">
        <v>0</v>
      </c>
      <c r="L1055" s="32" t="n">
        <v>4</v>
      </c>
      <c r="M1055" s="32" t="n">
        <v>37</v>
      </c>
      <c r="N1055" s="31" t="n">
        <v>5995.28</v>
      </c>
      <c r="O1055" s="31" t="n">
        <v>5995.28</v>
      </c>
      <c r="P1055" s="22" t="n">
        <v>0</v>
      </c>
      <c r="Q1055" s="22" t="n">
        <v>0</v>
      </c>
      <c r="R1055" s="22" t="n">
        <v>0</v>
      </c>
    </row>
    <row r="1056">
      <c r="A1056" s="22" t="n">
        <v>201712</v>
      </c>
      <c r="B1056" s="22" t="inlineStr">
        <is>
          <t>12/2017</t>
        </is>
      </c>
      <c r="C1056" s="22" t="n">
        <v>4</v>
      </c>
      <c r="D1056" s="22" t="inlineStr">
        <is>
          <t>S04</t>
        </is>
      </c>
      <c r="E1056" s="22" t="inlineStr">
        <is>
          <t>Nexa Tasmania (S04)</t>
        </is>
      </c>
      <c r="F1056" s="22" t="inlineStr">
        <is>
          <t>Úc</t>
        </is>
      </c>
      <c r="G1056" s="22" t="inlineStr">
        <is>
          <t>POS</t>
        </is>
      </c>
      <c r="H1056" s="31" t="n">
        <v>1600</v>
      </c>
      <c r="I1056" s="31" t="n">
        <v>0</v>
      </c>
      <c r="J1056" s="31" t="n">
        <v>1600</v>
      </c>
      <c r="K1056" s="31" t="n">
        <v>0</v>
      </c>
      <c r="L1056" s="32" t="n">
        <v>1</v>
      </c>
      <c r="M1056" s="32" t="n">
        <v>8</v>
      </c>
      <c r="N1056" s="31" t="n">
        <v>1600</v>
      </c>
      <c r="O1056" s="31" t="n">
        <v>1600</v>
      </c>
      <c r="P1056" s="22" t="n">
        <v>0</v>
      </c>
      <c r="Q1056" s="22" t="n">
        <v>0</v>
      </c>
      <c r="R1056" s="22" t="n">
        <v>0</v>
      </c>
    </row>
    <row r="1057">
      <c r="A1057" s="22" t="n">
        <v>201712</v>
      </c>
      <c r="B1057" s="22" t="inlineStr">
        <is>
          <t>12/2017</t>
        </is>
      </c>
      <c r="C1057" s="22" t="n">
        <v>5</v>
      </c>
      <c r="D1057" s="22" t="inlineStr">
        <is>
          <t>S05</t>
        </is>
      </c>
      <c r="E1057" s="22" t="inlineStr">
        <is>
          <t>Nexa Victoria (S05)</t>
        </is>
      </c>
      <c r="F1057" s="22" t="inlineStr">
        <is>
          <t>Úc</t>
        </is>
      </c>
      <c r="G1057" s="22" t="inlineStr">
        <is>
          <t>POS</t>
        </is>
      </c>
      <c r="H1057" s="31" t="n">
        <v>11247.67</v>
      </c>
      <c r="I1057" s="31" t="n">
        <v>1124.77</v>
      </c>
      <c r="J1057" s="31" t="n">
        <v>10122.9</v>
      </c>
      <c r="K1057" s="31" t="n">
        <v>0</v>
      </c>
      <c r="L1057" s="32" t="n">
        <v>3</v>
      </c>
      <c r="M1057" s="32" t="n">
        <v>16</v>
      </c>
      <c r="N1057" s="31" t="n">
        <v>10122.9</v>
      </c>
      <c r="O1057" s="31" t="n">
        <v>10122.9</v>
      </c>
      <c r="P1057" s="22" t="n">
        <v>0</v>
      </c>
      <c r="Q1057" s="22" t="n">
        <v>0</v>
      </c>
      <c r="R1057" s="22" t="n">
        <v>0</v>
      </c>
    </row>
    <row r="1058">
      <c r="A1058" s="22" t="n">
        <v>201712</v>
      </c>
      <c r="B1058" s="22" t="inlineStr">
        <is>
          <t>12/2017</t>
        </is>
      </c>
      <c r="C1058" s="22" t="n">
        <v>6</v>
      </c>
      <c r="D1058" s="22" t="inlineStr">
        <is>
          <t>S06</t>
        </is>
      </c>
      <c r="E1058" s="22" t="inlineStr">
        <is>
          <t>Nexa Western Australia (S06)</t>
        </is>
      </c>
      <c r="F1058" s="22" t="inlineStr">
        <is>
          <t>Úc</t>
        </is>
      </c>
      <c r="G1058" s="22" t="inlineStr">
        <is>
          <t>POS</t>
        </is>
      </c>
      <c r="H1058" s="31" t="n">
        <v>8209.57</v>
      </c>
      <c r="I1058" s="31" t="n">
        <v>0</v>
      </c>
      <c r="J1058" s="31" t="n">
        <v>8209.57</v>
      </c>
      <c r="K1058" s="31" t="n">
        <v>0</v>
      </c>
      <c r="L1058" s="32" t="n">
        <v>5</v>
      </c>
      <c r="M1058" s="32" t="n">
        <v>34</v>
      </c>
      <c r="N1058" s="31" t="n">
        <v>8209.57</v>
      </c>
      <c r="O1058" s="31" t="n">
        <v>8209.57</v>
      </c>
      <c r="P1058" s="22" t="n">
        <v>0</v>
      </c>
      <c r="Q1058" s="22" t="n">
        <v>0</v>
      </c>
      <c r="R1058" s="22" t="n">
        <v>0</v>
      </c>
    </row>
    <row r="1059">
      <c r="A1059" s="22" t="n">
        <v>201712</v>
      </c>
      <c r="B1059" s="22" t="inlineStr">
        <is>
          <t>12/2017</t>
        </is>
      </c>
      <c r="C1059" s="22" t="n">
        <v>8</v>
      </c>
      <c r="D1059" s="22" t="inlineStr">
        <is>
          <t>S08</t>
        </is>
      </c>
      <c r="E1059" s="22" t="inlineStr">
        <is>
          <t>Nexa Newfoundland and Labrador (S08)</t>
        </is>
      </c>
      <c r="F1059" s="22" t="inlineStr">
        <is>
          <t>Canada</t>
        </is>
      </c>
      <c r="G1059" s="22" t="inlineStr">
        <is>
          <t>POS</t>
        </is>
      </c>
      <c r="H1059" s="31" t="n">
        <v>51688.31</v>
      </c>
      <c r="I1059" s="31" t="n">
        <v>925.63</v>
      </c>
      <c r="J1059" s="31" t="n">
        <v>50762.68</v>
      </c>
      <c r="K1059" s="31" t="n">
        <v>219</v>
      </c>
      <c r="L1059" s="32" t="n">
        <v>12</v>
      </c>
      <c r="M1059" s="32" t="n">
        <v>89</v>
      </c>
      <c r="N1059" s="31" t="n">
        <v>50543.68</v>
      </c>
      <c r="O1059" s="31" t="n">
        <v>50762.68</v>
      </c>
      <c r="P1059" s="22" t="n">
        <v>0</v>
      </c>
      <c r="Q1059" s="22" t="n">
        <v>0</v>
      </c>
      <c r="R1059" s="22" t="n">
        <v>0</v>
      </c>
    </row>
    <row r="1060">
      <c r="A1060" s="22" t="n">
        <v>201712</v>
      </c>
      <c r="B1060" s="22" t="inlineStr">
        <is>
          <t>12/2017</t>
        </is>
      </c>
      <c r="C1060" s="22" t="n">
        <v>9</v>
      </c>
      <c r="D1060" s="22" t="inlineStr">
        <is>
          <t>S09</t>
        </is>
      </c>
      <c r="E1060" s="22" t="inlineStr">
        <is>
          <t>Nexa Northwest Territories (S09)</t>
        </is>
      </c>
      <c r="F1060" s="22" t="inlineStr">
        <is>
          <t>Canada</t>
        </is>
      </c>
      <c r="G1060" s="22" t="inlineStr">
        <is>
          <t>POS</t>
        </is>
      </c>
      <c r="H1060" s="31" t="n">
        <v>45042</v>
      </c>
      <c r="I1060" s="31" t="n">
        <v>736.34</v>
      </c>
      <c r="J1060" s="31" t="n">
        <v>44305.66</v>
      </c>
      <c r="K1060" s="31" t="n">
        <v>289.99</v>
      </c>
      <c r="L1060" s="32" t="n">
        <v>23</v>
      </c>
      <c r="M1060" s="32" t="n">
        <v>147</v>
      </c>
      <c r="N1060" s="31" t="n">
        <v>44015.67</v>
      </c>
      <c r="O1060" s="31" t="n">
        <v>44305.66</v>
      </c>
      <c r="P1060" s="22" t="n">
        <v>1</v>
      </c>
      <c r="Q1060" s="22" t="n">
        <v>0</v>
      </c>
      <c r="R1060" s="22" t="n">
        <v>0</v>
      </c>
    </row>
    <row r="1061">
      <c r="A1061" s="22" t="n">
        <v>201712</v>
      </c>
      <c r="B1061" s="22" t="inlineStr">
        <is>
          <t>12/2017</t>
        </is>
      </c>
      <c r="C1061" s="22" t="n">
        <v>10</v>
      </c>
      <c r="D1061" s="22" t="inlineStr">
        <is>
          <t>S10</t>
        </is>
      </c>
      <c r="E1061" s="22" t="inlineStr">
        <is>
          <t>Nexa Nunavut (S10)</t>
        </is>
      </c>
      <c r="F1061" s="22" t="inlineStr">
        <is>
          <t>Canada</t>
        </is>
      </c>
      <c r="G1061" s="22" t="inlineStr">
        <is>
          <t>POS</t>
        </is>
      </c>
      <c r="H1061" s="31" t="n">
        <v>11044.79</v>
      </c>
      <c r="I1061" s="31" t="n">
        <v>670.91</v>
      </c>
      <c r="J1061" s="31" t="n">
        <v>10373.88</v>
      </c>
      <c r="K1061" s="31" t="n">
        <v>510</v>
      </c>
      <c r="L1061" s="32" t="n">
        <v>8</v>
      </c>
      <c r="M1061" s="32" t="n">
        <v>54</v>
      </c>
      <c r="N1061" s="31" t="n">
        <v>9863.879999999999</v>
      </c>
      <c r="O1061" s="31" t="n">
        <v>10373.88</v>
      </c>
      <c r="P1061" s="22" t="n">
        <v>0</v>
      </c>
      <c r="Q1061" s="22" t="n">
        <v>0</v>
      </c>
      <c r="R1061" s="22" t="n">
        <v>0</v>
      </c>
    </row>
    <row r="1062">
      <c r="A1062" s="22" t="n">
        <v>201712</v>
      </c>
      <c r="B1062" s="22" t="inlineStr">
        <is>
          <t>12/2017</t>
        </is>
      </c>
      <c r="C1062" s="22" t="n">
        <v>12</v>
      </c>
      <c r="D1062" s="22" t="inlineStr">
        <is>
          <t>S12</t>
        </is>
      </c>
      <c r="E1062" s="22" t="inlineStr">
        <is>
          <t>Nexa Basse-Normandie (S12)</t>
        </is>
      </c>
      <c r="F1062" s="22" t="inlineStr">
        <is>
          <t>Pháp</t>
        </is>
      </c>
      <c r="G1062" s="22" t="inlineStr">
        <is>
          <t>POS</t>
        </is>
      </c>
      <c r="H1062" s="31" t="n">
        <v>5014.23</v>
      </c>
      <c r="I1062" s="31" t="n">
        <v>0</v>
      </c>
      <c r="J1062" s="31" t="n">
        <v>5014.23</v>
      </c>
      <c r="K1062" s="31" t="n">
        <v>0</v>
      </c>
      <c r="L1062" s="32" t="n">
        <v>3</v>
      </c>
      <c r="M1062" s="32" t="n">
        <v>40</v>
      </c>
      <c r="N1062" s="31" t="n">
        <v>5014.23</v>
      </c>
      <c r="O1062" s="31" t="n">
        <v>5014.23</v>
      </c>
      <c r="P1062" s="22" t="n">
        <v>0</v>
      </c>
      <c r="Q1062" s="22" t="n">
        <v>0</v>
      </c>
      <c r="R1062" s="22" t="n">
        <v>0</v>
      </c>
    </row>
    <row r="1063">
      <c r="A1063" s="22" t="n">
        <v>201712</v>
      </c>
      <c r="B1063" s="22" t="inlineStr">
        <is>
          <t>12/2017</t>
        </is>
      </c>
      <c r="C1063" s="22" t="n">
        <v>13</v>
      </c>
      <c r="D1063" s="22" t="inlineStr">
        <is>
          <t>S13</t>
        </is>
      </c>
      <c r="E1063" s="22" t="inlineStr">
        <is>
          <t>Nexa Corse (S13)</t>
        </is>
      </c>
      <c r="F1063" s="22" t="inlineStr">
        <is>
          <t>Pháp</t>
        </is>
      </c>
      <c r="G1063" s="22" t="inlineStr">
        <is>
          <t>POS</t>
        </is>
      </c>
      <c r="H1063" s="31" t="n">
        <v>3500.03</v>
      </c>
      <c r="I1063" s="31" t="n">
        <v>0</v>
      </c>
      <c r="J1063" s="31" t="n">
        <v>3500.03</v>
      </c>
      <c r="K1063" s="31" t="n">
        <v>100.3</v>
      </c>
      <c r="L1063" s="32" t="n">
        <v>2</v>
      </c>
      <c r="M1063" s="32" t="n">
        <v>16</v>
      </c>
      <c r="N1063" s="31" t="n">
        <v>3399.73</v>
      </c>
      <c r="O1063" s="31" t="n">
        <v>3500.03</v>
      </c>
      <c r="P1063" s="22" t="n">
        <v>0</v>
      </c>
      <c r="Q1063" s="22" t="n">
        <v>0</v>
      </c>
      <c r="R1063" s="22" t="n">
        <v>0</v>
      </c>
    </row>
    <row r="1064">
      <c r="A1064" s="22" t="n">
        <v>201712</v>
      </c>
      <c r="B1064" s="22" t="inlineStr">
        <is>
          <t>12/2017</t>
        </is>
      </c>
      <c r="C1064" s="22" t="n">
        <v>14</v>
      </c>
      <c r="D1064" s="22" t="inlineStr">
        <is>
          <t>S14</t>
        </is>
      </c>
      <c r="E1064" s="22" t="inlineStr">
        <is>
          <t>Nexa Franche-Comté (S14)</t>
        </is>
      </c>
      <c r="F1064" s="22" t="inlineStr">
        <is>
          <t>Pháp</t>
        </is>
      </c>
      <c r="G1064" s="22" t="inlineStr">
        <is>
          <t>POS</t>
        </is>
      </c>
      <c r="H1064" s="31" t="n">
        <v>10126.58</v>
      </c>
      <c r="I1064" s="31" t="n">
        <v>990.5</v>
      </c>
      <c r="J1064" s="31" t="n">
        <v>9136.08</v>
      </c>
      <c r="K1064" s="31" t="n">
        <v>50.67</v>
      </c>
      <c r="L1064" s="32" t="n">
        <v>2</v>
      </c>
      <c r="M1064" s="32" t="n">
        <v>23</v>
      </c>
      <c r="N1064" s="31" t="n">
        <v>9085.41</v>
      </c>
      <c r="O1064" s="31" t="n">
        <v>9136.08</v>
      </c>
      <c r="P1064" s="22" t="n">
        <v>1</v>
      </c>
      <c r="Q1064" s="22" t="n">
        <v>0</v>
      </c>
      <c r="R1064" s="22" t="n">
        <v>0</v>
      </c>
    </row>
    <row r="1065">
      <c r="A1065" s="22" t="n">
        <v>201712</v>
      </c>
      <c r="B1065" s="22" t="inlineStr">
        <is>
          <t>12/2017</t>
        </is>
      </c>
      <c r="C1065" s="22" t="n">
        <v>15</v>
      </c>
      <c r="D1065" s="22" t="inlineStr">
        <is>
          <t>S15</t>
        </is>
      </c>
      <c r="E1065" s="22" t="inlineStr">
        <is>
          <t>Nexa La Réunion (S15)</t>
        </is>
      </c>
      <c r="F1065" s="22" t="inlineStr">
        <is>
          <t>Pháp</t>
        </is>
      </c>
      <c r="G1065" s="22" t="inlineStr">
        <is>
          <t>POS</t>
        </is>
      </c>
      <c r="H1065" s="31" t="n">
        <v>4357.92</v>
      </c>
      <c r="I1065" s="31" t="n">
        <v>155.7</v>
      </c>
      <c r="J1065" s="31" t="n">
        <v>4202.22</v>
      </c>
      <c r="K1065" s="31" t="n">
        <v>308</v>
      </c>
      <c r="L1065" s="32" t="n">
        <v>6</v>
      </c>
      <c r="M1065" s="32" t="n">
        <v>29</v>
      </c>
      <c r="N1065" s="31" t="n">
        <v>3894.22</v>
      </c>
      <c r="O1065" s="31" t="n">
        <v>4202.22</v>
      </c>
      <c r="P1065" s="22" t="n">
        <v>0</v>
      </c>
      <c r="Q1065" s="22" t="n">
        <v>0</v>
      </c>
      <c r="R1065" s="22" t="n">
        <v>0</v>
      </c>
    </row>
    <row r="1066">
      <c r="A1066" s="22" t="n">
        <v>201712</v>
      </c>
      <c r="B1066" s="22" t="inlineStr">
        <is>
          <t>12/2017</t>
        </is>
      </c>
      <c r="C1066" s="22" t="n">
        <v>16</v>
      </c>
      <c r="D1066" s="22" t="inlineStr">
        <is>
          <t>S16</t>
        </is>
      </c>
      <c r="E1066" s="22" t="inlineStr">
        <is>
          <t>Nexa Limousin (S16)</t>
        </is>
      </c>
      <c r="F1066" s="22" t="inlineStr">
        <is>
          <t>Pháp</t>
        </is>
      </c>
      <c r="G1066" s="22" t="inlineStr">
        <is>
          <t>POS</t>
        </is>
      </c>
      <c r="H1066" s="31" t="n">
        <v>6145.52</v>
      </c>
      <c r="I1066" s="31" t="n">
        <v>0</v>
      </c>
      <c r="J1066" s="31" t="n">
        <v>6145.52</v>
      </c>
      <c r="K1066" s="31" t="n">
        <v>0</v>
      </c>
      <c r="L1066" s="32" t="n">
        <v>1</v>
      </c>
      <c r="M1066" s="32" t="n">
        <v>18</v>
      </c>
      <c r="N1066" s="31" t="n">
        <v>6145.52</v>
      </c>
      <c r="O1066" s="31" t="n">
        <v>6145.52</v>
      </c>
      <c r="P1066" s="22" t="n">
        <v>0</v>
      </c>
      <c r="Q1066" s="22" t="n">
        <v>0</v>
      </c>
      <c r="R1066" s="22" t="n">
        <v>0</v>
      </c>
    </row>
    <row r="1067">
      <c r="A1067" s="22" t="n">
        <v>201712</v>
      </c>
      <c r="B1067" s="22" t="inlineStr">
        <is>
          <t>12/2017</t>
        </is>
      </c>
      <c r="C1067" s="22" t="n">
        <v>18</v>
      </c>
      <c r="D1067" s="22" t="inlineStr">
        <is>
          <t>S18</t>
        </is>
      </c>
      <c r="E1067" s="22" t="inlineStr">
        <is>
          <t>Nexa Mayotte (S18)</t>
        </is>
      </c>
      <c r="F1067" s="22" t="inlineStr">
        <is>
          <t>Pháp</t>
        </is>
      </c>
      <c r="G1067" s="22" t="inlineStr">
        <is>
          <t>POS</t>
        </is>
      </c>
      <c r="H1067" s="31" t="n">
        <v>12302.82</v>
      </c>
      <c r="I1067" s="31" t="n">
        <v>234.72</v>
      </c>
      <c r="J1067" s="31" t="n">
        <v>12068.1</v>
      </c>
      <c r="K1067" s="31" t="n">
        <v>949.84</v>
      </c>
      <c r="L1067" s="32" t="n">
        <v>5</v>
      </c>
      <c r="M1067" s="32" t="n">
        <v>45</v>
      </c>
      <c r="N1067" s="31" t="n">
        <v>11118.26</v>
      </c>
      <c r="O1067" s="31" t="n">
        <v>12068.1</v>
      </c>
      <c r="P1067" s="22" t="n">
        <v>1</v>
      </c>
      <c r="Q1067" s="22" t="n">
        <v>0</v>
      </c>
      <c r="R1067" s="22" t="n">
        <v>0</v>
      </c>
    </row>
    <row r="1068">
      <c r="A1068" s="22" t="n">
        <v>201712</v>
      </c>
      <c r="B1068" s="22" t="inlineStr">
        <is>
          <t>12/2017</t>
        </is>
      </c>
      <c r="C1068" s="22" t="n">
        <v>19</v>
      </c>
      <c r="D1068" s="22" t="inlineStr">
        <is>
          <t>S19</t>
        </is>
      </c>
      <c r="E1068" s="22" t="inlineStr">
        <is>
          <t>Nexa Berlin (S19)</t>
        </is>
      </c>
      <c r="F1068" s="22" t="inlineStr">
        <is>
          <t>Đức</t>
        </is>
      </c>
      <c r="G1068" s="22" t="inlineStr">
        <is>
          <t>POS</t>
        </is>
      </c>
      <c r="H1068" s="31" t="n">
        <v>14922.61</v>
      </c>
      <c r="I1068" s="31" t="n">
        <v>163.36</v>
      </c>
      <c r="J1068" s="31" t="n">
        <v>14759.25</v>
      </c>
      <c r="K1068" s="31" t="n">
        <v>28</v>
      </c>
      <c r="L1068" s="32" t="n">
        <v>5</v>
      </c>
      <c r="M1068" s="32" t="n">
        <v>34</v>
      </c>
      <c r="N1068" s="31" t="n">
        <v>14731.25</v>
      </c>
      <c r="O1068" s="31" t="n">
        <v>14759.25</v>
      </c>
      <c r="P1068" s="22" t="n">
        <v>0</v>
      </c>
      <c r="Q1068" s="22" t="n">
        <v>0</v>
      </c>
      <c r="R1068" s="22" t="n">
        <v>0</v>
      </c>
    </row>
    <row r="1069">
      <c r="A1069" s="22" t="n">
        <v>201712</v>
      </c>
      <c r="B1069" s="22" t="inlineStr">
        <is>
          <t>12/2017</t>
        </is>
      </c>
      <c r="C1069" s="22" t="n">
        <v>20</v>
      </c>
      <c r="D1069" s="22" t="inlineStr">
        <is>
          <t>S20</t>
        </is>
      </c>
      <c r="E1069" s="22" t="inlineStr">
        <is>
          <t>Nexa Brandenburg (S20)</t>
        </is>
      </c>
      <c r="F1069" s="22" t="inlineStr">
        <is>
          <t>Đức</t>
        </is>
      </c>
      <c r="G1069" s="22" t="inlineStr">
        <is>
          <t>POS</t>
        </is>
      </c>
      <c r="H1069" s="31" t="n">
        <v>3002.73</v>
      </c>
      <c r="I1069" s="31" t="n">
        <v>0</v>
      </c>
      <c r="J1069" s="31" t="n">
        <v>3002.73</v>
      </c>
      <c r="K1069" s="31" t="n">
        <v>0</v>
      </c>
      <c r="L1069" s="32" t="n">
        <v>4</v>
      </c>
      <c r="M1069" s="32" t="n">
        <v>28</v>
      </c>
      <c r="N1069" s="31" t="n">
        <v>3002.73</v>
      </c>
      <c r="O1069" s="31" t="n">
        <v>3002.73</v>
      </c>
      <c r="P1069" s="22" t="n">
        <v>0</v>
      </c>
      <c r="Q1069" s="22" t="n">
        <v>0</v>
      </c>
      <c r="R1069" s="22" t="n">
        <v>0</v>
      </c>
    </row>
    <row r="1070">
      <c r="A1070" s="22" t="n">
        <v>201712</v>
      </c>
      <c r="B1070" s="22" t="inlineStr">
        <is>
          <t>12/2017</t>
        </is>
      </c>
      <c r="C1070" s="22" t="n">
        <v>22</v>
      </c>
      <c r="D1070" s="22" t="inlineStr">
        <is>
          <t>S22</t>
        </is>
      </c>
      <c r="E1070" s="22" t="inlineStr">
        <is>
          <t>Nexa Freistaat Thüringen (S22)</t>
        </is>
      </c>
      <c r="F1070" s="22" t="inlineStr">
        <is>
          <t>Đức</t>
        </is>
      </c>
      <c r="G1070" s="22" t="inlineStr">
        <is>
          <t>POS</t>
        </is>
      </c>
      <c r="H1070" s="31" t="n">
        <v>18756.97</v>
      </c>
      <c r="I1070" s="31" t="n">
        <v>67.19</v>
      </c>
      <c r="J1070" s="31" t="n">
        <v>18689.78</v>
      </c>
      <c r="K1070" s="31" t="n">
        <v>499.9</v>
      </c>
      <c r="L1070" s="32" t="n">
        <v>6</v>
      </c>
      <c r="M1070" s="32" t="n">
        <v>41</v>
      </c>
      <c r="N1070" s="31" t="n">
        <v>18189.88</v>
      </c>
      <c r="O1070" s="31" t="n">
        <v>18689.78</v>
      </c>
      <c r="P1070" s="22" t="n">
        <v>0</v>
      </c>
      <c r="Q1070" s="22" t="n">
        <v>0</v>
      </c>
      <c r="R1070" s="22" t="n">
        <v>0</v>
      </c>
    </row>
    <row r="1071">
      <c r="A1071" s="22" t="n">
        <v>201712</v>
      </c>
      <c r="B1071" s="22" t="inlineStr">
        <is>
          <t>12/2017</t>
        </is>
      </c>
      <c r="C1071" s="22" t="n">
        <v>23</v>
      </c>
      <c r="D1071" s="22" t="inlineStr">
        <is>
          <t>S23</t>
        </is>
      </c>
      <c r="E1071" s="22" t="inlineStr">
        <is>
          <t>Nexa Hamburg (S23)</t>
        </is>
      </c>
      <c r="F1071" s="22" t="inlineStr">
        <is>
          <t>Đức</t>
        </is>
      </c>
      <c r="G1071" s="22" t="inlineStr">
        <is>
          <t>POS</t>
        </is>
      </c>
      <c r="H1071" s="31" t="n">
        <v>8529.809999999999</v>
      </c>
      <c r="I1071" s="31" t="n">
        <v>65.40000000000001</v>
      </c>
      <c r="J1071" s="31" t="n">
        <v>8464.41</v>
      </c>
      <c r="K1071" s="31" t="n">
        <v>0</v>
      </c>
      <c r="L1071" s="32" t="n">
        <v>5</v>
      </c>
      <c r="M1071" s="32" t="n">
        <v>41</v>
      </c>
      <c r="N1071" s="31" t="n">
        <v>8464.41</v>
      </c>
      <c r="O1071" s="31" t="n">
        <v>8464.41</v>
      </c>
      <c r="P1071" s="22" t="n">
        <v>0</v>
      </c>
      <c r="Q1071" s="22" t="n">
        <v>0</v>
      </c>
      <c r="R1071" s="22" t="n">
        <v>0</v>
      </c>
    </row>
    <row r="1072">
      <c r="A1072" s="22" t="n">
        <v>201712</v>
      </c>
      <c r="B1072" s="22" t="inlineStr">
        <is>
          <t>12/2017</t>
        </is>
      </c>
      <c r="C1072" s="22" t="n">
        <v>24</v>
      </c>
      <c r="D1072" s="22" t="inlineStr">
        <is>
          <t>S24</t>
        </is>
      </c>
      <c r="E1072" s="22" t="inlineStr">
        <is>
          <t>Nexa Hessen (S24)</t>
        </is>
      </c>
      <c r="F1072" s="22" t="inlineStr">
        <is>
          <t>Đức</t>
        </is>
      </c>
      <c r="G1072" s="22" t="inlineStr">
        <is>
          <t>POS</t>
        </is>
      </c>
      <c r="H1072" s="31" t="n">
        <v>19168.45</v>
      </c>
      <c r="I1072" s="31" t="n">
        <v>186.6</v>
      </c>
      <c r="J1072" s="31" t="n">
        <v>18981.85</v>
      </c>
      <c r="K1072" s="31" t="n">
        <v>0</v>
      </c>
      <c r="L1072" s="32" t="n">
        <v>9</v>
      </c>
      <c r="M1072" s="32" t="n">
        <v>81</v>
      </c>
      <c r="N1072" s="31" t="n">
        <v>18981.85</v>
      </c>
      <c r="O1072" s="31" t="n">
        <v>18981.85</v>
      </c>
      <c r="P1072" s="22" t="n">
        <v>1</v>
      </c>
      <c r="Q1072" s="22" t="n">
        <v>0</v>
      </c>
      <c r="R1072" s="22" t="n">
        <v>0</v>
      </c>
    </row>
    <row r="1073">
      <c r="A1073" s="22" t="n">
        <v>201712</v>
      </c>
      <c r="B1073" s="22" t="inlineStr">
        <is>
          <t>12/2017</t>
        </is>
      </c>
      <c r="C1073" s="22" t="n">
        <v>27</v>
      </c>
      <c r="D1073" s="22" t="inlineStr">
        <is>
          <t>S27</t>
        </is>
      </c>
      <c r="E1073" s="22" t="inlineStr">
        <is>
          <t>Nexa Sachsen-Anhalt (S27)</t>
        </is>
      </c>
      <c r="F1073" s="22" t="inlineStr">
        <is>
          <t>Đức</t>
        </is>
      </c>
      <c r="G1073" s="22" t="inlineStr">
        <is>
          <t>POS</t>
        </is>
      </c>
      <c r="H1073" s="31" t="n">
        <v>49125.51</v>
      </c>
      <c r="I1073" s="31" t="n">
        <v>3615.01</v>
      </c>
      <c r="J1073" s="31" t="n">
        <v>45510.5</v>
      </c>
      <c r="K1073" s="31" t="n">
        <v>0</v>
      </c>
      <c r="L1073" s="32" t="n">
        <v>10</v>
      </c>
      <c r="M1073" s="32" t="n">
        <v>110</v>
      </c>
      <c r="N1073" s="31" t="n">
        <v>45510.5</v>
      </c>
      <c r="O1073" s="31" t="n">
        <v>45510.5</v>
      </c>
      <c r="P1073" s="22" t="n">
        <v>0</v>
      </c>
      <c r="Q1073" s="22" t="n">
        <v>0</v>
      </c>
      <c r="R1073" s="22" t="n">
        <v>0</v>
      </c>
    </row>
    <row r="1074">
      <c r="A1074" s="22" t="n">
        <v>201712</v>
      </c>
      <c r="B1074" s="22" t="inlineStr">
        <is>
          <t>12/2017</t>
        </is>
      </c>
      <c r="C1074" s="22" t="n">
        <v>29</v>
      </c>
      <c r="D1074" s="22" t="inlineStr">
        <is>
          <t>S29</t>
        </is>
      </c>
      <c r="E1074" s="22" t="inlineStr">
        <is>
          <t>Nexa Enna (S29)</t>
        </is>
      </c>
      <c r="F1074" s="22" t="inlineStr">
        <is>
          <t>Ý</t>
        </is>
      </c>
      <c r="G1074" s="22" t="inlineStr">
        <is>
          <t>POS</t>
        </is>
      </c>
      <c r="H1074" s="31" t="n">
        <v>3444.77</v>
      </c>
      <c r="I1074" s="31" t="n">
        <v>242.65</v>
      </c>
      <c r="J1074" s="31" t="n">
        <v>3202.12</v>
      </c>
      <c r="K1074" s="31" t="n">
        <v>129</v>
      </c>
      <c r="L1074" s="32" t="n">
        <v>6</v>
      </c>
      <c r="M1074" s="32" t="n">
        <v>33</v>
      </c>
      <c r="N1074" s="31" t="n">
        <v>3073.12</v>
      </c>
      <c r="O1074" s="31" t="n">
        <v>3202.12</v>
      </c>
      <c r="P1074" s="22" t="n">
        <v>1</v>
      </c>
      <c r="Q1074" s="22" t="n">
        <v>0</v>
      </c>
      <c r="R1074" s="22" t="n">
        <v>0</v>
      </c>
    </row>
    <row r="1075">
      <c r="A1075" s="22" t="n">
        <v>201712</v>
      </c>
      <c r="B1075" s="22" t="inlineStr">
        <is>
          <t>12/2017</t>
        </is>
      </c>
      <c r="C1075" s="22" t="n">
        <v>30</v>
      </c>
      <c r="D1075" s="22" t="inlineStr">
        <is>
          <t>S30</t>
        </is>
      </c>
      <c r="E1075" s="22" t="inlineStr">
        <is>
          <t>Nexa Pesaro (S30)</t>
        </is>
      </c>
      <c r="F1075" s="22" t="inlineStr">
        <is>
          <t>Ý</t>
        </is>
      </c>
      <c r="G1075" s="22" t="inlineStr">
        <is>
          <t>POS</t>
        </is>
      </c>
      <c r="H1075" s="31" t="n">
        <v>10516.58</v>
      </c>
      <c r="I1075" s="31" t="n">
        <v>368.9</v>
      </c>
      <c r="J1075" s="31" t="n">
        <v>10147.68</v>
      </c>
      <c r="K1075" s="31" t="n">
        <v>0</v>
      </c>
      <c r="L1075" s="32" t="n">
        <v>5</v>
      </c>
      <c r="M1075" s="32" t="n">
        <v>39</v>
      </c>
      <c r="N1075" s="31" t="n">
        <v>10147.68</v>
      </c>
      <c r="O1075" s="31" t="n">
        <v>10147.68</v>
      </c>
      <c r="P1075" s="22" t="n">
        <v>0</v>
      </c>
      <c r="Q1075" s="22" t="n">
        <v>0</v>
      </c>
      <c r="R1075" s="22" t="n">
        <v>0</v>
      </c>
    </row>
    <row r="1076">
      <c r="A1076" s="22" t="n">
        <v>201712</v>
      </c>
      <c r="B1076" s="22" t="inlineStr">
        <is>
          <t>12/2017</t>
        </is>
      </c>
      <c r="C1076" s="22" t="n">
        <v>31</v>
      </c>
      <c r="D1076" s="22" t="inlineStr">
        <is>
          <t>S31</t>
        </is>
      </c>
      <c r="E1076" s="22" t="inlineStr">
        <is>
          <t>Nexa Drenthe (S31)</t>
        </is>
      </c>
      <c r="F1076" s="22" t="inlineStr">
        <is>
          <t>Hà Lan</t>
        </is>
      </c>
      <c r="G1076" s="22" t="inlineStr">
        <is>
          <t>POS</t>
        </is>
      </c>
      <c r="H1076" s="31" t="n">
        <v>9388.620000000001</v>
      </c>
      <c r="I1076" s="31" t="n">
        <v>882.27</v>
      </c>
      <c r="J1076" s="31" t="n">
        <v>8506.35</v>
      </c>
      <c r="K1076" s="31" t="n">
        <v>49.2</v>
      </c>
      <c r="L1076" s="32" t="n">
        <v>3</v>
      </c>
      <c r="M1076" s="32" t="n">
        <v>32</v>
      </c>
      <c r="N1076" s="31" t="n">
        <v>8457.15</v>
      </c>
      <c r="O1076" s="31" t="n">
        <v>8506.35</v>
      </c>
      <c r="P1076" s="22" t="n">
        <v>0</v>
      </c>
      <c r="Q1076" s="22" t="n">
        <v>0</v>
      </c>
      <c r="R1076" s="22" t="n">
        <v>0</v>
      </c>
    </row>
    <row r="1077">
      <c r="A1077" s="22" t="n">
        <v>201712</v>
      </c>
      <c r="B1077" s="22" t="inlineStr">
        <is>
          <t>12/2017</t>
        </is>
      </c>
      <c r="C1077" s="22" t="n">
        <v>32</v>
      </c>
      <c r="D1077" s="22" t="inlineStr">
        <is>
          <t>S32</t>
        </is>
      </c>
      <c r="E1077" s="22" t="inlineStr">
        <is>
          <t>Nexa Flevoland (S32)</t>
        </is>
      </c>
      <c r="F1077" s="22" t="inlineStr">
        <is>
          <t>Hà Lan</t>
        </is>
      </c>
      <c r="G1077" s="22" t="inlineStr">
        <is>
          <t>POS</t>
        </is>
      </c>
      <c r="H1077" s="31" t="n">
        <v>1792.33</v>
      </c>
      <c r="I1077" s="31" t="n">
        <v>0</v>
      </c>
      <c r="J1077" s="31" t="n">
        <v>1792.33</v>
      </c>
      <c r="K1077" s="31" t="n">
        <v>0</v>
      </c>
      <c r="L1077" s="32" t="n">
        <v>2</v>
      </c>
      <c r="M1077" s="32" t="n">
        <v>8</v>
      </c>
      <c r="N1077" s="31" t="n">
        <v>1792.33</v>
      </c>
      <c r="O1077" s="31" t="n">
        <v>1792.33</v>
      </c>
      <c r="P1077" s="22" t="n">
        <v>0</v>
      </c>
      <c r="Q1077" s="22" t="n">
        <v>0</v>
      </c>
      <c r="R1077" s="22" t="n">
        <v>0</v>
      </c>
    </row>
    <row r="1078">
      <c r="A1078" s="22" t="n">
        <v>201712</v>
      </c>
      <c r="B1078" s="22" t="inlineStr">
        <is>
          <t>12/2017</t>
        </is>
      </c>
      <c r="C1078" s="22" t="n">
        <v>33</v>
      </c>
      <c r="D1078" s="22" t="inlineStr">
        <is>
          <t>S33</t>
        </is>
      </c>
      <c r="E1078" s="22" t="inlineStr">
        <is>
          <t>Nexa Friesland (S33)</t>
        </is>
      </c>
      <c r="F1078" s="22" t="inlineStr">
        <is>
          <t>Hà Lan</t>
        </is>
      </c>
      <c r="G1078" s="22" t="inlineStr">
        <is>
          <t>POS</t>
        </is>
      </c>
      <c r="H1078" s="31" t="n">
        <v>7809.18</v>
      </c>
      <c r="I1078" s="31" t="n">
        <v>131.7</v>
      </c>
      <c r="J1078" s="31" t="n">
        <v>7677.48</v>
      </c>
      <c r="K1078" s="31" t="n">
        <v>0</v>
      </c>
      <c r="L1078" s="32" t="n">
        <v>4</v>
      </c>
      <c r="M1078" s="32" t="n">
        <v>26</v>
      </c>
      <c r="N1078" s="31" t="n">
        <v>7677.48</v>
      </c>
      <c r="O1078" s="31" t="n">
        <v>7677.48</v>
      </c>
      <c r="P1078" s="22" t="n">
        <v>0</v>
      </c>
      <c r="Q1078" s="22" t="n">
        <v>0</v>
      </c>
      <c r="R1078" s="22" t="n">
        <v>0</v>
      </c>
    </row>
    <row r="1079">
      <c r="A1079" s="22" t="n">
        <v>201712</v>
      </c>
      <c r="B1079" s="22" t="inlineStr">
        <is>
          <t>12/2017</t>
        </is>
      </c>
      <c r="C1079" s="22" t="n">
        <v>34</v>
      </c>
      <c r="D1079" s="22" t="inlineStr">
        <is>
          <t>S34</t>
        </is>
      </c>
      <c r="E1079" s="22" t="inlineStr">
        <is>
          <t>Nexa Groningen (S34)</t>
        </is>
      </c>
      <c r="F1079" s="22" t="inlineStr">
        <is>
          <t>Hà Lan</t>
        </is>
      </c>
      <c r="G1079" s="22" t="inlineStr">
        <is>
          <t>POS</t>
        </is>
      </c>
      <c r="H1079" s="31" t="n">
        <v>12905.33</v>
      </c>
      <c r="I1079" s="31" t="n">
        <v>315.94</v>
      </c>
      <c r="J1079" s="31" t="n">
        <v>12589.39</v>
      </c>
      <c r="K1079" s="31" t="n">
        <v>0</v>
      </c>
      <c r="L1079" s="32" t="n">
        <v>7</v>
      </c>
      <c r="M1079" s="32" t="n">
        <v>45</v>
      </c>
      <c r="N1079" s="31" t="n">
        <v>12589.39</v>
      </c>
      <c r="O1079" s="31" t="n">
        <v>12589.39</v>
      </c>
      <c r="P1079" s="22" t="n">
        <v>0</v>
      </c>
      <c r="Q1079" s="22" t="n">
        <v>0</v>
      </c>
      <c r="R1079" s="22" t="n">
        <v>0</v>
      </c>
    </row>
    <row r="1080">
      <c r="A1080" s="22" t="n">
        <v>201712</v>
      </c>
      <c r="B1080" s="22" t="inlineStr">
        <is>
          <t>12/2017</t>
        </is>
      </c>
      <c r="C1080" s="22" t="n">
        <v>36</v>
      </c>
      <c r="D1080" s="22" t="inlineStr">
        <is>
          <t>S36</t>
        </is>
      </c>
      <c r="E1080" s="22" t="inlineStr">
        <is>
          <t>Nexa Armagh (S36)</t>
        </is>
      </c>
      <c r="F1080" s="22" t="inlineStr">
        <is>
          <t>Anh</t>
        </is>
      </c>
      <c r="G1080" s="22" t="inlineStr">
        <is>
          <t>POS</t>
        </is>
      </c>
      <c r="H1080" s="31" t="n">
        <v>19496.42</v>
      </c>
      <c r="I1080" s="31" t="n">
        <v>167.49</v>
      </c>
      <c r="J1080" s="31" t="n">
        <v>19328.93</v>
      </c>
      <c r="K1080" s="31" t="n">
        <v>400</v>
      </c>
      <c r="L1080" s="32" t="n">
        <v>10</v>
      </c>
      <c r="M1080" s="32" t="n">
        <v>67</v>
      </c>
      <c r="N1080" s="31" t="n">
        <v>18928.93</v>
      </c>
      <c r="O1080" s="31" t="n">
        <v>19328.93</v>
      </c>
      <c r="P1080" s="22" t="n">
        <v>1</v>
      </c>
      <c r="Q1080" s="22" t="n">
        <v>0</v>
      </c>
      <c r="R1080" s="22" t="n">
        <v>0</v>
      </c>
    </row>
    <row r="1081">
      <c r="A1081" s="22" t="n">
        <v>201712</v>
      </c>
      <c r="B1081" s="22" t="inlineStr">
        <is>
          <t>12/2017</t>
        </is>
      </c>
      <c r="C1081" s="22" t="n">
        <v>37</v>
      </c>
      <c r="D1081" s="22" t="inlineStr">
        <is>
          <t>S37</t>
        </is>
      </c>
      <c r="E1081" s="22" t="inlineStr">
        <is>
          <t>Nexa Ayrshire (S37)</t>
        </is>
      </c>
      <c r="F1081" s="22" t="inlineStr">
        <is>
          <t>Anh</t>
        </is>
      </c>
      <c r="G1081" s="22" t="inlineStr">
        <is>
          <t>POS</t>
        </is>
      </c>
      <c r="H1081" s="31" t="n">
        <v>24414.58</v>
      </c>
      <c r="I1081" s="31" t="n">
        <v>1393.6</v>
      </c>
      <c r="J1081" s="31" t="n">
        <v>23020.98</v>
      </c>
      <c r="K1081" s="31" t="n">
        <v>0</v>
      </c>
      <c r="L1081" s="32" t="n">
        <v>13</v>
      </c>
      <c r="M1081" s="32" t="n">
        <v>70</v>
      </c>
      <c r="N1081" s="31" t="n">
        <v>23020.98</v>
      </c>
      <c r="O1081" s="31" t="n">
        <v>23020.98</v>
      </c>
      <c r="P1081" s="22" t="n">
        <v>1</v>
      </c>
      <c r="Q1081" s="22" t="n">
        <v>0</v>
      </c>
      <c r="R1081" s="22" t="n">
        <v>0</v>
      </c>
    </row>
    <row r="1082">
      <c r="A1082" s="22" t="n">
        <v>201712</v>
      </c>
      <c r="B1082" s="22" t="inlineStr">
        <is>
          <t>12/2017</t>
        </is>
      </c>
      <c r="C1082" s="22" t="n">
        <v>38</v>
      </c>
      <c r="D1082" s="22" t="inlineStr">
        <is>
          <t>S38</t>
        </is>
      </c>
      <c r="E1082" s="22" t="inlineStr">
        <is>
          <t>Nexa Belfast (S38)</t>
        </is>
      </c>
      <c r="F1082" s="22" t="inlineStr">
        <is>
          <t>Anh</t>
        </is>
      </c>
      <c r="G1082" s="22" t="inlineStr">
        <is>
          <t>POS</t>
        </is>
      </c>
      <c r="H1082" s="31" t="n">
        <v>21596.69</v>
      </c>
      <c r="I1082" s="31" t="n">
        <v>1189.56</v>
      </c>
      <c r="J1082" s="31" t="n">
        <v>20407.13</v>
      </c>
      <c r="K1082" s="31" t="n">
        <v>1578.6</v>
      </c>
      <c r="L1082" s="32" t="n">
        <v>10</v>
      </c>
      <c r="M1082" s="32" t="n">
        <v>106</v>
      </c>
      <c r="N1082" s="31" t="n">
        <v>18828.53</v>
      </c>
      <c r="O1082" s="31" t="n">
        <v>20407.13</v>
      </c>
      <c r="P1082" s="22" t="n">
        <v>1</v>
      </c>
      <c r="Q1082" s="22" t="n">
        <v>0</v>
      </c>
      <c r="R1082" s="22" t="n">
        <v>0</v>
      </c>
    </row>
    <row r="1083">
      <c r="A1083" s="22" t="n">
        <v>201712</v>
      </c>
      <c r="B1083" s="22" t="inlineStr">
        <is>
          <t>12/2017</t>
        </is>
      </c>
      <c r="C1083" s="22" t="n">
        <v>39</v>
      </c>
      <c r="D1083" s="22" t="inlineStr">
        <is>
          <t>S39</t>
        </is>
      </c>
      <c r="E1083" s="22" t="inlineStr">
        <is>
          <t>Nexa Blaenau Gwent (S39)</t>
        </is>
      </c>
      <c r="F1083" s="22" t="inlineStr">
        <is>
          <t>Anh</t>
        </is>
      </c>
      <c r="G1083" s="22" t="inlineStr">
        <is>
          <t>POS</t>
        </is>
      </c>
      <c r="H1083" s="31" t="n">
        <v>12543.5</v>
      </c>
      <c r="I1083" s="31" t="n">
        <v>0</v>
      </c>
      <c r="J1083" s="31" t="n">
        <v>12543.5</v>
      </c>
      <c r="K1083" s="31" t="n">
        <v>0</v>
      </c>
      <c r="L1083" s="32" t="n">
        <v>4</v>
      </c>
      <c r="M1083" s="32" t="n">
        <v>32</v>
      </c>
      <c r="N1083" s="31" t="n">
        <v>12543.5</v>
      </c>
      <c r="O1083" s="31" t="n">
        <v>12543.5</v>
      </c>
      <c r="P1083" s="22" t="n">
        <v>0</v>
      </c>
      <c r="Q1083" s="22" t="n">
        <v>0</v>
      </c>
      <c r="R1083" s="22" t="n">
        <v>0</v>
      </c>
    </row>
    <row r="1084">
      <c r="A1084" s="22" t="n">
        <v>201712</v>
      </c>
      <c r="B1084" s="22" t="inlineStr">
        <is>
          <t>12/2017</t>
        </is>
      </c>
      <c r="C1084" s="22" t="n">
        <v>40</v>
      </c>
      <c r="D1084" s="22" t="inlineStr">
        <is>
          <t>S40</t>
        </is>
      </c>
      <c r="E1084" s="22" t="inlineStr">
        <is>
          <t>Nexa Dungannon and South Tyrone (S40)</t>
        </is>
      </c>
      <c r="F1084" s="22" t="inlineStr">
        <is>
          <t>Anh</t>
        </is>
      </c>
      <c r="G1084" s="22" t="inlineStr">
        <is>
          <t>POS</t>
        </is>
      </c>
      <c r="H1084" s="31" t="n">
        <v>14019.97</v>
      </c>
      <c r="I1084" s="31" t="n">
        <v>54</v>
      </c>
      <c r="J1084" s="31" t="n">
        <v>13965.97</v>
      </c>
      <c r="K1084" s="31" t="n">
        <v>0</v>
      </c>
      <c r="L1084" s="32" t="n">
        <v>6</v>
      </c>
      <c r="M1084" s="32" t="n">
        <v>47</v>
      </c>
      <c r="N1084" s="31" t="n">
        <v>13965.97</v>
      </c>
      <c r="O1084" s="31" t="n">
        <v>13965.97</v>
      </c>
      <c r="P1084" s="22" t="n">
        <v>1</v>
      </c>
      <c r="Q1084" s="22" t="n">
        <v>0</v>
      </c>
      <c r="R1084" s="22" t="n">
        <v>0</v>
      </c>
    </row>
    <row r="1085">
      <c r="A1085" s="22" t="n">
        <v>201712</v>
      </c>
      <c r="B1085" s="22" t="inlineStr">
        <is>
          <t>12/2017</t>
        </is>
      </c>
      <c r="C1085" s="22" t="n">
        <v>41</v>
      </c>
      <c r="D1085" s="22" t="inlineStr">
        <is>
          <t>S41</t>
        </is>
      </c>
      <c r="E1085" s="22" t="inlineStr">
        <is>
          <t>Nexa Fermanagh (S41)</t>
        </is>
      </c>
      <c r="F1085" s="22" t="inlineStr">
        <is>
          <t>Anh</t>
        </is>
      </c>
      <c r="G1085" s="22" t="inlineStr">
        <is>
          <t>POS</t>
        </is>
      </c>
      <c r="H1085" s="31" t="n">
        <v>14027.73</v>
      </c>
      <c r="I1085" s="31" t="n">
        <v>118.58</v>
      </c>
      <c r="J1085" s="31" t="n">
        <v>13909.15</v>
      </c>
      <c r="K1085" s="31" t="n">
        <v>1118.6</v>
      </c>
      <c r="L1085" s="32" t="n">
        <v>5</v>
      </c>
      <c r="M1085" s="32" t="n">
        <v>71</v>
      </c>
      <c r="N1085" s="31" t="n">
        <v>12790.55</v>
      </c>
      <c r="O1085" s="31" t="n">
        <v>13909.15</v>
      </c>
      <c r="P1085" s="22" t="n">
        <v>0</v>
      </c>
      <c r="Q1085" s="22" t="n">
        <v>0</v>
      </c>
      <c r="R1085" s="22" t="n">
        <v>0</v>
      </c>
    </row>
    <row r="1086">
      <c r="A1086" s="22" t="n">
        <v>201712</v>
      </c>
      <c r="B1086" s="22" t="inlineStr">
        <is>
          <t>12/2017</t>
        </is>
      </c>
      <c r="C1086" s="22" t="n">
        <v>42</v>
      </c>
      <c r="D1086" s="22" t="inlineStr">
        <is>
          <t>S42</t>
        </is>
      </c>
      <c r="E1086" s="22" t="inlineStr">
        <is>
          <t>Nexa North Down (S42)</t>
        </is>
      </c>
      <c r="F1086" s="22" t="inlineStr">
        <is>
          <t>Anh</t>
        </is>
      </c>
      <c r="G1086" s="22" t="inlineStr">
        <is>
          <t>POS</t>
        </is>
      </c>
      <c r="H1086" s="31" t="n">
        <v>12036.27</v>
      </c>
      <c r="I1086" s="31" t="n">
        <v>930.95</v>
      </c>
      <c r="J1086" s="31" t="n">
        <v>11105.32</v>
      </c>
      <c r="K1086" s="31" t="n">
        <v>139.99</v>
      </c>
      <c r="L1086" s="32" t="n">
        <v>11</v>
      </c>
      <c r="M1086" s="32" t="n">
        <v>74</v>
      </c>
      <c r="N1086" s="31" t="n">
        <v>10965.33</v>
      </c>
      <c r="O1086" s="31" t="n">
        <v>11105.32</v>
      </c>
      <c r="P1086" s="22" t="n">
        <v>0</v>
      </c>
      <c r="Q1086" s="22" t="n">
        <v>0</v>
      </c>
      <c r="R1086" s="22" t="n">
        <v>0</v>
      </c>
    </row>
    <row r="1087">
      <c r="A1087" s="22" t="n">
        <v>201712</v>
      </c>
      <c r="B1087" s="22" t="inlineStr">
        <is>
          <t>12/2017</t>
        </is>
      </c>
      <c r="C1087" s="22" t="n">
        <v>43</v>
      </c>
      <c r="D1087" s="22" t="inlineStr">
        <is>
          <t>S43</t>
        </is>
      </c>
      <c r="E1087" s="22" t="inlineStr">
        <is>
          <t>Nexa Alaska (S43)</t>
        </is>
      </c>
      <c r="F1087" s="22" t="inlineStr">
        <is>
          <t>Mỹ</t>
        </is>
      </c>
      <c r="G1087" s="22" t="inlineStr">
        <is>
          <t>POS</t>
        </is>
      </c>
      <c r="H1087" s="31" t="n">
        <v>28714.56</v>
      </c>
      <c r="I1087" s="31" t="n">
        <v>129.38</v>
      </c>
      <c r="J1087" s="31" t="n">
        <v>28585.18</v>
      </c>
      <c r="K1087" s="31" t="n">
        <v>0</v>
      </c>
      <c r="L1087" s="32" t="n">
        <v>9</v>
      </c>
      <c r="M1087" s="32" t="n">
        <v>91</v>
      </c>
      <c r="N1087" s="31" t="n">
        <v>28585.18</v>
      </c>
      <c r="O1087" s="31" t="n">
        <v>28585.18</v>
      </c>
      <c r="P1087" s="22" t="n">
        <v>0</v>
      </c>
      <c r="Q1087" s="22" t="n">
        <v>0</v>
      </c>
      <c r="R1087" s="22" t="n">
        <v>0</v>
      </c>
    </row>
    <row r="1088">
      <c r="A1088" s="22" t="n">
        <v>201712</v>
      </c>
      <c r="B1088" s="22" t="inlineStr">
        <is>
          <t>12/2017</t>
        </is>
      </c>
      <c r="C1088" s="22" t="n">
        <v>44</v>
      </c>
      <c r="D1088" s="22" t="inlineStr">
        <is>
          <t>S44</t>
        </is>
      </c>
      <c r="E1088" s="22" t="inlineStr">
        <is>
          <t>Nexa Arkansas (S44)</t>
        </is>
      </c>
      <c r="F1088" s="22" t="inlineStr">
        <is>
          <t>Mỹ</t>
        </is>
      </c>
      <c r="G1088" s="22" t="inlineStr">
        <is>
          <t>POS</t>
        </is>
      </c>
      <c r="H1088" s="31" t="n">
        <v>17428.88</v>
      </c>
      <c r="I1088" s="31" t="n">
        <v>120.09</v>
      </c>
      <c r="J1088" s="31" t="n">
        <v>17308.79</v>
      </c>
      <c r="K1088" s="31" t="n">
        <v>68.61</v>
      </c>
      <c r="L1088" s="32" t="n">
        <v>10</v>
      </c>
      <c r="M1088" s="32" t="n">
        <v>93</v>
      </c>
      <c r="N1088" s="31" t="n">
        <v>17250.17</v>
      </c>
      <c r="O1088" s="31" t="n">
        <v>17308.79</v>
      </c>
      <c r="P1088" s="22" t="n">
        <v>0</v>
      </c>
      <c r="Q1088" s="22" t="n">
        <v>0</v>
      </c>
      <c r="R1088" s="22" t="n">
        <v>0</v>
      </c>
    </row>
    <row r="1089">
      <c r="A1089" s="22" t="n">
        <v>201712</v>
      </c>
      <c r="B1089" s="22" t="inlineStr">
        <is>
          <t>12/2017</t>
        </is>
      </c>
      <c r="C1089" s="22" t="n">
        <v>45</v>
      </c>
      <c r="D1089" s="22" t="inlineStr">
        <is>
          <t>S45</t>
        </is>
      </c>
      <c r="E1089" s="22" t="inlineStr">
        <is>
          <t>Nexa Connecticut (S45)</t>
        </is>
      </c>
      <c r="F1089" s="22" t="inlineStr">
        <is>
          <t>Mỹ</t>
        </is>
      </c>
      <c r="G1089" s="22" t="inlineStr">
        <is>
          <t>POS</t>
        </is>
      </c>
      <c r="H1089" s="31" t="n">
        <v>23800.01</v>
      </c>
      <c r="I1089" s="31" t="n">
        <v>446.6</v>
      </c>
      <c r="J1089" s="31" t="n">
        <v>23353.41</v>
      </c>
      <c r="K1089" s="31" t="n">
        <v>392.58</v>
      </c>
      <c r="L1089" s="32" t="n">
        <v>11</v>
      </c>
      <c r="M1089" s="32" t="n">
        <v>82</v>
      </c>
      <c r="N1089" s="31" t="n">
        <v>22960.83</v>
      </c>
      <c r="O1089" s="31" t="n">
        <v>23353.41</v>
      </c>
      <c r="P1089" s="22" t="n">
        <v>0</v>
      </c>
      <c r="Q1089" s="22" t="n">
        <v>0</v>
      </c>
      <c r="R1089" s="22" t="n">
        <v>0</v>
      </c>
    </row>
    <row r="1090">
      <c r="A1090" s="22" t="n">
        <v>201712</v>
      </c>
      <c r="B1090" s="22" t="inlineStr">
        <is>
          <t>12/2017</t>
        </is>
      </c>
      <c r="C1090" s="22" t="n">
        <v>47</v>
      </c>
      <c r="D1090" s="22" t="inlineStr">
        <is>
          <t>S47</t>
        </is>
      </c>
      <c r="E1090" s="22" t="inlineStr">
        <is>
          <t>Nexa Hawaii (S47)</t>
        </is>
      </c>
      <c r="F1090" s="22" t="inlineStr">
        <is>
          <t>Mỹ</t>
        </is>
      </c>
      <c r="G1090" s="22" t="inlineStr">
        <is>
          <t>POS</t>
        </is>
      </c>
      <c r="H1090" s="31" t="n">
        <v>11769.64</v>
      </c>
      <c r="I1090" s="31" t="n">
        <v>358.35</v>
      </c>
      <c r="J1090" s="31" t="n">
        <v>11411.29</v>
      </c>
      <c r="K1090" s="31" t="n">
        <v>269.95</v>
      </c>
      <c r="L1090" s="32" t="n">
        <v>12</v>
      </c>
      <c r="M1090" s="32" t="n">
        <v>70</v>
      </c>
      <c r="N1090" s="31" t="n">
        <v>11141.34</v>
      </c>
      <c r="O1090" s="31" t="n">
        <v>11411.29</v>
      </c>
      <c r="P1090" s="22" t="n">
        <v>0</v>
      </c>
      <c r="Q1090" s="22" t="n">
        <v>0</v>
      </c>
      <c r="R1090" s="22" t="n">
        <v>0</v>
      </c>
    </row>
    <row r="1091">
      <c r="A1091" s="22" t="n">
        <v>201712</v>
      </c>
      <c r="B1091" s="22" t="inlineStr">
        <is>
          <t>12/2017</t>
        </is>
      </c>
      <c r="C1091" s="22" t="n">
        <v>48</v>
      </c>
      <c r="D1091" s="22" t="inlineStr">
        <is>
          <t>S48</t>
        </is>
      </c>
      <c r="E1091" s="22" t="inlineStr">
        <is>
          <t>Nexa Idaho (S48)</t>
        </is>
      </c>
      <c r="F1091" s="22" t="inlineStr">
        <is>
          <t>Mỹ</t>
        </is>
      </c>
      <c r="G1091" s="22" t="inlineStr">
        <is>
          <t>POS</t>
        </is>
      </c>
      <c r="H1091" s="31" t="n">
        <v>29705.55</v>
      </c>
      <c r="I1091" s="31" t="n">
        <v>2031.45</v>
      </c>
      <c r="J1091" s="31" t="n">
        <v>27674.1</v>
      </c>
      <c r="K1091" s="31" t="n">
        <v>0</v>
      </c>
      <c r="L1091" s="32" t="n">
        <v>13</v>
      </c>
      <c r="M1091" s="32" t="n">
        <v>98</v>
      </c>
      <c r="N1091" s="31" t="n">
        <v>27674.1</v>
      </c>
      <c r="O1091" s="31" t="n">
        <v>27674.1</v>
      </c>
      <c r="P1091" s="22" t="n">
        <v>1</v>
      </c>
      <c r="Q1091" s="22" t="n">
        <v>0</v>
      </c>
      <c r="R1091" s="22" t="n">
        <v>0</v>
      </c>
    </row>
    <row r="1092">
      <c r="A1092" s="22" t="n">
        <v>201712</v>
      </c>
      <c r="B1092" s="22" t="inlineStr">
        <is>
          <t>12/2017</t>
        </is>
      </c>
      <c r="C1092" s="22" t="n">
        <v>50</v>
      </c>
      <c r="D1092" s="22" t="inlineStr">
        <is>
          <t>S50</t>
        </is>
      </c>
      <c r="E1092" s="22" t="inlineStr">
        <is>
          <t>Nexa Kansas (S50)</t>
        </is>
      </c>
      <c r="F1092" s="22" t="inlineStr">
        <is>
          <t>Mỹ</t>
        </is>
      </c>
      <c r="G1092" s="22" t="inlineStr">
        <is>
          <t>POS</t>
        </is>
      </c>
      <c r="H1092" s="31" t="n">
        <v>31094.79</v>
      </c>
      <c r="I1092" s="31" t="n">
        <v>2054.81</v>
      </c>
      <c r="J1092" s="31" t="n">
        <v>29039.98</v>
      </c>
      <c r="K1092" s="31" t="n">
        <v>0</v>
      </c>
      <c r="L1092" s="32" t="n">
        <v>15</v>
      </c>
      <c r="M1092" s="32" t="n">
        <v>97</v>
      </c>
      <c r="N1092" s="31" t="n">
        <v>29039.98</v>
      </c>
      <c r="O1092" s="31" t="n">
        <v>29039.98</v>
      </c>
      <c r="P1092" s="22" t="n">
        <v>0</v>
      </c>
      <c r="Q1092" s="22" t="n">
        <v>0</v>
      </c>
      <c r="R1092" s="22" t="n">
        <v>0</v>
      </c>
    </row>
    <row r="1093">
      <c r="A1093" s="22" t="n">
        <v>201712</v>
      </c>
      <c r="B1093" s="22" t="inlineStr">
        <is>
          <t>12/2017</t>
        </is>
      </c>
      <c r="C1093" s="22" t="n">
        <v>51</v>
      </c>
      <c r="D1093" s="22" t="inlineStr">
        <is>
          <t>S51</t>
        </is>
      </c>
      <c r="E1093" s="22" t="inlineStr">
        <is>
          <t>Nexa Maine (S51)</t>
        </is>
      </c>
      <c r="F1093" s="22" t="inlineStr">
        <is>
          <t>Mỹ</t>
        </is>
      </c>
      <c r="G1093" s="22" t="inlineStr">
        <is>
          <t>POS</t>
        </is>
      </c>
      <c r="H1093" s="31" t="n">
        <v>18179.65</v>
      </c>
      <c r="I1093" s="31" t="n">
        <v>123</v>
      </c>
      <c r="J1093" s="31" t="n">
        <v>18056.65</v>
      </c>
      <c r="K1093" s="31" t="n">
        <v>923.95</v>
      </c>
      <c r="L1093" s="32" t="n">
        <v>7</v>
      </c>
      <c r="M1093" s="32" t="n">
        <v>45</v>
      </c>
      <c r="N1093" s="31" t="n">
        <v>17132.7</v>
      </c>
      <c r="O1093" s="31" t="n">
        <v>18056.65</v>
      </c>
      <c r="P1093" s="22" t="n">
        <v>0</v>
      </c>
      <c r="Q1093" s="22" t="n">
        <v>0</v>
      </c>
      <c r="R1093" s="22" t="n">
        <v>0</v>
      </c>
    </row>
    <row r="1094">
      <c r="A1094" s="22" t="n">
        <v>201712</v>
      </c>
      <c r="B1094" s="22" t="inlineStr">
        <is>
          <t>12/2017</t>
        </is>
      </c>
      <c r="C1094" s="22" t="n">
        <v>53</v>
      </c>
      <c r="D1094" s="22" t="inlineStr">
        <is>
          <t>S53</t>
        </is>
      </c>
      <c r="E1094" s="22" t="inlineStr">
        <is>
          <t>Nexa Montana (S53)</t>
        </is>
      </c>
      <c r="F1094" s="22" t="inlineStr">
        <is>
          <t>Mỹ</t>
        </is>
      </c>
      <c r="G1094" s="22" t="inlineStr">
        <is>
          <t>POS</t>
        </is>
      </c>
      <c r="H1094" s="31" t="n">
        <v>33768.62</v>
      </c>
      <c r="I1094" s="31" t="n">
        <v>942.6</v>
      </c>
      <c r="J1094" s="31" t="n">
        <v>32826.02</v>
      </c>
      <c r="K1094" s="31" t="n">
        <v>0</v>
      </c>
      <c r="L1094" s="32" t="n">
        <v>11</v>
      </c>
      <c r="M1094" s="32" t="n">
        <v>96</v>
      </c>
      <c r="N1094" s="31" t="n">
        <v>32826.02</v>
      </c>
      <c r="O1094" s="31" t="n">
        <v>32826.02</v>
      </c>
      <c r="P1094" s="22" t="n">
        <v>0</v>
      </c>
      <c r="Q1094" s="22" t="n">
        <v>0</v>
      </c>
      <c r="R1094" s="22" t="n">
        <v>0</v>
      </c>
    </row>
    <row r="1095">
      <c r="A1095" s="22" t="n">
        <v>201712</v>
      </c>
      <c r="B1095" s="22" t="inlineStr">
        <is>
          <t>12/2017</t>
        </is>
      </c>
      <c r="C1095" s="22" t="n">
        <v>54</v>
      </c>
      <c r="D1095" s="22" t="inlineStr">
        <is>
          <t>S54</t>
        </is>
      </c>
      <c r="E1095" s="22" t="inlineStr">
        <is>
          <t>Nexa Nebraska (S54)</t>
        </is>
      </c>
      <c r="F1095" s="22" t="inlineStr">
        <is>
          <t>Mỹ</t>
        </is>
      </c>
      <c r="G1095" s="22" t="inlineStr">
        <is>
          <t>POS</t>
        </is>
      </c>
      <c r="H1095" s="31" t="n">
        <v>48867.74</v>
      </c>
      <c r="I1095" s="31" t="n">
        <v>1855.89</v>
      </c>
      <c r="J1095" s="31" t="n">
        <v>47011.85</v>
      </c>
      <c r="K1095" s="31" t="n">
        <v>199.98</v>
      </c>
      <c r="L1095" s="32" t="n">
        <v>21</v>
      </c>
      <c r="M1095" s="32" t="n">
        <v>139</v>
      </c>
      <c r="N1095" s="31" t="n">
        <v>46811.87</v>
      </c>
      <c r="O1095" s="31" t="n">
        <v>47011.85</v>
      </c>
      <c r="P1095" s="22" t="n">
        <v>0</v>
      </c>
      <c r="Q1095" s="22" t="n">
        <v>0</v>
      </c>
      <c r="R1095" s="22" t="n">
        <v>0</v>
      </c>
    </row>
    <row r="1096">
      <c r="A1096" s="22" t="n">
        <v>201712</v>
      </c>
      <c r="B1096" s="22" t="inlineStr">
        <is>
          <t>12/2017</t>
        </is>
      </c>
      <c r="C1096" s="22" t="n">
        <v>55</v>
      </c>
      <c r="D1096" s="22" t="inlineStr">
        <is>
          <t>S55</t>
        </is>
      </c>
      <c r="E1096" s="22" t="inlineStr">
        <is>
          <t>Nexa Nevada (S55)</t>
        </is>
      </c>
      <c r="F1096" s="22" t="inlineStr">
        <is>
          <t>Mỹ</t>
        </is>
      </c>
      <c r="G1096" s="22" t="inlineStr">
        <is>
          <t>POS</t>
        </is>
      </c>
      <c r="H1096" s="31" t="n">
        <v>16542.4</v>
      </c>
      <c r="I1096" s="31" t="n">
        <v>211.25</v>
      </c>
      <c r="J1096" s="31" t="n">
        <v>16331.15</v>
      </c>
      <c r="K1096" s="31" t="n">
        <v>1495</v>
      </c>
      <c r="L1096" s="32" t="n">
        <v>7</v>
      </c>
      <c r="M1096" s="32" t="n">
        <v>60</v>
      </c>
      <c r="N1096" s="31" t="n">
        <v>14836.15</v>
      </c>
      <c r="O1096" s="31" t="n">
        <v>16331.15</v>
      </c>
      <c r="P1096" s="22" t="n">
        <v>1</v>
      </c>
      <c r="Q1096" s="22" t="n">
        <v>0</v>
      </c>
      <c r="R1096" s="22" t="n">
        <v>0</v>
      </c>
    </row>
    <row r="1097">
      <c r="A1097" s="22" t="n">
        <v>201712</v>
      </c>
      <c r="B1097" s="22" t="inlineStr">
        <is>
          <t>12/2017</t>
        </is>
      </c>
      <c r="C1097" s="22" t="n">
        <v>56</v>
      </c>
      <c r="D1097" s="22" t="inlineStr">
        <is>
          <t>S56</t>
        </is>
      </c>
      <c r="E1097" s="22" t="inlineStr">
        <is>
          <t>Nexa New Hampshire (S56)</t>
        </is>
      </c>
      <c r="F1097" s="22" t="inlineStr">
        <is>
          <t>Mỹ</t>
        </is>
      </c>
      <c r="G1097" s="22" t="inlineStr">
        <is>
          <t>POS</t>
        </is>
      </c>
      <c r="H1097" s="31" t="n">
        <v>35919.13</v>
      </c>
      <c r="I1097" s="31" t="n">
        <v>2377.87</v>
      </c>
      <c r="J1097" s="31" t="n">
        <v>33541.26</v>
      </c>
      <c r="K1097" s="31" t="n">
        <v>0</v>
      </c>
      <c r="L1097" s="32" t="n">
        <v>16</v>
      </c>
      <c r="M1097" s="32" t="n">
        <v>109</v>
      </c>
      <c r="N1097" s="31" t="n">
        <v>33541.26</v>
      </c>
      <c r="O1097" s="31" t="n">
        <v>33541.26</v>
      </c>
      <c r="P1097" s="22" t="n">
        <v>0</v>
      </c>
      <c r="Q1097" s="22" t="n">
        <v>0</v>
      </c>
      <c r="R1097" s="22" t="n">
        <v>0</v>
      </c>
    </row>
    <row r="1098">
      <c r="A1098" s="22" t="n">
        <v>201712</v>
      </c>
      <c r="B1098" s="22" t="inlineStr">
        <is>
          <t>12/2017</t>
        </is>
      </c>
      <c r="C1098" s="22" t="n">
        <v>57</v>
      </c>
      <c r="D1098" s="22" t="inlineStr">
        <is>
          <t>S57</t>
        </is>
      </c>
      <c r="E1098" s="22" t="inlineStr">
        <is>
          <t>Nexa New Mexico (S57)</t>
        </is>
      </c>
      <c r="F1098" s="22" t="inlineStr">
        <is>
          <t>Mỹ</t>
        </is>
      </c>
      <c r="G1098" s="22" t="inlineStr">
        <is>
          <t>POS</t>
        </is>
      </c>
      <c r="H1098" s="31" t="n">
        <v>24933.04</v>
      </c>
      <c r="I1098" s="31" t="n">
        <v>721.41</v>
      </c>
      <c r="J1098" s="31" t="n">
        <v>24211.63</v>
      </c>
      <c r="K1098" s="31" t="n">
        <v>0</v>
      </c>
      <c r="L1098" s="32" t="n">
        <v>14</v>
      </c>
      <c r="M1098" s="32" t="n">
        <v>107</v>
      </c>
      <c r="N1098" s="31" t="n">
        <v>24211.63</v>
      </c>
      <c r="O1098" s="31" t="n">
        <v>24211.63</v>
      </c>
      <c r="P1098" s="22" t="n">
        <v>0</v>
      </c>
      <c r="Q1098" s="22" t="n">
        <v>0</v>
      </c>
      <c r="R1098" s="22" t="n">
        <v>0</v>
      </c>
    </row>
    <row r="1099">
      <c r="A1099" s="22" t="n">
        <v>201712</v>
      </c>
      <c r="B1099" s="22" t="inlineStr">
        <is>
          <t>12/2017</t>
        </is>
      </c>
      <c r="C1099" s="22" t="n">
        <v>59</v>
      </c>
      <c r="D1099" s="22" t="inlineStr">
        <is>
          <t>S59</t>
        </is>
      </c>
      <c r="E1099" s="22" t="inlineStr">
        <is>
          <t>Nexa Oregon (S59)</t>
        </is>
      </c>
      <c r="F1099" s="22" t="inlineStr">
        <is>
          <t>Mỹ</t>
        </is>
      </c>
      <c r="G1099" s="22" t="inlineStr">
        <is>
          <t>POS</t>
        </is>
      </c>
      <c r="H1099" s="31" t="n">
        <v>38739.99</v>
      </c>
      <c r="I1099" s="31" t="n">
        <v>1299.42</v>
      </c>
      <c r="J1099" s="31" t="n">
        <v>37440.57</v>
      </c>
      <c r="K1099" s="31" t="n">
        <v>4908.6</v>
      </c>
      <c r="L1099" s="32" t="n">
        <v>15</v>
      </c>
      <c r="M1099" s="32" t="n">
        <v>125</v>
      </c>
      <c r="N1099" s="31" t="n">
        <v>32531.97</v>
      </c>
      <c r="O1099" s="31" t="n">
        <v>37440.57</v>
      </c>
      <c r="P1099" s="22" t="n">
        <v>0</v>
      </c>
      <c r="Q1099" s="22" t="n">
        <v>0</v>
      </c>
      <c r="R1099" s="22" t="n">
        <v>0</v>
      </c>
    </row>
    <row r="1100">
      <c r="A1100" s="22" t="n">
        <v>201712</v>
      </c>
      <c r="B1100" s="22" t="inlineStr">
        <is>
          <t>12/2017</t>
        </is>
      </c>
      <c r="C1100" s="22" t="n">
        <v>61</v>
      </c>
      <c r="D1100" s="22" t="inlineStr">
        <is>
          <t>S61</t>
        </is>
      </c>
      <c r="E1100" s="22" t="inlineStr">
        <is>
          <t>Nexa South Carolina (S61)</t>
        </is>
      </c>
      <c r="F1100" s="22" t="inlineStr">
        <is>
          <t>Mỹ</t>
        </is>
      </c>
      <c r="G1100" s="22" t="inlineStr">
        <is>
          <t>POS</t>
        </is>
      </c>
      <c r="H1100" s="31" t="n">
        <v>35261.73</v>
      </c>
      <c r="I1100" s="31" t="n">
        <v>159.55</v>
      </c>
      <c r="J1100" s="31" t="n">
        <v>35102.18</v>
      </c>
      <c r="K1100" s="31" t="n">
        <v>58.99</v>
      </c>
      <c r="L1100" s="32" t="n">
        <v>13</v>
      </c>
      <c r="M1100" s="32" t="n">
        <v>148</v>
      </c>
      <c r="N1100" s="31" t="n">
        <v>35043.19</v>
      </c>
      <c r="O1100" s="31" t="n">
        <v>35102.18</v>
      </c>
      <c r="P1100" s="22" t="n">
        <v>1</v>
      </c>
      <c r="Q1100" s="22" t="n">
        <v>0</v>
      </c>
      <c r="R1100" s="22" t="n">
        <v>0</v>
      </c>
    </row>
    <row r="1101">
      <c r="A1101" s="22" t="n">
        <v>201712</v>
      </c>
      <c r="B1101" s="22" t="inlineStr">
        <is>
          <t>12/2017</t>
        </is>
      </c>
      <c r="C1101" s="22" t="n">
        <v>63</v>
      </c>
      <c r="D1101" s="22" t="inlineStr">
        <is>
          <t>S63</t>
        </is>
      </c>
      <c r="E1101" s="22" t="inlineStr">
        <is>
          <t>Nexa Utah (S63)</t>
        </is>
      </c>
      <c r="F1101" s="22" t="inlineStr">
        <is>
          <t>Mỹ</t>
        </is>
      </c>
      <c r="G1101" s="22" t="inlineStr">
        <is>
          <t>POS</t>
        </is>
      </c>
      <c r="H1101" s="31" t="n">
        <v>13081.33</v>
      </c>
      <c r="I1101" s="31" t="n">
        <v>796.29</v>
      </c>
      <c r="J1101" s="31" t="n">
        <v>12285.04</v>
      </c>
      <c r="K1101" s="31" t="n">
        <v>236</v>
      </c>
      <c r="L1101" s="32" t="n">
        <v>10</v>
      </c>
      <c r="M1101" s="32" t="n">
        <v>67</v>
      </c>
      <c r="N1101" s="31" t="n">
        <v>12049.04</v>
      </c>
      <c r="O1101" s="31" t="n">
        <v>12285.04</v>
      </c>
      <c r="P1101" s="22" t="n">
        <v>0</v>
      </c>
      <c r="Q1101" s="22" t="n">
        <v>0</v>
      </c>
      <c r="R1101" s="22" t="n">
        <v>0</v>
      </c>
    </row>
    <row r="1102">
      <c r="A1102" s="22" t="n">
        <v>201712</v>
      </c>
      <c r="B1102" s="22" t="inlineStr">
        <is>
          <t>12/2017</t>
        </is>
      </c>
      <c r="C1102" s="22" t="n">
        <v>64</v>
      </c>
      <c r="D1102" s="22" t="inlineStr">
        <is>
          <t>S64</t>
        </is>
      </c>
      <c r="E1102" s="22" t="inlineStr">
        <is>
          <t>Nexa Washington DC (S64)</t>
        </is>
      </c>
      <c r="F1102" s="22" t="inlineStr">
        <is>
          <t>Mỹ</t>
        </is>
      </c>
      <c r="G1102" s="22" t="inlineStr">
        <is>
          <t>POS</t>
        </is>
      </c>
      <c r="H1102" s="31" t="n">
        <v>39666</v>
      </c>
      <c r="I1102" s="31" t="n">
        <v>368.08</v>
      </c>
      <c r="J1102" s="31" t="n">
        <v>39297.92</v>
      </c>
      <c r="K1102" s="31" t="n">
        <v>0</v>
      </c>
      <c r="L1102" s="32" t="n">
        <v>14</v>
      </c>
      <c r="M1102" s="32" t="n">
        <v>155</v>
      </c>
      <c r="N1102" s="31" t="n">
        <v>39297.92</v>
      </c>
      <c r="O1102" s="31" t="n">
        <v>39297.92</v>
      </c>
      <c r="P1102" s="22" t="n">
        <v>0</v>
      </c>
      <c r="Q1102" s="22" t="n">
        <v>0</v>
      </c>
      <c r="R1102" s="22" t="n">
        <v>0</v>
      </c>
    </row>
    <row r="1103">
      <c r="A1103" s="22" t="n">
        <v>201712</v>
      </c>
      <c r="B1103" s="22" t="inlineStr">
        <is>
          <t>12/2017</t>
        </is>
      </c>
      <c r="C1103" s="22" t="n">
        <v>65</v>
      </c>
      <c r="D1103" s="22" t="inlineStr">
        <is>
          <t>S65</t>
        </is>
      </c>
      <c r="E1103" s="22" t="inlineStr">
        <is>
          <t>Nexa West Virginia (S65)</t>
        </is>
      </c>
      <c r="F1103" s="22" t="inlineStr">
        <is>
          <t>Mỹ</t>
        </is>
      </c>
      <c r="G1103" s="22" t="inlineStr">
        <is>
          <t>POS</t>
        </is>
      </c>
      <c r="H1103" s="31" t="n">
        <v>18683.95</v>
      </c>
      <c r="I1103" s="31" t="n">
        <v>1166.5</v>
      </c>
      <c r="J1103" s="31" t="n">
        <v>17517.45</v>
      </c>
      <c r="K1103" s="31" t="n">
        <v>126.9</v>
      </c>
      <c r="L1103" s="32" t="n">
        <v>7</v>
      </c>
      <c r="M1103" s="32" t="n">
        <v>56</v>
      </c>
      <c r="N1103" s="31" t="n">
        <v>17390.55</v>
      </c>
      <c r="O1103" s="31" t="n">
        <v>17517.45</v>
      </c>
      <c r="P1103" s="22" t="n">
        <v>1</v>
      </c>
      <c r="Q1103" s="22" t="n">
        <v>0</v>
      </c>
      <c r="R1103" s="22" t="n">
        <v>0</v>
      </c>
    </row>
    <row r="1104">
      <c r="A1104" s="22" t="n">
        <v>201712</v>
      </c>
      <c r="B1104" s="22" t="inlineStr">
        <is>
          <t>12/2017</t>
        </is>
      </c>
      <c r="C1104" s="22" t="n">
        <v>66</v>
      </c>
      <c r="D1104" s="22" t="inlineStr">
        <is>
          <t>S66</t>
        </is>
      </c>
      <c r="E1104" s="22" t="inlineStr">
        <is>
          <t>Nexa Wyoming (S66)</t>
        </is>
      </c>
      <c r="F1104" s="22" t="inlineStr">
        <is>
          <t>Mỹ</t>
        </is>
      </c>
      <c r="G1104" s="22" t="inlineStr">
        <is>
          <t>POS</t>
        </is>
      </c>
      <c r="H1104" s="31" t="n">
        <v>27525.04</v>
      </c>
      <c r="I1104" s="31" t="n">
        <v>564.1799999999999</v>
      </c>
      <c r="J1104" s="31" t="n">
        <v>26960.86</v>
      </c>
      <c r="K1104" s="31" t="n">
        <v>2236.35</v>
      </c>
      <c r="L1104" s="32" t="n">
        <v>15</v>
      </c>
      <c r="M1104" s="32" t="n">
        <v>112</v>
      </c>
      <c r="N1104" s="31" t="n">
        <v>24724.51</v>
      </c>
      <c r="O1104" s="31" t="n">
        <v>26960.86</v>
      </c>
      <c r="P1104" s="22" t="n">
        <v>0</v>
      </c>
      <c r="Q1104" s="22" t="n">
        <v>0</v>
      </c>
      <c r="R1104" s="22" t="n">
        <v>0</v>
      </c>
    </row>
    <row r="1105">
      <c r="A1105" s="22" t="n">
        <v>201801</v>
      </c>
      <c r="B1105" s="22" t="inlineStr">
        <is>
          <t>01/2018</t>
        </is>
      </c>
      <c r="C1105" s="22" t="n">
        <v>0</v>
      </c>
      <c r="D1105" s="22" t="inlineStr">
        <is>
          <t>ONL</t>
        </is>
      </c>
      <c r="E1105" s="22" t="inlineStr">
        <is>
          <t>Nexa Online (website/app)</t>
        </is>
      </c>
      <c r="F1105" s="22" t="inlineStr">
        <is>
          <t>Online</t>
        </is>
      </c>
      <c r="G1105" s="22" t="inlineStr">
        <is>
          <t>ONLINE</t>
        </is>
      </c>
      <c r="H1105" s="31" t="n">
        <v>134199.1</v>
      </c>
      <c r="I1105" s="31" t="n">
        <v>4037.3</v>
      </c>
      <c r="J1105" s="31" t="n">
        <v>130161.8</v>
      </c>
      <c r="K1105" s="31" t="n">
        <v>3085.45</v>
      </c>
      <c r="L1105" s="32" t="n">
        <v>98</v>
      </c>
      <c r="M1105" s="32" t="n">
        <v>632</v>
      </c>
      <c r="N1105" s="31" t="n">
        <v>175055.11</v>
      </c>
      <c r="O1105" s="31" t="n">
        <v>178140.56</v>
      </c>
      <c r="P1105" s="22" t="n">
        <v>2</v>
      </c>
      <c r="Q1105" s="22" t="n">
        <v>0</v>
      </c>
      <c r="R1105" s="22" t="n">
        <v>1</v>
      </c>
    </row>
    <row r="1106">
      <c r="A1106" s="22" t="n">
        <v>201801</v>
      </c>
      <c r="B1106" s="22" t="inlineStr">
        <is>
          <t>01/2018</t>
        </is>
      </c>
      <c r="C1106" s="22" t="n">
        <v>1</v>
      </c>
      <c r="D1106" s="22" t="inlineStr">
        <is>
          <t>S01</t>
        </is>
      </c>
      <c r="E1106" s="22" t="inlineStr">
        <is>
          <t>Nexa Australian Capital Territory (S01)</t>
        </is>
      </c>
      <c r="F1106" s="22" t="inlineStr">
        <is>
          <t>Úc</t>
        </is>
      </c>
      <c r="G1106" s="22" t="inlineStr">
        <is>
          <t>POS</t>
        </is>
      </c>
      <c r="H1106" s="31" t="n">
        <v>8173.49</v>
      </c>
      <c r="I1106" s="31" t="n">
        <v>0</v>
      </c>
      <c r="J1106" s="31" t="n">
        <v>8173.49</v>
      </c>
      <c r="K1106" s="31" t="n">
        <v>0</v>
      </c>
      <c r="L1106" s="32" t="n">
        <v>2</v>
      </c>
      <c r="M1106" s="32" t="n">
        <v>15</v>
      </c>
      <c r="N1106" s="31" t="n">
        <v>8173.49</v>
      </c>
      <c r="O1106" s="31" t="n">
        <v>8173.49</v>
      </c>
      <c r="P1106" s="22" t="n">
        <v>0</v>
      </c>
      <c r="Q1106" s="22" t="n">
        <v>0</v>
      </c>
      <c r="R1106" s="22" t="n">
        <v>0</v>
      </c>
    </row>
    <row r="1107">
      <c r="A1107" s="22" t="n">
        <v>201801</v>
      </c>
      <c r="B1107" s="22" t="inlineStr">
        <is>
          <t>01/2018</t>
        </is>
      </c>
      <c r="C1107" s="22" t="n">
        <v>4</v>
      </c>
      <c r="D1107" s="22" t="inlineStr">
        <is>
          <t>S04</t>
        </is>
      </c>
      <c r="E1107" s="22" t="inlineStr">
        <is>
          <t>Nexa Tasmania (S04)</t>
        </is>
      </c>
      <c r="F1107" s="22" t="inlineStr">
        <is>
          <t>Úc</t>
        </is>
      </c>
      <c r="G1107" s="22" t="inlineStr">
        <is>
          <t>POS</t>
        </is>
      </c>
      <c r="H1107" s="31" t="n">
        <v>3615.61</v>
      </c>
      <c r="I1107" s="31" t="n">
        <v>16.35</v>
      </c>
      <c r="J1107" s="31" t="n">
        <v>3599.26</v>
      </c>
      <c r="K1107" s="31" t="n">
        <v>0</v>
      </c>
      <c r="L1107" s="32" t="n">
        <v>2</v>
      </c>
      <c r="M1107" s="32" t="n">
        <v>19</v>
      </c>
      <c r="N1107" s="31" t="n">
        <v>3599.26</v>
      </c>
      <c r="O1107" s="31" t="n">
        <v>3599.26</v>
      </c>
      <c r="P1107" s="22" t="n">
        <v>0</v>
      </c>
      <c r="Q1107" s="22" t="n">
        <v>0</v>
      </c>
      <c r="R1107" s="22" t="n">
        <v>0</v>
      </c>
    </row>
    <row r="1108">
      <c r="A1108" s="22" t="n">
        <v>201801</v>
      </c>
      <c r="B1108" s="22" t="inlineStr">
        <is>
          <t>01/2018</t>
        </is>
      </c>
      <c r="C1108" s="22" t="n">
        <v>5</v>
      </c>
      <c r="D1108" s="22" t="inlineStr">
        <is>
          <t>S05</t>
        </is>
      </c>
      <c r="E1108" s="22" t="inlineStr">
        <is>
          <t>Nexa Victoria (S05)</t>
        </is>
      </c>
      <c r="F1108" s="22" t="inlineStr">
        <is>
          <t>Úc</t>
        </is>
      </c>
      <c r="G1108" s="22" t="inlineStr">
        <is>
          <t>POS</t>
        </is>
      </c>
      <c r="H1108" s="31" t="n">
        <v>4269.03</v>
      </c>
      <c r="I1108" s="31" t="n">
        <v>1.4</v>
      </c>
      <c r="J1108" s="31" t="n">
        <v>4267.63</v>
      </c>
      <c r="K1108" s="31" t="n">
        <v>23.12</v>
      </c>
      <c r="L1108" s="32" t="n">
        <v>4</v>
      </c>
      <c r="M1108" s="32" t="n">
        <v>20</v>
      </c>
      <c r="N1108" s="31" t="n">
        <v>4244.51</v>
      </c>
      <c r="O1108" s="31" t="n">
        <v>4267.63</v>
      </c>
      <c r="P1108" s="22" t="n">
        <v>1</v>
      </c>
      <c r="Q1108" s="22" t="n">
        <v>0</v>
      </c>
      <c r="R1108" s="22" t="n">
        <v>0</v>
      </c>
    </row>
    <row r="1109">
      <c r="A1109" s="22" t="n">
        <v>201801</v>
      </c>
      <c r="B1109" s="22" t="inlineStr">
        <is>
          <t>01/2018</t>
        </is>
      </c>
      <c r="C1109" s="22" t="n">
        <v>6</v>
      </c>
      <c r="D1109" s="22" t="inlineStr">
        <is>
          <t>S06</t>
        </is>
      </c>
      <c r="E1109" s="22" t="inlineStr">
        <is>
          <t>Nexa Western Australia (S06)</t>
        </is>
      </c>
      <c r="F1109" s="22" t="inlineStr">
        <is>
          <t>Úc</t>
        </is>
      </c>
      <c r="G1109" s="22" t="inlineStr">
        <is>
          <t>POS</t>
        </is>
      </c>
      <c r="H1109" s="31" t="n">
        <v>1605.86</v>
      </c>
      <c r="I1109" s="31" t="n">
        <v>3.75</v>
      </c>
      <c r="J1109" s="31" t="n">
        <v>1602.11</v>
      </c>
      <c r="K1109" s="31" t="n">
        <v>0</v>
      </c>
      <c r="L1109" s="32" t="n">
        <v>3</v>
      </c>
      <c r="M1109" s="32" t="n">
        <v>17</v>
      </c>
      <c r="N1109" s="31" t="n">
        <v>1602.11</v>
      </c>
      <c r="O1109" s="31" t="n">
        <v>1602.11</v>
      </c>
      <c r="P1109" s="22" t="n">
        <v>1</v>
      </c>
      <c r="Q1109" s="22" t="n">
        <v>0</v>
      </c>
      <c r="R1109" s="22" t="n">
        <v>0</v>
      </c>
    </row>
    <row r="1110">
      <c r="A1110" s="22" t="n">
        <v>201801</v>
      </c>
      <c r="B1110" s="22" t="inlineStr">
        <is>
          <t>01/2018</t>
        </is>
      </c>
      <c r="C1110" s="22" t="n">
        <v>8</v>
      </c>
      <c r="D1110" s="22" t="inlineStr">
        <is>
          <t>S08</t>
        </is>
      </c>
      <c r="E1110" s="22" t="inlineStr">
        <is>
          <t>Nexa Newfoundland and Labrador (S08)</t>
        </is>
      </c>
      <c r="F1110" s="22" t="inlineStr">
        <is>
          <t>Canada</t>
        </is>
      </c>
      <c r="G1110" s="22" t="inlineStr">
        <is>
          <t>POS</t>
        </is>
      </c>
      <c r="H1110" s="31" t="n">
        <v>73059.19</v>
      </c>
      <c r="I1110" s="31" t="n">
        <v>2028.18</v>
      </c>
      <c r="J1110" s="31" t="n">
        <v>71031.00999999999</v>
      </c>
      <c r="K1110" s="31" t="n">
        <v>8721.24</v>
      </c>
      <c r="L1110" s="32" t="n">
        <v>15</v>
      </c>
      <c r="M1110" s="32" t="n">
        <v>158</v>
      </c>
      <c r="N1110" s="31" t="n">
        <v>62309.77</v>
      </c>
      <c r="O1110" s="31" t="n">
        <v>71031.00999999999</v>
      </c>
      <c r="P1110" s="22" t="n">
        <v>0</v>
      </c>
      <c r="Q1110" s="22" t="n">
        <v>0</v>
      </c>
      <c r="R1110" s="22" t="n">
        <v>0</v>
      </c>
    </row>
    <row r="1111">
      <c r="A1111" s="22" t="n">
        <v>201801</v>
      </c>
      <c r="B1111" s="22" t="inlineStr">
        <is>
          <t>01/2018</t>
        </is>
      </c>
      <c r="C1111" s="22" t="n">
        <v>9</v>
      </c>
      <c r="D1111" s="22" t="inlineStr">
        <is>
          <t>S09</t>
        </is>
      </c>
      <c r="E1111" s="22" t="inlineStr">
        <is>
          <t>Nexa Northwest Territories (S09)</t>
        </is>
      </c>
      <c r="F1111" s="22" t="inlineStr">
        <is>
          <t>Canada</t>
        </is>
      </c>
      <c r="G1111" s="22" t="inlineStr">
        <is>
          <t>POS</t>
        </is>
      </c>
      <c r="H1111" s="31" t="n">
        <v>28318.23</v>
      </c>
      <c r="I1111" s="31" t="n">
        <v>398.1</v>
      </c>
      <c r="J1111" s="31" t="n">
        <v>27920.13</v>
      </c>
      <c r="K1111" s="31" t="n">
        <v>678.86</v>
      </c>
      <c r="L1111" s="32" t="n">
        <v>12</v>
      </c>
      <c r="M1111" s="32" t="n">
        <v>65</v>
      </c>
      <c r="N1111" s="31" t="n">
        <v>27241.27</v>
      </c>
      <c r="O1111" s="31" t="n">
        <v>27920.13</v>
      </c>
      <c r="P1111" s="22" t="n">
        <v>0</v>
      </c>
      <c r="Q1111" s="22" t="n">
        <v>0</v>
      </c>
      <c r="R1111" s="22" t="n">
        <v>0</v>
      </c>
    </row>
    <row r="1112">
      <c r="A1112" s="22" t="n">
        <v>201801</v>
      </c>
      <c r="B1112" s="22" t="inlineStr">
        <is>
          <t>01/2018</t>
        </is>
      </c>
      <c r="C1112" s="22" t="n">
        <v>10</v>
      </c>
      <c r="D1112" s="22" t="inlineStr">
        <is>
          <t>S10</t>
        </is>
      </c>
      <c r="E1112" s="22" t="inlineStr">
        <is>
          <t>Nexa Nunavut (S10)</t>
        </is>
      </c>
      <c r="F1112" s="22" t="inlineStr">
        <is>
          <t>Canada</t>
        </is>
      </c>
      <c r="G1112" s="22" t="inlineStr">
        <is>
          <t>POS</t>
        </is>
      </c>
      <c r="H1112" s="31" t="n">
        <v>17794.6</v>
      </c>
      <c r="I1112" s="31" t="n">
        <v>0</v>
      </c>
      <c r="J1112" s="31" t="n">
        <v>17794.6</v>
      </c>
      <c r="K1112" s="31" t="n">
        <v>0</v>
      </c>
      <c r="L1112" s="32" t="n">
        <v>6</v>
      </c>
      <c r="M1112" s="32" t="n">
        <v>41</v>
      </c>
      <c r="N1112" s="31" t="n">
        <v>17794.6</v>
      </c>
      <c r="O1112" s="31" t="n">
        <v>17794.6</v>
      </c>
      <c r="P1112" s="22" t="n">
        <v>2</v>
      </c>
      <c r="Q1112" s="22" t="n">
        <v>0</v>
      </c>
      <c r="R1112" s="22" t="n">
        <v>0</v>
      </c>
    </row>
    <row r="1113">
      <c r="A1113" s="22" t="n">
        <v>201801</v>
      </c>
      <c r="B1113" s="22" t="inlineStr">
        <is>
          <t>01/2018</t>
        </is>
      </c>
      <c r="C1113" s="22" t="n">
        <v>12</v>
      </c>
      <c r="D1113" s="22" t="inlineStr">
        <is>
          <t>S12</t>
        </is>
      </c>
      <c r="E1113" s="22" t="inlineStr">
        <is>
          <t>Nexa Basse-Normandie (S12)</t>
        </is>
      </c>
      <c r="F1113" s="22" t="inlineStr">
        <is>
          <t>Pháp</t>
        </is>
      </c>
      <c r="G1113" s="22" t="inlineStr">
        <is>
          <t>POS</t>
        </is>
      </c>
      <c r="H1113" s="31" t="n">
        <v>1984</v>
      </c>
      <c r="I1113" s="31" t="n">
        <v>99.2</v>
      </c>
      <c r="J1113" s="31" t="n">
        <v>1884.8</v>
      </c>
      <c r="K1113" s="31" t="n">
        <v>599.85</v>
      </c>
      <c r="L1113" s="32" t="n">
        <v>1</v>
      </c>
      <c r="M1113" s="32" t="n">
        <v>6</v>
      </c>
      <c r="N1113" s="31" t="n">
        <v>1284.95</v>
      </c>
      <c r="O1113" s="31" t="n">
        <v>1884.8</v>
      </c>
      <c r="P1113" s="22" t="n">
        <v>0</v>
      </c>
      <c r="Q1113" s="22" t="n">
        <v>0</v>
      </c>
      <c r="R1113" s="22" t="n">
        <v>0</v>
      </c>
    </row>
    <row r="1114">
      <c r="A1114" s="22" t="n">
        <v>201801</v>
      </c>
      <c r="B1114" s="22" t="inlineStr">
        <is>
          <t>01/2018</t>
        </is>
      </c>
      <c r="C1114" s="22" t="n">
        <v>13</v>
      </c>
      <c r="D1114" s="22" t="inlineStr">
        <is>
          <t>S13</t>
        </is>
      </c>
      <c r="E1114" s="22" t="inlineStr">
        <is>
          <t>Nexa Corse (S13)</t>
        </is>
      </c>
      <c r="F1114" s="22" t="inlineStr">
        <is>
          <t>Pháp</t>
        </is>
      </c>
      <c r="G1114" s="22" t="inlineStr">
        <is>
          <t>POS</t>
        </is>
      </c>
      <c r="H1114" s="31" t="n">
        <v>1340</v>
      </c>
      <c r="I1114" s="31" t="n">
        <v>39.75</v>
      </c>
      <c r="J1114" s="31" t="n">
        <v>1300.25</v>
      </c>
      <c r="K1114" s="31" t="n">
        <v>57.88</v>
      </c>
      <c r="L1114" s="32" t="n">
        <v>2</v>
      </c>
      <c r="M1114" s="32" t="n">
        <v>10</v>
      </c>
      <c r="N1114" s="31" t="n">
        <v>1242.37</v>
      </c>
      <c r="O1114" s="31" t="n">
        <v>1300.25</v>
      </c>
      <c r="P1114" s="22" t="n">
        <v>1</v>
      </c>
      <c r="Q1114" s="22" t="n">
        <v>0</v>
      </c>
      <c r="R1114" s="22" t="n">
        <v>0</v>
      </c>
    </row>
    <row r="1115">
      <c r="A1115" s="22" t="n">
        <v>201801</v>
      </c>
      <c r="B1115" s="22" t="inlineStr">
        <is>
          <t>01/2018</t>
        </is>
      </c>
      <c r="C1115" s="22" t="n">
        <v>14</v>
      </c>
      <c r="D1115" s="22" t="inlineStr">
        <is>
          <t>S14</t>
        </is>
      </c>
      <c r="E1115" s="22" t="inlineStr">
        <is>
          <t>Nexa Franche-Comté (S14)</t>
        </is>
      </c>
      <c r="F1115" s="22" t="inlineStr">
        <is>
          <t>Pháp</t>
        </is>
      </c>
      <c r="G1115" s="22" t="inlineStr">
        <is>
          <t>POS</t>
        </is>
      </c>
      <c r="H1115" s="31" t="n">
        <v>88.62</v>
      </c>
      <c r="I1115" s="31" t="n">
        <v>4.43</v>
      </c>
      <c r="J1115" s="31" t="n">
        <v>84.19</v>
      </c>
      <c r="K1115" s="31" t="n">
        <v>13.98</v>
      </c>
      <c r="L1115" s="32" t="n">
        <v>1</v>
      </c>
      <c r="M1115" s="32" t="n">
        <v>7</v>
      </c>
      <c r="N1115" s="31" t="n">
        <v>70.20999999999999</v>
      </c>
      <c r="O1115" s="31" t="n">
        <v>84.19</v>
      </c>
      <c r="P1115" s="22" t="n">
        <v>0</v>
      </c>
      <c r="Q1115" s="22" t="n">
        <v>0</v>
      </c>
      <c r="R1115" s="22" t="n">
        <v>0</v>
      </c>
    </row>
    <row r="1116">
      <c r="A1116" s="22" t="n">
        <v>201801</v>
      </c>
      <c r="B1116" s="22" t="inlineStr">
        <is>
          <t>01/2018</t>
        </is>
      </c>
      <c r="C1116" s="22" t="n">
        <v>17</v>
      </c>
      <c r="D1116" s="22" t="inlineStr">
        <is>
          <t>S17</t>
        </is>
      </c>
      <c r="E1116" s="22" t="inlineStr">
        <is>
          <t>Nexa Martinique (S17)</t>
        </is>
      </c>
      <c r="F1116" s="22" t="inlineStr">
        <is>
          <t>Pháp</t>
        </is>
      </c>
      <c r="G1116" s="22" t="inlineStr">
        <is>
          <t>POS</t>
        </is>
      </c>
      <c r="H1116" s="31" t="n">
        <v>4640</v>
      </c>
      <c r="I1116" s="31" t="n">
        <v>232</v>
      </c>
      <c r="J1116" s="31" t="n">
        <v>4408</v>
      </c>
      <c r="K1116" s="31" t="n">
        <v>0</v>
      </c>
      <c r="L1116" s="32" t="n">
        <v>1</v>
      </c>
      <c r="M1116" s="32" t="n">
        <v>6</v>
      </c>
      <c r="N1116" s="31" t="n">
        <v>4408</v>
      </c>
      <c r="O1116" s="31" t="n">
        <v>4408</v>
      </c>
      <c r="P1116" s="22" t="n">
        <v>0</v>
      </c>
      <c r="Q1116" s="22" t="n">
        <v>0</v>
      </c>
      <c r="R1116" s="22" t="n">
        <v>0</v>
      </c>
    </row>
    <row r="1117">
      <c r="A1117" s="22" t="n">
        <v>201801</v>
      </c>
      <c r="B1117" s="22" t="inlineStr">
        <is>
          <t>01/2018</t>
        </is>
      </c>
      <c r="C1117" s="22" t="n">
        <v>18</v>
      </c>
      <c r="D1117" s="22" t="inlineStr">
        <is>
          <t>S18</t>
        </is>
      </c>
      <c r="E1117" s="22" t="inlineStr">
        <is>
          <t>Nexa Mayotte (S18)</t>
        </is>
      </c>
      <c r="F1117" s="22" t="inlineStr">
        <is>
          <t>Pháp</t>
        </is>
      </c>
      <c r="G1117" s="22" t="inlineStr">
        <is>
          <t>POS</t>
        </is>
      </c>
      <c r="H1117" s="31" t="n">
        <v>91.95999999999999</v>
      </c>
      <c r="I1117" s="31" t="n">
        <v>0</v>
      </c>
      <c r="J1117" s="31" t="n">
        <v>91.95999999999999</v>
      </c>
      <c r="K1117" s="31" t="n">
        <v>0</v>
      </c>
      <c r="L1117" s="32" t="n">
        <v>1</v>
      </c>
      <c r="M1117" s="32" t="n">
        <v>4</v>
      </c>
      <c r="N1117" s="31" t="n">
        <v>91.95999999999999</v>
      </c>
      <c r="O1117" s="31" t="n">
        <v>91.95999999999999</v>
      </c>
      <c r="P1117" s="22" t="n">
        <v>0</v>
      </c>
      <c r="Q1117" s="22" t="n">
        <v>0</v>
      </c>
      <c r="R1117" s="22" t="n">
        <v>0</v>
      </c>
    </row>
    <row r="1118">
      <c r="A1118" s="22" t="n">
        <v>201801</v>
      </c>
      <c r="B1118" s="22" t="inlineStr">
        <is>
          <t>01/2018</t>
        </is>
      </c>
      <c r="C1118" s="22" t="n">
        <v>19</v>
      </c>
      <c r="D1118" s="22" t="inlineStr">
        <is>
          <t>S19</t>
        </is>
      </c>
      <c r="E1118" s="22" t="inlineStr">
        <is>
          <t>Nexa Berlin (S19)</t>
        </is>
      </c>
      <c r="F1118" s="22" t="inlineStr">
        <is>
          <t>Đức</t>
        </is>
      </c>
      <c r="G1118" s="22" t="inlineStr">
        <is>
          <t>POS</t>
        </is>
      </c>
      <c r="H1118" s="31" t="n">
        <v>3971.15</v>
      </c>
      <c r="I1118" s="31" t="n">
        <v>0</v>
      </c>
      <c r="J1118" s="31" t="n">
        <v>3971.15</v>
      </c>
      <c r="K1118" s="31" t="n">
        <v>299.97</v>
      </c>
      <c r="L1118" s="32" t="n">
        <v>3</v>
      </c>
      <c r="M1118" s="32" t="n">
        <v>22</v>
      </c>
      <c r="N1118" s="31" t="n">
        <v>3671.18</v>
      </c>
      <c r="O1118" s="31" t="n">
        <v>3971.15</v>
      </c>
      <c r="P1118" s="22" t="n">
        <v>0</v>
      </c>
      <c r="Q1118" s="22" t="n">
        <v>0</v>
      </c>
      <c r="R1118" s="22" t="n">
        <v>0</v>
      </c>
    </row>
    <row r="1119">
      <c r="A1119" s="22" t="n">
        <v>201801</v>
      </c>
      <c r="B1119" s="22" t="inlineStr">
        <is>
          <t>01/2018</t>
        </is>
      </c>
      <c r="C1119" s="22" t="n">
        <v>20</v>
      </c>
      <c r="D1119" s="22" t="inlineStr">
        <is>
          <t>S20</t>
        </is>
      </c>
      <c r="E1119" s="22" t="inlineStr">
        <is>
          <t>Nexa Brandenburg (S20)</t>
        </is>
      </c>
      <c r="F1119" s="22" t="inlineStr">
        <is>
          <t>Đức</t>
        </is>
      </c>
      <c r="G1119" s="22" t="inlineStr">
        <is>
          <t>POS</t>
        </is>
      </c>
      <c r="H1119" s="31" t="n">
        <v>17310.53</v>
      </c>
      <c r="I1119" s="31" t="n">
        <v>595.92</v>
      </c>
      <c r="J1119" s="31" t="n">
        <v>16714.61</v>
      </c>
      <c r="K1119" s="31" t="n">
        <v>0</v>
      </c>
      <c r="L1119" s="32" t="n">
        <v>3</v>
      </c>
      <c r="M1119" s="32" t="n">
        <v>28</v>
      </c>
      <c r="N1119" s="31" t="n">
        <v>16714.61</v>
      </c>
      <c r="O1119" s="31" t="n">
        <v>16714.61</v>
      </c>
      <c r="P1119" s="22" t="n">
        <v>0</v>
      </c>
      <c r="Q1119" s="22" t="n">
        <v>0</v>
      </c>
      <c r="R1119" s="22" t="n">
        <v>0</v>
      </c>
    </row>
    <row r="1120">
      <c r="A1120" s="22" t="n">
        <v>201801</v>
      </c>
      <c r="B1120" s="22" t="inlineStr">
        <is>
          <t>01/2018</t>
        </is>
      </c>
      <c r="C1120" s="22" t="n">
        <v>22</v>
      </c>
      <c r="D1120" s="22" t="inlineStr">
        <is>
          <t>S22</t>
        </is>
      </c>
      <c r="E1120" s="22" t="inlineStr">
        <is>
          <t>Nexa Freistaat Thüringen (S22)</t>
        </is>
      </c>
      <c r="F1120" s="22" t="inlineStr">
        <is>
          <t>Đức</t>
        </is>
      </c>
      <c r="G1120" s="22" t="inlineStr">
        <is>
          <t>POS</t>
        </is>
      </c>
      <c r="H1120" s="31" t="n">
        <v>22693.14</v>
      </c>
      <c r="I1120" s="31" t="n">
        <v>533.62</v>
      </c>
      <c r="J1120" s="31" t="n">
        <v>22159.52</v>
      </c>
      <c r="K1120" s="31" t="n">
        <v>3135</v>
      </c>
      <c r="L1120" s="32" t="n">
        <v>9</v>
      </c>
      <c r="M1120" s="32" t="n">
        <v>78</v>
      </c>
      <c r="N1120" s="31" t="n">
        <v>19024.52</v>
      </c>
      <c r="O1120" s="31" t="n">
        <v>22159.52</v>
      </c>
      <c r="P1120" s="22" t="n">
        <v>1</v>
      </c>
      <c r="Q1120" s="22" t="n">
        <v>0</v>
      </c>
      <c r="R1120" s="22" t="n">
        <v>0</v>
      </c>
    </row>
    <row r="1121">
      <c r="A1121" s="22" t="n">
        <v>201801</v>
      </c>
      <c r="B1121" s="22" t="inlineStr">
        <is>
          <t>01/2018</t>
        </is>
      </c>
      <c r="C1121" s="22" t="n">
        <v>23</v>
      </c>
      <c r="D1121" s="22" t="inlineStr">
        <is>
          <t>S23</t>
        </is>
      </c>
      <c r="E1121" s="22" t="inlineStr">
        <is>
          <t>Nexa Hamburg (S23)</t>
        </is>
      </c>
      <c r="F1121" s="22" t="inlineStr">
        <is>
          <t>Đức</t>
        </is>
      </c>
      <c r="G1121" s="22" t="inlineStr">
        <is>
          <t>POS</t>
        </is>
      </c>
      <c r="H1121" s="31" t="n">
        <v>18275.41</v>
      </c>
      <c r="I1121" s="31" t="n">
        <v>311.95</v>
      </c>
      <c r="J1121" s="31" t="n">
        <v>17963.46</v>
      </c>
      <c r="K1121" s="31" t="n">
        <v>2533.65</v>
      </c>
      <c r="L1121" s="32" t="n">
        <v>7</v>
      </c>
      <c r="M1121" s="32" t="n">
        <v>60</v>
      </c>
      <c r="N1121" s="31" t="n">
        <v>15429.81</v>
      </c>
      <c r="O1121" s="31" t="n">
        <v>17963.46</v>
      </c>
      <c r="P1121" s="22" t="n">
        <v>0</v>
      </c>
      <c r="Q1121" s="22" t="n">
        <v>0</v>
      </c>
      <c r="R1121" s="22" t="n">
        <v>0</v>
      </c>
    </row>
    <row r="1122">
      <c r="A1122" s="22" t="n">
        <v>201801</v>
      </c>
      <c r="B1122" s="22" t="inlineStr">
        <is>
          <t>01/2018</t>
        </is>
      </c>
      <c r="C1122" s="22" t="n">
        <v>24</v>
      </c>
      <c r="D1122" s="22" t="inlineStr">
        <is>
          <t>S24</t>
        </is>
      </c>
      <c r="E1122" s="22" t="inlineStr">
        <is>
          <t>Nexa Hessen (S24)</t>
        </is>
      </c>
      <c r="F1122" s="22" t="inlineStr">
        <is>
          <t>Đức</t>
        </is>
      </c>
      <c r="G1122" s="22" t="inlineStr">
        <is>
          <t>POS</t>
        </is>
      </c>
      <c r="H1122" s="31" t="n">
        <v>5613.93</v>
      </c>
      <c r="I1122" s="31" t="n">
        <v>25.5</v>
      </c>
      <c r="J1122" s="31" t="n">
        <v>5588.43</v>
      </c>
      <c r="K1122" s="31" t="n">
        <v>368.99</v>
      </c>
      <c r="L1122" s="32" t="n">
        <v>5</v>
      </c>
      <c r="M1122" s="32" t="n">
        <v>19</v>
      </c>
      <c r="N1122" s="31" t="n">
        <v>5219.44</v>
      </c>
      <c r="O1122" s="31" t="n">
        <v>5588.43</v>
      </c>
      <c r="P1122" s="22" t="n">
        <v>0</v>
      </c>
      <c r="Q1122" s="22" t="n">
        <v>0</v>
      </c>
      <c r="R1122" s="22" t="n">
        <v>0</v>
      </c>
    </row>
    <row r="1123">
      <c r="A1123" s="22" t="n">
        <v>201801</v>
      </c>
      <c r="B1123" s="22" t="inlineStr">
        <is>
          <t>01/2018</t>
        </is>
      </c>
      <c r="C1123" s="22" t="n">
        <v>27</v>
      </c>
      <c r="D1123" s="22" t="inlineStr">
        <is>
          <t>S27</t>
        </is>
      </c>
      <c r="E1123" s="22" t="inlineStr">
        <is>
          <t>Nexa Sachsen-Anhalt (S27)</t>
        </is>
      </c>
      <c r="F1123" s="22" t="inlineStr">
        <is>
          <t>Đức</t>
        </is>
      </c>
      <c r="G1123" s="22" t="inlineStr">
        <is>
          <t>POS</t>
        </is>
      </c>
      <c r="H1123" s="31" t="n">
        <v>5673.69</v>
      </c>
      <c r="I1123" s="31" t="n">
        <v>247.3</v>
      </c>
      <c r="J1123" s="31" t="n">
        <v>5426.39</v>
      </c>
      <c r="K1123" s="31" t="n">
        <v>413.1</v>
      </c>
      <c r="L1123" s="32" t="n">
        <v>4</v>
      </c>
      <c r="M1123" s="32" t="n">
        <v>33</v>
      </c>
      <c r="N1123" s="31" t="n">
        <v>5013.29</v>
      </c>
      <c r="O1123" s="31" t="n">
        <v>5426.39</v>
      </c>
      <c r="P1123" s="22" t="n">
        <v>0</v>
      </c>
      <c r="Q1123" s="22" t="n">
        <v>0</v>
      </c>
      <c r="R1123" s="22" t="n">
        <v>0</v>
      </c>
    </row>
    <row r="1124">
      <c r="A1124" s="22" t="n">
        <v>201801</v>
      </c>
      <c r="B1124" s="22" t="inlineStr">
        <is>
          <t>01/2018</t>
        </is>
      </c>
      <c r="C1124" s="22" t="n">
        <v>29</v>
      </c>
      <c r="D1124" s="22" t="inlineStr">
        <is>
          <t>S29</t>
        </is>
      </c>
      <c r="E1124" s="22" t="inlineStr">
        <is>
          <t>Nexa Enna (S29)</t>
        </is>
      </c>
      <c r="F1124" s="22" t="inlineStr">
        <is>
          <t>Ý</t>
        </is>
      </c>
      <c r="G1124" s="22" t="inlineStr">
        <is>
          <t>POS</t>
        </is>
      </c>
      <c r="H1124" s="31" t="n">
        <v>3795.82</v>
      </c>
      <c r="I1124" s="31" t="n">
        <v>13.8</v>
      </c>
      <c r="J1124" s="31" t="n">
        <v>3782.02</v>
      </c>
      <c r="K1124" s="31" t="n">
        <v>77.06999999999999</v>
      </c>
      <c r="L1124" s="32" t="n">
        <v>6</v>
      </c>
      <c r="M1124" s="32" t="n">
        <v>22</v>
      </c>
      <c r="N1124" s="31" t="n">
        <v>3704.95</v>
      </c>
      <c r="O1124" s="31" t="n">
        <v>3782.02</v>
      </c>
      <c r="P1124" s="22" t="n">
        <v>1</v>
      </c>
      <c r="Q1124" s="22" t="n">
        <v>0</v>
      </c>
      <c r="R1124" s="22" t="n">
        <v>0</v>
      </c>
    </row>
    <row r="1125">
      <c r="A1125" s="22" t="n">
        <v>201801</v>
      </c>
      <c r="B1125" s="22" t="inlineStr">
        <is>
          <t>01/2018</t>
        </is>
      </c>
      <c r="C1125" s="22" t="n">
        <v>30</v>
      </c>
      <c r="D1125" s="22" t="inlineStr">
        <is>
          <t>S30</t>
        </is>
      </c>
      <c r="E1125" s="22" t="inlineStr">
        <is>
          <t>Nexa Pesaro (S30)</t>
        </is>
      </c>
      <c r="F1125" s="22" t="inlineStr">
        <is>
          <t>Ý</t>
        </is>
      </c>
      <c r="G1125" s="22" t="inlineStr">
        <is>
          <t>POS</t>
        </is>
      </c>
      <c r="H1125" s="31" t="n">
        <v>13031.47</v>
      </c>
      <c r="I1125" s="31" t="n">
        <v>641.73</v>
      </c>
      <c r="J1125" s="31" t="n">
        <v>12389.74</v>
      </c>
      <c r="K1125" s="31" t="n">
        <v>0</v>
      </c>
      <c r="L1125" s="32" t="n">
        <v>8</v>
      </c>
      <c r="M1125" s="32" t="n">
        <v>40</v>
      </c>
      <c r="N1125" s="31" t="n">
        <v>12389.74</v>
      </c>
      <c r="O1125" s="31" t="n">
        <v>12389.74</v>
      </c>
      <c r="P1125" s="22" t="n">
        <v>0</v>
      </c>
      <c r="Q1125" s="22" t="n">
        <v>0</v>
      </c>
      <c r="R1125" s="22" t="n">
        <v>0</v>
      </c>
    </row>
    <row r="1126">
      <c r="A1126" s="22" t="n">
        <v>201801</v>
      </c>
      <c r="B1126" s="22" t="inlineStr">
        <is>
          <t>01/2018</t>
        </is>
      </c>
      <c r="C1126" s="22" t="n">
        <v>31</v>
      </c>
      <c r="D1126" s="22" t="inlineStr">
        <is>
          <t>S31</t>
        </is>
      </c>
      <c r="E1126" s="22" t="inlineStr">
        <is>
          <t>Nexa Drenthe (S31)</t>
        </is>
      </c>
      <c r="F1126" s="22" t="inlineStr">
        <is>
          <t>Hà Lan</t>
        </is>
      </c>
      <c r="G1126" s="22" t="inlineStr">
        <is>
          <t>POS</t>
        </is>
      </c>
      <c r="H1126" s="31" t="n">
        <v>10383.29</v>
      </c>
      <c r="I1126" s="31" t="n">
        <v>227.35</v>
      </c>
      <c r="J1126" s="31" t="n">
        <v>10155.94</v>
      </c>
      <c r="K1126" s="31" t="n">
        <v>0</v>
      </c>
      <c r="L1126" s="32" t="n">
        <v>5</v>
      </c>
      <c r="M1126" s="32" t="n">
        <v>65</v>
      </c>
      <c r="N1126" s="31" t="n">
        <v>10155.94</v>
      </c>
      <c r="O1126" s="31" t="n">
        <v>10155.94</v>
      </c>
      <c r="P1126" s="22" t="n">
        <v>1</v>
      </c>
      <c r="Q1126" s="22" t="n">
        <v>0</v>
      </c>
      <c r="R1126" s="22" t="n">
        <v>0</v>
      </c>
    </row>
    <row r="1127">
      <c r="A1127" s="22" t="n">
        <v>201801</v>
      </c>
      <c r="B1127" s="22" t="inlineStr">
        <is>
          <t>01/2018</t>
        </is>
      </c>
      <c r="C1127" s="22" t="n">
        <v>32</v>
      </c>
      <c r="D1127" s="22" t="inlineStr">
        <is>
          <t>S32</t>
        </is>
      </c>
      <c r="E1127" s="22" t="inlineStr">
        <is>
          <t>Nexa Flevoland (S32)</t>
        </is>
      </c>
      <c r="F1127" s="22" t="inlineStr">
        <is>
          <t>Hà Lan</t>
        </is>
      </c>
      <c r="G1127" s="22" t="inlineStr">
        <is>
          <t>POS</t>
        </is>
      </c>
      <c r="H1127" s="31" t="n">
        <v>5373.39</v>
      </c>
      <c r="I1127" s="31" t="n">
        <v>208.68</v>
      </c>
      <c r="J1127" s="31" t="n">
        <v>5164.71</v>
      </c>
      <c r="K1127" s="31" t="n">
        <v>0</v>
      </c>
      <c r="L1127" s="32" t="n">
        <v>4</v>
      </c>
      <c r="M1127" s="32" t="n">
        <v>23</v>
      </c>
      <c r="N1127" s="31" t="n">
        <v>5164.71</v>
      </c>
      <c r="O1127" s="31" t="n">
        <v>5164.71</v>
      </c>
      <c r="P1127" s="22" t="n">
        <v>0</v>
      </c>
      <c r="Q1127" s="22" t="n">
        <v>0</v>
      </c>
      <c r="R1127" s="22" t="n">
        <v>0</v>
      </c>
    </row>
    <row r="1128">
      <c r="A1128" s="22" t="n">
        <v>201801</v>
      </c>
      <c r="B1128" s="22" t="inlineStr">
        <is>
          <t>01/2018</t>
        </is>
      </c>
      <c r="C1128" s="22" t="n">
        <v>33</v>
      </c>
      <c r="D1128" s="22" t="inlineStr">
        <is>
          <t>S33</t>
        </is>
      </c>
      <c r="E1128" s="22" t="inlineStr">
        <is>
          <t>Nexa Friesland (S33)</t>
        </is>
      </c>
      <c r="F1128" s="22" t="inlineStr">
        <is>
          <t>Hà Lan</t>
        </is>
      </c>
      <c r="G1128" s="22" t="inlineStr">
        <is>
          <t>POS</t>
        </is>
      </c>
      <c r="H1128" s="31" t="n">
        <v>1105.96</v>
      </c>
      <c r="I1128" s="31" t="n">
        <v>39.7</v>
      </c>
      <c r="J1128" s="31" t="n">
        <v>1066.26</v>
      </c>
      <c r="K1128" s="31" t="n">
        <v>0</v>
      </c>
      <c r="L1128" s="32" t="n">
        <v>2</v>
      </c>
      <c r="M1128" s="32" t="n">
        <v>8</v>
      </c>
      <c r="N1128" s="31" t="n">
        <v>1066.26</v>
      </c>
      <c r="O1128" s="31" t="n">
        <v>1066.26</v>
      </c>
      <c r="P1128" s="22" t="n">
        <v>0</v>
      </c>
      <c r="Q1128" s="22" t="n">
        <v>0</v>
      </c>
      <c r="R1128" s="22" t="n">
        <v>0</v>
      </c>
    </row>
    <row r="1129">
      <c r="A1129" s="22" t="n">
        <v>201801</v>
      </c>
      <c r="B1129" s="22" t="inlineStr">
        <is>
          <t>01/2018</t>
        </is>
      </c>
      <c r="C1129" s="22" t="n">
        <v>34</v>
      </c>
      <c r="D1129" s="22" t="inlineStr">
        <is>
          <t>S34</t>
        </is>
      </c>
      <c r="E1129" s="22" t="inlineStr">
        <is>
          <t>Nexa Groningen (S34)</t>
        </is>
      </c>
      <c r="F1129" s="22" t="inlineStr">
        <is>
          <t>Hà Lan</t>
        </is>
      </c>
      <c r="G1129" s="22" t="inlineStr">
        <is>
          <t>POS</t>
        </is>
      </c>
      <c r="H1129" s="31" t="n">
        <v>8433.27</v>
      </c>
      <c r="I1129" s="31" t="n">
        <v>202.84</v>
      </c>
      <c r="J1129" s="31" t="n">
        <v>8230.43</v>
      </c>
      <c r="K1129" s="31" t="n">
        <v>0</v>
      </c>
      <c r="L1129" s="32" t="n">
        <v>4</v>
      </c>
      <c r="M1129" s="32" t="n">
        <v>27</v>
      </c>
      <c r="N1129" s="31" t="n">
        <v>8230.43</v>
      </c>
      <c r="O1129" s="31" t="n">
        <v>8230.43</v>
      </c>
      <c r="P1129" s="22" t="n">
        <v>0</v>
      </c>
      <c r="Q1129" s="22" t="n">
        <v>0</v>
      </c>
      <c r="R1129" s="22" t="n">
        <v>0</v>
      </c>
    </row>
    <row r="1130">
      <c r="A1130" s="22" t="n">
        <v>201801</v>
      </c>
      <c r="B1130" s="22" t="inlineStr">
        <is>
          <t>01/2018</t>
        </is>
      </c>
      <c r="C1130" s="22" t="n">
        <v>36</v>
      </c>
      <c r="D1130" s="22" t="inlineStr">
        <is>
          <t>S36</t>
        </is>
      </c>
      <c r="E1130" s="22" t="inlineStr">
        <is>
          <t>Nexa Armagh (S36)</t>
        </is>
      </c>
      <c r="F1130" s="22" t="inlineStr">
        <is>
          <t>Anh</t>
        </is>
      </c>
      <c r="G1130" s="22" t="inlineStr">
        <is>
          <t>POS</t>
        </is>
      </c>
      <c r="H1130" s="31" t="n">
        <v>8622.799999999999</v>
      </c>
      <c r="I1130" s="31" t="n">
        <v>25.65</v>
      </c>
      <c r="J1130" s="31" t="n">
        <v>8597.15</v>
      </c>
      <c r="K1130" s="31" t="n">
        <v>1013.99</v>
      </c>
      <c r="L1130" s="32" t="n">
        <v>5</v>
      </c>
      <c r="M1130" s="32" t="n">
        <v>43</v>
      </c>
      <c r="N1130" s="31" t="n">
        <v>7583.16</v>
      </c>
      <c r="O1130" s="31" t="n">
        <v>8597.15</v>
      </c>
      <c r="P1130" s="22" t="n">
        <v>0</v>
      </c>
      <c r="Q1130" s="22" t="n">
        <v>0</v>
      </c>
      <c r="R1130" s="22" t="n">
        <v>0</v>
      </c>
    </row>
    <row r="1131">
      <c r="A1131" s="22" t="n">
        <v>201801</v>
      </c>
      <c r="B1131" s="22" t="inlineStr">
        <is>
          <t>01/2018</t>
        </is>
      </c>
      <c r="C1131" s="22" t="n">
        <v>37</v>
      </c>
      <c r="D1131" s="22" t="inlineStr">
        <is>
          <t>S37</t>
        </is>
      </c>
      <c r="E1131" s="22" t="inlineStr">
        <is>
          <t>Nexa Ayrshire (S37)</t>
        </is>
      </c>
      <c r="F1131" s="22" t="inlineStr">
        <is>
          <t>Anh</t>
        </is>
      </c>
      <c r="G1131" s="22" t="inlineStr">
        <is>
          <t>POS</t>
        </is>
      </c>
      <c r="H1131" s="31" t="n">
        <v>12529.64</v>
      </c>
      <c r="I1131" s="31" t="n">
        <v>222.4</v>
      </c>
      <c r="J1131" s="31" t="n">
        <v>12307.24</v>
      </c>
      <c r="K1131" s="31" t="n">
        <v>0</v>
      </c>
      <c r="L1131" s="32" t="n">
        <v>8</v>
      </c>
      <c r="M1131" s="32" t="n">
        <v>61</v>
      </c>
      <c r="N1131" s="31" t="n">
        <v>12307.24</v>
      </c>
      <c r="O1131" s="31" t="n">
        <v>12307.24</v>
      </c>
      <c r="P1131" s="22" t="n">
        <v>0</v>
      </c>
      <c r="Q1131" s="22" t="n">
        <v>0</v>
      </c>
      <c r="R1131" s="22" t="n">
        <v>0</v>
      </c>
    </row>
    <row r="1132">
      <c r="A1132" s="22" t="n">
        <v>201801</v>
      </c>
      <c r="B1132" s="22" t="inlineStr">
        <is>
          <t>01/2018</t>
        </is>
      </c>
      <c r="C1132" s="22" t="n">
        <v>38</v>
      </c>
      <c r="D1132" s="22" t="inlineStr">
        <is>
          <t>S38</t>
        </is>
      </c>
      <c r="E1132" s="22" t="inlineStr">
        <is>
          <t>Nexa Belfast (S38)</t>
        </is>
      </c>
      <c r="F1132" s="22" t="inlineStr">
        <is>
          <t>Anh</t>
        </is>
      </c>
      <c r="G1132" s="22" t="inlineStr">
        <is>
          <t>POS</t>
        </is>
      </c>
      <c r="H1132" s="31" t="n">
        <v>13520.41</v>
      </c>
      <c r="I1132" s="31" t="n">
        <v>676.03</v>
      </c>
      <c r="J1132" s="31" t="n">
        <v>12844.38</v>
      </c>
      <c r="K1132" s="31" t="n">
        <v>499.9</v>
      </c>
      <c r="L1132" s="32" t="n">
        <v>4</v>
      </c>
      <c r="M1132" s="32" t="n">
        <v>44</v>
      </c>
      <c r="N1132" s="31" t="n">
        <v>12344.48</v>
      </c>
      <c r="O1132" s="31" t="n">
        <v>12844.38</v>
      </c>
      <c r="P1132" s="22" t="n">
        <v>0</v>
      </c>
      <c r="Q1132" s="22" t="n">
        <v>0</v>
      </c>
      <c r="R1132" s="22" t="n">
        <v>0</v>
      </c>
    </row>
    <row r="1133">
      <c r="A1133" s="22" t="n">
        <v>201801</v>
      </c>
      <c r="B1133" s="22" t="inlineStr">
        <is>
          <t>01/2018</t>
        </is>
      </c>
      <c r="C1133" s="22" t="n">
        <v>39</v>
      </c>
      <c r="D1133" s="22" t="inlineStr">
        <is>
          <t>S39</t>
        </is>
      </c>
      <c r="E1133" s="22" t="inlineStr">
        <is>
          <t>Nexa Blaenau Gwent (S39)</t>
        </is>
      </c>
      <c r="F1133" s="22" t="inlineStr">
        <is>
          <t>Anh</t>
        </is>
      </c>
      <c r="G1133" s="22" t="inlineStr">
        <is>
          <t>POS</t>
        </is>
      </c>
      <c r="H1133" s="31" t="n">
        <v>20606.88</v>
      </c>
      <c r="I1133" s="31" t="n">
        <v>322.03</v>
      </c>
      <c r="J1133" s="31" t="n">
        <v>20284.85</v>
      </c>
      <c r="K1133" s="31" t="n">
        <v>41.8</v>
      </c>
      <c r="L1133" s="32" t="n">
        <v>7</v>
      </c>
      <c r="M1133" s="32" t="n">
        <v>67</v>
      </c>
      <c r="N1133" s="31" t="n">
        <v>20243.05</v>
      </c>
      <c r="O1133" s="31" t="n">
        <v>20284.85</v>
      </c>
      <c r="P1133" s="22" t="n">
        <v>0</v>
      </c>
      <c r="Q1133" s="22" t="n">
        <v>0</v>
      </c>
      <c r="R1133" s="22" t="n">
        <v>0</v>
      </c>
    </row>
    <row r="1134">
      <c r="A1134" s="22" t="n">
        <v>201801</v>
      </c>
      <c r="B1134" s="22" t="inlineStr">
        <is>
          <t>01/2018</t>
        </is>
      </c>
      <c r="C1134" s="22" t="n">
        <v>40</v>
      </c>
      <c r="D1134" s="22" t="inlineStr">
        <is>
          <t>S40</t>
        </is>
      </c>
      <c r="E1134" s="22" t="inlineStr">
        <is>
          <t>Nexa Dungannon and South Tyrone (S40)</t>
        </is>
      </c>
      <c r="F1134" s="22" t="inlineStr">
        <is>
          <t>Anh</t>
        </is>
      </c>
      <c r="G1134" s="22" t="inlineStr">
        <is>
          <t>POS</t>
        </is>
      </c>
      <c r="H1134" s="31" t="n">
        <v>23342.24</v>
      </c>
      <c r="I1134" s="31" t="n">
        <v>671.84</v>
      </c>
      <c r="J1134" s="31" t="n">
        <v>22670.4</v>
      </c>
      <c r="K1134" s="31" t="n">
        <v>944.4299999999999</v>
      </c>
      <c r="L1134" s="32" t="n">
        <v>17</v>
      </c>
      <c r="M1134" s="32" t="n">
        <v>141</v>
      </c>
      <c r="N1134" s="31" t="n">
        <v>21725.97</v>
      </c>
      <c r="O1134" s="31" t="n">
        <v>22670.4</v>
      </c>
      <c r="P1134" s="22" t="n">
        <v>0</v>
      </c>
      <c r="Q1134" s="22" t="n">
        <v>0</v>
      </c>
      <c r="R1134" s="22" t="n">
        <v>0</v>
      </c>
    </row>
    <row r="1135">
      <c r="A1135" s="22" t="n">
        <v>201801</v>
      </c>
      <c r="B1135" s="22" t="inlineStr">
        <is>
          <t>01/2018</t>
        </is>
      </c>
      <c r="C1135" s="22" t="n">
        <v>41</v>
      </c>
      <c r="D1135" s="22" t="inlineStr">
        <is>
          <t>S41</t>
        </is>
      </c>
      <c r="E1135" s="22" t="inlineStr">
        <is>
          <t>Nexa Fermanagh (S41)</t>
        </is>
      </c>
      <c r="F1135" s="22" t="inlineStr">
        <is>
          <t>Anh</t>
        </is>
      </c>
      <c r="G1135" s="22" t="inlineStr">
        <is>
          <t>POS</t>
        </is>
      </c>
      <c r="H1135" s="31" t="n">
        <v>24582.13</v>
      </c>
      <c r="I1135" s="31" t="n">
        <v>655.97</v>
      </c>
      <c r="J1135" s="31" t="n">
        <v>23926.16</v>
      </c>
      <c r="K1135" s="31" t="n">
        <v>1859.11</v>
      </c>
      <c r="L1135" s="32" t="n">
        <v>11</v>
      </c>
      <c r="M1135" s="32" t="n">
        <v>100</v>
      </c>
      <c r="N1135" s="31" t="n">
        <v>22067.05</v>
      </c>
      <c r="O1135" s="31" t="n">
        <v>23926.16</v>
      </c>
      <c r="P1135" s="22" t="n">
        <v>0</v>
      </c>
      <c r="Q1135" s="22" t="n">
        <v>0</v>
      </c>
      <c r="R1135" s="22" t="n">
        <v>0</v>
      </c>
    </row>
    <row r="1136">
      <c r="A1136" s="22" t="n">
        <v>201801</v>
      </c>
      <c r="B1136" s="22" t="inlineStr">
        <is>
          <t>01/2018</t>
        </is>
      </c>
      <c r="C1136" s="22" t="n">
        <v>42</v>
      </c>
      <c r="D1136" s="22" t="inlineStr">
        <is>
          <t>S42</t>
        </is>
      </c>
      <c r="E1136" s="22" t="inlineStr">
        <is>
          <t>Nexa North Down (S42)</t>
        </is>
      </c>
      <c r="F1136" s="22" t="inlineStr">
        <is>
          <t>Anh</t>
        </is>
      </c>
      <c r="G1136" s="22" t="inlineStr">
        <is>
          <t>POS</t>
        </is>
      </c>
      <c r="H1136" s="31" t="n">
        <v>16249.61</v>
      </c>
      <c r="I1136" s="31" t="n">
        <v>312.52</v>
      </c>
      <c r="J1136" s="31" t="n">
        <v>15937.09</v>
      </c>
      <c r="K1136" s="31" t="n">
        <v>0</v>
      </c>
      <c r="L1136" s="32" t="n">
        <v>8</v>
      </c>
      <c r="M1136" s="32" t="n">
        <v>71</v>
      </c>
      <c r="N1136" s="31" t="n">
        <v>15937.09</v>
      </c>
      <c r="O1136" s="31" t="n">
        <v>15937.09</v>
      </c>
      <c r="P1136" s="22" t="n">
        <v>0</v>
      </c>
      <c r="Q1136" s="22" t="n">
        <v>0</v>
      </c>
      <c r="R1136" s="22" t="n">
        <v>0</v>
      </c>
    </row>
    <row r="1137">
      <c r="A1137" s="22" t="n">
        <v>201801</v>
      </c>
      <c r="B1137" s="22" t="inlineStr">
        <is>
          <t>01/2018</t>
        </is>
      </c>
      <c r="C1137" s="22" t="n">
        <v>43</v>
      </c>
      <c r="D1137" s="22" t="inlineStr">
        <is>
          <t>S43</t>
        </is>
      </c>
      <c r="E1137" s="22" t="inlineStr">
        <is>
          <t>Nexa Alaska (S43)</t>
        </is>
      </c>
      <c r="F1137" s="22" t="inlineStr">
        <is>
          <t>Mỹ</t>
        </is>
      </c>
      <c r="G1137" s="22" t="inlineStr">
        <is>
          <t>POS</t>
        </is>
      </c>
      <c r="H1137" s="31" t="n">
        <v>2817.21</v>
      </c>
      <c r="I1137" s="31" t="n">
        <v>72.65000000000001</v>
      </c>
      <c r="J1137" s="31" t="n">
        <v>2744.56</v>
      </c>
      <c r="K1137" s="31" t="n">
        <v>0</v>
      </c>
      <c r="L1137" s="32" t="n">
        <v>6</v>
      </c>
      <c r="M1137" s="32" t="n">
        <v>22</v>
      </c>
      <c r="N1137" s="31" t="n">
        <v>2744.56</v>
      </c>
      <c r="O1137" s="31" t="n">
        <v>2744.56</v>
      </c>
      <c r="P1137" s="22" t="n">
        <v>0</v>
      </c>
      <c r="Q1137" s="22" t="n">
        <v>0</v>
      </c>
      <c r="R1137" s="22" t="n">
        <v>0</v>
      </c>
    </row>
    <row r="1138">
      <c r="A1138" s="22" t="n">
        <v>201801</v>
      </c>
      <c r="B1138" s="22" t="inlineStr">
        <is>
          <t>01/2018</t>
        </is>
      </c>
      <c r="C1138" s="22" t="n">
        <v>44</v>
      </c>
      <c r="D1138" s="22" t="inlineStr">
        <is>
          <t>S44</t>
        </is>
      </c>
      <c r="E1138" s="22" t="inlineStr">
        <is>
          <t>Nexa Arkansas (S44)</t>
        </is>
      </c>
      <c r="F1138" s="22" t="inlineStr">
        <is>
          <t>Mỹ</t>
        </is>
      </c>
      <c r="G1138" s="22" t="inlineStr">
        <is>
          <t>POS</t>
        </is>
      </c>
      <c r="H1138" s="31" t="n">
        <v>22837.84</v>
      </c>
      <c r="I1138" s="31" t="n">
        <v>429.74</v>
      </c>
      <c r="J1138" s="31" t="n">
        <v>22408.1</v>
      </c>
      <c r="K1138" s="31" t="n">
        <v>13.98</v>
      </c>
      <c r="L1138" s="32" t="n">
        <v>16</v>
      </c>
      <c r="M1138" s="32" t="n">
        <v>111</v>
      </c>
      <c r="N1138" s="31" t="n">
        <v>22384.13</v>
      </c>
      <c r="O1138" s="31" t="n">
        <v>22408.1</v>
      </c>
      <c r="P1138" s="22" t="n">
        <v>0</v>
      </c>
      <c r="Q1138" s="22" t="n">
        <v>0</v>
      </c>
      <c r="R1138" s="22" t="n">
        <v>0</v>
      </c>
    </row>
    <row r="1139">
      <c r="A1139" s="22" t="n">
        <v>201801</v>
      </c>
      <c r="B1139" s="22" t="inlineStr">
        <is>
          <t>01/2018</t>
        </is>
      </c>
      <c r="C1139" s="22" t="n">
        <v>45</v>
      </c>
      <c r="D1139" s="22" t="inlineStr">
        <is>
          <t>S45</t>
        </is>
      </c>
      <c r="E1139" s="22" t="inlineStr">
        <is>
          <t>Nexa Connecticut (S45)</t>
        </is>
      </c>
      <c r="F1139" s="22" t="inlineStr">
        <is>
          <t>Mỹ</t>
        </is>
      </c>
      <c r="G1139" s="22" t="inlineStr">
        <is>
          <t>POS</t>
        </is>
      </c>
      <c r="H1139" s="31" t="n">
        <v>15876.14</v>
      </c>
      <c r="I1139" s="31" t="n">
        <v>296.23</v>
      </c>
      <c r="J1139" s="31" t="n">
        <v>15579.91</v>
      </c>
      <c r="K1139" s="31" t="n">
        <v>1099</v>
      </c>
      <c r="L1139" s="32" t="n">
        <v>11</v>
      </c>
      <c r="M1139" s="32" t="n">
        <v>66</v>
      </c>
      <c r="N1139" s="31" t="n">
        <v>14480.91</v>
      </c>
      <c r="O1139" s="31" t="n">
        <v>15579.91</v>
      </c>
      <c r="P1139" s="22" t="n">
        <v>0</v>
      </c>
      <c r="Q1139" s="22" t="n">
        <v>0</v>
      </c>
      <c r="R1139" s="22" t="n">
        <v>0</v>
      </c>
    </row>
    <row r="1140">
      <c r="A1140" s="22" t="n">
        <v>201801</v>
      </c>
      <c r="B1140" s="22" t="inlineStr">
        <is>
          <t>01/2018</t>
        </is>
      </c>
      <c r="C1140" s="22" t="n">
        <v>47</v>
      </c>
      <c r="D1140" s="22" t="inlineStr">
        <is>
          <t>S47</t>
        </is>
      </c>
      <c r="E1140" s="22" t="inlineStr">
        <is>
          <t>Nexa Hawaii (S47)</t>
        </is>
      </c>
      <c r="F1140" s="22" t="inlineStr">
        <is>
          <t>Mỹ</t>
        </is>
      </c>
      <c r="G1140" s="22" t="inlineStr">
        <is>
          <t>POS</t>
        </is>
      </c>
      <c r="H1140" s="31" t="n">
        <v>12333.87</v>
      </c>
      <c r="I1140" s="31" t="n">
        <v>158.19</v>
      </c>
      <c r="J1140" s="31" t="n">
        <v>12175.68</v>
      </c>
      <c r="K1140" s="31" t="n">
        <v>951</v>
      </c>
      <c r="L1140" s="32" t="n">
        <v>8</v>
      </c>
      <c r="M1140" s="32" t="n">
        <v>60</v>
      </c>
      <c r="N1140" s="31" t="n">
        <v>11224.68</v>
      </c>
      <c r="O1140" s="31" t="n">
        <v>12175.68</v>
      </c>
      <c r="P1140" s="22" t="n">
        <v>0</v>
      </c>
      <c r="Q1140" s="22" t="n">
        <v>0</v>
      </c>
      <c r="R1140" s="22" t="n">
        <v>0</v>
      </c>
    </row>
    <row r="1141">
      <c r="A1141" s="22" t="n">
        <v>201801</v>
      </c>
      <c r="B1141" s="22" t="inlineStr">
        <is>
          <t>01/2018</t>
        </is>
      </c>
      <c r="C1141" s="22" t="n">
        <v>48</v>
      </c>
      <c r="D1141" s="22" t="inlineStr">
        <is>
          <t>S48</t>
        </is>
      </c>
      <c r="E1141" s="22" t="inlineStr">
        <is>
          <t>Nexa Idaho (S48)</t>
        </is>
      </c>
      <c r="F1141" s="22" t="inlineStr">
        <is>
          <t>Mỹ</t>
        </is>
      </c>
      <c r="G1141" s="22" t="inlineStr">
        <is>
          <t>POS</t>
        </is>
      </c>
      <c r="H1141" s="31" t="n">
        <v>1064.88</v>
      </c>
      <c r="I1141" s="31" t="n">
        <v>52.4</v>
      </c>
      <c r="J1141" s="31" t="n">
        <v>1012.48</v>
      </c>
      <c r="K1141" s="31" t="n">
        <v>237</v>
      </c>
      <c r="L1141" s="32" t="n">
        <v>3</v>
      </c>
      <c r="M1141" s="32" t="n">
        <v>9</v>
      </c>
      <c r="N1141" s="31" t="n">
        <v>775.48</v>
      </c>
      <c r="O1141" s="31" t="n">
        <v>1012.48</v>
      </c>
      <c r="P1141" s="22" t="n">
        <v>0</v>
      </c>
      <c r="Q1141" s="22" t="n">
        <v>0</v>
      </c>
      <c r="R1141" s="22" t="n">
        <v>0</v>
      </c>
    </row>
    <row r="1142">
      <c r="A1142" s="22" t="n">
        <v>201801</v>
      </c>
      <c r="B1142" s="22" t="inlineStr">
        <is>
          <t>01/2018</t>
        </is>
      </c>
      <c r="C1142" s="22" t="n">
        <v>50</v>
      </c>
      <c r="D1142" s="22" t="inlineStr">
        <is>
          <t>S50</t>
        </is>
      </c>
      <c r="E1142" s="22" t="inlineStr">
        <is>
          <t>Nexa Kansas (S50)</t>
        </is>
      </c>
      <c r="F1142" s="22" t="inlineStr">
        <is>
          <t>Mỹ</t>
        </is>
      </c>
      <c r="G1142" s="22" t="inlineStr">
        <is>
          <t>POS</t>
        </is>
      </c>
      <c r="H1142" s="31" t="n">
        <v>18711.44</v>
      </c>
      <c r="I1142" s="31" t="n">
        <v>0</v>
      </c>
      <c r="J1142" s="31" t="n">
        <v>18711.44</v>
      </c>
      <c r="K1142" s="31" t="n">
        <v>1015.93</v>
      </c>
      <c r="L1142" s="32" t="n">
        <v>5</v>
      </c>
      <c r="M1142" s="32" t="n">
        <v>59</v>
      </c>
      <c r="N1142" s="31" t="n">
        <v>17695.51</v>
      </c>
      <c r="O1142" s="31" t="n">
        <v>18711.44</v>
      </c>
      <c r="P1142" s="22" t="n">
        <v>0</v>
      </c>
      <c r="Q1142" s="22" t="n">
        <v>0</v>
      </c>
      <c r="R1142" s="22" t="n">
        <v>0</v>
      </c>
    </row>
    <row r="1143">
      <c r="A1143" s="22" t="n">
        <v>201801</v>
      </c>
      <c r="B1143" s="22" t="inlineStr">
        <is>
          <t>01/2018</t>
        </is>
      </c>
      <c r="C1143" s="22" t="n">
        <v>51</v>
      </c>
      <c r="D1143" s="22" t="inlineStr">
        <is>
          <t>S51</t>
        </is>
      </c>
      <c r="E1143" s="22" t="inlineStr">
        <is>
          <t>Nexa Maine (S51)</t>
        </is>
      </c>
      <c r="F1143" s="22" t="inlineStr">
        <is>
          <t>Mỹ</t>
        </is>
      </c>
      <c r="G1143" s="22" t="inlineStr">
        <is>
          <t>POS</t>
        </is>
      </c>
      <c r="H1143" s="31" t="n">
        <v>11931.45</v>
      </c>
      <c r="I1143" s="31" t="n">
        <v>50.37</v>
      </c>
      <c r="J1143" s="31" t="n">
        <v>11881.08</v>
      </c>
      <c r="K1143" s="31" t="n">
        <v>189.98</v>
      </c>
      <c r="L1143" s="32" t="n">
        <v>5</v>
      </c>
      <c r="M1143" s="32" t="n">
        <v>39</v>
      </c>
      <c r="N1143" s="31" t="n">
        <v>11691.1</v>
      </c>
      <c r="O1143" s="31" t="n">
        <v>11881.08</v>
      </c>
      <c r="P1143" s="22" t="n">
        <v>0</v>
      </c>
      <c r="Q1143" s="22" t="n">
        <v>0</v>
      </c>
      <c r="R1143" s="22" t="n">
        <v>0</v>
      </c>
    </row>
    <row r="1144">
      <c r="A1144" s="22" t="n">
        <v>201801</v>
      </c>
      <c r="B1144" s="22" t="inlineStr">
        <is>
          <t>01/2018</t>
        </is>
      </c>
      <c r="C1144" s="22" t="n">
        <v>53</v>
      </c>
      <c r="D1144" s="22" t="inlineStr">
        <is>
          <t>S53</t>
        </is>
      </c>
      <c r="E1144" s="22" t="inlineStr">
        <is>
          <t>Nexa Montana (S53)</t>
        </is>
      </c>
      <c r="F1144" s="22" t="inlineStr">
        <is>
          <t>Mỹ</t>
        </is>
      </c>
      <c r="G1144" s="22" t="inlineStr">
        <is>
          <t>POS</t>
        </is>
      </c>
      <c r="H1144" s="31" t="n">
        <v>28581.76</v>
      </c>
      <c r="I1144" s="31" t="n">
        <v>604.39</v>
      </c>
      <c r="J1144" s="31" t="n">
        <v>27977.37</v>
      </c>
      <c r="K1144" s="31" t="n">
        <v>1644.45</v>
      </c>
      <c r="L1144" s="32" t="n">
        <v>8</v>
      </c>
      <c r="M1144" s="32" t="n">
        <v>71</v>
      </c>
      <c r="N1144" s="31" t="n">
        <v>26576.12</v>
      </c>
      <c r="O1144" s="31" t="n">
        <v>27977.37</v>
      </c>
      <c r="P1144" s="22" t="n">
        <v>0</v>
      </c>
      <c r="Q1144" s="22" t="n">
        <v>0</v>
      </c>
      <c r="R1144" s="22" t="n">
        <v>0</v>
      </c>
    </row>
    <row r="1145">
      <c r="A1145" s="22" t="n">
        <v>201801</v>
      </c>
      <c r="B1145" s="22" t="inlineStr">
        <is>
          <t>01/2018</t>
        </is>
      </c>
      <c r="C1145" s="22" t="n">
        <v>54</v>
      </c>
      <c r="D1145" s="22" t="inlineStr">
        <is>
          <t>S54</t>
        </is>
      </c>
      <c r="E1145" s="22" t="inlineStr">
        <is>
          <t>Nexa Nebraska (S54)</t>
        </is>
      </c>
      <c r="F1145" s="22" t="inlineStr">
        <is>
          <t>Mỹ</t>
        </is>
      </c>
      <c r="G1145" s="22" t="inlineStr">
        <is>
          <t>POS</t>
        </is>
      </c>
      <c r="H1145" s="31" t="n">
        <v>22204.37</v>
      </c>
      <c r="I1145" s="31" t="n">
        <v>646.28</v>
      </c>
      <c r="J1145" s="31" t="n">
        <v>21558.09</v>
      </c>
      <c r="K1145" s="31" t="n">
        <v>499.97</v>
      </c>
      <c r="L1145" s="32" t="n">
        <v>13</v>
      </c>
      <c r="M1145" s="32" t="n">
        <v>95</v>
      </c>
      <c r="N1145" s="31" t="n">
        <v>21058.12</v>
      </c>
      <c r="O1145" s="31" t="n">
        <v>21558.09</v>
      </c>
      <c r="P1145" s="22" t="n">
        <v>0</v>
      </c>
      <c r="Q1145" s="22" t="n">
        <v>0</v>
      </c>
      <c r="R1145" s="22" t="n">
        <v>0</v>
      </c>
    </row>
    <row r="1146">
      <c r="A1146" s="22" t="n">
        <v>201801</v>
      </c>
      <c r="B1146" s="22" t="inlineStr">
        <is>
          <t>01/2018</t>
        </is>
      </c>
      <c r="C1146" s="22" t="n">
        <v>55</v>
      </c>
      <c r="D1146" s="22" t="inlineStr">
        <is>
          <t>S55</t>
        </is>
      </c>
      <c r="E1146" s="22" t="inlineStr">
        <is>
          <t>Nexa Nevada (S55)</t>
        </is>
      </c>
      <c r="F1146" s="22" t="inlineStr">
        <is>
          <t>Mỹ</t>
        </is>
      </c>
      <c r="G1146" s="22" t="inlineStr">
        <is>
          <t>POS</t>
        </is>
      </c>
      <c r="H1146" s="31" t="n">
        <v>20920.08</v>
      </c>
      <c r="I1146" s="31" t="n">
        <v>90</v>
      </c>
      <c r="J1146" s="31" t="n">
        <v>20830.08</v>
      </c>
      <c r="K1146" s="31" t="n">
        <v>0</v>
      </c>
      <c r="L1146" s="32" t="n">
        <v>8</v>
      </c>
      <c r="M1146" s="32" t="n">
        <v>59</v>
      </c>
      <c r="N1146" s="31" t="n">
        <v>20830.08</v>
      </c>
      <c r="O1146" s="31" t="n">
        <v>20830.08</v>
      </c>
      <c r="P1146" s="22" t="n">
        <v>0</v>
      </c>
      <c r="Q1146" s="22" t="n">
        <v>0</v>
      </c>
      <c r="R1146" s="22" t="n">
        <v>0</v>
      </c>
    </row>
    <row r="1147">
      <c r="A1147" s="22" t="n">
        <v>201801</v>
      </c>
      <c r="B1147" s="22" t="inlineStr">
        <is>
          <t>01/2018</t>
        </is>
      </c>
      <c r="C1147" s="22" t="n">
        <v>56</v>
      </c>
      <c r="D1147" s="22" t="inlineStr">
        <is>
          <t>S56</t>
        </is>
      </c>
      <c r="E1147" s="22" t="inlineStr">
        <is>
          <t>Nexa New Hampshire (S56)</t>
        </is>
      </c>
      <c r="F1147" s="22" t="inlineStr">
        <is>
          <t>Mỹ</t>
        </is>
      </c>
      <c r="G1147" s="22" t="inlineStr">
        <is>
          <t>POS</t>
        </is>
      </c>
      <c r="H1147" s="31" t="n">
        <v>65934.96000000001</v>
      </c>
      <c r="I1147" s="31" t="n">
        <v>170.05</v>
      </c>
      <c r="J1147" s="31" t="n">
        <v>65764.91</v>
      </c>
      <c r="K1147" s="31" t="n">
        <v>95.90000000000001</v>
      </c>
      <c r="L1147" s="32" t="n">
        <v>14</v>
      </c>
      <c r="M1147" s="32" t="n">
        <v>128</v>
      </c>
      <c r="N1147" s="31" t="n">
        <v>65669.00999999999</v>
      </c>
      <c r="O1147" s="31" t="n">
        <v>65764.91</v>
      </c>
      <c r="P1147" s="22" t="n">
        <v>1</v>
      </c>
      <c r="Q1147" s="22" t="n">
        <v>0</v>
      </c>
      <c r="R1147" s="22" t="n">
        <v>0</v>
      </c>
    </row>
    <row r="1148">
      <c r="A1148" s="22" t="n">
        <v>201801</v>
      </c>
      <c r="B1148" s="22" t="inlineStr">
        <is>
          <t>01/2018</t>
        </is>
      </c>
      <c r="C1148" s="22" t="n">
        <v>57</v>
      </c>
      <c r="D1148" s="22" t="inlineStr">
        <is>
          <t>S57</t>
        </is>
      </c>
      <c r="E1148" s="22" t="inlineStr">
        <is>
          <t>Nexa New Mexico (S57)</t>
        </is>
      </c>
      <c r="F1148" s="22" t="inlineStr">
        <is>
          <t>Mỹ</t>
        </is>
      </c>
      <c r="G1148" s="22" t="inlineStr">
        <is>
          <t>POS</t>
        </is>
      </c>
      <c r="H1148" s="31" t="n">
        <v>23671.82</v>
      </c>
      <c r="I1148" s="31" t="n">
        <v>649.11</v>
      </c>
      <c r="J1148" s="31" t="n">
        <v>23022.71</v>
      </c>
      <c r="K1148" s="31" t="n">
        <v>118.1</v>
      </c>
      <c r="L1148" s="32" t="n">
        <v>11</v>
      </c>
      <c r="M1148" s="32" t="n">
        <v>82</v>
      </c>
      <c r="N1148" s="31" t="n">
        <v>22904.61</v>
      </c>
      <c r="O1148" s="31" t="n">
        <v>23022.71</v>
      </c>
      <c r="P1148" s="22" t="n">
        <v>0</v>
      </c>
      <c r="Q1148" s="22" t="n">
        <v>0</v>
      </c>
      <c r="R1148" s="22" t="n">
        <v>1</v>
      </c>
    </row>
    <row r="1149">
      <c r="A1149" s="22" t="n">
        <v>201801</v>
      </c>
      <c r="B1149" s="22" t="inlineStr">
        <is>
          <t>01/2018</t>
        </is>
      </c>
      <c r="C1149" s="22" t="n">
        <v>59</v>
      </c>
      <c r="D1149" s="22" t="inlineStr">
        <is>
          <t>S59</t>
        </is>
      </c>
      <c r="E1149" s="22" t="inlineStr">
        <is>
          <t>Nexa Oregon (S59)</t>
        </is>
      </c>
      <c r="F1149" s="22" t="inlineStr">
        <is>
          <t>Mỹ</t>
        </is>
      </c>
      <c r="G1149" s="22" t="inlineStr">
        <is>
          <t>POS</t>
        </is>
      </c>
      <c r="H1149" s="31" t="n">
        <v>9365.469999999999</v>
      </c>
      <c r="I1149" s="31" t="n">
        <v>320.75</v>
      </c>
      <c r="J1149" s="31" t="n">
        <v>9044.719999999999</v>
      </c>
      <c r="K1149" s="31" t="n">
        <v>0</v>
      </c>
      <c r="L1149" s="32" t="n">
        <v>8</v>
      </c>
      <c r="M1149" s="32" t="n">
        <v>45</v>
      </c>
      <c r="N1149" s="31" t="n">
        <v>9044.719999999999</v>
      </c>
      <c r="O1149" s="31" t="n">
        <v>9044.719999999999</v>
      </c>
      <c r="P1149" s="22" t="n">
        <v>0</v>
      </c>
      <c r="Q1149" s="22" t="n">
        <v>0</v>
      </c>
      <c r="R1149" s="22" t="n">
        <v>0</v>
      </c>
    </row>
    <row r="1150">
      <c r="A1150" s="22" t="n">
        <v>201801</v>
      </c>
      <c r="B1150" s="22" t="inlineStr">
        <is>
          <t>01/2018</t>
        </is>
      </c>
      <c r="C1150" s="22" t="n">
        <v>61</v>
      </c>
      <c r="D1150" s="22" t="inlineStr">
        <is>
          <t>S61</t>
        </is>
      </c>
      <c r="E1150" s="22" t="inlineStr">
        <is>
          <t>Nexa South Carolina (S61)</t>
        </is>
      </c>
      <c r="F1150" s="22" t="inlineStr">
        <is>
          <t>Mỹ</t>
        </is>
      </c>
      <c r="G1150" s="22" t="inlineStr">
        <is>
          <t>POS</t>
        </is>
      </c>
      <c r="H1150" s="31" t="n">
        <v>10012.58</v>
      </c>
      <c r="I1150" s="31" t="n">
        <v>161.23</v>
      </c>
      <c r="J1150" s="31" t="n">
        <v>9851.35</v>
      </c>
      <c r="K1150" s="31" t="n">
        <v>1020.3</v>
      </c>
      <c r="L1150" s="32" t="n">
        <v>5</v>
      </c>
      <c r="M1150" s="32" t="n">
        <v>36</v>
      </c>
      <c r="N1150" s="31" t="n">
        <v>8831.049999999999</v>
      </c>
      <c r="O1150" s="31" t="n">
        <v>9851.35</v>
      </c>
      <c r="P1150" s="22" t="n">
        <v>0</v>
      </c>
      <c r="Q1150" s="22" t="n">
        <v>0</v>
      </c>
      <c r="R1150" s="22" t="n">
        <v>0</v>
      </c>
    </row>
    <row r="1151">
      <c r="A1151" s="22" t="n">
        <v>201801</v>
      </c>
      <c r="B1151" s="22" t="inlineStr">
        <is>
          <t>01/2018</t>
        </is>
      </c>
      <c r="C1151" s="22" t="n">
        <v>63</v>
      </c>
      <c r="D1151" s="22" t="inlineStr">
        <is>
          <t>S63</t>
        </is>
      </c>
      <c r="E1151" s="22" t="inlineStr">
        <is>
          <t>Nexa Utah (S63)</t>
        </is>
      </c>
      <c r="F1151" s="22" t="inlineStr">
        <is>
          <t>Mỹ</t>
        </is>
      </c>
      <c r="G1151" s="22" t="inlineStr">
        <is>
          <t>POS</t>
        </is>
      </c>
      <c r="H1151" s="31" t="n">
        <v>20065.23</v>
      </c>
      <c r="I1151" s="31" t="n">
        <v>440.58</v>
      </c>
      <c r="J1151" s="31" t="n">
        <v>19624.65</v>
      </c>
      <c r="K1151" s="31" t="n">
        <v>467.87</v>
      </c>
      <c r="L1151" s="32" t="n">
        <v>7</v>
      </c>
      <c r="M1151" s="32" t="n">
        <v>58</v>
      </c>
      <c r="N1151" s="31" t="n">
        <v>19156.78</v>
      </c>
      <c r="O1151" s="31" t="n">
        <v>19624.65</v>
      </c>
      <c r="P1151" s="22" t="n">
        <v>0</v>
      </c>
      <c r="Q1151" s="22" t="n">
        <v>0</v>
      </c>
      <c r="R1151" s="22" t="n">
        <v>0</v>
      </c>
    </row>
    <row r="1152">
      <c r="A1152" s="22" t="n">
        <v>201801</v>
      </c>
      <c r="B1152" s="22" t="inlineStr">
        <is>
          <t>01/2018</t>
        </is>
      </c>
      <c r="C1152" s="22" t="n">
        <v>64</v>
      </c>
      <c r="D1152" s="22" t="inlineStr">
        <is>
          <t>S64</t>
        </is>
      </c>
      <c r="E1152" s="22" t="inlineStr">
        <is>
          <t>Nexa Washington DC (S64)</t>
        </is>
      </c>
      <c r="F1152" s="22" t="inlineStr">
        <is>
          <t>Mỹ</t>
        </is>
      </c>
      <c r="G1152" s="22" t="inlineStr">
        <is>
          <t>POS</t>
        </is>
      </c>
      <c r="H1152" s="31" t="n">
        <v>29488.02</v>
      </c>
      <c r="I1152" s="31" t="n">
        <v>1177.31</v>
      </c>
      <c r="J1152" s="31" t="n">
        <v>28310.71</v>
      </c>
      <c r="K1152" s="31" t="n">
        <v>923.48</v>
      </c>
      <c r="L1152" s="32" t="n">
        <v>11</v>
      </c>
      <c r="M1152" s="32" t="n">
        <v>81</v>
      </c>
      <c r="N1152" s="31" t="n">
        <v>27387.23</v>
      </c>
      <c r="O1152" s="31" t="n">
        <v>28310.71</v>
      </c>
      <c r="P1152" s="22" t="n">
        <v>0</v>
      </c>
      <c r="Q1152" s="22" t="n">
        <v>0</v>
      </c>
      <c r="R1152" s="22" t="n">
        <v>0</v>
      </c>
    </row>
    <row r="1153">
      <c r="A1153" s="22" t="n">
        <v>201801</v>
      </c>
      <c r="B1153" s="22" t="inlineStr">
        <is>
          <t>01/2018</t>
        </is>
      </c>
      <c r="C1153" s="22" t="n">
        <v>65</v>
      </c>
      <c r="D1153" s="22" t="inlineStr">
        <is>
          <t>S65</t>
        </is>
      </c>
      <c r="E1153" s="22" t="inlineStr">
        <is>
          <t>Nexa West Virginia (S65)</t>
        </is>
      </c>
      <c r="F1153" s="22" t="inlineStr">
        <is>
          <t>Mỹ</t>
        </is>
      </c>
      <c r="G1153" s="22" t="inlineStr">
        <is>
          <t>POS</t>
        </is>
      </c>
      <c r="H1153" s="31" t="n">
        <v>17449.02</v>
      </c>
      <c r="I1153" s="31" t="n">
        <v>69.06</v>
      </c>
      <c r="J1153" s="31" t="n">
        <v>17379.96</v>
      </c>
      <c r="K1153" s="31" t="n">
        <v>0</v>
      </c>
      <c r="L1153" s="32" t="n">
        <v>10</v>
      </c>
      <c r="M1153" s="32" t="n">
        <v>61</v>
      </c>
      <c r="N1153" s="31" t="n">
        <v>17379.96</v>
      </c>
      <c r="O1153" s="31" t="n">
        <v>17379.96</v>
      </c>
      <c r="P1153" s="22" t="n">
        <v>0</v>
      </c>
      <c r="Q1153" s="22" t="n">
        <v>0</v>
      </c>
      <c r="R1153" s="22" t="n">
        <v>0</v>
      </c>
    </row>
    <row r="1154">
      <c r="A1154" s="22" t="n">
        <v>201801</v>
      </c>
      <c r="B1154" s="22" t="inlineStr">
        <is>
          <t>01/2018</t>
        </is>
      </c>
      <c r="C1154" s="22" t="n">
        <v>66</v>
      </c>
      <c r="D1154" s="22" t="inlineStr">
        <is>
          <t>S66</t>
        </is>
      </c>
      <c r="E1154" s="22" t="inlineStr">
        <is>
          <t>Nexa Wyoming (S66)</t>
        </is>
      </c>
      <c r="F1154" s="22" t="inlineStr">
        <is>
          <t>Mỹ</t>
        </is>
      </c>
      <c r="G1154" s="22" t="inlineStr">
        <is>
          <t>POS</t>
        </is>
      </c>
      <c r="H1154" s="31" t="n">
        <v>21134.39</v>
      </c>
      <c r="I1154" s="31" t="n">
        <v>204.44</v>
      </c>
      <c r="J1154" s="31" t="n">
        <v>20929.95</v>
      </c>
      <c r="K1154" s="31" t="n">
        <v>47.95</v>
      </c>
      <c r="L1154" s="32" t="n">
        <v>11</v>
      </c>
      <c r="M1154" s="32" t="n">
        <v>69</v>
      </c>
      <c r="N1154" s="31" t="n">
        <v>20882</v>
      </c>
      <c r="O1154" s="31" t="n">
        <v>20929.95</v>
      </c>
      <c r="P1154" s="22" t="n">
        <v>0</v>
      </c>
      <c r="Q1154" s="22" t="n">
        <v>0</v>
      </c>
      <c r="R1154" s="22" t="n">
        <v>0</v>
      </c>
    </row>
    <row r="1155">
      <c r="A1155" s="22" t="n">
        <v>201802</v>
      </c>
      <c r="B1155" s="22" t="inlineStr">
        <is>
          <t>02/2018</t>
        </is>
      </c>
      <c r="C1155" s="22" t="n">
        <v>0</v>
      </c>
      <c r="D1155" s="22" t="inlineStr">
        <is>
          <t>ONL</t>
        </is>
      </c>
      <c r="E1155" s="22" t="inlineStr">
        <is>
          <t>Nexa Online (website/app)</t>
        </is>
      </c>
      <c r="F1155" s="22" t="inlineStr">
        <is>
          <t>Online</t>
        </is>
      </c>
      <c r="G1155" s="22" t="inlineStr">
        <is>
          <t>ONLINE</t>
        </is>
      </c>
      <c r="H1155" s="31" t="n">
        <v>260944.5</v>
      </c>
      <c r="I1155" s="31" t="n">
        <v>2163.78</v>
      </c>
      <c r="J1155" s="31" t="n">
        <v>258780.72</v>
      </c>
      <c r="K1155" s="31" t="n">
        <v>716.87</v>
      </c>
      <c r="L1155" s="32" t="n">
        <v>90</v>
      </c>
      <c r="M1155" s="32" t="n">
        <v>754</v>
      </c>
      <c r="N1155" s="31" t="n">
        <v>243238.61</v>
      </c>
      <c r="O1155" s="31" t="n">
        <v>243955.48</v>
      </c>
      <c r="P1155" s="22" t="n">
        <v>4</v>
      </c>
      <c r="Q1155" s="22" t="n">
        <v>0</v>
      </c>
      <c r="R1155" s="22" t="n">
        <v>0</v>
      </c>
    </row>
    <row r="1156">
      <c r="A1156" s="22" t="n">
        <v>201802</v>
      </c>
      <c r="B1156" s="22" t="inlineStr">
        <is>
          <t>02/2018</t>
        </is>
      </c>
      <c r="C1156" s="22" t="n">
        <v>1</v>
      </c>
      <c r="D1156" s="22" t="inlineStr">
        <is>
          <t>S01</t>
        </is>
      </c>
      <c r="E1156" s="22" t="inlineStr">
        <is>
          <t>Nexa Australian Capital Territory (S01)</t>
        </is>
      </c>
      <c r="F1156" s="22" t="inlineStr">
        <is>
          <t>Úc</t>
        </is>
      </c>
      <c r="G1156" s="22" t="inlineStr">
        <is>
          <t>POS</t>
        </is>
      </c>
      <c r="H1156" s="31" t="n">
        <v>762.96</v>
      </c>
      <c r="I1156" s="31" t="n">
        <v>0</v>
      </c>
      <c r="J1156" s="31" t="n">
        <v>762.96</v>
      </c>
      <c r="K1156" s="31" t="n">
        <v>4.98</v>
      </c>
      <c r="L1156" s="32" t="n">
        <v>2</v>
      </c>
      <c r="M1156" s="32" t="n">
        <v>16</v>
      </c>
      <c r="N1156" s="31" t="n">
        <v>757.98</v>
      </c>
      <c r="O1156" s="31" t="n">
        <v>762.96</v>
      </c>
      <c r="P1156" s="22" t="n">
        <v>0</v>
      </c>
      <c r="Q1156" s="22" t="n">
        <v>0</v>
      </c>
      <c r="R1156" s="22" t="n">
        <v>0</v>
      </c>
    </row>
    <row r="1157">
      <c r="A1157" s="22" t="n">
        <v>201802</v>
      </c>
      <c r="B1157" s="22" t="inlineStr">
        <is>
          <t>02/2018</t>
        </is>
      </c>
      <c r="C1157" s="22" t="n">
        <v>4</v>
      </c>
      <c r="D1157" s="22" t="inlineStr">
        <is>
          <t>S04</t>
        </is>
      </c>
      <c r="E1157" s="22" t="inlineStr">
        <is>
          <t>Nexa Tasmania (S04)</t>
        </is>
      </c>
      <c r="F1157" s="22" t="inlineStr">
        <is>
          <t>Úc</t>
        </is>
      </c>
      <c r="G1157" s="22" t="inlineStr">
        <is>
          <t>POS</t>
        </is>
      </c>
      <c r="H1157" s="31" t="n">
        <v>9128.41</v>
      </c>
      <c r="I1157" s="31" t="n">
        <v>0</v>
      </c>
      <c r="J1157" s="31" t="n">
        <v>9128.41</v>
      </c>
      <c r="K1157" s="31" t="n">
        <v>64</v>
      </c>
      <c r="L1157" s="32" t="n">
        <v>3</v>
      </c>
      <c r="M1157" s="32" t="n">
        <v>33</v>
      </c>
      <c r="N1157" s="31" t="n">
        <v>9064.41</v>
      </c>
      <c r="O1157" s="31" t="n">
        <v>9128.41</v>
      </c>
      <c r="P1157" s="22" t="n">
        <v>0</v>
      </c>
      <c r="Q1157" s="22" t="n">
        <v>0</v>
      </c>
      <c r="R1157" s="22" t="n">
        <v>0</v>
      </c>
    </row>
    <row r="1158">
      <c r="A1158" s="22" t="n">
        <v>201802</v>
      </c>
      <c r="B1158" s="22" t="inlineStr">
        <is>
          <t>02/2018</t>
        </is>
      </c>
      <c r="C1158" s="22" t="n">
        <v>5</v>
      </c>
      <c r="D1158" s="22" t="inlineStr">
        <is>
          <t>S05</t>
        </is>
      </c>
      <c r="E1158" s="22" t="inlineStr">
        <is>
          <t>Nexa Victoria (S05)</t>
        </is>
      </c>
      <c r="F1158" s="22" t="inlineStr">
        <is>
          <t>Úc</t>
        </is>
      </c>
      <c r="G1158" s="22" t="inlineStr">
        <is>
          <t>POS</t>
        </is>
      </c>
      <c r="H1158" s="31" t="n">
        <v>25571.77</v>
      </c>
      <c r="I1158" s="31" t="n">
        <v>0</v>
      </c>
      <c r="J1158" s="31" t="n">
        <v>25571.77</v>
      </c>
      <c r="K1158" s="31" t="n">
        <v>0</v>
      </c>
      <c r="L1158" s="32" t="n">
        <v>10</v>
      </c>
      <c r="M1158" s="32" t="n">
        <v>78</v>
      </c>
      <c r="N1158" s="31" t="n">
        <v>25571.77</v>
      </c>
      <c r="O1158" s="31" t="n">
        <v>25571.77</v>
      </c>
      <c r="P1158" s="22" t="n">
        <v>0</v>
      </c>
      <c r="Q1158" s="22" t="n">
        <v>0</v>
      </c>
      <c r="R1158" s="22" t="n">
        <v>0</v>
      </c>
    </row>
    <row r="1159">
      <c r="A1159" s="22" t="n">
        <v>201802</v>
      </c>
      <c r="B1159" s="22" t="inlineStr">
        <is>
          <t>02/2018</t>
        </is>
      </c>
      <c r="C1159" s="22" t="n">
        <v>6</v>
      </c>
      <c r="D1159" s="22" t="inlineStr">
        <is>
          <t>S06</t>
        </is>
      </c>
      <c r="E1159" s="22" t="inlineStr">
        <is>
          <t>Nexa Western Australia (S06)</t>
        </is>
      </c>
      <c r="F1159" s="22" t="inlineStr">
        <is>
          <t>Úc</t>
        </is>
      </c>
      <c r="G1159" s="22" t="inlineStr">
        <is>
          <t>POS</t>
        </is>
      </c>
      <c r="H1159" s="31" t="n">
        <v>12099.2</v>
      </c>
      <c r="I1159" s="31" t="n">
        <v>0</v>
      </c>
      <c r="J1159" s="31" t="n">
        <v>12099.2</v>
      </c>
      <c r="K1159" s="31" t="n">
        <v>0</v>
      </c>
      <c r="L1159" s="32" t="n">
        <v>5</v>
      </c>
      <c r="M1159" s="32" t="n">
        <v>43</v>
      </c>
      <c r="N1159" s="31" t="n">
        <v>12099.2</v>
      </c>
      <c r="O1159" s="31" t="n">
        <v>12099.2</v>
      </c>
      <c r="P1159" s="22" t="n">
        <v>0</v>
      </c>
      <c r="Q1159" s="22" t="n">
        <v>0</v>
      </c>
      <c r="R1159" s="22" t="n">
        <v>0</v>
      </c>
    </row>
    <row r="1160">
      <c r="A1160" s="22" t="n">
        <v>201802</v>
      </c>
      <c r="B1160" s="22" t="inlineStr">
        <is>
          <t>02/2018</t>
        </is>
      </c>
      <c r="C1160" s="22" t="n">
        <v>8</v>
      </c>
      <c r="D1160" s="22" t="inlineStr">
        <is>
          <t>S08</t>
        </is>
      </c>
      <c r="E1160" s="22" t="inlineStr">
        <is>
          <t>Nexa Newfoundland and Labrador (S08)</t>
        </is>
      </c>
      <c r="F1160" s="22" t="inlineStr">
        <is>
          <t>Canada</t>
        </is>
      </c>
      <c r="G1160" s="22" t="inlineStr">
        <is>
          <t>POS</t>
        </is>
      </c>
      <c r="H1160" s="31" t="n">
        <v>18255.31</v>
      </c>
      <c r="I1160" s="31" t="n">
        <v>0</v>
      </c>
      <c r="J1160" s="31" t="n">
        <v>18255.31</v>
      </c>
      <c r="K1160" s="31" t="n">
        <v>0</v>
      </c>
      <c r="L1160" s="32" t="n">
        <v>12</v>
      </c>
      <c r="M1160" s="32" t="n">
        <v>74</v>
      </c>
      <c r="N1160" s="31" t="n">
        <v>18255.31</v>
      </c>
      <c r="O1160" s="31" t="n">
        <v>18255.31</v>
      </c>
      <c r="P1160" s="22" t="n">
        <v>0</v>
      </c>
      <c r="Q1160" s="22" t="n">
        <v>0</v>
      </c>
      <c r="R1160" s="22" t="n">
        <v>0</v>
      </c>
    </row>
    <row r="1161">
      <c r="A1161" s="22" t="n">
        <v>201802</v>
      </c>
      <c r="B1161" s="22" t="inlineStr">
        <is>
          <t>02/2018</t>
        </is>
      </c>
      <c r="C1161" s="22" t="n">
        <v>9</v>
      </c>
      <c r="D1161" s="22" t="inlineStr">
        <is>
          <t>S09</t>
        </is>
      </c>
      <c r="E1161" s="22" t="inlineStr">
        <is>
          <t>Nexa Northwest Territories (S09)</t>
        </is>
      </c>
      <c r="F1161" s="22" t="inlineStr">
        <is>
          <t>Canada</t>
        </is>
      </c>
      <c r="G1161" s="22" t="inlineStr">
        <is>
          <t>POS</t>
        </is>
      </c>
      <c r="H1161" s="31" t="n">
        <v>35795.44</v>
      </c>
      <c r="I1161" s="31" t="n">
        <v>0</v>
      </c>
      <c r="J1161" s="31" t="n">
        <v>35795.44</v>
      </c>
      <c r="K1161" s="31" t="n">
        <v>2167.46</v>
      </c>
      <c r="L1161" s="32" t="n">
        <v>15</v>
      </c>
      <c r="M1161" s="32" t="n">
        <v>137</v>
      </c>
      <c r="N1161" s="31" t="n">
        <v>33627.98</v>
      </c>
      <c r="O1161" s="31" t="n">
        <v>35795.44</v>
      </c>
      <c r="P1161" s="22" t="n">
        <v>0</v>
      </c>
      <c r="Q1161" s="22" t="n">
        <v>0</v>
      </c>
      <c r="R1161" s="22" t="n">
        <v>0</v>
      </c>
    </row>
    <row r="1162">
      <c r="A1162" s="22" t="n">
        <v>201802</v>
      </c>
      <c r="B1162" s="22" t="inlineStr">
        <is>
          <t>02/2018</t>
        </is>
      </c>
      <c r="C1162" s="22" t="n">
        <v>10</v>
      </c>
      <c r="D1162" s="22" t="inlineStr">
        <is>
          <t>S10</t>
        </is>
      </c>
      <c r="E1162" s="22" t="inlineStr">
        <is>
          <t>Nexa Nunavut (S10)</t>
        </is>
      </c>
      <c r="F1162" s="22" t="inlineStr">
        <is>
          <t>Canada</t>
        </is>
      </c>
      <c r="G1162" s="22" t="inlineStr">
        <is>
          <t>POS</t>
        </is>
      </c>
      <c r="H1162" s="31" t="n">
        <v>9615.23</v>
      </c>
      <c r="I1162" s="31" t="n">
        <v>0</v>
      </c>
      <c r="J1162" s="31" t="n">
        <v>9615.23</v>
      </c>
      <c r="K1162" s="31" t="n">
        <v>0</v>
      </c>
      <c r="L1162" s="32" t="n">
        <v>9</v>
      </c>
      <c r="M1162" s="32" t="n">
        <v>44</v>
      </c>
      <c r="N1162" s="31" t="n">
        <v>9615.23</v>
      </c>
      <c r="O1162" s="31" t="n">
        <v>9615.23</v>
      </c>
      <c r="P1162" s="22" t="n">
        <v>0</v>
      </c>
      <c r="Q1162" s="22" t="n">
        <v>0</v>
      </c>
      <c r="R1162" s="22" t="n">
        <v>0</v>
      </c>
    </row>
    <row r="1163">
      <c r="A1163" s="22" t="n">
        <v>201802</v>
      </c>
      <c r="B1163" s="22" t="inlineStr">
        <is>
          <t>02/2018</t>
        </is>
      </c>
      <c r="C1163" s="22" t="n">
        <v>12</v>
      </c>
      <c r="D1163" s="22" t="inlineStr">
        <is>
          <t>S12</t>
        </is>
      </c>
      <c r="E1163" s="22" t="inlineStr">
        <is>
          <t>Nexa Basse-Normandie (S12)</t>
        </is>
      </c>
      <c r="F1163" s="22" t="inlineStr">
        <is>
          <t>Pháp</t>
        </is>
      </c>
      <c r="G1163" s="22" t="inlineStr">
        <is>
          <t>POS</t>
        </is>
      </c>
      <c r="H1163" s="31" t="n">
        <v>7742.59</v>
      </c>
      <c r="I1163" s="31" t="n">
        <v>0</v>
      </c>
      <c r="J1163" s="31" t="n">
        <v>7742.59</v>
      </c>
      <c r="K1163" s="31" t="n">
        <v>0</v>
      </c>
      <c r="L1163" s="32" t="n">
        <v>3</v>
      </c>
      <c r="M1163" s="32" t="n">
        <v>20</v>
      </c>
      <c r="N1163" s="31" t="n">
        <v>7742.59</v>
      </c>
      <c r="O1163" s="31" t="n">
        <v>7742.59</v>
      </c>
      <c r="P1163" s="22" t="n">
        <v>0</v>
      </c>
      <c r="Q1163" s="22" t="n">
        <v>0</v>
      </c>
      <c r="R1163" s="22" t="n">
        <v>0</v>
      </c>
    </row>
    <row r="1164">
      <c r="A1164" s="22" t="n">
        <v>201802</v>
      </c>
      <c r="B1164" s="22" t="inlineStr">
        <is>
          <t>02/2018</t>
        </is>
      </c>
      <c r="C1164" s="22" t="n">
        <v>14</v>
      </c>
      <c r="D1164" s="22" t="inlineStr">
        <is>
          <t>S14</t>
        </is>
      </c>
      <c r="E1164" s="22" t="inlineStr">
        <is>
          <t>Nexa Franche-Comté (S14)</t>
        </is>
      </c>
      <c r="F1164" s="22" t="inlineStr">
        <is>
          <t>Pháp</t>
        </is>
      </c>
      <c r="G1164" s="22" t="inlineStr">
        <is>
          <t>POS</t>
        </is>
      </c>
      <c r="H1164" s="31" t="n">
        <v>1314</v>
      </c>
      <c r="I1164" s="31" t="n">
        <v>0</v>
      </c>
      <c r="J1164" s="31" t="n">
        <v>1314</v>
      </c>
      <c r="K1164" s="31" t="n">
        <v>0</v>
      </c>
      <c r="L1164" s="32" t="n">
        <v>1</v>
      </c>
      <c r="M1164" s="32" t="n">
        <v>8</v>
      </c>
      <c r="N1164" s="31" t="n">
        <v>1314</v>
      </c>
      <c r="O1164" s="31" t="n">
        <v>1314</v>
      </c>
      <c r="P1164" s="22" t="n">
        <v>0</v>
      </c>
      <c r="Q1164" s="22" t="n">
        <v>0</v>
      </c>
      <c r="R1164" s="22" t="n">
        <v>0</v>
      </c>
    </row>
    <row r="1165">
      <c r="A1165" s="22" t="n">
        <v>201802</v>
      </c>
      <c r="B1165" s="22" t="inlineStr">
        <is>
          <t>02/2018</t>
        </is>
      </c>
      <c r="C1165" s="22" t="n">
        <v>15</v>
      </c>
      <c r="D1165" s="22" t="inlineStr">
        <is>
          <t>S15</t>
        </is>
      </c>
      <c r="E1165" s="22" t="inlineStr">
        <is>
          <t>Nexa La Réunion (S15)</t>
        </is>
      </c>
      <c r="F1165" s="22" t="inlineStr">
        <is>
          <t>Pháp</t>
        </is>
      </c>
      <c r="G1165" s="22" t="inlineStr">
        <is>
          <t>POS</t>
        </is>
      </c>
      <c r="H1165" s="31" t="n">
        <v>449.99</v>
      </c>
      <c r="I1165" s="31" t="n">
        <v>0</v>
      </c>
      <c r="J1165" s="31" t="n">
        <v>449.99</v>
      </c>
      <c r="K1165" s="31" t="n">
        <v>0</v>
      </c>
      <c r="L1165" s="32" t="n">
        <v>1</v>
      </c>
      <c r="M1165" s="32" t="n">
        <v>2</v>
      </c>
      <c r="N1165" s="31" t="n">
        <v>449.99</v>
      </c>
      <c r="O1165" s="31" t="n">
        <v>449.99</v>
      </c>
      <c r="P1165" s="22" t="n">
        <v>0</v>
      </c>
      <c r="Q1165" s="22" t="n">
        <v>0</v>
      </c>
      <c r="R1165" s="22" t="n">
        <v>0</v>
      </c>
    </row>
    <row r="1166">
      <c r="A1166" s="22" t="n">
        <v>201802</v>
      </c>
      <c r="B1166" s="22" t="inlineStr">
        <is>
          <t>02/2018</t>
        </is>
      </c>
      <c r="C1166" s="22" t="n">
        <v>16</v>
      </c>
      <c r="D1166" s="22" t="inlineStr">
        <is>
          <t>S16</t>
        </is>
      </c>
      <c r="E1166" s="22" t="inlineStr">
        <is>
          <t>Nexa Limousin (S16)</t>
        </is>
      </c>
      <c r="F1166" s="22" t="inlineStr">
        <is>
          <t>Pháp</t>
        </is>
      </c>
      <c r="G1166" s="22" t="inlineStr">
        <is>
          <t>POS</t>
        </is>
      </c>
      <c r="H1166" s="31" t="n">
        <v>20994.84</v>
      </c>
      <c r="I1166" s="31" t="n">
        <v>0</v>
      </c>
      <c r="J1166" s="31" t="n">
        <v>20994.84</v>
      </c>
      <c r="K1166" s="31" t="n">
        <v>999</v>
      </c>
      <c r="L1166" s="32" t="n">
        <v>2</v>
      </c>
      <c r="M1166" s="32" t="n">
        <v>33</v>
      </c>
      <c r="N1166" s="31" t="n">
        <v>19995.84</v>
      </c>
      <c r="O1166" s="31" t="n">
        <v>20994.84</v>
      </c>
      <c r="P1166" s="22" t="n">
        <v>0</v>
      </c>
      <c r="Q1166" s="22" t="n">
        <v>0</v>
      </c>
      <c r="R1166" s="22" t="n">
        <v>0</v>
      </c>
    </row>
    <row r="1167">
      <c r="A1167" s="22" t="n">
        <v>201802</v>
      </c>
      <c r="B1167" s="22" t="inlineStr">
        <is>
          <t>02/2018</t>
        </is>
      </c>
      <c r="C1167" s="22" t="n">
        <v>17</v>
      </c>
      <c r="D1167" s="22" t="inlineStr">
        <is>
          <t>S17</t>
        </is>
      </c>
      <c r="E1167" s="22" t="inlineStr">
        <is>
          <t>Nexa Martinique (S17)</t>
        </is>
      </c>
      <c r="F1167" s="22" t="inlineStr">
        <is>
          <t>Pháp</t>
        </is>
      </c>
      <c r="G1167" s="22" t="inlineStr">
        <is>
          <t>POS</t>
        </is>
      </c>
      <c r="H1167" s="31" t="n">
        <v>149.99</v>
      </c>
      <c r="I1167" s="31" t="n">
        <v>0</v>
      </c>
      <c r="J1167" s="31" t="n">
        <v>149.99</v>
      </c>
      <c r="K1167" s="31" t="n">
        <v>0</v>
      </c>
      <c r="L1167" s="32" t="n">
        <v>1</v>
      </c>
      <c r="M1167" s="32" t="n">
        <v>1</v>
      </c>
      <c r="N1167" s="31" t="n">
        <v>149.99</v>
      </c>
      <c r="O1167" s="31" t="n">
        <v>149.99</v>
      </c>
      <c r="P1167" s="22" t="n">
        <v>0</v>
      </c>
      <c r="Q1167" s="22" t="n">
        <v>0</v>
      </c>
      <c r="R1167" s="22" t="n">
        <v>0</v>
      </c>
    </row>
    <row r="1168">
      <c r="A1168" s="22" t="n">
        <v>201802</v>
      </c>
      <c r="B1168" s="22" t="inlineStr">
        <is>
          <t>02/2018</t>
        </is>
      </c>
      <c r="C1168" s="22" t="n">
        <v>18</v>
      </c>
      <c r="D1168" s="22" t="inlineStr">
        <is>
          <t>S18</t>
        </is>
      </c>
      <c r="E1168" s="22" t="inlineStr">
        <is>
          <t>Nexa Mayotte (S18)</t>
        </is>
      </c>
      <c r="F1168" s="22" t="inlineStr">
        <is>
          <t>Pháp</t>
        </is>
      </c>
      <c r="G1168" s="22" t="inlineStr">
        <is>
          <t>POS</t>
        </is>
      </c>
      <c r="H1168" s="31" t="n">
        <v>1227.68</v>
      </c>
      <c r="I1168" s="31" t="n">
        <v>0</v>
      </c>
      <c r="J1168" s="31" t="n">
        <v>1227.68</v>
      </c>
      <c r="K1168" s="31" t="n">
        <v>0</v>
      </c>
      <c r="L1168" s="32" t="n">
        <v>2</v>
      </c>
      <c r="M1168" s="32" t="n">
        <v>11</v>
      </c>
      <c r="N1168" s="31" t="n">
        <v>1227.68</v>
      </c>
      <c r="O1168" s="31" t="n">
        <v>1227.68</v>
      </c>
      <c r="P1168" s="22" t="n">
        <v>0</v>
      </c>
      <c r="Q1168" s="22" t="n">
        <v>0</v>
      </c>
      <c r="R1168" s="22" t="n">
        <v>0</v>
      </c>
    </row>
    <row r="1169">
      <c r="A1169" s="22" t="n">
        <v>201802</v>
      </c>
      <c r="B1169" s="22" t="inlineStr">
        <is>
          <t>02/2018</t>
        </is>
      </c>
      <c r="C1169" s="22" t="n">
        <v>19</v>
      </c>
      <c r="D1169" s="22" t="inlineStr">
        <is>
          <t>S19</t>
        </is>
      </c>
      <c r="E1169" s="22" t="inlineStr">
        <is>
          <t>Nexa Berlin (S19)</t>
        </is>
      </c>
      <c r="F1169" s="22" t="inlineStr">
        <is>
          <t>Đức</t>
        </is>
      </c>
      <c r="G1169" s="22" t="inlineStr">
        <is>
          <t>POS</t>
        </is>
      </c>
      <c r="H1169" s="31" t="n">
        <v>33790.08</v>
      </c>
      <c r="I1169" s="31" t="n">
        <v>0</v>
      </c>
      <c r="J1169" s="31" t="n">
        <v>33790.08</v>
      </c>
      <c r="K1169" s="31" t="n">
        <v>0</v>
      </c>
      <c r="L1169" s="32" t="n">
        <v>4</v>
      </c>
      <c r="M1169" s="32" t="n">
        <v>55</v>
      </c>
      <c r="N1169" s="31" t="n">
        <v>33790.08</v>
      </c>
      <c r="O1169" s="31" t="n">
        <v>33790.08</v>
      </c>
      <c r="P1169" s="22" t="n">
        <v>0</v>
      </c>
      <c r="Q1169" s="22" t="n">
        <v>0</v>
      </c>
      <c r="R1169" s="22" t="n">
        <v>0</v>
      </c>
    </row>
    <row r="1170">
      <c r="A1170" s="22" t="n">
        <v>201802</v>
      </c>
      <c r="B1170" s="22" t="inlineStr">
        <is>
          <t>02/2018</t>
        </is>
      </c>
      <c r="C1170" s="22" t="n">
        <v>20</v>
      </c>
      <c r="D1170" s="22" t="inlineStr">
        <is>
          <t>S20</t>
        </is>
      </c>
      <c r="E1170" s="22" t="inlineStr">
        <is>
          <t>Nexa Brandenburg (S20)</t>
        </is>
      </c>
      <c r="F1170" s="22" t="inlineStr">
        <is>
          <t>Đức</t>
        </is>
      </c>
      <c r="G1170" s="22" t="inlineStr">
        <is>
          <t>POS</t>
        </is>
      </c>
      <c r="H1170" s="31" t="n">
        <v>39084.29</v>
      </c>
      <c r="I1170" s="31" t="n">
        <v>0</v>
      </c>
      <c r="J1170" s="31" t="n">
        <v>39084.29</v>
      </c>
      <c r="K1170" s="31" t="n">
        <v>68.67</v>
      </c>
      <c r="L1170" s="32" t="n">
        <v>7</v>
      </c>
      <c r="M1170" s="32" t="n">
        <v>74</v>
      </c>
      <c r="N1170" s="31" t="n">
        <v>39015.62</v>
      </c>
      <c r="O1170" s="31" t="n">
        <v>39084.29</v>
      </c>
      <c r="P1170" s="22" t="n">
        <v>0</v>
      </c>
      <c r="Q1170" s="22" t="n">
        <v>0</v>
      </c>
      <c r="R1170" s="22" t="n">
        <v>0</v>
      </c>
    </row>
    <row r="1171">
      <c r="A1171" s="22" t="n">
        <v>201802</v>
      </c>
      <c r="B1171" s="22" t="inlineStr">
        <is>
          <t>02/2018</t>
        </is>
      </c>
      <c r="C1171" s="22" t="n">
        <v>22</v>
      </c>
      <c r="D1171" s="22" t="inlineStr">
        <is>
          <t>S22</t>
        </is>
      </c>
      <c r="E1171" s="22" t="inlineStr">
        <is>
          <t>Nexa Freistaat Thüringen (S22)</t>
        </is>
      </c>
      <c r="F1171" s="22" t="inlineStr">
        <is>
          <t>Đức</t>
        </is>
      </c>
      <c r="G1171" s="22" t="inlineStr">
        <is>
          <t>POS</t>
        </is>
      </c>
      <c r="H1171" s="31" t="n">
        <v>4703.74</v>
      </c>
      <c r="I1171" s="31" t="n">
        <v>0</v>
      </c>
      <c r="J1171" s="31" t="n">
        <v>4703.74</v>
      </c>
      <c r="K1171" s="31" t="n">
        <v>536</v>
      </c>
      <c r="L1171" s="32" t="n">
        <v>5</v>
      </c>
      <c r="M1171" s="32" t="n">
        <v>30</v>
      </c>
      <c r="N1171" s="31" t="n">
        <v>4167.74</v>
      </c>
      <c r="O1171" s="31" t="n">
        <v>4703.74</v>
      </c>
      <c r="P1171" s="22" t="n">
        <v>1</v>
      </c>
      <c r="Q1171" s="22" t="n">
        <v>0</v>
      </c>
      <c r="R1171" s="22" t="n">
        <v>0</v>
      </c>
    </row>
    <row r="1172">
      <c r="A1172" s="22" t="n">
        <v>201802</v>
      </c>
      <c r="B1172" s="22" t="inlineStr">
        <is>
          <t>02/2018</t>
        </is>
      </c>
      <c r="C1172" s="22" t="n">
        <v>23</v>
      </c>
      <c r="D1172" s="22" t="inlineStr">
        <is>
          <t>S23</t>
        </is>
      </c>
      <c r="E1172" s="22" t="inlineStr">
        <is>
          <t>Nexa Hamburg (S23)</t>
        </is>
      </c>
      <c r="F1172" s="22" t="inlineStr">
        <is>
          <t>Đức</t>
        </is>
      </c>
      <c r="G1172" s="22" t="inlineStr">
        <is>
          <t>POS</t>
        </is>
      </c>
      <c r="H1172" s="31" t="n">
        <v>26293.91</v>
      </c>
      <c r="I1172" s="31" t="n">
        <v>0</v>
      </c>
      <c r="J1172" s="31" t="n">
        <v>26293.91</v>
      </c>
      <c r="K1172" s="31" t="n">
        <v>538</v>
      </c>
      <c r="L1172" s="32" t="n">
        <v>7</v>
      </c>
      <c r="M1172" s="32" t="n">
        <v>58</v>
      </c>
      <c r="N1172" s="31" t="n">
        <v>25755.91</v>
      </c>
      <c r="O1172" s="31" t="n">
        <v>26293.91</v>
      </c>
      <c r="P1172" s="22" t="n">
        <v>0</v>
      </c>
      <c r="Q1172" s="22" t="n">
        <v>0</v>
      </c>
      <c r="R1172" s="22" t="n">
        <v>0</v>
      </c>
    </row>
    <row r="1173">
      <c r="A1173" s="22" t="n">
        <v>201802</v>
      </c>
      <c r="B1173" s="22" t="inlineStr">
        <is>
          <t>02/2018</t>
        </is>
      </c>
      <c r="C1173" s="22" t="n">
        <v>24</v>
      </c>
      <c r="D1173" s="22" t="inlineStr">
        <is>
          <t>S24</t>
        </is>
      </c>
      <c r="E1173" s="22" t="inlineStr">
        <is>
          <t>Nexa Hessen (S24)</t>
        </is>
      </c>
      <c r="F1173" s="22" t="inlineStr">
        <is>
          <t>Đức</t>
        </is>
      </c>
      <c r="G1173" s="22" t="inlineStr">
        <is>
          <t>POS</t>
        </is>
      </c>
      <c r="H1173" s="31" t="n">
        <v>21417.83</v>
      </c>
      <c r="I1173" s="31" t="n">
        <v>0</v>
      </c>
      <c r="J1173" s="31" t="n">
        <v>21417.83</v>
      </c>
      <c r="K1173" s="31" t="n">
        <v>0</v>
      </c>
      <c r="L1173" s="32" t="n">
        <v>12</v>
      </c>
      <c r="M1173" s="32" t="n">
        <v>66</v>
      </c>
      <c r="N1173" s="31" t="n">
        <v>21417.83</v>
      </c>
      <c r="O1173" s="31" t="n">
        <v>21417.83</v>
      </c>
      <c r="P1173" s="22" t="n">
        <v>0</v>
      </c>
      <c r="Q1173" s="22" t="n">
        <v>0</v>
      </c>
      <c r="R1173" s="22" t="n">
        <v>0</v>
      </c>
    </row>
    <row r="1174">
      <c r="A1174" s="22" t="n">
        <v>201802</v>
      </c>
      <c r="B1174" s="22" t="inlineStr">
        <is>
          <t>02/2018</t>
        </is>
      </c>
      <c r="C1174" s="22" t="n">
        <v>27</v>
      </c>
      <c r="D1174" s="22" t="inlineStr">
        <is>
          <t>S27</t>
        </is>
      </c>
      <c r="E1174" s="22" t="inlineStr">
        <is>
          <t>Nexa Sachsen-Anhalt (S27)</t>
        </is>
      </c>
      <c r="F1174" s="22" t="inlineStr">
        <is>
          <t>Đức</t>
        </is>
      </c>
      <c r="G1174" s="22" t="inlineStr">
        <is>
          <t>POS</t>
        </is>
      </c>
      <c r="H1174" s="31" t="n">
        <v>3625.74</v>
      </c>
      <c r="I1174" s="31" t="n">
        <v>0</v>
      </c>
      <c r="J1174" s="31" t="n">
        <v>3625.74</v>
      </c>
      <c r="K1174" s="31" t="n">
        <v>0</v>
      </c>
      <c r="L1174" s="32" t="n">
        <v>4</v>
      </c>
      <c r="M1174" s="32" t="n">
        <v>21</v>
      </c>
      <c r="N1174" s="31" t="n">
        <v>3625.74</v>
      </c>
      <c r="O1174" s="31" t="n">
        <v>3625.74</v>
      </c>
      <c r="P1174" s="22" t="n">
        <v>0</v>
      </c>
      <c r="Q1174" s="22" t="n">
        <v>0</v>
      </c>
      <c r="R1174" s="22" t="n">
        <v>0</v>
      </c>
    </row>
    <row r="1175">
      <c r="A1175" s="22" t="n">
        <v>201802</v>
      </c>
      <c r="B1175" s="22" t="inlineStr">
        <is>
          <t>02/2018</t>
        </is>
      </c>
      <c r="C1175" s="22" t="n">
        <v>29</v>
      </c>
      <c r="D1175" s="22" t="inlineStr">
        <is>
          <t>S29</t>
        </is>
      </c>
      <c r="E1175" s="22" t="inlineStr">
        <is>
          <t>Nexa Enna (S29)</t>
        </is>
      </c>
      <c r="F1175" s="22" t="inlineStr">
        <is>
          <t>Ý</t>
        </is>
      </c>
      <c r="G1175" s="22" t="inlineStr">
        <is>
          <t>POS</t>
        </is>
      </c>
      <c r="H1175" s="31" t="n">
        <v>47820.21</v>
      </c>
      <c r="I1175" s="31" t="n">
        <v>0</v>
      </c>
      <c r="J1175" s="31" t="n">
        <v>47820.21</v>
      </c>
      <c r="K1175" s="31" t="n">
        <v>796</v>
      </c>
      <c r="L1175" s="32" t="n">
        <v>16</v>
      </c>
      <c r="M1175" s="32" t="n">
        <v>121</v>
      </c>
      <c r="N1175" s="31" t="n">
        <v>47024.21</v>
      </c>
      <c r="O1175" s="31" t="n">
        <v>47820.21</v>
      </c>
      <c r="P1175" s="22" t="n">
        <v>0</v>
      </c>
      <c r="Q1175" s="22" t="n">
        <v>0</v>
      </c>
      <c r="R1175" s="22" t="n">
        <v>0</v>
      </c>
    </row>
    <row r="1176">
      <c r="A1176" s="22" t="n">
        <v>201802</v>
      </c>
      <c r="B1176" s="22" t="inlineStr">
        <is>
          <t>02/2018</t>
        </is>
      </c>
      <c r="C1176" s="22" t="n">
        <v>30</v>
      </c>
      <c r="D1176" s="22" t="inlineStr">
        <is>
          <t>S30</t>
        </is>
      </c>
      <c r="E1176" s="22" t="inlineStr">
        <is>
          <t>Nexa Pesaro (S30)</t>
        </is>
      </c>
      <c r="F1176" s="22" t="inlineStr">
        <is>
          <t>Ý</t>
        </is>
      </c>
      <c r="G1176" s="22" t="inlineStr">
        <is>
          <t>POS</t>
        </is>
      </c>
      <c r="H1176" s="31" t="n">
        <v>24822.2</v>
      </c>
      <c r="I1176" s="31" t="n">
        <v>0</v>
      </c>
      <c r="J1176" s="31" t="n">
        <v>24822.2</v>
      </c>
      <c r="K1176" s="31" t="n">
        <v>0</v>
      </c>
      <c r="L1176" s="32" t="n">
        <v>6</v>
      </c>
      <c r="M1176" s="32" t="n">
        <v>75</v>
      </c>
      <c r="N1176" s="31" t="n">
        <v>24822.2</v>
      </c>
      <c r="O1176" s="31" t="n">
        <v>24822.2</v>
      </c>
      <c r="P1176" s="22" t="n">
        <v>0</v>
      </c>
      <c r="Q1176" s="22" t="n">
        <v>0</v>
      </c>
      <c r="R1176" s="22" t="n">
        <v>0</v>
      </c>
    </row>
    <row r="1177">
      <c r="A1177" s="22" t="n">
        <v>201802</v>
      </c>
      <c r="B1177" s="22" t="inlineStr">
        <is>
          <t>02/2018</t>
        </is>
      </c>
      <c r="C1177" s="22" t="n">
        <v>31</v>
      </c>
      <c r="D1177" s="22" t="inlineStr">
        <is>
          <t>S31</t>
        </is>
      </c>
      <c r="E1177" s="22" t="inlineStr">
        <is>
          <t>Nexa Drenthe (S31)</t>
        </is>
      </c>
      <c r="F1177" s="22" t="inlineStr">
        <is>
          <t>Hà Lan</t>
        </is>
      </c>
      <c r="G1177" s="22" t="inlineStr">
        <is>
          <t>POS</t>
        </is>
      </c>
      <c r="H1177" s="31" t="n">
        <v>5872.97</v>
      </c>
      <c r="I1177" s="31" t="n">
        <v>0</v>
      </c>
      <c r="J1177" s="31" t="n">
        <v>5872.97</v>
      </c>
      <c r="K1177" s="31" t="n">
        <v>0</v>
      </c>
      <c r="L1177" s="32" t="n">
        <v>6</v>
      </c>
      <c r="M1177" s="32" t="n">
        <v>37</v>
      </c>
      <c r="N1177" s="31" t="n">
        <v>5872.97</v>
      </c>
      <c r="O1177" s="31" t="n">
        <v>5872.97</v>
      </c>
      <c r="P1177" s="22" t="n">
        <v>0</v>
      </c>
      <c r="Q1177" s="22" t="n">
        <v>0</v>
      </c>
      <c r="R1177" s="22" t="n">
        <v>0</v>
      </c>
    </row>
    <row r="1178">
      <c r="A1178" s="22" t="n">
        <v>201802</v>
      </c>
      <c r="B1178" s="22" t="inlineStr">
        <is>
          <t>02/2018</t>
        </is>
      </c>
      <c r="C1178" s="22" t="n">
        <v>32</v>
      </c>
      <c r="D1178" s="22" t="inlineStr">
        <is>
          <t>S32</t>
        </is>
      </c>
      <c r="E1178" s="22" t="inlineStr">
        <is>
          <t>Nexa Flevoland (S32)</t>
        </is>
      </c>
      <c r="F1178" s="22" t="inlineStr">
        <is>
          <t>Hà Lan</t>
        </is>
      </c>
      <c r="G1178" s="22" t="inlineStr">
        <is>
          <t>POS</t>
        </is>
      </c>
      <c r="H1178" s="31" t="n">
        <v>4493.93</v>
      </c>
      <c r="I1178" s="31" t="n">
        <v>0</v>
      </c>
      <c r="J1178" s="31" t="n">
        <v>4493.93</v>
      </c>
      <c r="K1178" s="31" t="n">
        <v>0</v>
      </c>
      <c r="L1178" s="32" t="n">
        <v>3</v>
      </c>
      <c r="M1178" s="32" t="n">
        <v>20</v>
      </c>
      <c r="N1178" s="31" t="n">
        <v>4493.93</v>
      </c>
      <c r="O1178" s="31" t="n">
        <v>4493.93</v>
      </c>
      <c r="P1178" s="22" t="n">
        <v>0</v>
      </c>
      <c r="Q1178" s="22" t="n">
        <v>0</v>
      </c>
      <c r="R1178" s="22" t="n">
        <v>0</v>
      </c>
    </row>
    <row r="1179">
      <c r="A1179" s="22" t="n">
        <v>201802</v>
      </c>
      <c r="B1179" s="22" t="inlineStr">
        <is>
          <t>02/2018</t>
        </is>
      </c>
      <c r="C1179" s="22" t="n">
        <v>33</v>
      </c>
      <c r="D1179" s="22" t="inlineStr">
        <is>
          <t>S33</t>
        </is>
      </c>
      <c r="E1179" s="22" t="inlineStr">
        <is>
          <t>Nexa Friesland (S33)</t>
        </is>
      </c>
      <c r="F1179" s="22" t="inlineStr">
        <is>
          <t>Hà Lan</t>
        </is>
      </c>
      <c r="G1179" s="22" t="inlineStr">
        <is>
          <t>POS</t>
        </is>
      </c>
      <c r="H1179" s="31" t="n">
        <v>12807.85</v>
      </c>
      <c r="I1179" s="31" t="n">
        <v>0</v>
      </c>
      <c r="J1179" s="31" t="n">
        <v>12807.85</v>
      </c>
      <c r="K1179" s="31" t="n">
        <v>239.98</v>
      </c>
      <c r="L1179" s="32" t="n">
        <v>5</v>
      </c>
      <c r="M1179" s="32" t="n">
        <v>31</v>
      </c>
      <c r="N1179" s="31" t="n">
        <v>12567.87</v>
      </c>
      <c r="O1179" s="31" t="n">
        <v>12807.85</v>
      </c>
      <c r="P1179" s="22" t="n">
        <v>1</v>
      </c>
      <c r="Q1179" s="22" t="n">
        <v>0</v>
      </c>
      <c r="R1179" s="22" t="n">
        <v>0</v>
      </c>
    </row>
    <row r="1180">
      <c r="A1180" s="22" t="n">
        <v>201802</v>
      </c>
      <c r="B1180" s="22" t="inlineStr">
        <is>
          <t>02/2018</t>
        </is>
      </c>
      <c r="C1180" s="22" t="n">
        <v>34</v>
      </c>
      <c r="D1180" s="22" t="inlineStr">
        <is>
          <t>S34</t>
        </is>
      </c>
      <c r="E1180" s="22" t="inlineStr">
        <is>
          <t>Nexa Groningen (S34)</t>
        </is>
      </c>
      <c r="F1180" s="22" t="inlineStr">
        <is>
          <t>Hà Lan</t>
        </is>
      </c>
      <c r="G1180" s="22" t="inlineStr">
        <is>
          <t>POS</t>
        </is>
      </c>
      <c r="H1180" s="31" t="n">
        <v>39719.23</v>
      </c>
      <c r="I1180" s="31" t="n">
        <v>0</v>
      </c>
      <c r="J1180" s="31" t="n">
        <v>39719.23</v>
      </c>
      <c r="K1180" s="31" t="n">
        <v>0</v>
      </c>
      <c r="L1180" s="32" t="n">
        <v>4</v>
      </c>
      <c r="M1180" s="32" t="n">
        <v>35</v>
      </c>
      <c r="N1180" s="31" t="n">
        <v>39719.23</v>
      </c>
      <c r="O1180" s="31" t="n">
        <v>39719.23</v>
      </c>
      <c r="P1180" s="22" t="n">
        <v>0</v>
      </c>
      <c r="Q1180" s="22" t="n">
        <v>0</v>
      </c>
      <c r="R1180" s="22" t="n">
        <v>0</v>
      </c>
    </row>
    <row r="1181">
      <c r="A1181" s="22" t="n">
        <v>201802</v>
      </c>
      <c r="B1181" s="22" t="inlineStr">
        <is>
          <t>02/2018</t>
        </is>
      </c>
      <c r="C1181" s="22" t="n">
        <v>36</v>
      </c>
      <c r="D1181" s="22" t="inlineStr">
        <is>
          <t>S36</t>
        </is>
      </c>
      <c r="E1181" s="22" t="inlineStr">
        <is>
          <t>Nexa Armagh (S36)</t>
        </is>
      </c>
      <c r="F1181" s="22" t="inlineStr">
        <is>
          <t>Anh</t>
        </is>
      </c>
      <c r="G1181" s="22" t="inlineStr">
        <is>
          <t>POS</t>
        </is>
      </c>
      <c r="H1181" s="31" t="n">
        <v>8158.34</v>
      </c>
      <c r="I1181" s="31" t="n">
        <v>0</v>
      </c>
      <c r="J1181" s="31" t="n">
        <v>8158.34</v>
      </c>
      <c r="K1181" s="31" t="n">
        <v>0</v>
      </c>
      <c r="L1181" s="32" t="n">
        <v>5</v>
      </c>
      <c r="M1181" s="32" t="n">
        <v>41</v>
      </c>
      <c r="N1181" s="31" t="n">
        <v>8158.34</v>
      </c>
      <c r="O1181" s="31" t="n">
        <v>8158.34</v>
      </c>
      <c r="P1181" s="22" t="n">
        <v>0</v>
      </c>
      <c r="Q1181" s="22" t="n">
        <v>0</v>
      </c>
      <c r="R1181" s="22" t="n">
        <v>0</v>
      </c>
    </row>
    <row r="1182">
      <c r="A1182" s="22" t="n">
        <v>201802</v>
      </c>
      <c r="B1182" s="22" t="inlineStr">
        <is>
          <t>02/2018</t>
        </is>
      </c>
      <c r="C1182" s="22" t="n">
        <v>37</v>
      </c>
      <c r="D1182" s="22" t="inlineStr">
        <is>
          <t>S37</t>
        </is>
      </c>
      <c r="E1182" s="22" t="inlineStr">
        <is>
          <t>Nexa Ayrshire (S37)</t>
        </is>
      </c>
      <c r="F1182" s="22" t="inlineStr">
        <is>
          <t>Anh</t>
        </is>
      </c>
      <c r="G1182" s="22" t="inlineStr">
        <is>
          <t>POS</t>
        </is>
      </c>
      <c r="H1182" s="31" t="n">
        <v>27416.62</v>
      </c>
      <c r="I1182" s="31" t="n">
        <v>0</v>
      </c>
      <c r="J1182" s="31" t="n">
        <v>27416.62</v>
      </c>
      <c r="K1182" s="31" t="n">
        <v>0</v>
      </c>
      <c r="L1182" s="32" t="n">
        <v>9</v>
      </c>
      <c r="M1182" s="32" t="n">
        <v>77</v>
      </c>
      <c r="N1182" s="31" t="n">
        <v>27416.62</v>
      </c>
      <c r="O1182" s="31" t="n">
        <v>27416.62</v>
      </c>
      <c r="P1182" s="22" t="n">
        <v>1</v>
      </c>
      <c r="Q1182" s="22" t="n">
        <v>0</v>
      </c>
      <c r="R1182" s="22" t="n">
        <v>0</v>
      </c>
    </row>
    <row r="1183">
      <c r="A1183" s="22" t="n">
        <v>201802</v>
      </c>
      <c r="B1183" s="22" t="inlineStr">
        <is>
          <t>02/2018</t>
        </is>
      </c>
      <c r="C1183" s="22" t="n">
        <v>38</v>
      </c>
      <c r="D1183" s="22" t="inlineStr">
        <is>
          <t>S38</t>
        </is>
      </c>
      <c r="E1183" s="22" t="inlineStr">
        <is>
          <t>Nexa Belfast (S38)</t>
        </is>
      </c>
      <c r="F1183" s="22" t="inlineStr">
        <is>
          <t>Anh</t>
        </is>
      </c>
      <c r="G1183" s="22" t="inlineStr">
        <is>
          <t>POS</t>
        </is>
      </c>
      <c r="H1183" s="31" t="n">
        <v>20295.66</v>
      </c>
      <c r="I1183" s="31" t="n">
        <v>0</v>
      </c>
      <c r="J1183" s="31" t="n">
        <v>20295.66</v>
      </c>
      <c r="K1183" s="31" t="n">
        <v>0</v>
      </c>
      <c r="L1183" s="32" t="n">
        <v>6</v>
      </c>
      <c r="M1183" s="32" t="n">
        <v>37</v>
      </c>
      <c r="N1183" s="31" t="n">
        <v>20295.66</v>
      </c>
      <c r="O1183" s="31" t="n">
        <v>20295.66</v>
      </c>
      <c r="P1183" s="22" t="n">
        <v>0</v>
      </c>
      <c r="Q1183" s="22" t="n">
        <v>0</v>
      </c>
      <c r="R1183" s="22" t="n">
        <v>0</v>
      </c>
    </row>
    <row r="1184">
      <c r="A1184" s="22" t="n">
        <v>201802</v>
      </c>
      <c r="B1184" s="22" t="inlineStr">
        <is>
          <t>02/2018</t>
        </is>
      </c>
      <c r="C1184" s="22" t="n">
        <v>39</v>
      </c>
      <c r="D1184" s="22" t="inlineStr">
        <is>
          <t>S39</t>
        </is>
      </c>
      <c r="E1184" s="22" t="inlineStr">
        <is>
          <t>Nexa Blaenau Gwent (S39)</t>
        </is>
      </c>
      <c r="F1184" s="22" t="inlineStr">
        <is>
          <t>Anh</t>
        </is>
      </c>
      <c r="G1184" s="22" t="inlineStr">
        <is>
          <t>POS</t>
        </is>
      </c>
      <c r="H1184" s="31" t="n">
        <v>20626.37</v>
      </c>
      <c r="I1184" s="31" t="n">
        <v>0</v>
      </c>
      <c r="J1184" s="31" t="n">
        <v>20626.37</v>
      </c>
      <c r="K1184" s="31" t="n">
        <v>479.94</v>
      </c>
      <c r="L1184" s="32" t="n">
        <v>7</v>
      </c>
      <c r="M1184" s="32" t="n">
        <v>74</v>
      </c>
      <c r="N1184" s="31" t="n">
        <v>20146.43</v>
      </c>
      <c r="O1184" s="31" t="n">
        <v>20626.37</v>
      </c>
      <c r="P1184" s="22" t="n">
        <v>0</v>
      </c>
      <c r="Q1184" s="22" t="n">
        <v>0</v>
      </c>
      <c r="R1184" s="22" t="n">
        <v>0</v>
      </c>
    </row>
    <row r="1185">
      <c r="A1185" s="22" t="n">
        <v>201802</v>
      </c>
      <c r="B1185" s="22" t="inlineStr">
        <is>
          <t>02/2018</t>
        </is>
      </c>
      <c r="C1185" s="22" t="n">
        <v>40</v>
      </c>
      <c r="D1185" s="22" t="inlineStr">
        <is>
          <t>S40</t>
        </is>
      </c>
      <c r="E1185" s="22" t="inlineStr">
        <is>
          <t>Nexa Dungannon and South Tyrone (S40)</t>
        </is>
      </c>
      <c r="F1185" s="22" t="inlineStr">
        <is>
          <t>Anh</t>
        </is>
      </c>
      <c r="G1185" s="22" t="inlineStr">
        <is>
          <t>POS</t>
        </is>
      </c>
      <c r="H1185" s="31" t="n">
        <v>12436.93</v>
      </c>
      <c r="I1185" s="31" t="n">
        <v>0</v>
      </c>
      <c r="J1185" s="31" t="n">
        <v>12436.93</v>
      </c>
      <c r="K1185" s="31" t="n">
        <v>4964</v>
      </c>
      <c r="L1185" s="32" t="n">
        <v>8</v>
      </c>
      <c r="M1185" s="32" t="n">
        <v>40</v>
      </c>
      <c r="N1185" s="31" t="n">
        <v>7472.93</v>
      </c>
      <c r="O1185" s="31" t="n">
        <v>12436.93</v>
      </c>
      <c r="P1185" s="22" t="n">
        <v>0</v>
      </c>
      <c r="Q1185" s="22" t="n">
        <v>0</v>
      </c>
      <c r="R1185" s="22" t="n">
        <v>0</v>
      </c>
    </row>
    <row r="1186">
      <c r="A1186" s="22" t="n">
        <v>201802</v>
      </c>
      <c r="B1186" s="22" t="inlineStr">
        <is>
          <t>02/2018</t>
        </is>
      </c>
      <c r="C1186" s="22" t="n">
        <v>41</v>
      </c>
      <c r="D1186" s="22" t="inlineStr">
        <is>
          <t>S41</t>
        </is>
      </c>
      <c r="E1186" s="22" t="inlineStr">
        <is>
          <t>Nexa Fermanagh (S41)</t>
        </is>
      </c>
      <c r="F1186" s="22" t="inlineStr">
        <is>
          <t>Anh</t>
        </is>
      </c>
      <c r="G1186" s="22" t="inlineStr">
        <is>
          <t>POS</t>
        </is>
      </c>
      <c r="H1186" s="31" t="n">
        <v>12183.76</v>
      </c>
      <c r="I1186" s="31" t="n">
        <v>0</v>
      </c>
      <c r="J1186" s="31" t="n">
        <v>12183.76</v>
      </c>
      <c r="K1186" s="31" t="n">
        <v>0</v>
      </c>
      <c r="L1186" s="32" t="n">
        <v>11</v>
      </c>
      <c r="M1186" s="32" t="n">
        <v>48</v>
      </c>
      <c r="N1186" s="31" t="n">
        <v>12183.76</v>
      </c>
      <c r="O1186" s="31" t="n">
        <v>12183.76</v>
      </c>
      <c r="P1186" s="22" t="n">
        <v>0</v>
      </c>
      <c r="Q1186" s="22" t="n">
        <v>0</v>
      </c>
      <c r="R1186" s="22" t="n">
        <v>0</v>
      </c>
    </row>
    <row r="1187">
      <c r="A1187" s="22" t="n">
        <v>201802</v>
      </c>
      <c r="B1187" s="22" t="inlineStr">
        <is>
          <t>02/2018</t>
        </is>
      </c>
      <c r="C1187" s="22" t="n">
        <v>42</v>
      </c>
      <c r="D1187" s="22" t="inlineStr">
        <is>
          <t>S42</t>
        </is>
      </c>
      <c r="E1187" s="22" t="inlineStr">
        <is>
          <t>Nexa North Down (S42)</t>
        </is>
      </c>
      <c r="F1187" s="22" t="inlineStr">
        <is>
          <t>Anh</t>
        </is>
      </c>
      <c r="G1187" s="22" t="inlineStr">
        <is>
          <t>POS</t>
        </is>
      </c>
      <c r="H1187" s="31" t="n">
        <v>31201.85</v>
      </c>
      <c r="I1187" s="31" t="n">
        <v>0</v>
      </c>
      <c r="J1187" s="31" t="n">
        <v>31201.85</v>
      </c>
      <c r="K1187" s="31" t="n">
        <v>27.78</v>
      </c>
      <c r="L1187" s="32" t="n">
        <v>14</v>
      </c>
      <c r="M1187" s="32" t="n">
        <v>84</v>
      </c>
      <c r="N1187" s="31" t="n">
        <v>31174.07</v>
      </c>
      <c r="O1187" s="31" t="n">
        <v>31201.85</v>
      </c>
      <c r="P1187" s="22" t="n">
        <v>0</v>
      </c>
      <c r="Q1187" s="22" t="n">
        <v>0</v>
      </c>
      <c r="R1187" s="22" t="n">
        <v>0</v>
      </c>
    </row>
    <row r="1188">
      <c r="A1188" s="22" t="n">
        <v>201802</v>
      </c>
      <c r="B1188" s="22" t="inlineStr">
        <is>
          <t>02/2018</t>
        </is>
      </c>
      <c r="C1188" s="22" t="n">
        <v>43</v>
      </c>
      <c r="D1188" s="22" t="inlineStr">
        <is>
          <t>S43</t>
        </is>
      </c>
      <c r="E1188" s="22" t="inlineStr">
        <is>
          <t>Nexa Alaska (S43)</t>
        </is>
      </c>
      <c r="F1188" s="22" t="inlineStr">
        <is>
          <t>Mỹ</t>
        </is>
      </c>
      <c r="G1188" s="22" t="inlineStr">
        <is>
          <t>POS</t>
        </is>
      </c>
      <c r="H1188" s="31" t="n">
        <v>12901.28</v>
      </c>
      <c r="I1188" s="31" t="n">
        <v>0</v>
      </c>
      <c r="J1188" s="31" t="n">
        <v>12901.28</v>
      </c>
      <c r="K1188" s="31" t="n">
        <v>149.95</v>
      </c>
      <c r="L1188" s="32" t="n">
        <v>7</v>
      </c>
      <c r="M1188" s="32" t="n">
        <v>57</v>
      </c>
      <c r="N1188" s="31" t="n">
        <v>12751.33</v>
      </c>
      <c r="O1188" s="31" t="n">
        <v>12901.28</v>
      </c>
      <c r="P1188" s="22" t="n">
        <v>0</v>
      </c>
      <c r="Q1188" s="22" t="n">
        <v>0</v>
      </c>
      <c r="R1188" s="22" t="n">
        <v>0</v>
      </c>
    </row>
    <row r="1189">
      <c r="A1189" s="22" t="n">
        <v>201802</v>
      </c>
      <c r="B1189" s="22" t="inlineStr">
        <is>
          <t>02/2018</t>
        </is>
      </c>
      <c r="C1189" s="22" t="n">
        <v>44</v>
      </c>
      <c r="D1189" s="22" t="inlineStr">
        <is>
          <t>S44</t>
        </is>
      </c>
      <c r="E1189" s="22" t="inlineStr">
        <is>
          <t>Nexa Arkansas (S44)</t>
        </is>
      </c>
      <c r="F1189" s="22" t="inlineStr">
        <is>
          <t>Mỹ</t>
        </is>
      </c>
      <c r="G1189" s="22" t="inlineStr">
        <is>
          <t>POS</t>
        </is>
      </c>
      <c r="H1189" s="31" t="n">
        <v>8909.34</v>
      </c>
      <c r="I1189" s="31" t="n">
        <v>0</v>
      </c>
      <c r="J1189" s="31" t="n">
        <v>8909.34</v>
      </c>
      <c r="K1189" s="31" t="n">
        <v>159</v>
      </c>
      <c r="L1189" s="32" t="n">
        <v>15</v>
      </c>
      <c r="M1189" s="32" t="n">
        <v>61</v>
      </c>
      <c r="N1189" s="31" t="n">
        <v>8750.34</v>
      </c>
      <c r="O1189" s="31" t="n">
        <v>8909.34</v>
      </c>
      <c r="P1189" s="22" t="n">
        <v>0</v>
      </c>
      <c r="Q1189" s="22" t="n">
        <v>0</v>
      </c>
      <c r="R1189" s="22" t="n">
        <v>0</v>
      </c>
    </row>
    <row r="1190">
      <c r="A1190" s="22" t="n">
        <v>201802</v>
      </c>
      <c r="B1190" s="22" t="inlineStr">
        <is>
          <t>02/2018</t>
        </is>
      </c>
      <c r="C1190" s="22" t="n">
        <v>45</v>
      </c>
      <c r="D1190" s="22" t="inlineStr">
        <is>
          <t>S45</t>
        </is>
      </c>
      <c r="E1190" s="22" t="inlineStr">
        <is>
          <t>Nexa Connecticut (S45)</t>
        </is>
      </c>
      <c r="F1190" s="22" t="inlineStr">
        <is>
          <t>Mỹ</t>
        </is>
      </c>
      <c r="G1190" s="22" t="inlineStr">
        <is>
          <t>POS</t>
        </is>
      </c>
      <c r="H1190" s="31" t="n">
        <v>29098.67</v>
      </c>
      <c r="I1190" s="31" t="n">
        <v>0</v>
      </c>
      <c r="J1190" s="31" t="n">
        <v>29098.67</v>
      </c>
      <c r="K1190" s="31" t="n">
        <v>67.40000000000001</v>
      </c>
      <c r="L1190" s="32" t="n">
        <v>12</v>
      </c>
      <c r="M1190" s="32" t="n">
        <v>98</v>
      </c>
      <c r="N1190" s="31" t="n">
        <v>29031.27</v>
      </c>
      <c r="O1190" s="31" t="n">
        <v>29098.67</v>
      </c>
      <c r="P1190" s="22" t="n">
        <v>1</v>
      </c>
      <c r="Q1190" s="22" t="n">
        <v>0</v>
      </c>
      <c r="R1190" s="22" t="n">
        <v>0</v>
      </c>
    </row>
    <row r="1191">
      <c r="A1191" s="22" t="n">
        <v>201802</v>
      </c>
      <c r="B1191" s="22" t="inlineStr">
        <is>
          <t>02/2018</t>
        </is>
      </c>
      <c r="C1191" s="22" t="n">
        <v>47</v>
      </c>
      <c r="D1191" s="22" t="inlineStr">
        <is>
          <t>S47</t>
        </is>
      </c>
      <c r="E1191" s="22" t="inlineStr">
        <is>
          <t>Nexa Hawaii (S47)</t>
        </is>
      </c>
      <c r="F1191" s="22" t="inlineStr">
        <is>
          <t>Mỹ</t>
        </is>
      </c>
      <c r="G1191" s="22" t="inlineStr">
        <is>
          <t>POS</t>
        </is>
      </c>
      <c r="H1191" s="31" t="n">
        <v>14064.47</v>
      </c>
      <c r="I1191" s="31" t="n">
        <v>0</v>
      </c>
      <c r="J1191" s="31" t="n">
        <v>14064.47</v>
      </c>
      <c r="K1191" s="31" t="n">
        <v>0</v>
      </c>
      <c r="L1191" s="32" t="n">
        <v>6</v>
      </c>
      <c r="M1191" s="32" t="n">
        <v>36</v>
      </c>
      <c r="N1191" s="31" t="n">
        <v>14064.47</v>
      </c>
      <c r="O1191" s="31" t="n">
        <v>14064.47</v>
      </c>
      <c r="P1191" s="22" t="n">
        <v>0</v>
      </c>
      <c r="Q1191" s="22" t="n">
        <v>0</v>
      </c>
      <c r="R1191" s="22" t="n">
        <v>0</v>
      </c>
    </row>
    <row r="1192">
      <c r="A1192" s="22" t="n">
        <v>201802</v>
      </c>
      <c r="B1192" s="22" t="inlineStr">
        <is>
          <t>02/2018</t>
        </is>
      </c>
      <c r="C1192" s="22" t="n">
        <v>48</v>
      </c>
      <c r="D1192" s="22" t="inlineStr">
        <is>
          <t>S48</t>
        </is>
      </c>
      <c r="E1192" s="22" t="inlineStr">
        <is>
          <t>Nexa Idaho (S48)</t>
        </is>
      </c>
      <c r="F1192" s="22" t="inlineStr">
        <is>
          <t>Mỹ</t>
        </is>
      </c>
      <c r="G1192" s="22" t="inlineStr">
        <is>
          <t>POS</t>
        </is>
      </c>
      <c r="H1192" s="31" t="n">
        <v>15991</v>
      </c>
      <c r="I1192" s="31" t="n">
        <v>0</v>
      </c>
      <c r="J1192" s="31" t="n">
        <v>15991</v>
      </c>
      <c r="K1192" s="31" t="n">
        <v>0</v>
      </c>
      <c r="L1192" s="32" t="n">
        <v>7</v>
      </c>
      <c r="M1192" s="32" t="n">
        <v>54</v>
      </c>
      <c r="N1192" s="31" t="n">
        <v>15991</v>
      </c>
      <c r="O1192" s="31" t="n">
        <v>15991</v>
      </c>
      <c r="P1192" s="22" t="n">
        <v>0</v>
      </c>
      <c r="Q1192" s="22" t="n">
        <v>0</v>
      </c>
      <c r="R1192" s="22" t="n">
        <v>0</v>
      </c>
    </row>
    <row r="1193">
      <c r="A1193" s="22" t="n">
        <v>201802</v>
      </c>
      <c r="B1193" s="22" t="inlineStr">
        <is>
          <t>02/2018</t>
        </is>
      </c>
      <c r="C1193" s="22" t="n">
        <v>50</v>
      </c>
      <c r="D1193" s="22" t="inlineStr">
        <is>
          <t>S50</t>
        </is>
      </c>
      <c r="E1193" s="22" t="inlineStr">
        <is>
          <t>Nexa Kansas (S50)</t>
        </is>
      </c>
      <c r="F1193" s="22" t="inlineStr">
        <is>
          <t>Mỹ</t>
        </is>
      </c>
      <c r="G1193" s="22" t="inlineStr">
        <is>
          <t>POS</t>
        </is>
      </c>
      <c r="H1193" s="31" t="n">
        <v>37013.15</v>
      </c>
      <c r="I1193" s="31" t="n">
        <v>0</v>
      </c>
      <c r="J1193" s="31" t="n">
        <v>37013.15</v>
      </c>
      <c r="K1193" s="31" t="n">
        <v>114.45</v>
      </c>
      <c r="L1193" s="32" t="n">
        <v>13</v>
      </c>
      <c r="M1193" s="32" t="n">
        <v>134</v>
      </c>
      <c r="N1193" s="31" t="n">
        <v>36898.7</v>
      </c>
      <c r="O1193" s="31" t="n">
        <v>37013.15</v>
      </c>
      <c r="P1193" s="22" t="n">
        <v>0</v>
      </c>
      <c r="Q1193" s="22" t="n">
        <v>0</v>
      </c>
      <c r="R1193" s="22" t="n">
        <v>0</v>
      </c>
    </row>
    <row r="1194">
      <c r="A1194" s="22" t="n">
        <v>201802</v>
      </c>
      <c r="B1194" s="22" t="inlineStr">
        <is>
          <t>02/2018</t>
        </is>
      </c>
      <c r="C1194" s="22" t="n">
        <v>51</v>
      </c>
      <c r="D1194" s="22" t="inlineStr">
        <is>
          <t>S51</t>
        </is>
      </c>
      <c r="E1194" s="22" t="inlineStr">
        <is>
          <t>Nexa Maine (S51)</t>
        </is>
      </c>
      <c r="F1194" s="22" t="inlineStr">
        <is>
          <t>Mỹ</t>
        </is>
      </c>
      <c r="G1194" s="22" t="inlineStr">
        <is>
          <t>POS</t>
        </is>
      </c>
      <c r="H1194" s="31" t="n">
        <v>25214.85</v>
      </c>
      <c r="I1194" s="31" t="n">
        <v>0</v>
      </c>
      <c r="J1194" s="31" t="n">
        <v>25214.85</v>
      </c>
      <c r="K1194" s="31" t="n">
        <v>0</v>
      </c>
      <c r="L1194" s="32" t="n">
        <v>9</v>
      </c>
      <c r="M1194" s="32" t="n">
        <v>83</v>
      </c>
      <c r="N1194" s="31" t="n">
        <v>25214.85</v>
      </c>
      <c r="O1194" s="31" t="n">
        <v>25214.85</v>
      </c>
      <c r="P1194" s="22" t="n">
        <v>0</v>
      </c>
      <c r="Q1194" s="22" t="n">
        <v>0</v>
      </c>
      <c r="R1194" s="22" t="n">
        <v>0</v>
      </c>
    </row>
    <row r="1195">
      <c r="A1195" s="22" t="n">
        <v>201802</v>
      </c>
      <c r="B1195" s="22" t="inlineStr">
        <is>
          <t>02/2018</t>
        </is>
      </c>
      <c r="C1195" s="22" t="n">
        <v>53</v>
      </c>
      <c r="D1195" s="22" t="inlineStr">
        <is>
          <t>S53</t>
        </is>
      </c>
      <c r="E1195" s="22" t="inlineStr">
        <is>
          <t>Nexa Montana (S53)</t>
        </is>
      </c>
      <c r="F1195" s="22" t="inlineStr">
        <is>
          <t>Mỹ</t>
        </is>
      </c>
      <c r="G1195" s="22" t="inlineStr">
        <is>
          <t>POS</t>
        </is>
      </c>
      <c r="H1195" s="31" t="n">
        <v>24890.49</v>
      </c>
      <c r="I1195" s="31" t="n">
        <v>0</v>
      </c>
      <c r="J1195" s="31" t="n">
        <v>24890.49</v>
      </c>
      <c r="K1195" s="31" t="n">
        <v>288</v>
      </c>
      <c r="L1195" s="32" t="n">
        <v>12</v>
      </c>
      <c r="M1195" s="32" t="n">
        <v>105</v>
      </c>
      <c r="N1195" s="31" t="n">
        <v>24359.29</v>
      </c>
      <c r="O1195" s="31" t="n">
        <v>24890.49</v>
      </c>
      <c r="P1195" s="22" t="n">
        <v>0</v>
      </c>
      <c r="Q1195" s="22" t="n">
        <v>0</v>
      </c>
      <c r="R1195" s="22" t="n">
        <v>0</v>
      </c>
    </row>
    <row r="1196">
      <c r="A1196" s="22" t="n">
        <v>201802</v>
      </c>
      <c r="B1196" s="22" t="inlineStr">
        <is>
          <t>02/2018</t>
        </is>
      </c>
      <c r="C1196" s="22" t="n">
        <v>54</v>
      </c>
      <c r="D1196" s="22" t="inlineStr">
        <is>
          <t>S54</t>
        </is>
      </c>
      <c r="E1196" s="22" t="inlineStr">
        <is>
          <t>Nexa Nebraska (S54)</t>
        </is>
      </c>
      <c r="F1196" s="22" t="inlineStr">
        <is>
          <t>Mỹ</t>
        </is>
      </c>
      <c r="G1196" s="22" t="inlineStr">
        <is>
          <t>POS</t>
        </is>
      </c>
      <c r="H1196" s="31" t="n">
        <v>20833.68</v>
      </c>
      <c r="I1196" s="31" t="n">
        <v>0</v>
      </c>
      <c r="J1196" s="31" t="n">
        <v>20833.68</v>
      </c>
      <c r="K1196" s="31" t="n">
        <v>0</v>
      </c>
      <c r="L1196" s="32" t="n">
        <v>15</v>
      </c>
      <c r="M1196" s="32" t="n">
        <v>95</v>
      </c>
      <c r="N1196" s="31" t="n">
        <v>20833.68</v>
      </c>
      <c r="O1196" s="31" t="n">
        <v>20833.68</v>
      </c>
      <c r="P1196" s="22" t="n">
        <v>0</v>
      </c>
      <c r="Q1196" s="22" t="n">
        <v>0</v>
      </c>
      <c r="R1196" s="22" t="n">
        <v>0</v>
      </c>
    </row>
    <row r="1197">
      <c r="A1197" s="22" t="n">
        <v>201802</v>
      </c>
      <c r="B1197" s="22" t="inlineStr">
        <is>
          <t>02/2018</t>
        </is>
      </c>
      <c r="C1197" s="22" t="n">
        <v>55</v>
      </c>
      <c r="D1197" s="22" t="inlineStr">
        <is>
          <t>S55</t>
        </is>
      </c>
      <c r="E1197" s="22" t="inlineStr">
        <is>
          <t>Nexa Nevada (S55)</t>
        </is>
      </c>
      <c r="F1197" s="22" t="inlineStr">
        <is>
          <t>Mỹ</t>
        </is>
      </c>
      <c r="G1197" s="22" t="inlineStr">
        <is>
          <t>POS</t>
        </is>
      </c>
      <c r="H1197" s="31" t="n">
        <v>11710.66</v>
      </c>
      <c r="I1197" s="31" t="n">
        <v>0</v>
      </c>
      <c r="J1197" s="31" t="n">
        <v>11710.66</v>
      </c>
      <c r="K1197" s="31" t="n">
        <v>0</v>
      </c>
      <c r="L1197" s="32" t="n">
        <v>9</v>
      </c>
      <c r="M1197" s="32" t="n">
        <v>46</v>
      </c>
      <c r="N1197" s="31" t="n">
        <v>11710.66</v>
      </c>
      <c r="O1197" s="31" t="n">
        <v>11710.66</v>
      </c>
      <c r="P1197" s="22" t="n">
        <v>0</v>
      </c>
      <c r="Q1197" s="22" t="n">
        <v>0</v>
      </c>
      <c r="R1197" s="22" t="n">
        <v>0</v>
      </c>
    </row>
    <row r="1198">
      <c r="A1198" s="22" t="n">
        <v>201802</v>
      </c>
      <c r="B1198" s="22" t="inlineStr">
        <is>
          <t>02/2018</t>
        </is>
      </c>
      <c r="C1198" s="22" t="n">
        <v>56</v>
      </c>
      <c r="D1198" s="22" t="inlineStr">
        <is>
          <t>S56</t>
        </is>
      </c>
      <c r="E1198" s="22" t="inlineStr">
        <is>
          <t>Nexa New Hampshire (S56)</t>
        </is>
      </c>
      <c r="F1198" s="22" t="inlineStr">
        <is>
          <t>Mỹ</t>
        </is>
      </c>
      <c r="G1198" s="22" t="inlineStr">
        <is>
          <t>POS</t>
        </is>
      </c>
      <c r="H1198" s="31" t="n">
        <v>55819.82</v>
      </c>
      <c r="I1198" s="31" t="n">
        <v>0</v>
      </c>
      <c r="J1198" s="31" t="n">
        <v>55819.82</v>
      </c>
      <c r="K1198" s="31" t="n">
        <v>0</v>
      </c>
      <c r="L1198" s="32" t="n">
        <v>13</v>
      </c>
      <c r="M1198" s="32" t="n">
        <v>117</v>
      </c>
      <c r="N1198" s="31" t="n">
        <v>55819.82</v>
      </c>
      <c r="O1198" s="31" t="n">
        <v>55819.82</v>
      </c>
      <c r="P1198" s="22" t="n">
        <v>0</v>
      </c>
      <c r="Q1198" s="22" t="n">
        <v>0</v>
      </c>
      <c r="R1198" s="22" t="n">
        <v>0</v>
      </c>
    </row>
    <row r="1199">
      <c r="A1199" s="22" t="n">
        <v>201802</v>
      </c>
      <c r="B1199" s="22" t="inlineStr">
        <is>
          <t>02/2018</t>
        </is>
      </c>
      <c r="C1199" s="22" t="n">
        <v>57</v>
      </c>
      <c r="D1199" s="22" t="inlineStr">
        <is>
          <t>S57</t>
        </is>
      </c>
      <c r="E1199" s="22" t="inlineStr">
        <is>
          <t>Nexa New Mexico (S57)</t>
        </is>
      </c>
      <c r="F1199" s="22" t="inlineStr">
        <is>
          <t>Mỹ</t>
        </is>
      </c>
      <c r="G1199" s="22" t="inlineStr">
        <is>
          <t>POS</t>
        </is>
      </c>
      <c r="H1199" s="31" t="n">
        <v>60248.26</v>
      </c>
      <c r="I1199" s="31" t="n">
        <v>0</v>
      </c>
      <c r="J1199" s="31" t="n">
        <v>60248.26</v>
      </c>
      <c r="K1199" s="31" t="n">
        <v>699</v>
      </c>
      <c r="L1199" s="32" t="n">
        <v>14</v>
      </c>
      <c r="M1199" s="32" t="n">
        <v>146</v>
      </c>
      <c r="N1199" s="31" t="n">
        <v>59549.26</v>
      </c>
      <c r="O1199" s="31" t="n">
        <v>60248.26</v>
      </c>
      <c r="P1199" s="22" t="n">
        <v>0</v>
      </c>
      <c r="Q1199" s="22" t="n">
        <v>0</v>
      </c>
      <c r="R1199" s="22" t="n">
        <v>0</v>
      </c>
    </row>
    <row r="1200">
      <c r="A1200" s="22" t="n">
        <v>201802</v>
      </c>
      <c r="B1200" s="22" t="inlineStr">
        <is>
          <t>02/2018</t>
        </is>
      </c>
      <c r="C1200" s="22" t="n">
        <v>59</v>
      </c>
      <c r="D1200" s="22" t="inlineStr">
        <is>
          <t>S59</t>
        </is>
      </c>
      <c r="E1200" s="22" t="inlineStr">
        <is>
          <t>Nexa Oregon (S59)</t>
        </is>
      </c>
      <c r="F1200" s="22" t="inlineStr">
        <is>
          <t>Mỹ</t>
        </is>
      </c>
      <c r="G1200" s="22" t="inlineStr">
        <is>
          <t>POS</t>
        </is>
      </c>
      <c r="H1200" s="31" t="n">
        <v>48907.04</v>
      </c>
      <c r="I1200" s="31" t="n">
        <v>0</v>
      </c>
      <c r="J1200" s="31" t="n">
        <v>48907.04</v>
      </c>
      <c r="K1200" s="31" t="n">
        <v>0</v>
      </c>
      <c r="L1200" s="32" t="n">
        <v>17</v>
      </c>
      <c r="M1200" s="32" t="n">
        <v>129</v>
      </c>
      <c r="N1200" s="31" t="n">
        <v>48907.04</v>
      </c>
      <c r="O1200" s="31" t="n">
        <v>48907.04</v>
      </c>
      <c r="P1200" s="22" t="n">
        <v>0</v>
      </c>
      <c r="Q1200" s="22" t="n">
        <v>0</v>
      </c>
      <c r="R1200" s="22" t="n">
        <v>0</v>
      </c>
    </row>
    <row r="1201">
      <c r="A1201" s="22" t="n">
        <v>201802</v>
      </c>
      <c r="B1201" s="22" t="inlineStr">
        <is>
          <t>02/2018</t>
        </is>
      </c>
      <c r="C1201" s="22" t="n">
        <v>61</v>
      </c>
      <c r="D1201" s="22" t="inlineStr">
        <is>
          <t>S61</t>
        </is>
      </c>
      <c r="E1201" s="22" t="inlineStr">
        <is>
          <t>Nexa South Carolina (S61)</t>
        </is>
      </c>
      <c r="F1201" s="22" t="inlineStr">
        <is>
          <t>Mỹ</t>
        </is>
      </c>
      <c r="G1201" s="22" t="inlineStr">
        <is>
          <t>POS</t>
        </is>
      </c>
      <c r="H1201" s="31" t="n">
        <v>14982.13</v>
      </c>
      <c r="I1201" s="31" t="n">
        <v>0</v>
      </c>
      <c r="J1201" s="31" t="n">
        <v>14982.13</v>
      </c>
      <c r="K1201" s="31" t="n">
        <v>0</v>
      </c>
      <c r="L1201" s="32" t="n">
        <v>10</v>
      </c>
      <c r="M1201" s="32" t="n">
        <v>67</v>
      </c>
      <c r="N1201" s="31" t="n">
        <v>14982.13</v>
      </c>
      <c r="O1201" s="31" t="n">
        <v>14982.13</v>
      </c>
      <c r="P1201" s="22" t="n">
        <v>0</v>
      </c>
      <c r="Q1201" s="22" t="n">
        <v>0</v>
      </c>
      <c r="R1201" s="22" t="n">
        <v>0</v>
      </c>
    </row>
    <row r="1202">
      <c r="A1202" s="22" t="n">
        <v>201802</v>
      </c>
      <c r="B1202" s="22" t="inlineStr">
        <is>
          <t>02/2018</t>
        </is>
      </c>
      <c r="C1202" s="22" t="n">
        <v>63</v>
      </c>
      <c r="D1202" s="22" t="inlineStr">
        <is>
          <t>S63</t>
        </is>
      </c>
      <c r="E1202" s="22" t="inlineStr">
        <is>
          <t>Nexa Utah (S63)</t>
        </is>
      </c>
      <c r="F1202" s="22" t="inlineStr">
        <is>
          <t>Mỹ</t>
        </is>
      </c>
      <c r="G1202" s="22" t="inlineStr">
        <is>
          <t>POS</t>
        </is>
      </c>
      <c r="H1202" s="31" t="n">
        <v>28695.69</v>
      </c>
      <c r="I1202" s="31" t="n">
        <v>0</v>
      </c>
      <c r="J1202" s="31" t="n">
        <v>28695.69</v>
      </c>
      <c r="K1202" s="31" t="n">
        <v>0</v>
      </c>
      <c r="L1202" s="32" t="n">
        <v>10</v>
      </c>
      <c r="M1202" s="32" t="n">
        <v>62</v>
      </c>
      <c r="N1202" s="31" t="n">
        <v>28695.69</v>
      </c>
      <c r="O1202" s="31" t="n">
        <v>28695.69</v>
      </c>
      <c r="P1202" s="22" t="n">
        <v>0</v>
      </c>
      <c r="Q1202" s="22" t="n">
        <v>0</v>
      </c>
      <c r="R1202" s="22" t="n">
        <v>0</v>
      </c>
    </row>
    <row r="1203">
      <c r="A1203" s="22" t="n">
        <v>201802</v>
      </c>
      <c r="B1203" s="22" t="inlineStr">
        <is>
          <t>02/2018</t>
        </is>
      </c>
      <c r="C1203" s="22" t="n">
        <v>64</v>
      </c>
      <c r="D1203" s="22" t="inlineStr">
        <is>
          <t>S64</t>
        </is>
      </c>
      <c r="E1203" s="22" t="inlineStr">
        <is>
          <t>Nexa Washington DC (S64)</t>
        </is>
      </c>
      <c r="F1203" s="22" t="inlineStr">
        <is>
          <t>Mỹ</t>
        </is>
      </c>
      <c r="G1203" s="22" t="inlineStr">
        <is>
          <t>POS</t>
        </is>
      </c>
      <c r="H1203" s="31" t="n">
        <v>31381.28</v>
      </c>
      <c r="I1203" s="31" t="n">
        <v>0</v>
      </c>
      <c r="J1203" s="31" t="n">
        <v>31381.28</v>
      </c>
      <c r="K1203" s="31" t="n">
        <v>1615.91</v>
      </c>
      <c r="L1203" s="32" t="n">
        <v>12</v>
      </c>
      <c r="M1203" s="32" t="n">
        <v>129</v>
      </c>
      <c r="N1203" s="31" t="n">
        <v>29765.37</v>
      </c>
      <c r="O1203" s="31" t="n">
        <v>31381.28</v>
      </c>
      <c r="P1203" s="22" t="n">
        <v>0</v>
      </c>
      <c r="Q1203" s="22" t="n">
        <v>0</v>
      </c>
      <c r="R1203" s="22" t="n">
        <v>0</v>
      </c>
    </row>
    <row r="1204">
      <c r="A1204" s="22" t="n">
        <v>201802</v>
      </c>
      <c r="B1204" s="22" t="inlineStr">
        <is>
          <t>02/2018</t>
        </is>
      </c>
      <c r="C1204" s="22" t="n">
        <v>65</v>
      </c>
      <c r="D1204" s="22" t="inlineStr">
        <is>
          <t>S65</t>
        </is>
      </c>
      <c r="E1204" s="22" t="inlineStr">
        <is>
          <t>Nexa West Virginia (S65)</t>
        </is>
      </c>
      <c r="F1204" s="22" t="inlineStr">
        <is>
          <t>Mỹ</t>
        </is>
      </c>
      <c r="G1204" s="22" t="inlineStr">
        <is>
          <t>POS</t>
        </is>
      </c>
      <c r="H1204" s="31" t="n">
        <v>26495.6</v>
      </c>
      <c r="I1204" s="31" t="n">
        <v>0</v>
      </c>
      <c r="J1204" s="31" t="n">
        <v>26495.6</v>
      </c>
      <c r="K1204" s="31" t="n">
        <v>0</v>
      </c>
      <c r="L1204" s="32" t="n">
        <v>12</v>
      </c>
      <c r="M1204" s="32" t="n">
        <v>71</v>
      </c>
      <c r="N1204" s="31" t="n">
        <v>26495.6</v>
      </c>
      <c r="O1204" s="31" t="n">
        <v>26495.6</v>
      </c>
      <c r="P1204" s="22" t="n">
        <v>1</v>
      </c>
      <c r="Q1204" s="22" t="n">
        <v>0</v>
      </c>
      <c r="R1204" s="22" t="n">
        <v>0</v>
      </c>
    </row>
    <row r="1205">
      <c r="A1205" s="22" t="n">
        <v>201802</v>
      </c>
      <c r="B1205" s="22" t="inlineStr">
        <is>
          <t>02/2018</t>
        </is>
      </c>
      <c r="C1205" s="22" t="n">
        <v>66</v>
      </c>
      <c r="D1205" s="22" t="inlineStr">
        <is>
          <t>S66</t>
        </is>
      </c>
      <c r="E1205" s="22" t="inlineStr">
        <is>
          <t>Nexa Wyoming (S66)</t>
        </is>
      </c>
      <c r="F1205" s="22" t="inlineStr">
        <is>
          <t>Mỹ</t>
        </is>
      </c>
      <c r="G1205" s="22" t="inlineStr">
        <is>
          <t>POS</t>
        </is>
      </c>
      <c r="H1205" s="31" t="n">
        <v>47381.2</v>
      </c>
      <c r="I1205" s="31" t="n">
        <v>0</v>
      </c>
      <c r="J1205" s="31" t="n">
        <v>47381.2</v>
      </c>
      <c r="K1205" s="31" t="n">
        <v>0</v>
      </c>
      <c r="L1205" s="32" t="n">
        <v>14</v>
      </c>
      <c r="M1205" s="32" t="n">
        <v>169</v>
      </c>
      <c r="N1205" s="31" t="n">
        <v>47381.2</v>
      </c>
      <c r="O1205" s="31" t="n">
        <v>47381.2</v>
      </c>
      <c r="P1205" s="22" t="n">
        <v>2</v>
      </c>
      <c r="Q1205" s="22" t="n">
        <v>0</v>
      </c>
      <c r="R1205" s="22" t="n">
        <v>0</v>
      </c>
    </row>
    <row r="1206">
      <c r="A1206" s="22" t="n">
        <v>201803</v>
      </c>
      <c r="B1206" s="22" t="inlineStr">
        <is>
          <t>03/2018</t>
        </is>
      </c>
      <c r="C1206" s="22" t="n">
        <v>0</v>
      </c>
      <c r="D1206" s="22" t="inlineStr">
        <is>
          <t>ONL</t>
        </is>
      </c>
      <c r="E1206" s="22" t="inlineStr">
        <is>
          <t>Nexa Online (website/app)</t>
        </is>
      </c>
      <c r="F1206" s="22" t="inlineStr">
        <is>
          <t>Online</t>
        </is>
      </c>
      <c r="G1206" s="22" t="inlineStr">
        <is>
          <t>ONLINE</t>
        </is>
      </c>
      <c r="H1206" s="31" t="n">
        <v>90548.28999999999</v>
      </c>
      <c r="I1206" s="31" t="n">
        <v>2402.93</v>
      </c>
      <c r="J1206" s="31" t="n">
        <v>88145.36</v>
      </c>
      <c r="K1206" s="31" t="n">
        <v>3834.77</v>
      </c>
      <c r="L1206" s="32" t="n">
        <v>35</v>
      </c>
      <c r="M1206" s="32" t="n">
        <v>259</v>
      </c>
      <c r="N1206" s="31" t="n">
        <v>101343.1</v>
      </c>
      <c r="O1206" s="31" t="n">
        <v>105177.87</v>
      </c>
      <c r="P1206" s="22" t="n">
        <v>1</v>
      </c>
      <c r="Q1206" s="22" t="n">
        <v>0</v>
      </c>
      <c r="R1206" s="22" t="n">
        <v>0</v>
      </c>
    </row>
    <row r="1207">
      <c r="A1207" s="22" t="n">
        <v>201803</v>
      </c>
      <c r="B1207" s="22" t="inlineStr">
        <is>
          <t>03/2018</t>
        </is>
      </c>
      <c r="C1207" s="22" t="n">
        <v>4</v>
      </c>
      <c r="D1207" s="22" t="inlineStr">
        <is>
          <t>S04</t>
        </is>
      </c>
      <c r="E1207" s="22" t="inlineStr">
        <is>
          <t>Nexa Tasmania (S04)</t>
        </is>
      </c>
      <c r="F1207" s="22" t="inlineStr">
        <is>
          <t>Úc</t>
        </is>
      </c>
      <c r="G1207" s="22" t="inlineStr">
        <is>
          <t>POS</t>
        </is>
      </c>
      <c r="H1207" s="31" t="n">
        <v>866.97</v>
      </c>
      <c r="I1207" s="31" t="n">
        <v>0</v>
      </c>
      <c r="J1207" s="31" t="n">
        <v>866.97</v>
      </c>
      <c r="K1207" s="31" t="n">
        <v>0</v>
      </c>
      <c r="L1207" s="32" t="n">
        <v>1</v>
      </c>
      <c r="M1207" s="32" t="n">
        <v>6</v>
      </c>
      <c r="N1207" s="31" t="n">
        <v>866.97</v>
      </c>
      <c r="O1207" s="31" t="n">
        <v>866.97</v>
      </c>
      <c r="P1207" s="22" t="n">
        <v>0</v>
      </c>
      <c r="Q1207" s="22" t="n">
        <v>0</v>
      </c>
      <c r="R1207" s="22" t="n">
        <v>0</v>
      </c>
    </row>
    <row r="1208">
      <c r="A1208" s="22" t="n">
        <v>201803</v>
      </c>
      <c r="B1208" s="22" t="inlineStr">
        <is>
          <t>03/2018</t>
        </is>
      </c>
      <c r="C1208" s="22" t="n">
        <v>5</v>
      </c>
      <c r="D1208" s="22" t="inlineStr">
        <is>
          <t>S05</t>
        </is>
      </c>
      <c r="E1208" s="22" t="inlineStr">
        <is>
          <t>Nexa Victoria (S05)</t>
        </is>
      </c>
      <c r="F1208" s="22" t="inlineStr">
        <is>
          <t>Úc</t>
        </is>
      </c>
      <c r="G1208" s="22" t="inlineStr">
        <is>
          <t>POS</t>
        </is>
      </c>
      <c r="H1208" s="31" t="n">
        <v>1124.91</v>
      </c>
      <c r="I1208" s="31" t="n">
        <v>0</v>
      </c>
      <c r="J1208" s="31" t="n">
        <v>1124.91</v>
      </c>
      <c r="K1208" s="31" t="n">
        <v>0</v>
      </c>
      <c r="L1208" s="32" t="n">
        <v>1</v>
      </c>
      <c r="M1208" s="32" t="n">
        <v>6</v>
      </c>
      <c r="N1208" s="31" t="n">
        <v>1124.91</v>
      </c>
      <c r="O1208" s="31" t="n">
        <v>1124.91</v>
      </c>
      <c r="P1208" s="22" t="n">
        <v>0</v>
      </c>
      <c r="Q1208" s="22" t="n">
        <v>0</v>
      </c>
      <c r="R1208" s="22" t="n">
        <v>0</v>
      </c>
    </row>
    <row r="1209">
      <c r="A1209" s="22" t="n">
        <v>201803</v>
      </c>
      <c r="B1209" s="22" t="inlineStr">
        <is>
          <t>03/2018</t>
        </is>
      </c>
      <c r="C1209" s="22" t="n">
        <v>6</v>
      </c>
      <c r="D1209" s="22" t="inlineStr">
        <is>
          <t>S06</t>
        </is>
      </c>
      <c r="E1209" s="22" t="inlineStr">
        <is>
          <t>Nexa Western Australia (S06)</t>
        </is>
      </c>
      <c r="F1209" s="22" t="inlineStr">
        <is>
          <t>Úc</t>
        </is>
      </c>
      <c r="G1209" s="22" t="inlineStr">
        <is>
          <t>POS</t>
        </is>
      </c>
      <c r="H1209" s="31" t="n">
        <v>1294.89</v>
      </c>
      <c r="I1209" s="31" t="n">
        <v>0</v>
      </c>
      <c r="J1209" s="31" t="n">
        <v>1294.89</v>
      </c>
      <c r="K1209" s="31" t="n">
        <v>0</v>
      </c>
      <c r="L1209" s="32" t="n">
        <v>1</v>
      </c>
      <c r="M1209" s="32" t="n">
        <v>20</v>
      </c>
      <c r="N1209" s="31" t="n">
        <v>1294.89</v>
      </c>
      <c r="O1209" s="31" t="n">
        <v>1294.89</v>
      </c>
      <c r="P1209" s="22" t="n">
        <v>0</v>
      </c>
      <c r="Q1209" s="22" t="n">
        <v>0</v>
      </c>
      <c r="R1209" s="22" t="n">
        <v>0</v>
      </c>
    </row>
    <row r="1210">
      <c r="A1210" s="22" t="n">
        <v>201803</v>
      </c>
      <c r="B1210" s="22" t="inlineStr">
        <is>
          <t>03/2018</t>
        </is>
      </c>
      <c r="C1210" s="22" t="n">
        <v>8</v>
      </c>
      <c r="D1210" s="22" t="inlineStr">
        <is>
          <t>S08</t>
        </is>
      </c>
      <c r="E1210" s="22" t="inlineStr">
        <is>
          <t>Nexa Newfoundland and Labrador (S08)</t>
        </is>
      </c>
      <c r="F1210" s="22" t="inlineStr">
        <is>
          <t>Canada</t>
        </is>
      </c>
      <c r="G1210" s="22" t="inlineStr">
        <is>
          <t>POS</t>
        </is>
      </c>
      <c r="H1210" s="31" t="n">
        <v>16980.02</v>
      </c>
      <c r="I1210" s="31" t="n">
        <v>0</v>
      </c>
      <c r="J1210" s="31" t="n">
        <v>16980.02</v>
      </c>
      <c r="K1210" s="31" t="n">
        <v>268</v>
      </c>
      <c r="L1210" s="32" t="n">
        <v>9</v>
      </c>
      <c r="M1210" s="32" t="n">
        <v>55</v>
      </c>
      <c r="N1210" s="31" t="n">
        <v>16712.02</v>
      </c>
      <c r="O1210" s="31" t="n">
        <v>16980.02</v>
      </c>
      <c r="P1210" s="22" t="n">
        <v>0</v>
      </c>
      <c r="Q1210" s="22" t="n">
        <v>0</v>
      </c>
      <c r="R1210" s="22" t="n">
        <v>0</v>
      </c>
    </row>
    <row r="1211">
      <c r="A1211" s="22" t="n">
        <v>201803</v>
      </c>
      <c r="B1211" s="22" t="inlineStr">
        <is>
          <t>03/2018</t>
        </is>
      </c>
      <c r="C1211" s="22" t="n">
        <v>9</v>
      </c>
      <c r="D1211" s="22" t="inlineStr">
        <is>
          <t>S09</t>
        </is>
      </c>
      <c r="E1211" s="22" t="inlineStr">
        <is>
          <t>Nexa Northwest Territories (S09)</t>
        </is>
      </c>
      <c r="F1211" s="22" t="inlineStr">
        <is>
          <t>Canada</t>
        </is>
      </c>
      <c r="G1211" s="22" t="inlineStr">
        <is>
          <t>POS</t>
        </is>
      </c>
      <c r="H1211" s="31" t="n">
        <v>22402.66</v>
      </c>
      <c r="I1211" s="31" t="n">
        <v>5.14</v>
      </c>
      <c r="J1211" s="31" t="n">
        <v>22397.52</v>
      </c>
      <c r="K1211" s="31" t="n">
        <v>1335</v>
      </c>
      <c r="L1211" s="32" t="n">
        <v>7</v>
      </c>
      <c r="M1211" s="32" t="n">
        <v>46</v>
      </c>
      <c r="N1211" s="31" t="n">
        <v>21062.52</v>
      </c>
      <c r="O1211" s="31" t="n">
        <v>22397.52</v>
      </c>
      <c r="P1211" s="22" t="n">
        <v>0</v>
      </c>
      <c r="Q1211" s="22" t="n">
        <v>0</v>
      </c>
      <c r="R1211" s="22" t="n">
        <v>0</v>
      </c>
    </row>
    <row r="1212">
      <c r="A1212" s="22" t="n">
        <v>201803</v>
      </c>
      <c r="B1212" s="22" t="inlineStr">
        <is>
          <t>03/2018</t>
        </is>
      </c>
      <c r="C1212" s="22" t="n">
        <v>10</v>
      </c>
      <c r="D1212" s="22" t="inlineStr">
        <is>
          <t>S10</t>
        </is>
      </c>
      <c r="E1212" s="22" t="inlineStr">
        <is>
          <t>Nexa Nunavut (S10)</t>
        </is>
      </c>
      <c r="F1212" s="22" t="inlineStr">
        <is>
          <t>Canada</t>
        </is>
      </c>
      <c r="G1212" s="22" t="inlineStr">
        <is>
          <t>POS</t>
        </is>
      </c>
      <c r="H1212" s="31" t="n">
        <v>8518.23</v>
      </c>
      <c r="I1212" s="31" t="n">
        <v>0</v>
      </c>
      <c r="J1212" s="31" t="n">
        <v>8518.23</v>
      </c>
      <c r="K1212" s="31" t="n">
        <v>199.9</v>
      </c>
      <c r="L1212" s="32" t="n">
        <v>4</v>
      </c>
      <c r="M1212" s="32" t="n">
        <v>42</v>
      </c>
      <c r="N1212" s="31" t="n">
        <v>8318.33</v>
      </c>
      <c r="O1212" s="31" t="n">
        <v>8518.23</v>
      </c>
      <c r="P1212" s="22" t="n">
        <v>0</v>
      </c>
      <c r="Q1212" s="22" t="n">
        <v>0</v>
      </c>
      <c r="R1212" s="22" t="n">
        <v>0</v>
      </c>
    </row>
    <row r="1213">
      <c r="A1213" s="22" t="n">
        <v>201803</v>
      </c>
      <c r="B1213" s="22" t="inlineStr">
        <is>
          <t>03/2018</t>
        </is>
      </c>
      <c r="C1213" s="22" t="n">
        <v>12</v>
      </c>
      <c r="D1213" s="22" t="inlineStr">
        <is>
          <t>S12</t>
        </is>
      </c>
      <c r="E1213" s="22" t="inlineStr">
        <is>
          <t>Nexa Basse-Normandie (S12)</t>
        </is>
      </c>
      <c r="F1213" s="22" t="inlineStr">
        <is>
          <t>Pháp</t>
        </is>
      </c>
      <c r="G1213" s="22" t="inlineStr">
        <is>
          <t>POS</t>
        </is>
      </c>
      <c r="H1213" s="31" t="n">
        <v>0</v>
      </c>
      <c r="I1213" s="31" t="n">
        <v>0</v>
      </c>
      <c r="J1213" s="31" t="n">
        <v>0</v>
      </c>
      <c r="K1213" s="31" t="n">
        <v>4387.5</v>
      </c>
      <c r="L1213" s="32" t="n">
        <v>0</v>
      </c>
      <c r="M1213" s="32" t="n">
        <v>0</v>
      </c>
      <c r="N1213" s="31" t="n">
        <v>-4387.5</v>
      </c>
      <c r="O1213" s="31" t="n">
        <v>0</v>
      </c>
      <c r="P1213" s="22" t="n">
        <v>0</v>
      </c>
      <c r="Q1213" s="22" t="n">
        <v>0</v>
      </c>
      <c r="R1213" s="22" t="n">
        <v>0</v>
      </c>
    </row>
    <row r="1214">
      <c r="A1214" s="22" t="n">
        <v>201803</v>
      </c>
      <c r="B1214" s="22" t="inlineStr">
        <is>
          <t>03/2018</t>
        </is>
      </c>
      <c r="C1214" s="22" t="n">
        <v>16</v>
      </c>
      <c r="D1214" s="22" t="inlineStr">
        <is>
          <t>S16</t>
        </is>
      </c>
      <c r="E1214" s="22" t="inlineStr">
        <is>
          <t>Nexa Limousin (S16)</t>
        </is>
      </c>
      <c r="F1214" s="22" t="inlineStr">
        <is>
          <t>Pháp</t>
        </is>
      </c>
      <c r="G1214" s="22" t="inlineStr">
        <is>
          <t>POS</t>
        </is>
      </c>
      <c r="H1214" s="31" t="n">
        <v>0</v>
      </c>
      <c r="I1214" s="31" t="n">
        <v>0</v>
      </c>
      <c r="J1214" s="31" t="n">
        <v>0</v>
      </c>
      <c r="K1214" s="31" t="n">
        <v>1184</v>
      </c>
      <c r="L1214" s="32" t="n">
        <v>0</v>
      </c>
      <c r="M1214" s="32" t="n">
        <v>0</v>
      </c>
      <c r="N1214" s="31" t="n">
        <v>-1184</v>
      </c>
      <c r="O1214" s="31" t="n">
        <v>0</v>
      </c>
      <c r="P1214" s="22" t="n">
        <v>0</v>
      </c>
      <c r="Q1214" s="22" t="n">
        <v>0</v>
      </c>
      <c r="R1214" s="22" t="n">
        <v>0</v>
      </c>
    </row>
    <row r="1215">
      <c r="A1215" s="22" t="n">
        <v>201803</v>
      </c>
      <c r="B1215" s="22" t="inlineStr">
        <is>
          <t>03/2018</t>
        </is>
      </c>
      <c r="C1215" s="22" t="n">
        <v>19</v>
      </c>
      <c r="D1215" s="22" t="inlineStr">
        <is>
          <t>S19</t>
        </is>
      </c>
      <c r="E1215" s="22" t="inlineStr">
        <is>
          <t>Nexa Berlin (S19)</t>
        </is>
      </c>
      <c r="F1215" s="22" t="inlineStr">
        <is>
          <t>Đức</t>
        </is>
      </c>
      <c r="G1215" s="22" t="inlineStr">
        <is>
          <t>POS</t>
        </is>
      </c>
      <c r="H1215" s="31" t="n">
        <v>4541.79</v>
      </c>
      <c r="I1215" s="31" t="n">
        <v>0</v>
      </c>
      <c r="J1215" s="31" t="n">
        <v>4541.79</v>
      </c>
      <c r="K1215" s="31" t="n">
        <v>5340</v>
      </c>
      <c r="L1215" s="32" t="n">
        <v>3</v>
      </c>
      <c r="M1215" s="32" t="n">
        <v>17</v>
      </c>
      <c r="N1215" s="31" t="n">
        <v>-798.21</v>
      </c>
      <c r="O1215" s="31" t="n">
        <v>4541.79</v>
      </c>
      <c r="P1215" s="22" t="n">
        <v>0</v>
      </c>
      <c r="Q1215" s="22" t="n">
        <v>0</v>
      </c>
      <c r="R1215" s="22" t="n">
        <v>0</v>
      </c>
    </row>
    <row r="1216">
      <c r="A1216" s="22" t="n">
        <v>201803</v>
      </c>
      <c r="B1216" s="22" t="inlineStr">
        <is>
          <t>03/2018</t>
        </is>
      </c>
      <c r="C1216" s="22" t="n">
        <v>20</v>
      </c>
      <c r="D1216" s="22" t="inlineStr">
        <is>
          <t>S20</t>
        </is>
      </c>
      <c r="E1216" s="22" t="inlineStr">
        <is>
          <t>Nexa Brandenburg (S20)</t>
        </is>
      </c>
      <c r="F1216" s="22" t="inlineStr">
        <is>
          <t>Đức</t>
        </is>
      </c>
      <c r="G1216" s="22" t="inlineStr">
        <is>
          <t>POS</t>
        </is>
      </c>
      <c r="H1216" s="31" t="n">
        <v>4159.87</v>
      </c>
      <c r="I1216" s="31" t="n">
        <v>0</v>
      </c>
      <c r="J1216" s="31" t="n">
        <v>4159.87</v>
      </c>
      <c r="K1216" s="31" t="n">
        <v>0</v>
      </c>
      <c r="L1216" s="32" t="n">
        <v>4</v>
      </c>
      <c r="M1216" s="32" t="n">
        <v>23</v>
      </c>
      <c r="N1216" s="31" t="n">
        <v>4159.87</v>
      </c>
      <c r="O1216" s="31" t="n">
        <v>4159.87</v>
      </c>
      <c r="P1216" s="22" t="n">
        <v>0</v>
      </c>
      <c r="Q1216" s="22" t="n">
        <v>0</v>
      </c>
      <c r="R1216" s="22" t="n">
        <v>0</v>
      </c>
    </row>
    <row r="1217">
      <c r="A1217" s="22" t="n">
        <v>201803</v>
      </c>
      <c r="B1217" s="22" t="inlineStr">
        <is>
          <t>03/2018</t>
        </is>
      </c>
      <c r="C1217" s="22" t="n">
        <v>22</v>
      </c>
      <c r="D1217" s="22" t="inlineStr">
        <is>
          <t>S22</t>
        </is>
      </c>
      <c r="E1217" s="22" t="inlineStr">
        <is>
          <t>Nexa Freistaat Thüringen (S22)</t>
        </is>
      </c>
      <c r="F1217" s="22" t="inlineStr">
        <is>
          <t>Đức</t>
        </is>
      </c>
      <c r="G1217" s="22" t="inlineStr">
        <is>
          <t>POS</t>
        </is>
      </c>
      <c r="H1217" s="31" t="n">
        <v>7090.91</v>
      </c>
      <c r="I1217" s="31" t="n">
        <v>0</v>
      </c>
      <c r="J1217" s="31" t="n">
        <v>7090.91</v>
      </c>
      <c r="K1217" s="31" t="n">
        <v>196.5</v>
      </c>
      <c r="L1217" s="32" t="n">
        <v>5</v>
      </c>
      <c r="M1217" s="32" t="n">
        <v>26</v>
      </c>
      <c r="N1217" s="31" t="n">
        <v>6894.41</v>
      </c>
      <c r="O1217" s="31" t="n">
        <v>7090.91</v>
      </c>
      <c r="P1217" s="22" t="n">
        <v>0</v>
      </c>
      <c r="Q1217" s="22" t="n">
        <v>0</v>
      </c>
      <c r="R1217" s="22" t="n">
        <v>0</v>
      </c>
    </row>
    <row r="1218">
      <c r="A1218" s="22" t="n">
        <v>201803</v>
      </c>
      <c r="B1218" s="22" t="inlineStr">
        <is>
          <t>03/2018</t>
        </is>
      </c>
      <c r="C1218" s="22" t="n">
        <v>23</v>
      </c>
      <c r="D1218" s="22" t="inlineStr">
        <is>
          <t>S23</t>
        </is>
      </c>
      <c r="E1218" s="22" t="inlineStr">
        <is>
          <t>Nexa Hamburg (S23)</t>
        </is>
      </c>
      <c r="F1218" s="22" t="inlineStr">
        <is>
          <t>Đức</t>
        </is>
      </c>
      <c r="G1218" s="22" t="inlineStr">
        <is>
          <t>POS</t>
        </is>
      </c>
      <c r="H1218" s="31" t="n">
        <v>2056.9</v>
      </c>
      <c r="I1218" s="31" t="n">
        <v>0</v>
      </c>
      <c r="J1218" s="31" t="n">
        <v>2056.9</v>
      </c>
      <c r="K1218" s="31" t="n">
        <v>0</v>
      </c>
      <c r="L1218" s="32" t="n">
        <v>2</v>
      </c>
      <c r="M1218" s="32" t="n">
        <v>13</v>
      </c>
      <c r="N1218" s="31" t="n">
        <v>2056.9</v>
      </c>
      <c r="O1218" s="31" t="n">
        <v>2056.9</v>
      </c>
      <c r="P1218" s="22" t="n">
        <v>1</v>
      </c>
      <c r="Q1218" s="22" t="n">
        <v>0</v>
      </c>
      <c r="R1218" s="22" t="n">
        <v>0</v>
      </c>
    </row>
    <row r="1219">
      <c r="A1219" s="22" t="n">
        <v>201803</v>
      </c>
      <c r="B1219" s="22" t="inlineStr">
        <is>
          <t>03/2018</t>
        </is>
      </c>
      <c r="C1219" s="22" t="n">
        <v>24</v>
      </c>
      <c r="D1219" s="22" t="inlineStr">
        <is>
          <t>S24</t>
        </is>
      </c>
      <c r="E1219" s="22" t="inlineStr">
        <is>
          <t>Nexa Hessen (S24)</t>
        </is>
      </c>
      <c r="F1219" s="22" t="inlineStr">
        <is>
          <t>Đức</t>
        </is>
      </c>
      <c r="G1219" s="22" t="inlineStr">
        <is>
          <t>POS</t>
        </is>
      </c>
      <c r="H1219" s="31" t="n">
        <v>4905.08</v>
      </c>
      <c r="I1219" s="31" t="n">
        <v>0</v>
      </c>
      <c r="J1219" s="31" t="n">
        <v>4905.08</v>
      </c>
      <c r="K1219" s="31" t="n">
        <v>109.99</v>
      </c>
      <c r="L1219" s="32" t="n">
        <v>2</v>
      </c>
      <c r="M1219" s="32" t="n">
        <v>28</v>
      </c>
      <c r="N1219" s="31" t="n">
        <v>4795.09</v>
      </c>
      <c r="O1219" s="31" t="n">
        <v>4905.08</v>
      </c>
      <c r="P1219" s="22" t="n">
        <v>1</v>
      </c>
      <c r="Q1219" s="22" t="n">
        <v>0</v>
      </c>
      <c r="R1219" s="22" t="n">
        <v>0</v>
      </c>
    </row>
    <row r="1220">
      <c r="A1220" s="22" t="n">
        <v>201803</v>
      </c>
      <c r="B1220" s="22" t="inlineStr">
        <is>
          <t>03/2018</t>
        </is>
      </c>
      <c r="C1220" s="22" t="n">
        <v>27</v>
      </c>
      <c r="D1220" s="22" t="inlineStr">
        <is>
          <t>S27</t>
        </is>
      </c>
      <c r="E1220" s="22" t="inlineStr">
        <is>
          <t>Nexa Sachsen-Anhalt (S27)</t>
        </is>
      </c>
      <c r="F1220" s="22" t="inlineStr">
        <is>
          <t>Đức</t>
        </is>
      </c>
      <c r="G1220" s="22" t="inlineStr">
        <is>
          <t>POS</t>
        </is>
      </c>
      <c r="H1220" s="31" t="n">
        <v>31126.04</v>
      </c>
      <c r="I1220" s="31" t="n">
        <v>117.4</v>
      </c>
      <c r="J1220" s="31" t="n">
        <v>31008.64</v>
      </c>
      <c r="K1220" s="31" t="n">
        <v>99.98999999999999</v>
      </c>
      <c r="L1220" s="32" t="n">
        <v>4</v>
      </c>
      <c r="M1220" s="32" t="n">
        <v>64</v>
      </c>
      <c r="N1220" s="31" t="n">
        <v>30908.65</v>
      </c>
      <c r="O1220" s="31" t="n">
        <v>31008.64</v>
      </c>
      <c r="P1220" s="22" t="n">
        <v>0</v>
      </c>
      <c r="Q1220" s="22" t="n">
        <v>0</v>
      </c>
      <c r="R1220" s="22" t="n">
        <v>0</v>
      </c>
    </row>
    <row r="1221">
      <c r="A1221" s="22" t="n">
        <v>201803</v>
      </c>
      <c r="B1221" s="22" t="inlineStr">
        <is>
          <t>03/2018</t>
        </is>
      </c>
      <c r="C1221" s="22" t="n">
        <v>29</v>
      </c>
      <c r="D1221" s="22" t="inlineStr">
        <is>
          <t>S29</t>
        </is>
      </c>
      <c r="E1221" s="22" t="inlineStr">
        <is>
          <t>Nexa Enna (S29)</t>
        </is>
      </c>
      <c r="F1221" s="22" t="inlineStr">
        <is>
          <t>Ý</t>
        </is>
      </c>
      <c r="G1221" s="22" t="inlineStr">
        <is>
          <t>POS</t>
        </is>
      </c>
      <c r="H1221" s="31" t="n">
        <v>86</v>
      </c>
      <c r="I1221" s="31" t="n">
        <v>0</v>
      </c>
      <c r="J1221" s="31" t="n">
        <v>86</v>
      </c>
      <c r="K1221" s="31" t="n">
        <v>0</v>
      </c>
      <c r="L1221" s="32" t="n">
        <v>1</v>
      </c>
      <c r="M1221" s="32" t="n">
        <v>2</v>
      </c>
      <c r="N1221" s="31" t="n">
        <v>86</v>
      </c>
      <c r="O1221" s="31" t="n">
        <v>86</v>
      </c>
      <c r="P1221" s="22" t="n">
        <v>0</v>
      </c>
      <c r="Q1221" s="22" t="n">
        <v>0</v>
      </c>
      <c r="R1221" s="22" t="n">
        <v>0</v>
      </c>
    </row>
    <row r="1222">
      <c r="A1222" s="22" t="n">
        <v>201803</v>
      </c>
      <c r="B1222" s="22" t="inlineStr">
        <is>
          <t>03/2018</t>
        </is>
      </c>
      <c r="C1222" s="22" t="n">
        <v>30</v>
      </c>
      <c r="D1222" s="22" t="inlineStr">
        <is>
          <t>S30</t>
        </is>
      </c>
      <c r="E1222" s="22" t="inlineStr">
        <is>
          <t>Nexa Pesaro (S30)</t>
        </is>
      </c>
      <c r="F1222" s="22" t="inlineStr">
        <is>
          <t>Ý</t>
        </is>
      </c>
      <c r="G1222" s="22" t="inlineStr">
        <is>
          <t>POS</t>
        </is>
      </c>
      <c r="H1222" s="31" t="n">
        <v>12547.41</v>
      </c>
      <c r="I1222" s="31" t="n">
        <v>63.59</v>
      </c>
      <c r="J1222" s="31" t="n">
        <v>12483.82</v>
      </c>
      <c r="K1222" s="31" t="n">
        <v>6.89</v>
      </c>
      <c r="L1222" s="32" t="n">
        <v>6</v>
      </c>
      <c r="M1222" s="32" t="n">
        <v>50</v>
      </c>
      <c r="N1222" s="31" t="n">
        <v>12476.93</v>
      </c>
      <c r="O1222" s="31" t="n">
        <v>12483.82</v>
      </c>
      <c r="P1222" s="22" t="n">
        <v>0</v>
      </c>
      <c r="Q1222" s="22" t="n">
        <v>0</v>
      </c>
      <c r="R1222" s="22" t="n">
        <v>0</v>
      </c>
    </row>
    <row r="1223">
      <c r="A1223" s="22" t="n">
        <v>201803</v>
      </c>
      <c r="B1223" s="22" t="inlineStr">
        <is>
          <t>03/2018</t>
        </is>
      </c>
      <c r="C1223" s="22" t="n">
        <v>31</v>
      </c>
      <c r="D1223" s="22" t="inlineStr">
        <is>
          <t>S31</t>
        </is>
      </c>
      <c r="E1223" s="22" t="inlineStr">
        <is>
          <t>Nexa Drenthe (S31)</t>
        </is>
      </c>
      <c r="F1223" s="22" t="inlineStr">
        <is>
          <t>Hà Lan</t>
        </is>
      </c>
      <c r="G1223" s="22" t="inlineStr">
        <is>
          <t>POS</t>
        </is>
      </c>
      <c r="H1223" s="31" t="n">
        <v>1142</v>
      </c>
      <c r="I1223" s="31" t="n">
        <v>0</v>
      </c>
      <c r="J1223" s="31" t="n">
        <v>1142</v>
      </c>
      <c r="K1223" s="31" t="n">
        <v>299</v>
      </c>
      <c r="L1223" s="32" t="n">
        <v>1</v>
      </c>
      <c r="M1223" s="32" t="n">
        <v>5</v>
      </c>
      <c r="N1223" s="31" t="n">
        <v>843</v>
      </c>
      <c r="O1223" s="31" t="n">
        <v>1142</v>
      </c>
      <c r="P1223" s="22" t="n">
        <v>0</v>
      </c>
      <c r="Q1223" s="22" t="n">
        <v>0</v>
      </c>
      <c r="R1223" s="22" t="n">
        <v>0</v>
      </c>
    </row>
    <row r="1224">
      <c r="A1224" s="22" t="n">
        <v>201803</v>
      </c>
      <c r="B1224" s="22" t="inlineStr">
        <is>
          <t>03/2018</t>
        </is>
      </c>
      <c r="C1224" s="22" t="n">
        <v>34</v>
      </c>
      <c r="D1224" s="22" t="inlineStr">
        <is>
          <t>S34</t>
        </is>
      </c>
      <c r="E1224" s="22" t="inlineStr">
        <is>
          <t>Nexa Groningen (S34)</t>
        </is>
      </c>
      <c r="F1224" s="22" t="inlineStr">
        <is>
          <t>Hà Lan</t>
        </is>
      </c>
      <c r="G1224" s="22" t="inlineStr">
        <is>
          <t>POS</t>
        </is>
      </c>
      <c r="H1224" s="31" t="n">
        <v>11374.23</v>
      </c>
      <c r="I1224" s="31" t="n">
        <v>0</v>
      </c>
      <c r="J1224" s="31" t="n">
        <v>11374.23</v>
      </c>
      <c r="K1224" s="31" t="n">
        <v>73.39</v>
      </c>
      <c r="L1224" s="32" t="n">
        <v>4</v>
      </c>
      <c r="M1224" s="32" t="n">
        <v>28</v>
      </c>
      <c r="N1224" s="31" t="n">
        <v>11300.84</v>
      </c>
      <c r="O1224" s="31" t="n">
        <v>11374.23</v>
      </c>
      <c r="P1224" s="22" t="n">
        <v>0</v>
      </c>
      <c r="Q1224" s="22" t="n">
        <v>0</v>
      </c>
      <c r="R1224" s="22" t="n">
        <v>0</v>
      </c>
    </row>
    <row r="1225">
      <c r="A1225" s="22" t="n">
        <v>201803</v>
      </c>
      <c r="B1225" s="22" t="inlineStr">
        <is>
          <t>03/2018</t>
        </is>
      </c>
      <c r="C1225" s="22" t="n">
        <v>36</v>
      </c>
      <c r="D1225" s="22" t="inlineStr">
        <is>
          <t>S36</t>
        </is>
      </c>
      <c r="E1225" s="22" t="inlineStr">
        <is>
          <t>Nexa Armagh (S36)</t>
        </is>
      </c>
      <c r="F1225" s="22" t="inlineStr">
        <is>
          <t>Anh</t>
        </is>
      </c>
      <c r="G1225" s="22" t="inlineStr">
        <is>
          <t>POS</t>
        </is>
      </c>
      <c r="H1225" s="31" t="n">
        <v>472.15</v>
      </c>
      <c r="I1225" s="31" t="n">
        <v>0</v>
      </c>
      <c r="J1225" s="31" t="n">
        <v>472.15</v>
      </c>
      <c r="K1225" s="31" t="n">
        <v>0</v>
      </c>
      <c r="L1225" s="32" t="n">
        <v>2</v>
      </c>
      <c r="M1225" s="32" t="n">
        <v>4</v>
      </c>
      <c r="N1225" s="31" t="n">
        <v>472.15</v>
      </c>
      <c r="O1225" s="31" t="n">
        <v>472.15</v>
      </c>
      <c r="P1225" s="22" t="n">
        <v>0</v>
      </c>
      <c r="Q1225" s="22" t="n">
        <v>0</v>
      </c>
      <c r="R1225" s="22" t="n">
        <v>0</v>
      </c>
    </row>
    <row r="1226">
      <c r="A1226" s="22" t="n">
        <v>201803</v>
      </c>
      <c r="B1226" s="22" t="inlineStr">
        <is>
          <t>03/2018</t>
        </is>
      </c>
      <c r="C1226" s="22" t="n">
        <v>37</v>
      </c>
      <c r="D1226" s="22" t="inlineStr">
        <is>
          <t>S37</t>
        </is>
      </c>
      <c r="E1226" s="22" t="inlineStr">
        <is>
          <t>Nexa Ayrshire (S37)</t>
        </is>
      </c>
      <c r="F1226" s="22" t="inlineStr">
        <is>
          <t>Anh</t>
        </is>
      </c>
      <c r="G1226" s="22" t="inlineStr">
        <is>
          <t>POS</t>
        </is>
      </c>
      <c r="H1226" s="31" t="n">
        <v>0</v>
      </c>
      <c r="I1226" s="31" t="n">
        <v>0</v>
      </c>
      <c r="J1226" s="31" t="n">
        <v>0</v>
      </c>
      <c r="K1226" s="31" t="n">
        <v>29.97</v>
      </c>
      <c r="L1226" s="32" t="n">
        <v>0</v>
      </c>
      <c r="M1226" s="32" t="n">
        <v>0</v>
      </c>
      <c r="N1226" s="31" t="n">
        <v>-29.97</v>
      </c>
      <c r="O1226" s="31" t="n">
        <v>0</v>
      </c>
      <c r="P1226" s="22" t="n">
        <v>0</v>
      </c>
      <c r="Q1226" s="22" t="n">
        <v>0</v>
      </c>
      <c r="R1226" s="22" t="n">
        <v>0</v>
      </c>
    </row>
    <row r="1227">
      <c r="A1227" s="22" t="n">
        <v>201803</v>
      </c>
      <c r="B1227" s="22" t="inlineStr">
        <is>
          <t>03/2018</t>
        </is>
      </c>
      <c r="C1227" s="22" t="n">
        <v>38</v>
      </c>
      <c r="D1227" s="22" t="inlineStr">
        <is>
          <t>S38</t>
        </is>
      </c>
      <c r="E1227" s="22" t="inlineStr">
        <is>
          <t>Nexa Belfast (S38)</t>
        </is>
      </c>
      <c r="F1227" s="22" t="inlineStr">
        <is>
          <t>Anh</t>
        </is>
      </c>
      <c r="G1227" s="22" t="inlineStr">
        <is>
          <t>POS</t>
        </is>
      </c>
      <c r="H1227" s="31" t="n">
        <v>3710.4</v>
      </c>
      <c r="I1227" s="31" t="n">
        <v>0</v>
      </c>
      <c r="J1227" s="31" t="n">
        <v>3710.4</v>
      </c>
      <c r="K1227" s="31" t="n">
        <v>2417.4</v>
      </c>
      <c r="L1227" s="32" t="n">
        <v>4</v>
      </c>
      <c r="M1227" s="32" t="n">
        <v>13</v>
      </c>
      <c r="N1227" s="31" t="n">
        <v>1293</v>
      </c>
      <c r="O1227" s="31" t="n">
        <v>3710.4</v>
      </c>
      <c r="P1227" s="22" t="n">
        <v>0</v>
      </c>
      <c r="Q1227" s="22" t="n">
        <v>0</v>
      </c>
      <c r="R1227" s="22" t="n">
        <v>0</v>
      </c>
    </row>
    <row r="1228">
      <c r="A1228" s="22" t="n">
        <v>201803</v>
      </c>
      <c r="B1228" s="22" t="inlineStr">
        <is>
          <t>03/2018</t>
        </is>
      </c>
      <c r="C1228" s="22" t="n">
        <v>39</v>
      </c>
      <c r="D1228" s="22" t="inlineStr">
        <is>
          <t>S39</t>
        </is>
      </c>
      <c r="E1228" s="22" t="inlineStr">
        <is>
          <t>Nexa Blaenau Gwent (S39)</t>
        </is>
      </c>
      <c r="F1228" s="22" t="inlineStr">
        <is>
          <t>Anh</t>
        </is>
      </c>
      <c r="G1228" s="22" t="inlineStr">
        <is>
          <t>POS</t>
        </is>
      </c>
      <c r="H1228" s="31" t="n">
        <v>9734.549999999999</v>
      </c>
      <c r="I1228" s="31" t="n">
        <v>0</v>
      </c>
      <c r="J1228" s="31" t="n">
        <v>9734.549999999999</v>
      </c>
      <c r="K1228" s="31" t="n">
        <v>41.67</v>
      </c>
      <c r="L1228" s="32" t="n">
        <v>7</v>
      </c>
      <c r="M1228" s="32" t="n">
        <v>45</v>
      </c>
      <c r="N1228" s="31" t="n">
        <v>9692.879999999999</v>
      </c>
      <c r="O1228" s="31" t="n">
        <v>9734.549999999999</v>
      </c>
      <c r="P1228" s="22" t="n">
        <v>0</v>
      </c>
      <c r="Q1228" s="22" t="n">
        <v>0</v>
      </c>
      <c r="R1228" s="22" t="n">
        <v>0</v>
      </c>
    </row>
    <row r="1229">
      <c r="A1229" s="22" t="n">
        <v>201803</v>
      </c>
      <c r="B1229" s="22" t="inlineStr">
        <is>
          <t>03/2018</t>
        </is>
      </c>
      <c r="C1229" s="22" t="n">
        <v>40</v>
      </c>
      <c r="D1229" s="22" t="inlineStr">
        <is>
          <t>S40</t>
        </is>
      </c>
      <c r="E1229" s="22" t="inlineStr">
        <is>
          <t>Nexa Dungannon and South Tyrone (S40)</t>
        </is>
      </c>
      <c r="F1229" s="22" t="inlineStr">
        <is>
          <t>Anh</t>
        </is>
      </c>
      <c r="G1229" s="22" t="inlineStr">
        <is>
          <t>POS</t>
        </is>
      </c>
      <c r="H1229" s="31" t="n">
        <v>4281.31</v>
      </c>
      <c r="I1229" s="31" t="n">
        <v>0</v>
      </c>
      <c r="J1229" s="31" t="n">
        <v>4281.31</v>
      </c>
      <c r="K1229" s="31" t="n">
        <v>0</v>
      </c>
      <c r="L1229" s="32" t="n">
        <v>3</v>
      </c>
      <c r="M1229" s="32" t="n">
        <v>15</v>
      </c>
      <c r="N1229" s="31" t="n">
        <v>4281.31</v>
      </c>
      <c r="O1229" s="31" t="n">
        <v>4281.31</v>
      </c>
      <c r="P1229" s="22" t="n">
        <v>0</v>
      </c>
      <c r="Q1229" s="22" t="n">
        <v>0</v>
      </c>
      <c r="R1229" s="22" t="n">
        <v>0</v>
      </c>
    </row>
    <row r="1230">
      <c r="A1230" s="22" t="n">
        <v>201803</v>
      </c>
      <c r="B1230" s="22" t="inlineStr">
        <is>
          <t>03/2018</t>
        </is>
      </c>
      <c r="C1230" s="22" t="n">
        <v>41</v>
      </c>
      <c r="D1230" s="22" t="inlineStr">
        <is>
          <t>S41</t>
        </is>
      </c>
      <c r="E1230" s="22" t="inlineStr">
        <is>
          <t>Nexa Fermanagh (S41)</t>
        </is>
      </c>
      <c r="F1230" s="22" t="inlineStr">
        <is>
          <t>Anh</t>
        </is>
      </c>
      <c r="G1230" s="22" t="inlineStr">
        <is>
          <t>POS</t>
        </is>
      </c>
      <c r="H1230" s="31" t="n">
        <v>3208.2</v>
      </c>
      <c r="I1230" s="31" t="n">
        <v>0</v>
      </c>
      <c r="J1230" s="31" t="n">
        <v>3208.2</v>
      </c>
      <c r="K1230" s="31" t="n">
        <v>0</v>
      </c>
      <c r="L1230" s="32" t="n">
        <v>2</v>
      </c>
      <c r="M1230" s="32" t="n">
        <v>14</v>
      </c>
      <c r="N1230" s="31" t="n">
        <v>3208.2</v>
      </c>
      <c r="O1230" s="31" t="n">
        <v>3208.2</v>
      </c>
      <c r="P1230" s="22" t="n">
        <v>0</v>
      </c>
      <c r="Q1230" s="22" t="n">
        <v>0</v>
      </c>
      <c r="R1230" s="22" t="n">
        <v>0</v>
      </c>
    </row>
    <row r="1231">
      <c r="A1231" s="22" t="n">
        <v>201803</v>
      </c>
      <c r="B1231" s="22" t="inlineStr">
        <is>
          <t>03/2018</t>
        </is>
      </c>
      <c r="C1231" s="22" t="n">
        <v>42</v>
      </c>
      <c r="D1231" s="22" t="inlineStr">
        <is>
          <t>S42</t>
        </is>
      </c>
      <c r="E1231" s="22" t="inlineStr">
        <is>
          <t>Nexa North Down (S42)</t>
        </is>
      </c>
      <c r="F1231" s="22" t="inlineStr">
        <is>
          <t>Anh</t>
        </is>
      </c>
      <c r="G1231" s="22" t="inlineStr">
        <is>
          <t>POS</t>
        </is>
      </c>
      <c r="H1231" s="31" t="n">
        <v>8820.93</v>
      </c>
      <c r="I1231" s="31" t="n">
        <v>0</v>
      </c>
      <c r="J1231" s="31" t="n">
        <v>8820.93</v>
      </c>
      <c r="K1231" s="31" t="n">
        <v>869</v>
      </c>
      <c r="L1231" s="32" t="n">
        <v>5</v>
      </c>
      <c r="M1231" s="32" t="n">
        <v>29</v>
      </c>
      <c r="N1231" s="31" t="n">
        <v>7951.93</v>
      </c>
      <c r="O1231" s="31" t="n">
        <v>8820.93</v>
      </c>
      <c r="P1231" s="22" t="n">
        <v>0</v>
      </c>
      <c r="Q1231" s="22" t="n">
        <v>0</v>
      </c>
      <c r="R1231" s="22" t="n">
        <v>0</v>
      </c>
    </row>
    <row r="1232">
      <c r="A1232" s="22" t="n">
        <v>201803</v>
      </c>
      <c r="B1232" s="22" t="inlineStr">
        <is>
          <t>03/2018</t>
        </is>
      </c>
      <c r="C1232" s="22" t="n">
        <v>43</v>
      </c>
      <c r="D1232" s="22" t="inlineStr">
        <is>
          <t>S43</t>
        </is>
      </c>
      <c r="E1232" s="22" t="inlineStr">
        <is>
          <t>Nexa Alaska (S43)</t>
        </is>
      </c>
      <c r="F1232" s="22" t="inlineStr">
        <is>
          <t>Mỹ</t>
        </is>
      </c>
      <c r="G1232" s="22" t="inlineStr">
        <is>
          <t>POS</t>
        </is>
      </c>
      <c r="H1232" s="31" t="n">
        <v>15265.41</v>
      </c>
      <c r="I1232" s="31" t="n">
        <v>0</v>
      </c>
      <c r="J1232" s="31" t="n">
        <v>15265.41</v>
      </c>
      <c r="K1232" s="31" t="n">
        <v>227.7</v>
      </c>
      <c r="L1232" s="32" t="n">
        <v>5</v>
      </c>
      <c r="M1232" s="32" t="n">
        <v>56</v>
      </c>
      <c r="N1232" s="31" t="n">
        <v>15037.71</v>
      </c>
      <c r="O1232" s="31" t="n">
        <v>15265.41</v>
      </c>
      <c r="P1232" s="22" t="n">
        <v>0</v>
      </c>
      <c r="Q1232" s="22" t="n">
        <v>0</v>
      </c>
      <c r="R1232" s="22" t="n">
        <v>0</v>
      </c>
    </row>
    <row r="1233">
      <c r="A1233" s="22" t="n">
        <v>201803</v>
      </c>
      <c r="B1233" s="22" t="inlineStr">
        <is>
          <t>03/2018</t>
        </is>
      </c>
      <c r="C1233" s="22" t="n">
        <v>44</v>
      </c>
      <c r="D1233" s="22" t="inlineStr">
        <is>
          <t>S44</t>
        </is>
      </c>
      <c r="E1233" s="22" t="inlineStr">
        <is>
          <t>Nexa Arkansas (S44)</t>
        </is>
      </c>
      <c r="F1233" s="22" t="inlineStr">
        <is>
          <t>Mỹ</t>
        </is>
      </c>
      <c r="G1233" s="22" t="inlineStr">
        <is>
          <t>POS</t>
        </is>
      </c>
      <c r="H1233" s="31" t="n">
        <v>1190.46</v>
      </c>
      <c r="I1233" s="31" t="n">
        <v>0</v>
      </c>
      <c r="J1233" s="31" t="n">
        <v>1190.46</v>
      </c>
      <c r="K1233" s="31" t="n">
        <v>184.5</v>
      </c>
      <c r="L1233" s="32" t="n">
        <v>1</v>
      </c>
      <c r="M1233" s="32" t="n">
        <v>8</v>
      </c>
      <c r="N1233" s="31" t="n">
        <v>1005.96</v>
      </c>
      <c r="O1233" s="31" t="n">
        <v>1190.46</v>
      </c>
      <c r="P1233" s="22" t="n">
        <v>0</v>
      </c>
      <c r="Q1233" s="22" t="n">
        <v>0</v>
      </c>
      <c r="R1233" s="22" t="n">
        <v>0</v>
      </c>
    </row>
    <row r="1234">
      <c r="A1234" s="22" t="n">
        <v>201803</v>
      </c>
      <c r="B1234" s="22" t="inlineStr">
        <is>
          <t>03/2018</t>
        </is>
      </c>
      <c r="C1234" s="22" t="n">
        <v>45</v>
      </c>
      <c r="D1234" s="22" t="inlineStr">
        <is>
          <t>S45</t>
        </is>
      </c>
      <c r="E1234" s="22" t="inlineStr">
        <is>
          <t>Nexa Connecticut (S45)</t>
        </is>
      </c>
      <c r="F1234" s="22" t="inlineStr">
        <is>
          <t>Mỹ</t>
        </is>
      </c>
      <c r="G1234" s="22" t="inlineStr">
        <is>
          <t>POS</t>
        </is>
      </c>
      <c r="H1234" s="31" t="n">
        <v>4831.54</v>
      </c>
      <c r="I1234" s="31" t="n">
        <v>0</v>
      </c>
      <c r="J1234" s="31" t="n">
        <v>4831.54</v>
      </c>
      <c r="K1234" s="31" t="n">
        <v>25.69</v>
      </c>
      <c r="L1234" s="32" t="n">
        <v>4</v>
      </c>
      <c r="M1234" s="32" t="n">
        <v>47</v>
      </c>
      <c r="N1234" s="31" t="n">
        <v>4805.85</v>
      </c>
      <c r="O1234" s="31" t="n">
        <v>4831.54</v>
      </c>
      <c r="P1234" s="22" t="n">
        <v>0</v>
      </c>
      <c r="Q1234" s="22" t="n">
        <v>0</v>
      </c>
      <c r="R1234" s="22" t="n">
        <v>0</v>
      </c>
    </row>
    <row r="1235">
      <c r="A1235" s="22" t="n">
        <v>201803</v>
      </c>
      <c r="B1235" s="22" t="inlineStr">
        <is>
          <t>03/2018</t>
        </is>
      </c>
      <c r="C1235" s="22" t="n">
        <v>47</v>
      </c>
      <c r="D1235" s="22" t="inlineStr">
        <is>
          <t>S47</t>
        </is>
      </c>
      <c r="E1235" s="22" t="inlineStr">
        <is>
          <t>Nexa Hawaii (S47)</t>
        </is>
      </c>
      <c r="F1235" s="22" t="inlineStr">
        <is>
          <t>Mỹ</t>
        </is>
      </c>
      <c r="G1235" s="22" t="inlineStr">
        <is>
          <t>POS</t>
        </is>
      </c>
      <c r="H1235" s="31" t="n">
        <v>9764.51</v>
      </c>
      <c r="I1235" s="31" t="n">
        <v>0</v>
      </c>
      <c r="J1235" s="31" t="n">
        <v>9764.51</v>
      </c>
      <c r="K1235" s="31" t="n">
        <v>967.9</v>
      </c>
      <c r="L1235" s="32" t="n">
        <v>7</v>
      </c>
      <c r="M1235" s="32" t="n">
        <v>37</v>
      </c>
      <c r="N1235" s="31" t="n">
        <v>8796.610000000001</v>
      </c>
      <c r="O1235" s="31" t="n">
        <v>9764.51</v>
      </c>
      <c r="P1235" s="22" t="n">
        <v>0</v>
      </c>
      <c r="Q1235" s="22" t="n">
        <v>0</v>
      </c>
      <c r="R1235" s="22" t="n">
        <v>0</v>
      </c>
    </row>
    <row r="1236">
      <c r="A1236" s="22" t="n">
        <v>201803</v>
      </c>
      <c r="B1236" s="22" t="inlineStr">
        <is>
          <t>03/2018</t>
        </is>
      </c>
      <c r="C1236" s="22" t="n">
        <v>48</v>
      </c>
      <c r="D1236" s="22" t="inlineStr">
        <is>
          <t>S48</t>
        </is>
      </c>
      <c r="E1236" s="22" t="inlineStr">
        <is>
          <t>Nexa Idaho (S48)</t>
        </is>
      </c>
      <c r="F1236" s="22" t="inlineStr">
        <is>
          <t>Mỹ</t>
        </is>
      </c>
      <c r="G1236" s="22" t="inlineStr">
        <is>
          <t>POS</t>
        </is>
      </c>
      <c r="H1236" s="31" t="n">
        <v>20015.88</v>
      </c>
      <c r="I1236" s="31" t="n">
        <v>148.01</v>
      </c>
      <c r="J1236" s="31" t="n">
        <v>19867.87</v>
      </c>
      <c r="K1236" s="31" t="n">
        <v>3031.24</v>
      </c>
      <c r="L1236" s="32" t="n">
        <v>6</v>
      </c>
      <c r="M1236" s="32" t="n">
        <v>48</v>
      </c>
      <c r="N1236" s="31" t="n">
        <v>16836.63</v>
      </c>
      <c r="O1236" s="31" t="n">
        <v>19867.87</v>
      </c>
      <c r="P1236" s="22" t="n">
        <v>0</v>
      </c>
      <c r="Q1236" s="22" t="n">
        <v>0</v>
      </c>
      <c r="R1236" s="22" t="n">
        <v>0</v>
      </c>
    </row>
    <row r="1237">
      <c r="A1237" s="22" t="n">
        <v>201803</v>
      </c>
      <c r="B1237" s="22" t="inlineStr">
        <is>
          <t>03/2018</t>
        </is>
      </c>
      <c r="C1237" s="22" t="n">
        <v>50</v>
      </c>
      <c r="D1237" s="22" t="inlineStr">
        <is>
          <t>S50</t>
        </is>
      </c>
      <c r="E1237" s="22" t="inlineStr">
        <is>
          <t>Nexa Kansas (S50)</t>
        </is>
      </c>
      <c r="F1237" s="22" t="inlineStr">
        <is>
          <t>Mỹ</t>
        </is>
      </c>
      <c r="G1237" s="22" t="inlineStr">
        <is>
          <t>POS</t>
        </is>
      </c>
      <c r="H1237" s="31" t="n">
        <v>18380.77</v>
      </c>
      <c r="I1237" s="31" t="n">
        <v>0</v>
      </c>
      <c r="J1237" s="31" t="n">
        <v>18380.77</v>
      </c>
      <c r="K1237" s="31" t="n">
        <v>816</v>
      </c>
      <c r="L1237" s="32" t="n">
        <v>3</v>
      </c>
      <c r="M1237" s="32" t="n">
        <v>23</v>
      </c>
      <c r="N1237" s="31" t="n">
        <v>17564.77</v>
      </c>
      <c r="O1237" s="31" t="n">
        <v>18380.77</v>
      </c>
      <c r="P1237" s="22" t="n">
        <v>0</v>
      </c>
      <c r="Q1237" s="22" t="n">
        <v>0</v>
      </c>
      <c r="R1237" s="22" t="n">
        <v>0</v>
      </c>
    </row>
    <row r="1238">
      <c r="A1238" s="22" t="n">
        <v>201803</v>
      </c>
      <c r="B1238" s="22" t="inlineStr">
        <is>
          <t>03/2018</t>
        </is>
      </c>
      <c r="C1238" s="22" t="n">
        <v>51</v>
      </c>
      <c r="D1238" s="22" t="inlineStr">
        <is>
          <t>S51</t>
        </is>
      </c>
      <c r="E1238" s="22" t="inlineStr">
        <is>
          <t>Nexa Maine (S51)</t>
        </is>
      </c>
      <c r="F1238" s="22" t="inlineStr">
        <is>
          <t>Mỹ</t>
        </is>
      </c>
      <c r="G1238" s="22" t="inlineStr">
        <is>
          <t>POS</t>
        </is>
      </c>
      <c r="H1238" s="31" t="n">
        <v>12757.24</v>
      </c>
      <c r="I1238" s="31" t="n">
        <v>322.02</v>
      </c>
      <c r="J1238" s="31" t="n">
        <v>12435.22</v>
      </c>
      <c r="K1238" s="31" t="n">
        <v>178</v>
      </c>
      <c r="L1238" s="32" t="n">
        <v>7</v>
      </c>
      <c r="M1238" s="32" t="n">
        <v>43</v>
      </c>
      <c r="N1238" s="31" t="n">
        <v>12257.22</v>
      </c>
      <c r="O1238" s="31" t="n">
        <v>12435.22</v>
      </c>
      <c r="P1238" s="22" t="n">
        <v>0</v>
      </c>
      <c r="Q1238" s="22" t="n">
        <v>0</v>
      </c>
      <c r="R1238" s="22" t="n">
        <v>0</v>
      </c>
    </row>
    <row r="1239">
      <c r="A1239" s="22" t="n">
        <v>201803</v>
      </c>
      <c r="B1239" s="22" t="inlineStr">
        <is>
          <t>03/2018</t>
        </is>
      </c>
      <c r="C1239" s="22" t="n">
        <v>53</v>
      </c>
      <c r="D1239" s="22" t="inlineStr">
        <is>
          <t>S53</t>
        </is>
      </c>
      <c r="E1239" s="22" t="inlineStr">
        <is>
          <t>Nexa Montana (S53)</t>
        </is>
      </c>
      <c r="F1239" s="22" t="inlineStr">
        <is>
          <t>Mỹ</t>
        </is>
      </c>
      <c r="G1239" s="22" t="inlineStr">
        <is>
          <t>POS</t>
        </is>
      </c>
      <c r="H1239" s="31" t="n">
        <v>8713.74</v>
      </c>
      <c r="I1239" s="31" t="n">
        <v>265.2</v>
      </c>
      <c r="J1239" s="31" t="n">
        <v>8448.540000000001</v>
      </c>
      <c r="K1239" s="31" t="n">
        <v>0</v>
      </c>
      <c r="L1239" s="32" t="n">
        <v>4</v>
      </c>
      <c r="M1239" s="32" t="n">
        <v>24</v>
      </c>
      <c r="N1239" s="31" t="n">
        <v>8448.540000000001</v>
      </c>
      <c r="O1239" s="31" t="n">
        <v>8448.540000000001</v>
      </c>
      <c r="P1239" s="22" t="n">
        <v>0</v>
      </c>
      <c r="Q1239" s="22" t="n">
        <v>0</v>
      </c>
      <c r="R1239" s="22" t="n">
        <v>0</v>
      </c>
    </row>
    <row r="1240">
      <c r="A1240" s="22" t="n">
        <v>201803</v>
      </c>
      <c r="B1240" s="22" t="inlineStr">
        <is>
          <t>03/2018</t>
        </is>
      </c>
      <c r="C1240" s="22" t="n">
        <v>54</v>
      </c>
      <c r="D1240" s="22" t="inlineStr">
        <is>
          <t>S54</t>
        </is>
      </c>
      <c r="E1240" s="22" t="inlineStr">
        <is>
          <t>Nexa Nebraska (S54)</t>
        </is>
      </c>
      <c r="F1240" s="22" t="inlineStr">
        <is>
          <t>Mỹ</t>
        </is>
      </c>
      <c r="G1240" s="22" t="inlineStr">
        <is>
          <t>POS</t>
        </is>
      </c>
      <c r="H1240" s="31" t="n">
        <v>2080.61</v>
      </c>
      <c r="I1240" s="31" t="n">
        <v>0</v>
      </c>
      <c r="J1240" s="31" t="n">
        <v>2080.61</v>
      </c>
      <c r="K1240" s="31" t="n">
        <v>797.98</v>
      </c>
      <c r="L1240" s="32" t="n">
        <v>1</v>
      </c>
      <c r="M1240" s="32" t="n">
        <v>12</v>
      </c>
      <c r="N1240" s="31" t="n">
        <v>1282.63</v>
      </c>
      <c r="O1240" s="31" t="n">
        <v>2080.61</v>
      </c>
      <c r="P1240" s="22" t="n">
        <v>0</v>
      </c>
      <c r="Q1240" s="22" t="n">
        <v>0</v>
      </c>
      <c r="R1240" s="22" t="n">
        <v>0</v>
      </c>
    </row>
    <row r="1241">
      <c r="A1241" s="22" t="n">
        <v>201803</v>
      </c>
      <c r="B1241" s="22" t="inlineStr">
        <is>
          <t>03/2018</t>
        </is>
      </c>
      <c r="C1241" s="22" t="n">
        <v>55</v>
      </c>
      <c r="D1241" s="22" t="inlineStr">
        <is>
          <t>S55</t>
        </is>
      </c>
      <c r="E1241" s="22" t="inlineStr">
        <is>
          <t>Nexa Nevada (S55)</t>
        </is>
      </c>
      <c r="F1241" s="22" t="inlineStr">
        <is>
          <t>Mỹ</t>
        </is>
      </c>
      <c r="G1241" s="22" t="inlineStr">
        <is>
          <t>POS</t>
        </is>
      </c>
      <c r="H1241" s="31" t="n">
        <v>20658.37</v>
      </c>
      <c r="I1241" s="31" t="n">
        <v>44.7</v>
      </c>
      <c r="J1241" s="31" t="n">
        <v>20613.67</v>
      </c>
      <c r="K1241" s="31" t="n">
        <v>0</v>
      </c>
      <c r="L1241" s="32" t="n">
        <v>6</v>
      </c>
      <c r="M1241" s="32" t="n">
        <v>47</v>
      </c>
      <c r="N1241" s="31" t="n">
        <v>20613.67</v>
      </c>
      <c r="O1241" s="31" t="n">
        <v>20613.67</v>
      </c>
      <c r="P1241" s="22" t="n">
        <v>0</v>
      </c>
      <c r="Q1241" s="22" t="n">
        <v>0</v>
      </c>
      <c r="R1241" s="22" t="n">
        <v>0</v>
      </c>
    </row>
    <row r="1242">
      <c r="A1242" s="22" t="n">
        <v>201803</v>
      </c>
      <c r="B1242" s="22" t="inlineStr">
        <is>
          <t>03/2018</t>
        </is>
      </c>
      <c r="C1242" s="22" t="n">
        <v>56</v>
      </c>
      <c r="D1242" s="22" t="inlineStr">
        <is>
          <t>S56</t>
        </is>
      </c>
      <c r="E1242" s="22" t="inlineStr">
        <is>
          <t>Nexa New Hampshire (S56)</t>
        </is>
      </c>
      <c r="F1242" s="22" t="inlineStr">
        <is>
          <t>Mỹ</t>
        </is>
      </c>
      <c r="G1242" s="22" t="inlineStr">
        <is>
          <t>POS</t>
        </is>
      </c>
      <c r="H1242" s="31" t="n">
        <v>9407.790000000001</v>
      </c>
      <c r="I1242" s="31" t="n">
        <v>0</v>
      </c>
      <c r="J1242" s="31" t="n">
        <v>9407.790000000001</v>
      </c>
      <c r="K1242" s="31" t="n">
        <v>2856.99</v>
      </c>
      <c r="L1242" s="32" t="n">
        <v>4</v>
      </c>
      <c r="M1242" s="32" t="n">
        <v>27</v>
      </c>
      <c r="N1242" s="31" t="n">
        <v>6550.8</v>
      </c>
      <c r="O1242" s="31" t="n">
        <v>9407.790000000001</v>
      </c>
      <c r="P1242" s="22" t="n">
        <v>0</v>
      </c>
      <c r="Q1242" s="22" t="n">
        <v>0</v>
      </c>
      <c r="R1242" s="22" t="n">
        <v>0</v>
      </c>
    </row>
    <row r="1243">
      <c r="A1243" s="22" t="n">
        <v>201803</v>
      </c>
      <c r="B1243" s="22" t="inlineStr">
        <is>
          <t>03/2018</t>
        </is>
      </c>
      <c r="C1243" s="22" t="n">
        <v>57</v>
      </c>
      <c r="D1243" s="22" t="inlineStr">
        <is>
          <t>S57</t>
        </is>
      </c>
      <c r="E1243" s="22" t="inlineStr">
        <is>
          <t>Nexa New Mexico (S57)</t>
        </is>
      </c>
      <c r="F1243" s="22" t="inlineStr">
        <is>
          <t>Mỹ</t>
        </is>
      </c>
      <c r="G1243" s="22" t="inlineStr">
        <is>
          <t>POS</t>
        </is>
      </c>
      <c r="H1243" s="31" t="n">
        <v>1833.21</v>
      </c>
      <c r="I1243" s="31" t="n">
        <v>0</v>
      </c>
      <c r="J1243" s="31" t="n">
        <v>1833.21</v>
      </c>
      <c r="K1243" s="31" t="n">
        <v>791</v>
      </c>
      <c r="L1243" s="32" t="n">
        <v>3</v>
      </c>
      <c r="M1243" s="32" t="n">
        <v>29</v>
      </c>
      <c r="N1243" s="31" t="n">
        <v>1042.21</v>
      </c>
      <c r="O1243" s="31" t="n">
        <v>1833.21</v>
      </c>
      <c r="P1243" s="22" t="n">
        <v>0</v>
      </c>
      <c r="Q1243" s="22" t="n">
        <v>0</v>
      </c>
      <c r="R1243" s="22" t="n">
        <v>0</v>
      </c>
    </row>
    <row r="1244">
      <c r="A1244" s="22" t="n">
        <v>201803</v>
      </c>
      <c r="B1244" s="22" t="inlineStr">
        <is>
          <t>03/2018</t>
        </is>
      </c>
      <c r="C1244" s="22" t="n">
        <v>59</v>
      </c>
      <c r="D1244" s="22" t="inlineStr">
        <is>
          <t>S59</t>
        </is>
      </c>
      <c r="E1244" s="22" t="inlineStr">
        <is>
          <t>Nexa Oregon (S59)</t>
        </is>
      </c>
      <c r="F1244" s="22" t="inlineStr">
        <is>
          <t>Mỹ</t>
        </is>
      </c>
      <c r="G1244" s="22" t="inlineStr">
        <is>
          <t>POS</t>
        </is>
      </c>
      <c r="H1244" s="31" t="n">
        <v>8162.61</v>
      </c>
      <c r="I1244" s="31" t="n">
        <v>0</v>
      </c>
      <c r="J1244" s="31" t="n">
        <v>8162.61</v>
      </c>
      <c r="K1244" s="31" t="n">
        <v>459.99</v>
      </c>
      <c r="L1244" s="32" t="n">
        <v>4</v>
      </c>
      <c r="M1244" s="32" t="n">
        <v>20</v>
      </c>
      <c r="N1244" s="31" t="n">
        <v>7702.62</v>
      </c>
      <c r="O1244" s="31" t="n">
        <v>8162.61</v>
      </c>
      <c r="P1244" s="22" t="n">
        <v>0</v>
      </c>
      <c r="Q1244" s="22" t="n">
        <v>0</v>
      </c>
      <c r="R1244" s="22" t="n">
        <v>0</v>
      </c>
    </row>
    <row r="1245">
      <c r="A1245" s="22" t="n">
        <v>201803</v>
      </c>
      <c r="B1245" s="22" t="inlineStr">
        <is>
          <t>03/2018</t>
        </is>
      </c>
      <c r="C1245" s="22" t="n">
        <v>61</v>
      </c>
      <c r="D1245" s="22" t="inlineStr">
        <is>
          <t>S61</t>
        </is>
      </c>
      <c r="E1245" s="22" t="inlineStr">
        <is>
          <t>Nexa South Carolina (S61)</t>
        </is>
      </c>
      <c r="F1245" s="22" t="inlineStr">
        <is>
          <t>Mỹ</t>
        </is>
      </c>
      <c r="G1245" s="22" t="inlineStr">
        <is>
          <t>POS</t>
        </is>
      </c>
      <c r="H1245" s="31" t="n">
        <v>7240.32</v>
      </c>
      <c r="I1245" s="31" t="n">
        <v>0</v>
      </c>
      <c r="J1245" s="31" t="n">
        <v>7240.32</v>
      </c>
      <c r="K1245" s="31" t="n">
        <v>1108.97</v>
      </c>
      <c r="L1245" s="32" t="n">
        <v>4</v>
      </c>
      <c r="M1245" s="32" t="n">
        <v>23</v>
      </c>
      <c r="N1245" s="31" t="n">
        <v>6131.35</v>
      </c>
      <c r="O1245" s="31" t="n">
        <v>7240.32</v>
      </c>
      <c r="P1245" s="22" t="n">
        <v>0</v>
      </c>
      <c r="Q1245" s="22" t="n">
        <v>0</v>
      </c>
      <c r="R1245" s="22" t="n">
        <v>0</v>
      </c>
    </row>
    <row r="1246">
      <c r="A1246" s="22" t="n">
        <v>201803</v>
      </c>
      <c r="B1246" s="22" t="inlineStr">
        <is>
          <t>03/2018</t>
        </is>
      </c>
      <c r="C1246" s="22" t="n">
        <v>63</v>
      </c>
      <c r="D1246" s="22" t="inlineStr">
        <is>
          <t>S63</t>
        </is>
      </c>
      <c r="E1246" s="22" t="inlineStr">
        <is>
          <t>Nexa Utah (S63)</t>
        </is>
      </c>
      <c r="F1246" s="22" t="inlineStr">
        <is>
          <t>Mỹ</t>
        </is>
      </c>
      <c r="G1246" s="22" t="inlineStr">
        <is>
          <t>POS</t>
        </is>
      </c>
      <c r="H1246" s="31" t="n">
        <v>17277.55</v>
      </c>
      <c r="I1246" s="31" t="n">
        <v>0</v>
      </c>
      <c r="J1246" s="31" t="n">
        <v>17277.55</v>
      </c>
      <c r="K1246" s="31" t="n">
        <v>0</v>
      </c>
      <c r="L1246" s="32" t="n">
        <v>7</v>
      </c>
      <c r="M1246" s="32" t="n">
        <v>48</v>
      </c>
      <c r="N1246" s="31" t="n">
        <v>17277.55</v>
      </c>
      <c r="O1246" s="31" t="n">
        <v>17277.55</v>
      </c>
      <c r="P1246" s="22" t="n">
        <v>0</v>
      </c>
      <c r="Q1246" s="22" t="n">
        <v>0</v>
      </c>
      <c r="R1246" s="22" t="n">
        <v>0</v>
      </c>
    </row>
    <row r="1247">
      <c r="A1247" s="22" t="n">
        <v>201803</v>
      </c>
      <c r="B1247" s="22" t="inlineStr">
        <is>
          <t>03/2018</t>
        </is>
      </c>
      <c r="C1247" s="22" t="n">
        <v>64</v>
      </c>
      <c r="D1247" s="22" t="inlineStr">
        <is>
          <t>S64</t>
        </is>
      </c>
      <c r="E1247" s="22" t="inlineStr">
        <is>
          <t>Nexa Washington DC (S64)</t>
        </is>
      </c>
      <c r="F1247" s="22" t="inlineStr">
        <is>
          <t>Mỹ</t>
        </is>
      </c>
      <c r="G1247" s="22" t="inlineStr">
        <is>
          <t>POS</t>
        </is>
      </c>
      <c r="H1247" s="31" t="n">
        <v>426.93</v>
      </c>
      <c r="I1247" s="31" t="n">
        <v>0</v>
      </c>
      <c r="J1247" s="31" t="n">
        <v>426.93</v>
      </c>
      <c r="K1247" s="31" t="n">
        <v>0</v>
      </c>
      <c r="L1247" s="32" t="n">
        <v>1</v>
      </c>
      <c r="M1247" s="32" t="n">
        <v>7</v>
      </c>
      <c r="N1247" s="31" t="n">
        <v>426.93</v>
      </c>
      <c r="O1247" s="31" t="n">
        <v>426.93</v>
      </c>
      <c r="P1247" s="22" t="n">
        <v>1</v>
      </c>
      <c r="Q1247" s="22" t="n">
        <v>0</v>
      </c>
      <c r="R1247" s="22" t="n">
        <v>0</v>
      </c>
    </row>
    <row r="1248">
      <c r="A1248" s="22" t="n">
        <v>201803</v>
      </c>
      <c r="B1248" s="22" t="inlineStr">
        <is>
          <t>03/2018</t>
        </is>
      </c>
      <c r="C1248" s="22" t="n">
        <v>65</v>
      </c>
      <c r="D1248" s="22" t="inlineStr">
        <is>
          <t>S65</t>
        </is>
      </c>
      <c r="E1248" s="22" t="inlineStr">
        <is>
          <t>Nexa West Virginia (S65)</t>
        </is>
      </c>
      <c r="F1248" s="22" t="inlineStr">
        <is>
          <t>Mỹ</t>
        </is>
      </c>
      <c r="G1248" s="22" t="inlineStr">
        <is>
          <t>POS</t>
        </is>
      </c>
      <c r="H1248" s="31" t="n">
        <v>10103.32</v>
      </c>
      <c r="I1248" s="31" t="n">
        <v>65.64</v>
      </c>
      <c r="J1248" s="31" t="n">
        <v>10037.68</v>
      </c>
      <c r="K1248" s="31" t="n">
        <v>0</v>
      </c>
      <c r="L1248" s="32" t="n">
        <v>3</v>
      </c>
      <c r="M1248" s="32" t="n">
        <v>49</v>
      </c>
      <c r="N1248" s="31" t="n">
        <v>10037.68</v>
      </c>
      <c r="O1248" s="31" t="n">
        <v>10037.68</v>
      </c>
      <c r="P1248" s="22" t="n">
        <v>0</v>
      </c>
      <c r="Q1248" s="22" t="n">
        <v>0</v>
      </c>
      <c r="R1248" s="22" t="n">
        <v>0</v>
      </c>
    </row>
    <row r="1249">
      <c r="A1249" s="22" t="n">
        <v>201803</v>
      </c>
      <c r="B1249" s="22" t="inlineStr">
        <is>
          <t>03/2018</t>
        </is>
      </c>
      <c r="C1249" s="22" t="n">
        <v>66</v>
      </c>
      <c r="D1249" s="22" t="inlineStr">
        <is>
          <t>S66</t>
        </is>
      </c>
      <c r="E1249" s="22" t="inlineStr">
        <is>
          <t>Nexa Wyoming (S66)</t>
        </is>
      </c>
      <c r="F1249" s="22" t="inlineStr">
        <is>
          <t>Mỹ</t>
        </is>
      </c>
      <c r="G1249" s="22" t="inlineStr">
        <is>
          <t>POS</t>
        </is>
      </c>
      <c r="H1249" s="31" t="n">
        <v>7236.42</v>
      </c>
      <c r="I1249" s="31" t="n">
        <v>0</v>
      </c>
      <c r="J1249" s="31" t="n">
        <v>7236.42</v>
      </c>
      <c r="K1249" s="31" t="n">
        <v>0</v>
      </c>
      <c r="L1249" s="32" t="n">
        <v>6</v>
      </c>
      <c r="M1249" s="32" t="n">
        <v>55</v>
      </c>
      <c r="N1249" s="31" t="n">
        <v>7236.42</v>
      </c>
      <c r="O1249" s="31" t="n">
        <v>7236.42</v>
      </c>
      <c r="P1249" s="22" t="n">
        <v>0</v>
      </c>
      <c r="Q1249" s="22" t="n">
        <v>0</v>
      </c>
      <c r="R1249" s="22" t="n">
        <v>0</v>
      </c>
    </row>
    <row r="1250">
      <c r="A1250" s="22" t="n">
        <v>201804</v>
      </c>
      <c r="B1250" s="22" t="inlineStr">
        <is>
          <t>04/2018</t>
        </is>
      </c>
      <c r="C1250" s="22" t="n">
        <v>0</v>
      </c>
      <c r="D1250" s="22" t="inlineStr">
        <is>
          <t>ONL</t>
        </is>
      </c>
      <c r="E1250" s="22" t="inlineStr">
        <is>
          <t>Nexa Online (website/app)</t>
        </is>
      </c>
      <c r="F1250" s="22" t="inlineStr">
        <is>
          <t>Online</t>
        </is>
      </c>
      <c r="G1250" s="22" t="inlineStr">
        <is>
          <t>ONLINE</t>
        </is>
      </c>
      <c r="H1250" s="31" t="n">
        <v>8853.620000000001</v>
      </c>
      <c r="I1250" s="31" t="n">
        <v>15.61</v>
      </c>
      <c r="J1250" s="31" t="n">
        <v>8838.01</v>
      </c>
      <c r="K1250" s="31" t="n">
        <v>679.91</v>
      </c>
      <c r="L1250" s="32" t="n">
        <v>10</v>
      </c>
      <c r="M1250" s="32" t="n">
        <v>43</v>
      </c>
      <c r="N1250" s="31" t="n">
        <v>-558.26</v>
      </c>
      <c r="O1250" s="31" t="n">
        <v>121.65</v>
      </c>
      <c r="P1250" s="22" t="n">
        <v>0</v>
      </c>
      <c r="Q1250" s="22" t="n">
        <v>0</v>
      </c>
      <c r="R1250" s="22" t="n">
        <v>0</v>
      </c>
    </row>
    <row r="1251">
      <c r="A1251" s="22" t="n">
        <v>201804</v>
      </c>
      <c r="B1251" s="22" t="inlineStr">
        <is>
          <t>04/2018</t>
        </is>
      </c>
      <c r="C1251" s="22" t="n">
        <v>5</v>
      </c>
      <c r="D1251" s="22" t="inlineStr">
        <is>
          <t>S05</t>
        </is>
      </c>
      <c r="E1251" s="22" t="inlineStr">
        <is>
          <t>Nexa Victoria (S05)</t>
        </is>
      </c>
      <c r="F1251" s="22" t="inlineStr">
        <is>
          <t>Úc</t>
        </is>
      </c>
      <c r="G1251" s="22" t="inlineStr">
        <is>
          <t>POS</t>
        </is>
      </c>
      <c r="H1251" s="31" t="n">
        <v>2838.96</v>
      </c>
      <c r="I1251" s="31" t="n">
        <v>0</v>
      </c>
      <c r="J1251" s="31" t="n">
        <v>2838.96</v>
      </c>
      <c r="K1251" s="31" t="n">
        <v>0</v>
      </c>
      <c r="L1251" s="32" t="n">
        <v>1</v>
      </c>
      <c r="M1251" s="32" t="n">
        <v>8</v>
      </c>
      <c r="N1251" s="31" t="n">
        <v>2838.96</v>
      </c>
      <c r="O1251" s="31" t="n">
        <v>2838.96</v>
      </c>
      <c r="P1251" s="22" t="n">
        <v>0</v>
      </c>
      <c r="Q1251" s="22" t="n">
        <v>0</v>
      </c>
      <c r="R1251" s="22" t="n">
        <v>0</v>
      </c>
    </row>
    <row r="1252">
      <c r="A1252" s="22" t="n">
        <v>201804</v>
      </c>
      <c r="B1252" s="22" t="inlineStr">
        <is>
          <t>04/2018</t>
        </is>
      </c>
      <c r="C1252" s="22" t="n">
        <v>8</v>
      </c>
      <c r="D1252" s="22" t="inlineStr">
        <is>
          <t>S08</t>
        </is>
      </c>
      <c r="E1252" s="22" t="inlineStr">
        <is>
          <t>Nexa Newfoundland and Labrador (S08)</t>
        </is>
      </c>
      <c r="F1252" s="22" t="inlineStr">
        <is>
          <t>Canada</t>
        </is>
      </c>
      <c r="G1252" s="22" t="inlineStr">
        <is>
          <t>POS</t>
        </is>
      </c>
      <c r="H1252" s="31" t="n">
        <v>2082.82</v>
      </c>
      <c r="I1252" s="31" t="n">
        <v>0</v>
      </c>
      <c r="J1252" s="31" t="n">
        <v>2082.82</v>
      </c>
      <c r="K1252" s="31" t="n">
        <v>255</v>
      </c>
      <c r="L1252" s="32" t="n">
        <v>3</v>
      </c>
      <c r="M1252" s="32" t="n">
        <v>18</v>
      </c>
      <c r="N1252" s="31" t="n">
        <v>1827.82</v>
      </c>
      <c r="O1252" s="31" t="n">
        <v>2082.82</v>
      </c>
      <c r="P1252" s="22" t="n">
        <v>0</v>
      </c>
      <c r="Q1252" s="22" t="n">
        <v>0</v>
      </c>
      <c r="R1252" s="22" t="n">
        <v>0</v>
      </c>
    </row>
    <row r="1253">
      <c r="A1253" s="22" t="n">
        <v>201804</v>
      </c>
      <c r="B1253" s="22" t="inlineStr">
        <is>
          <t>04/2018</t>
        </is>
      </c>
      <c r="C1253" s="22" t="n">
        <v>10</v>
      </c>
      <c r="D1253" s="22" t="inlineStr">
        <is>
          <t>S10</t>
        </is>
      </c>
      <c r="E1253" s="22" t="inlineStr">
        <is>
          <t>Nexa Nunavut (S10)</t>
        </is>
      </c>
      <c r="F1253" s="22" t="inlineStr">
        <is>
          <t>Canada</t>
        </is>
      </c>
      <c r="G1253" s="22" t="inlineStr">
        <is>
          <t>POS</t>
        </is>
      </c>
      <c r="H1253" s="31" t="n">
        <v>1997.82</v>
      </c>
      <c r="I1253" s="31" t="n">
        <v>0</v>
      </c>
      <c r="J1253" s="31" t="n">
        <v>1997.82</v>
      </c>
      <c r="K1253" s="31" t="n">
        <v>0</v>
      </c>
      <c r="L1253" s="32" t="n">
        <v>1</v>
      </c>
      <c r="M1253" s="32" t="n">
        <v>3</v>
      </c>
      <c r="N1253" s="31" t="n">
        <v>1997.82</v>
      </c>
      <c r="O1253" s="31" t="n">
        <v>1997.82</v>
      </c>
      <c r="P1253" s="22" t="n">
        <v>0</v>
      </c>
      <c r="Q1253" s="22" t="n">
        <v>0</v>
      </c>
      <c r="R1253" s="22" t="n">
        <v>0</v>
      </c>
    </row>
    <row r="1254">
      <c r="A1254" s="22" t="n">
        <v>201804</v>
      </c>
      <c r="B1254" s="22" t="inlineStr">
        <is>
          <t>04/2018</t>
        </is>
      </c>
      <c r="C1254" s="22" t="n">
        <v>15</v>
      </c>
      <c r="D1254" s="22" t="inlineStr">
        <is>
          <t>S15</t>
        </is>
      </c>
      <c r="E1254" s="22" t="inlineStr">
        <is>
          <t>Nexa La Réunion (S15)</t>
        </is>
      </c>
      <c r="F1254" s="22" t="inlineStr">
        <is>
          <t>Pháp</t>
        </is>
      </c>
      <c r="G1254" s="22" t="inlineStr">
        <is>
          <t>POS</t>
        </is>
      </c>
      <c r="H1254" s="31" t="n">
        <v>497.95</v>
      </c>
      <c r="I1254" s="31" t="n">
        <v>0</v>
      </c>
      <c r="J1254" s="31" t="n">
        <v>497.95</v>
      </c>
      <c r="K1254" s="31" t="n">
        <v>0</v>
      </c>
      <c r="L1254" s="32" t="n">
        <v>1</v>
      </c>
      <c r="M1254" s="32" t="n">
        <v>5</v>
      </c>
      <c r="N1254" s="31" t="n">
        <v>497.95</v>
      </c>
      <c r="O1254" s="31" t="n">
        <v>497.95</v>
      </c>
      <c r="P1254" s="22" t="n">
        <v>0</v>
      </c>
      <c r="Q1254" s="22" t="n">
        <v>0</v>
      </c>
      <c r="R1254" s="22" t="n">
        <v>0</v>
      </c>
    </row>
    <row r="1255">
      <c r="A1255" s="22" t="n">
        <v>201804</v>
      </c>
      <c r="B1255" s="22" t="inlineStr">
        <is>
          <t>04/2018</t>
        </is>
      </c>
      <c r="C1255" s="22" t="n">
        <v>17</v>
      </c>
      <c r="D1255" s="22" t="inlineStr">
        <is>
          <t>S17</t>
        </is>
      </c>
      <c r="E1255" s="22" t="inlineStr">
        <is>
          <t>Nexa Martinique (S17)</t>
        </is>
      </c>
      <c r="F1255" s="22" t="inlineStr">
        <is>
          <t>Pháp</t>
        </is>
      </c>
      <c r="G1255" s="22" t="inlineStr">
        <is>
          <t>POS</t>
        </is>
      </c>
      <c r="H1255" s="31" t="n">
        <v>8250</v>
      </c>
      <c r="I1255" s="31" t="n">
        <v>0</v>
      </c>
      <c r="J1255" s="31" t="n">
        <v>8250</v>
      </c>
      <c r="K1255" s="31" t="n">
        <v>0</v>
      </c>
      <c r="L1255" s="32" t="n">
        <v>1</v>
      </c>
      <c r="M1255" s="32" t="n">
        <v>5</v>
      </c>
      <c r="N1255" s="31" t="n">
        <v>8250</v>
      </c>
      <c r="O1255" s="31" t="n">
        <v>8250</v>
      </c>
      <c r="P1255" s="22" t="n">
        <v>0</v>
      </c>
      <c r="Q1255" s="22" t="n">
        <v>0</v>
      </c>
      <c r="R1255" s="22" t="n">
        <v>0</v>
      </c>
    </row>
    <row r="1256">
      <c r="A1256" s="22" t="n">
        <v>201804</v>
      </c>
      <c r="B1256" s="22" t="inlineStr">
        <is>
          <t>04/2018</t>
        </is>
      </c>
      <c r="C1256" s="22" t="n">
        <v>23</v>
      </c>
      <c r="D1256" s="22" t="inlineStr">
        <is>
          <t>S23</t>
        </is>
      </c>
      <c r="E1256" s="22" t="inlineStr">
        <is>
          <t>Nexa Hamburg (S23)</t>
        </is>
      </c>
      <c r="F1256" s="22" t="inlineStr">
        <is>
          <t>Đức</t>
        </is>
      </c>
      <c r="G1256" s="22" t="inlineStr">
        <is>
          <t>POS</t>
        </is>
      </c>
      <c r="H1256" s="31" t="n">
        <v>394.96</v>
      </c>
      <c r="I1256" s="31" t="n">
        <v>0</v>
      </c>
      <c r="J1256" s="31" t="n">
        <v>394.96</v>
      </c>
      <c r="K1256" s="31" t="n">
        <v>0</v>
      </c>
      <c r="L1256" s="32" t="n">
        <v>1</v>
      </c>
      <c r="M1256" s="32" t="n">
        <v>4</v>
      </c>
      <c r="N1256" s="31" t="n">
        <v>394.96</v>
      </c>
      <c r="O1256" s="31" t="n">
        <v>394.96</v>
      </c>
      <c r="P1256" s="22" t="n">
        <v>0</v>
      </c>
      <c r="Q1256" s="22" t="n">
        <v>0</v>
      </c>
      <c r="R1256" s="22" t="n">
        <v>0</v>
      </c>
    </row>
    <row r="1257">
      <c r="A1257" s="22" t="n">
        <v>201804</v>
      </c>
      <c r="B1257" s="22" t="inlineStr">
        <is>
          <t>04/2018</t>
        </is>
      </c>
      <c r="C1257" s="22" t="n">
        <v>27</v>
      </c>
      <c r="D1257" s="22" t="inlineStr">
        <is>
          <t>S27</t>
        </is>
      </c>
      <c r="E1257" s="22" t="inlineStr">
        <is>
          <t>Nexa Sachsen-Anhalt (S27)</t>
        </is>
      </c>
      <c r="F1257" s="22" t="inlineStr">
        <is>
          <t>Đức</t>
        </is>
      </c>
      <c r="G1257" s="22" t="inlineStr">
        <is>
          <t>POS</t>
        </is>
      </c>
      <c r="H1257" s="31" t="n">
        <v>617.48</v>
      </c>
      <c r="I1257" s="31" t="n">
        <v>0</v>
      </c>
      <c r="J1257" s="31" t="n">
        <v>617.48</v>
      </c>
      <c r="K1257" s="31" t="n">
        <v>0</v>
      </c>
      <c r="L1257" s="32" t="n">
        <v>1</v>
      </c>
      <c r="M1257" s="32" t="n">
        <v>3</v>
      </c>
      <c r="N1257" s="31" t="n">
        <v>617.48</v>
      </c>
      <c r="O1257" s="31" t="n">
        <v>617.48</v>
      </c>
      <c r="P1257" s="22" t="n">
        <v>0</v>
      </c>
      <c r="Q1257" s="22" t="n">
        <v>0</v>
      </c>
      <c r="R1257" s="22" t="n">
        <v>0</v>
      </c>
    </row>
    <row r="1258">
      <c r="A1258" s="22" t="n">
        <v>201804</v>
      </c>
      <c r="B1258" s="22" t="inlineStr">
        <is>
          <t>04/2018</t>
        </is>
      </c>
      <c r="C1258" s="22" t="n">
        <v>29</v>
      </c>
      <c r="D1258" s="22" t="inlineStr">
        <is>
          <t>S29</t>
        </is>
      </c>
      <c r="E1258" s="22" t="inlineStr">
        <is>
          <t>Nexa Enna (S29)</t>
        </is>
      </c>
      <c r="F1258" s="22" t="inlineStr">
        <is>
          <t>Ý</t>
        </is>
      </c>
      <c r="G1258" s="22" t="inlineStr">
        <is>
          <t>POS</t>
        </is>
      </c>
      <c r="H1258" s="31" t="n">
        <v>5013.75</v>
      </c>
      <c r="I1258" s="31" t="n">
        <v>0</v>
      </c>
      <c r="J1258" s="31" t="n">
        <v>5013.75</v>
      </c>
      <c r="K1258" s="31" t="n">
        <v>0</v>
      </c>
      <c r="L1258" s="32" t="n">
        <v>2</v>
      </c>
      <c r="M1258" s="32" t="n">
        <v>24</v>
      </c>
      <c r="N1258" s="31" t="n">
        <v>5013.75</v>
      </c>
      <c r="O1258" s="31" t="n">
        <v>5013.75</v>
      </c>
      <c r="P1258" s="22" t="n">
        <v>0</v>
      </c>
      <c r="Q1258" s="22" t="n">
        <v>0</v>
      </c>
      <c r="R1258" s="22" t="n">
        <v>0</v>
      </c>
    </row>
    <row r="1259">
      <c r="A1259" s="22" t="n">
        <v>201804</v>
      </c>
      <c r="B1259" s="22" t="inlineStr">
        <is>
          <t>04/2018</t>
        </is>
      </c>
      <c r="C1259" s="22" t="n">
        <v>30</v>
      </c>
      <c r="D1259" s="22" t="inlineStr">
        <is>
          <t>S30</t>
        </is>
      </c>
      <c r="E1259" s="22" t="inlineStr">
        <is>
          <t>Nexa Pesaro (S30)</t>
        </is>
      </c>
      <c r="F1259" s="22" t="inlineStr">
        <is>
          <t>Ý</t>
        </is>
      </c>
      <c r="G1259" s="22" t="inlineStr">
        <is>
          <t>POS</t>
        </is>
      </c>
      <c r="H1259" s="31" t="n">
        <v>2491.15</v>
      </c>
      <c r="I1259" s="31" t="n">
        <v>0</v>
      </c>
      <c r="J1259" s="31" t="n">
        <v>2491.15</v>
      </c>
      <c r="K1259" s="31" t="n">
        <v>0</v>
      </c>
      <c r="L1259" s="32" t="n">
        <v>2</v>
      </c>
      <c r="M1259" s="32" t="n">
        <v>16</v>
      </c>
      <c r="N1259" s="31" t="n">
        <v>2491.15</v>
      </c>
      <c r="O1259" s="31" t="n">
        <v>2491.15</v>
      </c>
      <c r="P1259" s="22" t="n">
        <v>0</v>
      </c>
      <c r="Q1259" s="22" t="n">
        <v>0</v>
      </c>
      <c r="R1259" s="22" t="n">
        <v>0</v>
      </c>
    </row>
    <row r="1260">
      <c r="A1260" s="22" t="n">
        <v>201804</v>
      </c>
      <c r="B1260" s="22" t="inlineStr">
        <is>
          <t>04/2018</t>
        </is>
      </c>
      <c r="C1260" s="22" t="n">
        <v>36</v>
      </c>
      <c r="D1260" s="22" t="inlineStr">
        <is>
          <t>S36</t>
        </is>
      </c>
      <c r="E1260" s="22" t="inlineStr">
        <is>
          <t>Nexa Armagh (S36)</t>
        </is>
      </c>
      <c r="F1260" s="22" t="inlineStr">
        <is>
          <t>Anh</t>
        </is>
      </c>
      <c r="G1260" s="22" t="inlineStr">
        <is>
          <t>POS</t>
        </is>
      </c>
      <c r="H1260" s="31" t="n">
        <v>2632.65</v>
      </c>
      <c r="I1260" s="31" t="n">
        <v>0</v>
      </c>
      <c r="J1260" s="31" t="n">
        <v>2632.65</v>
      </c>
      <c r="K1260" s="31" t="n">
        <v>0</v>
      </c>
      <c r="L1260" s="32" t="n">
        <v>1</v>
      </c>
      <c r="M1260" s="32" t="n">
        <v>9</v>
      </c>
      <c r="N1260" s="31" t="n">
        <v>2632.65</v>
      </c>
      <c r="O1260" s="31" t="n">
        <v>2632.65</v>
      </c>
      <c r="P1260" s="22" t="n">
        <v>0</v>
      </c>
      <c r="Q1260" s="22" t="n">
        <v>0</v>
      </c>
      <c r="R1260" s="22" t="n">
        <v>0</v>
      </c>
    </row>
    <row r="1261">
      <c r="A1261" s="22" t="n">
        <v>201804</v>
      </c>
      <c r="B1261" s="22" t="inlineStr">
        <is>
          <t>04/2018</t>
        </is>
      </c>
      <c r="C1261" s="22" t="n">
        <v>39</v>
      </c>
      <c r="D1261" s="22" t="inlineStr">
        <is>
          <t>S39</t>
        </is>
      </c>
      <c r="E1261" s="22" t="inlineStr">
        <is>
          <t>Nexa Blaenau Gwent (S39)</t>
        </is>
      </c>
      <c r="F1261" s="22" t="inlineStr">
        <is>
          <t>Anh</t>
        </is>
      </c>
      <c r="G1261" s="22" t="inlineStr">
        <is>
          <t>POS</t>
        </is>
      </c>
      <c r="H1261" s="31" t="n">
        <v>4150</v>
      </c>
      <c r="I1261" s="31" t="n">
        <v>0</v>
      </c>
      <c r="J1261" s="31" t="n">
        <v>4150</v>
      </c>
      <c r="K1261" s="31" t="n">
        <v>0</v>
      </c>
      <c r="L1261" s="32" t="n">
        <v>1</v>
      </c>
      <c r="M1261" s="32" t="n">
        <v>8</v>
      </c>
      <c r="N1261" s="31" t="n">
        <v>4150</v>
      </c>
      <c r="O1261" s="31" t="n">
        <v>4150</v>
      </c>
      <c r="P1261" s="22" t="n">
        <v>0</v>
      </c>
      <c r="Q1261" s="22" t="n">
        <v>0</v>
      </c>
      <c r="R1261" s="22" t="n">
        <v>0</v>
      </c>
    </row>
    <row r="1262">
      <c r="A1262" s="22" t="n">
        <v>201804</v>
      </c>
      <c r="B1262" s="22" t="inlineStr">
        <is>
          <t>04/2018</t>
        </is>
      </c>
      <c r="C1262" s="22" t="n">
        <v>40</v>
      </c>
      <c r="D1262" s="22" t="inlineStr">
        <is>
          <t>S40</t>
        </is>
      </c>
      <c r="E1262" s="22" t="inlineStr">
        <is>
          <t>Nexa Dungannon and South Tyrone (S40)</t>
        </is>
      </c>
      <c r="F1262" s="22" t="inlineStr">
        <is>
          <t>Anh</t>
        </is>
      </c>
      <c r="G1262" s="22" t="inlineStr">
        <is>
          <t>POS</t>
        </is>
      </c>
      <c r="H1262" s="31" t="n">
        <v>2673.92</v>
      </c>
      <c r="I1262" s="31" t="n">
        <v>0</v>
      </c>
      <c r="J1262" s="31" t="n">
        <v>2673.92</v>
      </c>
      <c r="K1262" s="31" t="n">
        <v>0</v>
      </c>
      <c r="L1262" s="32" t="n">
        <v>2</v>
      </c>
      <c r="M1262" s="32" t="n">
        <v>11</v>
      </c>
      <c r="N1262" s="31" t="n">
        <v>2673.92</v>
      </c>
      <c r="O1262" s="31" t="n">
        <v>2673.92</v>
      </c>
      <c r="P1262" s="22" t="n">
        <v>0</v>
      </c>
      <c r="Q1262" s="22" t="n">
        <v>0</v>
      </c>
      <c r="R1262" s="22" t="n">
        <v>0</v>
      </c>
    </row>
    <row r="1263">
      <c r="A1263" s="22" t="n">
        <v>201804</v>
      </c>
      <c r="B1263" s="22" t="inlineStr">
        <is>
          <t>04/2018</t>
        </is>
      </c>
      <c r="C1263" s="22" t="n">
        <v>41</v>
      </c>
      <c r="D1263" s="22" t="inlineStr">
        <is>
          <t>S41</t>
        </is>
      </c>
      <c r="E1263" s="22" t="inlineStr">
        <is>
          <t>Nexa Fermanagh (S41)</t>
        </is>
      </c>
      <c r="F1263" s="22" t="inlineStr">
        <is>
          <t>Anh</t>
        </is>
      </c>
      <c r="G1263" s="22" t="inlineStr">
        <is>
          <t>POS</t>
        </is>
      </c>
      <c r="H1263" s="31" t="n">
        <v>289.99</v>
      </c>
      <c r="I1263" s="31" t="n">
        <v>0</v>
      </c>
      <c r="J1263" s="31" t="n">
        <v>289.99</v>
      </c>
      <c r="K1263" s="31" t="n">
        <v>0</v>
      </c>
      <c r="L1263" s="32" t="n">
        <v>1</v>
      </c>
      <c r="M1263" s="32" t="n">
        <v>1</v>
      </c>
      <c r="N1263" s="31" t="n">
        <v>289.99</v>
      </c>
      <c r="O1263" s="31" t="n">
        <v>289.99</v>
      </c>
      <c r="P1263" s="22" t="n">
        <v>0</v>
      </c>
      <c r="Q1263" s="22" t="n">
        <v>0</v>
      </c>
      <c r="R1263" s="22" t="n">
        <v>0</v>
      </c>
    </row>
    <row r="1264">
      <c r="A1264" s="22" t="n">
        <v>201804</v>
      </c>
      <c r="B1264" s="22" t="inlineStr">
        <is>
          <t>04/2018</t>
        </is>
      </c>
      <c r="C1264" s="22" t="n">
        <v>44</v>
      </c>
      <c r="D1264" s="22" t="inlineStr">
        <is>
          <t>S44</t>
        </is>
      </c>
      <c r="E1264" s="22" t="inlineStr">
        <is>
          <t>Nexa Arkansas (S44)</t>
        </is>
      </c>
      <c r="F1264" s="22" t="inlineStr">
        <is>
          <t>Mỹ</t>
        </is>
      </c>
      <c r="G1264" s="22" t="inlineStr">
        <is>
          <t>POS</t>
        </is>
      </c>
      <c r="H1264" s="31" t="n">
        <v>5107.95</v>
      </c>
      <c r="I1264" s="31" t="n">
        <v>0</v>
      </c>
      <c r="J1264" s="31" t="n">
        <v>5107.95</v>
      </c>
      <c r="K1264" s="31" t="n">
        <v>0</v>
      </c>
      <c r="L1264" s="32" t="n">
        <v>3</v>
      </c>
      <c r="M1264" s="32" t="n">
        <v>19</v>
      </c>
      <c r="N1264" s="31" t="n">
        <v>5107.95</v>
      </c>
      <c r="O1264" s="31" t="n">
        <v>5107.95</v>
      </c>
      <c r="P1264" s="22" t="n">
        <v>0</v>
      </c>
      <c r="Q1264" s="22" t="n">
        <v>0</v>
      </c>
      <c r="R1264" s="22" t="n">
        <v>0</v>
      </c>
    </row>
    <row r="1265">
      <c r="A1265" s="22" t="n">
        <v>201804</v>
      </c>
      <c r="B1265" s="22" t="inlineStr">
        <is>
          <t>04/2018</t>
        </is>
      </c>
      <c r="C1265" s="22" t="n">
        <v>47</v>
      </c>
      <c r="D1265" s="22" t="inlineStr">
        <is>
          <t>S47</t>
        </is>
      </c>
      <c r="E1265" s="22" t="inlineStr">
        <is>
          <t>Nexa Hawaii (S47)</t>
        </is>
      </c>
      <c r="F1265" s="22" t="inlineStr">
        <is>
          <t>Mỹ</t>
        </is>
      </c>
      <c r="G1265" s="22" t="inlineStr">
        <is>
          <t>POS</t>
        </is>
      </c>
      <c r="H1265" s="31" t="n">
        <v>1837</v>
      </c>
      <c r="I1265" s="31" t="n">
        <v>0</v>
      </c>
      <c r="J1265" s="31" t="n">
        <v>1837</v>
      </c>
      <c r="K1265" s="31" t="n">
        <v>0</v>
      </c>
      <c r="L1265" s="32" t="n">
        <v>1</v>
      </c>
      <c r="M1265" s="32" t="n">
        <v>3</v>
      </c>
      <c r="N1265" s="31" t="n">
        <v>1837</v>
      </c>
      <c r="O1265" s="31" t="n">
        <v>1837</v>
      </c>
      <c r="P1265" s="22" t="n">
        <v>0</v>
      </c>
      <c r="Q1265" s="22" t="n">
        <v>0</v>
      </c>
      <c r="R1265" s="22" t="n">
        <v>0</v>
      </c>
    </row>
    <row r="1266">
      <c r="A1266" s="22" t="n">
        <v>201804</v>
      </c>
      <c r="B1266" s="22" t="inlineStr">
        <is>
          <t>04/2018</t>
        </is>
      </c>
      <c r="C1266" s="22" t="n">
        <v>48</v>
      </c>
      <c r="D1266" s="22" t="inlineStr">
        <is>
          <t>S48</t>
        </is>
      </c>
      <c r="E1266" s="22" t="inlineStr">
        <is>
          <t>Nexa Idaho (S48)</t>
        </is>
      </c>
      <c r="F1266" s="22" t="inlineStr">
        <is>
          <t>Mỹ</t>
        </is>
      </c>
      <c r="G1266" s="22" t="inlineStr">
        <is>
          <t>POS</t>
        </is>
      </c>
      <c r="H1266" s="31" t="n">
        <v>0</v>
      </c>
      <c r="I1266" s="31" t="n">
        <v>0</v>
      </c>
      <c r="J1266" s="31" t="n">
        <v>0</v>
      </c>
      <c r="K1266" s="31" t="n">
        <v>50.64</v>
      </c>
      <c r="L1266" s="32" t="n">
        <v>0</v>
      </c>
      <c r="M1266" s="32" t="n">
        <v>0</v>
      </c>
      <c r="N1266" s="31" t="n">
        <v>-50.64</v>
      </c>
      <c r="O1266" s="31" t="n">
        <v>0</v>
      </c>
      <c r="P1266" s="22" t="n">
        <v>0</v>
      </c>
      <c r="Q1266" s="22" t="n">
        <v>0</v>
      </c>
      <c r="R1266" s="22" t="n">
        <v>0</v>
      </c>
    </row>
    <row r="1267">
      <c r="A1267" s="22" t="n">
        <v>201804</v>
      </c>
      <c r="B1267" s="22" t="inlineStr">
        <is>
          <t>04/2018</t>
        </is>
      </c>
      <c r="C1267" s="22" t="n">
        <v>50</v>
      </c>
      <c r="D1267" s="22" t="inlineStr">
        <is>
          <t>S50</t>
        </is>
      </c>
      <c r="E1267" s="22" t="inlineStr">
        <is>
          <t>Nexa Kansas (S50)</t>
        </is>
      </c>
      <c r="F1267" s="22" t="inlineStr">
        <is>
          <t>Mỹ</t>
        </is>
      </c>
      <c r="G1267" s="22" t="inlineStr">
        <is>
          <t>POS</t>
        </is>
      </c>
      <c r="H1267" s="31" t="n">
        <v>32.99</v>
      </c>
      <c r="I1267" s="31" t="n">
        <v>0</v>
      </c>
      <c r="J1267" s="31" t="n">
        <v>32.99</v>
      </c>
      <c r="K1267" s="31" t="n">
        <v>0</v>
      </c>
      <c r="L1267" s="32" t="n">
        <v>1</v>
      </c>
      <c r="M1267" s="32" t="n">
        <v>1</v>
      </c>
      <c r="N1267" s="31" t="n">
        <v>32.99</v>
      </c>
      <c r="O1267" s="31" t="n">
        <v>32.99</v>
      </c>
      <c r="P1267" s="22" t="n">
        <v>0</v>
      </c>
      <c r="Q1267" s="22" t="n">
        <v>0</v>
      </c>
      <c r="R1267" s="22" t="n">
        <v>0</v>
      </c>
    </row>
    <row r="1268">
      <c r="A1268" s="22" t="n">
        <v>201804</v>
      </c>
      <c r="B1268" s="22" t="inlineStr">
        <is>
          <t>04/2018</t>
        </is>
      </c>
      <c r="C1268" s="22" t="n">
        <v>51</v>
      </c>
      <c r="D1268" s="22" t="inlineStr">
        <is>
          <t>S51</t>
        </is>
      </c>
      <c r="E1268" s="22" t="inlineStr">
        <is>
          <t>Nexa Maine (S51)</t>
        </is>
      </c>
      <c r="F1268" s="22" t="inlineStr">
        <is>
          <t>Mỹ</t>
        </is>
      </c>
      <c r="G1268" s="22" t="inlineStr">
        <is>
          <t>POS</t>
        </is>
      </c>
      <c r="H1268" s="31" t="n">
        <v>3527.58</v>
      </c>
      <c r="I1268" s="31" t="n">
        <v>0</v>
      </c>
      <c r="J1268" s="31" t="n">
        <v>3527.58</v>
      </c>
      <c r="K1268" s="31" t="n">
        <v>0</v>
      </c>
      <c r="L1268" s="32" t="n">
        <v>2</v>
      </c>
      <c r="M1268" s="32" t="n">
        <v>15</v>
      </c>
      <c r="N1268" s="31" t="n">
        <v>3527.58</v>
      </c>
      <c r="O1268" s="31" t="n">
        <v>3527.58</v>
      </c>
      <c r="P1268" s="22" t="n">
        <v>0</v>
      </c>
      <c r="Q1268" s="22" t="n">
        <v>0</v>
      </c>
      <c r="R1268" s="22" t="n">
        <v>0</v>
      </c>
    </row>
    <row r="1269">
      <c r="A1269" s="22" t="n">
        <v>201804</v>
      </c>
      <c r="B1269" s="22" t="inlineStr">
        <is>
          <t>04/2018</t>
        </is>
      </c>
      <c r="C1269" s="22" t="n">
        <v>53</v>
      </c>
      <c r="D1269" s="22" t="inlineStr">
        <is>
          <t>S53</t>
        </is>
      </c>
      <c r="E1269" s="22" t="inlineStr">
        <is>
          <t>Nexa Montana (S53)</t>
        </is>
      </c>
      <c r="F1269" s="22" t="inlineStr">
        <is>
          <t>Mỹ</t>
        </is>
      </c>
      <c r="G1269" s="22" t="inlineStr">
        <is>
          <t>POS</t>
        </is>
      </c>
      <c r="H1269" s="31" t="n">
        <v>10101.73</v>
      </c>
      <c r="I1269" s="31" t="n">
        <v>0</v>
      </c>
      <c r="J1269" s="31" t="n">
        <v>10101.73</v>
      </c>
      <c r="K1269" s="31" t="n">
        <v>0</v>
      </c>
      <c r="L1269" s="32" t="n">
        <v>3</v>
      </c>
      <c r="M1269" s="32" t="n">
        <v>29</v>
      </c>
      <c r="N1269" s="31" t="n">
        <v>10101.73</v>
      </c>
      <c r="O1269" s="31" t="n">
        <v>10101.73</v>
      </c>
      <c r="P1269" s="22" t="n">
        <v>0</v>
      </c>
      <c r="Q1269" s="22" t="n">
        <v>0</v>
      </c>
      <c r="R1269" s="22" t="n">
        <v>0</v>
      </c>
    </row>
    <row r="1270">
      <c r="A1270" s="22" t="n">
        <v>201804</v>
      </c>
      <c r="B1270" s="22" t="inlineStr">
        <is>
          <t>04/2018</t>
        </is>
      </c>
      <c r="C1270" s="22" t="n">
        <v>54</v>
      </c>
      <c r="D1270" s="22" t="inlineStr">
        <is>
          <t>S54</t>
        </is>
      </c>
      <c r="E1270" s="22" t="inlineStr">
        <is>
          <t>Nexa Nebraska (S54)</t>
        </is>
      </c>
      <c r="F1270" s="22" t="inlineStr">
        <is>
          <t>Mỹ</t>
        </is>
      </c>
      <c r="G1270" s="22" t="inlineStr">
        <is>
          <t>POS</t>
        </is>
      </c>
      <c r="H1270" s="31" t="n">
        <v>4124.71</v>
      </c>
      <c r="I1270" s="31" t="n">
        <v>0</v>
      </c>
      <c r="J1270" s="31" t="n">
        <v>4124.71</v>
      </c>
      <c r="K1270" s="31" t="n">
        <v>0</v>
      </c>
      <c r="L1270" s="32" t="n">
        <v>2</v>
      </c>
      <c r="M1270" s="32" t="n">
        <v>17</v>
      </c>
      <c r="N1270" s="31" t="n">
        <v>4124.71</v>
      </c>
      <c r="O1270" s="31" t="n">
        <v>4124.71</v>
      </c>
      <c r="P1270" s="22" t="n">
        <v>0</v>
      </c>
      <c r="Q1270" s="22" t="n">
        <v>0</v>
      </c>
      <c r="R1270" s="22" t="n">
        <v>0</v>
      </c>
    </row>
    <row r="1271">
      <c r="A1271" s="22" t="n">
        <v>201804</v>
      </c>
      <c r="B1271" s="22" t="inlineStr">
        <is>
          <t>04/2018</t>
        </is>
      </c>
      <c r="C1271" s="22" t="n">
        <v>55</v>
      </c>
      <c r="D1271" s="22" t="inlineStr">
        <is>
          <t>S55</t>
        </is>
      </c>
      <c r="E1271" s="22" t="inlineStr">
        <is>
          <t>Nexa Nevada (S55)</t>
        </is>
      </c>
      <c r="F1271" s="22" t="inlineStr">
        <is>
          <t>Mỹ</t>
        </is>
      </c>
      <c r="G1271" s="22" t="inlineStr">
        <is>
          <t>POS</t>
        </is>
      </c>
      <c r="H1271" s="31" t="n">
        <v>173.64</v>
      </c>
      <c r="I1271" s="31" t="n">
        <v>0</v>
      </c>
      <c r="J1271" s="31" t="n">
        <v>173.64</v>
      </c>
      <c r="K1271" s="31" t="n">
        <v>0</v>
      </c>
      <c r="L1271" s="32" t="n">
        <v>1</v>
      </c>
      <c r="M1271" s="32" t="n">
        <v>3</v>
      </c>
      <c r="N1271" s="31" t="n">
        <v>173.64</v>
      </c>
      <c r="O1271" s="31" t="n">
        <v>173.64</v>
      </c>
      <c r="P1271" s="22" t="n">
        <v>0</v>
      </c>
      <c r="Q1271" s="22" t="n">
        <v>0</v>
      </c>
      <c r="R1271" s="22" t="n">
        <v>0</v>
      </c>
    </row>
    <row r="1272">
      <c r="A1272" s="22" t="n">
        <v>201804</v>
      </c>
      <c r="B1272" s="22" t="inlineStr">
        <is>
          <t>04/2018</t>
        </is>
      </c>
      <c r="C1272" s="22" t="n">
        <v>64</v>
      </c>
      <c r="D1272" s="22" t="inlineStr">
        <is>
          <t>S64</t>
        </is>
      </c>
      <c r="E1272" s="22" t="inlineStr">
        <is>
          <t>Nexa Washington DC (S64)</t>
        </is>
      </c>
      <c r="F1272" s="22" t="inlineStr">
        <is>
          <t>Mỹ</t>
        </is>
      </c>
      <c r="G1272" s="22" t="inlineStr">
        <is>
          <t>POS</t>
        </is>
      </c>
      <c r="H1272" s="31" t="n">
        <v>2826.92</v>
      </c>
      <c r="I1272" s="31" t="n">
        <v>0</v>
      </c>
      <c r="J1272" s="31" t="n">
        <v>2826.92</v>
      </c>
      <c r="K1272" s="31" t="n">
        <v>0</v>
      </c>
      <c r="L1272" s="32" t="n">
        <v>1</v>
      </c>
      <c r="M1272" s="32" t="n">
        <v>12</v>
      </c>
      <c r="N1272" s="31" t="n">
        <v>2826.92</v>
      </c>
      <c r="O1272" s="31" t="n">
        <v>2826.92</v>
      </c>
      <c r="P1272" s="22" t="n">
        <v>0</v>
      </c>
      <c r="Q1272" s="22" t="n">
        <v>0</v>
      </c>
      <c r="R1272" s="22" t="n">
        <v>0</v>
      </c>
    </row>
    <row r="1273">
      <c r="A1273" s="22" t="n">
        <v>201804</v>
      </c>
      <c r="B1273" s="22" t="inlineStr">
        <is>
          <t>04/2018</t>
        </is>
      </c>
      <c r="C1273" s="22" t="n">
        <v>66</v>
      </c>
      <c r="D1273" s="22" t="inlineStr">
        <is>
          <t>S66</t>
        </is>
      </c>
      <c r="E1273" s="22" t="inlineStr">
        <is>
          <t>Nexa Wyoming (S66)</t>
        </is>
      </c>
      <c r="F1273" s="22" t="inlineStr">
        <is>
          <t>Mỹ</t>
        </is>
      </c>
      <c r="G1273" s="22" t="inlineStr">
        <is>
          <t>POS</t>
        </is>
      </c>
      <c r="H1273" s="31" t="n">
        <v>109.95</v>
      </c>
      <c r="I1273" s="31" t="n">
        <v>0</v>
      </c>
      <c r="J1273" s="31" t="n">
        <v>109.95</v>
      </c>
      <c r="K1273" s="31" t="n">
        <v>135.92</v>
      </c>
      <c r="L1273" s="32" t="n">
        <v>1</v>
      </c>
      <c r="M1273" s="32" t="n">
        <v>1</v>
      </c>
      <c r="N1273" s="31" t="n">
        <v>-25.97</v>
      </c>
      <c r="O1273" s="31" t="n">
        <v>109.95</v>
      </c>
      <c r="P1273" s="22" t="n">
        <v>0</v>
      </c>
      <c r="Q1273" s="22" t="n">
        <v>0</v>
      </c>
      <c r="R1273" s="22" t="n">
        <v>0</v>
      </c>
    </row>
    <row r="1274">
      <c r="A1274" s="22" t="n">
        <v>201805</v>
      </c>
      <c r="B1274" s="22" t="inlineStr">
        <is>
          <t>05/2018</t>
        </is>
      </c>
      <c r="C1274" s="22" t="n">
        <v>0</v>
      </c>
      <c r="D1274" s="22" t="inlineStr">
        <is>
          <t>ONL</t>
        </is>
      </c>
      <c r="E1274" s="22" t="inlineStr">
        <is>
          <t>Nexa Online (website/app)</t>
        </is>
      </c>
      <c r="F1274" s="22" t="inlineStr">
        <is>
          <t>Online</t>
        </is>
      </c>
      <c r="G1274" s="22" t="inlineStr">
        <is>
          <t>ONLINE</t>
        </is>
      </c>
      <c r="H1274" s="31" t="n">
        <v>175304.86</v>
      </c>
      <c r="I1274" s="31" t="n">
        <v>4085.53</v>
      </c>
      <c r="J1274" s="31" t="n">
        <v>171219.33</v>
      </c>
      <c r="K1274" s="31" t="n">
        <v>894.09</v>
      </c>
      <c r="L1274" s="32" t="n">
        <v>86</v>
      </c>
      <c r="M1274" s="32" t="n">
        <v>582</v>
      </c>
      <c r="N1274" s="31" t="n">
        <v>152834.63</v>
      </c>
      <c r="O1274" s="31" t="n">
        <v>153728.72</v>
      </c>
      <c r="P1274" s="22" t="n">
        <v>5</v>
      </c>
      <c r="Q1274" s="22" t="n">
        <v>0</v>
      </c>
      <c r="R1274" s="22" t="n">
        <v>0</v>
      </c>
    </row>
    <row r="1275">
      <c r="A1275" s="22" t="n">
        <v>201805</v>
      </c>
      <c r="B1275" s="22" t="inlineStr">
        <is>
          <t>05/2018</t>
        </is>
      </c>
      <c r="C1275" s="22" t="n">
        <v>1</v>
      </c>
      <c r="D1275" s="22" t="inlineStr">
        <is>
          <t>S01</t>
        </is>
      </c>
      <c r="E1275" s="22" t="inlineStr">
        <is>
          <t>Nexa Australian Capital Territory (S01)</t>
        </is>
      </c>
      <c r="F1275" s="22" t="inlineStr">
        <is>
          <t>Úc</t>
        </is>
      </c>
      <c r="G1275" s="22" t="inlineStr">
        <is>
          <t>POS</t>
        </is>
      </c>
      <c r="H1275" s="31" t="n">
        <v>494.95</v>
      </c>
      <c r="I1275" s="31" t="n">
        <v>0</v>
      </c>
      <c r="J1275" s="31" t="n">
        <v>494.95</v>
      </c>
      <c r="K1275" s="31" t="n">
        <v>0</v>
      </c>
      <c r="L1275" s="32" t="n">
        <v>1</v>
      </c>
      <c r="M1275" s="32" t="n">
        <v>8</v>
      </c>
      <c r="N1275" s="31" t="n">
        <v>494.95</v>
      </c>
      <c r="O1275" s="31" t="n">
        <v>494.95</v>
      </c>
      <c r="P1275" s="22" t="n">
        <v>0</v>
      </c>
      <c r="Q1275" s="22" t="n">
        <v>0</v>
      </c>
      <c r="R1275" s="22" t="n">
        <v>0</v>
      </c>
    </row>
    <row r="1276">
      <c r="A1276" s="22" t="n">
        <v>201805</v>
      </c>
      <c r="B1276" s="22" t="inlineStr">
        <is>
          <t>05/2018</t>
        </is>
      </c>
      <c r="C1276" s="22" t="n">
        <v>4</v>
      </c>
      <c r="D1276" s="22" t="inlineStr">
        <is>
          <t>S04</t>
        </is>
      </c>
      <c r="E1276" s="22" t="inlineStr">
        <is>
          <t>Nexa Tasmania (S04)</t>
        </is>
      </c>
      <c r="F1276" s="22" t="inlineStr">
        <is>
          <t>Úc</t>
        </is>
      </c>
      <c r="G1276" s="22" t="inlineStr">
        <is>
          <t>POS</t>
        </is>
      </c>
      <c r="H1276" s="31" t="n">
        <v>24665.21</v>
      </c>
      <c r="I1276" s="31" t="n">
        <v>0</v>
      </c>
      <c r="J1276" s="31" t="n">
        <v>24665.21</v>
      </c>
      <c r="K1276" s="31" t="n">
        <v>0</v>
      </c>
      <c r="L1276" s="32" t="n">
        <v>7</v>
      </c>
      <c r="M1276" s="32" t="n">
        <v>80</v>
      </c>
      <c r="N1276" s="31" t="n">
        <v>24665.21</v>
      </c>
      <c r="O1276" s="31" t="n">
        <v>24665.21</v>
      </c>
      <c r="P1276" s="22" t="n">
        <v>0</v>
      </c>
      <c r="Q1276" s="22" t="n">
        <v>0</v>
      </c>
      <c r="R1276" s="22" t="n">
        <v>0</v>
      </c>
    </row>
    <row r="1277">
      <c r="A1277" s="22" t="n">
        <v>201805</v>
      </c>
      <c r="B1277" s="22" t="inlineStr">
        <is>
          <t>05/2018</t>
        </is>
      </c>
      <c r="C1277" s="22" t="n">
        <v>5</v>
      </c>
      <c r="D1277" s="22" t="inlineStr">
        <is>
          <t>S05</t>
        </is>
      </c>
      <c r="E1277" s="22" t="inlineStr">
        <is>
          <t>Nexa Victoria (S05)</t>
        </is>
      </c>
      <c r="F1277" s="22" t="inlineStr">
        <is>
          <t>Úc</t>
        </is>
      </c>
      <c r="G1277" s="22" t="inlineStr">
        <is>
          <t>POS</t>
        </is>
      </c>
      <c r="H1277" s="31" t="n">
        <v>20016.22</v>
      </c>
      <c r="I1277" s="31" t="n">
        <v>0</v>
      </c>
      <c r="J1277" s="31" t="n">
        <v>20016.22</v>
      </c>
      <c r="K1277" s="31" t="n">
        <v>289.99</v>
      </c>
      <c r="L1277" s="32" t="n">
        <v>9</v>
      </c>
      <c r="M1277" s="32" t="n">
        <v>81</v>
      </c>
      <c r="N1277" s="31" t="n">
        <v>19726.23</v>
      </c>
      <c r="O1277" s="31" t="n">
        <v>20016.22</v>
      </c>
      <c r="P1277" s="22" t="n">
        <v>0</v>
      </c>
      <c r="Q1277" s="22" t="n">
        <v>0</v>
      </c>
      <c r="R1277" s="22" t="n">
        <v>0</v>
      </c>
    </row>
    <row r="1278">
      <c r="A1278" s="22" t="n">
        <v>201805</v>
      </c>
      <c r="B1278" s="22" t="inlineStr">
        <is>
          <t>05/2018</t>
        </is>
      </c>
      <c r="C1278" s="22" t="n">
        <v>6</v>
      </c>
      <c r="D1278" s="22" t="inlineStr">
        <is>
          <t>S06</t>
        </is>
      </c>
      <c r="E1278" s="22" t="inlineStr">
        <is>
          <t>Nexa Western Australia (S06)</t>
        </is>
      </c>
      <c r="F1278" s="22" t="inlineStr">
        <is>
          <t>Úc</t>
        </is>
      </c>
      <c r="G1278" s="22" t="inlineStr">
        <is>
          <t>POS</t>
        </is>
      </c>
      <c r="H1278" s="31" t="n">
        <v>12199.55</v>
      </c>
      <c r="I1278" s="31" t="n">
        <v>0</v>
      </c>
      <c r="J1278" s="31" t="n">
        <v>12199.55</v>
      </c>
      <c r="K1278" s="31" t="n">
        <v>0</v>
      </c>
      <c r="L1278" s="32" t="n">
        <v>6</v>
      </c>
      <c r="M1278" s="32" t="n">
        <v>25</v>
      </c>
      <c r="N1278" s="31" t="n">
        <v>12199.55</v>
      </c>
      <c r="O1278" s="31" t="n">
        <v>12199.55</v>
      </c>
      <c r="P1278" s="22" t="n">
        <v>0</v>
      </c>
      <c r="Q1278" s="22" t="n">
        <v>0</v>
      </c>
      <c r="R1278" s="22" t="n">
        <v>0</v>
      </c>
    </row>
    <row r="1279">
      <c r="A1279" s="22" t="n">
        <v>201805</v>
      </c>
      <c r="B1279" s="22" t="inlineStr">
        <is>
          <t>05/2018</t>
        </is>
      </c>
      <c r="C1279" s="22" t="n">
        <v>8</v>
      </c>
      <c r="D1279" s="22" t="inlineStr">
        <is>
          <t>S08</t>
        </is>
      </c>
      <c r="E1279" s="22" t="inlineStr">
        <is>
          <t>Nexa Newfoundland and Labrador (S08)</t>
        </is>
      </c>
      <c r="F1279" s="22" t="inlineStr">
        <is>
          <t>Canada</t>
        </is>
      </c>
      <c r="G1279" s="22" t="inlineStr">
        <is>
          <t>POS</t>
        </is>
      </c>
      <c r="H1279" s="31" t="n">
        <v>29377.08</v>
      </c>
      <c r="I1279" s="31" t="n">
        <v>0</v>
      </c>
      <c r="J1279" s="31" t="n">
        <v>29377.08</v>
      </c>
      <c r="K1279" s="31" t="n">
        <v>0</v>
      </c>
      <c r="L1279" s="32" t="n">
        <v>14</v>
      </c>
      <c r="M1279" s="32" t="n">
        <v>93</v>
      </c>
      <c r="N1279" s="31" t="n">
        <v>29377.08</v>
      </c>
      <c r="O1279" s="31" t="n">
        <v>29377.08</v>
      </c>
      <c r="P1279" s="22" t="n">
        <v>0</v>
      </c>
      <c r="Q1279" s="22" t="n">
        <v>0</v>
      </c>
      <c r="R1279" s="22" t="n">
        <v>0</v>
      </c>
    </row>
    <row r="1280">
      <c r="A1280" s="22" t="n">
        <v>201805</v>
      </c>
      <c r="B1280" s="22" t="inlineStr">
        <is>
          <t>05/2018</t>
        </is>
      </c>
      <c r="C1280" s="22" t="n">
        <v>9</v>
      </c>
      <c r="D1280" s="22" t="inlineStr">
        <is>
          <t>S09</t>
        </is>
      </c>
      <c r="E1280" s="22" t="inlineStr">
        <is>
          <t>Nexa Northwest Territories (S09)</t>
        </is>
      </c>
      <c r="F1280" s="22" t="inlineStr">
        <is>
          <t>Canada</t>
        </is>
      </c>
      <c r="G1280" s="22" t="inlineStr">
        <is>
          <t>POS</t>
        </is>
      </c>
      <c r="H1280" s="31" t="n">
        <v>21443.7</v>
      </c>
      <c r="I1280" s="31" t="n">
        <v>0</v>
      </c>
      <c r="J1280" s="31" t="n">
        <v>21443.7</v>
      </c>
      <c r="K1280" s="31" t="n">
        <v>0</v>
      </c>
      <c r="L1280" s="32" t="n">
        <v>13</v>
      </c>
      <c r="M1280" s="32" t="n">
        <v>83</v>
      </c>
      <c r="N1280" s="31" t="n">
        <v>21443.7</v>
      </c>
      <c r="O1280" s="31" t="n">
        <v>21443.7</v>
      </c>
      <c r="P1280" s="22" t="n">
        <v>1</v>
      </c>
      <c r="Q1280" s="22" t="n">
        <v>0</v>
      </c>
      <c r="R1280" s="22" t="n">
        <v>0</v>
      </c>
    </row>
    <row r="1281">
      <c r="A1281" s="22" t="n">
        <v>201805</v>
      </c>
      <c r="B1281" s="22" t="inlineStr">
        <is>
          <t>05/2018</t>
        </is>
      </c>
      <c r="C1281" s="22" t="n">
        <v>10</v>
      </c>
      <c r="D1281" s="22" t="inlineStr">
        <is>
          <t>S10</t>
        </is>
      </c>
      <c r="E1281" s="22" t="inlineStr">
        <is>
          <t>Nexa Nunavut (S10)</t>
        </is>
      </c>
      <c r="F1281" s="22" t="inlineStr">
        <is>
          <t>Canada</t>
        </is>
      </c>
      <c r="G1281" s="22" t="inlineStr">
        <is>
          <t>POS</t>
        </is>
      </c>
      <c r="H1281" s="31" t="n">
        <v>34382.52</v>
      </c>
      <c r="I1281" s="31" t="n">
        <v>0</v>
      </c>
      <c r="J1281" s="31" t="n">
        <v>34382.52</v>
      </c>
      <c r="K1281" s="31" t="n">
        <v>0</v>
      </c>
      <c r="L1281" s="32" t="n">
        <v>10</v>
      </c>
      <c r="M1281" s="32" t="n">
        <v>79</v>
      </c>
      <c r="N1281" s="31" t="n">
        <v>34382.52</v>
      </c>
      <c r="O1281" s="31" t="n">
        <v>34382.52</v>
      </c>
      <c r="P1281" s="22" t="n">
        <v>0</v>
      </c>
      <c r="Q1281" s="22" t="n">
        <v>0</v>
      </c>
      <c r="R1281" s="22" t="n">
        <v>0</v>
      </c>
    </row>
    <row r="1282">
      <c r="A1282" s="22" t="n">
        <v>201805</v>
      </c>
      <c r="B1282" s="22" t="inlineStr">
        <is>
          <t>05/2018</t>
        </is>
      </c>
      <c r="C1282" s="22" t="n">
        <v>12</v>
      </c>
      <c r="D1282" s="22" t="inlineStr">
        <is>
          <t>S12</t>
        </is>
      </c>
      <c r="E1282" s="22" t="inlineStr">
        <is>
          <t>Nexa Basse-Normandie (S12)</t>
        </is>
      </c>
      <c r="F1282" s="22" t="inlineStr">
        <is>
          <t>Pháp</t>
        </is>
      </c>
      <c r="G1282" s="22" t="inlineStr">
        <is>
          <t>POS</t>
        </is>
      </c>
      <c r="H1282" s="31" t="n">
        <v>4536.79</v>
      </c>
      <c r="I1282" s="31" t="n">
        <v>0</v>
      </c>
      <c r="J1282" s="31" t="n">
        <v>4536.79</v>
      </c>
      <c r="K1282" s="31" t="n">
        <v>0</v>
      </c>
      <c r="L1282" s="32" t="n">
        <v>1</v>
      </c>
      <c r="M1282" s="32" t="n">
        <v>17</v>
      </c>
      <c r="N1282" s="31" t="n">
        <v>4536.79</v>
      </c>
      <c r="O1282" s="31" t="n">
        <v>4536.79</v>
      </c>
      <c r="P1282" s="22" t="n">
        <v>0</v>
      </c>
      <c r="Q1282" s="22" t="n">
        <v>0</v>
      </c>
      <c r="R1282" s="22" t="n">
        <v>0</v>
      </c>
    </row>
    <row r="1283">
      <c r="A1283" s="22" t="n">
        <v>201805</v>
      </c>
      <c r="B1283" s="22" t="inlineStr">
        <is>
          <t>05/2018</t>
        </is>
      </c>
      <c r="C1283" s="22" t="n">
        <v>14</v>
      </c>
      <c r="D1283" s="22" t="inlineStr">
        <is>
          <t>S14</t>
        </is>
      </c>
      <c r="E1283" s="22" t="inlineStr">
        <is>
          <t>Nexa Franche-Comté (S14)</t>
        </is>
      </c>
      <c r="F1283" s="22" t="inlineStr">
        <is>
          <t>Pháp</t>
        </is>
      </c>
      <c r="G1283" s="22" t="inlineStr">
        <is>
          <t>POS</t>
        </is>
      </c>
      <c r="H1283" s="31" t="n">
        <v>2555.67</v>
      </c>
      <c r="I1283" s="31" t="n">
        <v>0</v>
      </c>
      <c r="J1283" s="31" t="n">
        <v>2555.67</v>
      </c>
      <c r="K1283" s="31" t="n">
        <v>0</v>
      </c>
      <c r="L1283" s="32" t="n">
        <v>4</v>
      </c>
      <c r="M1283" s="32" t="n">
        <v>21</v>
      </c>
      <c r="N1283" s="31" t="n">
        <v>2555.67</v>
      </c>
      <c r="O1283" s="31" t="n">
        <v>2555.67</v>
      </c>
      <c r="P1283" s="22" t="n">
        <v>0</v>
      </c>
      <c r="Q1283" s="22" t="n">
        <v>0</v>
      </c>
      <c r="R1283" s="22" t="n">
        <v>0</v>
      </c>
    </row>
    <row r="1284">
      <c r="A1284" s="22" t="n">
        <v>201805</v>
      </c>
      <c r="B1284" s="22" t="inlineStr">
        <is>
          <t>05/2018</t>
        </is>
      </c>
      <c r="C1284" s="22" t="n">
        <v>15</v>
      </c>
      <c r="D1284" s="22" t="inlineStr">
        <is>
          <t>S15</t>
        </is>
      </c>
      <c r="E1284" s="22" t="inlineStr">
        <is>
          <t>Nexa La Réunion (S15)</t>
        </is>
      </c>
      <c r="F1284" s="22" t="inlineStr">
        <is>
          <t>Pháp</t>
        </is>
      </c>
      <c r="G1284" s="22" t="inlineStr">
        <is>
          <t>POS</t>
        </is>
      </c>
      <c r="H1284" s="31" t="n">
        <v>1199</v>
      </c>
      <c r="I1284" s="31" t="n">
        <v>0</v>
      </c>
      <c r="J1284" s="31" t="n">
        <v>1199</v>
      </c>
      <c r="K1284" s="31" t="n">
        <v>0</v>
      </c>
      <c r="L1284" s="32" t="n">
        <v>1</v>
      </c>
      <c r="M1284" s="32" t="n">
        <v>1</v>
      </c>
      <c r="N1284" s="31" t="n">
        <v>1199</v>
      </c>
      <c r="O1284" s="31" t="n">
        <v>1199</v>
      </c>
      <c r="P1284" s="22" t="n">
        <v>0</v>
      </c>
      <c r="Q1284" s="22" t="n">
        <v>0</v>
      </c>
      <c r="R1284" s="22" t="n">
        <v>0</v>
      </c>
    </row>
    <row r="1285">
      <c r="A1285" s="22" t="n">
        <v>201805</v>
      </c>
      <c r="B1285" s="22" t="inlineStr">
        <is>
          <t>05/2018</t>
        </is>
      </c>
      <c r="C1285" s="22" t="n">
        <v>16</v>
      </c>
      <c r="D1285" s="22" t="inlineStr">
        <is>
          <t>S16</t>
        </is>
      </c>
      <c r="E1285" s="22" t="inlineStr">
        <is>
          <t>Nexa Limousin (S16)</t>
        </is>
      </c>
      <c r="F1285" s="22" t="inlineStr">
        <is>
          <t>Pháp</t>
        </is>
      </c>
      <c r="G1285" s="22" t="inlineStr">
        <is>
          <t>POS</t>
        </is>
      </c>
      <c r="H1285" s="31" t="n">
        <v>2648.99</v>
      </c>
      <c r="I1285" s="31" t="n">
        <v>0</v>
      </c>
      <c r="J1285" s="31" t="n">
        <v>2648.99</v>
      </c>
      <c r="K1285" s="31" t="n">
        <v>0</v>
      </c>
      <c r="L1285" s="32" t="n">
        <v>2</v>
      </c>
      <c r="M1285" s="32" t="n">
        <v>13</v>
      </c>
      <c r="N1285" s="31" t="n">
        <v>2648.99</v>
      </c>
      <c r="O1285" s="31" t="n">
        <v>2648.99</v>
      </c>
      <c r="P1285" s="22" t="n">
        <v>0</v>
      </c>
      <c r="Q1285" s="22" t="n">
        <v>0</v>
      </c>
      <c r="R1285" s="22" t="n">
        <v>0</v>
      </c>
    </row>
    <row r="1286">
      <c r="A1286" s="22" t="n">
        <v>201805</v>
      </c>
      <c r="B1286" s="22" t="inlineStr">
        <is>
          <t>05/2018</t>
        </is>
      </c>
      <c r="C1286" s="22" t="n">
        <v>17</v>
      </c>
      <c r="D1286" s="22" t="inlineStr">
        <is>
          <t>S17</t>
        </is>
      </c>
      <c r="E1286" s="22" t="inlineStr">
        <is>
          <t>Nexa Martinique (S17)</t>
        </is>
      </c>
      <c r="F1286" s="22" t="inlineStr">
        <is>
          <t>Pháp</t>
        </is>
      </c>
      <c r="G1286" s="22" t="inlineStr">
        <is>
          <t>POS</t>
        </is>
      </c>
      <c r="H1286" s="31" t="n">
        <v>2238.65</v>
      </c>
      <c r="I1286" s="31" t="n">
        <v>0</v>
      </c>
      <c r="J1286" s="31" t="n">
        <v>2238.65</v>
      </c>
      <c r="K1286" s="31" t="n">
        <v>0</v>
      </c>
      <c r="L1286" s="32" t="n">
        <v>1</v>
      </c>
      <c r="M1286" s="32" t="n">
        <v>8</v>
      </c>
      <c r="N1286" s="31" t="n">
        <v>2238.65</v>
      </c>
      <c r="O1286" s="31" t="n">
        <v>2238.65</v>
      </c>
      <c r="P1286" s="22" t="n">
        <v>0</v>
      </c>
      <c r="Q1286" s="22" t="n">
        <v>0</v>
      </c>
      <c r="R1286" s="22" t="n">
        <v>0</v>
      </c>
    </row>
    <row r="1287">
      <c r="A1287" s="22" t="n">
        <v>201805</v>
      </c>
      <c r="B1287" s="22" t="inlineStr">
        <is>
          <t>05/2018</t>
        </is>
      </c>
      <c r="C1287" s="22" t="n">
        <v>19</v>
      </c>
      <c r="D1287" s="22" t="inlineStr">
        <is>
          <t>S19</t>
        </is>
      </c>
      <c r="E1287" s="22" t="inlineStr">
        <is>
          <t>Nexa Berlin (S19)</t>
        </is>
      </c>
      <c r="F1287" s="22" t="inlineStr">
        <is>
          <t>Đức</t>
        </is>
      </c>
      <c r="G1287" s="22" t="inlineStr">
        <is>
          <t>POS</t>
        </is>
      </c>
      <c r="H1287" s="31" t="n">
        <v>6577.79</v>
      </c>
      <c r="I1287" s="31" t="n">
        <v>0</v>
      </c>
      <c r="J1287" s="31" t="n">
        <v>6577.79</v>
      </c>
      <c r="K1287" s="31" t="n">
        <v>0</v>
      </c>
      <c r="L1287" s="32" t="n">
        <v>6</v>
      </c>
      <c r="M1287" s="32" t="n">
        <v>32</v>
      </c>
      <c r="N1287" s="31" t="n">
        <v>6577.79</v>
      </c>
      <c r="O1287" s="31" t="n">
        <v>6577.79</v>
      </c>
      <c r="P1287" s="22" t="n">
        <v>0</v>
      </c>
      <c r="Q1287" s="22" t="n">
        <v>0</v>
      </c>
      <c r="R1287" s="22" t="n">
        <v>0</v>
      </c>
    </row>
    <row r="1288">
      <c r="A1288" s="22" t="n">
        <v>201805</v>
      </c>
      <c r="B1288" s="22" t="inlineStr">
        <is>
          <t>05/2018</t>
        </is>
      </c>
      <c r="C1288" s="22" t="n">
        <v>20</v>
      </c>
      <c r="D1288" s="22" t="inlineStr">
        <is>
          <t>S20</t>
        </is>
      </c>
      <c r="E1288" s="22" t="inlineStr">
        <is>
          <t>Nexa Brandenburg (S20)</t>
        </is>
      </c>
      <c r="F1288" s="22" t="inlineStr">
        <is>
          <t>Đức</t>
        </is>
      </c>
      <c r="G1288" s="22" t="inlineStr">
        <is>
          <t>POS</t>
        </is>
      </c>
      <c r="H1288" s="31" t="n">
        <v>18270.76</v>
      </c>
      <c r="I1288" s="31" t="n">
        <v>0</v>
      </c>
      <c r="J1288" s="31" t="n">
        <v>18270.76</v>
      </c>
      <c r="K1288" s="31" t="n">
        <v>1030.99</v>
      </c>
      <c r="L1288" s="32" t="n">
        <v>9</v>
      </c>
      <c r="M1288" s="32" t="n">
        <v>91</v>
      </c>
      <c r="N1288" s="31" t="n">
        <v>17239.77</v>
      </c>
      <c r="O1288" s="31" t="n">
        <v>18270.76</v>
      </c>
      <c r="P1288" s="22" t="n">
        <v>0</v>
      </c>
      <c r="Q1288" s="22" t="n">
        <v>0</v>
      </c>
      <c r="R1288" s="22" t="n">
        <v>0</v>
      </c>
    </row>
    <row r="1289">
      <c r="A1289" s="22" t="n">
        <v>201805</v>
      </c>
      <c r="B1289" s="22" t="inlineStr">
        <is>
          <t>05/2018</t>
        </is>
      </c>
      <c r="C1289" s="22" t="n">
        <v>22</v>
      </c>
      <c r="D1289" s="22" t="inlineStr">
        <is>
          <t>S22</t>
        </is>
      </c>
      <c r="E1289" s="22" t="inlineStr">
        <is>
          <t>Nexa Freistaat Thüringen (S22)</t>
        </is>
      </c>
      <c r="F1289" s="22" t="inlineStr">
        <is>
          <t>Đức</t>
        </is>
      </c>
      <c r="G1289" s="22" t="inlineStr">
        <is>
          <t>POS</t>
        </is>
      </c>
      <c r="H1289" s="31" t="n">
        <v>20666.5</v>
      </c>
      <c r="I1289" s="31" t="n">
        <v>0</v>
      </c>
      <c r="J1289" s="31" t="n">
        <v>20666.5</v>
      </c>
      <c r="K1289" s="31" t="n">
        <v>56</v>
      </c>
      <c r="L1289" s="32" t="n">
        <v>6</v>
      </c>
      <c r="M1289" s="32" t="n">
        <v>50</v>
      </c>
      <c r="N1289" s="31" t="n">
        <v>20610.5</v>
      </c>
      <c r="O1289" s="31" t="n">
        <v>20666.5</v>
      </c>
      <c r="P1289" s="22" t="n">
        <v>0</v>
      </c>
      <c r="Q1289" s="22" t="n">
        <v>0</v>
      </c>
      <c r="R1289" s="22" t="n">
        <v>0</v>
      </c>
    </row>
    <row r="1290">
      <c r="A1290" s="22" t="n">
        <v>201805</v>
      </c>
      <c r="B1290" s="22" t="inlineStr">
        <is>
          <t>05/2018</t>
        </is>
      </c>
      <c r="C1290" s="22" t="n">
        <v>23</v>
      </c>
      <c r="D1290" s="22" t="inlineStr">
        <is>
          <t>S23</t>
        </is>
      </c>
      <c r="E1290" s="22" t="inlineStr">
        <is>
          <t>Nexa Hamburg (S23)</t>
        </is>
      </c>
      <c r="F1290" s="22" t="inlineStr">
        <is>
          <t>Đức</t>
        </is>
      </c>
      <c r="G1290" s="22" t="inlineStr">
        <is>
          <t>POS</t>
        </is>
      </c>
      <c r="H1290" s="31" t="n">
        <v>22556.9</v>
      </c>
      <c r="I1290" s="31" t="n">
        <v>0</v>
      </c>
      <c r="J1290" s="31" t="n">
        <v>22556.9</v>
      </c>
      <c r="K1290" s="31" t="n">
        <v>94.98999999999999</v>
      </c>
      <c r="L1290" s="32" t="n">
        <v>12</v>
      </c>
      <c r="M1290" s="32" t="n">
        <v>90</v>
      </c>
      <c r="N1290" s="31" t="n">
        <v>22461.91</v>
      </c>
      <c r="O1290" s="31" t="n">
        <v>22556.9</v>
      </c>
      <c r="P1290" s="22" t="n">
        <v>0</v>
      </c>
      <c r="Q1290" s="22" t="n">
        <v>0</v>
      </c>
      <c r="R1290" s="22" t="n">
        <v>0</v>
      </c>
    </row>
    <row r="1291">
      <c r="A1291" s="22" t="n">
        <v>201805</v>
      </c>
      <c r="B1291" s="22" t="inlineStr">
        <is>
          <t>05/2018</t>
        </is>
      </c>
      <c r="C1291" s="22" t="n">
        <v>24</v>
      </c>
      <c r="D1291" s="22" t="inlineStr">
        <is>
          <t>S24</t>
        </is>
      </c>
      <c r="E1291" s="22" t="inlineStr">
        <is>
          <t>Nexa Hessen (S24)</t>
        </is>
      </c>
      <c r="F1291" s="22" t="inlineStr">
        <is>
          <t>Đức</t>
        </is>
      </c>
      <c r="G1291" s="22" t="inlineStr">
        <is>
          <t>POS</t>
        </is>
      </c>
      <c r="H1291" s="31" t="n">
        <v>9315.200000000001</v>
      </c>
      <c r="I1291" s="31" t="n">
        <v>0</v>
      </c>
      <c r="J1291" s="31" t="n">
        <v>9315.200000000001</v>
      </c>
      <c r="K1291" s="31" t="n">
        <v>0</v>
      </c>
      <c r="L1291" s="32" t="n">
        <v>7</v>
      </c>
      <c r="M1291" s="32" t="n">
        <v>45</v>
      </c>
      <c r="N1291" s="31" t="n">
        <v>9315.200000000001</v>
      </c>
      <c r="O1291" s="31" t="n">
        <v>9315.200000000001</v>
      </c>
      <c r="P1291" s="22" t="n">
        <v>0</v>
      </c>
      <c r="Q1291" s="22" t="n">
        <v>0</v>
      </c>
      <c r="R1291" s="22" t="n">
        <v>0</v>
      </c>
    </row>
    <row r="1292">
      <c r="A1292" s="22" t="n">
        <v>201805</v>
      </c>
      <c r="B1292" s="22" t="inlineStr">
        <is>
          <t>05/2018</t>
        </is>
      </c>
      <c r="C1292" s="22" t="n">
        <v>27</v>
      </c>
      <c r="D1292" s="22" t="inlineStr">
        <is>
          <t>S27</t>
        </is>
      </c>
      <c r="E1292" s="22" t="inlineStr">
        <is>
          <t>Nexa Sachsen-Anhalt (S27)</t>
        </is>
      </c>
      <c r="F1292" s="22" t="inlineStr">
        <is>
          <t>Đức</t>
        </is>
      </c>
      <c r="G1292" s="22" t="inlineStr">
        <is>
          <t>POS</t>
        </is>
      </c>
      <c r="H1292" s="31" t="n">
        <v>8808.67</v>
      </c>
      <c r="I1292" s="31" t="n">
        <v>0</v>
      </c>
      <c r="J1292" s="31" t="n">
        <v>8808.67</v>
      </c>
      <c r="K1292" s="31" t="n">
        <v>0</v>
      </c>
      <c r="L1292" s="32" t="n">
        <v>2</v>
      </c>
      <c r="M1292" s="32" t="n">
        <v>50</v>
      </c>
      <c r="N1292" s="31" t="n">
        <v>8808.67</v>
      </c>
      <c r="O1292" s="31" t="n">
        <v>8808.67</v>
      </c>
      <c r="P1292" s="22" t="n">
        <v>0</v>
      </c>
      <c r="Q1292" s="22" t="n">
        <v>0</v>
      </c>
      <c r="R1292" s="22" t="n">
        <v>0</v>
      </c>
    </row>
    <row r="1293">
      <c r="A1293" s="22" t="n">
        <v>201805</v>
      </c>
      <c r="B1293" s="22" t="inlineStr">
        <is>
          <t>05/2018</t>
        </is>
      </c>
      <c r="C1293" s="22" t="n">
        <v>29</v>
      </c>
      <c r="D1293" s="22" t="inlineStr">
        <is>
          <t>S29</t>
        </is>
      </c>
      <c r="E1293" s="22" t="inlineStr">
        <is>
          <t>Nexa Enna (S29)</t>
        </is>
      </c>
      <c r="F1293" s="22" t="inlineStr">
        <is>
          <t>Ý</t>
        </is>
      </c>
      <c r="G1293" s="22" t="inlineStr">
        <is>
          <t>POS</t>
        </is>
      </c>
      <c r="H1293" s="31" t="n">
        <v>17198.47</v>
      </c>
      <c r="I1293" s="31" t="n">
        <v>0</v>
      </c>
      <c r="J1293" s="31" t="n">
        <v>17198.47</v>
      </c>
      <c r="K1293" s="31" t="n">
        <v>601</v>
      </c>
      <c r="L1293" s="32" t="n">
        <v>8</v>
      </c>
      <c r="M1293" s="32" t="n">
        <v>81</v>
      </c>
      <c r="N1293" s="31" t="n">
        <v>16597.47</v>
      </c>
      <c r="O1293" s="31" t="n">
        <v>17198.47</v>
      </c>
      <c r="P1293" s="22" t="n">
        <v>1</v>
      </c>
      <c r="Q1293" s="22" t="n">
        <v>0</v>
      </c>
      <c r="R1293" s="22" t="n">
        <v>0</v>
      </c>
    </row>
    <row r="1294">
      <c r="A1294" s="22" t="n">
        <v>201805</v>
      </c>
      <c r="B1294" s="22" t="inlineStr">
        <is>
          <t>05/2018</t>
        </is>
      </c>
      <c r="C1294" s="22" t="n">
        <v>30</v>
      </c>
      <c r="D1294" s="22" t="inlineStr">
        <is>
          <t>S30</t>
        </is>
      </c>
      <c r="E1294" s="22" t="inlineStr">
        <is>
          <t>Nexa Pesaro (S30)</t>
        </is>
      </c>
      <c r="F1294" s="22" t="inlineStr">
        <is>
          <t>Ý</t>
        </is>
      </c>
      <c r="G1294" s="22" t="inlineStr">
        <is>
          <t>POS</t>
        </is>
      </c>
      <c r="H1294" s="31" t="n">
        <v>17823.19</v>
      </c>
      <c r="I1294" s="31" t="n">
        <v>0</v>
      </c>
      <c r="J1294" s="31" t="n">
        <v>17823.19</v>
      </c>
      <c r="K1294" s="31" t="n">
        <v>0</v>
      </c>
      <c r="L1294" s="32" t="n">
        <v>12</v>
      </c>
      <c r="M1294" s="32" t="n">
        <v>69</v>
      </c>
      <c r="N1294" s="31" t="n">
        <v>17823.19</v>
      </c>
      <c r="O1294" s="31" t="n">
        <v>17823.19</v>
      </c>
      <c r="P1294" s="22" t="n">
        <v>0</v>
      </c>
      <c r="Q1294" s="22" t="n">
        <v>0</v>
      </c>
      <c r="R1294" s="22" t="n">
        <v>0</v>
      </c>
    </row>
    <row r="1295">
      <c r="A1295" s="22" t="n">
        <v>201805</v>
      </c>
      <c r="B1295" s="22" t="inlineStr">
        <is>
          <t>05/2018</t>
        </is>
      </c>
      <c r="C1295" s="22" t="n">
        <v>32</v>
      </c>
      <c r="D1295" s="22" t="inlineStr">
        <is>
          <t>S32</t>
        </is>
      </c>
      <c r="E1295" s="22" t="inlineStr">
        <is>
          <t>Nexa Flevoland (S32)</t>
        </is>
      </c>
      <c r="F1295" s="22" t="inlineStr">
        <is>
          <t>Hà Lan</t>
        </is>
      </c>
      <c r="G1295" s="22" t="inlineStr">
        <is>
          <t>POS</t>
        </is>
      </c>
      <c r="H1295" s="31" t="n">
        <v>11039.01</v>
      </c>
      <c r="I1295" s="31" t="n">
        <v>0</v>
      </c>
      <c r="J1295" s="31" t="n">
        <v>11039.01</v>
      </c>
      <c r="K1295" s="31" t="n">
        <v>0</v>
      </c>
      <c r="L1295" s="32" t="n">
        <v>4</v>
      </c>
      <c r="M1295" s="32" t="n">
        <v>41</v>
      </c>
      <c r="N1295" s="31" t="n">
        <v>11039.01</v>
      </c>
      <c r="O1295" s="31" t="n">
        <v>11039.01</v>
      </c>
      <c r="P1295" s="22" t="n">
        <v>0</v>
      </c>
      <c r="Q1295" s="22" t="n">
        <v>0</v>
      </c>
      <c r="R1295" s="22" t="n">
        <v>0</v>
      </c>
    </row>
    <row r="1296">
      <c r="A1296" s="22" t="n">
        <v>201805</v>
      </c>
      <c r="B1296" s="22" t="inlineStr">
        <is>
          <t>05/2018</t>
        </is>
      </c>
      <c r="C1296" s="22" t="n">
        <v>33</v>
      </c>
      <c r="D1296" s="22" t="inlineStr">
        <is>
          <t>S33</t>
        </is>
      </c>
      <c r="E1296" s="22" t="inlineStr">
        <is>
          <t>Nexa Friesland (S33)</t>
        </is>
      </c>
      <c r="F1296" s="22" t="inlineStr">
        <is>
          <t>Hà Lan</t>
        </is>
      </c>
      <c r="G1296" s="22" t="inlineStr">
        <is>
          <t>POS</t>
        </is>
      </c>
      <c r="H1296" s="31" t="n">
        <v>809.99</v>
      </c>
      <c r="I1296" s="31" t="n">
        <v>0</v>
      </c>
      <c r="J1296" s="31" t="n">
        <v>809.99</v>
      </c>
      <c r="K1296" s="31" t="n">
        <v>0</v>
      </c>
      <c r="L1296" s="32" t="n">
        <v>2</v>
      </c>
      <c r="M1296" s="32" t="n">
        <v>6</v>
      </c>
      <c r="N1296" s="31" t="n">
        <v>809.99</v>
      </c>
      <c r="O1296" s="31" t="n">
        <v>809.99</v>
      </c>
      <c r="P1296" s="22" t="n">
        <v>0</v>
      </c>
      <c r="Q1296" s="22" t="n">
        <v>0</v>
      </c>
      <c r="R1296" s="22" t="n">
        <v>0</v>
      </c>
    </row>
    <row r="1297">
      <c r="A1297" s="22" t="n">
        <v>201805</v>
      </c>
      <c r="B1297" s="22" t="inlineStr">
        <is>
          <t>05/2018</t>
        </is>
      </c>
      <c r="C1297" s="22" t="n">
        <v>34</v>
      </c>
      <c r="D1297" s="22" t="inlineStr">
        <is>
          <t>S34</t>
        </is>
      </c>
      <c r="E1297" s="22" t="inlineStr">
        <is>
          <t>Nexa Groningen (S34)</t>
        </is>
      </c>
      <c r="F1297" s="22" t="inlineStr">
        <is>
          <t>Hà Lan</t>
        </is>
      </c>
      <c r="G1297" s="22" t="inlineStr">
        <is>
          <t>POS</t>
        </is>
      </c>
      <c r="H1297" s="31" t="n">
        <v>4181.82</v>
      </c>
      <c r="I1297" s="31" t="n">
        <v>0</v>
      </c>
      <c r="J1297" s="31" t="n">
        <v>4181.82</v>
      </c>
      <c r="K1297" s="31" t="n">
        <v>57.88</v>
      </c>
      <c r="L1297" s="32" t="n">
        <v>3</v>
      </c>
      <c r="M1297" s="32" t="n">
        <v>15</v>
      </c>
      <c r="N1297" s="31" t="n">
        <v>4123.94</v>
      </c>
      <c r="O1297" s="31" t="n">
        <v>4181.82</v>
      </c>
      <c r="P1297" s="22" t="n">
        <v>0</v>
      </c>
      <c r="Q1297" s="22" t="n">
        <v>0</v>
      </c>
      <c r="R1297" s="22" t="n">
        <v>0</v>
      </c>
    </row>
    <row r="1298">
      <c r="A1298" s="22" t="n">
        <v>201805</v>
      </c>
      <c r="B1298" s="22" t="inlineStr">
        <is>
          <t>05/2018</t>
        </is>
      </c>
      <c r="C1298" s="22" t="n">
        <v>36</v>
      </c>
      <c r="D1298" s="22" t="inlineStr">
        <is>
          <t>S36</t>
        </is>
      </c>
      <c r="E1298" s="22" t="inlineStr">
        <is>
          <t>Nexa Armagh (S36)</t>
        </is>
      </c>
      <c r="F1298" s="22" t="inlineStr">
        <is>
          <t>Anh</t>
        </is>
      </c>
      <c r="G1298" s="22" t="inlineStr">
        <is>
          <t>POS</t>
        </is>
      </c>
      <c r="H1298" s="31" t="n">
        <v>21290.08</v>
      </c>
      <c r="I1298" s="31" t="n">
        <v>0</v>
      </c>
      <c r="J1298" s="31" t="n">
        <v>21290.08</v>
      </c>
      <c r="K1298" s="31" t="n">
        <v>0</v>
      </c>
      <c r="L1298" s="32" t="n">
        <v>8</v>
      </c>
      <c r="M1298" s="32" t="n">
        <v>59</v>
      </c>
      <c r="N1298" s="31" t="n">
        <v>21290.08</v>
      </c>
      <c r="O1298" s="31" t="n">
        <v>21290.08</v>
      </c>
      <c r="P1298" s="22" t="n">
        <v>1</v>
      </c>
      <c r="Q1298" s="22" t="n">
        <v>0</v>
      </c>
      <c r="R1298" s="22" t="n">
        <v>0</v>
      </c>
    </row>
    <row r="1299">
      <c r="A1299" s="22" t="n">
        <v>201805</v>
      </c>
      <c r="B1299" s="22" t="inlineStr">
        <is>
          <t>05/2018</t>
        </is>
      </c>
      <c r="C1299" s="22" t="n">
        <v>37</v>
      </c>
      <c r="D1299" s="22" t="inlineStr">
        <is>
          <t>S37</t>
        </is>
      </c>
      <c r="E1299" s="22" t="inlineStr">
        <is>
          <t>Nexa Ayrshire (S37)</t>
        </is>
      </c>
      <c r="F1299" s="22" t="inlineStr">
        <is>
          <t>Anh</t>
        </is>
      </c>
      <c r="G1299" s="22" t="inlineStr">
        <is>
          <t>POS</t>
        </is>
      </c>
      <c r="H1299" s="31" t="n">
        <v>2724.67</v>
      </c>
      <c r="I1299" s="31" t="n">
        <v>0</v>
      </c>
      <c r="J1299" s="31" t="n">
        <v>2724.67</v>
      </c>
      <c r="K1299" s="31" t="n">
        <v>0</v>
      </c>
      <c r="L1299" s="32" t="n">
        <v>4</v>
      </c>
      <c r="M1299" s="32" t="n">
        <v>21</v>
      </c>
      <c r="N1299" s="31" t="n">
        <v>2724.67</v>
      </c>
      <c r="O1299" s="31" t="n">
        <v>2724.67</v>
      </c>
      <c r="P1299" s="22" t="n">
        <v>0</v>
      </c>
      <c r="Q1299" s="22" t="n">
        <v>0</v>
      </c>
      <c r="R1299" s="22" t="n">
        <v>0</v>
      </c>
    </row>
    <row r="1300">
      <c r="A1300" s="22" t="n">
        <v>201805</v>
      </c>
      <c r="B1300" s="22" t="inlineStr">
        <is>
          <t>05/2018</t>
        </is>
      </c>
      <c r="C1300" s="22" t="n">
        <v>38</v>
      </c>
      <c r="D1300" s="22" t="inlineStr">
        <is>
          <t>S38</t>
        </is>
      </c>
      <c r="E1300" s="22" t="inlineStr">
        <is>
          <t>Nexa Belfast (S38)</t>
        </is>
      </c>
      <c r="F1300" s="22" t="inlineStr">
        <is>
          <t>Anh</t>
        </is>
      </c>
      <c r="G1300" s="22" t="inlineStr">
        <is>
          <t>POS</t>
        </is>
      </c>
      <c r="H1300" s="31" t="n">
        <v>13254.66</v>
      </c>
      <c r="I1300" s="31" t="n">
        <v>0</v>
      </c>
      <c r="J1300" s="31" t="n">
        <v>13254.66</v>
      </c>
      <c r="K1300" s="31" t="n">
        <v>2632.5</v>
      </c>
      <c r="L1300" s="32" t="n">
        <v>5</v>
      </c>
      <c r="M1300" s="32" t="n">
        <v>63</v>
      </c>
      <c r="N1300" s="31" t="n">
        <v>10622.16</v>
      </c>
      <c r="O1300" s="31" t="n">
        <v>13254.66</v>
      </c>
      <c r="P1300" s="22" t="n">
        <v>0</v>
      </c>
      <c r="Q1300" s="22" t="n">
        <v>0</v>
      </c>
      <c r="R1300" s="22" t="n">
        <v>0</v>
      </c>
    </row>
    <row r="1301">
      <c r="A1301" s="22" t="n">
        <v>201805</v>
      </c>
      <c r="B1301" s="22" t="inlineStr">
        <is>
          <t>05/2018</t>
        </is>
      </c>
      <c r="C1301" s="22" t="n">
        <v>39</v>
      </c>
      <c r="D1301" s="22" t="inlineStr">
        <is>
          <t>S39</t>
        </is>
      </c>
      <c r="E1301" s="22" t="inlineStr">
        <is>
          <t>Nexa Blaenau Gwent (S39)</t>
        </is>
      </c>
      <c r="F1301" s="22" t="inlineStr">
        <is>
          <t>Anh</t>
        </is>
      </c>
      <c r="G1301" s="22" t="inlineStr">
        <is>
          <t>POS</t>
        </is>
      </c>
      <c r="H1301" s="31" t="n">
        <v>11662.48</v>
      </c>
      <c r="I1301" s="31" t="n">
        <v>0</v>
      </c>
      <c r="J1301" s="31" t="n">
        <v>11662.48</v>
      </c>
      <c r="K1301" s="31" t="n">
        <v>2397.6</v>
      </c>
      <c r="L1301" s="32" t="n">
        <v>8</v>
      </c>
      <c r="M1301" s="32" t="n">
        <v>58</v>
      </c>
      <c r="N1301" s="31" t="n">
        <v>9264.879999999999</v>
      </c>
      <c r="O1301" s="31" t="n">
        <v>11662.48</v>
      </c>
      <c r="P1301" s="22" t="n">
        <v>0</v>
      </c>
      <c r="Q1301" s="22" t="n">
        <v>0</v>
      </c>
      <c r="R1301" s="22" t="n">
        <v>0</v>
      </c>
    </row>
    <row r="1302">
      <c r="A1302" s="22" t="n">
        <v>201805</v>
      </c>
      <c r="B1302" s="22" t="inlineStr">
        <is>
          <t>05/2018</t>
        </is>
      </c>
      <c r="C1302" s="22" t="n">
        <v>40</v>
      </c>
      <c r="D1302" s="22" t="inlineStr">
        <is>
          <t>S40</t>
        </is>
      </c>
      <c r="E1302" s="22" t="inlineStr">
        <is>
          <t>Nexa Dungannon and South Tyrone (S40)</t>
        </is>
      </c>
      <c r="F1302" s="22" t="inlineStr">
        <is>
          <t>Anh</t>
        </is>
      </c>
      <c r="G1302" s="22" t="inlineStr">
        <is>
          <t>POS</t>
        </is>
      </c>
      <c r="H1302" s="31" t="n">
        <v>23434.21</v>
      </c>
      <c r="I1302" s="31" t="n">
        <v>0</v>
      </c>
      <c r="J1302" s="31" t="n">
        <v>23434.21</v>
      </c>
      <c r="K1302" s="31" t="n">
        <v>1109.95</v>
      </c>
      <c r="L1302" s="32" t="n">
        <v>10</v>
      </c>
      <c r="M1302" s="32" t="n">
        <v>110</v>
      </c>
      <c r="N1302" s="31" t="n">
        <v>22324.26</v>
      </c>
      <c r="O1302" s="31" t="n">
        <v>23434.21</v>
      </c>
      <c r="P1302" s="22" t="n">
        <v>0</v>
      </c>
      <c r="Q1302" s="22" t="n">
        <v>0</v>
      </c>
      <c r="R1302" s="22" t="n">
        <v>0</v>
      </c>
    </row>
    <row r="1303">
      <c r="A1303" s="22" t="n">
        <v>201805</v>
      </c>
      <c r="B1303" s="22" t="inlineStr">
        <is>
          <t>05/2018</t>
        </is>
      </c>
      <c r="C1303" s="22" t="n">
        <v>41</v>
      </c>
      <c r="D1303" s="22" t="inlineStr">
        <is>
          <t>S41</t>
        </is>
      </c>
      <c r="E1303" s="22" t="inlineStr">
        <is>
          <t>Nexa Fermanagh (S41)</t>
        </is>
      </c>
      <c r="F1303" s="22" t="inlineStr">
        <is>
          <t>Anh</t>
        </is>
      </c>
      <c r="G1303" s="22" t="inlineStr">
        <is>
          <t>POS</t>
        </is>
      </c>
      <c r="H1303" s="31" t="n">
        <v>7567.83</v>
      </c>
      <c r="I1303" s="31" t="n">
        <v>0</v>
      </c>
      <c r="J1303" s="31" t="n">
        <v>7567.83</v>
      </c>
      <c r="K1303" s="31" t="n">
        <v>0</v>
      </c>
      <c r="L1303" s="32" t="n">
        <v>8</v>
      </c>
      <c r="M1303" s="32" t="n">
        <v>63</v>
      </c>
      <c r="N1303" s="31" t="n">
        <v>7567.83</v>
      </c>
      <c r="O1303" s="31" t="n">
        <v>7567.83</v>
      </c>
      <c r="P1303" s="22" t="n">
        <v>0</v>
      </c>
      <c r="Q1303" s="22" t="n">
        <v>0</v>
      </c>
      <c r="R1303" s="22" t="n">
        <v>0</v>
      </c>
    </row>
    <row r="1304">
      <c r="A1304" s="22" t="n">
        <v>201805</v>
      </c>
      <c r="B1304" s="22" t="inlineStr">
        <is>
          <t>05/2018</t>
        </is>
      </c>
      <c r="C1304" s="22" t="n">
        <v>42</v>
      </c>
      <c r="D1304" s="22" t="inlineStr">
        <is>
          <t>S42</t>
        </is>
      </c>
      <c r="E1304" s="22" t="inlineStr">
        <is>
          <t>Nexa North Down (S42)</t>
        </is>
      </c>
      <c r="F1304" s="22" t="inlineStr">
        <is>
          <t>Anh</t>
        </is>
      </c>
      <c r="G1304" s="22" t="inlineStr">
        <is>
          <t>POS</t>
        </is>
      </c>
      <c r="H1304" s="31" t="n">
        <v>15108.63</v>
      </c>
      <c r="I1304" s="31" t="n">
        <v>0</v>
      </c>
      <c r="J1304" s="31" t="n">
        <v>15108.63</v>
      </c>
      <c r="K1304" s="31" t="n">
        <v>269</v>
      </c>
      <c r="L1304" s="32" t="n">
        <v>7</v>
      </c>
      <c r="M1304" s="32" t="n">
        <v>53</v>
      </c>
      <c r="N1304" s="31" t="n">
        <v>14839.63</v>
      </c>
      <c r="O1304" s="31" t="n">
        <v>15108.63</v>
      </c>
      <c r="P1304" s="22" t="n">
        <v>0</v>
      </c>
      <c r="Q1304" s="22" t="n">
        <v>0</v>
      </c>
      <c r="R1304" s="22" t="n">
        <v>0</v>
      </c>
    </row>
    <row r="1305">
      <c r="A1305" s="22" t="n">
        <v>201805</v>
      </c>
      <c r="B1305" s="22" t="inlineStr">
        <is>
          <t>05/2018</t>
        </is>
      </c>
      <c r="C1305" s="22" t="n">
        <v>43</v>
      </c>
      <c r="D1305" s="22" t="inlineStr">
        <is>
          <t>S43</t>
        </is>
      </c>
      <c r="E1305" s="22" t="inlineStr">
        <is>
          <t>Nexa Alaska (S43)</t>
        </is>
      </c>
      <c r="F1305" s="22" t="inlineStr">
        <is>
          <t>Mỹ</t>
        </is>
      </c>
      <c r="G1305" s="22" t="inlineStr">
        <is>
          <t>POS</t>
        </is>
      </c>
      <c r="H1305" s="31" t="n">
        <v>3373.99</v>
      </c>
      <c r="I1305" s="31" t="n">
        <v>0</v>
      </c>
      <c r="J1305" s="31" t="n">
        <v>3373.99</v>
      </c>
      <c r="K1305" s="31" t="n">
        <v>0</v>
      </c>
      <c r="L1305" s="32" t="n">
        <v>3</v>
      </c>
      <c r="M1305" s="32" t="n">
        <v>17</v>
      </c>
      <c r="N1305" s="31" t="n">
        <v>3373.99</v>
      </c>
      <c r="O1305" s="31" t="n">
        <v>3373.99</v>
      </c>
      <c r="P1305" s="22" t="n">
        <v>0</v>
      </c>
      <c r="Q1305" s="22" t="n">
        <v>0</v>
      </c>
      <c r="R1305" s="22" t="n">
        <v>0</v>
      </c>
    </row>
    <row r="1306">
      <c r="A1306" s="22" t="n">
        <v>201805</v>
      </c>
      <c r="B1306" s="22" t="inlineStr">
        <is>
          <t>05/2018</t>
        </is>
      </c>
      <c r="C1306" s="22" t="n">
        <v>44</v>
      </c>
      <c r="D1306" s="22" t="inlineStr">
        <is>
          <t>S44</t>
        </is>
      </c>
      <c r="E1306" s="22" t="inlineStr">
        <is>
          <t>Nexa Arkansas (S44)</t>
        </is>
      </c>
      <c r="F1306" s="22" t="inlineStr">
        <is>
          <t>Mỹ</t>
        </is>
      </c>
      <c r="G1306" s="22" t="inlineStr">
        <is>
          <t>POS</t>
        </is>
      </c>
      <c r="H1306" s="31" t="n">
        <v>25938.29</v>
      </c>
      <c r="I1306" s="31" t="n">
        <v>0</v>
      </c>
      <c r="J1306" s="31" t="n">
        <v>25938.29</v>
      </c>
      <c r="K1306" s="31" t="n">
        <v>156</v>
      </c>
      <c r="L1306" s="32" t="n">
        <v>13</v>
      </c>
      <c r="M1306" s="32" t="n">
        <v>109</v>
      </c>
      <c r="N1306" s="31" t="n">
        <v>25782.29</v>
      </c>
      <c r="O1306" s="31" t="n">
        <v>25938.29</v>
      </c>
      <c r="P1306" s="22" t="n">
        <v>1</v>
      </c>
      <c r="Q1306" s="22" t="n">
        <v>0</v>
      </c>
      <c r="R1306" s="22" t="n">
        <v>0</v>
      </c>
    </row>
    <row r="1307">
      <c r="A1307" s="22" t="n">
        <v>201805</v>
      </c>
      <c r="B1307" s="22" t="inlineStr">
        <is>
          <t>05/2018</t>
        </is>
      </c>
      <c r="C1307" s="22" t="n">
        <v>45</v>
      </c>
      <c r="D1307" s="22" t="inlineStr">
        <is>
          <t>S45</t>
        </is>
      </c>
      <c r="E1307" s="22" t="inlineStr">
        <is>
          <t>Nexa Connecticut (S45)</t>
        </is>
      </c>
      <c r="F1307" s="22" t="inlineStr">
        <is>
          <t>Mỹ</t>
        </is>
      </c>
      <c r="G1307" s="22" t="inlineStr">
        <is>
          <t>POS</t>
        </is>
      </c>
      <c r="H1307" s="31" t="n">
        <v>32030.41</v>
      </c>
      <c r="I1307" s="31" t="n">
        <v>0</v>
      </c>
      <c r="J1307" s="31" t="n">
        <v>32030.41</v>
      </c>
      <c r="K1307" s="31" t="n">
        <v>2665.95</v>
      </c>
      <c r="L1307" s="32" t="n">
        <v>11</v>
      </c>
      <c r="M1307" s="32" t="n">
        <v>113</v>
      </c>
      <c r="N1307" s="31" t="n">
        <v>29364.46</v>
      </c>
      <c r="O1307" s="31" t="n">
        <v>32030.41</v>
      </c>
      <c r="P1307" s="22" t="n">
        <v>0</v>
      </c>
      <c r="Q1307" s="22" t="n">
        <v>0</v>
      </c>
      <c r="R1307" s="22" t="n">
        <v>0</v>
      </c>
    </row>
    <row r="1308">
      <c r="A1308" s="22" t="n">
        <v>201805</v>
      </c>
      <c r="B1308" s="22" t="inlineStr">
        <is>
          <t>05/2018</t>
        </is>
      </c>
      <c r="C1308" s="22" t="n">
        <v>47</v>
      </c>
      <c r="D1308" s="22" t="inlineStr">
        <is>
          <t>S47</t>
        </is>
      </c>
      <c r="E1308" s="22" t="inlineStr">
        <is>
          <t>Nexa Hawaii (S47)</t>
        </is>
      </c>
      <c r="F1308" s="22" t="inlineStr">
        <is>
          <t>Mỹ</t>
        </is>
      </c>
      <c r="G1308" s="22" t="inlineStr">
        <is>
          <t>POS</t>
        </is>
      </c>
      <c r="H1308" s="31" t="n">
        <v>42629.61</v>
      </c>
      <c r="I1308" s="31" t="n">
        <v>0</v>
      </c>
      <c r="J1308" s="31" t="n">
        <v>42629.61</v>
      </c>
      <c r="K1308" s="31" t="n">
        <v>592</v>
      </c>
      <c r="L1308" s="32" t="n">
        <v>15</v>
      </c>
      <c r="M1308" s="32" t="n">
        <v>167</v>
      </c>
      <c r="N1308" s="31" t="n">
        <v>42629.61</v>
      </c>
      <c r="O1308" s="31" t="n">
        <v>42629.61</v>
      </c>
      <c r="P1308" s="22" t="n">
        <v>0</v>
      </c>
      <c r="Q1308" s="22" t="n">
        <v>0</v>
      </c>
      <c r="R1308" s="22" t="n">
        <v>0</v>
      </c>
    </row>
    <row r="1309">
      <c r="A1309" s="22" t="n">
        <v>201805</v>
      </c>
      <c r="B1309" s="22" t="inlineStr">
        <is>
          <t>05/2018</t>
        </is>
      </c>
      <c r="C1309" s="22" t="n">
        <v>48</v>
      </c>
      <c r="D1309" s="22" t="inlineStr">
        <is>
          <t>S48</t>
        </is>
      </c>
      <c r="E1309" s="22" t="inlineStr">
        <is>
          <t>Nexa Idaho (S48)</t>
        </is>
      </c>
      <c r="F1309" s="22" t="inlineStr">
        <is>
          <t>Mỹ</t>
        </is>
      </c>
      <c r="G1309" s="22" t="inlineStr">
        <is>
          <t>POS</t>
        </is>
      </c>
      <c r="H1309" s="31" t="n">
        <v>34771.17</v>
      </c>
      <c r="I1309" s="31" t="n">
        <v>0</v>
      </c>
      <c r="J1309" s="31" t="n">
        <v>34771.17</v>
      </c>
      <c r="K1309" s="31" t="n">
        <v>0</v>
      </c>
      <c r="L1309" s="32" t="n">
        <v>9</v>
      </c>
      <c r="M1309" s="32" t="n">
        <v>86</v>
      </c>
      <c r="N1309" s="31" t="n">
        <v>34771.17</v>
      </c>
      <c r="O1309" s="31" t="n">
        <v>34771.17</v>
      </c>
      <c r="P1309" s="22" t="n">
        <v>0</v>
      </c>
      <c r="Q1309" s="22" t="n">
        <v>0</v>
      </c>
      <c r="R1309" s="22" t="n">
        <v>0</v>
      </c>
    </row>
    <row r="1310">
      <c r="A1310" s="22" t="n">
        <v>201805</v>
      </c>
      <c r="B1310" s="22" t="inlineStr">
        <is>
          <t>05/2018</t>
        </is>
      </c>
      <c r="C1310" s="22" t="n">
        <v>50</v>
      </c>
      <c r="D1310" s="22" t="inlineStr">
        <is>
          <t>S50</t>
        </is>
      </c>
      <c r="E1310" s="22" t="inlineStr">
        <is>
          <t>Nexa Kansas (S50)</t>
        </is>
      </c>
      <c r="F1310" s="22" t="inlineStr">
        <is>
          <t>Mỹ</t>
        </is>
      </c>
      <c r="G1310" s="22" t="inlineStr">
        <is>
          <t>POS</t>
        </is>
      </c>
      <c r="H1310" s="31" t="n">
        <v>52063.13</v>
      </c>
      <c r="I1310" s="31" t="n">
        <v>0</v>
      </c>
      <c r="J1310" s="31" t="n">
        <v>52063.13</v>
      </c>
      <c r="K1310" s="31" t="n">
        <v>45.78</v>
      </c>
      <c r="L1310" s="32" t="n">
        <v>11</v>
      </c>
      <c r="M1310" s="32" t="n">
        <v>139</v>
      </c>
      <c r="N1310" s="31" t="n">
        <v>52017.35</v>
      </c>
      <c r="O1310" s="31" t="n">
        <v>52063.13</v>
      </c>
      <c r="P1310" s="22" t="n">
        <v>1</v>
      </c>
      <c r="Q1310" s="22" t="n">
        <v>0</v>
      </c>
      <c r="R1310" s="22" t="n">
        <v>0</v>
      </c>
    </row>
    <row r="1311">
      <c r="A1311" s="22" t="n">
        <v>201805</v>
      </c>
      <c r="B1311" s="22" t="inlineStr">
        <is>
          <t>05/2018</t>
        </is>
      </c>
      <c r="C1311" s="22" t="n">
        <v>51</v>
      </c>
      <c r="D1311" s="22" t="inlineStr">
        <is>
          <t>S51</t>
        </is>
      </c>
      <c r="E1311" s="22" t="inlineStr">
        <is>
          <t>Nexa Maine (S51)</t>
        </is>
      </c>
      <c r="F1311" s="22" t="inlineStr">
        <is>
          <t>Mỹ</t>
        </is>
      </c>
      <c r="G1311" s="22" t="inlineStr">
        <is>
          <t>POS</t>
        </is>
      </c>
      <c r="H1311" s="31" t="n">
        <v>3842.79</v>
      </c>
      <c r="I1311" s="31" t="n">
        <v>0</v>
      </c>
      <c r="J1311" s="31" t="n">
        <v>3842.79</v>
      </c>
      <c r="K1311" s="31" t="n">
        <v>919</v>
      </c>
      <c r="L1311" s="32" t="n">
        <v>3</v>
      </c>
      <c r="M1311" s="32" t="n">
        <v>8</v>
      </c>
      <c r="N1311" s="31" t="n">
        <v>2923.79</v>
      </c>
      <c r="O1311" s="31" t="n">
        <v>3842.79</v>
      </c>
      <c r="P1311" s="22" t="n">
        <v>0</v>
      </c>
      <c r="Q1311" s="22" t="n">
        <v>0</v>
      </c>
      <c r="R1311" s="22" t="n">
        <v>0</v>
      </c>
    </row>
    <row r="1312">
      <c r="A1312" s="22" t="n">
        <v>201805</v>
      </c>
      <c r="B1312" s="22" t="inlineStr">
        <is>
          <t>05/2018</t>
        </is>
      </c>
      <c r="C1312" s="22" t="n">
        <v>53</v>
      </c>
      <c r="D1312" s="22" t="inlineStr">
        <is>
          <t>S53</t>
        </is>
      </c>
      <c r="E1312" s="22" t="inlineStr">
        <is>
          <t>Nexa Montana (S53)</t>
        </is>
      </c>
      <c r="F1312" s="22" t="inlineStr">
        <is>
          <t>Mỹ</t>
        </is>
      </c>
      <c r="G1312" s="22" t="inlineStr">
        <is>
          <t>POS</t>
        </is>
      </c>
      <c r="H1312" s="31" t="n">
        <v>31190.13</v>
      </c>
      <c r="I1312" s="31" t="n">
        <v>0</v>
      </c>
      <c r="J1312" s="31" t="n">
        <v>31190.13</v>
      </c>
      <c r="K1312" s="31" t="n">
        <v>0</v>
      </c>
      <c r="L1312" s="32" t="n">
        <v>12</v>
      </c>
      <c r="M1312" s="32" t="n">
        <v>78</v>
      </c>
      <c r="N1312" s="31" t="n">
        <v>31190.13</v>
      </c>
      <c r="O1312" s="31" t="n">
        <v>31190.13</v>
      </c>
      <c r="P1312" s="22" t="n">
        <v>0</v>
      </c>
      <c r="Q1312" s="22" t="n">
        <v>0</v>
      </c>
      <c r="R1312" s="22" t="n">
        <v>0</v>
      </c>
    </row>
    <row r="1313">
      <c r="A1313" s="22" t="n">
        <v>201805</v>
      </c>
      <c r="B1313" s="22" t="inlineStr">
        <is>
          <t>05/2018</t>
        </is>
      </c>
      <c r="C1313" s="22" t="n">
        <v>54</v>
      </c>
      <c r="D1313" s="22" t="inlineStr">
        <is>
          <t>S54</t>
        </is>
      </c>
      <c r="E1313" s="22" t="inlineStr">
        <is>
          <t>Nexa Nebraska (S54)</t>
        </is>
      </c>
      <c r="F1313" s="22" t="inlineStr">
        <is>
          <t>Mỹ</t>
        </is>
      </c>
      <c r="G1313" s="22" t="inlineStr">
        <is>
          <t>POS</t>
        </is>
      </c>
      <c r="H1313" s="31" t="n">
        <v>25789.92</v>
      </c>
      <c r="I1313" s="31" t="n">
        <v>0</v>
      </c>
      <c r="J1313" s="31" t="n">
        <v>25789.92</v>
      </c>
      <c r="K1313" s="31" t="n">
        <v>181</v>
      </c>
      <c r="L1313" s="32" t="n">
        <v>9</v>
      </c>
      <c r="M1313" s="32" t="n">
        <v>71</v>
      </c>
      <c r="N1313" s="31" t="n">
        <v>25608.92</v>
      </c>
      <c r="O1313" s="31" t="n">
        <v>25789.92</v>
      </c>
      <c r="P1313" s="22" t="n">
        <v>2</v>
      </c>
      <c r="Q1313" s="22" t="n">
        <v>0</v>
      </c>
      <c r="R1313" s="22" t="n">
        <v>0</v>
      </c>
    </row>
    <row r="1314">
      <c r="A1314" s="22" t="n">
        <v>201805</v>
      </c>
      <c r="B1314" s="22" t="inlineStr">
        <is>
          <t>05/2018</t>
        </is>
      </c>
      <c r="C1314" s="22" t="n">
        <v>55</v>
      </c>
      <c r="D1314" s="22" t="inlineStr">
        <is>
          <t>S55</t>
        </is>
      </c>
      <c r="E1314" s="22" t="inlineStr">
        <is>
          <t>Nexa Nevada (S55)</t>
        </is>
      </c>
      <c r="F1314" s="22" t="inlineStr">
        <is>
          <t>Mỹ</t>
        </is>
      </c>
      <c r="G1314" s="22" t="inlineStr">
        <is>
          <t>POS</t>
        </is>
      </c>
      <c r="H1314" s="31" t="n">
        <v>9899.299999999999</v>
      </c>
      <c r="I1314" s="31" t="n">
        <v>0</v>
      </c>
      <c r="J1314" s="31" t="n">
        <v>9899.299999999999</v>
      </c>
      <c r="K1314" s="31" t="n">
        <v>0</v>
      </c>
      <c r="L1314" s="32" t="n">
        <v>4</v>
      </c>
      <c r="M1314" s="32" t="n">
        <v>49</v>
      </c>
      <c r="N1314" s="31" t="n">
        <v>9899.299999999999</v>
      </c>
      <c r="O1314" s="31" t="n">
        <v>9899.299999999999</v>
      </c>
      <c r="P1314" s="22" t="n">
        <v>0</v>
      </c>
      <c r="Q1314" s="22" t="n">
        <v>0</v>
      </c>
      <c r="R1314" s="22" t="n">
        <v>0</v>
      </c>
    </row>
    <row r="1315">
      <c r="A1315" s="22" t="n">
        <v>201805</v>
      </c>
      <c r="B1315" s="22" t="inlineStr">
        <is>
          <t>05/2018</t>
        </is>
      </c>
      <c r="C1315" s="22" t="n">
        <v>56</v>
      </c>
      <c r="D1315" s="22" t="inlineStr">
        <is>
          <t>S56</t>
        </is>
      </c>
      <c r="E1315" s="22" t="inlineStr">
        <is>
          <t>Nexa New Hampshire (S56)</t>
        </is>
      </c>
      <c r="F1315" s="22" t="inlineStr">
        <is>
          <t>Mỹ</t>
        </is>
      </c>
      <c r="G1315" s="22" t="inlineStr">
        <is>
          <t>POS</t>
        </is>
      </c>
      <c r="H1315" s="31" t="n">
        <v>18003.84</v>
      </c>
      <c r="I1315" s="31" t="n">
        <v>0</v>
      </c>
      <c r="J1315" s="31" t="n">
        <v>18003.84</v>
      </c>
      <c r="K1315" s="31" t="n">
        <v>0</v>
      </c>
      <c r="L1315" s="32" t="n">
        <v>8</v>
      </c>
      <c r="M1315" s="32" t="n">
        <v>71</v>
      </c>
      <c r="N1315" s="31" t="n">
        <v>18003.84</v>
      </c>
      <c r="O1315" s="31" t="n">
        <v>18003.84</v>
      </c>
      <c r="P1315" s="22" t="n">
        <v>0</v>
      </c>
      <c r="Q1315" s="22" t="n">
        <v>0</v>
      </c>
      <c r="R1315" s="22" t="n">
        <v>0</v>
      </c>
    </row>
    <row r="1316">
      <c r="A1316" s="22" t="n">
        <v>201805</v>
      </c>
      <c r="B1316" s="22" t="inlineStr">
        <is>
          <t>05/2018</t>
        </is>
      </c>
      <c r="C1316" s="22" t="n">
        <v>57</v>
      </c>
      <c r="D1316" s="22" t="inlineStr">
        <is>
          <t>S57</t>
        </is>
      </c>
      <c r="E1316" s="22" t="inlineStr">
        <is>
          <t>Nexa New Mexico (S57)</t>
        </is>
      </c>
      <c r="F1316" s="22" t="inlineStr">
        <is>
          <t>Mỹ</t>
        </is>
      </c>
      <c r="G1316" s="22" t="inlineStr">
        <is>
          <t>POS</t>
        </is>
      </c>
      <c r="H1316" s="31" t="n">
        <v>54658.04</v>
      </c>
      <c r="I1316" s="31" t="n">
        <v>0</v>
      </c>
      <c r="J1316" s="31" t="n">
        <v>54658.04</v>
      </c>
      <c r="K1316" s="31" t="n">
        <v>0</v>
      </c>
      <c r="L1316" s="32" t="n">
        <v>15</v>
      </c>
      <c r="M1316" s="32" t="n">
        <v>132</v>
      </c>
      <c r="N1316" s="31" t="n">
        <v>54658.04</v>
      </c>
      <c r="O1316" s="31" t="n">
        <v>54658.04</v>
      </c>
      <c r="P1316" s="22" t="n">
        <v>0</v>
      </c>
      <c r="Q1316" s="22" t="n">
        <v>0</v>
      </c>
      <c r="R1316" s="22" t="n">
        <v>1</v>
      </c>
    </row>
    <row r="1317">
      <c r="A1317" s="22" t="n">
        <v>201805</v>
      </c>
      <c r="B1317" s="22" t="inlineStr">
        <is>
          <t>05/2018</t>
        </is>
      </c>
      <c r="C1317" s="22" t="n">
        <v>59</v>
      </c>
      <c r="D1317" s="22" t="inlineStr">
        <is>
          <t>S59</t>
        </is>
      </c>
      <c r="E1317" s="22" t="inlineStr">
        <is>
          <t>Nexa Oregon (S59)</t>
        </is>
      </c>
      <c r="F1317" s="22" t="inlineStr">
        <is>
          <t>Mỹ</t>
        </is>
      </c>
      <c r="G1317" s="22" t="inlineStr">
        <is>
          <t>POS</t>
        </is>
      </c>
      <c r="H1317" s="31" t="n">
        <v>8090.41</v>
      </c>
      <c r="I1317" s="31" t="n">
        <v>0</v>
      </c>
      <c r="J1317" s="31" t="n">
        <v>8090.41</v>
      </c>
      <c r="K1317" s="31" t="n">
        <v>0</v>
      </c>
      <c r="L1317" s="32" t="n">
        <v>6</v>
      </c>
      <c r="M1317" s="32" t="n">
        <v>41</v>
      </c>
      <c r="N1317" s="31" t="n">
        <v>8090.41</v>
      </c>
      <c r="O1317" s="31" t="n">
        <v>8090.41</v>
      </c>
      <c r="P1317" s="22" t="n">
        <v>0</v>
      </c>
      <c r="Q1317" s="22" t="n">
        <v>0</v>
      </c>
      <c r="R1317" s="22" t="n">
        <v>0</v>
      </c>
    </row>
    <row r="1318">
      <c r="A1318" s="22" t="n">
        <v>201805</v>
      </c>
      <c r="B1318" s="22" t="inlineStr">
        <is>
          <t>05/2018</t>
        </is>
      </c>
      <c r="C1318" s="22" t="n">
        <v>61</v>
      </c>
      <c r="D1318" s="22" t="inlineStr">
        <is>
          <t>S61</t>
        </is>
      </c>
      <c r="E1318" s="22" t="inlineStr">
        <is>
          <t>Nexa South Carolina (S61)</t>
        </is>
      </c>
      <c r="F1318" s="22" t="inlineStr">
        <is>
          <t>Mỹ</t>
        </is>
      </c>
      <c r="G1318" s="22" t="inlineStr">
        <is>
          <t>POS</t>
        </is>
      </c>
      <c r="H1318" s="31" t="n">
        <v>44267.56</v>
      </c>
      <c r="I1318" s="31" t="n">
        <v>0</v>
      </c>
      <c r="J1318" s="31" t="n">
        <v>44267.56</v>
      </c>
      <c r="K1318" s="31" t="n">
        <v>1434.95</v>
      </c>
      <c r="L1318" s="32" t="n">
        <v>15</v>
      </c>
      <c r="M1318" s="32" t="n">
        <v>160</v>
      </c>
      <c r="N1318" s="31" t="n">
        <v>42832.61</v>
      </c>
      <c r="O1318" s="31" t="n">
        <v>44267.56</v>
      </c>
      <c r="P1318" s="22" t="n">
        <v>0</v>
      </c>
      <c r="Q1318" s="22" t="n">
        <v>0</v>
      </c>
      <c r="R1318" s="22" t="n">
        <v>0</v>
      </c>
    </row>
    <row r="1319">
      <c r="A1319" s="22" t="n">
        <v>201805</v>
      </c>
      <c r="B1319" s="22" t="inlineStr">
        <is>
          <t>05/2018</t>
        </is>
      </c>
      <c r="C1319" s="22" t="n">
        <v>63</v>
      </c>
      <c r="D1319" s="22" t="inlineStr">
        <is>
          <t>S63</t>
        </is>
      </c>
      <c r="E1319" s="22" t="inlineStr">
        <is>
          <t>Nexa Utah (S63)</t>
        </is>
      </c>
      <c r="F1319" s="22" t="inlineStr">
        <is>
          <t>Mỹ</t>
        </is>
      </c>
      <c r="G1319" s="22" t="inlineStr">
        <is>
          <t>POS</t>
        </is>
      </c>
      <c r="H1319" s="31" t="n">
        <v>31351.67</v>
      </c>
      <c r="I1319" s="31" t="n">
        <v>0</v>
      </c>
      <c r="J1319" s="31" t="n">
        <v>31351.67</v>
      </c>
      <c r="K1319" s="31" t="n">
        <v>0</v>
      </c>
      <c r="L1319" s="32" t="n">
        <v>11</v>
      </c>
      <c r="M1319" s="32" t="n">
        <v>75</v>
      </c>
      <c r="N1319" s="31" t="n">
        <v>31351.67</v>
      </c>
      <c r="O1319" s="31" t="n">
        <v>31351.67</v>
      </c>
      <c r="P1319" s="22" t="n">
        <v>0</v>
      </c>
      <c r="Q1319" s="22" t="n">
        <v>0</v>
      </c>
      <c r="R1319" s="22" t="n">
        <v>0</v>
      </c>
    </row>
    <row r="1320">
      <c r="A1320" s="22" t="n">
        <v>201805</v>
      </c>
      <c r="B1320" s="22" t="inlineStr">
        <is>
          <t>05/2018</t>
        </is>
      </c>
      <c r="C1320" s="22" t="n">
        <v>64</v>
      </c>
      <c r="D1320" s="22" t="inlineStr">
        <is>
          <t>S64</t>
        </is>
      </c>
      <c r="E1320" s="22" t="inlineStr">
        <is>
          <t>Nexa Washington DC (S64)</t>
        </is>
      </c>
      <c r="F1320" s="22" t="inlineStr">
        <is>
          <t>Mỹ</t>
        </is>
      </c>
      <c r="G1320" s="22" t="inlineStr">
        <is>
          <t>POS</t>
        </is>
      </c>
      <c r="H1320" s="31" t="n">
        <v>38271.17</v>
      </c>
      <c r="I1320" s="31" t="n">
        <v>0</v>
      </c>
      <c r="J1320" s="31" t="n">
        <v>38271.17</v>
      </c>
      <c r="K1320" s="31" t="n">
        <v>1867.88</v>
      </c>
      <c r="L1320" s="32" t="n">
        <v>11</v>
      </c>
      <c r="M1320" s="32" t="n">
        <v>95</v>
      </c>
      <c r="N1320" s="31" t="n">
        <v>36403.29</v>
      </c>
      <c r="O1320" s="31" t="n">
        <v>38271.17</v>
      </c>
      <c r="P1320" s="22" t="n">
        <v>0</v>
      </c>
      <c r="Q1320" s="22" t="n">
        <v>0</v>
      </c>
      <c r="R1320" s="22" t="n">
        <v>0</v>
      </c>
    </row>
    <row r="1321">
      <c r="A1321" s="22" t="n">
        <v>201805</v>
      </c>
      <c r="B1321" s="22" t="inlineStr">
        <is>
          <t>05/2018</t>
        </is>
      </c>
      <c r="C1321" s="22" t="n">
        <v>65</v>
      </c>
      <c r="D1321" s="22" t="inlineStr">
        <is>
          <t>S65</t>
        </is>
      </c>
      <c r="E1321" s="22" t="inlineStr">
        <is>
          <t>Nexa West Virginia (S65)</t>
        </is>
      </c>
      <c r="F1321" s="22" t="inlineStr">
        <is>
          <t>Mỹ</t>
        </is>
      </c>
      <c r="G1321" s="22" t="inlineStr">
        <is>
          <t>POS</t>
        </is>
      </c>
      <c r="H1321" s="31" t="n">
        <v>19314.88</v>
      </c>
      <c r="I1321" s="31" t="n">
        <v>0</v>
      </c>
      <c r="J1321" s="31" t="n">
        <v>19314.88</v>
      </c>
      <c r="K1321" s="31" t="n">
        <v>39.96</v>
      </c>
      <c r="L1321" s="32" t="n">
        <v>12</v>
      </c>
      <c r="M1321" s="32" t="n">
        <v>71</v>
      </c>
      <c r="N1321" s="31" t="n">
        <v>19274.92</v>
      </c>
      <c r="O1321" s="31" t="n">
        <v>19314.88</v>
      </c>
      <c r="P1321" s="22" t="n">
        <v>0</v>
      </c>
      <c r="Q1321" s="22" t="n">
        <v>0</v>
      </c>
      <c r="R1321" s="22" t="n">
        <v>0</v>
      </c>
    </row>
    <row r="1322">
      <c r="A1322" s="22" t="n">
        <v>201805</v>
      </c>
      <c r="B1322" s="22" t="inlineStr">
        <is>
          <t>05/2018</t>
        </is>
      </c>
      <c r="C1322" s="22" t="n">
        <v>66</v>
      </c>
      <c r="D1322" s="22" t="inlineStr">
        <is>
          <t>S66</t>
        </is>
      </c>
      <c r="E1322" s="22" t="inlineStr">
        <is>
          <t>Nexa Wyoming (S66)</t>
        </is>
      </c>
      <c r="F1322" s="22" t="inlineStr">
        <is>
          <t>Mỹ</t>
        </is>
      </c>
      <c r="G1322" s="22" t="inlineStr">
        <is>
          <t>POS</t>
        </is>
      </c>
      <c r="H1322" s="31" t="n">
        <v>15189.9</v>
      </c>
      <c r="I1322" s="31" t="n">
        <v>0</v>
      </c>
      <c r="J1322" s="31" t="n">
        <v>15189.9</v>
      </c>
      <c r="K1322" s="31" t="n">
        <v>25.69</v>
      </c>
      <c r="L1322" s="32" t="n">
        <v>8</v>
      </c>
      <c r="M1322" s="32" t="n">
        <v>48</v>
      </c>
      <c r="N1322" s="31" t="n">
        <v>15164.21</v>
      </c>
      <c r="O1322" s="31" t="n">
        <v>15189.9</v>
      </c>
      <c r="P1322" s="22" t="n">
        <v>0</v>
      </c>
      <c r="Q1322" s="22" t="n">
        <v>0</v>
      </c>
      <c r="R1322" s="22" t="n">
        <v>0</v>
      </c>
    </row>
    <row r="1323">
      <c r="A1323" s="22" t="n">
        <v>201806</v>
      </c>
      <c r="B1323" s="22" t="inlineStr">
        <is>
          <t>06/2018</t>
        </is>
      </c>
      <c r="C1323" s="22" t="n">
        <v>0</v>
      </c>
      <c r="D1323" s="22" t="inlineStr">
        <is>
          <t>ONL</t>
        </is>
      </c>
      <c r="E1323" s="22" t="inlineStr">
        <is>
          <t>Nexa Online (website/app)</t>
        </is>
      </c>
      <c r="F1323" s="22" t="inlineStr">
        <is>
          <t>Online</t>
        </is>
      </c>
      <c r="G1323" s="22" t="inlineStr">
        <is>
          <t>ONLINE</t>
        </is>
      </c>
      <c r="H1323" s="31" t="n">
        <v>185295.66</v>
      </c>
      <c r="I1323" s="31" t="n">
        <v>3409.26</v>
      </c>
      <c r="J1323" s="31" t="n">
        <v>181886.4</v>
      </c>
      <c r="K1323" s="31" t="n">
        <v>429.84</v>
      </c>
      <c r="L1323" s="32" t="n">
        <v>94</v>
      </c>
      <c r="M1323" s="32" t="n">
        <v>766</v>
      </c>
      <c r="N1323" s="31" t="n">
        <v>177038.03</v>
      </c>
      <c r="O1323" s="31" t="n">
        <v>177467.87</v>
      </c>
      <c r="P1323" s="22" t="n">
        <v>1</v>
      </c>
      <c r="Q1323" s="22" t="n">
        <v>0</v>
      </c>
      <c r="R1323" s="22" t="n">
        <v>0</v>
      </c>
    </row>
    <row r="1324">
      <c r="A1324" s="22" t="n">
        <v>201806</v>
      </c>
      <c r="B1324" s="22" t="inlineStr">
        <is>
          <t>06/2018</t>
        </is>
      </c>
      <c r="C1324" s="22" t="n">
        <v>1</v>
      </c>
      <c r="D1324" s="22" t="inlineStr">
        <is>
          <t>S01</t>
        </is>
      </c>
      <c r="E1324" s="22" t="inlineStr">
        <is>
          <t>Nexa Australian Capital Territory (S01)</t>
        </is>
      </c>
      <c r="F1324" s="22" t="inlineStr">
        <is>
          <t>Úc</t>
        </is>
      </c>
      <c r="G1324" s="22" t="inlineStr">
        <is>
          <t>POS</t>
        </is>
      </c>
      <c r="H1324" s="31" t="n">
        <v>1400.29</v>
      </c>
      <c r="I1324" s="31" t="n">
        <v>0</v>
      </c>
      <c r="J1324" s="31" t="n">
        <v>1400.29</v>
      </c>
      <c r="K1324" s="31" t="n">
        <v>0</v>
      </c>
      <c r="L1324" s="32" t="n">
        <v>3</v>
      </c>
      <c r="M1324" s="32" t="n">
        <v>13</v>
      </c>
      <c r="N1324" s="31" t="n">
        <v>1400.29</v>
      </c>
      <c r="O1324" s="31" t="n">
        <v>1400.29</v>
      </c>
      <c r="P1324" s="22" t="n">
        <v>0</v>
      </c>
      <c r="Q1324" s="22" t="n">
        <v>0</v>
      </c>
      <c r="R1324" s="22" t="n">
        <v>0</v>
      </c>
    </row>
    <row r="1325">
      <c r="A1325" s="22" t="n">
        <v>201806</v>
      </c>
      <c r="B1325" s="22" t="inlineStr">
        <is>
          <t>06/2018</t>
        </is>
      </c>
      <c r="C1325" s="22" t="n">
        <v>4</v>
      </c>
      <c r="D1325" s="22" t="inlineStr">
        <is>
          <t>S04</t>
        </is>
      </c>
      <c r="E1325" s="22" t="inlineStr">
        <is>
          <t>Nexa Tasmania (S04)</t>
        </is>
      </c>
      <c r="F1325" s="22" t="inlineStr">
        <is>
          <t>Úc</t>
        </is>
      </c>
      <c r="G1325" s="22" t="inlineStr">
        <is>
          <t>POS</t>
        </is>
      </c>
      <c r="H1325" s="31" t="n">
        <v>3800.79</v>
      </c>
      <c r="I1325" s="31" t="n">
        <v>0</v>
      </c>
      <c r="J1325" s="31" t="n">
        <v>3800.79</v>
      </c>
      <c r="K1325" s="31" t="n">
        <v>906.76</v>
      </c>
      <c r="L1325" s="32" t="n">
        <v>5</v>
      </c>
      <c r="M1325" s="32" t="n">
        <v>24</v>
      </c>
      <c r="N1325" s="31" t="n">
        <v>2894.03</v>
      </c>
      <c r="O1325" s="31" t="n">
        <v>3800.79</v>
      </c>
      <c r="P1325" s="22" t="n">
        <v>1</v>
      </c>
      <c r="Q1325" s="22" t="n">
        <v>0</v>
      </c>
      <c r="R1325" s="22" t="n">
        <v>0</v>
      </c>
    </row>
    <row r="1326">
      <c r="A1326" s="22" t="n">
        <v>201806</v>
      </c>
      <c r="B1326" s="22" t="inlineStr">
        <is>
          <t>06/2018</t>
        </is>
      </c>
      <c r="C1326" s="22" t="n">
        <v>5</v>
      </c>
      <c r="D1326" s="22" t="inlineStr">
        <is>
          <t>S05</t>
        </is>
      </c>
      <c r="E1326" s="22" t="inlineStr">
        <is>
          <t>Nexa Victoria (S05)</t>
        </is>
      </c>
      <c r="F1326" s="22" t="inlineStr">
        <is>
          <t>Úc</t>
        </is>
      </c>
      <c r="G1326" s="22" t="inlineStr">
        <is>
          <t>POS</t>
        </is>
      </c>
      <c r="H1326" s="31" t="n">
        <v>11434.18</v>
      </c>
      <c r="I1326" s="31" t="n">
        <v>0</v>
      </c>
      <c r="J1326" s="31" t="n">
        <v>11434.18</v>
      </c>
      <c r="K1326" s="31" t="n">
        <v>995</v>
      </c>
      <c r="L1326" s="32" t="n">
        <v>7</v>
      </c>
      <c r="M1326" s="32" t="n">
        <v>53</v>
      </c>
      <c r="N1326" s="31" t="n">
        <v>10439.18</v>
      </c>
      <c r="O1326" s="31" t="n">
        <v>11434.18</v>
      </c>
      <c r="P1326" s="22" t="n">
        <v>0</v>
      </c>
      <c r="Q1326" s="22" t="n">
        <v>0</v>
      </c>
      <c r="R1326" s="22" t="n">
        <v>1</v>
      </c>
    </row>
    <row r="1327">
      <c r="A1327" s="22" t="n">
        <v>201806</v>
      </c>
      <c r="B1327" s="22" t="inlineStr">
        <is>
          <t>06/2018</t>
        </is>
      </c>
      <c r="C1327" s="22" t="n">
        <v>6</v>
      </c>
      <c r="D1327" s="22" t="inlineStr">
        <is>
          <t>S06</t>
        </is>
      </c>
      <c r="E1327" s="22" t="inlineStr">
        <is>
          <t>Nexa Western Australia (S06)</t>
        </is>
      </c>
      <c r="F1327" s="22" t="inlineStr">
        <is>
          <t>Úc</t>
        </is>
      </c>
      <c r="G1327" s="22" t="inlineStr">
        <is>
          <t>POS</t>
        </is>
      </c>
      <c r="H1327" s="31" t="n">
        <v>3268.95</v>
      </c>
      <c r="I1327" s="31" t="n">
        <v>0</v>
      </c>
      <c r="J1327" s="31" t="n">
        <v>3268.95</v>
      </c>
      <c r="K1327" s="31" t="n">
        <v>0</v>
      </c>
      <c r="L1327" s="32" t="n">
        <v>3</v>
      </c>
      <c r="M1327" s="32" t="n">
        <v>12</v>
      </c>
      <c r="N1327" s="31" t="n">
        <v>3268.95</v>
      </c>
      <c r="O1327" s="31" t="n">
        <v>3268.95</v>
      </c>
      <c r="P1327" s="22" t="n">
        <v>0</v>
      </c>
      <c r="Q1327" s="22" t="n">
        <v>0</v>
      </c>
      <c r="R1327" s="22" t="n">
        <v>0</v>
      </c>
    </row>
    <row r="1328">
      <c r="A1328" s="22" t="n">
        <v>201806</v>
      </c>
      <c r="B1328" s="22" t="inlineStr">
        <is>
          <t>06/2018</t>
        </is>
      </c>
      <c r="C1328" s="22" t="n">
        <v>8</v>
      </c>
      <c r="D1328" s="22" t="inlineStr">
        <is>
          <t>S08</t>
        </is>
      </c>
      <c r="E1328" s="22" t="inlineStr">
        <is>
          <t>Nexa Newfoundland and Labrador (S08)</t>
        </is>
      </c>
      <c r="F1328" s="22" t="inlineStr">
        <is>
          <t>Canada</t>
        </is>
      </c>
      <c r="G1328" s="22" t="inlineStr">
        <is>
          <t>POS</t>
        </is>
      </c>
      <c r="H1328" s="31" t="n">
        <v>13300.45</v>
      </c>
      <c r="I1328" s="31" t="n">
        <v>0</v>
      </c>
      <c r="J1328" s="31" t="n">
        <v>13300.45</v>
      </c>
      <c r="K1328" s="31" t="n">
        <v>0</v>
      </c>
      <c r="L1328" s="32" t="n">
        <v>13</v>
      </c>
      <c r="M1328" s="32" t="n">
        <v>84</v>
      </c>
      <c r="N1328" s="31" t="n">
        <v>13300.45</v>
      </c>
      <c r="O1328" s="31" t="n">
        <v>13300.45</v>
      </c>
      <c r="P1328" s="22" t="n">
        <v>0</v>
      </c>
      <c r="Q1328" s="22" t="n">
        <v>0</v>
      </c>
      <c r="R1328" s="22" t="n">
        <v>0</v>
      </c>
    </row>
    <row r="1329">
      <c r="A1329" s="22" t="n">
        <v>201806</v>
      </c>
      <c r="B1329" s="22" t="inlineStr">
        <is>
          <t>06/2018</t>
        </is>
      </c>
      <c r="C1329" s="22" t="n">
        <v>9</v>
      </c>
      <c r="D1329" s="22" t="inlineStr">
        <is>
          <t>S09</t>
        </is>
      </c>
      <c r="E1329" s="22" t="inlineStr">
        <is>
          <t>Nexa Northwest Territories (S09)</t>
        </is>
      </c>
      <c r="F1329" s="22" t="inlineStr">
        <is>
          <t>Canada</t>
        </is>
      </c>
      <c r="G1329" s="22" t="inlineStr">
        <is>
          <t>POS</t>
        </is>
      </c>
      <c r="H1329" s="31" t="n">
        <v>12275.3</v>
      </c>
      <c r="I1329" s="31" t="n">
        <v>0</v>
      </c>
      <c r="J1329" s="31" t="n">
        <v>12275.3</v>
      </c>
      <c r="K1329" s="31" t="n">
        <v>0</v>
      </c>
      <c r="L1329" s="32" t="n">
        <v>8</v>
      </c>
      <c r="M1329" s="32" t="n">
        <v>48</v>
      </c>
      <c r="N1329" s="31" t="n">
        <v>12275.3</v>
      </c>
      <c r="O1329" s="31" t="n">
        <v>12275.3</v>
      </c>
      <c r="P1329" s="22" t="n">
        <v>0</v>
      </c>
      <c r="Q1329" s="22" t="n">
        <v>0</v>
      </c>
      <c r="R1329" s="22" t="n">
        <v>0</v>
      </c>
    </row>
    <row r="1330">
      <c r="A1330" s="22" t="n">
        <v>201806</v>
      </c>
      <c r="B1330" s="22" t="inlineStr">
        <is>
          <t>06/2018</t>
        </is>
      </c>
      <c r="C1330" s="22" t="n">
        <v>10</v>
      </c>
      <c r="D1330" s="22" t="inlineStr">
        <is>
          <t>S10</t>
        </is>
      </c>
      <c r="E1330" s="22" t="inlineStr">
        <is>
          <t>Nexa Nunavut (S10)</t>
        </is>
      </c>
      <c r="F1330" s="22" t="inlineStr">
        <is>
          <t>Canada</t>
        </is>
      </c>
      <c r="G1330" s="22" t="inlineStr">
        <is>
          <t>POS</t>
        </is>
      </c>
      <c r="H1330" s="31" t="n">
        <v>27739.77</v>
      </c>
      <c r="I1330" s="31" t="n">
        <v>0</v>
      </c>
      <c r="J1330" s="31" t="n">
        <v>27739.77</v>
      </c>
      <c r="K1330" s="31" t="n">
        <v>479.5</v>
      </c>
      <c r="L1330" s="32" t="n">
        <v>10</v>
      </c>
      <c r="M1330" s="32" t="n">
        <v>76</v>
      </c>
      <c r="N1330" s="31" t="n">
        <v>27260.27</v>
      </c>
      <c r="O1330" s="31" t="n">
        <v>27739.77</v>
      </c>
      <c r="P1330" s="22" t="n">
        <v>0</v>
      </c>
      <c r="Q1330" s="22" t="n">
        <v>0</v>
      </c>
      <c r="R1330" s="22" t="n">
        <v>0</v>
      </c>
    </row>
    <row r="1331">
      <c r="A1331" s="22" t="n">
        <v>201806</v>
      </c>
      <c r="B1331" s="22" t="inlineStr">
        <is>
          <t>06/2018</t>
        </is>
      </c>
      <c r="C1331" s="22" t="n">
        <v>12</v>
      </c>
      <c r="D1331" s="22" t="inlineStr">
        <is>
          <t>S12</t>
        </is>
      </c>
      <c r="E1331" s="22" t="inlineStr">
        <is>
          <t>Nexa Basse-Normandie (S12)</t>
        </is>
      </c>
      <c r="F1331" s="22" t="inlineStr">
        <is>
          <t>Pháp</t>
        </is>
      </c>
      <c r="G1331" s="22" t="inlineStr">
        <is>
          <t>POS</t>
        </is>
      </c>
      <c r="H1331" s="31" t="n">
        <v>9774.67</v>
      </c>
      <c r="I1331" s="31" t="n">
        <v>0</v>
      </c>
      <c r="J1331" s="31" t="n">
        <v>9774.67</v>
      </c>
      <c r="K1331" s="31" t="n">
        <v>0</v>
      </c>
      <c r="L1331" s="32" t="n">
        <v>3</v>
      </c>
      <c r="M1331" s="32" t="n">
        <v>24</v>
      </c>
      <c r="N1331" s="31" t="n">
        <v>9774.67</v>
      </c>
      <c r="O1331" s="31" t="n">
        <v>9774.67</v>
      </c>
      <c r="P1331" s="22" t="n">
        <v>0</v>
      </c>
      <c r="Q1331" s="22" t="n">
        <v>0</v>
      </c>
      <c r="R1331" s="22" t="n">
        <v>0</v>
      </c>
    </row>
    <row r="1332">
      <c r="A1332" s="22" t="n">
        <v>201806</v>
      </c>
      <c r="B1332" s="22" t="inlineStr">
        <is>
          <t>06/2018</t>
        </is>
      </c>
      <c r="C1332" s="22" t="n">
        <v>13</v>
      </c>
      <c r="D1332" s="22" t="inlineStr">
        <is>
          <t>S13</t>
        </is>
      </c>
      <c r="E1332" s="22" t="inlineStr">
        <is>
          <t>Nexa Corse (S13)</t>
        </is>
      </c>
      <c r="F1332" s="22" t="inlineStr">
        <is>
          <t>Pháp</t>
        </is>
      </c>
      <c r="G1332" s="22" t="inlineStr">
        <is>
          <t>POS</t>
        </is>
      </c>
      <c r="H1332" s="31" t="n">
        <v>1523.99</v>
      </c>
      <c r="I1332" s="31" t="n">
        <v>0</v>
      </c>
      <c r="J1332" s="31" t="n">
        <v>1523.99</v>
      </c>
      <c r="K1332" s="31" t="n">
        <v>0</v>
      </c>
      <c r="L1332" s="32" t="n">
        <v>1</v>
      </c>
      <c r="M1332" s="32" t="n">
        <v>9</v>
      </c>
      <c r="N1332" s="31" t="n">
        <v>1523.99</v>
      </c>
      <c r="O1332" s="31" t="n">
        <v>1523.99</v>
      </c>
      <c r="P1332" s="22" t="n">
        <v>0</v>
      </c>
      <c r="Q1332" s="22" t="n">
        <v>0</v>
      </c>
      <c r="R1332" s="22" t="n">
        <v>0</v>
      </c>
    </row>
    <row r="1333">
      <c r="A1333" s="22" t="n">
        <v>201806</v>
      </c>
      <c r="B1333" s="22" t="inlineStr">
        <is>
          <t>06/2018</t>
        </is>
      </c>
      <c r="C1333" s="22" t="n">
        <v>14</v>
      </c>
      <c r="D1333" s="22" t="inlineStr">
        <is>
          <t>S14</t>
        </is>
      </c>
      <c r="E1333" s="22" t="inlineStr">
        <is>
          <t>Nexa Franche-Comté (S14)</t>
        </is>
      </c>
      <c r="F1333" s="22" t="inlineStr">
        <is>
          <t>Pháp</t>
        </is>
      </c>
      <c r="G1333" s="22" t="inlineStr">
        <is>
          <t>POS</t>
        </is>
      </c>
      <c r="H1333" s="31" t="n">
        <v>0</v>
      </c>
      <c r="I1333" s="31" t="n">
        <v>0</v>
      </c>
      <c r="J1333" s="31" t="n">
        <v>0</v>
      </c>
      <c r="K1333" s="31" t="n">
        <v>876</v>
      </c>
      <c r="L1333" s="32" t="n">
        <v>0</v>
      </c>
      <c r="M1333" s="32" t="n">
        <v>0</v>
      </c>
      <c r="N1333" s="31" t="n">
        <v>-876</v>
      </c>
      <c r="O1333" s="31" t="n">
        <v>0</v>
      </c>
      <c r="P1333" s="22" t="n">
        <v>0</v>
      </c>
      <c r="Q1333" s="22" t="n">
        <v>0</v>
      </c>
      <c r="R1333" s="22" t="n">
        <v>0</v>
      </c>
    </row>
    <row r="1334">
      <c r="A1334" s="22" t="n">
        <v>201806</v>
      </c>
      <c r="B1334" s="22" t="inlineStr">
        <is>
          <t>06/2018</t>
        </is>
      </c>
      <c r="C1334" s="22" t="n">
        <v>15</v>
      </c>
      <c r="D1334" s="22" t="inlineStr">
        <is>
          <t>S15</t>
        </is>
      </c>
      <c r="E1334" s="22" t="inlineStr">
        <is>
          <t>Nexa La Réunion (S15)</t>
        </is>
      </c>
      <c r="F1334" s="22" t="inlineStr">
        <is>
          <t>Pháp</t>
        </is>
      </c>
      <c r="G1334" s="22" t="inlineStr">
        <is>
          <t>POS</t>
        </is>
      </c>
      <c r="H1334" s="31" t="n">
        <v>1849.91</v>
      </c>
      <c r="I1334" s="31" t="n">
        <v>0</v>
      </c>
      <c r="J1334" s="31" t="n">
        <v>1849.91</v>
      </c>
      <c r="K1334" s="31" t="n">
        <v>0</v>
      </c>
      <c r="L1334" s="32" t="n">
        <v>2</v>
      </c>
      <c r="M1334" s="32" t="n">
        <v>10</v>
      </c>
      <c r="N1334" s="31" t="n">
        <v>1849.91</v>
      </c>
      <c r="O1334" s="31" t="n">
        <v>1849.91</v>
      </c>
      <c r="P1334" s="22" t="n">
        <v>0</v>
      </c>
      <c r="Q1334" s="22" t="n">
        <v>0</v>
      </c>
      <c r="R1334" s="22" t="n">
        <v>1</v>
      </c>
    </row>
    <row r="1335">
      <c r="A1335" s="22" t="n">
        <v>201806</v>
      </c>
      <c r="B1335" s="22" t="inlineStr">
        <is>
          <t>06/2018</t>
        </is>
      </c>
      <c r="C1335" s="22" t="n">
        <v>16</v>
      </c>
      <c r="D1335" s="22" t="inlineStr">
        <is>
          <t>S16</t>
        </is>
      </c>
      <c r="E1335" s="22" t="inlineStr">
        <is>
          <t>Nexa Limousin (S16)</t>
        </is>
      </c>
      <c r="F1335" s="22" t="inlineStr">
        <is>
          <t>Pháp</t>
        </is>
      </c>
      <c r="G1335" s="22" t="inlineStr">
        <is>
          <t>POS</t>
        </is>
      </c>
      <c r="H1335" s="31" t="n">
        <v>1609.3</v>
      </c>
      <c r="I1335" s="31" t="n">
        <v>0</v>
      </c>
      <c r="J1335" s="31" t="n">
        <v>1609.3</v>
      </c>
      <c r="K1335" s="31" t="n">
        <v>0</v>
      </c>
      <c r="L1335" s="32" t="n">
        <v>1</v>
      </c>
      <c r="M1335" s="32" t="n">
        <v>7</v>
      </c>
      <c r="N1335" s="31" t="n">
        <v>1609.3</v>
      </c>
      <c r="O1335" s="31" t="n">
        <v>1609.3</v>
      </c>
      <c r="P1335" s="22" t="n">
        <v>0</v>
      </c>
      <c r="Q1335" s="22" t="n">
        <v>0</v>
      </c>
      <c r="R1335" s="22" t="n">
        <v>0</v>
      </c>
    </row>
    <row r="1336">
      <c r="A1336" s="22" t="n">
        <v>201806</v>
      </c>
      <c r="B1336" s="22" t="inlineStr">
        <is>
          <t>06/2018</t>
        </is>
      </c>
      <c r="C1336" s="22" t="n">
        <v>17</v>
      </c>
      <c r="D1336" s="22" t="inlineStr">
        <is>
          <t>S17</t>
        </is>
      </c>
      <c r="E1336" s="22" t="inlineStr">
        <is>
          <t>Nexa Martinique (S17)</t>
        </is>
      </c>
      <c r="F1336" s="22" t="inlineStr">
        <is>
          <t>Pháp</t>
        </is>
      </c>
      <c r="G1336" s="22" t="inlineStr">
        <is>
          <t>POS</t>
        </is>
      </c>
      <c r="H1336" s="31" t="n">
        <v>4543.18</v>
      </c>
      <c r="I1336" s="31" t="n">
        <v>0</v>
      </c>
      <c r="J1336" s="31" t="n">
        <v>4543.18</v>
      </c>
      <c r="K1336" s="31" t="n">
        <v>0</v>
      </c>
      <c r="L1336" s="32" t="n">
        <v>2</v>
      </c>
      <c r="M1336" s="32" t="n">
        <v>23</v>
      </c>
      <c r="N1336" s="31" t="n">
        <v>4543.18</v>
      </c>
      <c r="O1336" s="31" t="n">
        <v>4543.18</v>
      </c>
      <c r="P1336" s="22" t="n">
        <v>0</v>
      </c>
      <c r="Q1336" s="22" t="n">
        <v>0</v>
      </c>
      <c r="R1336" s="22" t="n">
        <v>0</v>
      </c>
    </row>
    <row r="1337">
      <c r="A1337" s="22" t="n">
        <v>201806</v>
      </c>
      <c r="B1337" s="22" t="inlineStr">
        <is>
          <t>06/2018</t>
        </is>
      </c>
      <c r="C1337" s="22" t="n">
        <v>19</v>
      </c>
      <c r="D1337" s="22" t="inlineStr">
        <is>
          <t>S19</t>
        </is>
      </c>
      <c r="E1337" s="22" t="inlineStr">
        <is>
          <t>Nexa Berlin (S19)</t>
        </is>
      </c>
      <c r="F1337" s="22" t="inlineStr">
        <is>
          <t>Đức</t>
        </is>
      </c>
      <c r="G1337" s="22" t="inlineStr">
        <is>
          <t>POS</t>
        </is>
      </c>
      <c r="H1337" s="31" t="n">
        <v>10933.9</v>
      </c>
      <c r="I1337" s="31" t="n">
        <v>0</v>
      </c>
      <c r="J1337" s="31" t="n">
        <v>10933.9</v>
      </c>
      <c r="K1337" s="31" t="n">
        <v>269.9</v>
      </c>
      <c r="L1337" s="32" t="n">
        <v>8</v>
      </c>
      <c r="M1337" s="32" t="n">
        <v>48</v>
      </c>
      <c r="N1337" s="31" t="n">
        <v>10664</v>
      </c>
      <c r="O1337" s="31" t="n">
        <v>10933.9</v>
      </c>
      <c r="P1337" s="22" t="n">
        <v>0</v>
      </c>
      <c r="Q1337" s="22" t="n">
        <v>0</v>
      </c>
      <c r="R1337" s="22" t="n">
        <v>1</v>
      </c>
    </row>
    <row r="1338">
      <c r="A1338" s="22" t="n">
        <v>201806</v>
      </c>
      <c r="B1338" s="22" t="inlineStr">
        <is>
          <t>06/2018</t>
        </is>
      </c>
      <c r="C1338" s="22" t="n">
        <v>20</v>
      </c>
      <c r="D1338" s="22" t="inlineStr">
        <is>
          <t>S20</t>
        </is>
      </c>
      <c r="E1338" s="22" t="inlineStr">
        <is>
          <t>Nexa Brandenburg (S20)</t>
        </is>
      </c>
      <c r="F1338" s="22" t="inlineStr">
        <is>
          <t>Đức</t>
        </is>
      </c>
      <c r="G1338" s="22" t="inlineStr">
        <is>
          <t>POS</t>
        </is>
      </c>
      <c r="H1338" s="31" t="n">
        <v>9914.389999999999</v>
      </c>
      <c r="I1338" s="31" t="n">
        <v>0</v>
      </c>
      <c r="J1338" s="31" t="n">
        <v>9914.389999999999</v>
      </c>
      <c r="K1338" s="31" t="n">
        <v>459</v>
      </c>
      <c r="L1338" s="32" t="n">
        <v>7</v>
      </c>
      <c r="M1338" s="32" t="n">
        <v>60</v>
      </c>
      <c r="N1338" s="31" t="n">
        <v>9455.389999999999</v>
      </c>
      <c r="O1338" s="31" t="n">
        <v>9914.389999999999</v>
      </c>
      <c r="P1338" s="22" t="n">
        <v>0</v>
      </c>
      <c r="Q1338" s="22" t="n">
        <v>0</v>
      </c>
      <c r="R1338" s="22" t="n">
        <v>0</v>
      </c>
    </row>
    <row r="1339">
      <c r="A1339" s="22" t="n">
        <v>201806</v>
      </c>
      <c r="B1339" s="22" t="inlineStr">
        <is>
          <t>06/2018</t>
        </is>
      </c>
      <c r="C1339" s="22" t="n">
        <v>21</v>
      </c>
      <c r="D1339" s="22" t="inlineStr">
        <is>
          <t>S21</t>
        </is>
      </c>
      <c r="E1339" s="22" t="inlineStr">
        <is>
          <t>Nexa Freie Hansestadt Bremen (S21)</t>
        </is>
      </c>
      <c r="F1339" s="22" t="inlineStr">
        <is>
          <t>Đức</t>
        </is>
      </c>
      <c r="G1339" s="22" t="inlineStr">
        <is>
          <t>POS</t>
        </is>
      </c>
      <c r="H1339" s="31" t="n">
        <v>8337.5</v>
      </c>
      <c r="I1339" s="31" t="n">
        <v>0</v>
      </c>
      <c r="J1339" s="31" t="n">
        <v>8337.5</v>
      </c>
      <c r="K1339" s="31" t="n">
        <v>2634</v>
      </c>
      <c r="L1339" s="32" t="n">
        <v>4</v>
      </c>
      <c r="M1339" s="32" t="n">
        <v>24</v>
      </c>
      <c r="N1339" s="31" t="n">
        <v>5703.5</v>
      </c>
      <c r="O1339" s="31" t="n">
        <v>8337.5</v>
      </c>
      <c r="P1339" s="22" t="n">
        <v>0</v>
      </c>
      <c r="Q1339" s="22" t="n">
        <v>0</v>
      </c>
      <c r="R1339" s="22" t="n">
        <v>0</v>
      </c>
    </row>
    <row r="1340">
      <c r="A1340" s="22" t="n">
        <v>201806</v>
      </c>
      <c r="B1340" s="22" t="inlineStr">
        <is>
          <t>06/2018</t>
        </is>
      </c>
      <c r="C1340" s="22" t="n">
        <v>22</v>
      </c>
      <c r="D1340" s="22" t="inlineStr">
        <is>
          <t>S22</t>
        </is>
      </c>
      <c r="E1340" s="22" t="inlineStr">
        <is>
          <t>Nexa Freistaat Thüringen (S22)</t>
        </is>
      </c>
      <c r="F1340" s="22" t="inlineStr">
        <is>
          <t>Đức</t>
        </is>
      </c>
      <c r="G1340" s="22" t="inlineStr">
        <is>
          <t>POS</t>
        </is>
      </c>
      <c r="H1340" s="31" t="n">
        <v>15219.57</v>
      </c>
      <c r="I1340" s="31" t="n">
        <v>0</v>
      </c>
      <c r="J1340" s="31" t="n">
        <v>15219.57</v>
      </c>
      <c r="K1340" s="31" t="n">
        <v>0</v>
      </c>
      <c r="L1340" s="32" t="n">
        <v>5</v>
      </c>
      <c r="M1340" s="32" t="n">
        <v>55</v>
      </c>
      <c r="N1340" s="31" t="n">
        <v>15219.57</v>
      </c>
      <c r="O1340" s="31" t="n">
        <v>15219.57</v>
      </c>
      <c r="P1340" s="22" t="n">
        <v>0</v>
      </c>
      <c r="Q1340" s="22" t="n">
        <v>0</v>
      </c>
      <c r="R1340" s="22" t="n">
        <v>0</v>
      </c>
    </row>
    <row r="1341">
      <c r="A1341" s="22" t="n">
        <v>201806</v>
      </c>
      <c r="B1341" s="22" t="inlineStr">
        <is>
          <t>06/2018</t>
        </is>
      </c>
      <c r="C1341" s="22" t="n">
        <v>23</v>
      </c>
      <c r="D1341" s="22" t="inlineStr">
        <is>
          <t>S23</t>
        </is>
      </c>
      <c r="E1341" s="22" t="inlineStr">
        <is>
          <t>Nexa Hamburg (S23)</t>
        </is>
      </c>
      <c r="F1341" s="22" t="inlineStr">
        <is>
          <t>Đức</t>
        </is>
      </c>
      <c r="G1341" s="22" t="inlineStr">
        <is>
          <t>POS</t>
        </is>
      </c>
      <c r="H1341" s="31" t="n">
        <v>5077.96</v>
      </c>
      <c r="I1341" s="31" t="n">
        <v>0</v>
      </c>
      <c r="J1341" s="31" t="n">
        <v>5077.96</v>
      </c>
      <c r="K1341" s="31" t="n">
        <v>35.98</v>
      </c>
      <c r="L1341" s="32" t="n">
        <v>1</v>
      </c>
      <c r="M1341" s="32" t="n">
        <v>10</v>
      </c>
      <c r="N1341" s="31" t="n">
        <v>5041.98</v>
      </c>
      <c r="O1341" s="31" t="n">
        <v>5077.96</v>
      </c>
      <c r="P1341" s="22" t="n">
        <v>0</v>
      </c>
      <c r="Q1341" s="22" t="n">
        <v>0</v>
      </c>
      <c r="R1341" s="22" t="n">
        <v>0</v>
      </c>
    </row>
    <row r="1342">
      <c r="A1342" s="22" t="n">
        <v>201806</v>
      </c>
      <c r="B1342" s="22" t="inlineStr">
        <is>
          <t>06/2018</t>
        </is>
      </c>
      <c r="C1342" s="22" t="n">
        <v>24</v>
      </c>
      <c r="D1342" s="22" t="inlineStr">
        <is>
          <t>S24</t>
        </is>
      </c>
      <c r="E1342" s="22" t="inlineStr">
        <is>
          <t>Nexa Hessen (S24)</t>
        </is>
      </c>
      <c r="F1342" s="22" t="inlineStr">
        <is>
          <t>Đức</t>
        </is>
      </c>
      <c r="G1342" s="22" t="inlineStr">
        <is>
          <t>POS</t>
        </is>
      </c>
      <c r="H1342" s="31" t="n">
        <v>1691.85</v>
      </c>
      <c r="I1342" s="31" t="n">
        <v>0</v>
      </c>
      <c r="J1342" s="31" t="n">
        <v>1691.85</v>
      </c>
      <c r="K1342" s="31" t="n">
        <v>363.98</v>
      </c>
      <c r="L1342" s="32" t="n">
        <v>3</v>
      </c>
      <c r="M1342" s="32" t="n">
        <v>11</v>
      </c>
      <c r="N1342" s="31" t="n">
        <v>1327.87</v>
      </c>
      <c r="O1342" s="31" t="n">
        <v>1691.85</v>
      </c>
      <c r="P1342" s="22" t="n">
        <v>1</v>
      </c>
      <c r="Q1342" s="22" t="n">
        <v>0</v>
      </c>
      <c r="R1342" s="22" t="n">
        <v>0</v>
      </c>
    </row>
    <row r="1343">
      <c r="A1343" s="22" t="n">
        <v>201806</v>
      </c>
      <c r="B1343" s="22" t="inlineStr">
        <is>
          <t>06/2018</t>
        </is>
      </c>
      <c r="C1343" s="22" t="n">
        <v>27</v>
      </c>
      <c r="D1343" s="22" t="inlineStr">
        <is>
          <t>S27</t>
        </is>
      </c>
      <c r="E1343" s="22" t="inlineStr">
        <is>
          <t>Nexa Sachsen-Anhalt (S27)</t>
        </is>
      </c>
      <c r="F1343" s="22" t="inlineStr">
        <is>
          <t>Đức</t>
        </is>
      </c>
      <c r="G1343" s="22" t="inlineStr">
        <is>
          <t>POS</t>
        </is>
      </c>
      <c r="H1343" s="31" t="n">
        <v>10137.65</v>
      </c>
      <c r="I1343" s="31" t="n">
        <v>0</v>
      </c>
      <c r="J1343" s="31" t="n">
        <v>10137.65</v>
      </c>
      <c r="K1343" s="31" t="n">
        <v>0</v>
      </c>
      <c r="L1343" s="32" t="n">
        <v>4</v>
      </c>
      <c r="M1343" s="32" t="n">
        <v>26</v>
      </c>
      <c r="N1343" s="31" t="n">
        <v>10137.65</v>
      </c>
      <c r="O1343" s="31" t="n">
        <v>10137.65</v>
      </c>
      <c r="P1343" s="22" t="n">
        <v>0</v>
      </c>
      <c r="Q1343" s="22" t="n">
        <v>0</v>
      </c>
      <c r="R1343" s="22" t="n">
        <v>0</v>
      </c>
    </row>
    <row r="1344">
      <c r="A1344" s="22" t="n">
        <v>201806</v>
      </c>
      <c r="B1344" s="22" t="inlineStr">
        <is>
          <t>06/2018</t>
        </is>
      </c>
      <c r="C1344" s="22" t="n">
        <v>29</v>
      </c>
      <c r="D1344" s="22" t="inlineStr">
        <is>
          <t>S29</t>
        </is>
      </c>
      <c r="E1344" s="22" t="inlineStr">
        <is>
          <t>Nexa Enna (S29)</t>
        </is>
      </c>
      <c r="F1344" s="22" t="inlineStr">
        <is>
          <t>Ý</t>
        </is>
      </c>
      <c r="G1344" s="22" t="inlineStr">
        <is>
          <t>POS</t>
        </is>
      </c>
      <c r="H1344" s="31" t="n">
        <v>37053.72</v>
      </c>
      <c r="I1344" s="31" t="n">
        <v>0</v>
      </c>
      <c r="J1344" s="31" t="n">
        <v>37053.72</v>
      </c>
      <c r="K1344" s="31" t="n">
        <v>0</v>
      </c>
      <c r="L1344" s="32" t="n">
        <v>10</v>
      </c>
      <c r="M1344" s="32" t="n">
        <v>87</v>
      </c>
      <c r="N1344" s="31" t="n">
        <v>37053.72</v>
      </c>
      <c r="O1344" s="31" t="n">
        <v>37053.72</v>
      </c>
      <c r="P1344" s="22" t="n">
        <v>0</v>
      </c>
      <c r="Q1344" s="22" t="n">
        <v>0</v>
      </c>
      <c r="R1344" s="22" t="n">
        <v>0</v>
      </c>
    </row>
    <row r="1345">
      <c r="A1345" s="22" t="n">
        <v>201806</v>
      </c>
      <c r="B1345" s="22" t="inlineStr">
        <is>
          <t>06/2018</t>
        </is>
      </c>
      <c r="C1345" s="22" t="n">
        <v>30</v>
      </c>
      <c r="D1345" s="22" t="inlineStr">
        <is>
          <t>S30</t>
        </is>
      </c>
      <c r="E1345" s="22" t="inlineStr">
        <is>
          <t>Nexa Pesaro (S30)</t>
        </is>
      </c>
      <c r="F1345" s="22" t="inlineStr">
        <is>
          <t>Ý</t>
        </is>
      </c>
      <c r="G1345" s="22" t="inlineStr">
        <is>
          <t>POS</t>
        </is>
      </c>
      <c r="H1345" s="31" t="n">
        <v>72316.03</v>
      </c>
      <c r="I1345" s="31" t="n">
        <v>0</v>
      </c>
      <c r="J1345" s="31" t="n">
        <v>72316.03</v>
      </c>
      <c r="K1345" s="31" t="n">
        <v>199.95</v>
      </c>
      <c r="L1345" s="32" t="n">
        <v>14</v>
      </c>
      <c r="M1345" s="32" t="n">
        <v>107</v>
      </c>
      <c r="N1345" s="31" t="n">
        <v>72116.08</v>
      </c>
      <c r="O1345" s="31" t="n">
        <v>72316.03</v>
      </c>
      <c r="P1345" s="22" t="n">
        <v>0</v>
      </c>
      <c r="Q1345" s="22" t="n">
        <v>0</v>
      </c>
      <c r="R1345" s="22" t="n">
        <v>0</v>
      </c>
    </row>
    <row r="1346">
      <c r="A1346" s="22" t="n">
        <v>201806</v>
      </c>
      <c r="B1346" s="22" t="inlineStr">
        <is>
          <t>06/2018</t>
        </is>
      </c>
      <c r="C1346" s="22" t="n">
        <v>31</v>
      </c>
      <c r="D1346" s="22" t="inlineStr">
        <is>
          <t>S31</t>
        </is>
      </c>
      <c r="E1346" s="22" t="inlineStr">
        <is>
          <t>Nexa Drenthe (S31)</t>
        </is>
      </c>
      <c r="F1346" s="22" t="inlineStr">
        <is>
          <t>Hà Lan</t>
        </is>
      </c>
      <c r="G1346" s="22" t="inlineStr">
        <is>
          <t>POS</t>
        </is>
      </c>
      <c r="H1346" s="31" t="n">
        <v>6765.54</v>
      </c>
      <c r="I1346" s="31" t="n">
        <v>0</v>
      </c>
      <c r="J1346" s="31" t="n">
        <v>6765.54</v>
      </c>
      <c r="K1346" s="31" t="n">
        <v>0</v>
      </c>
      <c r="L1346" s="32" t="n">
        <v>3</v>
      </c>
      <c r="M1346" s="32" t="n">
        <v>29</v>
      </c>
      <c r="N1346" s="31" t="n">
        <v>6765.54</v>
      </c>
      <c r="O1346" s="31" t="n">
        <v>6765.54</v>
      </c>
      <c r="P1346" s="22" t="n">
        <v>0</v>
      </c>
      <c r="Q1346" s="22" t="n">
        <v>0</v>
      </c>
      <c r="R1346" s="22" t="n">
        <v>0</v>
      </c>
    </row>
    <row r="1347">
      <c r="A1347" s="22" t="n">
        <v>201806</v>
      </c>
      <c r="B1347" s="22" t="inlineStr">
        <is>
          <t>06/2018</t>
        </is>
      </c>
      <c r="C1347" s="22" t="n">
        <v>32</v>
      </c>
      <c r="D1347" s="22" t="inlineStr">
        <is>
          <t>S32</t>
        </is>
      </c>
      <c r="E1347" s="22" t="inlineStr">
        <is>
          <t>Nexa Flevoland (S32)</t>
        </is>
      </c>
      <c r="F1347" s="22" t="inlineStr">
        <is>
          <t>Hà Lan</t>
        </is>
      </c>
      <c r="G1347" s="22" t="inlineStr">
        <is>
          <t>POS</t>
        </is>
      </c>
      <c r="H1347" s="31" t="n">
        <v>1975.97</v>
      </c>
      <c r="I1347" s="31" t="n">
        <v>0</v>
      </c>
      <c r="J1347" s="31" t="n">
        <v>1975.97</v>
      </c>
      <c r="K1347" s="31" t="n">
        <v>0</v>
      </c>
      <c r="L1347" s="32" t="n">
        <v>2</v>
      </c>
      <c r="M1347" s="32" t="n">
        <v>14</v>
      </c>
      <c r="N1347" s="31" t="n">
        <v>1975.97</v>
      </c>
      <c r="O1347" s="31" t="n">
        <v>1975.97</v>
      </c>
      <c r="P1347" s="22" t="n">
        <v>0</v>
      </c>
      <c r="Q1347" s="22" t="n">
        <v>0</v>
      </c>
      <c r="R1347" s="22" t="n">
        <v>0</v>
      </c>
    </row>
    <row r="1348">
      <c r="A1348" s="22" t="n">
        <v>201806</v>
      </c>
      <c r="B1348" s="22" t="inlineStr">
        <is>
          <t>06/2018</t>
        </is>
      </c>
      <c r="C1348" s="22" t="n">
        <v>33</v>
      </c>
      <c r="D1348" s="22" t="inlineStr">
        <is>
          <t>S33</t>
        </is>
      </c>
      <c r="E1348" s="22" t="inlineStr">
        <is>
          <t>Nexa Friesland (S33)</t>
        </is>
      </c>
      <c r="F1348" s="22" t="inlineStr">
        <is>
          <t>Hà Lan</t>
        </is>
      </c>
      <c r="G1348" s="22" t="inlineStr">
        <is>
          <t>POS</t>
        </is>
      </c>
      <c r="H1348" s="31" t="n">
        <v>1197.07</v>
      </c>
      <c r="I1348" s="31" t="n">
        <v>0</v>
      </c>
      <c r="J1348" s="31" t="n">
        <v>1197.07</v>
      </c>
      <c r="K1348" s="31" t="n">
        <v>94.98999999999999</v>
      </c>
      <c r="L1348" s="32" t="n">
        <v>3</v>
      </c>
      <c r="M1348" s="32" t="n">
        <v>20</v>
      </c>
      <c r="N1348" s="31" t="n">
        <v>1102.08</v>
      </c>
      <c r="O1348" s="31" t="n">
        <v>1197.07</v>
      </c>
      <c r="P1348" s="22" t="n">
        <v>0</v>
      </c>
      <c r="Q1348" s="22" t="n">
        <v>0</v>
      </c>
      <c r="R1348" s="22" t="n">
        <v>0</v>
      </c>
    </row>
    <row r="1349">
      <c r="A1349" s="22" t="n">
        <v>201806</v>
      </c>
      <c r="B1349" s="22" t="inlineStr">
        <is>
          <t>06/2018</t>
        </is>
      </c>
      <c r="C1349" s="22" t="n">
        <v>34</v>
      </c>
      <c r="D1349" s="22" t="inlineStr">
        <is>
          <t>S34</t>
        </is>
      </c>
      <c r="E1349" s="22" t="inlineStr">
        <is>
          <t>Nexa Groningen (S34)</t>
        </is>
      </c>
      <c r="F1349" s="22" t="inlineStr">
        <is>
          <t>Hà Lan</t>
        </is>
      </c>
      <c r="G1349" s="22" t="inlineStr">
        <is>
          <t>POS</t>
        </is>
      </c>
      <c r="H1349" s="31" t="n">
        <v>5295.98</v>
      </c>
      <c r="I1349" s="31" t="n">
        <v>0</v>
      </c>
      <c r="J1349" s="31" t="n">
        <v>5295.98</v>
      </c>
      <c r="K1349" s="31" t="n">
        <v>0</v>
      </c>
      <c r="L1349" s="32" t="n">
        <v>3</v>
      </c>
      <c r="M1349" s="32" t="n">
        <v>13</v>
      </c>
      <c r="N1349" s="31" t="n">
        <v>5295.98</v>
      </c>
      <c r="O1349" s="31" t="n">
        <v>5295.98</v>
      </c>
      <c r="P1349" s="22" t="n">
        <v>1</v>
      </c>
      <c r="Q1349" s="22" t="n">
        <v>0</v>
      </c>
      <c r="R1349" s="22" t="n">
        <v>0</v>
      </c>
    </row>
    <row r="1350">
      <c r="A1350" s="22" t="n">
        <v>201806</v>
      </c>
      <c r="B1350" s="22" t="inlineStr">
        <is>
          <t>06/2018</t>
        </is>
      </c>
      <c r="C1350" s="22" t="n">
        <v>36</v>
      </c>
      <c r="D1350" s="22" t="inlineStr">
        <is>
          <t>S36</t>
        </is>
      </c>
      <c r="E1350" s="22" t="inlineStr">
        <is>
          <t>Nexa Armagh (S36)</t>
        </is>
      </c>
      <c r="F1350" s="22" t="inlineStr">
        <is>
          <t>Anh</t>
        </is>
      </c>
      <c r="G1350" s="22" t="inlineStr">
        <is>
          <t>POS</t>
        </is>
      </c>
      <c r="H1350" s="31" t="n">
        <v>9654.719999999999</v>
      </c>
      <c r="I1350" s="31" t="n">
        <v>0</v>
      </c>
      <c r="J1350" s="31" t="n">
        <v>9654.719999999999</v>
      </c>
      <c r="K1350" s="31" t="n">
        <v>6.88</v>
      </c>
      <c r="L1350" s="32" t="n">
        <v>6</v>
      </c>
      <c r="M1350" s="32" t="n">
        <v>29</v>
      </c>
      <c r="N1350" s="31" t="n">
        <v>9647.84</v>
      </c>
      <c r="O1350" s="31" t="n">
        <v>9654.719999999999</v>
      </c>
      <c r="P1350" s="22" t="n">
        <v>0</v>
      </c>
      <c r="Q1350" s="22" t="n">
        <v>0</v>
      </c>
      <c r="R1350" s="22" t="n">
        <v>0</v>
      </c>
    </row>
    <row r="1351">
      <c r="A1351" s="22" t="n">
        <v>201806</v>
      </c>
      <c r="B1351" s="22" t="inlineStr">
        <is>
          <t>06/2018</t>
        </is>
      </c>
      <c r="C1351" s="22" t="n">
        <v>37</v>
      </c>
      <c r="D1351" s="22" t="inlineStr">
        <is>
          <t>S37</t>
        </is>
      </c>
      <c r="E1351" s="22" t="inlineStr">
        <is>
          <t>Nexa Ayrshire (S37)</t>
        </is>
      </c>
      <c r="F1351" s="22" t="inlineStr">
        <is>
          <t>Anh</t>
        </is>
      </c>
      <c r="G1351" s="22" t="inlineStr">
        <is>
          <t>POS</t>
        </is>
      </c>
      <c r="H1351" s="31" t="n">
        <v>20057.68</v>
      </c>
      <c r="I1351" s="31" t="n">
        <v>0</v>
      </c>
      <c r="J1351" s="31" t="n">
        <v>20057.68</v>
      </c>
      <c r="K1351" s="31" t="n">
        <v>369</v>
      </c>
      <c r="L1351" s="32" t="n">
        <v>6</v>
      </c>
      <c r="M1351" s="32" t="n">
        <v>38</v>
      </c>
      <c r="N1351" s="31" t="n">
        <v>19688.68</v>
      </c>
      <c r="O1351" s="31" t="n">
        <v>20057.68</v>
      </c>
      <c r="P1351" s="22" t="n">
        <v>0</v>
      </c>
      <c r="Q1351" s="22" t="n">
        <v>0</v>
      </c>
      <c r="R1351" s="22" t="n">
        <v>0</v>
      </c>
    </row>
    <row r="1352">
      <c r="A1352" s="22" t="n">
        <v>201806</v>
      </c>
      <c r="B1352" s="22" t="inlineStr">
        <is>
          <t>06/2018</t>
        </is>
      </c>
      <c r="C1352" s="22" t="n">
        <v>38</v>
      </c>
      <c r="D1352" s="22" t="inlineStr">
        <is>
          <t>S38</t>
        </is>
      </c>
      <c r="E1352" s="22" t="inlineStr">
        <is>
          <t>Nexa Belfast (S38)</t>
        </is>
      </c>
      <c r="F1352" s="22" t="inlineStr">
        <is>
          <t>Anh</t>
        </is>
      </c>
      <c r="G1352" s="22" t="inlineStr">
        <is>
          <t>POS</t>
        </is>
      </c>
      <c r="H1352" s="31" t="n">
        <v>38906.66</v>
      </c>
      <c r="I1352" s="31" t="n">
        <v>0</v>
      </c>
      <c r="J1352" s="31" t="n">
        <v>38906.66</v>
      </c>
      <c r="K1352" s="31" t="n">
        <v>1999.8</v>
      </c>
      <c r="L1352" s="32" t="n">
        <v>14</v>
      </c>
      <c r="M1352" s="32" t="n">
        <v>109</v>
      </c>
      <c r="N1352" s="31" t="n">
        <v>36906.86</v>
      </c>
      <c r="O1352" s="31" t="n">
        <v>38906.66</v>
      </c>
      <c r="P1352" s="22" t="n">
        <v>0</v>
      </c>
      <c r="Q1352" s="22" t="n">
        <v>0</v>
      </c>
      <c r="R1352" s="22" t="n">
        <v>0</v>
      </c>
    </row>
    <row r="1353">
      <c r="A1353" s="22" t="n">
        <v>201806</v>
      </c>
      <c r="B1353" s="22" t="inlineStr">
        <is>
          <t>06/2018</t>
        </is>
      </c>
      <c r="C1353" s="22" t="n">
        <v>39</v>
      </c>
      <c r="D1353" s="22" t="inlineStr">
        <is>
          <t>S39</t>
        </is>
      </c>
      <c r="E1353" s="22" t="inlineStr">
        <is>
          <t>Nexa Blaenau Gwent (S39)</t>
        </is>
      </c>
      <c r="F1353" s="22" t="inlineStr">
        <is>
          <t>Anh</t>
        </is>
      </c>
      <c r="G1353" s="22" t="inlineStr">
        <is>
          <t>POS</t>
        </is>
      </c>
      <c r="H1353" s="31" t="n">
        <v>14565.21</v>
      </c>
      <c r="I1353" s="31" t="n">
        <v>0</v>
      </c>
      <c r="J1353" s="31" t="n">
        <v>14565.21</v>
      </c>
      <c r="K1353" s="31" t="n">
        <v>17.99</v>
      </c>
      <c r="L1353" s="32" t="n">
        <v>11</v>
      </c>
      <c r="M1353" s="32" t="n">
        <v>91</v>
      </c>
      <c r="N1353" s="31" t="n">
        <v>14547.22</v>
      </c>
      <c r="O1353" s="31" t="n">
        <v>14565.21</v>
      </c>
      <c r="P1353" s="22" t="n">
        <v>0</v>
      </c>
      <c r="Q1353" s="22" t="n">
        <v>0</v>
      </c>
      <c r="R1353" s="22" t="n">
        <v>0</v>
      </c>
    </row>
    <row r="1354">
      <c r="A1354" s="22" t="n">
        <v>201806</v>
      </c>
      <c r="B1354" s="22" t="inlineStr">
        <is>
          <t>06/2018</t>
        </is>
      </c>
      <c r="C1354" s="22" t="n">
        <v>40</v>
      </c>
      <c r="D1354" s="22" t="inlineStr">
        <is>
          <t>S40</t>
        </is>
      </c>
      <c r="E1354" s="22" t="inlineStr">
        <is>
          <t>Nexa Dungannon and South Tyrone (S40)</t>
        </is>
      </c>
      <c r="F1354" s="22" t="inlineStr">
        <is>
          <t>Anh</t>
        </is>
      </c>
      <c r="G1354" s="22" t="inlineStr">
        <is>
          <t>POS</t>
        </is>
      </c>
      <c r="H1354" s="31" t="n">
        <v>12265.8</v>
      </c>
      <c r="I1354" s="31" t="n">
        <v>0</v>
      </c>
      <c r="J1354" s="31" t="n">
        <v>12265.8</v>
      </c>
      <c r="K1354" s="31" t="n">
        <v>219</v>
      </c>
      <c r="L1354" s="32" t="n">
        <v>6</v>
      </c>
      <c r="M1354" s="32" t="n">
        <v>28</v>
      </c>
      <c r="N1354" s="31" t="n">
        <v>12046.8</v>
      </c>
      <c r="O1354" s="31" t="n">
        <v>12265.8</v>
      </c>
      <c r="P1354" s="22" t="n">
        <v>0</v>
      </c>
      <c r="Q1354" s="22" t="n">
        <v>0</v>
      </c>
      <c r="R1354" s="22" t="n">
        <v>0</v>
      </c>
    </row>
    <row r="1355">
      <c r="A1355" s="22" t="n">
        <v>201806</v>
      </c>
      <c r="B1355" s="22" t="inlineStr">
        <is>
          <t>06/2018</t>
        </is>
      </c>
      <c r="C1355" s="22" t="n">
        <v>41</v>
      </c>
      <c r="D1355" s="22" t="inlineStr">
        <is>
          <t>S41</t>
        </is>
      </c>
      <c r="E1355" s="22" t="inlineStr">
        <is>
          <t>Nexa Fermanagh (S41)</t>
        </is>
      </c>
      <c r="F1355" s="22" t="inlineStr">
        <is>
          <t>Anh</t>
        </is>
      </c>
      <c r="G1355" s="22" t="inlineStr">
        <is>
          <t>POS</t>
        </is>
      </c>
      <c r="H1355" s="31" t="n">
        <v>29600.41</v>
      </c>
      <c r="I1355" s="31" t="n">
        <v>0</v>
      </c>
      <c r="J1355" s="31" t="n">
        <v>29600.41</v>
      </c>
      <c r="K1355" s="31" t="n">
        <v>1080</v>
      </c>
      <c r="L1355" s="32" t="n">
        <v>11</v>
      </c>
      <c r="M1355" s="32" t="n">
        <v>113</v>
      </c>
      <c r="N1355" s="31" t="n">
        <v>28520.41</v>
      </c>
      <c r="O1355" s="31" t="n">
        <v>29600.41</v>
      </c>
      <c r="P1355" s="22" t="n">
        <v>0</v>
      </c>
      <c r="Q1355" s="22" t="n">
        <v>0</v>
      </c>
      <c r="R1355" s="22" t="n">
        <v>1</v>
      </c>
    </row>
    <row r="1356">
      <c r="A1356" s="22" t="n">
        <v>201806</v>
      </c>
      <c r="B1356" s="22" t="inlineStr">
        <is>
          <t>06/2018</t>
        </is>
      </c>
      <c r="C1356" s="22" t="n">
        <v>42</v>
      </c>
      <c r="D1356" s="22" t="inlineStr">
        <is>
          <t>S42</t>
        </is>
      </c>
      <c r="E1356" s="22" t="inlineStr">
        <is>
          <t>Nexa North Down (S42)</t>
        </is>
      </c>
      <c r="F1356" s="22" t="inlineStr">
        <is>
          <t>Anh</t>
        </is>
      </c>
      <c r="G1356" s="22" t="inlineStr">
        <is>
          <t>POS</t>
        </is>
      </c>
      <c r="H1356" s="31" t="n">
        <v>9814.32</v>
      </c>
      <c r="I1356" s="31" t="n">
        <v>0</v>
      </c>
      <c r="J1356" s="31" t="n">
        <v>9814.32</v>
      </c>
      <c r="K1356" s="31" t="n">
        <v>0</v>
      </c>
      <c r="L1356" s="32" t="n">
        <v>8</v>
      </c>
      <c r="M1356" s="32" t="n">
        <v>37</v>
      </c>
      <c r="N1356" s="31" t="n">
        <v>9814.32</v>
      </c>
      <c r="O1356" s="31" t="n">
        <v>9814.32</v>
      </c>
      <c r="P1356" s="22" t="n">
        <v>0</v>
      </c>
      <c r="Q1356" s="22" t="n">
        <v>0</v>
      </c>
      <c r="R1356" s="22" t="n">
        <v>0</v>
      </c>
    </row>
    <row r="1357">
      <c r="A1357" s="22" t="n">
        <v>201806</v>
      </c>
      <c r="B1357" s="22" t="inlineStr">
        <is>
          <t>06/2018</t>
        </is>
      </c>
      <c r="C1357" s="22" t="n">
        <v>43</v>
      </c>
      <c r="D1357" s="22" t="inlineStr">
        <is>
          <t>S43</t>
        </is>
      </c>
      <c r="E1357" s="22" t="inlineStr">
        <is>
          <t>Nexa Alaska (S43)</t>
        </is>
      </c>
      <c r="F1357" s="22" t="inlineStr">
        <is>
          <t>Mỹ</t>
        </is>
      </c>
      <c r="G1357" s="22" t="inlineStr">
        <is>
          <t>POS</t>
        </is>
      </c>
      <c r="H1357" s="31" t="n">
        <v>27285.15</v>
      </c>
      <c r="I1357" s="31" t="n">
        <v>0</v>
      </c>
      <c r="J1357" s="31" t="n">
        <v>27285.15</v>
      </c>
      <c r="K1357" s="31" t="n">
        <v>84</v>
      </c>
      <c r="L1357" s="32" t="n">
        <v>11</v>
      </c>
      <c r="M1357" s="32" t="n">
        <v>83</v>
      </c>
      <c r="N1357" s="31" t="n">
        <v>27201.15</v>
      </c>
      <c r="O1357" s="31" t="n">
        <v>27285.15</v>
      </c>
      <c r="P1357" s="22" t="n">
        <v>0</v>
      </c>
      <c r="Q1357" s="22" t="n">
        <v>0</v>
      </c>
      <c r="R1357" s="22" t="n">
        <v>0</v>
      </c>
    </row>
    <row r="1358">
      <c r="A1358" s="22" t="n">
        <v>201806</v>
      </c>
      <c r="B1358" s="22" t="inlineStr">
        <is>
          <t>06/2018</t>
        </is>
      </c>
      <c r="C1358" s="22" t="n">
        <v>44</v>
      </c>
      <c r="D1358" s="22" t="inlineStr">
        <is>
          <t>S44</t>
        </is>
      </c>
      <c r="E1358" s="22" t="inlineStr">
        <is>
          <t>Nexa Arkansas (S44)</t>
        </is>
      </c>
      <c r="F1358" s="22" t="inlineStr">
        <is>
          <t>Mỹ</t>
        </is>
      </c>
      <c r="G1358" s="22" t="inlineStr">
        <is>
          <t>POS</t>
        </is>
      </c>
      <c r="H1358" s="31" t="n">
        <v>17119.98</v>
      </c>
      <c r="I1358" s="31" t="n">
        <v>0</v>
      </c>
      <c r="J1358" s="31" t="n">
        <v>17119.98</v>
      </c>
      <c r="K1358" s="31" t="n">
        <v>37.95</v>
      </c>
      <c r="L1358" s="32" t="n">
        <v>10</v>
      </c>
      <c r="M1358" s="32" t="n">
        <v>73</v>
      </c>
      <c r="N1358" s="31" t="n">
        <v>17082.03</v>
      </c>
      <c r="O1358" s="31" t="n">
        <v>17119.98</v>
      </c>
      <c r="P1358" s="22" t="n">
        <v>1</v>
      </c>
      <c r="Q1358" s="22" t="n">
        <v>0</v>
      </c>
      <c r="R1358" s="22" t="n">
        <v>0</v>
      </c>
    </row>
    <row r="1359">
      <c r="A1359" s="22" t="n">
        <v>201806</v>
      </c>
      <c r="B1359" s="22" t="inlineStr">
        <is>
          <t>06/2018</t>
        </is>
      </c>
      <c r="C1359" s="22" t="n">
        <v>45</v>
      </c>
      <c r="D1359" s="22" t="inlineStr">
        <is>
          <t>S45</t>
        </is>
      </c>
      <c r="E1359" s="22" t="inlineStr">
        <is>
          <t>Nexa Connecticut (S45)</t>
        </is>
      </c>
      <c r="F1359" s="22" t="inlineStr">
        <is>
          <t>Mỹ</t>
        </is>
      </c>
      <c r="G1359" s="22" t="inlineStr">
        <is>
          <t>POS</t>
        </is>
      </c>
      <c r="H1359" s="31" t="n">
        <v>33566.79</v>
      </c>
      <c r="I1359" s="31" t="n">
        <v>0</v>
      </c>
      <c r="J1359" s="31" t="n">
        <v>33566.79</v>
      </c>
      <c r="K1359" s="31" t="n">
        <v>1516</v>
      </c>
      <c r="L1359" s="32" t="n">
        <v>8</v>
      </c>
      <c r="M1359" s="32" t="n">
        <v>72</v>
      </c>
      <c r="N1359" s="31" t="n">
        <v>32050.79</v>
      </c>
      <c r="O1359" s="31" t="n">
        <v>33566.79</v>
      </c>
      <c r="P1359" s="22" t="n">
        <v>0</v>
      </c>
      <c r="Q1359" s="22" t="n">
        <v>0</v>
      </c>
      <c r="R1359" s="22" t="n">
        <v>0</v>
      </c>
    </row>
    <row r="1360">
      <c r="A1360" s="22" t="n">
        <v>201806</v>
      </c>
      <c r="B1360" s="22" t="inlineStr">
        <is>
          <t>06/2018</t>
        </is>
      </c>
      <c r="C1360" s="22" t="n">
        <v>47</v>
      </c>
      <c r="D1360" s="22" t="inlineStr">
        <is>
          <t>S47</t>
        </is>
      </c>
      <c r="E1360" s="22" t="inlineStr">
        <is>
          <t>Nexa Hawaii (S47)</t>
        </is>
      </c>
      <c r="F1360" s="22" t="inlineStr">
        <is>
          <t>Mỹ</t>
        </is>
      </c>
      <c r="G1360" s="22" t="inlineStr">
        <is>
          <t>POS</t>
        </is>
      </c>
      <c r="H1360" s="31" t="n">
        <v>6236.71</v>
      </c>
      <c r="I1360" s="31" t="n">
        <v>0</v>
      </c>
      <c r="J1360" s="31" t="n">
        <v>6236.71</v>
      </c>
      <c r="K1360" s="31" t="n">
        <v>0</v>
      </c>
      <c r="L1360" s="32" t="n">
        <v>9</v>
      </c>
      <c r="M1360" s="32" t="n">
        <v>46</v>
      </c>
      <c r="N1360" s="31" t="n">
        <v>5644.71</v>
      </c>
      <c r="O1360" s="31" t="n">
        <v>6236.71</v>
      </c>
      <c r="P1360" s="22" t="n">
        <v>0</v>
      </c>
      <c r="Q1360" s="22" t="n">
        <v>0</v>
      </c>
      <c r="R1360" s="22" t="n">
        <v>0</v>
      </c>
    </row>
    <row r="1361">
      <c r="A1361" s="22" t="n">
        <v>201806</v>
      </c>
      <c r="B1361" s="22" t="inlineStr">
        <is>
          <t>06/2018</t>
        </is>
      </c>
      <c r="C1361" s="22" t="n">
        <v>48</v>
      </c>
      <c r="D1361" s="22" t="inlineStr">
        <is>
          <t>S48</t>
        </is>
      </c>
      <c r="E1361" s="22" t="inlineStr">
        <is>
          <t>Nexa Idaho (S48)</t>
        </is>
      </c>
      <c r="F1361" s="22" t="inlineStr">
        <is>
          <t>Mỹ</t>
        </is>
      </c>
      <c r="G1361" s="22" t="inlineStr">
        <is>
          <t>POS</t>
        </is>
      </c>
      <c r="H1361" s="31" t="n">
        <v>10457.72</v>
      </c>
      <c r="I1361" s="31" t="n">
        <v>0</v>
      </c>
      <c r="J1361" s="31" t="n">
        <v>10457.72</v>
      </c>
      <c r="K1361" s="31" t="n">
        <v>0</v>
      </c>
      <c r="L1361" s="32" t="n">
        <v>9</v>
      </c>
      <c r="M1361" s="32" t="n">
        <v>81</v>
      </c>
      <c r="N1361" s="31" t="n">
        <v>10457.72</v>
      </c>
      <c r="O1361" s="31" t="n">
        <v>10457.72</v>
      </c>
      <c r="P1361" s="22" t="n">
        <v>0</v>
      </c>
      <c r="Q1361" s="22" t="n">
        <v>0</v>
      </c>
      <c r="R1361" s="22" t="n">
        <v>0</v>
      </c>
    </row>
    <row r="1362">
      <c r="A1362" s="22" t="n">
        <v>201806</v>
      </c>
      <c r="B1362" s="22" t="inlineStr">
        <is>
          <t>06/2018</t>
        </is>
      </c>
      <c r="C1362" s="22" t="n">
        <v>49</v>
      </c>
      <c r="D1362" s="22" t="inlineStr">
        <is>
          <t>S49</t>
        </is>
      </c>
      <c r="E1362" s="22" t="inlineStr">
        <is>
          <t>Nexa Iowa (S49)</t>
        </is>
      </c>
      <c r="F1362" s="22" t="inlineStr">
        <is>
          <t>Mỹ</t>
        </is>
      </c>
      <c r="G1362" s="22" t="inlineStr">
        <is>
          <t>POS</t>
        </is>
      </c>
      <c r="H1362" s="31" t="n">
        <v>20448.24</v>
      </c>
      <c r="I1362" s="31" t="n">
        <v>0</v>
      </c>
      <c r="J1362" s="31" t="n">
        <v>20448.24</v>
      </c>
      <c r="K1362" s="31" t="n">
        <v>0</v>
      </c>
      <c r="L1362" s="32" t="n">
        <v>10</v>
      </c>
      <c r="M1362" s="32" t="n">
        <v>83</v>
      </c>
      <c r="N1362" s="31" t="n">
        <v>20448.24</v>
      </c>
      <c r="O1362" s="31" t="n">
        <v>20448.24</v>
      </c>
      <c r="P1362" s="22" t="n">
        <v>0</v>
      </c>
      <c r="Q1362" s="22" t="n">
        <v>0</v>
      </c>
      <c r="R1362" s="22" t="n">
        <v>1</v>
      </c>
    </row>
    <row r="1363">
      <c r="A1363" s="22" t="n">
        <v>201806</v>
      </c>
      <c r="B1363" s="22" t="inlineStr">
        <is>
          <t>06/2018</t>
        </is>
      </c>
      <c r="C1363" s="22" t="n">
        <v>50</v>
      </c>
      <c r="D1363" s="22" t="inlineStr">
        <is>
          <t>S50</t>
        </is>
      </c>
      <c r="E1363" s="22" t="inlineStr">
        <is>
          <t>Nexa Kansas (S50)</t>
        </is>
      </c>
      <c r="F1363" s="22" t="inlineStr">
        <is>
          <t>Mỹ</t>
        </is>
      </c>
      <c r="G1363" s="22" t="inlineStr">
        <is>
          <t>POS</t>
        </is>
      </c>
      <c r="H1363" s="31" t="n">
        <v>23931.62</v>
      </c>
      <c r="I1363" s="31" t="n">
        <v>0</v>
      </c>
      <c r="J1363" s="31" t="n">
        <v>23931.62</v>
      </c>
      <c r="K1363" s="31" t="n">
        <v>0</v>
      </c>
      <c r="L1363" s="32" t="n">
        <v>11</v>
      </c>
      <c r="M1363" s="32" t="n">
        <v>90</v>
      </c>
      <c r="N1363" s="31" t="n">
        <v>23931.62</v>
      </c>
      <c r="O1363" s="31" t="n">
        <v>23931.62</v>
      </c>
      <c r="P1363" s="22" t="n">
        <v>0</v>
      </c>
      <c r="Q1363" s="22" t="n">
        <v>0</v>
      </c>
      <c r="R1363" s="22" t="n">
        <v>0</v>
      </c>
    </row>
    <row r="1364">
      <c r="A1364" s="22" t="n">
        <v>201806</v>
      </c>
      <c r="B1364" s="22" t="inlineStr">
        <is>
          <t>06/2018</t>
        </is>
      </c>
      <c r="C1364" s="22" t="n">
        <v>51</v>
      </c>
      <c r="D1364" s="22" t="inlineStr">
        <is>
          <t>S51</t>
        </is>
      </c>
      <c r="E1364" s="22" t="inlineStr">
        <is>
          <t>Nexa Maine (S51)</t>
        </is>
      </c>
      <c r="F1364" s="22" t="inlineStr">
        <is>
          <t>Mỹ</t>
        </is>
      </c>
      <c r="G1364" s="22" t="inlineStr">
        <is>
          <t>POS</t>
        </is>
      </c>
      <c r="H1364" s="31" t="n">
        <v>12925.63</v>
      </c>
      <c r="I1364" s="31" t="n">
        <v>0</v>
      </c>
      <c r="J1364" s="31" t="n">
        <v>12925.63</v>
      </c>
      <c r="K1364" s="31" t="n">
        <v>0</v>
      </c>
      <c r="L1364" s="32" t="n">
        <v>9</v>
      </c>
      <c r="M1364" s="32" t="n">
        <v>56</v>
      </c>
      <c r="N1364" s="31" t="n">
        <v>12925.63</v>
      </c>
      <c r="O1364" s="31" t="n">
        <v>12925.63</v>
      </c>
      <c r="P1364" s="22" t="n">
        <v>0</v>
      </c>
      <c r="Q1364" s="22" t="n">
        <v>0</v>
      </c>
      <c r="R1364" s="22" t="n">
        <v>0</v>
      </c>
    </row>
    <row r="1365">
      <c r="A1365" s="22" t="n">
        <v>201806</v>
      </c>
      <c r="B1365" s="22" t="inlineStr">
        <is>
          <t>06/2018</t>
        </is>
      </c>
      <c r="C1365" s="22" t="n">
        <v>53</v>
      </c>
      <c r="D1365" s="22" t="inlineStr">
        <is>
          <t>S53</t>
        </is>
      </c>
      <c r="E1365" s="22" t="inlineStr">
        <is>
          <t>Nexa Montana (S53)</t>
        </is>
      </c>
      <c r="F1365" s="22" t="inlineStr">
        <is>
          <t>Mỹ</t>
        </is>
      </c>
      <c r="G1365" s="22" t="inlineStr">
        <is>
          <t>POS</t>
        </is>
      </c>
      <c r="H1365" s="31" t="n">
        <v>17657.72</v>
      </c>
      <c r="I1365" s="31" t="n">
        <v>0</v>
      </c>
      <c r="J1365" s="31" t="n">
        <v>17657.72</v>
      </c>
      <c r="K1365" s="31" t="n">
        <v>366.78</v>
      </c>
      <c r="L1365" s="32" t="n">
        <v>10</v>
      </c>
      <c r="M1365" s="32" t="n">
        <v>76</v>
      </c>
      <c r="N1365" s="31" t="n">
        <v>17290.94</v>
      </c>
      <c r="O1365" s="31" t="n">
        <v>17657.72</v>
      </c>
      <c r="P1365" s="22" t="n">
        <v>0</v>
      </c>
      <c r="Q1365" s="22" t="n">
        <v>0</v>
      </c>
      <c r="R1365" s="22" t="n">
        <v>0</v>
      </c>
    </row>
    <row r="1366">
      <c r="A1366" s="22" t="n">
        <v>201806</v>
      </c>
      <c r="B1366" s="22" t="inlineStr">
        <is>
          <t>06/2018</t>
        </is>
      </c>
      <c r="C1366" s="22" t="n">
        <v>54</v>
      </c>
      <c r="D1366" s="22" t="inlineStr">
        <is>
          <t>S54</t>
        </is>
      </c>
      <c r="E1366" s="22" t="inlineStr">
        <is>
          <t>Nexa Nebraska (S54)</t>
        </is>
      </c>
      <c r="F1366" s="22" t="inlineStr">
        <is>
          <t>Mỹ</t>
        </is>
      </c>
      <c r="G1366" s="22" t="inlineStr">
        <is>
          <t>POS</t>
        </is>
      </c>
      <c r="H1366" s="31" t="n">
        <v>30011.75</v>
      </c>
      <c r="I1366" s="31" t="n">
        <v>0</v>
      </c>
      <c r="J1366" s="31" t="n">
        <v>30011.75</v>
      </c>
      <c r="K1366" s="31" t="n">
        <v>1518</v>
      </c>
      <c r="L1366" s="32" t="n">
        <v>12</v>
      </c>
      <c r="M1366" s="32" t="n">
        <v>81</v>
      </c>
      <c r="N1366" s="31" t="n">
        <v>28493.75</v>
      </c>
      <c r="O1366" s="31" t="n">
        <v>30011.75</v>
      </c>
      <c r="P1366" s="22" t="n">
        <v>0</v>
      </c>
      <c r="Q1366" s="22" t="n">
        <v>0</v>
      </c>
      <c r="R1366" s="22" t="n">
        <v>0</v>
      </c>
    </row>
    <row r="1367">
      <c r="A1367" s="22" t="n">
        <v>201806</v>
      </c>
      <c r="B1367" s="22" t="inlineStr">
        <is>
          <t>06/2018</t>
        </is>
      </c>
      <c r="C1367" s="22" t="n">
        <v>55</v>
      </c>
      <c r="D1367" s="22" t="inlineStr">
        <is>
          <t>S55</t>
        </is>
      </c>
      <c r="E1367" s="22" t="inlineStr">
        <is>
          <t>Nexa Nevada (S55)</t>
        </is>
      </c>
      <c r="F1367" s="22" t="inlineStr">
        <is>
          <t>Mỹ</t>
        </is>
      </c>
      <c r="G1367" s="22" t="inlineStr">
        <is>
          <t>POS</t>
        </is>
      </c>
      <c r="H1367" s="31" t="n">
        <v>35211.74</v>
      </c>
      <c r="I1367" s="31" t="n">
        <v>0</v>
      </c>
      <c r="J1367" s="31" t="n">
        <v>35211.74</v>
      </c>
      <c r="K1367" s="31" t="n">
        <v>0</v>
      </c>
      <c r="L1367" s="32" t="n">
        <v>9</v>
      </c>
      <c r="M1367" s="32" t="n">
        <v>80</v>
      </c>
      <c r="N1367" s="31" t="n">
        <v>35211.74</v>
      </c>
      <c r="O1367" s="31" t="n">
        <v>35211.74</v>
      </c>
      <c r="P1367" s="22" t="n">
        <v>0</v>
      </c>
      <c r="Q1367" s="22" t="n">
        <v>0</v>
      </c>
      <c r="R1367" s="22" t="n">
        <v>0</v>
      </c>
    </row>
    <row r="1368">
      <c r="A1368" s="22" t="n">
        <v>201806</v>
      </c>
      <c r="B1368" s="22" t="inlineStr">
        <is>
          <t>06/2018</t>
        </is>
      </c>
      <c r="C1368" s="22" t="n">
        <v>56</v>
      </c>
      <c r="D1368" s="22" t="inlineStr">
        <is>
          <t>S56</t>
        </is>
      </c>
      <c r="E1368" s="22" t="inlineStr">
        <is>
          <t>Nexa New Hampshire (S56)</t>
        </is>
      </c>
      <c r="F1368" s="22" t="inlineStr">
        <is>
          <t>Mỹ</t>
        </is>
      </c>
      <c r="G1368" s="22" t="inlineStr">
        <is>
          <t>POS</t>
        </is>
      </c>
      <c r="H1368" s="31" t="n">
        <v>9682.799999999999</v>
      </c>
      <c r="I1368" s="31" t="n">
        <v>0</v>
      </c>
      <c r="J1368" s="31" t="n">
        <v>9682.799999999999</v>
      </c>
      <c r="K1368" s="31" t="n">
        <v>0</v>
      </c>
      <c r="L1368" s="32" t="n">
        <v>6</v>
      </c>
      <c r="M1368" s="32" t="n">
        <v>33</v>
      </c>
      <c r="N1368" s="31" t="n">
        <v>9682.799999999999</v>
      </c>
      <c r="O1368" s="31" t="n">
        <v>9682.799999999999</v>
      </c>
      <c r="P1368" s="22" t="n">
        <v>0</v>
      </c>
      <c r="Q1368" s="22" t="n">
        <v>0</v>
      </c>
      <c r="R1368" s="22" t="n">
        <v>0</v>
      </c>
    </row>
    <row r="1369">
      <c r="A1369" s="22" t="n">
        <v>201806</v>
      </c>
      <c r="B1369" s="22" t="inlineStr">
        <is>
          <t>06/2018</t>
        </is>
      </c>
      <c r="C1369" s="22" t="n">
        <v>57</v>
      </c>
      <c r="D1369" s="22" t="inlineStr">
        <is>
          <t>S57</t>
        </is>
      </c>
      <c r="E1369" s="22" t="inlineStr">
        <is>
          <t>Nexa New Mexico (S57)</t>
        </is>
      </c>
      <c r="F1369" s="22" t="inlineStr">
        <is>
          <t>Mỹ</t>
        </is>
      </c>
      <c r="G1369" s="22" t="inlineStr">
        <is>
          <t>POS</t>
        </is>
      </c>
      <c r="H1369" s="31" t="n">
        <v>6436.98</v>
      </c>
      <c r="I1369" s="31" t="n">
        <v>0</v>
      </c>
      <c r="J1369" s="31" t="n">
        <v>6436.98</v>
      </c>
      <c r="K1369" s="31" t="n">
        <v>0</v>
      </c>
      <c r="L1369" s="32" t="n">
        <v>8</v>
      </c>
      <c r="M1369" s="32" t="n">
        <v>38</v>
      </c>
      <c r="N1369" s="31" t="n">
        <v>6436.98</v>
      </c>
      <c r="O1369" s="31" t="n">
        <v>6436.98</v>
      </c>
      <c r="P1369" s="22" t="n">
        <v>0</v>
      </c>
      <c r="Q1369" s="22" t="n">
        <v>0</v>
      </c>
      <c r="R1369" s="22" t="n">
        <v>0</v>
      </c>
    </row>
    <row r="1370">
      <c r="A1370" s="22" t="n">
        <v>201806</v>
      </c>
      <c r="B1370" s="22" t="inlineStr">
        <is>
          <t>06/2018</t>
        </is>
      </c>
      <c r="C1370" s="22" t="n">
        <v>59</v>
      </c>
      <c r="D1370" s="22" t="inlineStr">
        <is>
          <t>S59</t>
        </is>
      </c>
      <c r="E1370" s="22" t="inlineStr">
        <is>
          <t>Nexa Oregon (S59)</t>
        </is>
      </c>
      <c r="F1370" s="22" t="inlineStr">
        <is>
          <t>Mỹ</t>
        </is>
      </c>
      <c r="G1370" s="22" t="inlineStr">
        <is>
          <t>POS</t>
        </is>
      </c>
      <c r="H1370" s="31" t="n">
        <v>23086.29</v>
      </c>
      <c r="I1370" s="31" t="n">
        <v>0</v>
      </c>
      <c r="J1370" s="31" t="n">
        <v>23086.29</v>
      </c>
      <c r="K1370" s="31" t="n">
        <v>94.98999999999999</v>
      </c>
      <c r="L1370" s="32" t="n">
        <v>12</v>
      </c>
      <c r="M1370" s="32" t="n">
        <v>123</v>
      </c>
      <c r="N1370" s="31" t="n">
        <v>22991.3</v>
      </c>
      <c r="O1370" s="31" t="n">
        <v>23086.29</v>
      </c>
      <c r="P1370" s="22" t="n">
        <v>0</v>
      </c>
      <c r="Q1370" s="22" t="n">
        <v>0</v>
      </c>
      <c r="R1370" s="22" t="n">
        <v>0</v>
      </c>
    </row>
    <row r="1371">
      <c r="A1371" s="22" t="n">
        <v>201806</v>
      </c>
      <c r="B1371" s="22" t="inlineStr">
        <is>
          <t>06/2018</t>
        </is>
      </c>
      <c r="C1371" s="22" t="n">
        <v>61</v>
      </c>
      <c r="D1371" s="22" t="inlineStr">
        <is>
          <t>S61</t>
        </is>
      </c>
      <c r="E1371" s="22" t="inlineStr">
        <is>
          <t>Nexa South Carolina (S61)</t>
        </is>
      </c>
      <c r="F1371" s="22" t="inlineStr">
        <is>
          <t>Mỹ</t>
        </is>
      </c>
      <c r="G1371" s="22" t="inlineStr">
        <is>
          <t>POS</t>
        </is>
      </c>
      <c r="H1371" s="31" t="n">
        <v>11011.35</v>
      </c>
      <c r="I1371" s="31" t="n">
        <v>0</v>
      </c>
      <c r="J1371" s="31" t="n">
        <v>11011.35</v>
      </c>
      <c r="K1371" s="31" t="n">
        <v>29.94</v>
      </c>
      <c r="L1371" s="32" t="n">
        <v>8</v>
      </c>
      <c r="M1371" s="32" t="n">
        <v>54</v>
      </c>
      <c r="N1371" s="31" t="n">
        <v>10981.41</v>
      </c>
      <c r="O1371" s="31" t="n">
        <v>11011.35</v>
      </c>
      <c r="P1371" s="22" t="n">
        <v>0</v>
      </c>
      <c r="Q1371" s="22" t="n">
        <v>0</v>
      </c>
      <c r="R1371" s="22" t="n">
        <v>0</v>
      </c>
    </row>
    <row r="1372">
      <c r="A1372" s="22" t="n">
        <v>201806</v>
      </c>
      <c r="B1372" s="22" t="inlineStr">
        <is>
          <t>06/2018</t>
        </is>
      </c>
      <c r="C1372" s="22" t="n">
        <v>62</v>
      </c>
      <c r="D1372" s="22" t="inlineStr">
        <is>
          <t>S62</t>
        </is>
      </c>
      <c r="E1372" s="22" t="inlineStr">
        <is>
          <t>Nexa South Dakota (S62)</t>
        </is>
      </c>
      <c r="F1372" s="22" t="inlineStr">
        <is>
          <t>Mỹ</t>
        </is>
      </c>
      <c r="G1372" s="22" t="inlineStr">
        <is>
          <t>POS</t>
        </is>
      </c>
      <c r="H1372" s="31" t="n">
        <v>20486.93</v>
      </c>
      <c r="I1372" s="31" t="n">
        <v>0</v>
      </c>
      <c r="J1372" s="31" t="n">
        <v>20486.93</v>
      </c>
      <c r="K1372" s="31" t="n">
        <v>560.7</v>
      </c>
      <c r="L1372" s="32" t="n">
        <v>6</v>
      </c>
      <c r="M1372" s="32" t="n">
        <v>60</v>
      </c>
      <c r="N1372" s="31" t="n">
        <v>19926.23</v>
      </c>
      <c r="O1372" s="31" t="n">
        <v>20486.93</v>
      </c>
      <c r="P1372" s="22" t="n">
        <v>0</v>
      </c>
      <c r="Q1372" s="22" t="n">
        <v>0</v>
      </c>
      <c r="R1372" s="22" t="n">
        <v>0</v>
      </c>
    </row>
    <row r="1373">
      <c r="A1373" s="22" t="n">
        <v>201806</v>
      </c>
      <c r="B1373" s="22" t="inlineStr">
        <is>
          <t>06/2018</t>
        </is>
      </c>
      <c r="C1373" s="22" t="n">
        <v>63</v>
      </c>
      <c r="D1373" s="22" t="inlineStr">
        <is>
          <t>S63</t>
        </is>
      </c>
      <c r="E1373" s="22" t="inlineStr">
        <is>
          <t>Nexa Utah (S63)</t>
        </is>
      </c>
      <c r="F1373" s="22" t="inlineStr">
        <is>
          <t>Mỹ</t>
        </is>
      </c>
      <c r="G1373" s="22" t="inlineStr">
        <is>
          <t>POS</t>
        </is>
      </c>
      <c r="H1373" s="31" t="n">
        <v>8783.639999999999</v>
      </c>
      <c r="I1373" s="31" t="n">
        <v>0</v>
      </c>
      <c r="J1373" s="31" t="n">
        <v>8783.639999999999</v>
      </c>
      <c r="K1373" s="31" t="n">
        <v>0</v>
      </c>
      <c r="L1373" s="32" t="n">
        <v>7</v>
      </c>
      <c r="M1373" s="32" t="n">
        <v>37</v>
      </c>
      <c r="N1373" s="31" t="n">
        <v>8783.639999999999</v>
      </c>
      <c r="O1373" s="31" t="n">
        <v>8783.639999999999</v>
      </c>
      <c r="P1373" s="22" t="n">
        <v>1</v>
      </c>
      <c r="Q1373" s="22" t="n">
        <v>0</v>
      </c>
      <c r="R1373" s="22" t="n">
        <v>0</v>
      </c>
    </row>
    <row r="1374">
      <c r="A1374" s="22" t="n">
        <v>201806</v>
      </c>
      <c r="B1374" s="22" t="inlineStr">
        <is>
          <t>06/2018</t>
        </is>
      </c>
      <c r="C1374" s="22" t="n">
        <v>64</v>
      </c>
      <c r="D1374" s="22" t="inlineStr">
        <is>
          <t>S64</t>
        </is>
      </c>
      <c r="E1374" s="22" t="inlineStr">
        <is>
          <t>Nexa Washington DC (S64)</t>
        </is>
      </c>
      <c r="F1374" s="22" t="inlineStr">
        <is>
          <t>Mỹ</t>
        </is>
      </c>
      <c r="G1374" s="22" t="inlineStr">
        <is>
          <t>POS</t>
        </is>
      </c>
      <c r="H1374" s="31" t="n">
        <v>13214.84</v>
      </c>
      <c r="I1374" s="31" t="n">
        <v>0</v>
      </c>
      <c r="J1374" s="31" t="n">
        <v>13214.84</v>
      </c>
      <c r="K1374" s="31" t="n">
        <v>0</v>
      </c>
      <c r="L1374" s="32" t="n">
        <v>8</v>
      </c>
      <c r="M1374" s="32" t="n">
        <v>68</v>
      </c>
      <c r="N1374" s="31" t="n">
        <v>13214.84</v>
      </c>
      <c r="O1374" s="31" t="n">
        <v>13214.84</v>
      </c>
      <c r="P1374" s="22" t="n">
        <v>1</v>
      </c>
      <c r="Q1374" s="22" t="n">
        <v>0</v>
      </c>
      <c r="R1374" s="22" t="n">
        <v>0</v>
      </c>
    </row>
    <row r="1375">
      <c r="A1375" s="22" t="n">
        <v>201806</v>
      </c>
      <c r="B1375" s="22" t="inlineStr">
        <is>
          <t>06/2018</t>
        </is>
      </c>
      <c r="C1375" s="22" t="n">
        <v>65</v>
      </c>
      <c r="D1375" s="22" t="inlineStr">
        <is>
          <t>S65</t>
        </is>
      </c>
      <c r="E1375" s="22" t="inlineStr">
        <is>
          <t>Nexa West Virginia (S65)</t>
        </is>
      </c>
      <c r="F1375" s="22" t="inlineStr">
        <is>
          <t>Mỹ</t>
        </is>
      </c>
      <c r="G1375" s="22" t="inlineStr">
        <is>
          <t>POS</t>
        </is>
      </c>
      <c r="H1375" s="31" t="n">
        <v>18733.45</v>
      </c>
      <c r="I1375" s="31" t="n">
        <v>0</v>
      </c>
      <c r="J1375" s="31" t="n">
        <v>18733.45</v>
      </c>
      <c r="K1375" s="31" t="n">
        <v>2907</v>
      </c>
      <c r="L1375" s="32" t="n">
        <v>13</v>
      </c>
      <c r="M1375" s="32" t="n">
        <v>74</v>
      </c>
      <c r="N1375" s="31" t="n">
        <v>15826.45</v>
      </c>
      <c r="O1375" s="31" t="n">
        <v>18733.45</v>
      </c>
      <c r="P1375" s="22" t="n">
        <v>0</v>
      </c>
      <c r="Q1375" s="22" t="n">
        <v>0</v>
      </c>
      <c r="R1375" s="22" t="n">
        <v>0</v>
      </c>
    </row>
    <row r="1376">
      <c r="A1376" s="22" t="n">
        <v>201806</v>
      </c>
      <c r="B1376" s="22" t="inlineStr">
        <is>
          <t>06/2018</t>
        </is>
      </c>
      <c r="C1376" s="22" t="n">
        <v>66</v>
      </c>
      <c r="D1376" s="22" t="inlineStr">
        <is>
          <t>S66</t>
        </is>
      </c>
      <c r="E1376" s="22" t="inlineStr">
        <is>
          <t>Nexa Wyoming (S66)</t>
        </is>
      </c>
      <c r="F1376" s="22" t="inlineStr">
        <is>
          <t>Mỹ</t>
        </is>
      </c>
      <c r="G1376" s="22" t="inlineStr">
        <is>
          <t>POS</t>
        </is>
      </c>
      <c r="H1376" s="31" t="n">
        <v>11934.89</v>
      </c>
      <c r="I1376" s="31" t="n">
        <v>0</v>
      </c>
      <c r="J1376" s="31" t="n">
        <v>11934.89</v>
      </c>
      <c r="K1376" s="31" t="n">
        <v>0</v>
      </c>
      <c r="L1376" s="32" t="n">
        <v>9</v>
      </c>
      <c r="M1376" s="32" t="n">
        <v>36</v>
      </c>
      <c r="N1376" s="31" t="n">
        <v>11934.89</v>
      </c>
      <c r="O1376" s="31" t="n">
        <v>11934.89</v>
      </c>
      <c r="P1376" s="22" t="n">
        <v>1</v>
      </c>
      <c r="Q1376" s="22" t="n">
        <v>0</v>
      </c>
      <c r="R1376" s="22" t="n">
        <v>0</v>
      </c>
    </row>
    <row r="1377">
      <c r="A1377" s="22" t="n">
        <v>201807</v>
      </c>
      <c r="B1377" s="22" t="inlineStr">
        <is>
          <t>07/2018</t>
        </is>
      </c>
      <c r="C1377" s="22" t="n">
        <v>0</v>
      </c>
      <c r="D1377" s="22" t="inlineStr">
        <is>
          <t>ONL</t>
        </is>
      </c>
      <c r="E1377" s="22" t="inlineStr">
        <is>
          <t>Nexa Online (website/app)</t>
        </is>
      </c>
      <c r="F1377" s="22" t="inlineStr">
        <is>
          <t>Online</t>
        </is>
      </c>
      <c r="G1377" s="22" t="inlineStr">
        <is>
          <t>ONLINE</t>
        </is>
      </c>
      <c r="H1377" s="31" t="n">
        <v>161446.72</v>
      </c>
      <c r="I1377" s="31" t="n">
        <v>2918.29</v>
      </c>
      <c r="J1377" s="31" t="n">
        <v>158528.43</v>
      </c>
      <c r="K1377" s="31" t="n">
        <v>10105.77</v>
      </c>
      <c r="L1377" s="32" t="n">
        <v>92</v>
      </c>
      <c r="M1377" s="32" t="n">
        <v>713</v>
      </c>
      <c r="N1377" s="31" t="n">
        <v>163086.12</v>
      </c>
      <c r="O1377" s="31" t="n">
        <v>173191.89</v>
      </c>
      <c r="P1377" s="22" t="n">
        <v>2</v>
      </c>
      <c r="Q1377" s="22" t="n">
        <v>0</v>
      </c>
      <c r="R1377" s="22" t="n">
        <v>0</v>
      </c>
    </row>
    <row r="1378">
      <c r="A1378" s="22" t="n">
        <v>201807</v>
      </c>
      <c r="B1378" s="22" t="inlineStr">
        <is>
          <t>07/2018</t>
        </is>
      </c>
      <c r="C1378" s="22" t="n">
        <v>4</v>
      </c>
      <c r="D1378" s="22" t="inlineStr">
        <is>
          <t>S04</t>
        </is>
      </c>
      <c r="E1378" s="22" t="inlineStr">
        <is>
          <t>Nexa Tasmania (S04)</t>
        </is>
      </c>
      <c r="F1378" s="22" t="inlineStr">
        <is>
          <t>Úc</t>
        </is>
      </c>
      <c r="G1378" s="22" t="inlineStr">
        <is>
          <t>POS</t>
        </is>
      </c>
      <c r="H1378" s="31" t="n">
        <v>9187.459999999999</v>
      </c>
      <c r="I1378" s="31" t="n">
        <v>0</v>
      </c>
      <c r="J1378" s="31" t="n">
        <v>9187.459999999999</v>
      </c>
      <c r="K1378" s="31" t="n">
        <v>0</v>
      </c>
      <c r="L1378" s="32" t="n">
        <v>4</v>
      </c>
      <c r="M1378" s="32" t="n">
        <v>40</v>
      </c>
      <c r="N1378" s="31" t="n">
        <v>9187.459999999999</v>
      </c>
      <c r="O1378" s="31" t="n">
        <v>9187.459999999999</v>
      </c>
      <c r="P1378" s="22" t="n">
        <v>0</v>
      </c>
      <c r="Q1378" s="22" t="n">
        <v>0</v>
      </c>
      <c r="R1378" s="22" t="n">
        <v>0</v>
      </c>
    </row>
    <row r="1379">
      <c r="A1379" s="22" t="n">
        <v>201807</v>
      </c>
      <c r="B1379" s="22" t="inlineStr">
        <is>
          <t>07/2018</t>
        </is>
      </c>
      <c r="C1379" s="22" t="n">
        <v>5</v>
      </c>
      <c r="D1379" s="22" t="inlineStr">
        <is>
          <t>S05</t>
        </is>
      </c>
      <c r="E1379" s="22" t="inlineStr">
        <is>
          <t>Nexa Victoria (S05)</t>
        </is>
      </c>
      <c r="F1379" s="22" t="inlineStr">
        <is>
          <t>Úc</t>
        </is>
      </c>
      <c r="G1379" s="22" t="inlineStr">
        <is>
          <t>POS</t>
        </is>
      </c>
      <c r="H1379" s="31" t="n">
        <v>34215.42</v>
      </c>
      <c r="I1379" s="31" t="n">
        <v>0</v>
      </c>
      <c r="J1379" s="31" t="n">
        <v>34215.42</v>
      </c>
      <c r="K1379" s="31" t="n">
        <v>0</v>
      </c>
      <c r="L1379" s="32" t="n">
        <v>6</v>
      </c>
      <c r="M1379" s="32" t="n">
        <v>51</v>
      </c>
      <c r="N1379" s="31" t="n">
        <v>34215.42</v>
      </c>
      <c r="O1379" s="31" t="n">
        <v>34215.42</v>
      </c>
      <c r="P1379" s="22" t="n">
        <v>0</v>
      </c>
      <c r="Q1379" s="22" t="n">
        <v>0</v>
      </c>
      <c r="R1379" s="22" t="n">
        <v>1</v>
      </c>
    </row>
    <row r="1380">
      <c r="A1380" s="22" t="n">
        <v>201807</v>
      </c>
      <c r="B1380" s="22" t="inlineStr">
        <is>
          <t>07/2018</t>
        </is>
      </c>
      <c r="C1380" s="22" t="n">
        <v>6</v>
      </c>
      <c r="D1380" s="22" t="inlineStr">
        <is>
          <t>S06</t>
        </is>
      </c>
      <c r="E1380" s="22" t="inlineStr">
        <is>
          <t>Nexa Western Australia (S06)</t>
        </is>
      </c>
      <c r="F1380" s="22" t="inlineStr">
        <is>
          <t>Úc</t>
        </is>
      </c>
      <c r="G1380" s="22" t="inlineStr">
        <is>
          <t>POS</t>
        </is>
      </c>
      <c r="H1380" s="31" t="n">
        <v>759</v>
      </c>
      <c r="I1380" s="31" t="n">
        <v>0</v>
      </c>
      <c r="J1380" s="31" t="n">
        <v>759</v>
      </c>
      <c r="K1380" s="31" t="n">
        <v>200</v>
      </c>
      <c r="L1380" s="32" t="n">
        <v>1</v>
      </c>
      <c r="M1380" s="32" t="n">
        <v>2</v>
      </c>
      <c r="N1380" s="31" t="n">
        <v>559</v>
      </c>
      <c r="O1380" s="31" t="n">
        <v>759</v>
      </c>
      <c r="P1380" s="22" t="n">
        <v>0</v>
      </c>
      <c r="Q1380" s="22" t="n">
        <v>0</v>
      </c>
      <c r="R1380" s="22" t="n">
        <v>0</v>
      </c>
    </row>
    <row r="1381">
      <c r="A1381" s="22" t="n">
        <v>201807</v>
      </c>
      <c r="B1381" s="22" t="inlineStr">
        <is>
          <t>07/2018</t>
        </is>
      </c>
      <c r="C1381" s="22" t="n">
        <v>8</v>
      </c>
      <c r="D1381" s="22" t="inlineStr">
        <is>
          <t>S08</t>
        </is>
      </c>
      <c r="E1381" s="22" t="inlineStr">
        <is>
          <t>Nexa Newfoundland and Labrador (S08)</t>
        </is>
      </c>
      <c r="F1381" s="22" t="inlineStr">
        <is>
          <t>Canada</t>
        </is>
      </c>
      <c r="G1381" s="22" t="inlineStr">
        <is>
          <t>POS</t>
        </is>
      </c>
      <c r="H1381" s="31" t="n">
        <v>18568.66</v>
      </c>
      <c r="I1381" s="31" t="n">
        <v>0</v>
      </c>
      <c r="J1381" s="31" t="n">
        <v>18568.66</v>
      </c>
      <c r="K1381" s="31" t="n">
        <v>232</v>
      </c>
      <c r="L1381" s="32" t="n">
        <v>14</v>
      </c>
      <c r="M1381" s="32" t="n">
        <v>80</v>
      </c>
      <c r="N1381" s="31" t="n">
        <v>18336.66</v>
      </c>
      <c r="O1381" s="31" t="n">
        <v>18568.66</v>
      </c>
      <c r="P1381" s="22" t="n">
        <v>0</v>
      </c>
      <c r="Q1381" s="22" t="n">
        <v>0</v>
      </c>
      <c r="R1381" s="22" t="n">
        <v>0</v>
      </c>
    </row>
    <row r="1382">
      <c r="A1382" s="22" t="n">
        <v>201807</v>
      </c>
      <c r="B1382" s="22" t="inlineStr">
        <is>
          <t>07/2018</t>
        </is>
      </c>
      <c r="C1382" s="22" t="n">
        <v>9</v>
      </c>
      <c r="D1382" s="22" t="inlineStr">
        <is>
          <t>S09</t>
        </is>
      </c>
      <c r="E1382" s="22" t="inlineStr">
        <is>
          <t>Nexa Northwest Territories (S09)</t>
        </is>
      </c>
      <c r="F1382" s="22" t="inlineStr">
        <is>
          <t>Canada</t>
        </is>
      </c>
      <c r="G1382" s="22" t="inlineStr">
        <is>
          <t>POS</t>
        </is>
      </c>
      <c r="H1382" s="31" t="n">
        <v>17149.7</v>
      </c>
      <c r="I1382" s="31" t="n">
        <v>0</v>
      </c>
      <c r="J1382" s="31" t="n">
        <v>17149.7</v>
      </c>
      <c r="K1382" s="31" t="n">
        <v>92.88</v>
      </c>
      <c r="L1382" s="32" t="n">
        <v>12</v>
      </c>
      <c r="M1382" s="32" t="n">
        <v>72</v>
      </c>
      <c r="N1382" s="31" t="n">
        <v>17056.82</v>
      </c>
      <c r="O1382" s="31" t="n">
        <v>17149.7</v>
      </c>
      <c r="P1382" s="22" t="n">
        <v>0</v>
      </c>
      <c r="Q1382" s="22" t="n">
        <v>0</v>
      </c>
      <c r="R1382" s="22" t="n">
        <v>0</v>
      </c>
    </row>
    <row r="1383">
      <c r="A1383" s="22" t="n">
        <v>201807</v>
      </c>
      <c r="B1383" s="22" t="inlineStr">
        <is>
          <t>07/2018</t>
        </is>
      </c>
      <c r="C1383" s="22" t="n">
        <v>10</v>
      </c>
      <c r="D1383" s="22" t="inlineStr">
        <is>
          <t>S10</t>
        </is>
      </c>
      <c r="E1383" s="22" t="inlineStr">
        <is>
          <t>Nexa Nunavut (S10)</t>
        </is>
      </c>
      <c r="F1383" s="22" t="inlineStr">
        <is>
          <t>Canada</t>
        </is>
      </c>
      <c r="G1383" s="22" t="inlineStr">
        <is>
          <t>POS</t>
        </is>
      </c>
      <c r="H1383" s="31" t="n">
        <v>15514.47</v>
      </c>
      <c r="I1383" s="31" t="n">
        <v>0</v>
      </c>
      <c r="J1383" s="31" t="n">
        <v>15514.47</v>
      </c>
      <c r="K1383" s="31" t="n">
        <v>7961</v>
      </c>
      <c r="L1383" s="32" t="n">
        <v>6</v>
      </c>
      <c r="M1383" s="32" t="n">
        <v>36</v>
      </c>
      <c r="N1383" s="31" t="n">
        <v>7553.47</v>
      </c>
      <c r="O1383" s="31" t="n">
        <v>15514.47</v>
      </c>
      <c r="P1383" s="22" t="n">
        <v>0</v>
      </c>
      <c r="Q1383" s="22" t="n">
        <v>0</v>
      </c>
      <c r="R1383" s="22" t="n">
        <v>0</v>
      </c>
    </row>
    <row r="1384">
      <c r="A1384" s="22" t="n">
        <v>201807</v>
      </c>
      <c r="B1384" s="22" t="inlineStr">
        <is>
          <t>07/2018</t>
        </is>
      </c>
      <c r="C1384" s="22" t="n">
        <v>13</v>
      </c>
      <c r="D1384" s="22" t="inlineStr">
        <is>
          <t>S13</t>
        </is>
      </c>
      <c r="E1384" s="22" t="inlineStr">
        <is>
          <t>Nexa Corse (S13)</t>
        </is>
      </c>
      <c r="F1384" s="22" t="inlineStr">
        <is>
          <t>Pháp</t>
        </is>
      </c>
      <c r="G1384" s="22" t="inlineStr">
        <is>
          <t>POS</t>
        </is>
      </c>
      <c r="H1384" s="31" t="n">
        <v>865.98</v>
      </c>
      <c r="I1384" s="31" t="n">
        <v>0</v>
      </c>
      <c r="J1384" s="31" t="n">
        <v>865.98</v>
      </c>
      <c r="K1384" s="31" t="n">
        <v>0</v>
      </c>
      <c r="L1384" s="32" t="n">
        <v>1</v>
      </c>
      <c r="M1384" s="32" t="n">
        <v>6</v>
      </c>
      <c r="N1384" s="31" t="n">
        <v>865.98</v>
      </c>
      <c r="O1384" s="31" t="n">
        <v>865.98</v>
      </c>
      <c r="P1384" s="22" t="n">
        <v>0</v>
      </c>
      <c r="Q1384" s="22" t="n">
        <v>0</v>
      </c>
      <c r="R1384" s="22" t="n">
        <v>0</v>
      </c>
    </row>
    <row r="1385">
      <c r="A1385" s="22" t="n">
        <v>201807</v>
      </c>
      <c r="B1385" s="22" t="inlineStr">
        <is>
          <t>07/2018</t>
        </is>
      </c>
      <c r="C1385" s="22" t="n">
        <v>15</v>
      </c>
      <c r="D1385" s="22" t="inlineStr">
        <is>
          <t>S15</t>
        </is>
      </c>
      <c r="E1385" s="22" t="inlineStr">
        <is>
          <t>Nexa La Réunion (S15)</t>
        </is>
      </c>
      <c r="F1385" s="22" t="inlineStr">
        <is>
          <t>Pháp</t>
        </is>
      </c>
      <c r="G1385" s="22" t="inlineStr">
        <is>
          <t>POS</t>
        </is>
      </c>
      <c r="H1385" s="31" t="n">
        <v>4875.94</v>
      </c>
      <c r="I1385" s="31" t="n">
        <v>0</v>
      </c>
      <c r="J1385" s="31" t="n">
        <v>4875.94</v>
      </c>
      <c r="K1385" s="31" t="n">
        <v>0</v>
      </c>
      <c r="L1385" s="32" t="n">
        <v>1</v>
      </c>
      <c r="M1385" s="32" t="n">
        <v>15</v>
      </c>
      <c r="N1385" s="31" t="n">
        <v>4875.94</v>
      </c>
      <c r="O1385" s="31" t="n">
        <v>4875.94</v>
      </c>
      <c r="P1385" s="22" t="n">
        <v>0</v>
      </c>
      <c r="Q1385" s="22" t="n">
        <v>0</v>
      </c>
      <c r="R1385" s="22" t="n">
        <v>0</v>
      </c>
    </row>
    <row r="1386">
      <c r="A1386" s="22" t="n">
        <v>201807</v>
      </c>
      <c r="B1386" s="22" t="inlineStr">
        <is>
          <t>07/2018</t>
        </is>
      </c>
      <c r="C1386" s="22" t="n">
        <v>16</v>
      </c>
      <c r="D1386" s="22" t="inlineStr">
        <is>
          <t>S16</t>
        </is>
      </c>
      <c r="E1386" s="22" t="inlineStr">
        <is>
          <t>Nexa Limousin (S16)</t>
        </is>
      </c>
      <c r="F1386" s="22" t="inlineStr">
        <is>
          <t>Pháp</t>
        </is>
      </c>
      <c r="G1386" s="22" t="inlineStr">
        <is>
          <t>POS</t>
        </is>
      </c>
      <c r="H1386" s="31" t="n">
        <v>1356.82</v>
      </c>
      <c r="I1386" s="31" t="n">
        <v>0</v>
      </c>
      <c r="J1386" s="31" t="n">
        <v>1356.82</v>
      </c>
      <c r="K1386" s="31" t="n">
        <v>0</v>
      </c>
      <c r="L1386" s="32" t="n">
        <v>1</v>
      </c>
      <c r="M1386" s="32" t="n">
        <v>23</v>
      </c>
      <c r="N1386" s="31" t="n">
        <v>1356.82</v>
      </c>
      <c r="O1386" s="31" t="n">
        <v>1356.82</v>
      </c>
      <c r="P1386" s="22" t="n">
        <v>0</v>
      </c>
      <c r="Q1386" s="22" t="n">
        <v>0</v>
      </c>
      <c r="R1386" s="22" t="n">
        <v>0</v>
      </c>
    </row>
    <row r="1387">
      <c r="A1387" s="22" t="n">
        <v>201807</v>
      </c>
      <c r="B1387" s="22" t="inlineStr">
        <is>
          <t>07/2018</t>
        </is>
      </c>
      <c r="C1387" s="22" t="n">
        <v>18</v>
      </c>
      <c r="D1387" s="22" t="inlineStr">
        <is>
          <t>S18</t>
        </is>
      </c>
      <c r="E1387" s="22" t="inlineStr">
        <is>
          <t>Nexa Mayotte (S18)</t>
        </is>
      </c>
      <c r="F1387" s="22" t="inlineStr">
        <is>
          <t>Pháp</t>
        </is>
      </c>
      <c r="G1387" s="22" t="inlineStr">
        <is>
          <t>POS</t>
        </is>
      </c>
      <c r="H1387" s="31" t="n">
        <v>10963.32</v>
      </c>
      <c r="I1387" s="31" t="n">
        <v>0</v>
      </c>
      <c r="J1387" s="31" t="n">
        <v>10963.32</v>
      </c>
      <c r="K1387" s="31" t="n">
        <v>0</v>
      </c>
      <c r="L1387" s="32" t="n">
        <v>3</v>
      </c>
      <c r="M1387" s="32" t="n">
        <v>31</v>
      </c>
      <c r="N1387" s="31" t="n">
        <v>10963.32</v>
      </c>
      <c r="O1387" s="31" t="n">
        <v>10963.32</v>
      </c>
      <c r="P1387" s="22" t="n">
        <v>0</v>
      </c>
      <c r="Q1387" s="22" t="n">
        <v>0</v>
      </c>
      <c r="R1387" s="22" t="n">
        <v>0</v>
      </c>
    </row>
    <row r="1388">
      <c r="A1388" s="22" t="n">
        <v>201807</v>
      </c>
      <c r="B1388" s="22" t="inlineStr">
        <is>
          <t>07/2018</t>
        </is>
      </c>
      <c r="C1388" s="22" t="n">
        <v>19</v>
      </c>
      <c r="D1388" s="22" t="inlineStr">
        <is>
          <t>S19</t>
        </is>
      </c>
      <c r="E1388" s="22" t="inlineStr">
        <is>
          <t>Nexa Berlin (S19)</t>
        </is>
      </c>
      <c r="F1388" s="22" t="inlineStr">
        <is>
          <t>Đức</t>
        </is>
      </c>
      <c r="G1388" s="22" t="inlineStr">
        <is>
          <t>POS</t>
        </is>
      </c>
      <c r="H1388" s="31" t="n">
        <v>18308.98</v>
      </c>
      <c r="I1388" s="31" t="n">
        <v>0</v>
      </c>
      <c r="J1388" s="31" t="n">
        <v>18308.98</v>
      </c>
      <c r="K1388" s="31" t="n">
        <v>0</v>
      </c>
      <c r="L1388" s="32" t="n">
        <v>6</v>
      </c>
      <c r="M1388" s="32" t="n">
        <v>52</v>
      </c>
      <c r="N1388" s="31" t="n">
        <v>18308.98</v>
      </c>
      <c r="O1388" s="31" t="n">
        <v>18308.98</v>
      </c>
      <c r="P1388" s="22" t="n">
        <v>0</v>
      </c>
      <c r="Q1388" s="22" t="n">
        <v>0</v>
      </c>
      <c r="R1388" s="22" t="n">
        <v>0</v>
      </c>
    </row>
    <row r="1389">
      <c r="A1389" s="22" t="n">
        <v>201807</v>
      </c>
      <c r="B1389" s="22" t="inlineStr">
        <is>
          <t>07/2018</t>
        </is>
      </c>
      <c r="C1389" s="22" t="n">
        <v>20</v>
      </c>
      <c r="D1389" s="22" t="inlineStr">
        <is>
          <t>S20</t>
        </is>
      </c>
      <c r="E1389" s="22" t="inlineStr">
        <is>
          <t>Nexa Brandenburg (S20)</t>
        </is>
      </c>
      <c r="F1389" s="22" t="inlineStr">
        <is>
          <t>Đức</t>
        </is>
      </c>
      <c r="G1389" s="22" t="inlineStr">
        <is>
          <t>POS</t>
        </is>
      </c>
      <c r="H1389" s="31" t="n">
        <v>816.36</v>
      </c>
      <c r="I1389" s="31" t="n">
        <v>0</v>
      </c>
      <c r="J1389" s="31" t="n">
        <v>816.36</v>
      </c>
      <c r="K1389" s="31" t="n">
        <v>804</v>
      </c>
      <c r="L1389" s="32" t="n">
        <v>3</v>
      </c>
      <c r="M1389" s="32" t="n">
        <v>12</v>
      </c>
      <c r="N1389" s="31" t="n">
        <v>12.36</v>
      </c>
      <c r="O1389" s="31" t="n">
        <v>816.36</v>
      </c>
      <c r="P1389" s="22" t="n">
        <v>0</v>
      </c>
      <c r="Q1389" s="22" t="n">
        <v>0</v>
      </c>
      <c r="R1389" s="22" t="n">
        <v>0</v>
      </c>
    </row>
    <row r="1390">
      <c r="A1390" s="22" t="n">
        <v>201807</v>
      </c>
      <c r="B1390" s="22" t="inlineStr">
        <is>
          <t>07/2018</t>
        </is>
      </c>
      <c r="C1390" s="22" t="n">
        <v>21</v>
      </c>
      <c r="D1390" s="22" t="inlineStr">
        <is>
          <t>S21</t>
        </is>
      </c>
      <c r="E1390" s="22" t="inlineStr">
        <is>
          <t>Nexa Freie Hansestadt Bremen (S21)</t>
        </is>
      </c>
      <c r="F1390" s="22" t="inlineStr">
        <is>
          <t>Đức</t>
        </is>
      </c>
      <c r="G1390" s="22" t="inlineStr">
        <is>
          <t>POS</t>
        </is>
      </c>
      <c r="H1390" s="31" t="n">
        <v>2592.21</v>
      </c>
      <c r="I1390" s="31" t="n">
        <v>0</v>
      </c>
      <c r="J1390" s="31" t="n">
        <v>2592.21</v>
      </c>
      <c r="K1390" s="31" t="n">
        <v>0</v>
      </c>
      <c r="L1390" s="32" t="n">
        <v>2</v>
      </c>
      <c r="M1390" s="32" t="n">
        <v>23</v>
      </c>
      <c r="N1390" s="31" t="n">
        <v>2592.21</v>
      </c>
      <c r="O1390" s="31" t="n">
        <v>2592.21</v>
      </c>
      <c r="P1390" s="22" t="n">
        <v>0</v>
      </c>
      <c r="Q1390" s="22" t="n">
        <v>0</v>
      </c>
      <c r="R1390" s="22" t="n">
        <v>0</v>
      </c>
    </row>
    <row r="1391">
      <c r="A1391" s="22" t="n">
        <v>201807</v>
      </c>
      <c r="B1391" s="22" t="inlineStr">
        <is>
          <t>07/2018</t>
        </is>
      </c>
      <c r="C1391" s="22" t="n">
        <v>22</v>
      </c>
      <c r="D1391" s="22" t="inlineStr">
        <is>
          <t>S22</t>
        </is>
      </c>
      <c r="E1391" s="22" t="inlineStr">
        <is>
          <t>Nexa Freistaat Thüringen (S22)</t>
        </is>
      </c>
      <c r="F1391" s="22" t="inlineStr">
        <is>
          <t>Đức</t>
        </is>
      </c>
      <c r="G1391" s="22" t="inlineStr">
        <is>
          <t>POS</t>
        </is>
      </c>
      <c r="H1391" s="31" t="n">
        <v>12797.63</v>
      </c>
      <c r="I1391" s="31" t="n">
        <v>0</v>
      </c>
      <c r="J1391" s="31" t="n">
        <v>12797.63</v>
      </c>
      <c r="K1391" s="31" t="n">
        <v>0</v>
      </c>
      <c r="L1391" s="32" t="n">
        <v>6</v>
      </c>
      <c r="M1391" s="32" t="n">
        <v>36</v>
      </c>
      <c r="N1391" s="31" t="n">
        <v>12797.63</v>
      </c>
      <c r="O1391" s="31" t="n">
        <v>12797.63</v>
      </c>
      <c r="P1391" s="22" t="n">
        <v>0</v>
      </c>
      <c r="Q1391" s="22" t="n">
        <v>0</v>
      </c>
      <c r="R1391" s="22" t="n">
        <v>0</v>
      </c>
    </row>
    <row r="1392">
      <c r="A1392" s="22" t="n">
        <v>201807</v>
      </c>
      <c r="B1392" s="22" t="inlineStr">
        <is>
          <t>07/2018</t>
        </is>
      </c>
      <c r="C1392" s="22" t="n">
        <v>23</v>
      </c>
      <c r="D1392" s="22" t="inlineStr">
        <is>
          <t>S23</t>
        </is>
      </c>
      <c r="E1392" s="22" t="inlineStr">
        <is>
          <t>Nexa Hamburg (S23)</t>
        </is>
      </c>
      <c r="F1392" s="22" t="inlineStr">
        <is>
          <t>Đức</t>
        </is>
      </c>
      <c r="G1392" s="22" t="inlineStr">
        <is>
          <t>POS</t>
        </is>
      </c>
      <c r="H1392" s="31" t="n">
        <v>4894.94</v>
      </c>
      <c r="I1392" s="31" t="n">
        <v>0</v>
      </c>
      <c r="J1392" s="31" t="n">
        <v>4894.94</v>
      </c>
      <c r="K1392" s="31" t="n">
        <v>0</v>
      </c>
      <c r="L1392" s="32" t="n">
        <v>2</v>
      </c>
      <c r="M1392" s="32" t="n">
        <v>27</v>
      </c>
      <c r="N1392" s="31" t="n">
        <v>4894.94</v>
      </c>
      <c r="O1392" s="31" t="n">
        <v>4894.94</v>
      </c>
      <c r="P1392" s="22" t="n">
        <v>0</v>
      </c>
      <c r="Q1392" s="22" t="n">
        <v>0</v>
      </c>
      <c r="R1392" s="22" t="n">
        <v>0</v>
      </c>
    </row>
    <row r="1393">
      <c r="A1393" s="22" t="n">
        <v>201807</v>
      </c>
      <c r="B1393" s="22" t="inlineStr">
        <is>
          <t>07/2018</t>
        </is>
      </c>
      <c r="C1393" s="22" t="n">
        <v>24</v>
      </c>
      <c r="D1393" s="22" t="inlineStr">
        <is>
          <t>S24</t>
        </is>
      </c>
      <c r="E1393" s="22" t="inlineStr">
        <is>
          <t>Nexa Hessen (S24)</t>
        </is>
      </c>
      <c r="F1393" s="22" t="inlineStr">
        <is>
          <t>Đức</t>
        </is>
      </c>
      <c r="G1393" s="22" t="inlineStr">
        <is>
          <t>POS</t>
        </is>
      </c>
      <c r="H1393" s="31" t="n">
        <v>4644.35</v>
      </c>
      <c r="I1393" s="31" t="n">
        <v>0</v>
      </c>
      <c r="J1393" s="31" t="n">
        <v>4644.35</v>
      </c>
      <c r="K1393" s="31" t="n">
        <v>0</v>
      </c>
      <c r="L1393" s="32" t="n">
        <v>7</v>
      </c>
      <c r="M1393" s="32" t="n">
        <v>38</v>
      </c>
      <c r="N1393" s="31" t="n">
        <v>4644.35</v>
      </c>
      <c r="O1393" s="31" t="n">
        <v>4644.35</v>
      </c>
      <c r="P1393" s="22" t="n">
        <v>0</v>
      </c>
      <c r="Q1393" s="22" t="n">
        <v>0</v>
      </c>
      <c r="R1393" s="22" t="n">
        <v>0</v>
      </c>
    </row>
    <row r="1394">
      <c r="A1394" s="22" t="n">
        <v>201807</v>
      </c>
      <c r="B1394" s="22" t="inlineStr">
        <is>
          <t>07/2018</t>
        </is>
      </c>
      <c r="C1394" s="22" t="n">
        <v>27</v>
      </c>
      <c r="D1394" s="22" t="inlineStr">
        <is>
          <t>S27</t>
        </is>
      </c>
      <c r="E1394" s="22" t="inlineStr">
        <is>
          <t>Nexa Sachsen-Anhalt (S27)</t>
        </is>
      </c>
      <c r="F1394" s="22" t="inlineStr">
        <is>
          <t>Đức</t>
        </is>
      </c>
      <c r="G1394" s="22" t="inlineStr">
        <is>
          <t>POS</t>
        </is>
      </c>
      <c r="H1394" s="31" t="n">
        <v>947.9299999999999</v>
      </c>
      <c r="I1394" s="31" t="n">
        <v>0</v>
      </c>
      <c r="J1394" s="31" t="n">
        <v>947.9299999999999</v>
      </c>
      <c r="K1394" s="31" t="n">
        <v>0</v>
      </c>
      <c r="L1394" s="32" t="n">
        <v>3</v>
      </c>
      <c r="M1394" s="32" t="n">
        <v>18</v>
      </c>
      <c r="N1394" s="31" t="n">
        <v>947.9299999999999</v>
      </c>
      <c r="O1394" s="31" t="n">
        <v>947.9299999999999</v>
      </c>
      <c r="P1394" s="22" t="n">
        <v>0</v>
      </c>
      <c r="Q1394" s="22" t="n">
        <v>0</v>
      </c>
      <c r="R1394" s="22" t="n">
        <v>0</v>
      </c>
    </row>
    <row r="1395">
      <c r="A1395" s="22" t="n">
        <v>201807</v>
      </c>
      <c r="B1395" s="22" t="inlineStr">
        <is>
          <t>07/2018</t>
        </is>
      </c>
      <c r="C1395" s="22" t="n">
        <v>29</v>
      </c>
      <c r="D1395" s="22" t="inlineStr">
        <is>
          <t>S29</t>
        </is>
      </c>
      <c r="E1395" s="22" t="inlineStr">
        <is>
          <t>Nexa Enna (S29)</t>
        </is>
      </c>
      <c r="F1395" s="22" t="inlineStr">
        <is>
          <t>Ý</t>
        </is>
      </c>
      <c r="G1395" s="22" t="inlineStr">
        <is>
          <t>POS</t>
        </is>
      </c>
      <c r="H1395" s="31" t="n">
        <v>4724.45</v>
      </c>
      <c r="I1395" s="31" t="n">
        <v>0</v>
      </c>
      <c r="J1395" s="31" t="n">
        <v>4724.45</v>
      </c>
      <c r="K1395" s="31" t="n">
        <v>10255.99</v>
      </c>
      <c r="L1395" s="32" t="n">
        <v>6</v>
      </c>
      <c r="M1395" s="32" t="n">
        <v>28</v>
      </c>
      <c r="N1395" s="31" t="n">
        <v>-5531.54</v>
      </c>
      <c r="O1395" s="31" t="n">
        <v>4724.45</v>
      </c>
      <c r="P1395" s="22" t="n">
        <v>0</v>
      </c>
      <c r="Q1395" s="22" t="n">
        <v>0</v>
      </c>
      <c r="R1395" s="22" t="n">
        <v>0</v>
      </c>
    </row>
    <row r="1396">
      <c r="A1396" s="22" t="n">
        <v>201807</v>
      </c>
      <c r="B1396" s="22" t="inlineStr">
        <is>
          <t>07/2018</t>
        </is>
      </c>
      <c r="C1396" s="22" t="n">
        <v>30</v>
      </c>
      <c r="D1396" s="22" t="inlineStr">
        <is>
          <t>S30</t>
        </is>
      </c>
      <c r="E1396" s="22" t="inlineStr">
        <is>
          <t>Nexa Pesaro (S30)</t>
        </is>
      </c>
      <c r="F1396" s="22" t="inlineStr">
        <is>
          <t>Ý</t>
        </is>
      </c>
      <c r="G1396" s="22" t="inlineStr">
        <is>
          <t>POS</t>
        </is>
      </c>
      <c r="H1396" s="31" t="n">
        <v>3041.98</v>
      </c>
      <c r="I1396" s="31" t="n">
        <v>0</v>
      </c>
      <c r="J1396" s="31" t="n">
        <v>3041.98</v>
      </c>
      <c r="K1396" s="31" t="n">
        <v>0</v>
      </c>
      <c r="L1396" s="32" t="n">
        <v>2</v>
      </c>
      <c r="M1396" s="32" t="n">
        <v>13</v>
      </c>
      <c r="N1396" s="31" t="n">
        <v>3041.98</v>
      </c>
      <c r="O1396" s="31" t="n">
        <v>3041.98</v>
      </c>
      <c r="P1396" s="22" t="n">
        <v>0</v>
      </c>
      <c r="Q1396" s="22" t="n">
        <v>0</v>
      </c>
      <c r="R1396" s="22" t="n">
        <v>0</v>
      </c>
    </row>
    <row r="1397">
      <c r="A1397" s="22" t="n">
        <v>201807</v>
      </c>
      <c r="B1397" s="22" t="inlineStr">
        <is>
          <t>07/2018</t>
        </is>
      </c>
      <c r="C1397" s="22" t="n">
        <v>31</v>
      </c>
      <c r="D1397" s="22" t="inlineStr">
        <is>
          <t>S31</t>
        </is>
      </c>
      <c r="E1397" s="22" t="inlineStr">
        <is>
          <t>Nexa Drenthe (S31)</t>
        </is>
      </c>
      <c r="F1397" s="22" t="inlineStr">
        <is>
          <t>Hà Lan</t>
        </is>
      </c>
      <c r="G1397" s="22" t="inlineStr">
        <is>
          <t>POS</t>
        </is>
      </c>
      <c r="H1397" s="31" t="n">
        <v>79</v>
      </c>
      <c r="I1397" s="31" t="n">
        <v>0</v>
      </c>
      <c r="J1397" s="31" t="n">
        <v>79</v>
      </c>
      <c r="K1397" s="31" t="n">
        <v>0</v>
      </c>
      <c r="L1397" s="32" t="n">
        <v>1</v>
      </c>
      <c r="M1397" s="32" t="n">
        <v>1</v>
      </c>
      <c r="N1397" s="31" t="n">
        <v>79</v>
      </c>
      <c r="O1397" s="31" t="n">
        <v>79</v>
      </c>
      <c r="P1397" s="22" t="n">
        <v>0</v>
      </c>
      <c r="Q1397" s="22" t="n">
        <v>0</v>
      </c>
      <c r="R1397" s="22" t="n">
        <v>0</v>
      </c>
    </row>
    <row r="1398">
      <c r="A1398" s="22" t="n">
        <v>201807</v>
      </c>
      <c r="B1398" s="22" t="inlineStr">
        <is>
          <t>07/2018</t>
        </is>
      </c>
      <c r="C1398" s="22" t="n">
        <v>32</v>
      </c>
      <c r="D1398" s="22" t="inlineStr">
        <is>
          <t>S32</t>
        </is>
      </c>
      <c r="E1398" s="22" t="inlineStr">
        <is>
          <t>Nexa Flevoland (S32)</t>
        </is>
      </c>
      <c r="F1398" s="22" t="inlineStr">
        <is>
          <t>Hà Lan</t>
        </is>
      </c>
      <c r="G1398" s="22" t="inlineStr">
        <is>
          <t>POS</t>
        </is>
      </c>
      <c r="H1398" s="31" t="n">
        <v>5788.48</v>
      </c>
      <c r="I1398" s="31" t="n">
        <v>0</v>
      </c>
      <c r="J1398" s="31" t="n">
        <v>5788.48</v>
      </c>
      <c r="K1398" s="31" t="n">
        <v>0</v>
      </c>
      <c r="L1398" s="32" t="n">
        <v>3</v>
      </c>
      <c r="M1398" s="32" t="n">
        <v>18</v>
      </c>
      <c r="N1398" s="31" t="n">
        <v>5788.48</v>
      </c>
      <c r="O1398" s="31" t="n">
        <v>5788.48</v>
      </c>
      <c r="P1398" s="22" t="n">
        <v>0</v>
      </c>
      <c r="Q1398" s="22" t="n">
        <v>0</v>
      </c>
      <c r="R1398" s="22" t="n">
        <v>0</v>
      </c>
    </row>
    <row r="1399">
      <c r="A1399" s="22" t="n">
        <v>201807</v>
      </c>
      <c r="B1399" s="22" t="inlineStr">
        <is>
          <t>07/2018</t>
        </is>
      </c>
      <c r="C1399" s="22" t="n">
        <v>33</v>
      </c>
      <c r="D1399" s="22" t="inlineStr">
        <is>
          <t>S33</t>
        </is>
      </c>
      <c r="E1399" s="22" t="inlineStr">
        <is>
          <t>Nexa Friesland (S33)</t>
        </is>
      </c>
      <c r="F1399" s="22" t="inlineStr">
        <is>
          <t>Hà Lan</t>
        </is>
      </c>
      <c r="G1399" s="22" t="inlineStr">
        <is>
          <t>POS</t>
        </is>
      </c>
      <c r="H1399" s="31" t="n">
        <v>913.29</v>
      </c>
      <c r="I1399" s="31" t="n">
        <v>0</v>
      </c>
      <c r="J1399" s="31" t="n">
        <v>913.29</v>
      </c>
      <c r="K1399" s="31" t="n">
        <v>0</v>
      </c>
      <c r="L1399" s="32" t="n">
        <v>3</v>
      </c>
      <c r="M1399" s="32" t="n">
        <v>12</v>
      </c>
      <c r="N1399" s="31" t="n">
        <v>913.29</v>
      </c>
      <c r="O1399" s="31" t="n">
        <v>913.29</v>
      </c>
      <c r="P1399" s="22" t="n">
        <v>0</v>
      </c>
      <c r="Q1399" s="22" t="n">
        <v>0</v>
      </c>
      <c r="R1399" s="22" t="n">
        <v>0</v>
      </c>
    </row>
    <row r="1400">
      <c r="A1400" s="22" t="n">
        <v>201807</v>
      </c>
      <c r="B1400" s="22" t="inlineStr">
        <is>
          <t>07/2018</t>
        </is>
      </c>
      <c r="C1400" s="22" t="n">
        <v>34</v>
      </c>
      <c r="D1400" s="22" t="inlineStr">
        <is>
          <t>S34</t>
        </is>
      </c>
      <c r="E1400" s="22" t="inlineStr">
        <is>
          <t>Nexa Groningen (S34)</t>
        </is>
      </c>
      <c r="F1400" s="22" t="inlineStr">
        <is>
          <t>Hà Lan</t>
        </is>
      </c>
      <c r="G1400" s="22" t="inlineStr">
        <is>
          <t>POS</t>
        </is>
      </c>
      <c r="H1400" s="31" t="n">
        <v>758</v>
      </c>
      <c r="I1400" s="31" t="n">
        <v>0</v>
      </c>
      <c r="J1400" s="31" t="n">
        <v>758</v>
      </c>
      <c r="K1400" s="31" t="n">
        <v>0</v>
      </c>
      <c r="L1400" s="32" t="n">
        <v>1</v>
      </c>
      <c r="M1400" s="32" t="n">
        <v>1</v>
      </c>
      <c r="N1400" s="31" t="n">
        <v>758</v>
      </c>
      <c r="O1400" s="31" t="n">
        <v>758</v>
      </c>
      <c r="P1400" s="22" t="n">
        <v>0</v>
      </c>
      <c r="Q1400" s="22" t="n">
        <v>0</v>
      </c>
      <c r="R1400" s="22" t="n">
        <v>0</v>
      </c>
    </row>
    <row r="1401">
      <c r="A1401" s="22" t="n">
        <v>201807</v>
      </c>
      <c r="B1401" s="22" t="inlineStr">
        <is>
          <t>07/2018</t>
        </is>
      </c>
      <c r="C1401" s="22" t="n">
        <v>36</v>
      </c>
      <c r="D1401" s="22" t="inlineStr">
        <is>
          <t>S36</t>
        </is>
      </c>
      <c r="E1401" s="22" t="inlineStr">
        <is>
          <t>Nexa Armagh (S36)</t>
        </is>
      </c>
      <c r="F1401" s="22" t="inlineStr">
        <is>
          <t>Anh</t>
        </is>
      </c>
      <c r="G1401" s="22" t="inlineStr">
        <is>
          <t>POS</t>
        </is>
      </c>
      <c r="H1401" s="31" t="n">
        <v>10814.94</v>
      </c>
      <c r="I1401" s="31" t="n">
        <v>0</v>
      </c>
      <c r="J1401" s="31" t="n">
        <v>10814.94</v>
      </c>
      <c r="K1401" s="31" t="n">
        <v>0</v>
      </c>
      <c r="L1401" s="32" t="n">
        <v>9</v>
      </c>
      <c r="M1401" s="32" t="n">
        <v>70</v>
      </c>
      <c r="N1401" s="31" t="n">
        <v>10814.94</v>
      </c>
      <c r="O1401" s="31" t="n">
        <v>10814.94</v>
      </c>
      <c r="P1401" s="22" t="n">
        <v>0</v>
      </c>
      <c r="Q1401" s="22" t="n">
        <v>0</v>
      </c>
      <c r="R1401" s="22" t="n">
        <v>0</v>
      </c>
    </row>
    <row r="1402">
      <c r="A1402" s="22" t="n">
        <v>201807</v>
      </c>
      <c r="B1402" s="22" t="inlineStr">
        <is>
          <t>07/2018</t>
        </is>
      </c>
      <c r="C1402" s="22" t="n">
        <v>37</v>
      </c>
      <c r="D1402" s="22" t="inlineStr">
        <is>
          <t>S37</t>
        </is>
      </c>
      <c r="E1402" s="22" t="inlineStr">
        <is>
          <t>Nexa Ayrshire (S37)</t>
        </is>
      </c>
      <c r="F1402" s="22" t="inlineStr">
        <is>
          <t>Anh</t>
        </is>
      </c>
      <c r="G1402" s="22" t="inlineStr">
        <is>
          <t>POS</t>
        </is>
      </c>
      <c r="H1402" s="31" t="n">
        <v>16220.04</v>
      </c>
      <c r="I1402" s="31" t="n">
        <v>0</v>
      </c>
      <c r="J1402" s="31" t="n">
        <v>16220.04</v>
      </c>
      <c r="K1402" s="31" t="n">
        <v>663</v>
      </c>
      <c r="L1402" s="32" t="n">
        <v>6</v>
      </c>
      <c r="M1402" s="32" t="n">
        <v>57</v>
      </c>
      <c r="N1402" s="31" t="n">
        <v>15557.04</v>
      </c>
      <c r="O1402" s="31" t="n">
        <v>16220.04</v>
      </c>
      <c r="P1402" s="22" t="n">
        <v>0</v>
      </c>
      <c r="Q1402" s="22" t="n">
        <v>0</v>
      </c>
      <c r="R1402" s="22" t="n">
        <v>0</v>
      </c>
    </row>
    <row r="1403">
      <c r="A1403" s="22" t="n">
        <v>201807</v>
      </c>
      <c r="B1403" s="22" t="inlineStr">
        <is>
          <t>07/2018</t>
        </is>
      </c>
      <c r="C1403" s="22" t="n">
        <v>38</v>
      </c>
      <c r="D1403" s="22" t="inlineStr">
        <is>
          <t>S38</t>
        </is>
      </c>
      <c r="E1403" s="22" t="inlineStr">
        <is>
          <t>Nexa Belfast (S38)</t>
        </is>
      </c>
      <c r="F1403" s="22" t="inlineStr">
        <is>
          <t>Anh</t>
        </is>
      </c>
      <c r="G1403" s="22" t="inlineStr">
        <is>
          <t>POS</t>
        </is>
      </c>
      <c r="H1403" s="31" t="n">
        <v>19556.51</v>
      </c>
      <c r="I1403" s="31" t="n">
        <v>0</v>
      </c>
      <c r="J1403" s="31" t="n">
        <v>19556.51</v>
      </c>
      <c r="K1403" s="31" t="n">
        <v>1687.97</v>
      </c>
      <c r="L1403" s="32" t="n">
        <v>8</v>
      </c>
      <c r="M1403" s="32" t="n">
        <v>61</v>
      </c>
      <c r="N1403" s="31" t="n">
        <v>17868.54</v>
      </c>
      <c r="O1403" s="31" t="n">
        <v>19556.51</v>
      </c>
      <c r="P1403" s="22" t="n">
        <v>0</v>
      </c>
      <c r="Q1403" s="22" t="n">
        <v>0</v>
      </c>
      <c r="R1403" s="22" t="n">
        <v>0</v>
      </c>
    </row>
    <row r="1404">
      <c r="A1404" s="22" t="n">
        <v>201807</v>
      </c>
      <c r="B1404" s="22" t="inlineStr">
        <is>
          <t>07/2018</t>
        </is>
      </c>
      <c r="C1404" s="22" t="n">
        <v>39</v>
      </c>
      <c r="D1404" s="22" t="inlineStr">
        <is>
          <t>S39</t>
        </is>
      </c>
      <c r="E1404" s="22" t="inlineStr">
        <is>
          <t>Nexa Blaenau Gwent (S39)</t>
        </is>
      </c>
      <c r="F1404" s="22" t="inlineStr">
        <is>
          <t>Anh</t>
        </is>
      </c>
      <c r="G1404" s="22" t="inlineStr">
        <is>
          <t>POS</t>
        </is>
      </c>
      <c r="H1404" s="31" t="n">
        <v>13425.96</v>
      </c>
      <c r="I1404" s="31" t="n">
        <v>0</v>
      </c>
      <c r="J1404" s="31" t="n">
        <v>13425.96</v>
      </c>
      <c r="K1404" s="31" t="n">
        <v>0</v>
      </c>
      <c r="L1404" s="32" t="n">
        <v>5</v>
      </c>
      <c r="M1404" s="32" t="n">
        <v>61</v>
      </c>
      <c r="N1404" s="31" t="n">
        <v>13425.96</v>
      </c>
      <c r="O1404" s="31" t="n">
        <v>13425.96</v>
      </c>
      <c r="P1404" s="22" t="n">
        <v>0</v>
      </c>
      <c r="Q1404" s="22" t="n">
        <v>0</v>
      </c>
      <c r="R1404" s="22" t="n">
        <v>0</v>
      </c>
    </row>
    <row r="1405">
      <c r="A1405" s="22" t="n">
        <v>201807</v>
      </c>
      <c r="B1405" s="22" t="inlineStr">
        <is>
          <t>07/2018</t>
        </is>
      </c>
      <c r="C1405" s="22" t="n">
        <v>40</v>
      </c>
      <c r="D1405" s="22" t="inlineStr">
        <is>
          <t>S40</t>
        </is>
      </c>
      <c r="E1405" s="22" t="inlineStr">
        <is>
          <t>Nexa Dungannon and South Tyrone (S40)</t>
        </is>
      </c>
      <c r="F1405" s="22" t="inlineStr">
        <is>
          <t>Anh</t>
        </is>
      </c>
      <c r="G1405" s="22" t="inlineStr">
        <is>
          <t>POS</t>
        </is>
      </c>
      <c r="H1405" s="31" t="n">
        <v>13686.78</v>
      </c>
      <c r="I1405" s="31" t="n">
        <v>0</v>
      </c>
      <c r="J1405" s="31" t="n">
        <v>13686.78</v>
      </c>
      <c r="K1405" s="31" t="n">
        <v>0</v>
      </c>
      <c r="L1405" s="32" t="n">
        <v>6</v>
      </c>
      <c r="M1405" s="32" t="n">
        <v>43</v>
      </c>
      <c r="N1405" s="31" t="n">
        <v>13686.78</v>
      </c>
      <c r="O1405" s="31" t="n">
        <v>13686.78</v>
      </c>
      <c r="P1405" s="22" t="n">
        <v>1</v>
      </c>
      <c r="Q1405" s="22" t="n">
        <v>0</v>
      </c>
      <c r="R1405" s="22" t="n">
        <v>0</v>
      </c>
    </row>
    <row r="1406">
      <c r="A1406" s="22" t="n">
        <v>201807</v>
      </c>
      <c r="B1406" s="22" t="inlineStr">
        <is>
          <t>07/2018</t>
        </is>
      </c>
      <c r="C1406" s="22" t="n">
        <v>41</v>
      </c>
      <c r="D1406" s="22" t="inlineStr">
        <is>
          <t>S41</t>
        </is>
      </c>
      <c r="E1406" s="22" t="inlineStr">
        <is>
          <t>Nexa Fermanagh (S41)</t>
        </is>
      </c>
      <c r="F1406" s="22" t="inlineStr">
        <is>
          <t>Anh</t>
        </is>
      </c>
      <c r="G1406" s="22" t="inlineStr">
        <is>
          <t>POS</t>
        </is>
      </c>
      <c r="H1406" s="31" t="n">
        <v>20276.91</v>
      </c>
      <c r="I1406" s="31" t="n">
        <v>0</v>
      </c>
      <c r="J1406" s="31" t="n">
        <v>20276.91</v>
      </c>
      <c r="K1406" s="31" t="n">
        <v>348.94</v>
      </c>
      <c r="L1406" s="32" t="n">
        <v>5</v>
      </c>
      <c r="M1406" s="32" t="n">
        <v>53</v>
      </c>
      <c r="N1406" s="31" t="n">
        <v>19927.97</v>
      </c>
      <c r="O1406" s="31" t="n">
        <v>20276.91</v>
      </c>
      <c r="P1406" s="22" t="n">
        <v>1</v>
      </c>
      <c r="Q1406" s="22" t="n">
        <v>0</v>
      </c>
      <c r="R1406" s="22" t="n">
        <v>0</v>
      </c>
    </row>
    <row r="1407">
      <c r="A1407" s="22" t="n">
        <v>201807</v>
      </c>
      <c r="B1407" s="22" t="inlineStr">
        <is>
          <t>07/2018</t>
        </is>
      </c>
      <c r="C1407" s="22" t="n">
        <v>42</v>
      </c>
      <c r="D1407" s="22" t="inlineStr">
        <is>
          <t>S42</t>
        </is>
      </c>
      <c r="E1407" s="22" t="inlineStr">
        <is>
          <t>Nexa North Down (S42)</t>
        </is>
      </c>
      <c r="F1407" s="22" t="inlineStr">
        <is>
          <t>Anh</t>
        </is>
      </c>
      <c r="G1407" s="22" t="inlineStr">
        <is>
          <t>POS</t>
        </is>
      </c>
      <c r="H1407" s="31" t="n">
        <v>18986.73</v>
      </c>
      <c r="I1407" s="31" t="n">
        <v>0</v>
      </c>
      <c r="J1407" s="31" t="n">
        <v>18986.73</v>
      </c>
      <c r="K1407" s="31" t="n">
        <v>0</v>
      </c>
      <c r="L1407" s="32" t="n">
        <v>9</v>
      </c>
      <c r="M1407" s="32" t="n">
        <v>70</v>
      </c>
      <c r="N1407" s="31" t="n">
        <v>18986.73</v>
      </c>
      <c r="O1407" s="31" t="n">
        <v>18986.73</v>
      </c>
      <c r="P1407" s="22" t="n">
        <v>0</v>
      </c>
      <c r="Q1407" s="22" t="n">
        <v>0</v>
      </c>
      <c r="R1407" s="22" t="n">
        <v>0</v>
      </c>
    </row>
    <row r="1408">
      <c r="A1408" s="22" t="n">
        <v>201807</v>
      </c>
      <c r="B1408" s="22" t="inlineStr">
        <is>
          <t>07/2018</t>
        </is>
      </c>
      <c r="C1408" s="22" t="n">
        <v>43</v>
      </c>
      <c r="D1408" s="22" t="inlineStr">
        <is>
          <t>S43</t>
        </is>
      </c>
      <c r="E1408" s="22" t="inlineStr">
        <is>
          <t>Nexa Alaska (S43)</t>
        </is>
      </c>
      <c r="F1408" s="22" t="inlineStr">
        <is>
          <t>Mỹ</t>
        </is>
      </c>
      <c r="G1408" s="22" t="inlineStr">
        <is>
          <t>POS</t>
        </is>
      </c>
      <c r="H1408" s="31" t="n">
        <v>14288.55</v>
      </c>
      <c r="I1408" s="31" t="n">
        <v>0</v>
      </c>
      <c r="J1408" s="31" t="n">
        <v>14288.55</v>
      </c>
      <c r="K1408" s="31" t="n">
        <v>108</v>
      </c>
      <c r="L1408" s="32" t="n">
        <v>6</v>
      </c>
      <c r="M1408" s="32" t="n">
        <v>54</v>
      </c>
      <c r="N1408" s="31" t="n">
        <v>14180.55</v>
      </c>
      <c r="O1408" s="31" t="n">
        <v>14288.55</v>
      </c>
      <c r="P1408" s="22" t="n">
        <v>0</v>
      </c>
      <c r="Q1408" s="22" t="n">
        <v>0</v>
      </c>
      <c r="R1408" s="22" t="n">
        <v>0</v>
      </c>
    </row>
    <row r="1409">
      <c r="A1409" s="22" t="n">
        <v>201807</v>
      </c>
      <c r="B1409" s="22" t="inlineStr">
        <is>
          <t>07/2018</t>
        </is>
      </c>
      <c r="C1409" s="22" t="n">
        <v>44</v>
      </c>
      <c r="D1409" s="22" t="inlineStr">
        <is>
          <t>S44</t>
        </is>
      </c>
      <c r="E1409" s="22" t="inlineStr">
        <is>
          <t>Nexa Arkansas (S44)</t>
        </is>
      </c>
      <c r="F1409" s="22" t="inlineStr">
        <is>
          <t>Mỹ</t>
        </is>
      </c>
      <c r="G1409" s="22" t="inlineStr">
        <is>
          <t>POS</t>
        </is>
      </c>
      <c r="H1409" s="31" t="n">
        <v>19552.62</v>
      </c>
      <c r="I1409" s="31" t="n">
        <v>0</v>
      </c>
      <c r="J1409" s="31" t="n">
        <v>19552.62</v>
      </c>
      <c r="K1409" s="31" t="n">
        <v>1098.99</v>
      </c>
      <c r="L1409" s="32" t="n">
        <v>10</v>
      </c>
      <c r="M1409" s="32" t="n">
        <v>88</v>
      </c>
      <c r="N1409" s="31" t="n">
        <v>18453.63</v>
      </c>
      <c r="O1409" s="31" t="n">
        <v>19552.62</v>
      </c>
      <c r="P1409" s="22" t="n">
        <v>0</v>
      </c>
      <c r="Q1409" s="22" t="n">
        <v>0</v>
      </c>
      <c r="R1409" s="22" t="n">
        <v>0</v>
      </c>
    </row>
    <row r="1410">
      <c r="A1410" s="22" t="n">
        <v>201807</v>
      </c>
      <c r="B1410" s="22" t="inlineStr">
        <is>
          <t>07/2018</t>
        </is>
      </c>
      <c r="C1410" s="22" t="n">
        <v>45</v>
      </c>
      <c r="D1410" s="22" t="inlineStr">
        <is>
          <t>S45</t>
        </is>
      </c>
      <c r="E1410" s="22" t="inlineStr">
        <is>
          <t>Nexa Connecticut (S45)</t>
        </is>
      </c>
      <c r="F1410" s="22" t="inlineStr">
        <is>
          <t>Mỹ</t>
        </is>
      </c>
      <c r="G1410" s="22" t="inlineStr">
        <is>
          <t>POS</t>
        </is>
      </c>
      <c r="H1410" s="31" t="n">
        <v>28149.15</v>
      </c>
      <c r="I1410" s="31" t="n">
        <v>0</v>
      </c>
      <c r="J1410" s="31" t="n">
        <v>28149.15</v>
      </c>
      <c r="K1410" s="31" t="n">
        <v>1803.5</v>
      </c>
      <c r="L1410" s="32" t="n">
        <v>12</v>
      </c>
      <c r="M1410" s="32" t="n">
        <v>68</v>
      </c>
      <c r="N1410" s="31" t="n">
        <v>26345.65</v>
      </c>
      <c r="O1410" s="31" t="n">
        <v>28149.15</v>
      </c>
      <c r="P1410" s="22" t="n">
        <v>0</v>
      </c>
      <c r="Q1410" s="22" t="n">
        <v>0</v>
      </c>
      <c r="R1410" s="22" t="n">
        <v>0</v>
      </c>
    </row>
    <row r="1411">
      <c r="A1411" s="22" t="n">
        <v>201807</v>
      </c>
      <c r="B1411" s="22" t="inlineStr">
        <is>
          <t>07/2018</t>
        </is>
      </c>
      <c r="C1411" s="22" t="n">
        <v>47</v>
      </c>
      <c r="D1411" s="22" t="inlineStr">
        <is>
          <t>S47</t>
        </is>
      </c>
      <c r="E1411" s="22" t="inlineStr">
        <is>
          <t>Nexa Hawaii (S47)</t>
        </is>
      </c>
      <c r="F1411" s="22" t="inlineStr">
        <is>
          <t>Mỹ</t>
        </is>
      </c>
      <c r="G1411" s="22" t="inlineStr">
        <is>
          <t>POS</t>
        </is>
      </c>
      <c r="H1411" s="31" t="n">
        <v>25146.96</v>
      </c>
      <c r="I1411" s="31" t="n">
        <v>0</v>
      </c>
      <c r="J1411" s="31" t="n">
        <v>25146.96</v>
      </c>
      <c r="K1411" s="31" t="n">
        <v>0</v>
      </c>
      <c r="L1411" s="32" t="n">
        <v>13</v>
      </c>
      <c r="M1411" s="32" t="n">
        <v>86</v>
      </c>
      <c r="N1411" s="31" t="n">
        <v>25146.96</v>
      </c>
      <c r="O1411" s="31" t="n">
        <v>25146.96</v>
      </c>
      <c r="P1411" s="22" t="n">
        <v>0</v>
      </c>
      <c r="Q1411" s="22" t="n">
        <v>0</v>
      </c>
      <c r="R1411" s="22" t="n">
        <v>0</v>
      </c>
    </row>
    <row r="1412">
      <c r="A1412" s="22" t="n">
        <v>201807</v>
      </c>
      <c r="B1412" s="22" t="inlineStr">
        <is>
          <t>07/2018</t>
        </is>
      </c>
      <c r="C1412" s="22" t="n">
        <v>48</v>
      </c>
      <c r="D1412" s="22" t="inlineStr">
        <is>
          <t>S48</t>
        </is>
      </c>
      <c r="E1412" s="22" t="inlineStr">
        <is>
          <t>Nexa Idaho (S48)</t>
        </is>
      </c>
      <c r="F1412" s="22" t="inlineStr">
        <is>
          <t>Mỹ</t>
        </is>
      </c>
      <c r="G1412" s="22" t="inlineStr">
        <is>
          <t>POS</t>
        </is>
      </c>
      <c r="H1412" s="31" t="n">
        <v>23138.79</v>
      </c>
      <c r="I1412" s="31" t="n">
        <v>0</v>
      </c>
      <c r="J1412" s="31" t="n">
        <v>23138.79</v>
      </c>
      <c r="K1412" s="31" t="n">
        <v>1804</v>
      </c>
      <c r="L1412" s="32" t="n">
        <v>16</v>
      </c>
      <c r="M1412" s="32" t="n">
        <v>118</v>
      </c>
      <c r="N1412" s="31" t="n">
        <v>21334.79</v>
      </c>
      <c r="O1412" s="31" t="n">
        <v>23138.79</v>
      </c>
      <c r="P1412" s="22" t="n">
        <v>0</v>
      </c>
      <c r="Q1412" s="22" t="n">
        <v>0</v>
      </c>
      <c r="R1412" s="22" t="n">
        <v>0</v>
      </c>
    </row>
    <row r="1413">
      <c r="A1413" s="22" t="n">
        <v>201807</v>
      </c>
      <c r="B1413" s="22" t="inlineStr">
        <is>
          <t>07/2018</t>
        </is>
      </c>
      <c r="C1413" s="22" t="n">
        <v>49</v>
      </c>
      <c r="D1413" s="22" t="inlineStr">
        <is>
          <t>S49</t>
        </is>
      </c>
      <c r="E1413" s="22" t="inlineStr">
        <is>
          <t>Nexa Iowa (S49)</t>
        </is>
      </c>
      <c r="F1413" s="22" t="inlineStr">
        <is>
          <t>Mỹ</t>
        </is>
      </c>
      <c r="G1413" s="22" t="inlineStr">
        <is>
          <t>POS</t>
        </is>
      </c>
      <c r="H1413" s="31" t="n">
        <v>48842.37</v>
      </c>
      <c r="I1413" s="31" t="n">
        <v>0</v>
      </c>
      <c r="J1413" s="31" t="n">
        <v>48842.37</v>
      </c>
      <c r="K1413" s="31" t="n">
        <v>497.88</v>
      </c>
      <c r="L1413" s="32" t="n">
        <v>15</v>
      </c>
      <c r="M1413" s="32" t="n">
        <v>134</v>
      </c>
      <c r="N1413" s="31" t="n">
        <v>48344.49</v>
      </c>
      <c r="O1413" s="31" t="n">
        <v>48842.37</v>
      </c>
      <c r="P1413" s="22" t="n">
        <v>0</v>
      </c>
      <c r="Q1413" s="22" t="n">
        <v>0</v>
      </c>
      <c r="R1413" s="22" t="n">
        <v>0</v>
      </c>
    </row>
    <row r="1414">
      <c r="A1414" s="22" t="n">
        <v>201807</v>
      </c>
      <c r="B1414" s="22" t="inlineStr">
        <is>
          <t>07/2018</t>
        </is>
      </c>
      <c r="C1414" s="22" t="n">
        <v>50</v>
      </c>
      <c r="D1414" s="22" t="inlineStr">
        <is>
          <t>S50</t>
        </is>
      </c>
      <c r="E1414" s="22" t="inlineStr">
        <is>
          <t>Nexa Kansas (S50)</t>
        </is>
      </c>
      <c r="F1414" s="22" t="inlineStr">
        <is>
          <t>Mỹ</t>
        </is>
      </c>
      <c r="G1414" s="22" t="inlineStr">
        <is>
          <t>POS</t>
        </is>
      </c>
      <c r="H1414" s="31" t="n">
        <v>26595.53</v>
      </c>
      <c r="I1414" s="31" t="n">
        <v>0</v>
      </c>
      <c r="J1414" s="31" t="n">
        <v>26595.53</v>
      </c>
      <c r="K1414" s="31" t="n">
        <v>3495</v>
      </c>
      <c r="L1414" s="32" t="n">
        <v>10</v>
      </c>
      <c r="M1414" s="32" t="n">
        <v>68</v>
      </c>
      <c r="N1414" s="31" t="n">
        <v>23100.53</v>
      </c>
      <c r="O1414" s="31" t="n">
        <v>26595.53</v>
      </c>
      <c r="P1414" s="22" t="n">
        <v>1</v>
      </c>
      <c r="Q1414" s="22" t="n">
        <v>0</v>
      </c>
      <c r="R1414" s="22" t="n">
        <v>0</v>
      </c>
    </row>
    <row r="1415">
      <c r="A1415" s="22" t="n">
        <v>201807</v>
      </c>
      <c r="B1415" s="22" t="inlineStr">
        <is>
          <t>07/2018</t>
        </is>
      </c>
      <c r="C1415" s="22" t="n">
        <v>51</v>
      </c>
      <c r="D1415" s="22" t="inlineStr">
        <is>
          <t>S51</t>
        </is>
      </c>
      <c r="E1415" s="22" t="inlineStr">
        <is>
          <t>Nexa Maine (S51)</t>
        </is>
      </c>
      <c r="F1415" s="22" t="inlineStr">
        <is>
          <t>Mỹ</t>
        </is>
      </c>
      <c r="G1415" s="22" t="inlineStr">
        <is>
          <t>POS</t>
        </is>
      </c>
      <c r="H1415" s="31" t="n">
        <v>25771.85</v>
      </c>
      <c r="I1415" s="31" t="n">
        <v>0</v>
      </c>
      <c r="J1415" s="31" t="n">
        <v>25771.85</v>
      </c>
      <c r="K1415" s="31" t="n">
        <v>282.06</v>
      </c>
      <c r="L1415" s="32" t="n">
        <v>12</v>
      </c>
      <c r="M1415" s="32" t="n">
        <v>92</v>
      </c>
      <c r="N1415" s="31" t="n">
        <v>25489.79</v>
      </c>
      <c r="O1415" s="31" t="n">
        <v>25771.85</v>
      </c>
      <c r="P1415" s="22" t="n">
        <v>1</v>
      </c>
      <c r="Q1415" s="22" t="n">
        <v>0</v>
      </c>
      <c r="R1415" s="22" t="n">
        <v>0</v>
      </c>
    </row>
    <row r="1416">
      <c r="A1416" s="22" t="n">
        <v>201807</v>
      </c>
      <c r="B1416" s="22" t="inlineStr">
        <is>
          <t>07/2018</t>
        </is>
      </c>
      <c r="C1416" s="22" t="n">
        <v>53</v>
      </c>
      <c r="D1416" s="22" t="inlineStr">
        <is>
          <t>S53</t>
        </is>
      </c>
      <c r="E1416" s="22" t="inlineStr">
        <is>
          <t>Nexa Montana (S53)</t>
        </is>
      </c>
      <c r="F1416" s="22" t="inlineStr">
        <is>
          <t>Mỹ</t>
        </is>
      </c>
      <c r="G1416" s="22" t="inlineStr">
        <is>
          <t>POS</t>
        </is>
      </c>
      <c r="H1416" s="31" t="n">
        <v>13493.55</v>
      </c>
      <c r="I1416" s="31" t="n">
        <v>0</v>
      </c>
      <c r="J1416" s="31" t="n">
        <v>13493.55</v>
      </c>
      <c r="K1416" s="31" t="n">
        <v>2999.5</v>
      </c>
      <c r="L1416" s="32" t="n">
        <v>6</v>
      </c>
      <c r="M1416" s="32" t="n">
        <v>34</v>
      </c>
      <c r="N1416" s="31" t="n">
        <v>10494.05</v>
      </c>
      <c r="O1416" s="31" t="n">
        <v>13493.55</v>
      </c>
      <c r="P1416" s="22" t="n">
        <v>0</v>
      </c>
      <c r="Q1416" s="22" t="n">
        <v>0</v>
      </c>
      <c r="R1416" s="22" t="n">
        <v>0</v>
      </c>
    </row>
    <row r="1417">
      <c r="A1417" s="22" t="n">
        <v>201807</v>
      </c>
      <c r="B1417" s="22" t="inlineStr">
        <is>
          <t>07/2018</t>
        </is>
      </c>
      <c r="C1417" s="22" t="n">
        <v>54</v>
      </c>
      <c r="D1417" s="22" t="inlineStr">
        <is>
          <t>S54</t>
        </is>
      </c>
      <c r="E1417" s="22" t="inlineStr">
        <is>
          <t>Nexa Nebraska (S54)</t>
        </is>
      </c>
      <c r="F1417" s="22" t="inlineStr">
        <is>
          <t>Mỹ</t>
        </is>
      </c>
      <c r="G1417" s="22" t="inlineStr">
        <is>
          <t>POS</t>
        </is>
      </c>
      <c r="H1417" s="31" t="n">
        <v>19081.6</v>
      </c>
      <c r="I1417" s="31" t="n">
        <v>0</v>
      </c>
      <c r="J1417" s="31" t="n">
        <v>19081.6</v>
      </c>
      <c r="K1417" s="31" t="n">
        <v>3359.79</v>
      </c>
      <c r="L1417" s="32" t="n">
        <v>10</v>
      </c>
      <c r="M1417" s="32" t="n">
        <v>62</v>
      </c>
      <c r="N1417" s="31" t="n">
        <v>15721.81</v>
      </c>
      <c r="O1417" s="31" t="n">
        <v>19081.6</v>
      </c>
      <c r="P1417" s="22" t="n">
        <v>1</v>
      </c>
      <c r="Q1417" s="22" t="n">
        <v>0</v>
      </c>
      <c r="R1417" s="22" t="n">
        <v>0</v>
      </c>
    </row>
    <row r="1418">
      <c r="A1418" s="22" t="n">
        <v>201807</v>
      </c>
      <c r="B1418" s="22" t="inlineStr">
        <is>
          <t>07/2018</t>
        </is>
      </c>
      <c r="C1418" s="22" t="n">
        <v>55</v>
      </c>
      <c r="D1418" s="22" t="inlineStr">
        <is>
          <t>S55</t>
        </is>
      </c>
      <c r="E1418" s="22" t="inlineStr">
        <is>
          <t>Nexa Nevada (S55)</t>
        </is>
      </c>
      <c r="F1418" s="22" t="inlineStr">
        <is>
          <t>Mỹ</t>
        </is>
      </c>
      <c r="G1418" s="22" t="inlineStr">
        <is>
          <t>POS</t>
        </is>
      </c>
      <c r="H1418" s="31" t="n">
        <v>18573.05</v>
      </c>
      <c r="I1418" s="31" t="n">
        <v>0</v>
      </c>
      <c r="J1418" s="31" t="n">
        <v>18573.05</v>
      </c>
      <c r="K1418" s="31" t="n">
        <v>129.99</v>
      </c>
      <c r="L1418" s="32" t="n">
        <v>5</v>
      </c>
      <c r="M1418" s="32" t="n">
        <v>48</v>
      </c>
      <c r="N1418" s="31" t="n">
        <v>18443.06</v>
      </c>
      <c r="O1418" s="31" t="n">
        <v>18573.05</v>
      </c>
      <c r="P1418" s="22" t="n">
        <v>0</v>
      </c>
      <c r="Q1418" s="22" t="n">
        <v>0</v>
      </c>
      <c r="R1418" s="22" t="n">
        <v>0</v>
      </c>
    </row>
    <row r="1419">
      <c r="A1419" s="22" t="n">
        <v>201807</v>
      </c>
      <c r="B1419" s="22" t="inlineStr">
        <is>
          <t>07/2018</t>
        </is>
      </c>
      <c r="C1419" s="22" t="n">
        <v>56</v>
      </c>
      <c r="D1419" s="22" t="inlineStr">
        <is>
          <t>S56</t>
        </is>
      </c>
      <c r="E1419" s="22" t="inlineStr">
        <is>
          <t>Nexa New Hampshire (S56)</t>
        </is>
      </c>
      <c r="F1419" s="22" t="inlineStr">
        <is>
          <t>Mỹ</t>
        </is>
      </c>
      <c r="G1419" s="22" t="inlineStr">
        <is>
          <t>POS</t>
        </is>
      </c>
      <c r="H1419" s="31" t="n">
        <v>20595.56</v>
      </c>
      <c r="I1419" s="31" t="n">
        <v>0</v>
      </c>
      <c r="J1419" s="31" t="n">
        <v>20595.56</v>
      </c>
      <c r="K1419" s="31" t="n">
        <v>798</v>
      </c>
      <c r="L1419" s="32" t="n">
        <v>10</v>
      </c>
      <c r="M1419" s="32" t="n">
        <v>61</v>
      </c>
      <c r="N1419" s="31" t="n">
        <v>19797.56</v>
      </c>
      <c r="O1419" s="31" t="n">
        <v>20595.56</v>
      </c>
      <c r="P1419" s="22" t="n">
        <v>0</v>
      </c>
      <c r="Q1419" s="22" t="n">
        <v>0</v>
      </c>
      <c r="R1419" s="22" t="n">
        <v>0</v>
      </c>
    </row>
    <row r="1420">
      <c r="A1420" s="22" t="n">
        <v>201807</v>
      </c>
      <c r="B1420" s="22" t="inlineStr">
        <is>
          <t>07/2018</t>
        </is>
      </c>
      <c r="C1420" s="22" t="n">
        <v>57</v>
      </c>
      <c r="D1420" s="22" t="inlineStr">
        <is>
          <t>S57</t>
        </is>
      </c>
      <c r="E1420" s="22" t="inlineStr">
        <is>
          <t>Nexa New Mexico (S57)</t>
        </is>
      </c>
      <c r="F1420" s="22" t="inlineStr">
        <is>
          <t>Mỹ</t>
        </is>
      </c>
      <c r="G1420" s="22" t="inlineStr">
        <is>
          <t>POS</t>
        </is>
      </c>
      <c r="H1420" s="31" t="n">
        <v>17187.47</v>
      </c>
      <c r="I1420" s="31" t="n">
        <v>0</v>
      </c>
      <c r="J1420" s="31" t="n">
        <v>17187.47</v>
      </c>
      <c r="K1420" s="31" t="n">
        <v>0</v>
      </c>
      <c r="L1420" s="32" t="n">
        <v>5</v>
      </c>
      <c r="M1420" s="32" t="n">
        <v>46</v>
      </c>
      <c r="N1420" s="31" t="n">
        <v>17187.47</v>
      </c>
      <c r="O1420" s="31" t="n">
        <v>17187.47</v>
      </c>
      <c r="P1420" s="22" t="n">
        <v>0</v>
      </c>
      <c r="Q1420" s="22" t="n">
        <v>0</v>
      </c>
      <c r="R1420" s="22" t="n">
        <v>0</v>
      </c>
    </row>
    <row r="1421">
      <c r="A1421" s="22" t="n">
        <v>201807</v>
      </c>
      <c r="B1421" s="22" t="inlineStr">
        <is>
          <t>07/2018</t>
        </is>
      </c>
      <c r="C1421" s="22" t="n">
        <v>59</v>
      </c>
      <c r="D1421" s="22" t="inlineStr">
        <is>
          <t>S59</t>
        </is>
      </c>
      <c r="E1421" s="22" t="inlineStr">
        <is>
          <t>Nexa Oregon (S59)</t>
        </is>
      </c>
      <c r="F1421" s="22" t="inlineStr">
        <is>
          <t>Mỹ</t>
        </is>
      </c>
      <c r="G1421" s="22" t="inlineStr">
        <is>
          <t>POS</t>
        </is>
      </c>
      <c r="H1421" s="31" t="n">
        <v>19969.95</v>
      </c>
      <c r="I1421" s="31" t="n">
        <v>0</v>
      </c>
      <c r="J1421" s="31" t="n">
        <v>19969.95</v>
      </c>
      <c r="K1421" s="31" t="n">
        <v>0</v>
      </c>
      <c r="L1421" s="32" t="n">
        <v>6</v>
      </c>
      <c r="M1421" s="32" t="n">
        <v>62</v>
      </c>
      <c r="N1421" s="31" t="n">
        <v>19969.95</v>
      </c>
      <c r="O1421" s="31" t="n">
        <v>19969.95</v>
      </c>
      <c r="P1421" s="22" t="n">
        <v>1</v>
      </c>
      <c r="Q1421" s="22" t="n">
        <v>0</v>
      </c>
      <c r="R1421" s="22" t="n">
        <v>0</v>
      </c>
    </row>
    <row r="1422">
      <c r="A1422" s="22" t="n">
        <v>201807</v>
      </c>
      <c r="B1422" s="22" t="inlineStr">
        <is>
          <t>07/2018</t>
        </is>
      </c>
      <c r="C1422" s="22" t="n">
        <v>61</v>
      </c>
      <c r="D1422" s="22" t="inlineStr">
        <is>
          <t>S61</t>
        </is>
      </c>
      <c r="E1422" s="22" t="inlineStr">
        <is>
          <t>Nexa South Carolina (S61)</t>
        </is>
      </c>
      <c r="F1422" s="22" t="inlineStr">
        <is>
          <t>Mỹ</t>
        </is>
      </c>
      <c r="G1422" s="22" t="inlineStr">
        <is>
          <t>POS</t>
        </is>
      </c>
      <c r="H1422" s="31" t="n">
        <v>45578.94</v>
      </c>
      <c r="I1422" s="31" t="n">
        <v>0</v>
      </c>
      <c r="J1422" s="31" t="n">
        <v>45578.94</v>
      </c>
      <c r="K1422" s="31" t="n">
        <v>2972</v>
      </c>
      <c r="L1422" s="32" t="n">
        <v>13</v>
      </c>
      <c r="M1422" s="32" t="n">
        <v>139</v>
      </c>
      <c r="N1422" s="31" t="n">
        <v>42606.94</v>
      </c>
      <c r="O1422" s="31" t="n">
        <v>45578.94</v>
      </c>
      <c r="P1422" s="22" t="n">
        <v>0</v>
      </c>
      <c r="Q1422" s="22" t="n">
        <v>0</v>
      </c>
      <c r="R1422" s="22" t="n">
        <v>0</v>
      </c>
    </row>
    <row r="1423">
      <c r="A1423" s="22" t="n">
        <v>201807</v>
      </c>
      <c r="B1423" s="22" t="inlineStr">
        <is>
          <t>07/2018</t>
        </is>
      </c>
      <c r="C1423" s="22" t="n">
        <v>62</v>
      </c>
      <c r="D1423" s="22" t="inlineStr">
        <is>
          <t>S62</t>
        </is>
      </c>
      <c r="E1423" s="22" t="inlineStr">
        <is>
          <t>Nexa South Dakota (S62)</t>
        </is>
      </c>
      <c r="F1423" s="22" t="inlineStr">
        <is>
          <t>Mỹ</t>
        </is>
      </c>
      <c r="G1423" s="22" t="inlineStr">
        <is>
          <t>POS</t>
        </is>
      </c>
      <c r="H1423" s="31" t="n">
        <v>42377.39</v>
      </c>
      <c r="I1423" s="31" t="n">
        <v>0</v>
      </c>
      <c r="J1423" s="31" t="n">
        <v>42377.39</v>
      </c>
      <c r="K1423" s="31" t="n">
        <v>599</v>
      </c>
      <c r="L1423" s="32" t="n">
        <v>12</v>
      </c>
      <c r="M1423" s="32" t="n">
        <v>92</v>
      </c>
      <c r="N1423" s="31" t="n">
        <v>41778.39</v>
      </c>
      <c r="O1423" s="31" t="n">
        <v>42377.39</v>
      </c>
      <c r="P1423" s="22" t="n">
        <v>0</v>
      </c>
      <c r="Q1423" s="22" t="n">
        <v>0</v>
      </c>
      <c r="R1423" s="22" t="n">
        <v>0</v>
      </c>
    </row>
    <row r="1424">
      <c r="A1424" s="22" t="n">
        <v>201807</v>
      </c>
      <c r="B1424" s="22" t="inlineStr">
        <is>
          <t>07/2018</t>
        </is>
      </c>
      <c r="C1424" s="22" t="n">
        <v>63</v>
      </c>
      <c r="D1424" s="22" t="inlineStr">
        <is>
          <t>S63</t>
        </is>
      </c>
      <c r="E1424" s="22" t="inlineStr">
        <is>
          <t>Nexa Utah (S63)</t>
        </is>
      </c>
      <c r="F1424" s="22" t="inlineStr">
        <is>
          <t>Mỹ</t>
        </is>
      </c>
      <c r="G1424" s="22" t="inlineStr">
        <is>
          <t>POS</t>
        </is>
      </c>
      <c r="H1424" s="31" t="n">
        <v>19872.62</v>
      </c>
      <c r="I1424" s="31" t="n">
        <v>0</v>
      </c>
      <c r="J1424" s="31" t="n">
        <v>19872.62</v>
      </c>
      <c r="K1424" s="31" t="n">
        <v>57.88</v>
      </c>
      <c r="L1424" s="32" t="n">
        <v>10</v>
      </c>
      <c r="M1424" s="32" t="n">
        <v>74</v>
      </c>
      <c r="N1424" s="31" t="n">
        <v>19814.74</v>
      </c>
      <c r="O1424" s="31" t="n">
        <v>19872.62</v>
      </c>
      <c r="P1424" s="22" t="n">
        <v>1</v>
      </c>
      <c r="Q1424" s="22" t="n">
        <v>0</v>
      </c>
      <c r="R1424" s="22" t="n">
        <v>0</v>
      </c>
    </row>
    <row r="1425">
      <c r="A1425" s="22" t="n">
        <v>201807</v>
      </c>
      <c r="B1425" s="22" t="inlineStr">
        <is>
          <t>07/2018</t>
        </is>
      </c>
      <c r="C1425" s="22" t="n">
        <v>64</v>
      </c>
      <c r="D1425" s="22" t="inlineStr">
        <is>
          <t>S64</t>
        </is>
      </c>
      <c r="E1425" s="22" t="inlineStr">
        <is>
          <t>Nexa Washington DC (S64)</t>
        </is>
      </c>
      <c r="F1425" s="22" t="inlineStr">
        <is>
          <t>Mỹ</t>
        </is>
      </c>
      <c r="G1425" s="22" t="inlineStr">
        <is>
          <t>POS</t>
        </is>
      </c>
      <c r="H1425" s="31" t="n">
        <v>17008.79</v>
      </c>
      <c r="I1425" s="31" t="n">
        <v>0</v>
      </c>
      <c r="J1425" s="31" t="n">
        <v>17008.79</v>
      </c>
      <c r="K1425" s="31" t="n">
        <v>1529.89</v>
      </c>
      <c r="L1425" s="32" t="n">
        <v>9</v>
      </c>
      <c r="M1425" s="32" t="n">
        <v>65</v>
      </c>
      <c r="N1425" s="31" t="n">
        <v>15478.9</v>
      </c>
      <c r="O1425" s="31" t="n">
        <v>17008.79</v>
      </c>
      <c r="P1425" s="22" t="n">
        <v>1</v>
      </c>
      <c r="Q1425" s="22" t="n">
        <v>0</v>
      </c>
      <c r="R1425" s="22" t="n">
        <v>0</v>
      </c>
    </row>
    <row r="1426">
      <c r="A1426" s="22" t="n">
        <v>201807</v>
      </c>
      <c r="B1426" s="22" t="inlineStr">
        <is>
          <t>07/2018</t>
        </is>
      </c>
      <c r="C1426" s="22" t="n">
        <v>65</v>
      </c>
      <c r="D1426" s="22" t="inlineStr">
        <is>
          <t>S65</t>
        </is>
      </c>
      <c r="E1426" s="22" t="inlineStr">
        <is>
          <t>Nexa West Virginia (S65)</t>
        </is>
      </c>
      <c r="F1426" s="22" t="inlineStr">
        <is>
          <t>Mỹ</t>
        </is>
      </c>
      <c r="G1426" s="22" t="inlineStr">
        <is>
          <t>POS</t>
        </is>
      </c>
      <c r="H1426" s="31" t="n">
        <v>30847.42</v>
      </c>
      <c r="I1426" s="31" t="n">
        <v>0</v>
      </c>
      <c r="J1426" s="31" t="n">
        <v>30847.42</v>
      </c>
      <c r="K1426" s="31" t="n">
        <v>0</v>
      </c>
      <c r="L1426" s="32" t="n">
        <v>12</v>
      </c>
      <c r="M1426" s="32" t="n">
        <v>89</v>
      </c>
      <c r="N1426" s="31" t="n">
        <v>30847.42</v>
      </c>
      <c r="O1426" s="31" t="n">
        <v>30847.42</v>
      </c>
      <c r="P1426" s="22" t="n">
        <v>1</v>
      </c>
      <c r="Q1426" s="22" t="n">
        <v>0</v>
      </c>
      <c r="R1426" s="22" t="n">
        <v>0</v>
      </c>
    </row>
    <row r="1427">
      <c r="A1427" s="22" t="n">
        <v>201807</v>
      </c>
      <c r="B1427" s="22" t="inlineStr">
        <is>
          <t>07/2018</t>
        </is>
      </c>
      <c r="C1427" s="22" t="n">
        <v>66</v>
      </c>
      <c r="D1427" s="22" t="inlineStr">
        <is>
          <t>S66</t>
        </is>
      </c>
      <c r="E1427" s="22" t="inlineStr">
        <is>
          <t>Nexa Wyoming (S66)</t>
        </is>
      </c>
      <c r="F1427" s="22" t="inlineStr">
        <is>
          <t>Mỹ</t>
        </is>
      </c>
      <c r="G1427" s="22" t="inlineStr">
        <is>
          <t>POS</t>
        </is>
      </c>
      <c r="H1427" s="31" t="n">
        <v>20253.34</v>
      </c>
      <c r="I1427" s="31" t="n">
        <v>0</v>
      </c>
      <c r="J1427" s="31" t="n">
        <v>20253.34</v>
      </c>
      <c r="K1427" s="31" t="n">
        <v>0</v>
      </c>
      <c r="L1427" s="32" t="n">
        <v>9</v>
      </c>
      <c r="M1427" s="32" t="n">
        <v>61</v>
      </c>
      <c r="N1427" s="31" t="n">
        <v>20253.34</v>
      </c>
      <c r="O1427" s="31" t="n">
        <v>20253.34</v>
      </c>
      <c r="P1427" s="22" t="n">
        <v>0</v>
      </c>
      <c r="Q1427" s="22" t="n">
        <v>0</v>
      </c>
      <c r="R1427" s="22" t="n">
        <v>0</v>
      </c>
    </row>
    <row r="1428">
      <c r="A1428" s="22" t="n">
        <v>201808</v>
      </c>
      <c r="B1428" s="22" t="inlineStr">
        <is>
          <t>08/2018</t>
        </is>
      </c>
      <c r="C1428" s="22" t="n">
        <v>0</v>
      </c>
      <c r="D1428" s="22" t="inlineStr">
        <is>
          <t>ONL</t>
        </is>
      </c>
      <c r="E1428" s="22" t="inlineStr">
        <is>
          <t>Nexa Online (website/app)</t>
        </is>
      </c>
      <c r="F1428" s="22" t="inlineStr">
        <is>
          <t>Online</t>
        </is>
      </c>
      <c r="G1428" s="22" t="inlineStr">
        <is>
          <t>ONLINE</t>
        </is>
      </c>
      <c r="H1428" s="31" t="n">
        <v>196549.82</v>
      </c>
      <c r="I1428" s="31" t="n">
        <v>12799.26</v>
      </c>
      <c r="J1428" s="31" t="n">
        <v>183750.56</v>
      </c>
      <c r="K1428" s="31" t="n">
        <v>1823.12</v>
      </c>
      <c r="L1428" s="32" t="n">
        <v>107</v>
      </c>
      <c r="M1428" s="32" t="n">
        <v>691</v>
      </c>
      <c r="N1428" s="31" t="n">
        <v>156976.62</v>
      </c>
      <c r="O1428" s="31" t="n">
        <v>158799.74</v>
      </c>
      <c r="P1428" s="22" t="n">
        <v>3</v>
      </c>
      <c r="Q1428" s="22" t="n">
        <v>0</v>
      </c>
      <c r="R1428" s="22" t="n">
        <v>2</v>
      </c>
    </row>
    <row r="1429">
      <c r="A1429" s="22" t="n">
        <v>201808</v>
      </c>
      <c r="B1429" s="22" t="inlineStr">
        <is>
          <t>08/2018</t>
        </is>
      </c>
      <c r="C1429" s="22" t="n">
        <v>1</v>
      </c>
      <c r="D1429" s="22" t="inlineStr">
        <is>
          <t>S01</t>
        </is>
      </c>
      <c r="E1429" s="22" t="inlineStr">
        <is>
          <t>Nexa Australian Capital Territory (S01)</t>
        </is>
      </c>
      <c r="F1429" s="22" t="inlineStr">
        <is>
          <t>Úc</t>
        </is>
      </c>
      <c r="G1429" s="22" t="inlineStr">
        <is>
          <t>POS</t>
        </is>
      </c>
      <c r="H1429" s="31" t="n">
        <v>676.9</v>
      </c>
      <c r="I1429" s="31" t="n">
        <v>17.7</v>
      </c>
      <c r="J1429" s="31" t="n">
        <v>659.2</v>
      </c>
      <c r="K1429" s="31" t="n">
        <v>0</v>
      </c>
      <c r="L1429" s="32" t="n">
        <v>2</v>
      </c>
      <c r="M1429" s="32" t="n">
        <v>3</v>
      </c>
      <c r="N1429" s="31" t="n">
        <v>659.2</v>
      </c>
      <c r="O1429" s="31" t="n">
        <v>659.2</v>
      </c>
      <c r="P1429" s="22" t="n">
        <v>0</v>
      </c>
      <c r="Q1429" s="22" t="n">
        <v>0</v>
      </c>
      <c r="R1429" s="22" t="n">
        <v>0</v>
      </c>
    </row>
    <row r="1430">
      <c r="A1430" s="22" t="n">
        <v>201808</v>
      </c>
      <c r="B1430" s="22" t="inlineStr">
        <is>
          <t>08/2018</t>
        </is>
      </c>
      <c r="C1430" s="22" t="n">
        <v>4</v>
      </c>
      <c r="D1430" s="22" t="inlineStr">
        <is>
          <t>S04</t>
        </is>
      </c>
      <c r="E1430" s="22" t="inlineStr">
        <is>
          <t>Nexa Tasmania (S04)</t>
        </is>
      </c>
      <c r="F1430" s="22" t="inlineStr">
        <is>
          <t>Úc</t>
        </is>
      </c>
      <c r="G1430" s="22" t="inlineStr">
        <is>
          <t>POS</t>
        </is>
      </c>
      <c r="H1430" s="31" t="n">
        <v>11056.11</v>
      </c>
      <c r="I1430" s="31" t="n">
        <v>476.16</v>
      </c>
      <c r="J1430" s="31" t="n">
        <v>10579.95</v>
      </c>
      <c r="K1430" s="31" t="n">
        <v>359.98</v>
      </c>
      <c r="L1430" s="32" t="n">
        <v>3</v>
      </c>
      <c r="M1430" s="32" t="n">
        <v>27</v>
      </c>
      <c r="N1430" s="31" t="n">
        <v>10219.97</v>
      </c>
      <c r="O1430" s="31" t="n">
        <v>10579.95</v>
      </c>
      <c r="P1430" s="22" t="n">
        <v>0</v>
      </c>
      <c r="Q1430" s="22" t="n">
        <v>0</v>
      </c>
      <c r="R1430" s="22" t="n">
        <v>0</v>
      </c>
    </row>
    <row r="1431">
      <c r="A1431" s="22" t="n">
        <v>201808</v>
      </c>
      <c r="B1431" s="22" t="inlineStr">
        <is>
          <t>08/2018</t>
        </is>
      </c>
      <c r="C1431" s="22" t="n">
        <v>5</v>
      </c>
      <c r="D1431" s="22" t="inlineStr">
        <is>
          <t>S05</t>
        </is>
      </c>
      <c r="E1431" s="22" t="inlineStr">
        <is>
          <t>Nexa Victoria (S05)</t>
        </is>
      </c>
      <c r="F1431" s="22" t="inlineStr">
        <is>
          <t>Úc</t>
        </is>
      </c>
      <c r="G1431" s="22" t="inlineStr">
        <is>
          <t>POS</t>
        </is>
      </c>
      <c r="H1431" s="31" t="n">
        <v>13895.97</v>
      </c>
      <c r="I1431" s="31" t="n">
        <v>420.52</v>
      </c>
      <c r="J1431" s="31" t="n">
        <v>13475.45</v>
      </c>
      <c r="K1431" s="31" t="n">
        <v>0</v>
      </c>
      <c r="L1431" s="32" t="n">
        <v>7</v>
      </c>
      <c r="M1431" s="32" t="n">
        <v>47</v>
      </c>
      <c r="N1431" s="31" t="n">
        <v>13475.45</v>
      </c>
      <c r="O1431" s="31" t="n">
        <v>13475.45</v>
      </c>
      <c r="P1431" s="22" t="n">
        <v>0</v>
      </c>
      <c r="Q1431" s="22" t="n">
        <v>0</v>
      </c>
      <c r="R1431" s="22" t="n">
        <v>0</v>
      </c>
    </row>
    <row r="1432">
      <c r="A1432" s="22" t="n">
        <v>201808</v>
      </c>
      <c r="B1432" s="22" t="inlineStr">
        <is>
          <t>08/2018</t>
        </is>
      </c>
      <c r="C1432" s="22" t="n">
        <v>6</v>
      </c>
      <c r="D1432" s="22" t="inlineStr">
        <is>
          <t>S06</t>
        </is>
      </c>
      <c r="E1432" s="22" t="inlineStr">
        <is>
          <t>Nexa Western Australia (S06)</t>
        </is>
      </c>
      <c r="F1432" s="22" t="inlineStr">
        <is>
          <t>Úc</t>
        </is>
      </c>
      <c r="G1432" s="22" t="inlineStr">
        <is>
          <t>POS</t>
        </is>
      </c>
      <c r="H1432" s="31" t="n">
        <v>13717.4</v>
      </c>
      <c r="I1432" s="31" t="n">
        <v>1118.86</v>
      </c>
      <c r="J1432" s="31" t="n">
        <v>12598.54</v>
      </c>
      <c r="K1432" s="31" t="n">
        <v>559</v>
      </c>
      <c r="L1432" s="32" t="n">
        <v>5</v>
      </c>
      <c r="M1432" s="32" t="n">
        <v>54</v>
      </c>
      <c r="N1432" s="31" t="n">
        <v>12039.54</v>
      </c>
      <c r="O1432" s="31" t="n">
        <v>12598.54</v>
      </c>
      <c r="P1432" s="22" t="n">
        <v>0</v>
      </c>
      <c r="Q1432" s="22" t="n">
        <v>0</v>
      </c>
      <c r="R1432" s="22" t="n">
        <v>0</v>
      </c>
    </row>
    <row r="1433">
      <c r="A1433" s="22" t="n">
        <v>201808</v>
      </c>
      <c r="B1433" s="22" t="inlineStr">
        <is>
          <t>08/2018</t>
        </is>
      </c>
      <c r="C1433" s="22" t="n">
        <v>8</v>
      </c>
      <c r="D1433" s="22" t="inlineStr">
        <is>
          <t>S08</t>
        </is>
      </c>
      <c r="E1433" s="22" t="inlineStr">
        <is>
          <t>Nexa Newfoundland and Labrador (S08)</t>
        </is>
      </c>
      <c r="F1433" s="22" t="inlineStr">
        <is>
          <t>Canada</t>
        </is>
      </c>
      <c r="G1433" s="22" t="inlineStr">
        <is>
          <t>POS</t>
        </is>
      </c>
      <c r="H1433" s="31" t="n">
        <v>12052.11</v>
      </c>
      <c r="I1433" s="31" t="n">
        <v>994.48</v>
      </c>
      <c r="J1433" s="31" t="n">
        <v>11057.63</v>
      </c>
      <c r="K1433" s="31" t="n">
        <v>334</v>
      </c>
      <c r="L1433" s="32" t="n">
        <v>11</v>
      </c>
      <c r="M1433" s="32" t="n">
        <v>93</v>
      </c>
      <c r="N1433" s="31" t="n">
        <v>10723.63</v>
      </c>
      <c r="O1433" s="31" t="n">
        <v>11057.63</v>
      </c>
      <c r="P1433" s="22" t="n">
        <v>0</v>
      </c>
      <c r="Q1433" s="22" t="n">
        <v>0</v>
      </c>
      <c r="R1433" s="22" t="n">
        <v>0</v>
      </c>
    </row>
    <row r="1434">
      <c r="A1434" s="22" t="n">
        <v>201808</v>
      </c>
      <c r="B1434" s="22" t="inlineStr">
        <is>
          <t>08/2018</t>
        </is>
      </c>
      <c r="C1434" s="22" t="n">
        <v>9</v>
      </c>
      <c r="D1434" s="22" t="inlineStr">
        <is>
          <t>S09</t>
        </is>
      </c>
      <c r="E1434" s="22" t="inlineStr">
        <is>
          <t>Nexa Northwest Territories (S09)</t>
        </is>
      </c>
      <c r="F1434" s="22" t="inlineStr">
        <is>
          <t>Canada</t>
        </is>
      </c>
      <c r="G1434" s="22" t="inlineStr">
        <is>
          <t>POS</t>
        </is>
      </c>
      <c r="H1434" s="31" t="n">
        <v>11012.21</v>
      </c>
      <c r="I1434" s="31" t="n">
        <v>404.95</v>
      </c>
      <c r="J1434" s="31" t="n">
        <v>10607.26</v>
      </c>
      <c r="K1434" s="31" t="n">
        <v>0</v>
      </c>
      <c r="L1434" s="32" t="n">
        <v>7</v>
      </c>
      <c r="M1434" s="32" t="n">
        <v>58</v>
      </c>
      <c r="N1434" s="31" t="n">
        <v>10607.26</v>
      </c>
      <c r="O1434" s="31" t="n">
        <v>10607.26</v>
      </c>
      <c r="P1434" s="22" t="n">
        <v>0</v>
      </c>
      <c r="Q1434" s="22" t="n">
        <v>0</v>
      </c>
      <c r="R1434" s="22" t="n">
        <v>0</v>
      </c>
    </row>
    <row r="1435">
      <c r="A1435" s="22" t="n">
        <v>201808</v>
      </c>
      <c r="B1435" s="22" t="inlineStr">
        <is>
          <t>08/2018</t>
        </is>
      </c>
      <c r="C1435" s="22" t="n">
        <v>10</v>
      </c>
      <c r="D1435" s="22" t="inlineStr">
        <is>
          <t>S10</t>
        </is>
      </c>
      <c r="E1435" s="22" t="inlineStr">
        <is>
          <t>Nexa Nunavut (S10)</t>
        </is>
      </c>
      <c r="F1435" s="22" t="inlineStr">
        <is>
          <t>Canada</t>
        </is>
      </c>
      <c r="G1435" s="22" t="inlineStr">
        <is>
          <t>POS</t>
        </is>
      </c>
      <c r="H1435" s="31" t="n">
        <v>38903.7</v>
      </c>
      <c r="I1435" s="31" t="n">
        <v>1228.02</v>
      </c>
      <c r="J1435" s="31" t="n">
        <v>37675.68</v>
      </c>
      <c r="K1435" s="31" t="n">
        <v>995.1900000000001</v>
      </c>
      <c r="L1435" s="32" t="n">
        <v>12</v>
      </c>
      <c r="M1435" s="32" t="n">
        <v>106</v>
      </c>
      <c r="N1435" s="31" t="n">
        <v>36860.44</v>
      </c>
      <c r="O1435" s="31" t="n">
        <v>37675.68</v>
      </c>
      <c r="P1435" s="22" t="n">
        <v>0</v>
      </c>
      <c r="Q1435" s="22" t="n">
        <v>0</v>
      </c>
      <c r="R1435" s="22" t="n">
        <v>0</v>
      </c>
    </row>
    <row r="1436">
      <c r="A1436" s="22" t="n">
        <v>201808</v>
      </c>
      <c r="B1436" s="22" t="inlineStr">
        <is>
          <t>08/2018</t>
        </is>
      </c>
      <c r="C1436" s="22" t="n">
        <v>12</v>
      </c>
      <c r="D1436" s="22" t="inlineStr">
        <is>
          <t>S12</t>
        </is>
      </c>
      <c r="E1436" s="22" t="inlineStr">
        <is>
          <t>Nexa Basse-Normandie (S12)</t>
        </is>
      </c>
      <c r="F1436" s="22" t="inlineStr">
        <is>
          <t>Pháp</t>
        </is>
      </c>
      <c r="G1436" s="22" t="inlineStr">
        <is>
          <t>POS</t>
        </is>
      </c>
      <c r="H1436" s="31" t="n">
        <v>2804.6</v>
      </c>
      <c r="I1436" s="31" t="n">
        <v>218.46</v>
      </c>
      <c r="J1436" s="31" t="n">
        <v>2586.14</v>
      </c>
      <c r="K1436" s="31" t="n">
        <v>0</v>
      </c>
      <c r="L1436" s="32" t="n">
        <v>2</v>
      </c>
      <c r="M1436" s="32" t="n">
        <v>11</v>
      </c>
      <c r="N1436" s="31" t="n">
        <v>2586.14</v>
      </c>
      <c r="O1436" s="31" t="n">
        <v>2586.14</v>
      </c>
      <c r="P1436" s="22" t="n">
        <v>0</v>
      </c>
      <c r="Q1436" s="22" t="n">
        <v>0</v>
      </c>
      <c r="R1436" s="22" t="n">
        <v>0</v>
      </c>
    </row>
    <row r="1437">
      <c r="A1437" s="22" t="n">
        <v>201808</v>
      </c>
      <c r="B1437" s="22" t="inlineStr">
        <is>
          <t>08/2018</t>
        </is>
      </c>
      <c r="C1437" s="22" t="n">
        <v>13</v>
      </c>
      <c r="D1437" s="22" t="inlineStr">
        <is>
          <t>S13</t>
        </is>
      </c>
      <c r="E1437" s="22" t="inlineStr">
        <is>
          <t>Nexa Corse (S13)</t>
        </is>
      </c>
      <c r="F1437" s="22" t="inlineStr">
        <is>
          <t>Pháp</t>
        </is>
      </c>
      <c r="G1437" s="22" t="inlineStr">
        <is>
          <t>POS</t>
        </is>
      </c>
      <c r="H1437" s="31" t="n">
        <v>8287.25</v>
      </c>
      <c r="I1437" s="31" t="n">
        <v>38.35</v>
      </c>
      <c r="J1437" s="31" t="n">
        <v>8248.9</v>
      </c>
      <c r="K1437" s="31" t="n">
        <v>0</v>
      </c>
      <c r="L1437" s="32" t="n">
        <v>3</v>
      </c>
      <c r="M1437" s="32" t="n">
        <v>19</v>
      </c>
      <c r="N1437" s="31" t="n">
        <v>8248.9</v>
      </c>
      <c r="O1437" s="31" t="n">
        <v>8248.9</v>
      </c>
      <c r="P1437" s="22" t="n">
        <v>0</v>
      </c>
      <c r="Q1437" s="22" t="n">
        <v>0</v>
      </c>
      <c r="R1437" s="22" t="n">
        <v>0</v>
      </c>
    </row>
    <row r="1438">
      <c r="A1438" s="22" t="n">
        <v>201808</v>
      </c>
      <c r="B1438" s="22" t="inlineStr">
        <is>
          <t>08/2018</t>
        </is>
      </c>
      <c r="C1438" s="22" t="n">
        <v>16</v>
      </c>
      <c r="D1438" s="22" t="inlineStr">
        <is>
          <t>S16</t>
        </is>
      </c>
      <c r="E1438" s="22" t="inlineStr">
        <is>
          <t>Nexa Limousin (S16)</t>
        </is>
      </c>
      <c r="F1438" s="22" t="inlineStr">
        <is>
          <t>Pháp</t>
        </is>
      </c>
      <c r="G1438" s="22" t="inlineStr">
        <is>
          <t>POS</t>
        </is>
      </c>
      <c r="H1438" s="31" t="n">
        <v>1752</v>
      </c>
      <c r="I1438" s="31" t="n">
        <v>0</v>
      </c>
      <c r="J1438" s="31" t="n">
        <v>1752</v>
      </c>
      <c r="K1438" s="31" t="n">
        <v>0</v>
      </c>
      <c r="L1438" s="32" t="n">
        <v>1</v>
      </c>
      <c r="M1438" s="32" t="n">
        <v>8</v>
      </c>
      <c r="N1438" s="31" t="n">
        <v>1752</v>
      </c>
      <c r="O1438" s="31" t="n">
        <v>1752</v>
      </c>
      <c r="P1438" s="22" t="n">
        <v>0</v>
      </c>
      <c r="Q1438" s="22" t="n">
        <v>0</v>
      </c>
      <c r="R1438" s="22" t="n">
        <v>0</v>
      </c>
    </row>
    <row r="1439">
      <c r="A1439" s="22" t="n">
        <v>201808</v>
      </c>
      <c r="B1439" s="22" t="inlineStr">
        <is>
          <t>08/2018</t>
        </is>
      </c>
      <c r="C1439" s="22" t="n">
        <v>17</v>
      </c>
      <c r="D1439" s="22" t="inlineStr">
        <is>
          <t>S17</t>
        </is>
      </c>
      <c r="E1439" s="22" t="inlineStr">
        <is>
          <t>Nexa Martinique (S17)</t>
        </is>
      </c>
      <c r="F1439" s="22" t="inlineStr">
        <is>
          <t>Pháp</t>
        </is>
      </c>
      <c r="G1439" s="22" t="inlineStr">
        <is>
          <t>POS</t>
        </is>
      </c>
      <c r="H1439" s="31" t="n">
        <v>2002.38</v>
      </c>
      <c r="I1439" s="31" t="n">
        <v>183.6</v>
      </c>
      <c r="J1439" s="31" t="n">
        <v>1818.78</v>
      </c>
      <c r="K1439" s="31" t="n">
        <v>0</v>
      </c>
      <c r="L1439" s="32" t="n">
        <v>2</v>
      </c>
      <c r="M1439" s="32" t="n">
        <v>10</v>
      </c>
      <c r="N1439" s="31" t="n">
        <v>1818.78</v>
      </c>
      <c r="O1439" s="31" t="n">
        <v>1818.78</v>
      </c>
      <c r="P1439" s="22" t="n">
        <v>0</v>
      </c>
      <c r="Q1439" s="22" t="n">
        <v>0</v>
      </c>
      <c r="R1439" s="22" t="n">
        <v>0</v>
      </c>
    </row>
    <row r="1440">
      <c r="A1440" s="22" t="n">
        <v>201808</v>
      </c>
      <c r="B1440" s="22" t="inlineStr">
        <is>
          <t>08/2018</t>
        </is>
      </c>
      <c r="C1440" s="22" t="n">
        <v>18</v>
      </c>
      <c r="D1440" s="22" t="inlineStr">
        <is>
          <t>S18</t>
        </is>
      </c>
      <c r="E1440" s="22" t="inlineStr">
        <is>
          <t>Nexa Mayotte (S18)</t>
        </is>
      </c>
      <c r="F1440" s="22" t="inlineStr">
        <is>
          <t>Pháp</t>
        </is>
      </c>
      <c r="G1440" s="22" t="inlineStr">
        <is>
          <t>POS</t>
        </is>
      </c>
      <c r="H1440" s="31" t="n">
        <v>1796.4</v>
      </c>
      <c r="I1440" s="31" t="n">
        <v>179.64</v>
      </c>
      <c r="J1440" s="31" t="n">
        <v>1616.76</v>
      </c>
      <c r="K1440" s="31" t="n">
        <v>0</v>
      </c>
      <c r="L1440" s="32" t="n">
        <v>1</v>
      </c>
      <c r="M1440" s="32" t="n">
        <v>3</v>
      </c>
      <c r="N1440" s="31" t="n">
        <v>1616.76</v>
      </c>
      <c r="O1440" s="31" t="n">
        <v>1616.76</v>
      </c>
      <c r="P1440" s="22" t="n">
        <v>0</v>
      </c>
      <c r="Q1440" s="22" t="n">
        <v>0</v>
      </c>
      <c r="R1440" s="22" t="n">
        <v>0</v>
      </c>
    </row>
    <row r="1441">
      <c r="A1441" s="22" t="n">
        <v>201808</v>
      </c>
      <c r="B1441" s="22" t="inlineStr">
        <is>
          <t>08/2018</t>
        </is>
      </c>
      <c r="C1441" s="22" t="n">
        <v>19</v>
      </c>
      <c r="D1441" s="22" t="inlineStr">
        <is>
          <t>S19</t>
        </is>
      </c>
      <c r="E1441" s="22" t="inlineStr">
        <is>
          <t>Nexa Berlin (S19)</t>
        </is>
      </c>
      <c r="F1441" s="22" t="inlineStr">
        <is>
          <t>Đức</t>
        </is>
      </c>
      <c r="G1441" s="22" t="inlineStr">
        <is>
          <t>POS</t>
        </is>
      </c>
      <c r="H1441" s="31" t="n">
        <v>12833.5</v>
      </c>
      <c r="I1441" s="31" t="n">
        <v>762.1799999999999</v>
      </c>
      <c r="J1441" s="31" t="n">
        <v>12071.32</v>
      </c>
      <c r="K1441" s="31" t="n">
        <v>0</v>
      </c>
      <c r="L1441" s="32" t="n">
        <v>3</v>
      </c>
      <c r="M1441" s="32" t="n">
        <v>37</v>
      </c>
      <c r="N1441" s="31" t="n">
        <v>12071.32</v>
      </c>
      <c r="O1441" s="31" t="n">
        <v>12071.32</v>
      </c>
      <c r="P1441" s="22" t="n">
        <v>0</v>
      </c>
      <c r="Q1441" s="22" t="n">
        <v>0</v>
      </c>
      <c r="R1441" s="22" t="n">
        <v>0</v>
      </c>
    </row>
    <row r="1442">
      <c r="A1442" s="22" t="n">
        <v>201808</v>
      </c>
      <c r="B1442" s="22" t="inlineStr">
        <is>
          <t>08/2018</t>
        </is>
      </c>
      <c r="C1442" s="22" t="n">
        <v>20</v>
      </c>
      <c r="D1442" s="22" t="inlineStr">
        <is>
          <t>S20</t>
        </is>
      </c>
      <c r="E1442" s="22" t="inlineStr">
        <is>
          <t>Nexa Brandenburg (S20)</t>
        </is>
      </c>
      <c r="F1442" s="22" t="inlineStr">
        <is>
          <t>Đức</t>
        </is>
      </c>
      <c r="G1442" s="22" t="inlineStr">
        <is>
          <t>POS</t>
        </is>
      </c>
      <c r="H1442" s="31" t="n">
        <v>9928.77</v>
      </c>
      <c r="I1442" s="31" t="n">
        <v>974.09</v>
      </c>
      <c r="J1442" s="31" t="n">
        <v>8954.68</v>
      </c>
      <c r="K1442" s="31" t="n">
        <v>0</v>
      </c>
      <c r="L1442" s="32" t="n">
        <v>4</v>
      </c>
      <c r="M1442" s="32" t="n">
        <v>28</v>
      </c>
      <c r="N1442" s="31" t="n">
        <v>8954.68</v>
      </c>
      <c r="O1442" s="31" t="n">
        <v>8954.68</v>
      </c>
      <c r="P1442" s="22" t="n">
        <v>0</v>
      </c>
      <c r="Q1442" s="22" t="n">
        <v>0</v>
      </c>
      <c r="R1442" s="22" t="n">
        <v>0</v>
      </c>
    </row>
    <row r="1443">
      <c r="A1443" s="22" t="n">
        <v>201808</v>
      </c>
      <c r="B1443" s="22" t="inlineStr">
        <is>
          <t>08/2018</t>
        </is>
      </c>
      <c r="C1443" s="22" t="n">
        <v>21</v>
      </c>
      <c r="D1443" s="22" t="inlineStr">
        <is>
          <t>S21</t>
        </is>
      </c>
      <c r="E1443" s="22" t="inlineStr">
        <is>
          <t>Nexa Freie Hansestadt Bremen (S21)</t>
        </is>
      </c>
      <c r="F1443" s="22" t="inlineStr">
        <is>
          <t>Đức</t>
        </is>
      </c>
      <c r="G1443" s="22" t="inlineStr">
        <is>
          <t>POS</t>
        </is>
      </c>
      <c r="H1443" s="31" t="n">
        <v>6193.57</v>
      </c>
      <c r="I1443" s="31" t="n">
        <v>619.36</v>
      </c>
      <c r="J1443" s="31" t="n">
        <v>5574.21</v>
      </c>
      <c r="K1443" s="31" t="n">
        <v>0</v>
      </c>
      <c r="L1443" s="32" t="n">
        <v>3</v>
      </c>
      <c r="M1443" s="32" t="n">
        <v>21</v>
      </c>
      <c r="N1443" s="31" t="n">
        <v>5574.21</v>
      </c>
      <c r="O1443" s="31" t="n">
        <v>5574.21</v>
      </c>
      <c r="P1443" s="22" t="n">
        <v>0</v>
      </c>
      <c r="Q1443" s="22" t="n">
        <v>0</v>
      </c>
      <c r="R1443" s="22" t="n">
        <v>0</v>
      </c>
    </row>
    <row r="1444">
      <c r="A1444" s="22" t="n">
        <v>201808</v>
      </c>
      <c r="B1444" s="22" t="inlineStr">
        <is>
          <t>08/2018</t>
        </is>
      </c>
      <c r="C1444" s="22" t="n">
        <v>22</v>
      </c>
      <c r="D1444" s="22" t="inlineStr">
        <is>
          <t>S22</t>
        </is>
      </c>
      <c r="E1444" s="22" t="inlineStr">
        <is>
          <t>Nexa Freistaat Thüringen (S22)</t>
        </is>
      </c>
      <c r="F1444" s="22" t="inlineStr">
        <is>
          <t>Đức</t>
        </is>
      </c>
      <c r="G1444" s="22" t="inlineStr">
        <is>
          <t>POS</t>
        </is>
      </c>
      <c r="H1444" s="31" t="n">
        <v>1963.87</v>
      </c>
      <c r="I1444" s="31" t="n">
        <v>55.9</v>
      </c>
      <c r="J1444" s="31" t="n">
        <v>1907.97</v>
      </c>
      <c r="K1444" s="31" t="n">
        <v>0</v>
      </c>
      <c r="L1444" s="32" t="n">
        <v>4</v>
      </c>
      <c r="M1444" s="32" t="n">
        <v>9</v>
      </c>
      <c r="N1444" s="31" t="n">
        <v>1907.97</v>
      </c>
      <c r="O1444" s="31" t="n">
        <v>1907.97</v>
      </c>
      <c r="P1444" s="22" t="n">
        <v>0</v>
      </c>
      <c r="Q1444" s="22" t="n">
        <v>0</v>
      </c>
      <c r="R1444" s="22" t="n">
        <v>0</v>
      </c>
    </row>
    <row r="1445">
      <c r="A1445" s="22" t="n">
        <v>201808</v>
      </c>
      <c r="B1445" s="22" t="inlineStr">
        <is>
          <t>08/2018</t>
        </is>
      </c>
      <c r="C1445" s="22" t="n">
        <v>23</v>
      </c>
      <c r="D1445" s="22" t="inlineStr">
        <is>
          <t>S23</t>
        </is>
      </c>
      <c r="E1445" s="22" t="inlineStr">
        <is>
          <t>Nexa Hamburg (S23)</t>
        </is>
      </c>
      <c r="F1445" s="22" t="inlineStr">
        <is>
          <t>Đức</t>
        </is>
      </c>
      <c r="G1445" s="22" t="inlineStr">
        <is>
          <t>POS</t>
        </is>
      </c>
      <c r="H1445" s="31" t="n">
        <v>6186.57</v>
      </c>
      <c r="I1445" s="31" t="n">
        <v>469.79</v>
      </c>
      <c r="J1445" s="31" t="n">
        <v>5716.78</v>
      </c>
      <c r="K1445" s="31" t="n">
        <v>0</v>
      </c>
      <c r="L1445" s="32" t="n">
        <v>5</v>
      </c>
      <c r="M1445" s="32" t="n">
        <v>39</v>
      </c>
      <c r="N1445" s="31" t="n">
        <v>5716.78</v>
      </c>
      <c r="O1445" s="31" t="n">
        <v>5716.78</v>
      </c>
      <c r="P1445" s="22" t="n">
        <v>0</v>
      </c>
      <c r="Q1445" s="22" t="n">
        <v>0</v>
      </c>
      <c r="R1445" s="22" t="n">
        <v>0</v>
      </c>
    </row>
    <row r="1446">
      <c r="A1446" s="22" t="n">
        <v>201808</v>
      </c>
      <c r="B1446" s="22" t="inlineStr">
        <is>
          <t>08/2018</t>
        </is>
      </c>
      <c r="C1446" s="22" t="n">
        <v>24</v>
      </c>
      <c r="D1446" s="22" t="inlineStr">
        <is>
          <t>S24</t>
        </is>
      </c>
      <c r="E1446" s="22" t="inlineStr">
        <is>
          <t>Nexa Hessen (S24)</t>
        </is>
      </c>
      <c r="F1446" s="22" t="inlineStr">
        <is>
          <t>Đức</t>
        </is>
      </c>
      <c r="G1446" s="22" t="inlineStr">
        <is>
          <t>POS</t>
        </is>
      </c>
      <c r="H1446" s="31" t="n">
        <v>20972.69</v>
      </c>
      <c r="I1446" s="31" t="n">
        <v>254.52</v>
      </c>
      <c r="J1446" s="31" t="n">
        <v>20718.17</v>
      </c>
      <c r="K1446" s="31" t="n">
        <v>0</v>
      </c>
      <c r="L1446" s="32" t="n">
        <v>8</v>
      </c>
      <c r="M1446" s="32" t="n">
        <v>59</v>
      </c>
      <c r="N1446" s="31" t="n">
        <v>20718.17</v>
      </c>
      <c r="O1446" s="31" t="n">
        <v>20718.17</v>
      </c>
      <c r="P1446" s="22" t="n">
        <v>0</v>
      </c>
      <c r="Q1446" s="22" t="n">
        <v>0</v>
      </c>
      <c r="R1446" s="22" t="n">
        <v>0</v>
      </c>
    </row>
    <row r="1447">
      <c r="A1447" s="22" t="n">
        <v>201808</v>
      </c>
      <c r="B1447" s="22" t="inlineStr">
        <is>
          <t>08/2018</t>
        </is>
      </c>
      <c r="C1447" s="22" t="n">
        <v>27</v>
      </c>
      <c r="D1447" s="22" t="inlineStr">
        <is>
          <t>S27</t>
        </is>
      </c>
      <c r="E1447" s="22" t="inlineStr">
        <is>
          <t>Nexa Sachsen-Anhalt (S27)</t>
        </is>
      </c>
      <c r="F1447" s="22" t="inlineStr">
        <is>
          <t>Đức</t>
        </is>
      </c>
      <c r="G1447" s="22" t="inlineStr">
        <is>
          <t>POS</t>
        </is>
      </c>
      <c r="H1447" s="31" t="n">
        <v>10234.54</v>
      </c>
      <c r="I1447" s="31" t="n">
        <v>1023.47</v>
      </c>
      <c r="J1447" s="31" t="n">
        <v>9211.07</v>
      </c>
      <c r="K1447" s="31" t="n">
        <v>0</v>
      </c>
      <c r="L1447" s="32" t="n">
        <v>7</v>
      </c>
      <c r="M1447" s="32" t="n">
        <v>47</v>
      </c>
      <c r="N1447" s="31" t="n">
        <v>9211.07</v>
      </c>
      <c r="O1447" s="31" t="n">
        <v>9211.07</v>
      </c>
      <c r="P1447" s="22" t="n">
        <v>0</v>
      </c>
      <c r="Q1447" s="22" t="n">
        <v>0</v>
      </c>
      <c r="R1447" s="22" t="n">
        <v>0</v>
      </c>
    </row>
    <row r="1448">
      <c r="A1448" s="22" t="n">
        <v>201808</v>
      </c>
      <c r="B1448" s="22" t="inlineStr">
        <is>
          <t>08/2018</t>
        </is>
      </c>
      <c r="C1448" s="22" t="n">
        <v>29</v>
      </c>
      <c r="D1448" s="22" t="inlineStr">
        <is>
          <t>S29</t>
        </is>
      </c>
      <c r="E1448" s="22" t="inlineStr">
        <is>
          <t>Nexa Enna (S29)</t>
        </is>
      </c>
      <c r="F1448" s="22" t="inlineStr">
        <is>
          <t>Ý</t>
        </is>
      </c>
      <c r="G1448" s="22" t="inlineStr">
        <is>
          <t>POS</t>
        </is>
      </c>
      <c r="H1448" s="31" t="n">
        <v>9968.639999999999</v>
      </c>
      <c r="I1448" s="31" t="n">
        <v>901.38</v>
      </c>
      <c r="J1448" s="31" t="n">
        <v>9067.26</v>
      </c>
      <c r="K1448" s="31" t="n">
        <v>0</v>
      </c>
      <c r="L1448" s="32" t="n">
        <v>6</v>
      </c>
      <c r="M1448" s="32" t="n">
        <v>55</v>
      </c>
      <c r="N1448" s="31" t="n">
        <v>9067.26</v>
      </c>
      <c r="O1448" s="31" t="n">
        <v>9067.26</v>
      </c>
      <c r="P1448" s="22" t="n">
        <v>0</v>
      </c>
      <c r="Q1448" s="22" t="n">
        <v>0</v>
      </c>
      <c r="R1448" s="22" t="n">
        <v>0</v>
      </c>
    </row>
    <row r="1449">
      <c r="A1449" s="22" t="n">
        <v>201808</v>
      </c>
      <c r="B1449" s="22" t="inlineStr">
        <is>
          <t>08/2018</t>
        </is>
      </c>
      <c r="C1449" s="22" t="n">
        <v>30</v>
      </c>
      <c r="D1449" s="22" t="inlineStr">
        <is>
          <t>S30</t>
        </is>
      </c>
      <c r="E1449" s="22" t="inlineStr">
        <is>
          <t>Nexa Pesaro (S30)</t>
        </is>
      </c>
      <c r="F1449" s="22" t="inlineStr">
        <is>
          <t>Ý</t>
        </is>
      </c>
      <c r="G1449" s="22" t="inlineStr">
        <is>
          <t>POS</t>
        </is>
      </c>
      <c r="H1449" s="31" t="n">
        <v>37689.45</v>
      </c>
      <c r="I1449" s="31" t="n">
        <v>2248.18</v>
      </c>
      <c r="J1449" s="31" t="n">
        <v>35441.27</v>
      </c>
      <c r="K1449" s="31" t="n">
        <v>0</v>
      </c>
      <c r="L1449" s="32" t="n">
        <v>8</v>
      </c>
      <c r="M1449" s="32" t="n">
        <v>98</v>
      </c>
      <c r="N1449" s="31" t="n">
        <v>35441.27</v>
      </c>
      <c r="O1449" s="31" t="n">
        <v>35441.27</v>
      </c>
      <c r="P1449" s="22" t="n">
        <v>0</v>
      </c>
      <c r="Q1449" s="22" t="n">
        <v>0</v>
      </c>
      <c r="R1449" s="22" t="n">
        <v>1</v>
      </c>
    </row>
    <row r="1450">
      <c r="A1450" s="22" t="n">
        <v>201808</v>
      </c>
      <c r="B1450" s="22" t="inlineStr">
        <is>
          <t>08/2018</t>
        </is>
      </c>
      <c r="C1450" s="22" t="n">
        <v>31</v>
      </c>
      <c r="D1450" s="22" t="inlineStr">
        <is>
          <t>S31</t>
        </is>
      </c>
      <c r="E1450" s="22" t="inlineStr">
        <is>
          <t>Nexa Drenthe (S31)</t>
        </is>
      </c>
      <c r="F1450" s="22" t="inlineStr">
        <is>
          <t>Hà Lan</t>
        </is>
      </c>
      <c r="G1450" s="22" t="inlineStr">
        <is>
          <t>POS</t>
        </is>
      </c>
      <c r="H1450" s="31" t="n">
        <v>20195.23</v>
      </c>
      <c r="I1450" s="31" t="n">
        <v>637.9400000000001</v>
      </c>
      <c r="J1450" s="31" t="n">
        <v>19557.29</v>
      </c>
      <c r="K1450" s="31" t="n">
        <v>0</v>
      </c>
      <c r="L1450" s="32" t="n">
        <v>7</v>
      </c>
      <c r="M1450" s="32" t="n">
        <v>74</v>
      </c>
      <c r="N1450" s="31" t="n">
        <v>19557.29</v>
      </c>
      <c r="O1450" s="31" t="n">
        <v>19557.29</v>
      </c>
      <c r="P1450" s="22" t="n">
        <v>0</v>
      </c>
      <c r="Q1450" s="22" t="n">
        <v>0</v>
      </c>
      <c r="R1450" s="22" t="n">
        <v>0</v>
      </c>
    </row>
    <row r="1451">
      <c r="A1451" s="22" t="n">
        <v>201808</v>
      </c>
      <c r="B1451" s="22" t="inlineStr">
        <is>
          <t>08/2018</t>
        </is>
      </c>
      <c r="C1451" s="22" t="n">
        <v>32</v>
      </c>
      <c r="D1451" s="22" t="inlineStr">
        <is>
          <t>S32</t>
        </is>
      </c>
      <c r="E1451" s="22" t="inlineStr">
        <is>
          <t>Nexa Flevoland (S32)</t>
        </is>
      </c>
      <c r="F1451" s="22" t="inlineStr">
        <is>
          <t>Hà Lan</t>
        </is>
      </c>
      <c r="G1451" s="22" t="inlineStr">
        <is>
          <t>POS</t>
        </is>
      </c>
      <c r="H1451" s="31" t="n">
        <v>3249.75</v>
      </c>
      <c r="I1451" s="31" t="n">
        <v>0</v>
      </c>
      <c r="J1451" s="31" t="n">
        <v>3249.75</v>
      </c>
      <c r="K1451" s="31" t="n">
        <v>0</v>
      </c>
      <c r="L1451" s="32" t="n">
        <v>3</v>
      </c>
      <c r="M1451" s="32" t="n">
        <v>24</v>
      </c>
      <c r="N1451" s="31" t="n">
        <v>3249.75</v>
      </c>
      <c r="O1451" s="31" t="n">
        <v>3249.75</v>
      </c>
      <c r="P1451" s="22" t="n">
        <v>0</v>
      </c>
      <c r="Q1451" s="22" t="n">
        <v>0</v>
      </c>
      <c r="R1451" s="22" t="n">
        <v>0</v>
      </c>
    </row>
    <row r="1452">
      <c r="A1452" s="22" t="n">
        <v>201808</v>
      </c>
      <c r="B1452" s="22" t="inlineStr">
        <is>
          <t>08/2018</t>
        </is>
      </c>
      <c r="C1452" s="22" t="n">
        <v>33</v>
      </c>
      <c r="D1452" s="22" t="inlineStr">
        <is>
          <t>S33</t>
        </is>
      </c>
      <c r="E1452" s="22" t="inlineStr">
        <is>
          <t>Nexa Friesland (S33)</t>
        </is>
      </c>
      <c r="F1452" s="22" t="inlineStr">
        <is>
          <t>Hà Lan</t>
        </is>
      </c>
      <c r="G1452" s="22" t="inlineStr">
        <is>
          <t>POS</t>
        </is>
      </c>
      <c r="H1452" s="31" t="n">
        <v>1795.8</v>
      </c>
      <c r="I1452" s="31" t="n">
        <v>179.58</v>
      </c>
      <c r="J1452" s="31" t="n">
        <v>1616.22</v>
      </c>
      <c r="K1452" s="31" t="n">
        <v>0</v>
      </c>
      <c r="L1452" s="32" t="n">
        <v>1</v>
      </c>
      <c r="M1452" s="32" t="n">
        <v>12</v>
      </c>
      <c r="N1452" s="31" t="n">
        <v>1616.22</v>
      </c>
      <c r="O1452" s="31" t="n">
        <v>1616.22</v>
      </c>
      <c r="P1452" s="22" t="n">
        <v>0</v>
      </c>
      <c r="Q1452" s="22" t="n">
        <v>0</v>
      </c>
      <c r="R1452" s="22" t="n">
        <v>1</v>
      </c>
    </row>
    <row r="1453">
      <c r="A1453" s="22" t="n">
        <v>201808</v>
      </c>
      <c r="B1453" s="22" t="inlineStr">
        <is>
          <t>08/2018</t>
        </is>
      </c>
      <c r="C1453" s="22" t="n">
        <v>34</v>
      </c>
      <c r="D1453" s="22" t="inlineStr">
        <is>
          <t>S34</t>
        </is>
      </c>
      <c r="E1453" s="22" t="inlineStr">
        <is>
          <t>Nexa Groningen (S34)</t>
        </is>
      </c>
      <c r="F1453" s="22" t="inlineStr">
        <is>
          <t>Hà Lan</t>
        </is>
      </c>
      <c r="G1453" s="22" t="inlineStr">
        <is>
          <t>POS</t>
        </is>
      </c>
      <c r="H1453" s="31" t="n">
        <v>9921.73</v>
      </c>
      <c r="I1453" s="31" t="n">
        <v>550.84</v>
      </c>
      <c r="J1453" s="31" t="n">
        <v>9370.889999999999</v>
      </c>
      <c r="K1453" s="31" t="n">
        <v>0</v>
      </c>
      <c r="L1453" s="32" t="n">
        <v>5</v>
      </c>
      <c r="M1453" s="32" t="n">
        <v>48</v>
      </c>
      <c r="N1453" s="31" t="n">
        <v>9370.889999999999</v>
      </c>
      <c r="O1453" s="31" t="n">
        <v>9370.889999999999</v>
      </c>
      <c r="P1453" s="22" t="n">
        <v>1</v>
      </c>
      <c r="Q1453" s="22" t="n">
        <v>0</v>
      </c>
      <c r="R1453" s="22" t="n">
        <v>0</v>
      </c>
    </row>
    <row r="1454">
      <c r="A1454" s="22" t="n">
        <v>201808</v>
      </c>
      <c r="B1454" s="22" t="inlineStr">
        <is>
          <t>08/2018</t>
        </is>
      </c>
      <c r="C1454" s="22" t="n">
        <v>36</v>
      </c>
      <c r="D1454" s="22" t="inlineStr">
        <is>
          <t>S36</t>
        </is>
      </c>
      <c r="E1454" s="22" t="inlineStr">
        <is>
          <t>Nexa Armagh (S36)</t>
        </is>
      </c>
      <c r="F1454" s="22" t="inlineStr">
        <is>
          <t>Anh</t>
        </is>
      </c>
      <c r="G1454" s="22" t="inlineStr">
        <is>
          <t>POS</t>
        </is>
      </c>
      <c r="H1454" s="31" t="n">
        <v>18623.31</v>
      </c>
      <c r="I1454" s="31" t="n">
        <v>410.06</v>
      </c>
      <c r="J1454" s="31" t="n">
        <v>18213.25</v>
      </c>
      <c r="K1454" s="31" t="n">
        <v>529</v>
      </c>
      <c r="L1454" s="32" t="n">
        <v>8</v>
      </c>
      <c r="M1454" s="32" t="n">
        <v>38</v>
      </c>
      <c r="N1454" s="31" t="n">
        <v>17684.25</v>
      </c>
      <c r="O1454" s="31" t="n">
        <v>18213.25</v>
      </c>
      <c r="P1454" s="22" t="n">
        <v>0</v>
      </c>
      <c r="Q1454" s="22" t="n">
        <v>0</v>
      </c>
      <c r="R1454" s="22" t="n">
        <v>0</v>
      </c>
    </row>
    <row r="1455">
      <c r="A1455" s="22" t="n">
        <v>201808</v>
      </c>
      <c r="B1455" s="22" t="inlineStr">
        <is>
          <t>08/2018</t>
        </is>
      </c>
      <c r="C1455" s="22" t="n">
        <v>37</v>
      </c>
      <c r="D1455" s="22" t="inlineStr">
        <is>
          <t>S37</t>
        </is>
      </c>
      <c r="E1455" s="22" t="inlineStr">
        <is>
          <t>Nexa Ayrshire (S37)</t>
        </is>
      </c>
      <c r="F1455" s="22" t="inlineStr">
        <is>
          <t>Anh</t>
        </is>
      </c>
      <c r="G1455" s="22" t="inlineStr">
        <is>
          <t>POS</t>
        </is>
      </c>
      <c r="H1455" s="31" t="n">
        <v>6032.02</v>
      </c>
      <c r="I1455" s="31" t="n">
        <v>424.26</v>
      </c>
      <c r="J1455" s="31" t="n">
        <v>5607.76</v>
      </c>
      <c r="K1455" s="31" t="n">
        <v>0</v>
      </c>
      <c r="L1455" s="32" t="n">
        <v>4</v>
      </c>
      <c r="M1455" s="32" t="n">
        <v>30</v>
      </c>
      <c r="N1455" s="31" t="n">
        <v>5607.76</v>
      </c>
      <c r="O1455" s="31" t="n">
        <v>5607.76</v>
      </c>
      <c r="P1455" s="22" t="n">
        <v>0</v>
      </c>
      <c r="Q1455" s="22" t="n">
        <v>0</v>
      </c>
      <c r="R1455" s="22" t="n">
        <v>0</v>
      </c>
    </row>
    <row r="1456">
      <c r="A1456" s="22" t="n">
        <v>201808</v>
      </c>
      <c r="B1456" s="22" t="inlineStr">
        <is>
          <t>08/2018</t>
        </is>
      </c>
      <c r="C1456" s="22" t="n">
        <v>38</v>
      </c>
      <c r="D1456" s="22" t="inlineStr">
        <is>
          <t>S38</t>
        </is>
      </c>
      <c r="E1456" s="22" t="inlineStr">
        <is>
          <t>Nexa Belfast (S38)</t>
        </is>
      </c>
      <c r="F1456" s="22" t="inlineStr">
        <is>
          <t>Anh</t>
        </is>
      </c>
      <c r="G1456" s="22" t="inlineStr">
        <is>
          <t>POS</t>
        </is>
      </c>
      <c r="H1456" s="31" t="n">
        <v>29702.4</v>
      </c>
      <c r="I1456" s="31" t="n">
        <v>2507.16</v>
      </c>
      <c r="J1456" s="31" t="n">
        <v>27195.24</v>
      </c>
      <c r="K1456" s="31" t="n">
        <v>540.5700000000001</v>
      </c>
      <c r="L1456" s="32" t="n">
        <v>7</v>
      </c>
      <c r="M1456" s="32" t="n">
        <v>64</v>
      </c>
      <c r="N1456" s="31" t="n">
        <v>26654.67</v>
      </c>
      <c r="O1456" s="31" t="n">
        <v>27195.24</v>
      </c>
      <c r="P1456" s="22" t="n">
        <v>0</v>
      </c>
      <c r="Q1456" s="22" t="n">
        <v>0</v>
      </c>
      <c r="R1456" s="22" t="n">
        <v>0</v>
      </c>
    </row>
    <row r="1457">
      <c r="A1457" s="22" t="n">
        <v>201808</v>
      </c>
      <c r="B1457" s="22" t="inlineStr">
        <is>
          <t>08/2018</t>
        </is>
      </c>
      <c r="C1457" s="22" t="n">
        <v>39</v>
      </c>
      <c r="D1457" s="22" t="inlineStr">
        <is>
          <t>S39</t>
        </is>
      </c>
      <c r="E1457" s="22" t="inlineStr">
        <is>
          <t>Nexa Blaenau Gwent (S39)</t>
        </is>
      </c>
      <c r="F1457" s="22" t="inlineStr">
        <is>
          <t>Anh</t>
        </is>
      </c>
      <c r="G1457" s="22" t="inlineStr">
        <is>
          <t>POS</t>
        </is>
      </c>
      <c r="H1457" s="31" t="n">
        <v>14883.8</v>
      </c>
      <c r="I1457" s="31" t="n">
        <v>109.8</v>
      </c>
      <c r="J1457" s="31" t="n">
        <v>14774</v>
      </c>
      <c r="K1457" s="31" t="n">
        <v>1257.94</v>
      </c>
      <c r="L1457" s="32" t="n">
        <v>7</v>
      </c>
      <c r="M1457" s="32" t="n">
        <v>49</v>
      </c>
      <c r="N1457" s="31" t="n">
        <v>13516.06</v>
      </c>
      <c r="O1457" s="31" t="n">
        <v>14774</v>
      </c>
      <c r="P1457" s="22" t="n">
        <v>1</v>
      </c>
      <c r="Q1457" s="22" t="n">
        <v>0</v>
      </c>
      <c r="R1457" s="22" t="n">
        <v>0</v>
      </c>
    </row>
    <row r="1458">
      <c r="A1458" s="22" t="n">
        <v>201808</v>
      </c>
      <c r="B1458" s="22" t="inlineStr">
        <is>
          <t>08/2018</t>
        </is>
      </c>
      <c r="C1458" s="22" t="n">
        <v>40</v>
      </c>
      <c r="D1458" s="22" t="inlineStr">
        <is>
          <t>S40</t>
        </is>
      </c>
      <c r="E1458" s="22" t="inlineStr">
        <is>
          <t>Nexa Dungannon and South Tyrone (S40)</t>
        </is>
      </c>
      <c r="F1458" s="22" t="inlineStr">
        <is>
          <t>Anh</t>
        </is>
      </c>
      <c r="G1458" s="22" t="inlineStr">
        <is>
          <t>POS</t>
        </is>
      </c>
      <c r="H1458" s="31" t="n">
        <v>11955.01</v>
      </c>
      <c r="I1458" s="31" t="n">
        <v>1118.93</v>
      </c>
      <c r="J1458" s="31" t="n">
        <v>10836.08</v>
      </c>
      <c r="K1458" s="31" t="n">
        <v>219</v>
      </c>
      <c r="L1458" s="32" t="n">
        <v>6</v>
      </c>
      <c r="M1458" s="32" t="n">
        <v>48</v>
      </c>
      <c r="N1458" s="31" t="n">
        <v>10617.08</v>
      </c>
      <c r="O1458" s="31" t="n">
        <v>10836.08</v>
      </c>
      <c r="P1458" s="22" t="n">
        <v>1</v>
      </c>
      <c r="Q1458" s="22" t="n">
        <v>0</v>
      </c>
      <c r="R1458" s="22" t="n">
        <v>0</v>
      </c>
    </row>
    <row r="1459">
      <c r="A1459" s="22" t="n">
        <v>201808</v>
      </c>
      <c r="B1459" s="22" t="inlineStr">
        <is>
          <t>08/2018</t>
        </is>
      </c>
      <c r="C1459" s="22" t="n">
        <v>41</v>
      </c>
      <c r="D1459" s="22" t="inlineStr">
        <is>
          <t>S41</t>
        </is>
      </c>
      <c r="E1459" s="22" t="inlineStr">
        <is>
          <t>Nexa Fermanagh (S41)</t>
        </is>
      </c>
      <c r="F1459" s="22" t="inlineStr">
        <is>
          <t>Anh</t>
        </is>
      </c>
      <c r="G1459" s="22" t="inlineStr">
        <is>
          <t>POS</t>
        </is>
      </c>
      <c r="H1459" s="31" t="n">
        <v>9269.379999999999</v>
      </c>
      <c r="I1459" s="31" t="n">
        <v>924.35</v>
      </c>
      <c r="J1459" s="31" t="n">
        <v>8345.030000000001</v>
      </c>
      <c r="K1459" s="31" t="n">
        <v>0</v>
      </c>
      <c r="L1459" s="32" t="n">
        <v>8</v>
      </c>
      <c r="M1459" s="32" t="n">
        <v>26</v>
      </c>
      <c r="N1459" s="31" t="n">
        <v>8345.030000000001</v>
      </c>
      <c r="O1459" s="31" t="n">
        <v>8345.030000000001</v>
      </c>
      <c r="P1459" s="22" t="n">
        <v>0</v>
      </c>
      <c r="Q1459" s="22" t="n">
        <v>0</v>
      </c>
      <c r="R1459" s="22" t="n">
        <v>0</v>
      </c>
    </row>
    <row r="1460">
      <c r="A1460" s="22" t="n">
        <v>201808</v>
      </c>
      <c r="B1460" s="22" t="inlineStr">
        <is>
          <t>08/2018</t>
        </is>
      </c>
      <c r="C1460" s="22" t="n">
        <v>42</v>
      </c>
      <c r="D1460" s="22" t="inlineStr">
        <is>
          <t>S42</t>
        </is>
      </c>
      <c r="E1460" s="22" t="inlineStr">
        <is>
          <t>Nexa North Down (S42)</t>
        </is>
      </c>
      <c r="F1460" s="22" t="inlineStr">
        <is>
          <t>Anh</t>
        </is>
      </c>
      <c r="G1460" s="22" t="inlineStr">
        <is>
          <t>POS</t>
        </is>
      </c>
      <c r="H1460" s="31" t="n">
        <v>20668.32</v>
      </c>
      <c r="I1460" s="31" t="n">
        <v>1405.94</v>
      </c>
      <c r="J1460" s="31" t="n">
        <v>19262.38</v>
      </c>
      <c r="K1460" s="31" t="n">
        <v>485.99</v>
      </c>
      <c r="L1460" s="32" t="n">
        <v>7</v>
      </c>
      <c r="M1460" s="32" t="n">
        <v>62</v>
      </c>
      <c r="N1460" s="31" t="n">
        <v>18776.39</v>
      </c>
      <c r="O1460" s="31" t="n">
        <v>19262.38</v>
      </c>
      <c r="P1460" s="22" t="n">
        <v>0</v>
      </c>
      <c r="Q1460" s="22" t="n">
        <v>0</v>
      </c>
      <c r="R1460" s="22" t="n">
        <v>0</v>
      </c>
    </row>
    <row r="1461">
      <c r="A1461" s="22" t="n">
        <v>201808</v>
      </c>
      <c r="B1461" s="22" t="inlineStr">
        <is>
          <t>08/2018</t>
        </is>
      </c>
      <c r="C1461" s="22" t="n">
        <v>43</v>
      </c>
      <c r="D1461" s="22" t="inlineStr">
        <is>
          <t>S43</t>
        </is>
      </c>
      <c r="E1461" s="22" t="inlineStr">
        <is>
          <t>Nexa Alaska (S43)</t>
        </is>
      </c>
      <c r="F1461" s="22" t="inlineStr">
        <is>
          <t>Mỹ</t>
        </is>
      </c>
      <c r="G1461" s="22" t="inlineStr">
        <is>
          <t>POS</t>
        </is>
      </c>
      <c r="H1461" s="31" t="n">
        <v>10153.26</v>
      </c>
      <c r="I1461" s="31" t="n">
        <v>610.21</v>
      </c>
      <c r="J1461" s="31" t="n">
        <v>9543.049999999999</v>
      </c>
      <c r="K1461" s="31" t="n">
        <v>359.89</v>
      </c>
      <c r="L1461" s="32" t="n">
        <v>11</v>
      </c>
      <c r="M1461" s="32" t="n">
        <v>66</v>
      </c>
      <c r="N1461" s="31" t="n">
        <v>9183.16</v>
      </c>
      <c r="O1461" s="31" t="n">
        <v>9543.049999999999</v>
      </c>
      <c r="P1461" s="22" t="n">
        <v>0</v>
      </c>
      <c r="Q1461" s="22" t="n">
        <v>0</v>
      </c>
      <c r="R1461" s="22" t="n">
        <v>0</v>
      </c>
    </row>
    <row r="1462">
      <c r="A1462" s="22" t="n">
        <v>201808</v>
      </c>
      <c r="B1462" s="22" t="inlineStr">
        <is>
          <t>08/2018</t>
        </is>
      </c>
      <c r="C1462" s="22" t="n">
        <v>44</v>
      </c>
      <c r="D1462" s="22" t="inlineStr">
        <is>
          <t>S44</t>
        </is>
      </c>
      <c r="E1462" s="22" t="inlineStr">
        <is>
          <t>Nexa Arkansas (S44)</t>
        </is>
      </c>
      <c r="F1462" s="22" t="inlineStr">
        <is>
          <t>Mỹ</t>
        </is>
      </c>
      <c r="G1462" s="22" t="inlineStr">
        <is>
          <t>POS</t>
        </is>
      </c>
      <c r="H1462" s="31" t="n">
        <v>14364.26</v>
      </c>
      <c r="I1462" s="31" t="n">
        <v>663.47</v>
      </c>
      <c r="J1462" s="31" t="n">
        <v>13700.79</v>
      </c>
      <c r="K1462" s="31" t="n">
        <v>0</v>
      </c>
      <c r="L1462" s="32" t="n">
        <v>12</v>
      </c>
      <c r="M1462" s="32" t="n">
        <v>75</v>
      </c>
      <c r="N1462" s="31" t="n">
        <v>13700.79</v>
      </c>
      <c r="O1462" s="31" t="n">
        <v>13700.79</v>
      </c>
      <c r="P1462" s="22" t="n">
        <v>0</v>
      </c>
      <c r="Q1462" s="22" t="n">
        <v>0</v>
      </c>
      <c r="R1462" s="22" t="n">
        <v>1</v>
      </c>
    </row>
    <row r="1463">
      <c r="A1463" s="22" t="n">
        <v>201808</v>
      </c>
      <c r="B1463" s="22" t="inlineStr">
        <is>
          <t>08/2018</t>
        </is>
      </c>
      <c r="C1463" s="22" t="n">
        <v>45</v>
      </c>
      <c r="D1463" s="22" t="inlineStr">
        <is>
          <t>S45</t>
        </is>
      </c>
      <c r="E1463" s="22" t="inlineStr">
        <is>
          <t>Nexa Connecticut (S45)</t>
        </is>
      </c>
      <c r="F1463" s="22" t="inlineStr">
        <is>
          <t>Mỹ</t>
        </is>
      </c>
      <c r="G1463" s="22" t="inlineStr">
        <is>
          <t>POS</t>
        </is>
      </c>
      <c r="H1463" s="31" t="n">
        <v>20910.39</v>
      </c>
      <c r="I1463" s="31" t="n">
        <v>798.53</v>
      </c>
      <c r="J1463" s="31" t="n">
        <v>20111.86</v>
      </c>
      <c r="K1463" s="31" t="n">
        <v>0</v>
      </c>
      <c r="L1463" s="32" t="n">
        <v>9</v>
      </c>
      <c r="M1463" s="32" t="n">
        <v>69</v>
      </c>
      <c r="N1463" s="31" t="n">
        <v>20111.86</v>
      </c>
      <c r="O1463" s="31" t="n">
        <v>20111.86</v>
      </c>
      <c r="P1463" s="22" t="n">
        <v>0</v>
      </c>
      <c r="Q1463" s="22" t="n">
        <v>0</v>
      </c>
      <c r="R1463" s="22" t="n">
        <v>1</v>
      </c>
    </row>
    <row r="1464">
      <c r="A1464" s="22" t="n">
        <v>201808</v>
      </c>
      <c r="B1464" s="22" t="inlineStr">
        <is>
          <t>08/2018</t>
        </is>
      </c>
      <c r="C1464" s="22" t="n">
        <v>47</v>
      </c>
      <c r="D1464" s="22" t="inlineStr">
        <is>
          <t>S47</t>
        </is>
      </c>
      <c r="E1464" s="22" t="inlineStr">
        <is>
          <t>Nexa Hawaii (S47)</t>
        </is>
      </c>
      <c r="F1464" s="22" t="inlineStr">
        <is>
          <t>Mỹ</t>
        </is>
      </c>
      <c r="G1464" s="22" t="inlineStr">
        <is>
          <t>POS</t>
        </is>
      </c>
      <c r="H1464" s="31" t="n">
        <v>27156.5</v>
      </c>
      <c r="I1464" s="31" t="n">
        <v>1478.19</v>
      </c>
      <c r="J1464" s="31" t="n">
        <v>25678.31</v>
      </c>
      <c r="K1464" s="31" t="n">
        <v>0</v>
      </c>
      <c r="L1464" s="32" t="n">
        <v>13</v>
      </c>
      <c r="M1464" s="32" t="n">
        <v>87</v>
      </c>
      <c r="N1464" s="31" t="n">
        <v>25678.31</v>
      </c>
      <c r="O1464" s="31" t="n">
        <v>25678.31</v>
      </c>
      <c r="P1464" s="22" t="n">
        <v>0</v>
      </c>
      <c r="Q1464" s="22" t="n">
        <v>0</v>
      </c>
      <c r="R1464" s="22" t="n">
        <v>0</v>
      </c>
    </row>
    <row r="1465">
      <c r="A1465" s="22" t="n">
        <v>201808</v>
      </c>
      <c r="B1465" s="22" t="inlineStr">
        <is>
          <t>08/2018</t>
        </is>
      </c>
      <c r="C1465" s="22" t="n">
        <v>48</v>
      </c>
      <c r="D1465" s="22" t="inlineStr">
        <is>
          <t>S48</t>
        </is>
      </c>
      <c r="E1465" s="22" t="inlineStr">
        <is>
          <t>Nexa Idaho (S48)</t>
        </is>
      </c>
      <c r="F1465" s="22" t="inlineStr">
        <is>
          <t>Mỹ</t>
        </is>
      </c>
      <c r="G1465" s="22" t="inlineStr">
        <is>
          <t>POS</t>
        </is>
      </c>
      <c r="H1465" s="31" t="n">
        <v>10453.18</v>
      </c>
      <c r="I1465" s="31" t="n">
        <v>404.55</v>
      </c>
      <c r="J1465" s="31" t="n">
        <v>10048.63</v>
      </c>
      <c r="K1465" s="31" t="n">
        <v>1752.6</v>
      </c>
      <c r="L1465" s="32" t="n">
        <v>10</v>
      </c>
      <c r="M1465" s="32" t="n">
        <v>48</v>
      </c>
      <c r="N1465" s="31" t="n">
        <v>8296.030000000001</v>
      </c>
      <c r="O1465" s="31" t="n">
        <v>10048.63</v>
      </c>
      <c r="P1465" s="22" t="n">
        <v>0</v>
      </c>
      <c r="Q1465" s="22" t="n">
        <v>0</v>
      </c>
      <c r="R1465" s="22" t="n">
        <v>0</v>
      </c>
    </row>
    <row r="1466">
      <c r="A1466" s="22" t="n">
        <v>201808</v>
      </c>
      <c r="B1466" s="22" t="inlineStr">
        <is>
          <t>08/2018</t>
        </is>
      </c>
      <c r="C1466" s="22" t="n">
        <v>49</v>
      </c>
      <c r="D1466" s="22" t="inlineStr">
        <is>
          <t>S49</t>
        </is>
      </c>
      <c r="E1466" s="22" t="inlineStr">
        <is>
          <t>Nexa Iowa (S49)</t>
        </is>
      </c>
      <c r="F1466" s="22" t="inlineStr">
        <is>
          <t>Mỹ</t>
        </is>
      </c>
      <c r="G1466" s="22" t="inlineStr">
        <is>
          <t>POS</t>
        </is>
      </c>
      <c r="H1466" s="31" t="n">
        <v>27334.39</v>
      </c>
      <c r="I1466" s="31" t="n">
        <v>1724.84</v>
      </c>
      <c r="J1466" s="31" t="n">
        <v>25609.55</v>
      </c>
      <c r="K1466" s="31" t="n">
        <v>276.09</v>
      </c>
      <c r="L1466" s="32" t="n">
        <v>12</v>
      </c>
      <c r="M1466" s="32" t="n">
        <v>92</v>
      </c>
      <c r="N1466" s="31" t="n">
        <v>25333.46</v>
      </c>
      <c r="O1466" s="31" t="n">
        <v>25609.55</v>
      </c>
      <c r="P1466" s="22" t="n">
        <v>0</v>
      </c>
      <c r="Q1466" s="22" t="n">
        <v>0</v>
      </c>
      <c r="R1466" s="22" t="n">
        <v>1</v>
      </c>
    </row>
    <row r="1467">
      <c r="A1467" s="22" t="n">
        <v>201808</v>
      </c>
      <c r="B1467" s="22" t="inlineStr">
        <is>
          <t>08/2018</t>
        </is>
      </c>
      <c r="C1467" s="22" t="n">
        <v>50</v>
      </c>
      <c r="D1467" s="22" t="inlineStr">
        <is>
          <t>S50</t>
        </is>
      </c>
      <c r="E1467" s="22" t="inlineStr">
        <is>
          <t>Nexa Kansas (S50)</t>
        </is>
      </c>
      <c r="F1467" s="22" t="inlineStr">
        <is>
          <t>Mỹ</t>
        </is>
      </c>
      <c r="G1467" s="22" t="inlineStr">
        <is>
          <t>POS</t>
        </is>
      </c>
      <c r="H1467" s="31" t="n">
        <v>21774.73</v>
      </c>
      <c r="I1467" s="31" t="n">
        <v>2025.92</v>
      </c>
      <c r="J1467" s="31" t="n">
        <v>19748.81</v>
      </c>
      <c r="K1467" s="31" t="n">
        <v>2147</v>
      </c>
      <c r="L1467" s="32" t="n">
        <v>11</v>
      </c>
      <c r="M1467" s="32" t="n">
        <v>84</v>
      </c>
      <c r="N1467" s="31" t="n">
        <v>17601.81</v>
      </c>
      <c r="O1467" s="31" t="n">
        <v>19748.81</v>
      </c>
      <c r="P1467" s="22" t="n">
        <v>0</v>
      </c>
      <c r="Q1467" s="22" t="n">
        <v>0</v>
      </c>
      <c r="R1467" s="22" t="n">
        <v>1</v>
      </c>
    </row>
    <row r="1468">
      <c r="A1468" s="22" t="n">
        <v>201808</v>
      </c>
      <c r="B1468" s="22" t="inlineStr">
        <is>
          <t>08/2018</t>
        </is>
      </c>
      <c r="C1468" s="22" t="n">
        <v>51</v>
      </c>
      <c r="D1468" s="22" t="inlineStr">
        <is>
          <t>S51</t>
        </is>
      </c>
      <c r="E1468" s="22" t="inlineStr">
        <is>
          <t>Nexa Maine (S51)</t>
        </is>
      </c>
      <c r="F1468" s="22" t="inlineStr">
        <is>
          <t>Mỹ</t>
        </is>
      </c>
      <c r="G1468" s="22" t="inlineStr">
        <is>
          <t>POS</t>
        </is>
      </c>
      <c r="H1468" s="31" t="n">
        <v>15282.28</v>
      </c>
      <c r="I1468" s="31" t="n">
        <v>523.01</v>
      </c>
      <c r="J1468" s="31" t="n">
        <v>14759.27</v>
      </c>
      <c r="K1468" s="31" t="n">
        <v>0</v>
      </c>
      <c r="L1468" s="32" t="n">
        <v>10</v>
      </c>
      <c r="M1468" s="32" t="n">
        <v>59</v>
      </c>
      <c r="N1468" s="31" t="n">
        <v>14759.27</v>
      </c>
      <c r="O1468" s="31" t="n">
        <v>14759.27</v>
      </c>
      <c r="P1468" s="22" t="n">
        <v>2</v>
      </c>
      <c r="Q1468" s="22" t="n">
        <v>0</v>
      </c>
      <c r="R1468" s="22" t="n">
        <v>0</v>
      </c>
    </row>
    <row r="1469">
      <c r="A1469" s="22" t="n">
        <v>201808</v>
      </c>
      <c r="B1469" s="22" t="inlineStr">
        <is>
          <t>08/2018</t>
        </is>
      </c>
      <c r="C1469" s="22" t="n">
        <v>53</v>
      </c>
      <c r="D1469" s="22" t="inlineStr">
        <is>
          <t>S53</t>
        </is>
      </c>
      <c r="E1469" s="22" t="inlineStr">
        <is>
          <t>Nexa Montana (S53)</t>
        </is>
      </c>
      <c r="F1469" s="22" t="inlineStr">
        <is>
          <t>Mỹ</t>
        </is>
      </c>
      <c r="G1469" s="22" t="inlineStr">
        <is>
          <t>POS</t>
        </is>
      </c>
      <c r="H1469" s="31" t="n">
        <v>8586.67</v>
      </c>
      <c r="I1469" s="31" t="n">
        <v>688.8</v>
      </c>
      <c r="J1469" s="31" t="n">
        <v>7897.87</v>
      </c>
      <c r="K1469" s="31" t="n">
        <v>752</v>
      </c>
      <c r="L1469" s="32" t="n">
        <v>4</v>
      </c>
      <c r="M1469" s="32" t="n">
        <v>28</v>
      </c>
      <c r="N1469" s="31" t="n">
        <v>7145.87</v>
      </c>
      <c r="O1469" s="31" t="n">
        <v>7897.87</v>
      </c>
      <c r="P1469" s="22" t="n">
        <v>0</v>
      </c>
      <c r="Q1469" s="22" t="n">
        <v>0</v>
      </c>
      <c r="R1469" s="22" t="n">
        <v>0</v>
      </c>
    </row>
    <row r="1470">
      <c r="A1470" s="22" t="n">
        <v>201808</v>
      </c>
      <c r="B1470" s="22" t="inlineStr">
        <is>
          <t>08/2018</t>
        </is>
      </c>
      <c r="C1470" s="22" t="n">
        <v>54</v>
      </c>
      <c r="D1470" s="22" t="inlineStr">
        <is>
          <t>S54</t>
        </is>
      </c>
      <c r="E1470" s="22" t="inlineStr">
        <is>
          <t>Nexa Nebraska (S54)</t>
        </is>
      </c>
      <c r="F1470" s="22" t="inlineStr">
        <is>
          <t>Mỹ</t>
        </is>
      </c>
      <c r="G1470" s="22" t="inlineStr">
        <is>
          <t>POS</t>
        </is>
      </c>
      <c r="H1470" s="31" t="n">
        <v>22743.2</v>
      </c>
      <c r="I1470" s="31" t="n">
        <v>640.1</v>
      </c>
      <c r="J1470" s="31" t="n">
        <v>22103.1</v>
      </c>
      <c r="K1470" s="31" t="n">
        <v>35.91</v>
      </c>
      <c r="L1470" s="32" t="n">
        <v>10</v>
      </c>
      <c r="M1470" s="32" t="n">
        <v>92</v>
      </c>
      <c r="N1470" s="31" t="n">
        <v>22067.19</v>
      </c>
      <c r="O1470" s="31" t="n">
        <v>22103.1</v>
      </c>
      <c r="P1470" s="22" t="n">
        <v>0</v>
      </c>
      <c r="Q1470" s="22" t="n">
        <v>0</v>
      </c>
      <c r="R1470" s="22" t="n">
        <v>0</v>
      </c>
    </row>
    <row r="1471">
      <c r="A1471" s="22" t="n">
        <v>201808</v>
      </c>
      <c r="B1471" s="22" t="inlineStr">
        <is>
          <t>08/2018</t>
        </is>
      </c>
      <c r="C1471" s="22" t="n">
        <v>55</v>
      </c>
      <c r="D1471" s="22" t="inlineStr">
        <is>
          <t>S55</t>
        </is>
      </c>
      <c r="E1471" s="22" t="inlineStr">
        <is>
          <t>Nexa Nevada (S55)</t>
        </is>
      </c>
      <c r="F1471" s="22" t="inlineStr">
        <is>
          <t>Mỹ</t>
        </is>
      </c>
      <c r="G1471" s="22" t="inlineStr">
        <is>
          <t>POS</t>
        </is>
      </c>
      <c r="H1471" s="31" t="n">
        <v>38005</v>
      </c>
      <c r="I1471" s="31" t="n">
        <v>2391.82</v>
      </c>
      <c r="J1471" s="31" t="n">
        <v>35613.18</v>
      </c>
      <c r="K1471" s="31" t="n">
        <v>0</v>
      </c>
      <c r="L1471" s="32" t="n">
        <v>21</v>
      </c>
      <c r="M1471" s="32" t="n">
        <v>174</v>
      </c>
      <c r="N1471" s="31" t="n">
        <v>35613.18</v>
      </c>
      <c r="O1471" s="31" t="n">
        <v>35613.18</v>
      </c>
      <c r="P1471" s="22" t="n">
        <v>0</v>
      </c>
      <c r="Q1471" s="22" t="n">
        <v>0</v>
      </c>
      <c r="R1471" s="22" t="n">
        <v>0</v>
      </c>
    </row>
    <row r="1472">
      <c r="A1472" s="22" t="n">
        <v>201808</v>
      </c>
      <c r="B1472" s="22" t="inlineStr">
        <is>
          <t>08/2018</t>
        </is>
      </c>
      <c r="C1472" s="22" t="n">
        <v>56</v>
      </c>
      <c r="D1472" s="22" t="inlineStr">
        <is>
          <t>S56</t>
        </is>
      </c>
      <c r="E1472" s="22" t="inlineStr">
        <is>
          <t>Nexa New Hampshire (S56)</t>
        </is>
      </c>
      <c r="F1472" s="22" t="inlineStr">
        <is>
          <t>Mỹ</t>
        </is>
      </c>
      <c r="G1472" s="22" t="inlineStr">
        <is>
          <t>POS</t>
        </is>
      </c>
      <c r="H1472" s="31" t="n">
        <v>24525.79</v>
      </c>
      <c r="I1472" s="31" t="n">
        <v>1399.6</v>
      </c>
      <c r="J1472" s="31" t="n">
        <v>23126.19</v>
      </c>
      <c r="K1472" s="31" t="n">
        <v>179.84</v>
      </c>
      <c r="L1472" s="32" t="n">
        <v>15</v>
      </c>
      <c r="M1472" s="32" t="n">
        <v>107</v>
      </c>
      <c r="N1472" s="31" t="n">
        <v>22946.35</v>
      </c>
      <c r="O1472" s="31" t="n">
        <v>23126.19</v>
      </c>
      <c r="P1472" s="22" t="n">
        <v>0</v>
      </c>
      <c r="Q1472" s="22" t="n">
        <v>0</v>
      </c>
      <c r="R1472" s="22" t="n">
        <v>0</v>
      </c>
    </row>
    <row r="1473">
      <c r="A1473" s="22" t="n">
        <v>201808</v>
      </c>
      <c r="B1473" s="22" t="inlineStr">
        <is>
          <t>08/2018</t>
        </is>
      </c>
      <c r="C1473" s="22" t="n">
        <v>57</v>
      </c>
      <c r="D1473" s="22" t="inlineStr">
        <is>
          <t>S57</t>
        </is>
      </c>
      <c r="E1473" s="22" t="inlineStr">
        <is>
          <t>Nexa New Mexico (S57)</t>
        </is>
      </c>
      <c r="F1473" s="22" t="inlineStr">
        <is>
          <t>Mỹ</t>
        </is>
      </c>
      <c r="G1473" s="22" t="inlineStr">
        <is>
          <t>POS</t>
        </is>
      </c>
      <c r="H1473" s="31" t="n">
        <v>42840.7</v>
      </c>
      <c r="I1473" s="31" t="n">
        <v>2879.31</v>
      </c>
      <c r="J1473" s="31" t="n">
        <v>39961.39</v>
      </c>
      <c r="K1473" s="31" t="n">
        <v>1288.8</v>
      </c>
      <c r="L1473" s="32" t="n">
        <v>15</v>
      </c>
      <c r="M1473" s="32" t="n">
        <v>155</v>
      </c>
      <c r="N1473" s="31" t="n">
        <v>38672.59</v>
      </c>
      <c r="O1473" s="31" t="n">
        <v>39961.39</v>
      </c>
      <c r="P1473" s="22" t="n">
        <v>0</v>
      </c>
      <c r="Q1473" s="22" t="n">
        <v>0</v>
      </c>
      <c r="R1473" s="22" t="n">
        <v>0</v>
      </c>
    </row>
    <row r="1474">
      <c r="A1474" s="22" t="n">
        <v>201808</v>
      </c>
      <c r="B1474" s="22" t="inlineStr">
        <is>
          <t>08/2018</t>
        </is>
      </c>
      <c r="C1474" s="22" t="n">
        <v>59</v>
      </c>
      <c r="D1474" s="22" t="inlineStr">
        <is>
          <t>S59</t>
        </is>
      </c>
      <c r="E1474" s="22" t="inlineStr">
        <is>
          <t>Nexa Oregon (S59)</t>
        </is>
      </c>
      <c r="F1474" s="22" t="inlineStr">
        <is>
          <t>Mỹ</t>
        </is>
      </c>
      <c r="G1474" s="22" t="inlineStr">
        <is>
          <t>POS</t>
        </is>
      </c>
      <c r="H1474" s="31" t="n">
        <v>21298.07</v>
      </c>
      <c r="I1474" s="31" t="n">
        <v>1610.14</v>
      </c>
      <c r="J1474" s="31" t="n">
        <v>19687.93</v>
      </c>
      <c r="K1474" s="31" t="n">
        <v>288</v>
      </c>
      <c r="L1474" s="32" t="n">
        <v>9</v>
      </c>
      <c r="M1474" s="32" t="n">
        <v>57</v>
      </c>
      <c r="N1474" s="31" t="n">
        <v>19399.93</v>
      </c>
      <c r="O1474" s="31" t="n">
        <v>19687.93</v>
      </c>
      <c r="P1474" s="22" t="n">
        <v>0</v>
      </c>
      <c r="Q1474" s="22" t="n">
        <v>0</v>
      </c>
      <c r="R1474" s="22" t="n">
        <v>0</v>
      </c>
    </row>
    <row r="1475">
      <c r="A1475" s="22" t="n">
        <v>201808</v>
      </c>
      <c r="B1475" s="22" t="inlineStr">
        <is>
          <t>08/2018</t>
        </is>
      </c>
      <c r="C1475" s="22" t="n">
        <v>61</v>
      </c>
      <c r="D1475" s="22" t="inlineStr">
        <is>
          <t>S61</t>
        </is>
      </c>
      <c r="E1475" s="22" t="inlineStr">
        <is>
          <t>Nexa South Carolina (S61)</t>
        </is>
      </c>
      <c r="F1475" s="22" t="inlineStr">
        <is>
          <t>Mỹ</t>
        </is>
      </c>
      <c r="G1475" s="22" t="inlineStr">
        <is>
          <t>POS</t>
        </is>
      </c>
      <c r="H1475" s="31" t="n">
        <v>24125.57</v>
      </c>
      <c r="I1475" s="31" t="n">
        <v>609.8099999999999</v>
      </c>
      <c r="J1475" s="31" t="n">
        <v>23515.76</v>
      </c>
      <c r="K1475" s="31" t="n">
        <v>2253.64</v>
      </c>
      <c r="L1475" s="32" t="n">
        <v>11</v>
      </c>
      <c r="M1475" s="32" t="n">
        <v>80</v>
      </c>
      <c r="N1475" s="31" t="n">
        <v>21262.12</v>
      </c>
      <c r="O1475" s="31" t="n">
        <v>23515.76</v>
      </c>
      <c r="P1475" s="22" t="n">
        <v>0</v>
      </c>
      <c r="Q1475" s="22" t="n">
        <v>0</v>
      </c>
      <c r="R1475" s="22" t="n">
        <v>0</v>
      </c>
    </row>
    <row r="1476">
      <c r="A1476" s="22" t="n">
        <v>201808</v>
      </c>
      <c r="B1476" s="22" t="inlineStr">
        <is>
          <t>08/2018</t>
        </is>
      </c>
      <c r="C1476" s="22" t="n">
        <v>62</v>
      </c>
      <c r="D1476" s="22" t="inlineStr">
        <is>
          <t>S62</t>
        </is>
      </c>
      <c r="E1476" s="22" t="inlineStr">
        <is>
          <t>Nexa South Dakota (S62)</t>
        </is>
      </c>
      <c r="F1476" s="22" t="inlineStr">
        <is>
          <t>Mỹ</t>
        </is>
      </c>
      <c r="G1476" s="22" t="inlineStr">
        <is>
          <t>POS</t>
        </is>
      </c>
      <c r="H1476" s="31" t="n">
        <v>11389.47</v>
      </c>
      <c r="I1476" s="31" t="n">
        <v>335.38</v>
      </c>
      <c r="J1476" s="31" t="n">
        <v>11054.09</v>
      </c>
      <c r="K1476" s="31" t="n">
        <v>0</v>
      </c>
      <c r="L1476" s="32" t="n">
        <v>9</v>
      </c>
      <c r="M1476" s="32" t="n">
        <v>73</v>
      </c>
      <c r="N1476" s="31" t="n">
        <v>11054.09</v>
      </c>
      <c r="O1476" s="31" t="n">
        <v>11054.09</v>
      </c>
      <c r="P1476" s="22" t="n">
        <v>0</v>
      </c>
      <c r="Q1476" s="22" t="n">
        <v>0</v>
      </c>
      <c r="R1476" s="22" t="n">
        <v>0</v>
      </c>
    </row>
    <row r="1477">
      <c r="A1477" s="22" t="n">
        <v>201808</v>
      </c>
      <c r="B1477" s="22" t="inlineStr">
        <is>
          <t>08/2018</t>
        </is>
      </c>
      <c r="C1477" s="22" t="n">
        <v>63</v>
      </c>
      <c r="D1477" s="22" t="inlineStr">
        <is>
          <t>S63</t>
        </is>
      </c>
      <c r="E1477" s="22" t="inlineStr">
        <is>
          <t>Nexa Utah (S63)</t>
        </is>
      </c>
      <c r="F1477" s="22" t="inlineStr">
        <is>
          <t>Mỹ</t>
        </is>
      </c>
      <c r="G1477" s="22" t="inlineStr">
        <is>
          <t>POS</t>
        </is>
      </c>
      <c r="H1477" s="31" t="n">
        <v>29521.55</v>
      </c>
      <c r="I1477" s="31" t="n">
        <v>1720.11</v>
      </c>
      <c r="J1477" s="31" t="n">
        <v>27801.44</v>
      </c>
      <c r="K1477" s="31" t="n">
        <v>0</v>
      </c>
      <c r="L1477" s="32" t="n">
        <v>15</v>
      </c>
      <c r="M1477" s="32" t="n">
        <v>91</v>
      </c>
      <c r="N1477" s="31" t="n">
        <v>27801.44</v>
      </c>
      <c r="O1477" s="31" t="n">
        <v>27801.44</v>
      </c>
      <c r="P1477" s="22" t="n">
        <v>0</v>
      </c>
      <c r="Q1477" s="22" t="n">
        <v>0</v>
      </c>
      <c r="R1477" s="22" t="n">
        <v>0</v>
      </c>
    </row>
    <row r="1478">
      <c r="A1478" s="22" t="n">
        <v>201808</v>
      </c>
      <c r="B1478" s="22" t="inlineStr">
        <is>
          <t>08/2018</t>
        </is>
      </c>
      <c r="C1478" s="22" t="n">
        <v>64</v>
      </c>
      <c r="D1478" s="22" t="inlineStr">
        <is>
          <t>S64</t>
        </is>
      </c>
      <c r="E1478" s="22" t="inlineStr">
        <is>
          <t>Nexa Washington DC (S64)</t>
        </is>
      </c>
      <c r="F1478" s="22" t="inlineStr">
        <is>
          <t>Mỹ</t>
        </is>
      </c>
      <c r="G1478" s="22" t="inlineStr">
        <is>
          <t>POS</t>
        </is>
      </c>
      <c r="H1478" s="31" t="n">
        <v>19726.89</v>
      </c>
      <c r="I1478" s="31" t="n">
        <v>1762.19</v>
      </c>
      <c r="J1478" s="31" t="n">
        <v>17964.7</v>
      </c>
      <c r="K1478" s="31" t="n">
        <v>0</v>
      </c>
      <c r="L1478" s="32" t="n">
        <v>8</v>
      </c>
      <c r="M1478" s="32" t="n">
        <v>54</v>
      </c>
      <c r="N1478" s="31" t="n">
        <v>17964.7</v>
      </c>
      <c r="O1478" s="31" t="n">
        <v>17964.7</v>
      </c>
      <c r="P1478" s="22" t="n">
        <v>0</v>
      </c>
      <c r="Q1478" s="22" t="n">
        <v>0</v>
      </c>
      <c r="R1478" s="22" t="n">
        <v>0</v>
      </c>
    </row>
    <row r="1479">
      <c r="A1479" s="22" t="n">
        <v>201808</v>
      </c>
      <c r="B1479" s="22" t="inlineStr">
        <is>
          <t>08/2018</t>
        </is>
      </c>
      <c r="C1479" s="22" t="n">
        <v>65</v>
      </c>
      <c r="D1479" s="22" t="inlineStr">
        <is>
          <t>S65</t>
        </is>
      </c>
      <c r="E1479" s="22" t="inlineStr">
        <is>
          <t>Nexa West Virginia (S65)</t>
        </is>
      </c>
      <c r="F1479" s="22" t="inlineStr">
        <is>
          <t>Mỹ</t>
        </is>
      </c>
      <c r="G1479" s="22" t="inlineStr">
        <is>
          <t>POS</t>
        </is>
      </c>
      <c r="H1479" s="31" t="n">
        <v>16397.28</v>
      </c>
      <c r="I1479" s="31" t="n">
        <v>251.73</v>
      </c>
      <c r="J1479" s="31" t="n">
        <v>16145.55</v>
      </c>
      <c r="K1479" s="31" t="n">
        <v>3954</v>
      </c>
      <c r="L1479" s="32" t="n">
        <v>8</v>
      </c>
      <c r="M1479" s="32" t="n">
        <v>62</v>
      </c>
      <c r="N1479" s="31" t="n">
        <v>12191.55</v>
      </c>
      <c r="O1479" s="31" t="n">
        <v>16145.55</v>
      </c>
      <c r="P1479" s="22" t="n">
        <v>0</v>
      </c>
      <c r="Q1479" s="22" t="n">
        <v>0</v>
      </c>
      <c r="R1479" s="22" t="n">
        <v>0</v>
      </c>
    </row>
    <row r="1480">
      <c r="A1480" s="22" t="n">
        <v>201808</v>
      </c>
      <c r="B1480" s="22" t="inlineStr">
        <is>
          <t>08/2018</t>
        </is>
      </c>
      <c r="C1480" s="22" t="n">
        <v>66</v>
      </c>
      <c r="D1480" s="22" t="inlineStr">
        <is>
          <t>S66</t>
        </is>
      </c>
      <c r="E1480" s="22" t="inlineStr">
        <is>
          <t>Nexa Wyoming (S66)</t>
        </is>
      </c>
      <c r="F1480" s="22" t="inlineStr">
        <is>
          <t>Mỹ</t>
        </is>
      </c>
      <c r="G1480" s="22" t="inlineStr">
        <is>
          <t>POS</t>
        </is>
      </c>
      <c r="H1480" s="31" t="n">
        <v>28413.65</v>
      </c>
      <c r="I1480" s="31" t="n">
        <v>960.58</v>
      </c>
      <c r="J1480" s="31" t="n">
        <v>27453.07</v>
      </c>
      <c r="K1480" s="31" t="n">
        <v>0</v>
      </c>
      <c r="L1480" s="32" t="n">
        <v>12</v>
      </c>
      <c r="M1480" s="32" t="n">
        <v>53</v>
      </c>
      <c r="N1480" s="31" t="n">
        <v>27453.07</v>
      </c>
      <c r="O1480" s="31" t="n">
        <v>27453.07</v>
      </c>
      <c r="P1480" s="22" t="n">
        <v>1</v>
      </c>
      <c r="Q1480" s="22" t="n">
        <v>0</v>
      </c>
      <c r="R1480" s="22" t="n">
        <v>0</v>
      </c>
    </row>
    <row r="1481">
      <c r="A1481" s="22" t="n">
        <v>201809</v>
      </c>
      <c r="B1481" s="22" t="inlineStr">
        <is>
          <t>09/2018</t>
        </is>
      </c>
      <c r="C1481" s="22" t="n">
        <v>0</v>
      </c>
      <c r="D1481" s="22" t="inlineStr">
        <is>
          <t>ONL</t>
        </is>
      </c>
      <c r="E1481" s="22" t="inlineStr">
        <is>
          <t>Nexa Online (website/app)</t>
        </is>
      </c>
      <c r="F1481" s="22" t="inlineStr">
        <is>
          <t>Online</t>
        </is>
      </c>
      <c r="G1481" s="22" t="inlineStr">
        <is>
          <t>ONLINE</t>
        </is>
      </c>
      <c r="H1481" s="31" t="n">
        <v>291483.08</v>
      </c>
      <c r="I1481" s="31" t="n">
        <v>15086.79</v>
      </c>
      <c r="J1481" s="31" t="n">
        <v>276396.29</v>
      </c>
      <c r="K1481" s="31" t="n">
        <v>1296.02</v>
      </c>
      <c r="L1481" s="32" t="n">
        <v>130</v>
      </c>
      <c r="M1481" s="32" t="n">
        <v>1043</v>
      </c>
      <c r="N1481" s="31" t="n">
        <v>289495.12</v>
      </c>
      <c r="O1481" s="31" t="n">
        <v>290791.14</v>
      </c>
      <c r="P1481" s="22" t="n">
        <v>0</v>
      </c>
      <c r="Q1481" s="22" t="n">
        <v>0</v>
      </c>
      <c r="R1481" s="22" t="n">
        <v>2</v>
      </c>
    </row>
    <row r="1482">
      <c r="A1482" s="22" t="n">
        <v>201809</v>
      </c>
      <c r="B1482" s="22" t="inlineStr">
        <is>
          <t>09/2018</t>
        </is>
      </c>
      <c r="C1482" s="22" t="n">
        <v>1</v>
      </c>
      <c r="D1482" s="22" t="inlineStr">
        <is>
          <t>S01</t>
        </is>
      </c>
      <c r="E1482" s="22" t="inlineStr">
        <is>
          <t>Nexa Australian Capital Territory (S01)</t>
        </is>
      </c>
      <c r="F1482" s="22" t="inlineStr">
        <is>
          <t>Úc</t>
        </is>
      </c>
      <c r="G1482" s="22" t="inlineStr">
        <is>
          <t>POS</t>
        </is>
      </c>
      <c r="H1482" s="31" t="n">
        <v>8289.1</v>
      </c>
      <c r="I1482" s="31" t="n">
        <v>828.91</v>
      </c>
      <c r="J1482" s="31" t="n">
        <v>7460.19</v>
      </c>
      <c r="K1482" s="31" t="n">
        <v>0</v>
      </c>
      <c r="L1482" s="32" t="n">
        <v>2</v>
      </c>
      <c r="M1482" s="32" t="n">
        <v>16</v>
      </c>
      <c r="N1482" s="31" t="n">
        <v>7460.19</v>
      </c>
      <c r="O1482" s="31" t="n">
        <v>7460.19</v>
      </c>
      <c r="P1482" s="22" t="n">
        <v>0</v>
      </c>
      <c r="Q1482" s="22" t="n">
        <v>0</v>
      </c>
      <c r="R1482" s="22" t="n">
        <v>0</v>
      </c>
    </row>
    <row r="1483">
      <c r="A1483" s="22" t="n">
        <v>201809</v>
      </c>
      <c r="B1483" s="22" t="inlineStr">
        <is>
          <t>09/2018</t>
        </is>
      </c>
      <c r="C1483" s="22" t="n">
        <v>4</v>
      </c>
      <c r="D1483" s="22" t="inlineStr">
        <is>
          <t>S04</t>
        </is>
      </c>
      <c r="E1483" s="22" t="inlineStr">
        <is>
          <t>Nexa Tasmania (S04)</t>
        </is>
      </c>
      <c r="F1483" s="22" t="inlineStr">
        <is>
          <t>Úc</t>
        </is>
      </c>
      <c r="G1483" s="22" t="inlineStr">
        <is>
          <t>POS</t>
        </is>
      </c>
      <c r="H1483" s="31" t="n">
        <v>16096.26</v>
      </c>
      <c r="I1483" s="31" t="n">
        <v>926.11</v>
      </c>
      <c r="J1483" s="31" t="n">
        <v>15170.15</v>
      </c>
      <c r="K1483" s="31" t="n">
        <v>0</v>
      </c>
      <c r="L1483" s="32" t="n">
        <v>6</v>
      </c>
      <c r="M1483" s="32" t="n">
        <v>65</v>
      </c>
      <c r="N1483" s="31" t="n">
        <v>15170.15</v>
      </c>
      <c r="O1483" s="31" t="n">
        <v>15170.15</v>
      </c>
      <c r="P1483" s="22" t="n">
        <v>0</v>
      </c>
      <c r="Q1483" s="22" t="n">
        <v>0</v>
      </c>
      <c r="R1483" s="22" t="n">
        <v>0</v>
      </c>
    </row>
    <row r="1484">
      <c r="A1484" s="22" t="n">
        <v>201809</v>
      </c>
      <c r="B1484" s="22" t="inlineStr">
        <is>
          <t>09/2018</t>
        </is>
      </c>
      <c r="C1484" s="22" t="n">
        <v>5</v>
      </c>
      <c r="D1484" s="22" t="inlineStr">
        <is>
          <t>S05</t>
        </is>
      </c>
      <c r="E1484" s="22" t="inlineStr">
        <is>
          <t>Nexa Victoria (S05)</t>
        </is>
      </c>
      <c r="F1484" s="22" t="inlineStr">
        <is>
          <t>Úc</t>
        </is>
      </c>
      <c r="G1484" s="22" t="inlineStr">
        <is>
          <t>POS</t>
        </is>
      </c>
      <c r="H1484" s="31" t="n">
        <v>38361.72</v>
      </c>
      <c r="I1484" s="31" t="n">
        <v>268.38</v>
      </c>
      <c r="J1484" s="31" t="n">
        <v>38093.34</v>
      </c>
      <c r="K1484" s="31" t="n">
        <v>16065</v>
      </c>
      <c r="L1484" s="32" t="n">
        <v>9</v>
      </c>
      <c r="M1484" s="32" t="n">
        <v>94</v>
      </c>
      <c r="N1484" s="31" t="n">
        <v>38093.34</v>
      </c>
      <c r="O1484" s="31" t="n">
        <v>38093.34</v>
      </c>
      <c r="P1484" s="22" t="n">
        <v>0</v>
      </c>
      <c r="Q1484" s="22" t="n">
        <v>0</v>
      </c>
      <c r="R1484" s="22" t="n">
        <v>0</v>
      </c>
    </row>
    <row r="1485">
      <c r="A1485" s="22" t="n">
        <v>201809</v>
      </c>
      <c r="B1485" s="22" t="inlineStr">
        <is>
          <t>09/2018</t>
        </is>
      </c>
      <c r="C1485" s="22" t="n">
        <v>6</v>
      </c>
      <c r="D1485" s="22" t="inlineStr">
        <is>
          <t>S06</t>
        </is>
      </c>
      <c r="E1485" s="22" t="inlineStr">
        <is>
          <t>Nexa Western Australia (S06)</t>
        </is>
      </c>
      <c r="F1485" s="22" t="inlineStr">
        <is>
          <t>Úc</t>
        </is>
      </c>
      <c r="G1485" s="22" t="inlineStr">
        <is>
          <t>POS</t>
        </is>
      </c>
      <c r="H1485" s="31" t="n">
        <v>11015.3</v>
      </c>
      <c r="I1485" s="31" t="n">
        <v>375.38</v>
      </c>
      <c r="J1485" s="31" t="n">
        <v>10639.92</v>
      </c>
      <c r="K1485" s="31" t="n">
        <v>266.4</v>
      </c>
      <c r="L1485" s="32" t="n">
        <v>3</v>
      </c>
      <c r="M1485" s="32" t="n">
        <v>50</v>
      </c>
      <c r="N1485" s="31" t="n">
        <v>10373.52</v>
      </c>
      <c r="O1485" s="31" t="n">
        <v>10639.92</v>
      </c>
      <c r="P1485" s="22" t="n">
        <v>0</v>
      </c>
      <c r="Q1485" s="22" t="n">
        <v>0</v>
      </c>
      <c r="R1485" s="22" t="n">
        <v>0</v>
      </c>
    </row>
    <row r="1486">
      <c r="A1486" s="22" t="n">
        <v>201809</v>
      </c>
      <c r="B1486" s="22" t="inlineStr">
        <is>
          <t>09/2018</t>
        </is>
      </c>
      <c r="C1486" s="22" t="n">
        <v>8</v>
      </c>
      <c r="D1486" s="22" t="inlineStr">
        <is>
          <t>S08</t>
        </is>
      </c>
      <c r="E1486" s="22" t="inlineStr">
        <is>
          <t>Nexa Newfoundland and Labrador (S08)</t>
        </is>
      </c>
      <c r="F1486" s="22" t="inlineStr">
        <is>
          <t>Canada</t>
        </is>
      </c>
      <c r="G1486" s="22" t="inlineStr">
        <is>
          <t>POS</t>
        </is>
      </c>
      <c r="H1486" s="31" t="n">
        <v>19932.2</v>
      </c>
      <c r="I1486" s="31" t="n">
        <v>899.13</v>
      </c>
      <c r="J1486" s="31" t="n">
        <v>19033.07</v>
      </c>
      <c r="K1486" s="31" t="n">
        <v>944.9400000000001</v>
      </c>
      <c r="L1486" s="32" t="n">
        <v>11</v>
      </c>
      <c r="M1486" s="32" t="n">
        <v>63</v>
      </c>
      <c r="N1486" s="31" t="n">
        <v>18088.13</v>
      </c>
      <c r="O1486" s="31" t="n">
        <v>19033.07</v>
      </c>
      <c r="P1486" s="22" t="n">
        <v>0</v>
      </c>
      <c r="Q1486" s="22" t="n">
        <v>0</v>
      </c>
      <c r="R1486" s="22" t="n">
        <v>0</v>
      </c>
    </row>
    <row r="1487">
      <c r="A1487" s="22" t="n">
        <v>201809</v>
      </c>
      <c r="B1487" s="22" t="inlineStr">
        <is>
          <t>09/2018</t>
        </is>
      </c>
      <c r="C1487" s="22" t="n">
        <v>9</v>
      </c>
      <c r="D1487" s="22" t="inlineStr">
        <is>
          <t>S09</t>
        </is>
      </c>
      <c r="E1487" s="22" t="inlineStr">
        <is>
          <t>Nexa Northwest Territories (S09)</t>
        </is>
      </c>
      <c r="F1487" s="22" t="inlineStr">
        <is>
          <t>Canada</t>
        </is>
      </c>
      <c r="G1487" s="22" t="inlineStr">
        <is>
          <t>POS</t>
        </is>
      </c>
      <c r="H1487" s="31" t="n">
        <v>25493.64</v>
      </c>
      <c r="I1487" s="31" t="n">
        <v>1467.07</v>
      </c>
      <c r="J1487" s="31" t="n">
        <v>24026.57</v>
      </c>
      <c r="K1487" s="31" t="n">
        <v>42.29</v>
      </c>
      <c r="L1487" s="32" t="n">
        <v>12</v>
      </c>
      <c r="M1487" s="32" t="n">
        <v>96</v>
      </c>
      <c r="N1487" s="31" t="n">
        <v>23984.28</v>
      </c>
      <c r="O1487" s="31" t="n">
        <v>24026.57</v>
      </c>
      <c r="P1487" s="22" t="n">
        <v>1</v>
      </c>
      <c r="Q1487" s="22" t="n">
        <v>0</v>
      </c>
      <c r="R1487" s="22" t="n">
        <v>0</v>
      </c>
    </row>
    <row r="1488">
      <c r="A1488" s="22" t="n">
        <v>201809</v>
      </c>
      <c r="B1488" s="22" t="inlineStr">
        <is>
          <t>09/2018</t>
        </is>
      </c>
      <c r="C1488" s="22" t="n">
        <v>10</v>
      </c>
      <c r="D1488" s="22" t="inlineStr">
        <is>
          <t>S10</t>
        </is>
      </c>
      <c r="E1488" s="22" t="inlineStr">
        <is>
          <t>Nexa Nunavut (S10)</t>
        </is>
      </c>
      <c r="F1488" s="22" t="inlineStr">
        <is>
          <t>Canada</t>
        </is>
      </c>
      <c r="G1488" s="22" t="inlineStr">
        <is>
          <t>POS</t>
        </is>
      </c>
      <c r="H1488" s="31" t="n">
        <v>5537.44</v>
      </c>
      <c r="I1488" s="31" t="n">
        <v>36</v>
      </c>
      <c r="J1488" s="31" t="n">
        <v>5501.44</v>
      </c>
      <c r="K1488" s="31" t="n">
        <v>0</v>
      </c>
      <c r="L1488" s="32" t="n">
        <v>5</v>
      </c>
      <c r="M1488" s="32" t="n">
        <v>27</v>
      </c>
      <c r="N1488" s="31" t="n">
        <v>5321.49</v>
      </c>
      <c r="O1488" s="31" t="n">
        <v>5501.44</v>
      </c>
      <c r="P1488" s="22" t="n">
        <v>0</v>
      </c>
      <c r="Q1488" s="22" t="n">
        <v>0</v>
      </c>
      <c r="R1488" s="22" t="n">
        <v>0</v>
      </c>
    </row>
    <row r="1489">
      <c r="A1489" s="22" t="n">
        <v>201809</v>
      </c>
      <c r="B1489" s="22" t="inlineStr">
        <is>
          <t>09/2018</t>
        </is>
      </c>
      <c r="C1489" s="22" t="n">
        <v>12</v>
      </c>
      <c r="D1489" s="22" t="inlineStr">
        <is>
          <t>S12</t>
        </is>
      </c>
      <c r="E1489" s="22" t="inlineStr">
        <is>
          <t>Nexa Basse-Normandie (S12)</t>
        </is>
      </c>
      <c r="F1489" s="22" t="inlineStr">
        <is>
          <t>Pháp</t>
        </is>
      </c>
      <c r="G1489" s="22" t="inlineStr">
        <is>
          <t>POS</t>
        </is>
      </c>
      <c r="H1489" s="31" t="n">
        <v>8023.08</v>
      </c>
      <c r="I1489" s="31" t="n">
        <v>175.5</v>
      </c>
      <c r="J1489" s="31" t="n">
        <v>7847.58</v>
      </c>
      <c r="K1489" s="31" t="n">
        <v>0</v>
      </c>
      <c r="L1489" s="32" t="n">
        <v>4</v>
      </c>
      <c r="M1489" s="32" t="n">
        <v>24</v>
      </c>
      <c r="N1489" s="31" t="n">
        <v>7847.58</v>
      </c>
      <c r="O1489" s="31" t="n">
        <v>7847.58</v>
      </c>
      <c r="P1489" s="22" t="n">
        <v>0</v>
      </c>
      <c r="Q1489" s="22" t="n">
        <v>0</v>
      </c>
      <c r="R1489" s="22" t="n">
        <v>0</v>
      </c>
    </row>
    <row r="1490">
      <c r="A1490" s="22" t="n">
        <v>201809</v>
      </c>
      <c r="B1490" s="22" t="inlineStr">
        <is>
          <t>09/2018</t>
        </is>
      </c>
      <c r="C1490" s="22" t="n">
        <v>14</v>
      </c>
      <c r="D1490" s="22" t="inlineStr">
        <is>
          <t>S14</t>
        </is>
      </c>
      <c r="E1490" s="22" t="inlineStr">
        <is>
          <t>Nexa Franche-Comté (S14)</t>
        </is>
      </c>
      <c r="F1490" s="22" t="inlineStr">
        <is>
          <t>Pháp</t>
        </is>
      </c>
      <c r="G1490" s="22" t="inlineStr">
        <is>
          <t>POS</t>
        </is>
      </c>
      <c r="H1490" s="31" t="n">
        <v>139</v>
      </c>
      <c r="I1490" s="31" t="n">
        <v>0</v>
      </c>
      <c r="J1490" s="31" t="n">
        <v>139</v>
      </c>
      <c r="K1490" s="31" t="n">
        <v>0</v>
      </c>
      <c r="L1490" s="32" t="n">
        <v>1</v>
      </c>
      <c r="M1490" s="32" t="n">
        <v>1</v>
      </c>
      <c r="N1490" s="31" t="n">
        <v>139</v>
      </c>
      <c r="O1490" s="31" t="n">
        <v>139</v>
      </c>
      <c r="P1490" s="22" t="n">
        <v>0</v>
      </c>
      <c r="Q1490" s="22" t="n">
        <v>0</v>
      </c>
      <c r="R1490" s="22" t="n">
        <v>0</v>
      </c>
    </row>
    <row r="1491">
      <c r="A1491" s="22" t="n">
        <v>201809</v>
      </c>
      <c r="B1491" s="22" t="inlineStr">
        <is>
          <t>09/2018</t>
        </is>
      </c>
      <c r="C1491" s="22" t="n">
        <v>16</v>
      </c>
      <c r="D1491" s="22" t="inlineStr">
        <is>
          <t>S16</t>
        </is>
      </c>
      <c r="E1491" s="22" t="inlineStr">
        <is>
          <t>Nexa Limousin (S16)</t>
        </is>
      </c>
      <c r="F1491" s="22" t="inlineStr">
        <is>
          <t>Pháp</t>
        </is>
      </c>
      <c r="G1491" s="22" t="inlineStr">
        <is>
          <t>POS</t>
        </is>
      </c>
      <c r="H1491" s="31" t="n">
        <v>3043.46</v>
      </c>
      <c r="I1491" s="31" t="n">
        <v>0</v>
      </c>
      <c r="J1491" s="31" t="n">
        <v>3043.46</v>
      </c>
      <c r="K1491" s="31" t="n">
        <v>0</v>
      </c>
      <c r="L1491" s="32" t="n">
        <v>2</v>
      </c>
      <c r="M1491" s="32" t="n">
        <v>17</v>
      </c>
      <c r="N1491" s="31" t="n">
        <v>3043.46</v>
      </c>
      <c r="O1491" s="31" t="n">
        <v>3043.46</v>
      </c>
      <c r="P1491" s="22" t="n">
        <v>0</v>
      </c>
      <c r="Q1491" s="22" t="n">
        <v>0</v>
      </c>
      <c r="R1491" s="22" t="n">
        <v>0</v>
      </c>
    </row>
    <row r="1492">
      <c r="A1492" s="22" t="n">
        <v>201809</v>
      </c>
      <c r="B1492" s="22" t="inlineStr">
        <is>
          <t>09/2018</t>
        </is>
      </c>
      <c r="C1492" s="22" t="n">
        <v>17</v>
      </c>
      <c r="D1492" s="22" t="inlineStr">
        <is>
          <t>S17</t>
        </is>
      </c>
      <c r="E1492" s="22" t="inlineStr">
        <is>
          <t>Nexa Martinique (S17)</t>
        </is>
      </c>
      <c r="F1492" s="22" t="inlineStr">
        <is>
          <t>Pháp</t>
        </is>
      </c>
      <c r="G1492" s="22" t="inlineStr">
        <is>
          <t>POS</t>
        </is>
      </c>
      <c r="H1492" s="31" t="n">
        <v>2030.92</v>
      </c>
      <c r="I1492" s="31" t="n">
        <v>203.09</v>
      </c>
      <c r="J1492" s="31" t="n">
        <v>1827.83</v>
      </c>
      <c r="K1492" s="31" t="n">
        <v>0</v>
      </c>
      <c r="L1492" s="32" t="n">
        <v>1</v>
      </c>
      <c r="M1492" s="32" t="n">
        <v>13</v>
      </c>
      <c r="N1492" s="31" t="n">
        <v>1827.83</v>
      </c>
      <c r="O1492" s="31" t="n">
        <v>1827.83</v>
      </c>
      <c r="P1492" s="22" t="n">
        <v>0</v>
      </c>
      <c r="Q1492" s="22" t="n">
        <v>0</v>
      </c>
      <c r="R1492" s="22" t="n">
        <v>0</v>
      </c>
    </row>
    <row r="1493">
      <c r="A1493" s="22" t="n">
        <v>201809</v>
      </c>
      <c r="B1493" s="22" t="inlineStr">
        <is>
          <t>09/2018</t>
        </is>
      </c>
      <c r="C1493" s="22" t="n">
        <v>18</v>
      </c>
      <c r="D1493" s="22" t="inlineStr">
        <is>
          <t>S18</t>
        </is>
      </c>
      <c r="E1493" s="22" t="inlineStr">
        <is>
          <t>Nexa Mayotte (S18)</t>
        </is>
      </c>
      <c r="F1493" s="22" t="inlineStr">
        <is>
          <t>Pháp</t>
        </is>
      </c>
      <c r="G1493" s="22" t="inlineStr">
        <is>
          <t>POS</t>
        </is>
      </c>
      <c r="H1493" s="31" t="n">
        <v>2775</v>
      </c>
      <c r="I1493" s="31" t="n">
        <v>0</v>
      </c>
      <c r="J1493" s="31" t="n">
        <v>2775</v>
      </c>
      <c r="K1493" s="31" t="n">
        <v>0</v>
      </c>
      <c r="L1493" s="32" t="n">
        <v>2</v>
      </c>
      <c r="M1493" s="32" t="n">
        <v>11</v>
      </c>
      <c r="N1493" s="31" t="n">
        <v>2775</v>
      </c>
      <c r="O1493" s="31" t="n">
        <v>2775</v>
      </c>
      <c r="P1493" s="22" t="n">
        <v>0</v>
      </c>
      <c r="Q1493" s="22" t="n">
        <v>0</v>
      </c>
      <c r="R1493" s="22" t="n">
        <v>0</v>
      </c>
    </row>
    <row r="1494">
      <c r="A1494" s="22" t="n">
        <v>201809</v>
      </c>
      <c r="B1494" s="22" t="inlineStr">
        <is>
          <t>09/2018</t>
        </is>
      </c>
      <c r="C1494" s="22" t="n">
        <v>19</v>
      </c>
      <c r="D1494" s="22" t="inlineStr">
        <is>
          <t>S19</t>
        </is>
      </c>
      <c r="E1494" s="22" t="inlineStr">
        <is>
          <t>Nexa Berlin (S19)</t>
        </is>
      </c>
      <c r="F1494" s="22" t="inlineStr">
        <is>
          <t>Đức</t>
        </is>
      </c>
      <c r="G1494" s="22" t="inlineStr">
        <is>
          <t>POS</t>
        </is>
      </c>
      <c r="H1494" s="31" t="n">
        <v>7280.66</v>
      </c>
      <c r="I1494" s="31" t="n">
        <v>290</v>
      </c>
      <c r="J1494" s="31" t="n">
        <v>6990.66</v>
      </c>
      <c r="K1494" s="31" t="n">
        <v>499.9</v>
      </c>
      <c r="L1494" s="32" t="n">
        <v>6</v>
      </c>
      <c r="M1494" s="32" t="n">
        <v>30</v>
      </c>
      <c r="N1494" s="31" t="n">
        <v>6490.76</v>
      </c>
      <c r="O1494" s="31" t="n">
        <v>6990.66</v>
      </c>
      <c r="P1494" s="22" t="n">
        <v>0</v>
      </c>
      <c r="Q1494" s="22" t="n">
        <v>0</v>
      </c>
      <c r="R1494" s="22" t="n">
        <v>0</v>
      </c>
    </row>
    <row r="1495">
      <c r="A1495" s="22" t="n">
        <v>201809</v>
      </c>
      <c r="B1495" s="22" t="inlineStr">
        <is>
          <t>09/2018</t>
        </is>
      </c>
      <c r="C1495" s="22" t="n">
        <v>20</v>
      </c>
      <c r="D1495" s="22" t="inlineStr">
        <is>
          <t>S20</t>
        </is>
      </c>
      <c r="E1495" s="22" t="inlineStr">
        <is>
          <t>Nexa Brandenburg (S20)</t>
        </is>
      </c>
      <c r="F1495" s="22" t="inlineStr">
        <is>
          <t>Đức</t>
        </is>
      </c>
      <c r="G1495" s="22" t="inlineStr">
        <is>
          <t>POS</t>
        </is>
      </c>
      <c r="H1495" s="31" t="n">
        <v>12486.1</v>
      </c>
      <c r="I1495" s="31" t="n">
        <v>211.97</v>
      </c>
      <c r="J1495" s="31" t="n">
        <v>12274.13</v>
      </c>
      <c r="K1495" s="31" t="n">
        <v>0</v>
      </c>
      <c r="L1495" s="32" t="n">
        <v>7</v>
      </c>
      <c r="M1495" s="32" t="n">
        <v>62</v>
      </c>
      <c r="N1495" s="31" t="n">
        <v>12274.13</v>
      </c>
      <c r="O1495" s="31" t="n">
        <v>12274.13</v>
      </c>
      <c r="P1495" s="22" t="n">
        <v>0</v>
      </c>
      <c r="Q1495" s="22" t="n">
        <v>0</v>
      </c>
      <c r="R1495" s="22" t="n">
        <v>0</v>
      </c>
    </row>
    <row r="1496">
      <c r="A1496" s="22" t="n">
        <v>201809</v>
      </c>
      <c r="B1496" s="22" t="inlineStr">
        <is>
          <t>09/2018</t>
        </is>
      </c>
      <c r="C1496" s="22" t="n">
        <v>21</v>
      </c>
      <c r="D1496" s="22" t="inlineStr">
        <is>
          <t>S21</t>
        </is>
      </c>
      <c r="E1496" s="22" t="inlineStr">
        <is>
          <t>Nexa Freie Hansestadt Bremen (S21)</t>
        </is>
      </c>
      <c r="F1496" s="22" t="inlineStr">
        <is>
          <t>Đức</t>
        </is>
      </c>
      <c r="G1496" s="22" t="inlineStr">
        <is>
          <t>POS</t>
        </is>
      </c>
      <c r="H1496" s="31" t="n">
        <v>8927.68</v>
      </c>
      <c r="I1496" s="31" t="n">
        <v>168.79</v>
      </c>
      <c r="J1496" s="31" t="n">
        <v>8758.889999999999</v>
      </c>
      <c r="K1496" s="31" t="n">
        <v>0</v>
      </c>
      <c r="L1496" s="32" t="n">
        <v>5</v>
      </c>
      <c r="M1496" s="32" t="n">
        <v>47</v>
      </c>
      <c r="N1496" s="31" t="n">
        <v>8758.889999999999</v>
      </c>
      <c r="O1496" s="31" t="n">
        <v>8758.889999999999</v>
      </c>
      <c r="P1496" s="22" t="n">
        <v>0</v>
      </c>
      <c r="Q1496" s="22" t="n">
        <v>0</v>
      </c>
      <c r="R1496" s="22" t="n">
        <v>0</v>
      </c>
    </row>
    <row r="1497">
      <c r="A1497" s="22" t="n">
        <v>201809</v>
      </c>
      <c r="B1497" s="22" t="inlineStr">
        <is>
          <t>09/2018</t>
        </is>
      </c>
      <c r="C1497" s="22" t="n">
        <v>22</v>
      </c>
      <c r="D1497" s="22" t="inlineStr">
        <is>
          <t>S22</t>
        </is>
      </c>
      <c r="E1497" s="22" t="inlineStr">
        <is>
          <t>Nexa Freistaat Thüringen (S22)</t>
        </is>
      </c>
      <c r="F1497" s="22" t="inlineStr">
        <is>
          <t>Đức</t>
        </is>
      </c>
      <c r="G1497" s="22" t="inlineStr">
        <is>
          <t>POS</t>
        </is>
      </c>
      <c r="H1497" s="31" t="n">
        <v>4712.53</v>
      </c>
      <c r="I1497" s="31" t="n">
        <v>0</v>
      </c>
      <c r="J1497" s="31" t="n">
        <v>4712.53</v>
      </c>
      <c r="K1497" s="31" t="n">
        <v>0</v>
      </c>
      <c r="L1497" s="32" t="n">
        <v>4</v>
      </c>
      <c r="M1497" s="32" t="n">
        <v>26</v>
      </c>
      <c r="N1497" s="31" t="n">
        <v>4712.53</v>
      </c>
      <c r="O1497" s="31" t="n">
        <v>4712.53</v>
      </c>
      <c r="P1497" s="22" t="n">
        <v>0</v>
      </c>
      <c r="Q1497" s="22" t="n">
        <v>0</v>
      </c>
      <c r="R1497" s="22" t="n">
        <v>0</v>
      </c>
    </row>
    <row r="1498">
      <c r="A1498" s="22" t="n">
        <v>201809</v>
      </c>
      <c r="B1498" s="22" t="inlineStr">
        <is>
          <t>09/2018</t>
        </is>
      </c>
      <c r="C1498" s="22" t="n">
        <v>23</v>
      </c>
      <c r="D1498" s="22" t="inlineStr">
        <is>
          <t>S23</t>
        </is>
      </c>
      <c r="E1498" s="22" t="inlineStr">
        <is>
          <t>Nexa Hamburg (S23)</t>
        </is>
      </c>
      <c r="F1498" s="22" t="inlineStr">
        <is>
          <t>Đức</t>
        </is>
      </c>
      <c r="G1498" s="22" t="inlineStr">
        <is>
          <t>POS</t>
        </is>
      </c>
      <c r="H1498" s="31" t="n">
        <v>17421.93</v>
      </c>
      <c r="I1498" s="31" t="n">
        <v>0</v>
      </c>
      <c r="J1498" s="31" t="n">
        <v>17421.93</v>
      </c>
      <c r="K1498" s="31" t="n">
        <v>9.99</v>
      </c>
      <c r="L1498" s="32" t="n">
        <v>9</v>
      </c>
      <c r="M1498" s="32" t="n">
        <v>67</v>
      </c>
      <c r="N1498" s="31" t="n">
        <v>17411.94</v>
      </c>
      <c r="O1498" s="31" t="n">
        <v>17421.93</v>
      </c>
      <c r="P1498" s="22" t="n">
        <v>0</v>
      </c>
      <c r="Q1498" s="22" t="n">
        <v>0</v>
      </c>
      <c r="R1498" s="22" t="n">
        <v>0</v>
      </c>
    </row>
    <row r="1499">
      <c r="A1499" s="22" t="n">
        <v>201809</v>
      </c>
      <c r="B1499" s="22" t="inlineStr">
        <is>
          <t>09/2018</t>
        </is>
      </c>
      <c r="C1499" s="22" t="n">
        <v>24</v>
      </c>
      <c r="D1499" s="22" t="inlineStr">
        <is>
          <t>S24</t>
        </is>
      </c>
      <c r="E1499" s="22" t="inlineStr">
        <is>
          <t>Nexa Hessen (S24)</t>
        </is>
      </c>
      <c r="F1499" s="22" t="inlineStr">
        <is>
          <t>Đức</t>
        </is>
      </c>
      <c r="G1499" s="22" t="inlineStr">
        <is>
          <t>POS</t>
        </is>
      </c>
      <c r="H1499" s="31" t="n">
        <v>1934.89</v>
      </c>
      <c r="I1499" s="31" t="n">
        <v>0.6899999999999999</v>
      </c>
      <c r="J1499" s="31" t="n">
        <v>1934.2</v>
      </c>
      <c r="K1499" s="31" t="n">
        <v>459.8</v>
      </c>
      <c r="L1499" s="32" t="n">
        <v>3</v>
      </c>
      <c r="M1499" s="32" t="n">
        <v>11</v>
      </c>
      <c r="N1499" s="31" t="n">
        <v>1474.4</v>
      </c>
      <c r="O1499" s="31" t="n">
        <v>1934.2</v>
      </c>
      <c r="P1499" s="22" t="n">
        <v>0</v>
      </c>
      <c r="Q1499" s="22" t="n">
        <v>0</v>
      </c>
      <c r="R1499" s="22" t="n">
        <v>0</v>
      </c>
    </row>
    <row r="1500">
      <c r="A1500" s="22" t="n">
        <v>201809</v>
      </c>
      <c r="B1500" s="22" t="inlineStr">
        <is>
          <t>09/2018</t>
        </is>
      </c>
      <c r="C1500" s="22" t="n">
        <v>27</v>
      </c>
      <c r="D1500" s="22" t="inlineStr">
        <is>
          <t>S27</t>
        </is>
      </c>
      <c r="E1500" s="22" t="inlineStr">
        <is>
          <t>Nexa Sachsen-Anhalt (S27)</t>
        </is>
      </c>
      <c r="F1500" s="22" t="inlineStr">
        <is>
          <t>Đức</t>
        </is>
      </c>
      <c r="G1500" s="22" t="inlineStr">
        <is>
          <t>POS</t>
        </is>
      </c>
      <c r="H1500" s="31" t="n">
        <v>6410.33</v>
      </c>
      <c r="I1500" s="31" t="n">
        <v>234.29</v>
      </c>
      <c r="J1500" s="31" t="n">
        <v>6176.04</v>
      </c>
      <c r="K1500" s="31" t="n">
        <v>0</v>
      </c>
      <c r="L1500" s="32" t="n">
        <v>4</v>
      </c>
      <c r="M1500" s="32" t="n">
        <v>34</v>
      </c>
      <c r="N1500" s="31" t="n">
        <v>6176.04</v>
      </c>
      <c r="O1500" s="31" t="n">
        <v>6176.04</v>
      </c>
      <c r="P1500" s="22" t="n">
        <v>0</v>
      </c>
      <c r="Q1500" s="22" t="n">
        <v>0</v>
      </c>
      <c r="R1500" s="22" t="n">
        <v>0</v>
      </c>
    </row>
    <row r="1501">
      <c r="A1501" s="22" t="n">
        <v>201809</v>
      </c>
      <c r="B1501" s="22" t="inlineStr">
        <is>
          <t>09/2018</t>
        </is>
      </c>
      <c r="C1501" s="22" t="n">
        <v>29</v>
      </c>
      <c r="D1501" s="22" t="inlineStr">
        <is>
          <t>S29</t>
        </is>
      </c>
      <c r="E1501" s="22" t="inlineStr">
        <is>
          <t>Nexa Enna (S29)</t>
        </is>
      </c>
      <c r="F1501" s="22" t="inlineStr">
        <is>
          <t>Ý</t>
        </is>
      </c>
      <c r="G1501" s="22" t="inlineStr">
        <is>
          <t>POS</t>
        </is>
      </c>
      <c r="H1501" s="31" t="n">
        <v>13281.42</v>
      </c>
      <c r="I1501" s="31" t="n">
        <v>510.68</v>
      </c>
      <c r="J1501" s="31" t="n">
        <v>12770.74</v>
      </c>
      <c r="K1501" s="31" t="n">
        <v>0</v>
      </c>
      <c r="L1501" s="32" t="n">
        <v>8</v>
      </c>
      <c r="M1501" s="32" t="n">
        <v>49</v>
      </c>
      <c r="N1501" s="31" t="n">
        <v>12770.74</v>
      </c>
      <c r="O1501" s="31" t="n">
        <v>12770.74</v>
      </c>
      <c r="P1501" s="22" t="n">
        <v>0</v>
      </c>
      <c r="Q1501" s="22" t="n">
        <v>0</v>
      </c>
      <c r="R1501" s="22" t="n">
        <v>0</v>
      </c>
    </row>
    <row r="1502">
      <c r="A1502" s="22" t="n">
        <v>201809</v>
      </c>
      <c r="B1502" s="22" t="inlineStr">
        <is>
          <t>09/2018</t>
        </is>
      </c>
      <c r="C1502" s="22" t="n">
        <v>30</v>
      </c>
      <c r="D1502" s="22" t="inlineStr">
        <is>
          <t>S30</t>
        </is>
      </c>
      <c r="E1502" s="22" t="inlineStr">
        <is>
          <t>Nexa Pesaro (S30)</t>
        </is>
      </c>
      <c r="F1502" s="22" t="inlineStr">
        <is>
          <t>Ý</t>
        </is>
      </c>
      <c r="G1502" s="22" t="inlineStr">
        <is>
          <t>POS</t>
        </is>
      </c>
      <c r="H1502" s="31" t="n">
        <v>14767.98</v>
      </c>
      <c r="I1502" s="31" t="n">
        <v>900.2</v>
      </c>
      <c r="J1502" s="31" t="n">
        <v>13867.78</v>
      </c>
      <c r="K1502" s="31" t="n">
        <v>183.6</v>
      </c>
      <c r="L1502" s="32" t="n">
        <v>9</v>
      </c>
      <c r="M1502" s="32" t="n">
        <v>54</v>
      </c>
      <c r="N1502" s="31" t="n">
        <v>13684.18</v>
      </c>
      <c r="O1502" s="31" t="n">
        <v>13867.78</v>
      </c>
      <c r="P1502" s="22" t="n">
        <v>0</v>
      </c>
      <c r="Q1502" s="22" t="n">
        <v>0</v>
      </c>
      <c r="R1502" s="22" t="n">
        <v>0</v>
      </c>
    </row>
    <row r="1503">
      <c r="A1503" s="22" t="n">
        <v>201809</v>
      </c>
      <c r="B1503" s="22" t="inlineStr">
        <is>
          <t>09/2018</t>
        </is>
      </c>
      <c r="C1503" s="22" t="n">
        <v>31</v>
      </c>
      <c r="D1503" s="22" t="inlineStr">
        <is>
          <t>S31</t>
        </is>
      </c>
      <c r="E1503" s="22" t="inlineStr">
        <is>
          <t>Nexa Drenthe (S31)</t>
        </is>
      </c>
      <c r="F1503" s="22" t="inlineStr">
        <is>
          <t>Hà Lan</t>
        </is>
      </c>
      <c r="G1503" s="22" t="inlineStr">
        <is>
          <t>POS</t>
        </is>
      </c>
      <c r="H1503" s="31" t="n">
        <v>4404.16</v>
      </c>
      <c r="I1503" s="31" t="n">
        <v>330.39</v>
      </c>
      <c r="J1503" s="31" t="n">
        <v>4073.77</v>
      </c>
      <c r="K1503" s="31" t="n">
        <v>11.69</v>
      </c>
      <c r="L1503" s="32" t="n">
        <v>4</v>
      </c>
      <c r="M1503" s="32" t="n">
        <v>20</v>
      </c>
      <c r="N1503" s="31" t="n">
        <v>4062.08</v>
      </c>
      <c r="O1503" s="31" t="n">
        <v>4073.77</v>
      </c>
      <c r="P1503" s="22" t="n">
        <v>0</v>
      </c>
      <c r="Q1503" s="22" t="n">
        <v>0</v>
      </c>
      <c r="R1503" s="22" t="n">
        <v>0</v>
      </c>
    </row>
    <row r="1504">
      <c r="A1504" s="22" t="n">
        <v>201809</v>
      </c>
      <c r="B1504" s="22" t="inlineStr">
        <is>
          <t>09/2018</t>
        </is>
      </c>
      <c r="C1504" s="22" t="n">
        <v>32</v>
      </c>
      <c r="D1504" s="22" t="inlineStr">
        <is>
          <t>S32</t>
        </is>
      </c>
      <c r="E1504" s="22" t="inlineStr">
        <is>
          <t>Nexa Flevoland (S32)</t>
        </is>
      </c>
      <c r="F1504" s="22" t="inlineStr">
        <is>
          <t>Hà Lan</t>
        </is>
      </c>
      <c r="G1504" s="22" t="inlineStr">
        <is>
          <t>POS</t>
        </is>
      </c>
      <c r="H1504" s="31" t="n">
        <v>16613.31</v>
      </c>
      <c r="I1504" s="31" t="n">
        <v>244.7</v>
      </c>
      <c r="J1504" s="31" t="n">
        <v>16368.61</v>
      </c>
      <c r="K1504" s="31" t="n">
        <v>75.40000000000001</v>
      </c>
      <c r="L1504" s="32" t="n">
        <v>5</v>
      </c>
      <c r="M1504" s="32" t="n">
        <v>52</v>
      </c>
      <c r="N1504" s="31" t="n">
        <v>16293.21</v>
      </c>
      <c r="O1504" s="31" t="n">
        <v>16368.61</v>
      </c>
      <c r="P1504" s="22" t="n">
        <v>1</v>
      </c>
      <c r="Q1504" s="22" t="n">
        <v>0</v>
      </c>
      <c r="R1504" s="22" t="n">
        <v>0</v>
      </c>
    </row>
    <row r="1505">
      <c r="A1505" s="22" t="n">
        <v>201809</v>
      </c>
      <c r="B1505" s="22" t="inlineStr">
        <is>
          <t>09/2018</t>
        </is>
      </c>
      <c r="C1505" s="22" t="n">
        <v>33</v>
      </c>
      <c r="D1505" s="22" t="inlineStr">
        <is>
          <t>S33</t>
        </is>
      </c>
      <c r="E1505" s="22" t="inlineStr">
        <is>
          <t>Nexa Friesland (S33)</t>
        </is>
      </c>
      <c r="F1505" s="22" t="inlineStr">
        <is>
          <t>Hà Lan</t>
        </is>
      </c>
      <c r="G1505" s="22" t="inlineStr">
        <is>
          <t>POS</t>
        </is>
      </c>
      <c r="H1505" s="31" t="n">
        <v>6827.01</v>
      </c>
      <c r="I1505" s="31" t="n">
        <v>0</v>
      </c>
      <c r="J1505" s="31" t="n">
        <v>6827.01</v>
      </c>
      <c r="K1505" s="31" t="n">
        <v>0</v>
      </c>
      <c r="L1505" s="32" t="n">
        <v>5</v>
      </c>
      <c r="M1505" s="32" t="n">
        <v>39</v>
      </c>
      <c r="N1505" s="31" t="n">
        <v>6827.01</v>
      </c>
      <c r="O1505" s="31" t="n">
        <v>6827.01</v>
      </c>
      <c r="P1505" s="22" t="n">
        <v>0</v>
      </c>
      <c r="Q1505" s="22" t="n">
        <v>0</v>
      </c>
      <c r="R1505" s="22" t="n">
        <v>0</v>
      </c>
    </row>
    <row r="1506">
      <c r="A1506" s="22" t="n">
        <v>201809</v>
      </c>
      <c r="B1506" s="22" t="inlineStr">
        <is>
          <t>09/2018</t>
        </is>
      </c>
      <c r="C1506" s="22" t="n">
        <v>34</v>
      </c>
      <c r="D1506" s="22" t="inlineStr">
        <is>
          <t>S34</t>
        </is>
      </c>
      <c r="E1506" s="22" t="inlineStr">
        <is>
          <t>Nexa Groningen (S34)</t>
        </is>
      </c>
      <c r="F1506" s="22" t="inlineStr">
        <is>
          <t>Hà Lan</t>
        </is>
      </c>
      <c r="G1506" s="22" t="inlineStr">
        <is>
          <t>POS</t>
        </is>
      </c>
      <c r="H1506" s="31" t="n">
        <v>13172.48</v>
      </c>
      <c r="I1506" s="31" t="n">
        <v>105.81</v>
      </c>
      <c r="J1506" s="31" t="n">
        <v>13066.67</v>
      </c>
      <c r="K1506" s="31" t="n">
        <v>9.699999999999999</v>
      </c>
      <c r="L1506" s="32" t="n">
        <v>4</v>
      </c>
      <c r="M1506" s="32" t="n">
        <v>58</v>
      </c>
      <c r="N1506" s="31" t="n">
        <v>13056.97</v>
      </c>
      <c r="O1506" s="31" t="n">
        <v>13066.67</v>
      </c>
      <c r="P1506" s="22" t="n">
        <v>0</v>
      </c>
      <c r="Q1506" s="22" t="n">
        <v>0</v>
      </c>
      <c r="R1506" s="22" t="n">
        <v>0</v>
      </c>
    </row>
    <row r="1507">
      <c r="A1507" s="22" t="n">
        <v>201809</v>
      </c>
      <c r="B1507" s="22" t="inlineStr">
        <is>
          <t>09/2018</t>
        </is>
      </c>
      <c r="C1507" s="22" t="n">
        <v>36</v>
      </c>
      <c r="D1507" s="22" t="inlineStr">
        <is>
          <t>S36</t>
        </is>
      </c>
      <c r="E1507" s="22" t="inlineStr">
        <is>
          <t>Nexa Armagh (S36)</t>
        </is>
      </c>
      <c r="F1507" s="22" t="inlineStr">
        <is>
          <t>Anh</t>
        </is>
      </c>
      <c r="G1507" s="22" t="inlineStr">
        <is>
          <t>POS</t>
        </is>
      </c>
      <c r="H1507" s="31" t="n">
        <v>27355.93</v>
      </c>
      <c r="I1507" s="31" t="n">
        <v>1072.02</v>
      </c>
      <c r="J1507" s="31" t="n">
        <v>26283.91</v>
      </c>
      <c r="K1507" s="31" t="n">
        <v>665.9400000000001</v>
      </c>
      <c r="L1507" s="32" t="n">
        <v>7</v>
      </c>
      <c r="M1507" s="32" t="n">
        <v>98</v>
      </c>
      <c r="N1507" s="31" t="n">
        <v>25617.97</v>
      </c>
      <c r="O1507" s="31" t="n">
        <v>26283.91</v>
      </c>
      <c r="P1507" s="22" t="n">
        <v>0</v>
      </c>
      <c r="Q1507" s="22" t="n">
        <v>0</v>
      </c>
      <c r="R1507" s="22" t="n">
        <v>0</v>
      </c>
    </row>
    <row r="1508">
      <c r="A1508" s="22" t="n">
        <v>201809</v>
      </c>
      <c r="B1508" s="22" t="inlineStr">
        <is>
          <t>09/2018</t>
        </is>
      </c>
      <c r="C1508" s="22" t="n">
        <v>37</v>
      </c>
      <c r="D1508" s="22" t="inlineStr">
        <is>
          <t>S37</t>
        </is>
      </c>
      <c r="E1508" s="22" t="inlineStr">
        <is>
          <t>Nexa Ayrshire (S37)</t>
        </is>
      </c>
      <c r="F1508" s="22" t="inlineStr">
        <is>
          <t>Anh</t>
        </is>
      </c>
      <c r="G1508" s="22" t="inlineStr">
        <is>
          <t>POS</t>
        </is>
      </c>
      <c r="H1508" s="31" t="n">
        <v>21809.21</v>
      </c>
      <c r="I1508" s="31" t="n">
        <v>687.4400000000001</v>
      </c>
      <c r="J1508" s="31" t="n">
        <v>21121.77</v>
      </c>
      <c r="K1508" s="31" t="n">
        <v>0</v>
      </c>
      <c r="L1508" s="32" t="n">
        <v>8</v>
      </c>
      <c r="M1508" s="32" t="n">
        <v>59</v>
      </c>
      <c r="N1508" s="31" t="n">
        <v>21121.77</v>
      </c>
      <c r="O1508" s="31" t="n">
        <v>21121.77</v>
      </c>
      <c r="P1508" s="22" t="n">
        <v>0</v>
      </c>
      <c r="Q1508" s="22" t="n">
        <v>0</v>
      </c>
      <c r="R1508" s="22" t="n">
        <v>0</v>
      </c>
    </row>
    <row r="1509">
      <c r="A1509" s="22" t="n">
        <v>201809</v>
      </c>
      <c r="B1509" s="22" t="inlineStr">
        <is>
          <t>09/2018</t>
        </is>
      </c>
      <c r="C1509" s="22" t="n">
        <v>38</v>
      </c>
      <c r="D1509" s="22" t="inlineStr">
        <is>
          <t>S38</t>
        </is>
      </c>
      <c r="E1509" s="22" t="inlineStr">
        <is>
          <t>Nexa Belfast (S38)</t>
        </is>
      </c>
      <c r="F1509" s="22" t="inlineStr">
        <is>
          <t>Anh</t>
        </is>
      </c>
      <c r="G1509" s="22" t="inlineStr">
        <is>
          <t>POS</t>
        </is>
      </c>
      <c r="H1509" s="31" t="n">
        <v>16252.58</v>
      </c>
      <c r="I1509" s="31" t="n">
        <v>365.36</v>
      </c>
      <c r="J1509" s="31" t="n">
        <v>15887.22</v>
      </c>
      <c r="K1509" s="31" t="n">
        <v>0</v>
      </c>
      <c r="L1509" s="32" t="n">
        <v>7</v>
      </c>
      <c r="M1509" s="32" t="n">
        <v>40</v>
      </c>
      <c r="N1509" s="31" t="n">
        <v>15887.22</v>
      </c>
      <c r="O1509" s="31" t="n">
        <v>15887.22</v>
      </c>
      <c r="P1509" s="22" t="n">
        <v>1</v>
      </c>
      <c r="Q1509" s="22" t="n">
        <v>0</v>
      </c>
      <c r="R1509" s="22" t="n">
        <v>0</v>
      </c>
    </row>
    <row r="1510">
      <c r="A1510" s="22" t="n">
        <v>201809</v>
      </c>
      <c r="B1510" s="22" t="inlineStr">
        <is>
          <t>09/2018</t>
        </is>
      </c>
      <c r="C1510" s="22" t="n">
        <v>39</v>
      </c>
      <c r="D1510" s="22" t="inlineStr">
        <is>
          <t>S39</t>
        </is>
      </c>
      <c r="E1510" s="22" t="inlineStr">
        <is>
          <t>Nexa Blaenau Gwent (S39)</t>
        </is>
      </c>
      <c r="F1510" s="22" t="inlineStr">
        <is>
          <t>Anh</t>
        </is>
      </c>
      <c r="G1510" s="22" t="inlineStr">
        <is>
          <t>POS</t>
        </is>
      </c>
      <c r="H1510" s="31" t="n">
        <v>8008.27</v>
      </c>
      <c r="I1510" s="31" t="n">
        <v>458.14</v>
      </c>
      <c r="J1510" s="31" t="n">
        <v>7550.13</v>
      </c>
      <c r="K1510" s="31" t="n">
        <v>216</v>
      </c>
      <c r="L1510" s="32" t="n">
        <v>8</v>
      </c>
      <c r="M1510" s="32" t="n">
        <v>51</v>
      </c>
      <c r="N1510" s="31" t="n">
        <v>7334.13</v>
      </c>
      <c r="O1510" s="31" t="n">
        <v>7550.13</v>
      </c>
      <c r="P1510" s="22" t="n">
        <v>1</v>
      </c>
      <c r="Q1510" s="22" t="n">
        <v>0</v>
      </c>
      <c r="R1510" s="22" t="n">
        <v>0</v>
      </c>
    </row>
    <row r="1511">
      <c r="A1511" s="22" t="n">
        <v>201809</v>
      </c>
      <c r="B1511" s="22" t="inlineStr">
        <is>
          <t>09/2018</t>
        </is>
      </c>
      <c r="C1511" s="22" t="n">
        <v>40</v>
      </c>
      <c r="D1511" s="22" t="inlineStr">
        <is>
          <t>S40</t>
        </is>
      </c>
      <c r="E1511" s="22" t="inlineStr">
        <is>
          <t>Nexa Dungannon and South Tyrone (S40)</t>
        </is>
      </c>
      <c r="F1511" s="22" t="inlineStr">
        <is>
          <t>Anh</t>
        </is>
      </c>
      <c r="G1511" s="22" t="inlineStr">
        <is>
          <t>POS</t>
        </is>
      </c>
      <c r="H1511" s="31" t="n">
        <v>37819.14</v>
      </c>
      <c r="I1511" s="31" t="n">
        <v>1112.57</v>
      </c>
      <c r="J1511" s="31" t="n">
        <v>36706.57</v>
      </c>
      <c r="K1511" s="31" t="n">
        <v>480.6</v>
      </c>
      <c r="L1511" s="32" t="n">
        <v>11</v>
      </c>
      <c r="M1511" s="32" t="n">
        <v>85</v>
      </c>
      <c r="N1511" s="31" t="n">
        <v>36225.97</v>
      </c>
      <c r="O1511" s="31" t="n">
        <v>36706.57</v>
      </c>
      <c r="P1511" s="22" t="n">
        <v>0</v>
      </c>
      <c r="Q1511" s="22" t="n">
        <v>0</v>
      </c>
      <c r="R1511" s="22" t="n">
        <v>0</v>
      </c>
    </row>
    <row r="1512">
      <c r="A1512" s="22" t="n">
        <v>201809</v>
      </c>
      <c r="B1512" s="22" t="inlineStr">
        <is>
          <t>09/2018</t>
        </is>
      </c>
      <c r="C1512" s="22" t="n">
        <v>41</v>
      </c>
      <c r="D1512" s="22" t="inlineStr">
        <is>
          <t>S41</t>
        </is>
      </c>
      <c r="E1512" s="22" t="inlineStr">
        <is>
          <t>Nexa Fermanagh (S41)</t>
        </is>
      </c>
      <c r="F1512" s="22" t="inlineStr">
        <is>
          <t>Anh</t>
        </is>
      </c>
      <c r="G1512" s="22" t="inlineStr">
        <is>
          <t>POS</t>
        </is>
      </c>
      <c r="H1512" s="31" t="n">
        <v>4140.12</v>
      </c>
      <c r="I1512" s="31" t="n">
        <v>0</v>
      </c>
      <c r="J1512" s="31" t="n">
        <v>4140.12</v>
      </c>
      <c r="K1512" s="31" t="n">
        <v>593.0700000000001</v>
      </c>
      <c r="L1512" s="32" t="n">
        <v>2</v>
      </c>
      <c r="M1512" s="32" t="n">
        <v>28</v>
      </c>
      <c r="N1512" s="31" t="n">
        <v>3547.05</v>
      </c>
      <c r="O1512" s="31" t="n">
        <v>4140.12</v>
      </c>
      <c r="P1512" s="22" t="n">
        <v>0</v>
      </c>
      <c r="Q1512" s="22" t="n">
        <v>0</v>
      </c>
      <c r="R1512" s="22" t="n">
        <v>0</v>
      </c>
    </row>
    <row r="1513">
      <c r="A1513" s="22" t="n">
        <v>201809</v>
      </c>
      <c r="B1513" s="22" t="inlineStr">
        <is>
          <t>09/2018</t>
        </is>
      </c>
      <c r="C1513" s="22" t="n">
        <v>42</v>
      </c>
      <c r="D1513" s="22" t="inlineStr">
        <is>
          <t>S42</t>
        </is>
      </c>
      <c r="E1513" s="22" t="inlineStr">
        <is>
          <t>Nexa North Down (S42)</t>
        </is>
      </c>
      <c r="F1513" s="22" t="inlineStr">
        <is>
          <t>Anh</t>
        </is>
      </c>
      <c r="G1513" s="22" t="inlineStr">
        <is>
          <t>POS</t>
        </is>
      </c>
      <c r="H1513" s="31" t="n">
        <v>6718.07</v>
      </c>
      <c r="I1513" s="31" t="n">
        <v>0</v>
      </c>
      <c r="J1513" s="31" t="n">
        <v>6718.07</v>
      </c>
      <c r="K1513" s="31" t="n">
        <v>9.99</v>
      </c>
      <c r="L1513" s="32" t="n">
        <v>4</v>
      </c>
      <c r="M1513" s="32" t="n">
        <v>34</v>
      </c>
      <c r="N1513" s="31" t="n">
        <v>6708.08</v>
      </c>
      <c r="O1513" s="31" t="n">
        <v>6718.07</v>
      </c>
      <c r="P1513" s="22" t="n">
        <v>0</v>
      </c>
      <c r="Q1513" s="22" t="n">
        <v>0</v>
      </c>
      <c r="R1513" s="22" t="n">
        <v>0</v>
      </c>
    </row>
    <row r="1514">
      <c r="A1514" s="22" t="n">
        <v>201809</v>
      </c>
      <c r="B1514" s="22" t="inlineStr">
        <is>
          <t>09/2018</t>
        </is>
      </c>
      <c r="C1514" s="22" t="n">
        <v>43</v>
      </c>
      <c r="D1514" s="22" t="inlineStr">
        <is>
          <t>S43</t>
        </is>
      </c>
      <c r="E1514" s="22" t="inlineStr">
        <is>
          <t>Nexa Alaska (S43)</t>
        </is>
      </c>
      <c r="F1514" s="22" t="inlineStr">
        <is>
          <t>Mỹ</t>
        </is>
      </c>
      <c r="G1514" s="22" t="inlineStr">
        <is>
          <t>POS</t>
        </is>
      </c>
      <c r="H1514" s="31" t="n">
        <v>10131.74</v>
      </c>
      <c r="I1514" s="31" t="n">
        <v>125.57</v>
      </c>
      <c r="J1514" s="31" t="n">
        <v>10006.17</v>
      </c>
      <c r="K1514" s="31" t="n">
        <v>353.1</v>
      </c>
      <c r="L1514" s="32" t="n">
        <v>10</v>
      </c>
      <c r="M1514" s="32" t="n">
        <v>65</v>
      </c>
      <c r="N1514" s="31" t="n">
        <v>9653.07</v>
      </c>
      <c r="O1514" s="31" t="n">
        <v>10006.17</v>
      </c>
      <c r="P1514" s="22" t="n">
        <v>0</v>
      </c>
      <c r="Q1514" s="22" t="n">
        <v>0</v>
      </c>
      <c r="R1514" s="22" t="n">
        <v>0</v>
      </c>
    </row>
    <row r="1515">
      <c r="A1515" s="22" t="n">
        <v>201809</v>
      </c>
      <c r="B1515" s="22" t="inlineStr">
        <is>
          <t>09/2018</t>
        </is>
      </c>
      <c r="C1515" s="22" t="n">
        <v>44</v>
      </c>
      <c r="D1515" s="22" t="inlineStr">
        <is>
          <t>S44</t>
        </is>
      </c>
      <c r="E1515" s="22" t="inlineStr">
        <is>
          <t>Nexa Arkansas (S44)</t>
        </is>
      </c>
      <c r="F1515" s="22" t="inlineStr">
        <is>
          <t>Mỹ</t>
        </is>
      </c>
      <c r="G1515" s="22" t="inlineStr">
        <is>
          <t>POS</t>
        </is>
      </c>
      <c r="H1515" s="31" t="n">
        <v>51440.43</v>
      </c>
      <c r="I1515" s="31" t="n">
        <v>844.48</v>
      </c>
      <c r="J1515" s="31" t="n">
        <v>50595.95</v>
      </c>
      <c r="K1515" s="31" t="n">
        <v>32</v>
      </c>
      <c r="L1515" s="32" t="n">
        <v>19</v>
      </c>
      <c r="M1515" s="32" t="n">
        <v>190</v>
      </c>
      <c r="N1515" s="31" t="n">
        <v>50563.95</v>
      </c>
      <c r="O1515" s="31" t="n">
        <v>50595.95</v>
      </c>
      <c r="P1515" s="22" t="n">
        <v>1</v>
      </c>
      <c r="Q1515" s="22" t="n">
        <v>0</v>
      </c>
      <c r="R1515" s="22" t="n">
        <v>0</v>
      </c>
    </row>
    <row r="1516">
      <c r="A1516" s="22" t="n">
        <v>201809</v>
      </c>
      <c r="B1516" s="22" t="inlineStr">
        <is>
          <t>09/2018</t>
        </is>
      </c>
      <c r="C1516" s="22" t="n">
        <v>45</v>
      </c>
      <c r="D1516" s="22" t="inlineStr">
        <is>
          <t>S45</t>
        </is>
      </c>
      <c r="E1516" s="22" t="inlineStr">
        <is>
          <t>Nexa Connecticut (S45)</t>
        </is>
      </c>
      <c r="F1516" s="22" t="inlineStr">
        <is>
          <t>Mỹ</t>
        </is>
      </c>
      <c r="G1516" s="22" t="inlineStr">
        <is>
          <t>POS</t>
        </is>
      </c>
      <c r="H1516" s="31" t="n">
        <v>18208.88</v>
      </c>
      <c r="I1516" s="31" t="n">
        <v>7.77</v>
      </c>
      <c r="J1516" s="31" t="n">
        <v>18201.11</v>
      </c>
      <c r="K1516" s="31" t="n">
        <v>0</v>
      </c>
      <c r="L1516" s="32" t="n">
        <v>7</v>
      </c>
      <c r="M1516" s="32" t="n">
        <v>67</v>
      </c>
      <c r="N1516" s="31" t="n">
        <v>18201.11</v>
      </c>
      <c r="O1516" s="31" t="n">
        <v>18201.11</v>
      </c>
      <c r="P1516" s="22" t="n">
        <v>0</v>
      </c>
      <c r="Q1516" s="22" t="n">
        <v>0</v>
      </c>
      <c r="R1516" s="22" t="n">
        <v>0</v>
      </c>
    </row>
    <row r="1517">
      <c r="A1517" s="22" t="n">
        <v>201809</v>
      </c>
      <c r="B1517" s="22" t="inlineStr">
        <is>
          <t>09/2018</t>
        </is>
      </c>
      <c r="C1517" s="22" t="n">
        <v>47</v>
      </c>
      <c r="D1517" s="22" t="inlineStr">
        <is>
          <t>S47</t>
        </is>
      </c>
      <c r="E1517" s="22" t="inlineStr">
        <is>
          <t>Nexa Hawaii (S47)</t>
        </is>
      </c>
      <c r="F1517" s="22" t="inlineStr">
        <is>
          <t>Mỹ</t>
        </is>
      </c>
      <c r="G1517" s="22" t="inlineStr">
        <is>
          <t>POS</t>
        </is>
      </c>
      <c r="H1517" s="31" t="n">
        <v>15681.82</v>
      </c>
      <c r="I1517" s="31" t="n">
        <v>538.9400000000001</v>
      </c>
      <c r="J1517" s="31" t="n">
        <v>15142.88</v>
      </c>
      <c r="K1517" s="31" t="n">
        <v>0</v>
      </c>
      <c r="L1517" s="32" t="n">
        <v>11</v>
      </c>
      <c r="M1517" s="32" t="n">
        <v>67</v>
      </c>
      <c r="N1517" s="31" t="n">
        <v>15142.88</v>
      </c>
      <c r="O1517" s="31" t="n">
        <v>15142.88</v>
      </c>
      <c r="P1517" s="22" t="n">
        <v>1</v>
      </c>
      <c r="Q1517" s="22" t="n">
        <v>0</v>
      </c>
      <c r="R1517" s="22" t="n">
        <v>0</v>
      </c>
    </row>
    <row r="1518">
      <c r="A1518" s="22" t="n">
        <v>201809</v>
      </c>
      <c r="B1518" s="22" t="inlineStr">
        <is>
          <t>09/2018</t>
        </is>
      </c>
      <c r="C1518" s="22" t="n">
        <v>48</v>
      </c>
      <c r="D1518" s="22" t="inlineStr">
        <is>
          <t>S48</t>
        </is>
      </c>
      <c r="E1518" s="22" t="inlineStr">
        <is>
          <t>Nexa Idaho (S48)</t>
        </is>
      </c>
      <c r="F1518" s="22" t="inlineStr">
        <is>
          <t>Mỹ</t>
        </is>
      </c>
      <c r="G1518" s="22" t="inlineStr">
        <is>
          <t>POS</t>
        </is>
      </c>
      <c r="H1518" s="31" t="n">
        <v>26851.93</v>
      </c>
      <c r="I1518" s="31" t="n">
        <v>759.27</v>
      </c>
      <c r="J1518" s="31" t="n">
        <v>26092.66</v>
      </c>
      <c r="K1518" s="31" t="n">
        <v>0</v>
      </c>
      <c r="L1518" s="32" t="n">
        <v>12</v>
      </c>
      <c r="M1518" s="32" t="n">
        <v>76</v>
      </c>
      <c r="N1518" s="31" t="n">
        <v>26092.66</v>
      </c>
      <c r="O1518" s="31" t="n">
        <v>26092.66</v>
      </c>
      <c r="P1518" s="22" t="n">
        <v>0</v>
      </c>
      <c r="Q1518" s="22" t="n">
        <v>0</v>
      </c>
      <c r="R1518" s="22" t="n">
        <v>0</v>
      </c>
    </row>
    <row r="1519">
      <c r="A1519" s="22" t="n">
        <v>201809</v>
      </c>
      <c r="B1519" s="22" t="inlineStr">
        <is>
          <t>09/2018</t>
        </is>
      </c>
      <c r="C1519" s="22" t="n">
        <v>49</v>
      </c>
      <c r="D1519" s="22" t="inlineStr">
        <is>
          <t>S49</t>
        </is>
      </c>
      <c r="E1519" s="22" t="inlineStr">
        <is>
          <t>Nexa Iowa (S49)</t>
        </is>
      </c>
      <c r="F1519" s="22" t="inlineStr">
        <is>
          <t>Mỹ</t>
        </is>
      </c>
      <c r="G1519" s="22" t="inlineStr">
        <is>
          <t>POS</t>
        </is>
      </c>
      <c r="H1519" s="31" t="n">
        <v>8402.4</v>
      </c>
      <c r="I1519" s="31" t="n">
        <v>274.95</v>
      </c>
      <c r="J1519" s="31" t="n">
        <v>8127.45</v>
      </c>
      <c r="K1519" s="31" t="n">
        <v>116.99</v>
      </c>
      <c r="L1519" s="32" t="n">
        <v>9</v>
      </c>
      <c r="M1519" s="32" t="n">
        <v>41</v>
      </c>
      <c r="N1519" s="31" t="n">
        <v>8010.46</v>
      </c>
      <c r="O1519" s="31" t="n">
        <v>8127.45</v>
      </c>
      <c r="P1519" s="22" t="n">
        <v>3</v>
      </c>
      <c r="Q1519" s="22" t="n">
        <v>0</v>
      </c>
      <c r="R1519" s="22" t="n">
        <v>0</v>
      </c>
    </row>
    <row r="1520">
      <c r="A1520" s="22" t="n">
        <v>201809</v>
      </c>
      <c r="B1520" s="22" t="inlineStr">
        <is>
          <t>09/2018</t>
        </is>
      </c>
      <c r="C1520" s="22" t="n">
        <v>50</v>
      </c>
      <c r="D1520" s="22" t="inlineStr">
        <is>
          <t>S50</t>
        </is>
      </c>
      <c r="E1520" s="22" t="inlineStr">
        <is>
          <t>Nexa Kansas (S50)</t>
        </is>
      </c>
      <c r="F1520" s="22" t="inlineStr">
        <is>
          <t>Mỹ</t>
        </is>
      </c>
      <c r="G1520" s="22" t="inlineStr">
        <is>
          <t>POS</t>
        </is>
      </c>
      <c r="H1520" s="31" t="n">
        <v>45913.76</v>
      </c>
      <c r="I1520" s="31" t="n">
        <v>2037.46</v>
      </c>
      <c r="J1520" s="31" t="n">
        <v>43876.3</v>
      </c>
      <c r="K1520" s="31" t="n">
        <v>0</v>
      </c>
      <c r="L1520" s="32" t="n">
        <v>19</v>
      </c>
      <c r="M1520" s="32" t="n">
        <v>133</v>
      </c>
      <c r="N1520" s="31" t="n">
        <v>43876.3</v>
      </c>
      <c r="O1520" s="31" t="n">
        <v>43876.3</v>
      </c>
      <c r="P1520" s="22" t="n">
        <v>1</v>
      </c>
      <c r="Q1520" s="22" t="n">
        <v>0</v>
      </c>
      <c r="R1520" s="22" t="n">
        <v>0</v>
      </c>
    </row>
    <row r="1521">
      <c r="A1521" s="22" t="n">
        <v>201809</v>
      </c>
      <c r="B1521" s="22" t="inlineStr">
        <is>
          <t>09/2018</t>
        </is>
      </c>
      <c r="C1521" s="22" t="n">
        <v>51</v>
      </c>
      <c r="D1521" s="22" t="inlineStr">
        <is>
          <t>S51</t>
        </is>
      </c>
      <c r="E1521" s="22" t="inlineStr">
        <is>
          <t>Nexa Maine (S51)</t>
        </is>
      </c>
      <c r="F1521" s="22" t="inlineStr">
        <is>
          <t>Mỹ</t>
        </is>
      </c>
      <c r="G1521" s="22" t="inlineStr">
        <is>
          <t>POS</t>
        </is>
      </c>
      <c r="H1521" s="31" t="n">
        <v>19636.34</v>
      </c>
      <c r="I1521" s="31" t="n">
        <v>608.5</v>
      </c>
      <c r="J1521" s="31" t="n">
        <v>19027.84</v>
      </c>
      <c r="K1521" s="31" t="n">
        <v>1554.84</v>
      </c>
      <c r="L1521" s="32" t="n">
        <v>13</v>
      </c>
      <c r="M1521" s="32" t="n">
        <v>85</v>
      </c>
      <c r="N1521" s="31" t="n">
        <v>17473</v>
      </c>
      <c r="O1521" s="31" t="n">
        <v>19027.84</v>
      </c>
      <c r="P1521" s="22" t="n">
        <v>0</v>
      </c>
      <c r="Q1521" s="22" t="n">
        <v>0</v>
      </c>
      <c r="R1521" s="22" t="n">
        <v>0</v>
      </c>
    </row>
    <row r="1522">
      <c r="A1522" s="22" t="n">
        <v>201809</v>
      </c>
      <c r="B1522" s="22" t="inlineStr">
        <is>
          <t>09/2018</t>
        </is>
      </c>
      <c r="C1522" s="22" t="n">
        <v>53</v>
      </c>
      <c r="D1522" s="22" t="inlineStr">
        <is>
          <t>S53</t>
        </is>
      </c>
      <c r="E1522" s="22" t="inlineStr">
        <is>
          <t>Nexa Montana (S53)</t>
        </is>
      </c>
      <c r="F1522" s="22" t="inlineStr">
        <is>
          <t>Mỹ</t>
        </is>
      </c>
      <c r="G1522" s="22" t="inlineStr">
        <is>
          <t>POS</t>
        </is>
      </c>
      <c r="H1522" s="31" t="n">
        <v>15698.9</v>
      </c>
      <c r="I1522" s="31" t="n">
        <v>166.6</v>
      </c>
      <c r="J1522" s="31" t="n">
        <v>15532.3</v>
      </c>
      <c r="K1522" s="31" t="n">
        <v>0</v>
      </c>
      <c r="L1522" s="32" t="n">
        <v>7</v>
      </c>
      <c r="M1522" s="32" t="n">
        <v>72</v>
      </c>
      <c r="N1522" s="31" t="n">
        <v>15532.3</v>
      </c>
      <c r="O1522" s="31" t="n">
        <v>15532.3</v>
      </c>
      <c r="P1522" s="22" t="n">
        <v>0</v>
      </c>
      <c r="Q1522" s="22" t="n">
        <v>0</v>
      </c>
      <c r="R1522" s="22" t="n">
        <v>0</v>
      </c>
    </row>
    <row r="1523">
      <c r="A1523" s="22" t="n">
        <v>201809</v>
      </c>
      <c r="B1523" s="22" t="inlineStr">
        <is>
          <t>09/2018</t>
        </is>
      </c>
      <c r="C1523" s="22" t="n">
        <v>54</v>
      </c>
      <c r="D1523" s="22" t="inlineStr">
        <is>
          <t>S54</t>
        </is>
      </c>
      <c r="E1523" s="22" t="inlineStr">
        <is>
          <t>Nexa Nebraska (S54)</t>
        </is>
      </c>
      <c r="F1523" s="22" t="inlineStr">
        <is>
          <t>Mỹ</t>
        </is>
      </c>
      <c r="G1523" s="22" t="inlineStr">
        <is>
          <t>POS</t>
        </is>
      </c>
      <c r="H1523" s="31" t="n">
        <v>28212.71</v>
      </c>
      <c r="I1523" s="31" t="n">
        <v>272.18</v>
      </c>
      <c r="J1523" s="31" t="n">
        <v>27940.53</v>
      </c>
      <c r="K1523" s="31" t="n">
        <v>1569.6</v>
      </c>
      <c r="L1523" s="32" t="n">
        <v>6</v>
      </c>
      <c r="M1523" s="32" t="n">
        <v>70</v>
      </c>
      <c r="N1523" s="31" t="n">
        <v>26370.93</v>
      </c>
      <c r="O1523" s="31" t="n">
        <v>27940.53</v>
      </c>
      <c r="P1523" s="22" t="n">
        <v>1</v>
      </c>
      <c r="Q1523" s="22" t="n">
        <v>0</v>
      </c>
      <c r="R1523" s="22" t="n">
        <v>0</v>
      </c>
    </row>
    <row r="1524">
      <c r="A1524" s="22" t="n">
        <v>201809</v>
      </c>
      <c r="B1524" s="22" t="inlineStr">
        <is>
          <t>09/2018</t>
        </is>
      </c>
      <c r="C1524" s="22" t="n">
        <v>55</v>
      </c>
      <c r="D1524" s="22" t="inlineStr">
        <is>
          <t>S55</t>
        </is>
      </c>
      <c r="E1524" s="22" t="inlineStr">
        <is>
          <t>Nexa Nevada (S55)</t>
        </is>
      </c>
      <c r="F1524" s="22" t="inlineStr">
        <is>
          <t>Mỹ</t>
        </is>
      </c>
      <c r="G1524" s="22" t="inlineStr">
        <is>
          <t>POS</t>
        </is>
      </c>
      <c r="H1524" s="31" t="n">
        <v>37083.34</v>
      </c>
      <c r="I1524" s="31" t="n">
        <v>245.84</v>
      </c>
      <c r="J1524" s="31" t="n">
        <v>36837.5</v>
      </c>
      <c r="K1524" s="31" t="n">
        <v>266.4</v>
      </c>
      <c r="L1524" s="32" t="n">
        <v>12</v>
      </c>
      <c r="M1524" s="32" t="n">
        <v>76</v>
      </c>
      <c r="N1524" s="31" t="n">
        <v>36571.1</v>
      </c>
      <c r="O1524" s="31" t="n">
        <v>36837.5</v>
      </c>
      <c r="P1524" s="22" t="n">
        <v>1</v>
      </c>
      <c r="Q1524" s="22" t="n">
        <v>0</v>
      </c>
      <c r="R1524" s="22" t="n">
        <v>0</v>
      </c>
    </row>
    <row r="1525">
      <c r="A1525" s="22" t="n">
        <v>201809</v>
      </c>
      <c r="B1525" s="22" t="inlineStr">
        <is>
          <t>09/2018</t>
        </is>
      </c>
      <c r="C1525" s="22" t="n">
        <v>56</v>
      </c>
      <c r="D1525" s="22" t="inlineStr">
        <is>
          <t>S56</t>
        </is>
      </c>
      <c r="E1525" s="22" t="inlineStr">
        <is>
          <t>Nexa New Hampshire (S56)</t>
        </is>
      </c>
      <c r="F1525" s="22" t="inlineStr">
        <is>
          <t>Mỹ</t>
        </is>
      </c>
      <c r="G1525" s="22" t="inlineStr">
        <is>
          <t>POS</t>
        </is>
      </c>
      <c r="H1525" s="31" t="n">
        <v>12054.79</v>
      </c>
      <c r="I1525" s="31" t="n">
        <v>641.87</v>
      </c>
      <c r="J1525" s="31" t="n">
        <v>11412.92</v>
      </c>
      <c r="K1525" s="31" t="n">
        <v>0</v>
      </c>
      <c r="L1525" s="32" t="n">
        <v>14</v>
      </c>
      <c r="M1525" s="32" t="n">
        <v>80</v>
      </c>
      <c r="N1525" s="31" t="n">
        <v>11412.92</v>
      </c>
      <c r="O1525" s="31" t="n">
        <v>11412.92</v>
      </c>
      <c r="P1525" s="22" t="n">
        <v>0</v>
      </c>
      <c r="Q1525" s="22" t="n">
        <v>0</v>
      </c>
      <c r="R1525" s="22" t="n">
        <v>0</v>
      </c>
    </row>
    <row r="1526">
      <c r="A1526" s="22" t="n">
        <v>201809</v>
      </c>
      <c r="B1526" s="22" t="inlineStr">
        <is>
          <t>09/2018</t>
        </is>
      </c>
      <c r="C1526" s="22" t="n">
        <v>57</v>
      </c>
      <c r="D1526" s="22" t="inlineStr">
        <is>
          <t>S57</t>
        </is>
      </c>
      <c r="E1526" s="22" t="inlineStr">
        <is>
          <t>Nexa New Mexico (S57)</t>
        </is>
      </c>
      <c r="F1526" s="22" t="inlineStr">
        <is>
          <t>Mỹ</t>
        </is>
      </c>
      <c r="G1526" s="22" t="inlineStr">
        <is>
          <t>POS</t>
        </is>
      </c>
      <c r="H1526" s="31" t="n">
        <v>18369.55</v>
      </c>
      <c r="I1526" s="31" t="n">
        <v>766.46</v>
      </c>
      <c r="J1526" s="31" t="n">
        <v>17603.09</v>
      </c>
      <c r="K1526" s="31" t="n">
        <v>0</v>
      </c>
      <c r="L1526" s="32" t="n">
        <v>14</v>
      </c>
      <c r="M1526" s="32" t="n">
        <v>91</v>
      </c>
      <c r="N1526" s="31" t="n">
        <v>17603.09</v>
      </c>
      <c r="O1526" s="31" t="n">
        <v>17603.09</v>
      </c>
      <c r="P1526" s="22" t="n">
        <v>0</v>
      </c>
      <c r="Q1526" s="22" t="n">
        <v>0</v>
      </c>
      <c r="R1526" s="22" t="n">
        <v>0</v>
      </c>
    </row>
    <row r="1527">
      <c r="A1527" s="22" t="n">
        <v>201809</v>
      </c>
      <c r="B1527" s="22" t="inlineStr">
        <is>
          <t>09/2018</t>
        </is>
      </c>
      <c r="C1527" s="22" t="n">
        <v>59</v>
      </c>
      <c r="D1527" s="22" t="inlineStr">
        <is>
          <t>S59</t>
        </is>
      </c>
      <c r="E1527" s="22" t="inlineStr">
        <is>
          <t>Nexa Oregon (S59)</t>
        </is>
      </c>
      <c r="F1527" s="22" t="inlineStr">
        <is>
          <t>Mỹ</t>
        </is>
      </c>
      <c r="G1527" s="22" t="inlineStr">
        <is>
          <t>POS</t>
        </is>
      </c>
      <c r="H1527" s="31" t="n">
        <v>21492.17</v>
      </c>
      <c r="I1527" s="31" t="n">
        <v>214.11</v>
      </c>
      <c r="J1527" s="31" t="n">
        <v>21278.06</v>
      </c>
      <c r="K1527" s="31" t="n">
        <v>503.98</v>
      </c>
      <c r="L1527" s="32" t="n">
        <v>17</v>
      </c>
      <c r="M1527" s="32" t="n">
        <v>105</v>
      </c>
      <c r="N1527" s="31" t="n">
        <v>20774.08</v>
      </c>
      <c r="O1527" s="31" t="n">
        <v>21278.06</v>
      </c>
      <c r="P1527" s="22" t="n">
        <v>0</v>
      </c>
      <c r="Q1527" s="22" t="n">
        <v>0</v>
      </c>
      <c r="R1527" s="22" t="n">
        <v>0</v>
      </c>
    </row>
    <row r="1528">
      <c r="A1528" s="22" t="n">
        <v>201809</v>
      </c>
      <c r="B1528" s="22" t="inlineStr">
        <is>
          <t>09/2018</t>
        </is>
      </c>
      <c r="C1528" s="22" t="n">
        <v>61</v>
      </c>
      <c r="D1528" s="22" t="inlineStr">
        <is>
          <t>S61</t>
        </is>
      </c>
      <c r="E1528" s="22" t="inlineStr">
        <is>
          <t>Nexa South Carolina (S61)</t>
        </is>
      </c>
      <c r="F1528" s="22" t="inlineStr">
        <is>
          <t>Mỹ</t>
        </is>
      </c>
      <c r="G1528" s="22" t="inlineStr">
        <is>
          <t>POS</t>
        </is>
      </c>
      <c r="H1528" s="31" t="n">
        <v>31698.66</v>
      </c>
      <c r="I1528" s="31" t="n">
        <v>340.78</v>
      </c>
      <c r="J1528" s="31" t="n">
        <v>31357.88</v>
      </c>
      <c r="K1528" s="31" t="n">
        <v>142.2</v>
      </c>
      <c r="L1528" s="32" t="n">
        <v>13</v>
      </c>
      <c r="M1528" s="32" t="n">
        <v>77</v>
      </c>
      <c r="N1528" s="31" t="n">
        <v>31215.68</v>
      </c>
      <c r="O1528" s="31" t="n">
        <v>31357.88</v>
      </c>
      <c r="P1528" s="22" t="n">
        <v>0</v>
      </c>
      <c r="Q1528" s="22" t="n">
        <v>0</v>
      </c>
      <c r="R1528" s="22" t="n">
        <v>0</v>
      </c>
    </row>
    <row r="1529">
      <c r="A1529" s="22" t="n">
        <v>201809</v>
      </c>
      <c r="B1529" s="22" t="inlineStr">
        <is>
          <t>09/2018</t>
        </is>
      </c>
      <c r="C1529" s="22" t="n">
        <v>62</v>
      </c>
      <c r="D1529" s="22" t="inlineStr">
        <is>
          <t>S62</t>
        </is>
      </c>
      <c r="E1529" s="22" t="inlineStr">
        <is>
          <t>Nexa South Dakota (S62)</t>
        </is>
      </c>
      <c r="F1529" s="22" t="inlineStr">
        <is>
          <t>Mỹ</t>
        </is>
      </c>
      <c r="G1529" s="22" t="inlineStr">
        <is>
          <t>POS</t>
        </is>
      </c>
      <c r="H1529" s="31" t="n">
        <v>5750.38</v>
      </c>
      <c r="I1529" s="31" t="n">
        <v>112</v>
      </c>
      <c r="J1529" s="31" t="n">
        <v>5638.38</v>
      </c>
      <c r="K1529" s="31" t="n">
        <v>0</v>
      </c>
      <c r="L1529" s="32" t="n">
        <v>6</v>
      </c>
      <c r="M1529" s="32" t="n">
        <v>28</v>
      </c>
      <c r="N1529" s="31" t="n">
        <v>5638.38</v>
      </c>
      <c r="O1529" s="31" t="n">
        <v>5638.38</v>
      </c>
      <c r="P1529" s="22" t="n">
        <v>0</v>
      </c>
      <c r="Q1529" s="22" t="n">
        <v>0</v>
      </c>
      <c r="R1529" s="22" t="n">
        <v>0</v>
      </c>
    </row>
    <row r="1530">
      <c r="A1530" s="22" t="n">
        <v>201809</v>
      </c>
      <c r="B1530" s="22" t="inlineStr">
        <is>
          <t>09/2018</t>
        </is>
      </c>
      <c r="C1530" s="22" t="n">
        <v>63</v>
      </c>
      <c r="D1530" s="22" t="inlineStr">
        <is>
          <t>S63</t>
        </is>
      </c>
      <c r="E1530" s="22" t="inlineStr">
        <is>
          <t>Nexa Utah (S63)</t>
        </is>
      </c>
      <c r="F1530" s="22" t="inlineStr">
        <is>
          <t>Mỹ</t>
        </is>
      </c>
      <c r="G1530" s="22" t="inlineStr">
        <is>
          <t>POS</t>
        </is>
      </c>
      <c r="H1530" s="31" t="n">
        <v>39860.14</v>
      </c>
      <c r="I1530" s="31" t="n">
        <v>707.03</v>
      </c>
      <c r="J1530" s="31" t="n">
        <v>39153.11</v>
      </c>
      <c r="K1530" s="31" t="n">
        <v>105.96</v>
      </c>
      <c r="L1530" s="32" t="n">
        <v>15</v>
      </c>
      <c r="M1530" s="32" t="n">
        <v>110</v>
      </c>
      <c r="N1530" s="31" t="n">
        <v>39047.15</v>
      </c>
      <c r="O1530" s="31" t="n">
        <v>39153.11</v>
      </c>
      <c r="P1530" s="22" t="n">
        <v>0</v>
      </c>
      <c r="Q1530" s="22" t="n">
        <v>0</v>
      </c>
      <c r="R1530" s="22" t="n">
        <v>0</v>
      </c>
    </row>
    <row r="1531">
      <c r="A1531" s="22" t="n">
        <v>201809</v>
      </c>
      <c r="B1531" s="22" t="inlineStr">
        <is>
          <t>09/2018</t>
        </is>
      </c>
      <c r="C1531" s="22" t="n">
        <v>64</v>
      </c>
      <c r="D1531" s="22" t="inlineStr">
        <is>
          <t>S64</t>
        </is>
      </c>
      <c r="E1531" s="22" t="inlineStr">
        <is>
          <t>Nexa Washington DC (S64)</t>
        </is>
      </c>
      <c r="F1531" s="22" t="inlineStr">
        <is>
          <t>Mỹ</t>
        </is>
      </c>
      <c r="G1531" s="22" t="inlineStr">
        <is>
          <t>POS</t>
        </is>
      </c>
      <c r="H1531" s="31" t="n">
        <v>18695.24</v>
      </c>
      <c r="I1531" s="31" t="n">
        <v>534.05</v>
      </c>
      <c r="J1531" s="31" t="n">
        <v>18161.19</v>
      </c>
      <c r="K1531" s="31" t="n">
        <v>1721.95</v>
      </c>
      <c r="L1531" s="32" t="n">
        <v>14</v>
      </c>
      <c r="M1531" s="32" t="n">
        <v>78</v>
      </c>
      <c r="N1531" s="31" t="n">
        <v>16439.24</v>
      </c>
      <c r="O1531" s="31" t="n">
        <v>18161.19</v>
      </c>
      <c r="P1531" s="22" t="n">
        <v>0</v>
      </c>
      <c r="Q1531" s="22" t="n">
        <v>0</v>
      </c>
      <c r="R1531" s="22" t="n">
        <v>0</v>
      </c>
    </row>
    <row r="1532">
      <c r="A1532" s="22" t="n">
        <v>201809</v>
      </c>
      <c r="B1532" s="22" t="inlineStr">
        <is>
          <t>09/2018</t>
        </is>
      </c>
      <c r="C1532" s="22" t="n">
        <v>65</v>
      </c>
      <c r="D1532" s="22" t="inlineStr">
        <is>
          <t>S65</t>
        </is>
      </c>
      <c r="E1532" s="22" t="inlineStr">
        <is>
          <t>Nexa West Virginia (S65)</t>
        </is>
      </c>
      <c r="F1532" s="22" t="inlineStr">
        <is>
          <t>Mỹ</t>
        </is>
      </c>
      <c r="G1532" s="22" t="inlineStr">
        <is>
          <t>POS</t>
        </is>
      </c>
      <c r="H1532" s="31" t="n">
        <v>29009.45</v>
      </c>
      <c r="I1532" s="31" t="n">
        <v>903.16</v>
      </c>
      <c r="J1532" s="31" t="n">
        <v>28106.29</v>
      </c>
      <c r="K1532" s="31" t="n">
        <v>269.9</v>
      </c>
      <c r="L1532" s="32" t="n">
        <v>12</v>
      </c>
      <c r="M1532" s="32" t="n">
        <v>100</v>
      </c>
      <c r="N1532" s="31" t="n">
        <v>27836.39</v>
      </c>
      <c r="O1532" s="31" t="n">
        <v>28106.29</v>
      </c>
      <c r="P1532" s="22" t="n">
        <v>0</v>
      </c>
      <c r="Q1532" s="22" t="n">
        <v>0</v>
      </c>
      <c r="R1532" s="22" t="n">
        <v>0</v>
      </c>
    </row>
    <row r="1533">
      <c r="A1533" s="22" t="n">
        <v>201809</v>
      </c>
      <c r="B1533" s="22" t="inlineStr">
        <is>
          <t>09/2018</t>
        </is>
      </c>
      <c r="C1533" s="22" t="n">
        <v>66</v>
      </c>
      <c r="D1533" s="22" t="inlineStr">
        <is>
          <t>S66</t>
        </is>
      </c>
      <c r="E1533" s="22" t="inlineStr">
        <is>
          <t>Nexa Wyoming (S66)</t>
        </is>
      </c>
      <c r="F1533" s="22" t="inlineStr">
        <is>
          <t>Mỹ</t>
        </is>
      </c>
      <c r="G1533" s="22" t="inlineStr">
        <is>
          <t>POS</t>
        </is>
      </c>
      <c r="H1533" s="31" t="n">
        <v>17170.84</v>
      </c>
      <c r="I1533" s="31" t="n">
        <v>9.59</v>
      </c>
      <c r="J1533" s="31" t="n">
        <v>17161.25</v>
      </c>
      <c r="K1533" s="31" t="n">
        <v>0</v>
      </c>
      <c r="L1533" s="32" t="n">
        <v>11</v>
      </c>
      <c r="M1533" s="32" t="n">
        <v>71</v>
      </c>
      <c r="N1533" s="31" t="n">
        <v>17161.25</v>
      </c>
      <c r="O1533" s="31" t="n">
        <v>17161.25</v>
      </c>
      <c r="P1533" s="22" t="n">
        <v>0</v>
      </c>
      <c r="Q1533" s="22" t="n">
        <v>0</v>
      </c>
      <c r="R1533" s="22" t="n">
        <v>0</v>
      </c>
    </row>
    <row r="1534">
      <c r="A1534" s="22" t="n">
        <v>201810</v>
      </c>
      <c r="B1534" s="22" t="inlineStr">
        <is>
          <t>10/2018</t>
        </is>
      </c>
      <c r="C1534" s="22" t="n">
        <v>0</v>
      </c>
      <c r="D1534" s="22" t="inlineStr">
        <is>
          <t>ONL</t>
        </is>
      </c>
      <c r="E1534" s="22" t="inlineStr">
        <is>
          <t>Nexa Online (website/app)</t>
        </is>
      </c>
      <c r="F1534" s="22" t="inlineStr">
        <is>
          <t>Online</t>
        </is>
      </c>
      <c r="G1534" s="22" t="inlineStr">
        <is>
          <t>ONLINE</t>
        </is>
      </c>
      <c r="H1534" s="31" t="n">
        <v>243361.98</v>
      </c>
      <c r="I1534" s="31" t="n">
        <v>5596.41</v>
      </c>
      <c r="J1534" s="31" t="n">
        <v>237765.57</v>
      </c>
      <c r="K1534" s="31" t="n">
        <v>4550.78</v>
      </c>
      <c r="L1534" s="32" t="n">
        <v>126</v>
      </c>
      <c r="M1534" s="32" t="n">
        <v>881</v>
      </c>
      <c r="N1534" s="31" t="n">
        <v>232664.25</v>
      </c>
      <c r="O1534" s="31" t="n">
        <v>237215.03</v>
      </c>
      <c r="P1534" s="22" t="n">
        <v>6</v>
      </c>
      <c r="Q1534" s="22" t="n">
        <v>0</v>
      </c>
      <c r="R1534" s="22" t="n">
        <v>0</v>
      </c>
    </row>
    <row r="1535">
      <c r="A1535" s="22" t="n">
        <v>201810</v>
      </c>
      <c r="B1535" s="22" t="inlineStr">
        <is>
          <t>10/2018</t>
        </is>
      </c>
      <c r="C1535" s="22" t="n">
        <v>4</v>
      </c>
      <c r="D1535" s="22" t="inlineStr">
        <is>
          <t>S04</t>
        </is>
      </c>
      <c r="E1535" s="22" t="inlineStr">
        <is>
          <t>Nexa Tasmania (S04)</t>
        </is>
      </c>
      <c r="F1535" s="22" t="inlineStr">
        <is>
          <t>Úc</t>
        </is>
      </c>
      <c r="G1535" s="22" t="inlineStr">
        <is>
          <t>POS</t>
        </is>
      </c>
      <c r="H1535" s="31" t="n">
        <v>13619.27</v>
      </c>
      <c r="I1535" s="31" t="n">
        <v>0</v>
      </c>
      <c r="J1535" s="31" t="n">
        <v>13619.27</v>
      </c>
      <c r="K1535" s="31" t="n">
        <v>0</v>
      </c>
      <c r="L1535" s="32" t="n">
        <v>5</v>
      </c>
      <c r="M1535" s="32" t="n">
        <v>35</v>
      </c>
      <c r="N1535" s="31" t="n">
        <v>13619.27</v>
      </c>
      <c r="O1535" s="31" t="n">
        <v>13619.27</v>
      </c>
      <c r="P1535" s="22" t="n">
        <v>0</v>
      </c>
      <c r="Q1535" s="22" t="n">
        <v>0</v>
      </c>
      <c r="R1535" s="22" t="n">
        <v>0</v>
      </c>
    </row>
    <row r="1536">
      <c r="A1536" s="22" t="n">
        <v>201810</v>
      </c>
      <c r="B1536" s="22" t="inlineStr">
        <is>
          <t>10/2018</t>
        </is>
      </c>
      <c r="C1536" s="22" t="n">
        <v>5</v>
      </c>
      <c r="D1536" s="22" t="inlineStr">
        <is>
          <t>S05</t>
        </is>
      </c>
      <c r="E1536" s="22" t="inlineStr">
        <is>
          <t>Nexa Victoria (S05)</t>
        </is>
      </c>
      <c r="F1536" s="22" t="inlineStr">
        <is>
          <t>Úc</t>
        </is>
      </c>
      <c r="G1536" s="22" t="inlineStr">
        <is>
          <t>POS</t>
        </is>
      </c>
      <c r="H1536" s="31" t="n">
        <v>23753.84</v>
      </c>
      <c r="I1536" s="31" t="n">
        <v>0</v>
      </c>
      <c r="J1536" s="31" t="n">
        <v>23753.84</v>
      </c>
      <c r="K1536" s="31" t="n">
        <v>1347.99</v>
      </c>
      <c r="L1536" s="32" t="n">
        <v>14</v>
      </c>
      <c r="M1536" s="32" t="n">
        <v>87</v>
      </c>
      <c r="N1536" s="31" t="n">
        <v>6340.85</v>
      </c>
      <c r="O1536" s="31" t="n">
        <v>23753.84</v>
      </c>
      <c r="P1536" s="22" t="n">
        <v>0</v>
      </c>
      <c r="Q1536" s="22" t="n">
        <v>0</v>
      </c>
      <c r="R1536" s="22" t="n">
        <v>0</v>
      </c>
    </row>
    <row r="1537">
      <c r="A1537" s="22" t="n">
        <v>201810</v>
      </c>
      <c r="B1537" s="22" t="inlineStr">
        <is>
          <t>10/2018</t>
        </is>
      </c>
      <c r="C1537" s="22" t="n">
        <v>6</v>
      </c>
      <c r="D1537" s="22" t="inlineStr">
        <is>
          <t>S06</t>
        </is>
      </c>
      <c r="E1537" s="22" t="inlineStr">
        <is>
          <t>Nexa Western Australia (S06)</t>
        </is>
      </c>
      <c r="F1537" s="22" t="inlineStr">
        <is>
          <t>Úc</t>
        </is>
      </c>
      <c r="G1537" s="22" t="inlineStr">
        <is>
          <t>POS</t>
        </is>
      </c>
      <c r="H1537" s="31" t="n">
        <v>11048.68</v>
      </c>
      <c r="I1537" s="31" t="n">
        <v>0</v>
      </c>
      <c r="J1537" s="31" t="n">
        <v>11048.68</v>
      </c>
      <c r="K1537" s="31" t="n">
        <v>219.9</v>
      </c>
      <c r="L1537" s="32" t="n">
        <v>3</v>
      </c>
      <c r="M1537" s="32" t="n">
        <v>17</v>
      </c>
      <c r="N1537" s="31" t="n">
        <v>10828.78</v>
      </c>
      <c r="O1537" s="31" t="n">
        <v>11048.68</v>
      </c>
      <c r="P1537" s="22" t="n">
        <v>1</v>
      </c>
      <c r="Q1537" s="22" t="n">
        <v>0</v>
      </c>
      <c r="R1537" s="22" t="n">
        <v>0</v>
      </c>
    </row>
    <row r="1538">
      <c r="A1538" s="22" t="n">
        <v>201810</v>
      </c>
      <c r="B1538" s="22" t="inlineStr">
        <is>
          <t>10/2018</t>
        </is>
      </c>
      <c r="C1538" s="22" t="n">
        <v>8</v>
      </c>
      <c r="D1538" s="22" t="inlineStr">
        <is>
          <t>S08</t>
        </is>
      </c>
      <c r="E1538" s="22" t="inlineStr">
        <is>
          <t>Nexa Newfoundland and Labrador (S08)</t>
        </is>
      </c>
      <c r="F1538" s="22" t="inlineStr">
        <is>
          <t>Canada</t>
        </is>
      </c>
      <c r="G1538" s="22" t="inlineStr">
        <is>
          <t>POS</t>
        </is>
      </c>
      <c r="H1538" s="31" t="n">
        <v>29935.97</v>
      </c>
      <c r="I1538" s="31" t="n">
        <v>0</v>
      </c>
      <c r="J1538" s="31" t="n">
        <v>29935.97</v>
      </c>
      <c r="K1538" s="31" t="n">
        <v>0</v>
      </c>
      <c r="L1538" s="32" t="n">
        <v>13</v>
      </c>
      <c r="M1538" s="32" t="n">
        <v>90</v>
      </c>
      <c r="N1538" s="31" t="n">
        <v>29935.97</v>
      </c>
      <c r="O1538" s="31" t="n">
        <v>29935.97</v>
      </c>
      <c r="P1538" s="22" t="n">
        <v>0</v>
      </c>
      <c r="Q1538" s="22" t="n">
        <v>0</v>
      </c>
      <c r="R1538" s="22" t="n">
        <v>0</v>
      </c>
    </row>
    <row r="1539">
      <c r="A1539" s="22" t="n">
        <v>201810</v>
      </c>
      <c r="B1539" s="22" t="inlineStr">
        <is>
          <t>10/2018</t>
        </is>
      </c>
      <c r="C1539" s="22" t="n">
        <v>9</v>
      </c>
      <c r="D1539" s="22" t="inlineStr">
        <is>
          <t>S09</t>
        </is>
      </c>
      <c r="E1539" s="22" t="inlineStr">
        <is>
          <t>Nexa Northwest Territories (S09)</t>
        </is>
      </c>
      <c r="F1539" s="22" t="inlineStr">
        <is>
          <t>Canada</t>
        </is>
      </c>
      <c r="G1539" s="22" t="inlineStr">
        <is>
          <t>POS</t>
        </is>
      </c>
      <c r="H1539" s="31" t="n">
        <v>20093.51</v>
      </c>
      <c r="I1539" s="31" t="n">
        <v>0</v>
      </c>
      <c r="J1539" s="31" t="n">
        <v>20093.51</v>
      </c>
      <c r="K1539" s="31" t="n">
        <v>659.85</v>
      </c>
      <c r="L1539" s="32" t="n">
        <v>9</v>
      </c>
      <c r="M1539" s="32" t="n">
        <v>61</v>
      </c>
      <c r="N1539" s="31" t="n">
        <v>19433.66</v>
      </c>
      <c r="O1539" s="31" t="n">
        <v>20093.51</v>
      </c>
      <c r="P1539" s="22" t="n">
        <v>0</v>
      </c>
      <c r="Q1539" s="22" t="n">
        <v>0</v>
      </c>
      <c r="R1539" s="22" t="n">
        <v>0</v>
      </c>
    </row>
    <row r="1540">
      <c r="A1540" s="22" t="n">
        <v>201810</v>
      </c>
      <c r="B1540" s="22" t="inlineStr">
        <is>
          <t>10/2018</t>
        </is>
      </c>
      <c r="C1540" s="22" t="n">
        <v>10</v>
      </c>
      <c r="D1540" s="22" t="inlineStr">
        <is>
          <t>S10</t>
        </is>
      </c>
      <c r="E1540" s="22" t="inlineStr">
        <is>
          <t>Nexa Nunavut (S10)</t>
        </is>
      </c>
      <c r="F1540" s="22" t="inlineStr">
        <is>
          <t>Canada</t>
        </is>
      </c>
      <c r="G1540" s="22" t="inlineStr">
        <is>
          <t>POS</t>
        </is>
      </c>
      <c r="H1540" s="31" t="n">
        <v>6475.6</v>
      </c>
      <c r="I1540" s="31" t="n">
        <v>0</v>
      </c>
      <c r="J1540" s="31" t="n">
        <v>6475.6</v>
      </c>
      <c r="K1540" s="31" t="n">
        <v>988</v>
      </c>
      <c r="L1540" s="32" t="n">
        <v>8</v>
      </c>
      <c r="M1540" s="32" t="n">
        <v>48</v>
      </c>
      <c r="N1540" s="31" t="n">
        <v>5487.6</v>
      </c>
      <c r="O1540" s="31" t="n">
        <v>6475.6</v>
      </c>
      <c r="P1540" s="22" t="n">
        <v>0</v>
      </c>
      <c r="Q1540" s="22" t="n">
        <v>0</v>
      </c>
      <c r="R1540" s="22" t="n">
        <v>0</v>
      </c>
    </row>
    <row r="1541">
      <c r="A1541" s="22" t="n">
        <v>201810</v>
      </c>
      <c r="B1541" s="22" t="inlineStr">
        <is>
          <t>10/2018</t>
        </is>
      </c>
      <c r="C1541" s="22" t="n">
        <v>12</v>
      </c>
      <c r="D1541" s="22" t="inlineStr">
        <is>
          <t>S12</t>
        </is>
      </c>
      <c r="E1541" s="22" t="inlineStr">
        <is>
          <t>Nexa Basse-Normandie (S12)</t>
        </is>
      </c>
      <c r="F1541" s="22" t="inlineStr">
        <is>
          <t>Pháp</t>
        </is>
      </c>
      <c r="G1541" s="22" t="inlineStr">
        <is>
          <t>POS</t>
        </is>
      </c>
      <c r="H1541" s="31" t="n">
        <v>1866.99</v>
      </c>
      <c r="I1541" s="31" t="n">
        <v>0</v>
      </c>
      <c r="J1541" s="31" t="n">
        <v>1866.99</v>
      </c>
      <c r="K1541" s="31" t="n">
        <v>0</v>
      </c>
      <c r="L1541" s="32" t="n">
        <v>1</v>
      </c>
      <c r="M1541" s="32" t="n">
        <v>4</v>
      </c>
      <c r="N1541" s="31" t="n">
        <v>1866.99</v>
      </c>
      <c r="O1541" s="31" t="n">
        <v>1866.99</v>
      </c>
      <c r="P1541" s="22" t="n">
        <v>0</v>
      </c>
      <c r="Q1541" s="22" t="n">
        <v>0</v>
      </c>
      <c r="R1541" s="22" t="n">
        <v>0</v>
      </c>
    </row>
    <row r="1542">
      <c r="A1542" s="22" t="n">
        <v>201810</v>
      </c>
      <c r="B1542" s="22" t="inlineStr">
        <is>
          <t>10/2018</t>
        </is>
      </c>
      <c r="C1542" s="22" t="n">
        <v>13</v>
      </c>
      <c r="D1542" s="22" t="inlineStr">
        <is>
          <t>S13</t>
        </is>
      </c>
      <c r="E1542" s="22" t="inlineStr">
        <is>
          <t>Nexa Corse (S13)</t>
        </is>
      </c>
      <c r="F1542" s="22" t="inlineStr">
        <is>
          <t>Pháp</t>
        </is>
      </c>
      <c r="G1542" s="22" t="inlineStr">
        <is>
          <t>POS</t>
        </is>
      </c>
      <c r="H1542" s="31" t="n">
        <v>953.47</v>
      </c>
      <c r="I1542" s="31" t="n">
        <v>0</v>
      </c>
      <c r="J1542" s="31" t="n">
        <v>953.47</v>
      </c>
      <c r="K1542" s="31" t="n">
        <v>0</v>
      </c>
      <c r="L1542" s="32" t="n">
        <v>2</v>
      </c>
      <c r="M1542" s="32" t="n">
        <v>14</v>
      </c>
      <c r="N1542" s="31" t="n">
        <v>953.47</v>
      </c>
      <c r="O1542" s="31" t="n">
        <v>953.47</v>
      </c>
      <c r="P1542" s="22" t="n">
        <v>0</v>
      </c>
      <c r="Q1542" s="22" t="n">
        <v>0</v>
      </c>
      <c r="R1542" s="22" t="n">
        <v>0</v>
      </c>
    </row>
    <row r="1543">
      <c r="A1543" s="22" t="n">
        <v>201810</v>
      </c>
      <c r="B1543" s="22" t="inlineStr">
        <is>
          <t>10/2018</t>
        </is>
      </c>
      <c r="C1543" s="22" t="n">
        <v>14</v>
      </c>
      <c r="D1543" s="22" t="inlineStr">
        <is>
          <t>S14</t>
        </is>
      </c>
      <c r="E1543" s="22" t="inlineStr">
        <is>
          <t>Nexa Franche-Comté (S14)</t>
        </is>
      </c>
      <c r="F1543" s="22" t="inlineStr">
        <is>
          <t>Pháp</t>
        </is>
      </c>
      <c r="G1543" s="22" t="inlineStr">
        <is>
          <t>POS</t>
        </is>
      </c>
      <c r="H1543" s="31" t="n">
        <v>495.91</v>
      </c>
      <c r="I1543" s="31" t="n">
        <v>0</v>
      </c>
      <c r="J1543" s="31" t="n">
        <v>495.91</v>
      </c>
      <c r="K1543" s="31" t="n">
        <v>284.97</v>
      </c>
      <c r="L1543" s="32" t="n">
        <v>3</v>
      </c>
      <c r="M1543" s="32" t="n">
        <v>10</v>
      </c>
      <c r="N1543" s="31" t="n">
        <v>210.94</v>
      </c>
      <c r="O1543" s="31" t="n">
        <v>495.91</v>
      </c>
      <c r="P1543" s="22" t="n">
        <v>0</v>
      </c>
      <c r="Q1543" s="22" t="n">
        <v>0</v>
      </c>
      <c r="R1543" s="22" t="n">
        <v>0</v>
      </c>
    </row>
    <row r="1544">
      <c r="A1544" s="22" t="n">
        <v>201810</v>
      </c>
      <c r="B1544" s="22" t="inlineStr">
        <is>
          <t>10/2018</t>
        </is>
      </c>
      <c r="C1544" s="22" t="n">
        <v>15</v>
      </c>
      <c r="D1544" s="22" t="inlineStr">
        <is>
          <t>S15</t>
        </is>
      </c>
      <c r="E1544" s="22" t="inlineStr">
        <is>
          <t>Nexa La Réunion (S15)</t>
        </is>
      </c>
      <c r="F1544" s="22" t="inlineStr">
        <is>
          <t>Pháp</t>
        </is>
      </c>
      <c r="G1544" s="22" t="inlineStr">
        <is>
          <t>POS</t>
        </is>
      </c>
      <c r="H1544" s="31" t="n">
        <v>10939.4</v>
      </c>
      <c r="I1544" s="31" t="n">
        <v>0</v>
      </c>
      <c r="J1544" s="31" t="n">
        <v>10939.4</v>
      </c>
      <c r="K1544" s="31" t="n">
        <v>0</v>
      </c>
      <c r="L1544" s="32" t="n">
        <v>3</v>
      </c>
      <c r="M1544" s="32" t="n">
        <v>28</v>
      </c>
      <c r="N1544" s="31" t="n">
        <v>10939.4</v>
      </c>
      <c r="O1544" s="31" t="n">
        <v>10939.4</v>
      </c>
      <c r="P1544" s="22" t="n">
        <v>0</v>
      </c>
      <c r="Q1544" s="22" t="n">
        <v>0</v>
      </c>
      <c r="R1544" s="22" t="n">
        <v>0</v>
      </c>
    </row>
    <row r="1545">
      <c r="A1545" s="22" t="n">
        <v>201810</v>
      </c>
      <c r="B1545" s="22" t="inlineStr">
        <is>
          <t>10/2018</t>
        </is>
      </c>
      <c r="C1545" s="22" t="n">
        <v>16</v>
      </c>
      <c r="D1545" s="22" t="inlineStr">
        <is>
          <t>S16</t>
        </is>
      </c>
      <c r="E1545" s="22" t="inlineStr">
        <is>
          <t>Nexa Limousin (S16)</t>
        </is>
      </c>
      <c r="F1545" s="22" t="inlineStr">
        <is>
          <t>Pháp</t>
        </is>
      </c>
      <c r="G1545" s="22" t="inlineStr">
        <is>
          <t>POS</t>
        </is>
      </c>
      <c r="H1545" s="31" t="n">
        <v>1507.4</v>
      </c>
      <c r="I1545" s="31" t="n">
        <v>0</v>
      </c>
      <c r="J1545" s="31" t="n">
        <v>1507.4</v>
      </c>
      <c r="K1545" s="31" t="n">
        <v>0</v>
      </c>
      <c r="L1545" s="32" t="n">
        <v>1</v>
      </c>
      <c r="M1545" s="32" t="n">
        <v>11</v>
      </c>
      <c r="N1545" s="31" t="n">
        <v>1507.4</v>
      </c>
      <c r="O1545" s="31" t="n">
        <v>1507.4</v>
      </c>
      <c r="P1545" s="22" t="n">
        <v>0</v>
      </c>
      <c r="Q1545" s="22" t="n">
        <v>0</v>
      </c>
      <c r="R1545" s="22" t="n">
        <v>0</v>
      </c>
    </row>
    <row r="1546">
      <c r="A1546" s="22" t="n">
        <v>201810</v>
      </c>
      <c r="B1546" s="22" t="inlineStr">
        <is>
          <t>10/2018</t>
        </is>
      </c>
      <c r="C1546" s="22" t="n">
        <v>17</v>
      </c>
      <c r="D1546" s="22" t="inlineStr">
        <is>
          <t>S17</t>
        </is>
      </c>
      <c r="E1546" s="22" t="inlineStr">
        <is>
          <t>Nexa Martinique (S17)</t>
        </is>
      </c>
      <c r="F1546" s="22" t="inlineStr">
        <is>
          <t>Pháp</t>
        </is>
      </c>
      <c r="G1546" s="22" t="inlineStr">
        <is>
          <t>POS</t>
        </is>
      </c>
      <c r="H1546" s="31" t="n">
        <v>3196.4</v>
      </c>
      <c r="I1546" s="31" t="n">
        <v>0</v>
      </c>
      <c r="J1546" s="31" t="n">
        <v>3196.4</v>
      </c>
      <c r="K1546" s="31" t="n">
        <v>0</v>
      </c>
      <c r="L1546" s="32" t="n">
        <v>1</v>
      </c>
      <c r="M1546" s="32" t="n">
        <v>8</v>
      </c>
      <c r="N1546" s="31" t="n">
        <v>3196.4</v>
      </c>
      <c r="O1546" s="31" t="n">
        <v>3196.4</v>
      </c>
      <c r="P1546" s="22" t="n">
        <v>0</v>
      </c>
      <c r="Q1546" s="22" t="n">
        <v>0</v>
      </c>
      <c r="R1546" s="22" t="n">
        <v>0</v>
      </c>
    </row>
    <row r="1547">
      <c r="A1547" s="22" t="n">
        <v>201810</v>
      </c>
      <c r="B1547" s="22" t="inlineStr">
        <is>
          <t>10/2018</t>
        </is>
      </c>
      <c r="C1547" s="22" t="n">
        <v>19</v>
      </c>
      <c r="D1547" s="22" t="inlineStr">
        <is>
          <t>S19</t>
        </is>
      </c>
      <c r="E1547" s="22" t="inlineStr">
        <is>
          <t>Nexa Berlin (S19)</t>
        </is>
      </c>
      <c r="F1547" s="22" t="inlineStr">
        <is>
          <t>Đức</t>
        </is>
      </c>
      <c r="G1547" s="22" t="inlineStr">
        <is>
          <t>POS</t>
        </is>
      </c>
      <c r="H1547" s="31" t="n">
        <v>13919.54</v>
      </c>
      <c r="I1547" s="31" t="n">
        <v>0</v>
      </c>
      <c r="J1547" s="31" t="n">
        <v>13919.54</v>
      </c>
      <c r="K1547" s="31" t="n">
        <v>0</v>
      </c>
      <c r="L1547" s="32" t="n">
        <v>8</v>
      </c>
      <c r="M1547" s="32" t="n">
        <v>68</v>
      </c>
      <c r="N1547" s="31" t="n">
        <v>13919.54</v>
      </c>
      <c r="O1547" s="31" t="n">
        <v>13919.54</v>
      </c>
      <c r="P1547" s="22" t="n">
        <v>0</v>
      </c>
      <c r="Q1547" s="22" t="n">
        <v>0</v>
      </c>
      <c r="R1547" s="22" t="n">
        <v>0</v>
      </c>
    </row>
    <row r="1548">
      <c r="A1548" s="22" t="n">
        <v>201810</v>
      </c>
      <c r="B1548" s="22" t="inlineStr">
        <is>
          <t>10/2018</t>
        </is>
      </c>
      <c r="C1548" s="22" t="n">
        <v>20</v>
      </c>
      <c r="D1548" s="22" t="inlineStr">
        <is>
          <t>S20</t>
        </is>
      </c>
      <c r="E1548" s="22" t="inlineStr">
        <is>
          <t>Nexa Brandenburg (S20)</t>
        </is>
      </c>
      <c r="F1548" s="22" t="inlineStr">
        <is>
          <t>Đức</t>
        </is>
      </c>
      <c r="G1548" s="22" t="inlineStr">
        <is>
          <t>POS</t>
        </is>
      </c>
      <c r="H1548" s="31" t="n">
        <v>10419.82</v>
      </c>
      <c r="I1548" s="31" t="n">
        <v>0</v>
      </c>
      <c r="J1548" s="31" t="n">
        <v>10419.82</v>
      </c>
      <c r="K1548" s="31" t="n">
        <v>0</v>
      </c>
      <c r="L1548" s="32" t="n">
        <v>5</v>
      </c>
      <c r="M1548" s="32" t="n">
        <v>37</v>
      </c>
      <c r="N1548" s="31" t="n">
        <v>10419.82</v>
      </c>
      <c r="O1548" s="31" t="n">
        <v>10419.82</v>
      </c>
      <c r="P1548" s="22" t="n">
        <v>0</v>
      </c>
      <c r="Q1548" s="22" t="n">
        <v>0</v>
      </c>
      <c r="R1548" s="22" t="n">
        <v>0</v>
      </c>
    </row>
    <row r="1549">
      <c r="A1549" s="22" t="n">
        <v>201810</v>
      </c>
      <c r="B1549" s="22" t="inlineStr">
        <is>
          <t>10/2018</t>
        </is>
      </c>
      <c r="C1549" s="22" t="n">
        <v>21</v>
      </c>
      <c r="D1549" s="22" t="inlineStr">
        <is>
          <t>S21</t>
        </is>
      </c>
      <c r="E1549" s="22" t="inlineStr">
        <is>
          <t>Nexa Freie Hansestadt Bremen (S21)</t>
        </is>
      </c>
      <c r="F1549" s="22" t="inlineStr">
        <is>
          <t>Đức</t>
        </is>
      </c>
      <c r="G1549" s="22" t="inlineStr">
        <is>
          <t>POS</t>
        </is>
      </c>
      <c r="H1549" s="31" t="n">
        <v>14396.25</v>
      </c>
      <c r="I1549" s="31" t="n">
        <v>0</v>
      </c>
      <c r="J1549" s="31" t="n">
        <v>14396.25</v>
      </c>
      <c r="K1549" s="31" t="n">
        <v>897</v>
      </c>
      <c r="L1549" s="32" t="n">
        <v>5</v>
      </c>
      <c r="M1549" s="32" t="n">
        <v>46</v>
      </c>
      <c r="N1549" s="31" t="n">
        <v>13499.25</v>
      </c>
      <c r="O1549" s="31" t="n">
        <v>14396.25</v>
      </c>
      <c r="P1549" s="22" t="n">
        <v>1</v>
      </c>
      <c r="Q1549" s="22" t="n">
        <v>0</v>
      </c>
      <c r="R1549" s="22" t="n">
        <v>0</v>
      </c>
    </row>
    <row r="1550">
      <c r="A1550" s="22" t="n">
        <v>201810</v>
      </c>
      <c r="B1550" s="22" t="inlineStr">
        <is>
          <t>10/2018</t>
        </is>
      </c>
      <c r="C1550" s="22" t="n">
        <v>22</v>
      </c>
      <c r="D1550" s="22" t="inlineStr">
        <is>
          <t>S22</t>
        </is>
      </c>
      <c r="E1550" s="22" t="inlineStr">
        <is>
          <t>Nexa Freistaat Thüringen (S22)</t>
        </is>
      </c>
      <c r="F1550" s="22" t="inlineStr">
        <is>
          <t>Đức</t>
        </is>
      </c>
      <c r="G1550" s="22" t="inlineStr">
        <is>
          <t>POS</t>
        </is>
      </c>
      <c r="H1550" s="31" t="n">
        <v>18601.82</v>
      </c>
      <c r="I1550" s="31" t="n">
        <v>0</v>
      </c>
      <c r="J1550" s="31" t="n">
        <v>18601.82</v>
      </c>
      <c r="K1550" s="31" t="n">
        <v>79.67</v>
      </c>
      <c r="L1550" s="32" t="n">
        <v>2</v>
      </c>
      <c r="M1550" s="32" t="n">
        <v>29</v>
      </c>
      <c r="N1550" s="31" t="n">
        <v>18522.15</v>
      </c>
      <c r="O1550" s="31" t="n">
        <v>18601.82</v>
      </c>
      <c r="P1550" s="22" t="n">
        <v>1</v>
      </c>
      <c r="Q1550" s="22" t="n">
        <v>0</v>
      </c>
      <c r="R1550" s="22" t="n">
        <v>0</v>
      </c>
    </row>
    <row r="1551">
      <c r="A1551" s="22" t="n">
        <v>201810</v>
      </c>
      <c r="B1551" s="22" t="inlineStr">
        <is>
          <t>10/2018</t>
        </is>
      </c>
      <c r="C1551" s="22" t="n">
        <v>23</v>
      </c>
      <c r="D1551" s="22" t="inlineStr">
        <is>
          <t>S23</t>
        </is>
      </c>
      <c r="E1551" s="22" t="inlineStr">
        <is>
          <t>Nexa Hamburg (S23)</t>
        </is>
      </c>
      <c r="F1551" s="22" t="inlineStr">
        <is>
          <t>Đức</t>
        </is>
      </c>
      <c r="G1551" s="22" t="inlineStr">
        <is>
          <t>POS</t>
        </is>
      </c>
      <c r="H1551" s="31" t="n">
        <v>16488.08</v>
      </c>
      <c r="I1551" s="31" t="n">
        <v>0</v>
      </c>
      <c r="J1551" s="31" t="n">
        <v>16488.08</v>
      </c>
      <c r="K1551" s="31" t="n">
        <v>358</v>
      </c>
      <c r="L1551" s="32" t="n">
        <v>8</v>
      </c>
      <c r="M1551" s="32" t="n">
        <v>88</v>
      </c>
      <c r="N1551" s="31" t="n">
        <v>16130.08</v>
      </c>
      <c r="O1551" s="31" t="n">
        <v>16488.08</v>
      </c>
      <c r="P1551" s="22" t="n">
        <v>0</v>
      </c>
      <c r="Q1551" s="22" t="n">
        <v>0</v>
      </c>
      <c r="R1551" s="22" t="n">
        <v>0</v>
      </c>
    </row>
    <row r="1552">
      <c r="A1552" s="22" t="n">
        <v>201810</v>
      </c>
      <c r="B1552" s="22" t="inlineStr">
        <is>
          <t>10/2018</t>
        </is>
      </c>
      <c r="C1552" s="22" t="n">
        <v>24</v>
      </c>
      <c r="D1552" s="22" t="inlineStr">
        <is>
          <t>S24</t>
        </is>
      </c>
      <c r="E1552" s="22" t="inlineStr">
        <is>
          <t>Nexa Hessen (S24)</t>
        </is>
      </c>
      <c r="F1552" s="22" t="inlineStr">
        <is>
          <t>Đức</t>
        </is>
      </c>
      <c r="G1552" s="22" t="inlineStr">
        <is>
          <t>POS</t>
        </is>
      </c>
      <c r="H1552" s="31" t="n">
        <v>7687.58</v>
      </c>
      <c r="I1552" s="31" t="n">
        <v>0</v>
      </c>
      <c r="J1552" s="31" t="n">
        <v>7687.58</v>
      </c>
      <c r="K1552" s="31" t="n">
        <v>288</v>
      </c>
      <c r="L1552" s="32" t="n">
        <v>6</v>
      </c>
      <c r="M1552" s="32" t="n">
        <v>28</v>
      </c>
      <c r="N1552" s="31" t="n">
        <v>7399.58</v>
      </c>
      <c r="O1552" s="31" t="n">
        <v>7687.58</v>
      </c>
      <c r="P1552" s="22" t="n">
        <v>0</v>
      </c>
      <c r="Q1552" s="22" t="n">
        <v>0</v>
      </c>
      <c r="R1552" s="22" t="n">
        <v>0</v>
      </c>
    </row>
    <row r="1553">
      <c r="A1553" s="22" t="n">
        <v>201810</v>
      </c>
      <c r="B1553" s="22" t="inlineStr">
        <is>
          <t>10/2018</t>
        </is>
      </c>
      <c r="C1553" s="22" t="n">
        <v>27</v>
      </c>
      <c r="D1553" s="22" t="inlineStr">
        <is>
          <t>S27</t>
        </is>
      </c>
      <c r="E1553" s="22" t="inlineStr">
        <is>
          <t>Nexa Sachsen-Anhalt (S27)</t>
        </is>
      </c>
      <c r="F1553" s="22" t="inlineStr">
        <is>
          <t>Đức</t>
        </is>
      </c>
      <c r="G1553" s="22" t="inlineStr">
        <is>
          <t>POS</t>
        </is>
      </c>
      <c r="H1553" s="31" t="n">
        <v>20489.57</v>
      </c>
      <c r="I1553" s="31" t="n">
        <v>0</v>
      </c>
      <c r="J1553" s="31" t="n">
        <v>20489.57</v>
      </c>
      <c r="K1553" s="31" t="n">
        <v>0</v>
      </c>
      <c r="L1553" s="32" t="n">
        <v>8</v>
      </c>
      <c r="M1553" s="32" t="n">
        <v>66</v>
      </c>
      <c r="N1553" s="31" t="n">
        <v>20489.57</v>
      </c>
      <c r="O1553" s="31" t="n">
        <v>20489.57</v>
      </c>
      <c r="P1553" s="22" t="n">
        <v>0</v>
      </c>
      <c r="Q1553" s="22" t="n">
        <v>0</v>
      </c>
      <c r="R1553" s="22" t="n">
        <v>0</v>
      </c>
    </row>
    <row r="1554">
      <c r="A1554" s="22" t="n">
        <v>201810</v>
      </c>
      <c r="B1554" s="22" t="inlineStr">
        <is>
          <t>10/2018</t>
        </is>
      </c>
      <c r="C1554" s="22" t="n">
        <v>29</v>
      </c>
      <c r="D1554" s="22" t="inlineStr">
        <is>
          <t>S29</t>
        </is>
      </c>
      <c r="E1554" s="22" t="inlineStr">
        <is>
          <t>Nexa Enna (S29)</t>
        </is>
      </c>
      <c r="F1554" s="22" t="inlineStr">
        <is>
          <t>Ý</t>
        </is>
      </c>
      <c r="G1554" s="22" t="inlineStr">
        <is>
          <t>POS</t>
        </is>
      </c>
      <c r="H1554" s="31" t="n">
        <v>20540.49</v>
      </c>
      <c r="I1554" s="31" t="n">
        <v>0</v>
      </c>
      <c r="J1554" s="31" t="n">
        <v>20540.49</v>
      </c>
      <c r="K1554" s="31" t="n">
        <v>0</v>
      </c>
      <c r="L1554" s="32" t="n">
        <v>12</v>
      </c>
      <c r="M1554" s="32" t="n">
        <v>97</v>
      </c>
      <c r="N1554" s="31" t="n">
        <v>20540.49</v>
      </c>
      <c r="O1554" s="31" t="n">
        <v>20540.49</v>
      </c>
      <c r="P1554" s="22" t="n">
        <v>1</v>
      </c>
      <c r="Q1554" s="22" t="n">
        <v>0</v>
      </c>
      <c r="R1554" s="22" t="n">
        <v>0</v>
      </c>
    </row>
    <row r="1555">
      <c r="A1555" s="22" t="n">
        <v>201810</v>
      </c>
      <c r="B1555" s="22" t="inlineStr">
        <is>
          <t>10/2018</t>
        </is>
      </c>
      <c r="C1555" s="22" t="n">
        <v>30</v>
      </c>
      <c r="D1555" s="22" t="inlineStr">
        <is>
          <t>S30</t>
        </is>
      </c>
      <c r="E1555" s="22" t="inlineStr">
        <is>
          <t>Nexa Pesaro (S30)</t>
        </is>
      </c>
      <c r="F1555" s="22" t="inlineStr">
        <is>
          <t>Ý</t>
        </is>
      </c>
      <c r="G1555" s="22" t="inlineStr">
        <is>
          <t>POS</t>
        </is>
      </c>
      <c r="H1555" s="31" t="n">
        <v>21865.4</v>
      </c>
      <c r="I1555" s="31" t="n">
        <v>0</v>
      </c>
      <c r="J1555" s="31" t="n">
        <v>21865.4</v>
      </c>
      <c r="K1555" s="31" t="n">
        <v>0</v>
      </c>
      <c r="L1555" s="32" t="n">
        <v>10</v>
      </c>
      <c r="M1555" s="32" t="n">
        <v>77</v>
      </c>
      <c r="N1555" s="31" t="n">
        <v>21865.4</v>
      </c>
      <c r="O1555" s="31" t="n">
        <v>21865.4</v>
      </c>
      <c r="P1555" s="22" t="n">
        <v>0</v>
      </c>
      <c r="Q1555" s="22" t="n">
        <v>0</v>
      </c>
      <c r="R1555" s="22" t="n">
        <v>0</v>
      </c>
    </row>
    <row r="1556">
      <c r="A1556" s="22" t="n">
        <v>201810</v>
      </c>
      <c r="B1556" s="22" t="inlineStr">
        <is>
          <t>10/2018</t>
        </is>
      </c>
      <c r="C1556" s="22" t="n">
        <v>31</v>
      </c>
      <c r="D1556" s="22" t="inlineStr">
        <is>
          <t>S31</t>
        </is>
      </c>
      <c r="E1556" s="22" t="inlineStr">
        <is>
          <t>Nexa Drenthe (S31)</t>
        </is>
      </c>
      <c r="F1556" s="22" t="inlineStr">
        <is>
          <t>Hà Lan</t>
        </is>
      </c>
      <c r="G1556" s="22" t="inlineStr">
        <is>
          <t>POS</t>
        </is>
      </c>
      <c r="H1556" s="31" t="n">
        <v>14105.77</v>
      </c>
      <c r="I1556" s="31" t="n">
        <v>0</v>
      </c>
      <c r="J1556" s="31" t="n">
        <v>14105.77</v>
      </c>
      <c r="K1556" s="31" t="n">
        <v>2338.2</v>
      </c>
      <c r="L1556" s="32" t="n">
        <v>7</v>
      </c>
      <c r="M1556" s="32" t="n">
        <v>77</v>
      </c>
      <c r="N1556" s="31" t="n">
        <v>11767.57</v>
      </c>
      <c r="O1556" s="31" t="n">
        <v>14105.77</v>
      </c>
      <c r="P1556" s="22" t="n">
        <v>0</v>
      </c>
      <c r="Q1556" s="22" t="n">
        <v>0</v>
      </c>
      <c r="R1556" s="22" t="n">
        <v>0</v>
      </c>
    </row>
    <row r="1557">
      <c r="A1557" s="22" t="n">
        <v>201810</v>
      </c>
      <c r="B1557" s="22" t="inlineStr">
        <is>
          <t>10/2018</t>
        </is>
      </c>
      <c r="C1557" s="22" t="n">
        <v>32</v>
      </c>
      <c r="D1557" s="22" t="inlineStr">
        <is>
          <t>S32</t>
        </is>
      </c>
      <c r="E1557" s="22" t="inlineStr">
        <is>
          <t>Nexa Flevoland (S32)</t>
        </is>
      </c>
      <c r="F1557" s="22" t="inlineStr">
        <is>
          <t>Hà Lan</t>
        </is>
      </c>
      <c r="G1557" s="22" t="inlineStr">
        <is>
          <t>POS</t>
        </is>
      </c>
      <c r="H1557" s="31" t="n">
        <v>16667.92</v>
      </c>
      <c r="I1557" s="31" t="n">
        <v>0</v>
      </c>
      <c r="J1557" s="31" t="n">
        <v>16667.92</v>
      </c>
      <c r="K1557" s="31" t="n">
        <v>0</v>
      </c>
      <c r="L1557" s="32" t="n">
        <v>4</v>
      </c>
      <c r="M1557" s="32" t="n">
        <v>46</v>
      </c>
      <c r="N1557" s="31" t="n">
        <v>16667.92</v>
      </c>
      <c r="O1557" s="31" t="n">
        <v>16667.92</v>
      </c>
      <c r="P1557" s="22" t="n">
        <v>0</v>
      </c>
      <c r="Q1557" s="22" t="n">
        <v>0</v>
      </c>
      <c r="R1557" s="22" t="n">
        <v>0</v>
      </c>
    </row>
    <row r="1558">
      <c r="A1558" s="22" t="n">
        <v>201810</v>
      </c>
      <c r="B1558" s="22" t="inlineStr">
        <is>
          <t>10/2018</t>
        </is>
      </c>
      <c r="C1558" s="22" t="n">
        <v>33</v>
      </c>
      <c r="D1558" s="22" t="inlineStr">
        <is>
          <t>S33</t>
        </is>
      </c>
      <c r="E1558" s="22" t="inlineStr">
        <is>
          <t>Nexa Friesland (S33)</t>
        </is>
      </c>
      <c r="F1558" s="22" t="inlineStr">
        <is>
          <t>Hà Lan</t>
        </is>
      </c>
      <c r="G1558" s="22" t="inlineStr">
        <is>
          <t>POS</t>
        </is>
      </c>
      <c r="H1558" s="31" t="n">
        <v>4079.87</v>
      </c>
      <c r="I1558" s="31" t="n">
        <v>0</v>
      </c>
      <c r="J1558" s="31" t="n">
        <v>4079.87</v>
      </c>
      <c r="K1558" s="31" t="n">
        <v>0</v>
      </c>
      <c r="L1558" s="32" t="n">
        <v>4</v>
      </c>
      <c r="M1558" s="32" t="n">
        <v>34</v>
      </c>
      <c r="N1558" s="31" t="n">
        <v>4079.87</v>
      </c>
      <c r="O1558" s="31" t="n">
        <v>4079.87</v>
      </c>
      <c r="P1558" s="22" t="n">
        <v>0</v>
      </c>
      <c r="Q1558" s="22" t="n">
        <v>0</v>
      </c>
      <c r="R1558" s="22" t="n">
        <v>0</v>
      </c>
    </row>
    <row r="1559">
      <c r="A1559" s="22" t="n">
        <v>201810</v>
      </c>
      <c r="B1559" s="22" t="inlineStr">
        <is>
          <t>10/2018</t>
        </is>
      </c>
      <c r="C1559" s="22" t="n">
        <v>34</v>
      </c>
      <c r="D1559" s="22" t="inlineStr">
        <is>
          <t>S34</t>
        </is>
      </c>
      <c r="E1559" s="22" t="inlineStr">
        <is>
          <t>Nexa Groningen (S34)</t>
        </is>
      </c>
      <c r="F1559" s="22" t="inlineStr">
        <is>
          <t>Hà Lan</t>
        </is>
      </c>
      <c r="G1559" s="22" t="inlineStr">
        <is>
          <t>POS</t>
        </is>
      </c>
      <c r="H1559" s="31" t="n">
        <v>27407.14</v>
      </c>
      <c r="I1559" s="31" t="n">
        <v>0</v>
      </c>
      <c r="J1559" s="31" t="n">
        <v>27407.14</v>
      </c>
      <c r="K1559" s="31" t="n">
        <v>369</v>
      </c>
      <c r="L1559" s="32" t="n">
        <v>5</v>
      </c>
      <c r="M1559" s="32" t="n">
        <v>52</v>
      </c>
      <c r="N1559" s="31" t="n">
        <v>27038.14</v>
      </c>
      <c r="O1559" s="31" t="n">
        <v>27407.14</v>
      </c>
      <c r="P1559" s="22" t="n">
        <v>0</v>
      </c>
      <c r="Q1559" s="22" t="n">
        <v>0</v>
      </c>
      <c r="R1559" s="22" t="n">
        <v>0</v>
      </c>
    </row>
    <row r="1560">
      <c r="A1560" s="22" t="n">
        <v>201810</v>
      </c>
      <c r="B1560" s="22" t="inlineStr">
        <is>
          <t>10/2018</t>
        </is>
      </c>
      <c r="C1560" s="22" t="n">
        <v>36</v>
      </c>
      <c r="D1560" s="22" t="inlineStr">
        <is>
          <t>S36</t>
        </is>
      </c>
      <c r="E1560" s="22" t="inlineStr">
        <is>
          <t>Nexa Armagh (S36)</t>
        </is>
      </c>
      <c r="F1560" s="22" t="inlineStr">
        <is>
          <t>Anh</t>
        </is>
      </c>
      <c r="G1560" s="22" t="inlineStr">
        <is>
          <t>POS</t>
        </is>
      </c>
      <c r="H1560" s="31" t="n">
        <v>10125.56</v>
      </c>
      <c r="I1560" s="31" t="n">
        <v>0</v>
      </c>
      <c r="J1560" s="31" t="n">
        <v>10125.56</v>
      </c>
      <c r="K1560" s="31" t="n">
        <v>0</v>
      </c>
      <c r="L1560" s="32" t="n">
        <v>12</v>
      </c>
      <c r="M1560" s="32" t="n">
        <v>53</v>
      </c>
      <c r="N1560" s="31" t="n">
        <v>10125.56</v>
      </c>
      <c r="O1560" s="31" t="n">
        <v>10125.56</v>
      </c>
      <c r="P1560" s="22" t="n">
        <v>0</v>
      </c>
      <c r="Q1560" s="22" t="n">
        <v>0</v>
      </c>
      <c r="R1560" s="22" t="n">
        <v>0</v>
      </c>
    </row>
    <row r="1561">
      <c r="A1561" s="22" t="n">
        <v>201810</v>
      </c>
      <c r="B1561" s="22" t="inlineStr">
        <is>
          <t>10/2018</t>
        </is>
      </c>
      <c r="C1561" s="22" t="n">
        <v>37</v>
      </c>
      <c r="D1561" s="22" t="inlineStr">
        <is>
          <t>S37</t>
        </is>
      </c>
      <c r="E1561" s="22" t="inlineStr">
        <is>
          <t>Nexa Ayrshire (S37)</t>
        </is>
      </c>
      <c r="F1561" s="22" t="inlineStr">
        <is>
          <t>Anh</t>
        </is>
      </c>
      <c r="G1561" s="22" t="inlineStr">
        <is>
          <t>POS</t>
        </is>
      </c>
      <c r="H1561" s="31" t="n">
        <v>32268.13</v>
      </c>
      <c r="I1561" s="31" t="n">
        <v>0</v>
      </c>
      <c r="J1561" s="31" t="n">
        <v>32268.13</v>
      </c>
      <c r="K1561" s="31" t="n">
        <v>0</v>
      </c>
      <c r="L1561" s="32" t="n">
        <v>15</v>
      </c>
      <c r="M1561" s="32" t="n">
        <v>96</v>
      </c>
      <c r="N1561" s="31" t="n">
        <v>32268.13</v>
      </c>
      <c r="O1561" s="31" t="n">
        <v>32268.13</v>
      </c>
      <c r="P1561" s="22" t="n">
        <v>1</v>
      </c>
      <c r="Q1561" s="22" t="n">
        <v>0</v>
      </c>
      <c r="R1561" s="22" t="n">
        <v>0</v>
      </c>
    </row>
    <row r="1562">
      <c r="A1562" s="22" t="n">
        <v>201810</v>
      </c>
      <c r="B1562" s="22" t="inlineStr">
        <is>
          <t>10/2018</t>
        </is>
      </c>
      <c r="C1562" s="22" t="n">
        <v>38</v>
      </c>
      <c r="D1562" s="22" t="inlineStr">
        <is>
          <t>S38</t>
        </is>
      </c>
      <c r="E1562" s="22" t="inlineStr">
        <is>
          <t>Nexa Belfast (S38)</t>
        </is>
      </c>
      <c r="F1562" s="22" t="inlineStr">
        <is>
          <t>Anh</t>
        </is>
      </c>
      <c r="G1562" s="22" t="inlineStr">
        <is>
          <t>POS</t>
        </is>
      </c>
      <c r="H1562" s="31" t="n">
        <v>19731.13</v>
      </c>
      <c r="I1562" s="31" t="n">
        <v>0</v>
      </c>
      <c r="J1562" s="31" t="n">
        <v>19731.13</v>
      </c>
      <c r="K1562" s="31" t="n">
        <v>0</v>
      </c>
      <c r="L1562" s="32" t="n">
        <v>12</v>
      </c>
      <c r="M1562" s="32" t="n">
        <v>94</v>
      </c>
      <c r="N1562" s="31" t="n">
        <v>19731.13</v>
      </c>
      <c r="O1562" s="31" t="n">
        <v>19731.13</v>
      </c>
      <c r="P1562" s="22" t="n">
        <v>0</v>
      </c>
      <c r="Q1562" s="22" t="n">
        <v>0</v>
      </c>
      <c r="R1562" s="22" t="n">
        <v>0</v>
      </c>
    </row>
    <row r="1563">
      <c r="A1563" s="22" t="n">
        <v>201810</v>
      </c>
      <c r="B1563" s="22" t="inlineStr">
        <is>
          <t>10/2018</t>
        </is>
      </c>
      <c r="C1563" s="22" t="n">
        <v>39</v>
      </c>
      <c r="D1563" s="22" t="inlineStr">
        <is>
          <t>S39</t>
        </is>
      </c>
      <c r="E1563" s="22" t="inlineStr">
        <is>
          <t>Nexa Blaenau Gwent (S39)</t>
        </is>
      </c>
      <c r="F1563" s="22" t="inlineStr">
        <is>
          <t>Anh</t>
        </is>
      </c>
      <c r="G1563" s="22" t="inlineStr">
        <is>
          <t>POS</t>
        </is>
      </c>
      <c r="H1563" s="31" t="n">
        <v>16867.18</v>
      </c>
      <c r="I1563" s="31" t="n">
        <v>0</v>
      </c>
      <c r="J1563" s="31" t="n">
        <v>16867.18</v>
      </c>
      <c r="K1563" s="31" t="n">
        <v>168</v>
      </c>
      <c r="L1563" s="32" t="n">
        <v>11</v>
      </c>
      <c r="M1563" s="32" t="n">
        <v>75</v>
      </c>
      <c r="N1563" s="31" t="n">
        <v>16699.18</v>
      </c>
      <c r="O1563" s="31" t="n">
        <v>16867.18</v>
      </c>
      <c r="P1563" s="22" t="n">
        <v>0</v>
      </c>
      <c r="Q1563" s="22" t="n">
        <v>0</v>
      </c>
      <c r="R1563" s="22" t="n">
        <v>0</v>
      </c>
    </row>
    <row r="1564">
      <c r="A1564" s="22" t="n">
        <v>201810</v>
      </c>
      <c r="B1564" s="22" t="inlineStr">
        <is>
          <t>10/2018</t>
        </is>
      </c>
      <c r="C1564" s="22" t="n">
        <v>40</v>
      </c>
      <c r="D1564" s="22" t="inlineStr">
        <is>
          <t>S40</t>
        </is>
      </c>
      <c r="E1564" s="22" t="inlineStr">
        <is>
          <t>Nexa Dungannon and South Tyrone (S40)</t>
        </is>
      </c>
      <c r="F1564" s="22" t="inlineStr">
        <is>
          <t>Anh</t>
        </is>
      </c>
      <c r="G1564" s="22" t="inlineStr">
        <is>
          <t>POS</t>
        </is>
      </c>
      <c r="H1564" s="31" t="n">
        <v>23255.73</v>
      </c>
      <c r="I1564" s="31" t="n">
        <v>0</v>
      </c>
      <c r="J1564" s="31" t="n">
        <v>23255.73</v>
      </c>
      <c r="K1564" s="31" t="n">
        <v>0</v>
      </c>
      <c r="L1564" s="32" t="n">
        <v>12</v>
      </c>
      <c r="M1564" s="32" t="n">
        <v>106</v>
      </c>
      <c r="N1564" s="31" t="n">
        <v>23255.73</v>
      </c>
      <c r="O1564" s="31" t="n">
        <v>23255.73</v>
      </c>
      <c r="P1564" s="22" t="n">
        <v>0</v>
      </c>
      <c r="Q1564" s="22" t="n">
        <v>0</v>
      </c>
      <c r="R1564" s="22" t="n">
        <v>0</v>
      </c>
    </row>
    <row r="1565">
      <c r="A1565" s="22" t="n">
        <v>201810</v>
      </c>
      <c r="B1565" s="22" t="inlineStr">
        <is>
          <t>10/2018</t>
        </is>
      </c>
      <c r="C1565" s="22" t="n">
        <v>42</v>
      </c>
      <c r="D1565" s="22" t="inlineStr">
        <is>
          <t>S42</t>
        </is>
      </c>
      <c r="E1565" s="22" t="inlineStr">
        <is>
          <t>Nexa North Down (S42)</t>
        </is>
      </c>
      <c r="F1565" s="22" t="inlineStr">
        <is>
          <t>Anh</t>
        </is>
      </c>
      <c r="G1565" s="22" t="inlineStr">
        <is>
          <t>POS</t>
        </is>
      </c>
      <c r="H1565" s="31" t="n">
        <v>9129.299999999999</v>
      </c>
      <c r="I1565" s="31" t="n">
        <v>0</v>
      </c>
      <c r="J1565" s="31" t="n">
        <v>9129.299999999999</v>
      </c>
      <c r="K1565" s="31" t="n">
        <v>0</v>
      </c>
      <c r="L1565" s="32" t="n">
        <v>5</v>
      </c>
      <c r="M1565" s="32" t="n">
        <v>25</v>
      </c>
      <c r="N1565" s="31" t="n">
        <v>9129.299999999999</v>
      </c>
      <c r="O1565" s="31" t="n">
        <v>9129.299999999999</v>
      </c>
      <c r="P1565" s="22" t="n">
        <v>0</v>
      </c>
      <c r="Q1565" s="22" t="n">
        <v>0</v>
      </c>
      <c r="R1565" s="22" t="n">
        <v>0</v>
      </c>
    </row>
    <row r="1566">
      <c r="A1566" s="22" t="n">
        <v>201810</v>
      </c>
      <c r="B1566" s="22" t="inlineStr">
        <is>
          <t>10/2018</t>
        </is>
      </c>
      <c r="C1566" s="22" t="n">
        <v>43</v>
      </c>
      <c r="D1566" s="22" t="inlineStr">
        <is>
          <t>S43</t>
        </is>
      </c>
      <c r="E1566" s="22" t="inlineStr">
        <is>
          <t>Nexa Alaska (S43)</t>
        </is>
      </c>
      <c r="F1566" s="22" t="inlineStr">
        <is>
          <t>Mỹ</t>
        </is>
      </c>
      <c r="G1566" s="22" t="inlineStr">
        <is>
          <t>POS</t>
        </is>
      </c>
      <c r="H1566" s="31" t="n">
        <v>19993.42</v>
      </c>
      <c r="I1566" s="31" t="n">
        <v>0</v>
      </c>
      <c r="J1566" s="31" t="n">
        <v>19993.42</v>
      </c>
      <c r="K1566" s="31" t="n">
        <v>0</v>
      </c>
      <c r="L1566" s="32" t="n">
        <v>10</v>
      </c>
      <c r="M1566" s="32" t="n">
        <v>80</v>
      </c>
      <c r="N1566" s="31" t="n">
        <v>19993.42</v>
      </c>
      <c r="O1566" s="31" t="n">
        <v>19993.42</v>
      </c>
      <c r="P1566" s="22" t="n">
        <v>0</v>
      </c>
      <c r="Q1566" s="22" t="n">
        <v>0</v>
      </c>
      <c r="R1566" s="22" t="n">
        <v>0</v>
      </c>
    </row>
    <row r="1567">
      <c r="A1567" s="22" t="n">
        <v>201810</v>
      </c>
      <c r="B1567" s="22" t="inlineStr">
        <is>
          <t>10/2018</t>
        </is>
      </c>
      <c r="C1567" s="22" t="n">
        <v>44</v>
      </c>
      <c r="D1567" s="22" t="inlineStr">
        <is>
          <t>S44</t>
        </is>
      </c>
      <c r="E1567" s="22" t="inlineStr">
        <is>
          <t>Nexa Arkansas (S44)</t>
        </is>
      </c>
      <c r="F1567" s="22" t="inlineStr">
        <is>
          <t>Mỹ</t>
        </is>
      </c>
      <c r="G1567" s="22" t="inlineStr">
        <is>
          <t>POS</t>
        </is>
      </c>
      <c r="H1567" s="31" t="n">
        <v>33772.21</v>
      </c>
      <c r="I1567" s="31" t="n">
        <v>0</v>
      </c>
      <c r="J1567" s="31" t="n">
        <v>33772.21</v>
      </c>
      <c r="K1567" s="31" t="n">
        <v>0</v>
      </c>
      <c r="L1567" s="32" t="n">
        <v>17</v>
      </c>
      <c r="M1567" s="32" t="n">
        <v>126</v>
      </c>
      <c r="N1567" s="31" t="n">
        <v>33772.21</v>
      </c>
      <c r="O1567" s="31" t="n">
        <v>33772.21</v>
      </c>
      <c r="P1567" s="22" t="n">
        <v>0</v>
      </c>
      <c r="Q1567" s="22" t="n">
        <v>0</v>
      </c>
      <c r="R1567" s="22" t="n">
        <v>0</v>
      </c>
    </row>
    <row r="1568">
      <c r="A1568" s="22" t="n">
        <v>201810</v>
      </c>
      <c r="B1568" s="22" t="inlineStr">
        <is>
          <t>10/2018</t>
        </is>
      </c>
      <c r="C1568" s="22" t="n">
        <v>45</v>
      </c>
      <c r="D1568" s="22" t="inlineStr">
        <is>
          <t>S45</t>
        </is>
      </c>
      <c r="E1568" s="22" t="inlineStr">
        <is>
          <t>Nexa Connecticut (S45)</t>
        </is>
      </c>
      <c r="F1568" s="22" t="inlineStr">
        <is>
          <t>Mỹ</t>
        </is>
      </c>
      <c r="G1568" s="22" t="inlineStr">
        <is>
          <t>POS</t>
        </is>
      </c>
      <c r="H1568" s="31" t="n">
        <v>28848.39</v>
      </c>
      <c r="I1568" s="31" t="n">
        <v>0</v>
      </c>
      <c r="J1568" s="31" t="n">
        <v>28848.39</v>
      </c>
      <c r="K1568" s="31" t="n">
        <v>789.9</v>
      </c>
      <c r="L1568" s="32" t="n">
        <v>11</v>
      </c>
      <c r="M1568" s="32" t="n">
        <v>77</v>
      </c>
      <c r="N1568" s="31" t="n">
        <v>28058.49</v>
      </c>
      <c r="O1568" s="31" t="n">
        <v>28848.39</v>
      </c>
      <c r="P1568" s="22" t="n">
        <v>0</v>
      </c>
      <c r="Q1568" s="22" t="n">
        <v>0</v>
      </c>
      <c r="R1568" s="22" t="n">
        <v>0</v>
      </c>
    </row>
    <row r="1569">
      <c r="A1569" s="22" t="n">
        <v>201810</v>
      </c>
      <c r="B1569" s="22" t="inlineStr">
        <is>
          <t>10/2018</t>
        </is>
      </c>
      <c r="C1569" s="22" t="n">
        <v>47</v>
      </c>
      <c r="D1569" s="22" t="inlineStr">
        <is>
          <t>S47</t>
        </is>
      </c>
      <c r="E1569" s="22" t="inlineStr">
        <is>
          <t>Nexa Hawaii (S47)</t>
        </is>
      </c>
      <c r="F1569" s="22" t="inlineStr">
        <is>
          <t>Mỹ</t>
        </is>
      </c>
      <c r="G1569" s="22" t="inlineStr">
        <is>
          <t>POS</t>
        </is>
      </c>
      <c r="H1569" s="31" t="n">
        <v>24980.77</v>
      </c>
      <c r="I1569" s="31" t="n">
        <v>0</v>
      </c>
      <c r="J1569" s="31" t="n">
        <v>24980.77</v>
      </c>
      <c r="K1569" s="31" t="n">
        <v>3897</v>
      </c>
      <c r="L1569" s="32" t="n">
        <v>17</v>
      </c>
      <c r="M1569" s="32" t="n">
        <v>95</v>
      </c>
      <c r="N1569" s="31" t="n">
        <v>21083.77</v>
      </c>
      <c r="O1569" s="31" t="n">
        <v>24980.77</v>
      </c>
      <c r="P1569" s="22" t="n">
        <v>0</v>
      </c>
      <c r="Q1569" s="22" t="n">
        <v>0</v>
      </c>
      <c r="R1569" s="22" t="n">
        <v>0</v>
      </c>
    </row>
    <row r="1570">
      <c r="A1570" s="22" t="n">
        <v>201810</v>
      </c>
      <c r="B1570" s="22" t="inlineStr">
        <is>
          <t>10/2018</t>
        </is>
      </c>
      <c r="C1570" s="22" t="n">
        <v>48</v>
      </c>
      <c r="D1570" s="22" t="inlineStr">
        <is>
          <t>S48</t>
        </is>
      </c>
      <c r="E1570" s="22" t="inlineStr">
        <is>
          <t>Nexa Idaho (S48)</t>
        </is>
      </c>
      <c r="F1570" s="22" t="inlineStr">
        <is>
          <t>Mỹ</t>
        </is>
      </c>
      <c r="G1570" s="22" t="inlineStr">
        <is>
          <t>POS</t>
        </is>
      </c>
      <c r="H1570" s="31" t="n">
        <v>15875.12</v>
      </c>
      <c r="I1570" s="31" t="n">
        <v>0</v>
      </c>
      <c r="J1570" s="31" t="n">
        <v>15875.12</v>
      </c>
      <c r="K1570" s="31" t="n">
        <v>1592.2</v>
      </c>
      <c r="L1570" s="32" t="n">
        <v>10</v>
      </c>
      <c r="M1570" s="32" t="n">
        <v>89</v>
      </c>
      <c r="N1570" s="31" t="n">
        <v>14282.92</v>
      </c>
      <c r="O1570" s="31" t="n">
        <v>15875.12</v>
      </c>
      <c r="P1570" s="22" t="n">
        <v>0</v>
      </c>
      <c r="Q1570" s="22" t="n">
        <v>0</v>
      </c>
      <c r="R1570" s="22" t="n">
        <v>0</v>
      </c>
    </row>
    <row r="1571">
      <c r="A1571" s="22" t="n">
        <v>201810</v>
      </c>
      <c r="B1571" s="22" t="inlineStr">
        <is>
          <t>10/2018</t>
        </is>
      </c>
      <c r="C1571" s="22" t="n">
        <v>49</v>
      </c>
      <c r="D1571" s="22" t="inlineStr">
        <is>
          <t>S49</t>
        </is>
      </c>
      <c r="E1571" s="22" t="inlineStr">
        <is>
          <t>Nexa Iowa (S49)</t>
        </is>
      </c>
      <c r="F1571" s="22" t="inlineStr">
        <is>
          <t>Mỹ</t>
        </is>
      </c>
      <c r="G1571" s="22" t="inlineStr">
        <is>
          <t>POS</t>
        </is>
      </c>
      <c r="H1571" s="31" t="n">
        <v>25297.28</v>
      </c>
      <c r="I1571" s="31" t="n">
        <v>0</v>
      </c>
      <c r="J1571" s="31" t="n">
        <v>25297.28</v>
      </c>
      <c r="K1571" s="31" t="n">
        <v>999</v>
      </c>
      <c r="L1571" s="32" t="n">
        <v>11</v>
      </c>
      <c r="M1571" s="32" t="n">
        <v>88</v>
      </c>
      <c r="N1571" s="31" t="n">
        <v>24298.28</v>
      </c>
      <c r="O1571" s="31" t="n">
        <v>25297.28</v>
      </c>
      <c r="P1571" s="22" t="n">
        <v>0</v>
      </c>
      <c r="Q1571" s="22" t="n">
        <v>0</v>
      </c>
      <c r="R1571" s="22" t="n">
        <v>1</v>
      </c>
    </row>
    <row r="1572">
      <c r="A1572" s="22" t="n">
        <v>201810</v>
      </c>
      <c r="B1572" s="22" t="inlineStr">
        <is>
          <t>10/2018</t>
        </is>
      </c>
      <c r="C1572" s="22" t="n">
        <v>50</v>
      </c>
      <c r="D1572" s="22" t="inlineStr">
        <is>
          <t>S50</t>
        </is>
      </c>
      <c r="E1572" s="22" t="inlineStr">
        <is>
          <t>Nexa Kansas (S50)</t>
        </is>
      </c>
      <c r="F1572" s="22" t="inlineStr">
        <is>
          <t>Mỹ</t>
        </is>
      </c>
      <c r="G1572" s="22" t="inlineStr">
        <is>
          <t>POS</t>
        </is>
      </c>
      <c r="H1572" s="31" t="n">
        <v>32679.12</v>
      </c>
      <c r="I1572" s="31" t="n">
        <v>0</v>
      </c>
      <c r="J1572" s="31" t="n">
        <v>32679.12</v>
      </c>
      <c r="K1572" s="31" t="n">
        <v>2506.36</v>
      </c>
      <c r="L1572" s="32" t="n">
        <v>12</v>
      </c>
      <c r="M1572" s="32" t="n">
        <v>116</v>
      </c>
      <c r="N1572" s="31" t="n">
        <v>30172.76</v>
      </c>
      <c r="O1572" s="31" t="n">
        <v>32679.12</v>
      </c>
      <c r="P1572" s="22" t="n">
        <v>0</v>
      </c>
      <c r="Q1572" s="22" t="n">
        <v>0</v>
      </c>
      <c r="R1572" s="22" t="n">
        <v>0</v>
      </c>
    </row>
    <row r="1573">
      <c r="A1573" s="22" t="n">
        <v>201810</v>
      </c>
      <c r="B1573" s="22" t="inlineStr">
        <is>
          <t>10/2018</t>
        </is>
      </c>
      <c r="C1573" s="22" t="n">
        <v>51</v>
      </c>
      <c r="D1573" s="22" t="inlineStr">
        <is>
          <t>S51</t>
        </is>
      </c>
      <c r="E1573" s="22" t="inlineStr">
        <is>
          <t>Nexa Maine (S51)</t>
        </is>
      </c>
      <c r="F1573" s="22" t="inlineStr">
        <is>
          <t>Mỹ</t>
        </is>
      </c>
      <c r="G1573" s="22" t="inlineStr">
        <is>
          <t>POS</t>
        </is>
      </c>
      <c r="H1573" s="31" t="n">
        <v>23344.87</v>
      </c>
      <c r="I1573" s="31" t="n">
        <v>0</v>
      </c>
      <c r="J1573" s="31" t="n">
        <v>23344.87</v>
      </c>
      <c r="K1573" s="31" t="n">
        <v>0</v>
      </c>
      <c r="L1573" s="32" t="n">
        <v>17</v>
      </c>
      <c r="M1573" s="32" t="n">
        <v>98</v>
      </c>
      <c r="N1573" s="31" t="n">
        <v>23344.87</v>
      </c>
      <c r="O1573" s="31" t="n">
        <v>23344.87</v>
      </c>
      <c r="P1573" s="22" t="n">
        <v>0</v>
      </c>
      <c r="Q1573" s="22" t="n">
        <v>0</v>
      </c>
      <c r="R1573" s="22" t="n">
        <v>0</v>
      </c>
    </row>
    <row r="1574">
      <c r="A1574" s="22" t="n">
        <v>201810</v>
      </c>
      <c r="B1574" s="22" t="inlineStr">
        <is>
          <t>10/2018</t>
        </is>
      </c>
      <c r="C1574" s="22" t="n">
        <v>53</v>
      </c>
      <c r="D1574" s="22" t="inlineStr">
        <is>
          <t>S53</t>
        </is>
      </c>
      <c r="E1574" s="22" t="inlineStr">
        <is>
          <t>Nexa Montana (S53)</t>
        </is>
      </c>
      <c r="F1574" s="22" t="inlineStr">
        <is>
          <t>Mỹ</t>
        </is>
      </c>
      <c r="G1574" s="22" t="inlineStr">
        <is>
          <t>POS</t>
        </is>
      </c>
      <c r="H1574" s="31" t="n">
        <v>36663.65</v>
      </c>
      <c r="I1574" s="31" t="n">
        <v>0</v>
      </c>
      <c r="J1574" s="31" t="n">
        <v>36663.65</v>
      </c>
      <c r="K1574" s="31" t="n">
        <v>1379.4</v>
      </c>
      <c r="L1574" s="32" t="n">
        <v>10</v>
      </c>
      <c r="M1574" s="32" t="n">
        <v>108</v>
      </c>
      <c r="N1574" s="31" t="n">
        <v>35284.25</v>
      </c>
      <c r="O1574" s="31" t="n">
        <v>36663.65</v>
      </c>
      <c r="P1574" s="22" t="n">
        <v>0</v>
      </c>
      <c r="Q1574" s="22" t="n">
        <v>0</v>
      </c>
      <c r="R1574" s="22" t="n">
        <v>0</v>
      </c>
    </row>
    <row r="1575">
      <c r="A1575" s="22" t="n">
        <v>201810</v>
      </c>
      <c r="B1575" s="22" t="inlineStr">
        <is>
          <t>10/2018</t>
        </is>
      </c>
      <c r="C1575" s="22" t="n">
        <v>54</v>
      </c>
      <c r="D1575" s="22" t="inlineStr">
        <is>
          <t>S54</t>
        </is>
      </c>
      <c r="E1575" s="22" t="inlineStr">
        <is>
          <t>Nexa Nebraska (S54)</t>
        </is>
      </c>
      <c r="F1575" s="22" t="inlineStr">
        <is>
          <t>Mỹ</t>
        </is>
      </c>
      <c r="G1575" s="22" t="inlineStr">
        <is>
          <t>POS</t>
        </is>
      </c>
      <c r="H1575" s="31" t="n">
        <v>19094.71</v>
      </c>
      <c r="I1575" s="31" t="n">
        <v>0</v>
      </c>
      <c r="J1575" s="31" t="n">
        <v>19094.71</v>
      </c>
      <c r="K1575" s="31" t="n">
        <v>299.9</v>
      </c>
      <c r="L1575" s="32" t="n">
        <v>13</v>
      </c>
      <c r="M1575" s="32" t="n">
        <v>81</v>
      </c>
      <c r="N1575" s="31" t="n">
        <v>18794.81</v>
      </c>
      <c r="O1575" s="31" t="n">
        <v>19094.71</v>
      </c>
      <c r="P1575" s="22" t="n">
        <v>0</v>
      </c>
      <c r="Q1575" s="22" t="n">
        <v>0</v>
      </c>
      <c r="R1575" s="22" t="n">
        <v>0</v>
      </c>
    </row>
    <row r="1576">
      <c r="A1576" s="22" t="n">
        <v>201810</v>
      </c>
      <c r="B1576" s="22" t="inlineStr">
        <is>
          <t>10/2018</t>
        </is>
      </c>
      <c r="C1576" s="22" t="n">
        <v>55</v>
      </c>
      <c r="D1576" s="22" t="inlineStr">
        <is>
          <t>S55</t>
        </is>
      </c>
      <c r="E1576" s="22" t="inlineStr">
        <is>
          <t>Nexa Nevada (S55)</t>
        </is>
      </c>
      <c r="F1576" s="22" t="inlineStr">
        <is>
          <t>Mỹ</t>
        </is>
      </c>
      <c r="G1576" s="22" t="inlineStr">
        <is>
          <t>POS</t>
        </is>
      </c>
      <c r="H1576" s="31" t="n">
        <v>23073.46</v>
      </c>
      <c r="I1576" s="31" t="n">
        <v>0</v>
      </c>
      <c r="J1576" s="31" t="n">
        <v>23073.46</v>
      </c>
      <c r="K1576" s="31" t="n">
        <v>2456.98</v>
      </c>
      <c r="L1576" s="32" t="n">
        <v>13</v>
      </c>
      <c r="M1576" s="32" t="n">
        <v>93</v>
      </c>
      <c r="N1576" s="31" t="n">
        <v>20616.48</v>
      </c>
      <c r="O1576" s="31" t="n">
        <v>23073.46</v>
      </c>
      <c r="P1576" s="22" t="n">
        <v>1</v>
      </c>
      <c r="Q1576" s="22" t="n">
        <v>0</v>
      </c>
      <c r="R1576" s="22" t="n">
        <v>0</v>
      </c>
    </row>
    <row r="1577">
      <c r="A1577" s="22" t="n">
        <v>201810</v>
      </c>
      <c r="B1577" s="22" t="inlineStr">
        <is>
          <t>10/2018</t>
        </is>
      </c>
      <c r="C1577" s="22" t="n">
        <v>56</v>
      </c>
      <c r="D1577" s="22" t="inlineStr">
        <is>
          <t>S56</t>
        </is>
      </c>
      <c r="E1577" s="22" t="inlineStr">
        <is>
          <t>Nexa New Hampshire (S56)</t>
        </is>
      </c>
      <c r="F1577" s="22" t="inlineStr">
        <is>
          <t>Mỹ</t>
        </is>
      </c>
      <c r="G1577" s="22" t="inlineStr">
        <is>
          <t>POS</t>
        </is>
      </c>
      <c r="H1577" s="31" t="n">
        <v>17819.7</v>
      </c>
      <c r="I1577" s="31" t="n">
        <v>0</v>
      </c>
      <c r="J1577" s="31" t="n">
        <v>17819.7</v>
      </c>
      <c r="K1577" s="31" t="n">
        <v>293.4</v>
      </c>
      <c r="L1577" s="32" t="n">
        <v>8</v>
      </c>
      <c r="M1577" s="32" t="n">
        <v>72</v>
      </c>
      <c r="N1577" s="31" t="n">
        <v>17526.3</v>
      </c>
      <c r="O1577" s="31" t="n">
        <v>17819.7</v>
      </c>
      <c r="P1577" s="22" t="n">
        <v>0</v>
      </c>
      <c r="Q1577" s="22" t="n">
        <v>0</v>
      </c>
      <c r="R1577" s="22" t="n">
        <v>0</v>
      </c>
    </row>
    <row r="1578">
      <c r="A1578" s="22" t="n">
        <v>201810</v>
      </c>
      <c r="B1578" s="22" t="inlineStr">
        <is>
          <t>10/2018</t>
        </is>
      </c>
      <c r="C1578" s="22" t="n">
        <v>57</v>
      </c>
      <c r="D1578" s="22" t="inlineStr">
        <is>
          <t>S57</t>
        </is>
      </c>
      <c r="E1578" s="22" t="inlineStr">
        <is>
          <t>Nexa New Mexico (S57)</t>
        </is>
      </c>
      <c r="F1578" s="22" t="inlineStr">
        <is>
          <t>Mỹ</t>
        </is>
      </c>
      <c r="G1578" s="22" t="inlineStr">
        <is>
          <t>POS</t>
        </is>
      </c>
      <c r="H1578" s="31" t="n">
        <v>45780.11</v>
      </c>
      <c r="I1578" s="31" t="n">
        <v>0</v>
      </c>
      <c r="J1578" s="31" t="n">
        <v>45780.11</v>
      </c>
      <c r="K1578" s="31" t="n">
        <v>3178.03</v>
      </c>
      <c r="L1578" s="32" t="n">
        <v>18</v>
      </c>
      <c r="M1578" s="32" t="n">
        <v>151</v>
      </c>
      <c r="N1578" s="31" t="n">
        <v>42602.08</v>
      </c>
      <c r="O1578" s="31" t="n">
        <v>45780.11</v>
      </c>
      <c r="P1578" s="22" t="n">
        <v>0</v>
      </c>
      <c r="Q1578" s="22" t="n">
        <v>0</v>
      </c>
      <c r="R1578" s="22" t="n">
        <v>0</v>
      </c>
    </row>
    <row r="1579">
      <c r="A1579" s="22" t="n">
        <v>201810</v>
      </c>
      <c r="B1579" s="22" t="inlineStr">
        <is>
          <t>10/2018</t>
        </is>
      </c>
      <c r="C1579" s="22" t="n">
        <v>59</v>
      </c>
      <c r="D1579" s="22" t="inlineStr">
        <is>
          <t>S59</t>
        </is>
      </c>
      <c r="E1579" s="22" t="inlineStr">
        <is>
          <t>Nexa Oregon (S59)</t>
        </is>
      </c>
      <c r="F1579" s="22" t="inlineStr">
        <is>
          <t>Mỹ</t>
        </is>
      </c>
      <c r="G1579" s="22" t="inlineStr">
        <is>
          <t>POS</t>
        </is>
      </c>
      <c r="H1579" s="31" t="n">
        <v>37781.6</v>
      </c>
      <c r="I1579" s="31" t="n">
        <v>0</v>
      </c>
      <c r="J1579" s="31" t="n">
        <v>37781.6</v>
      </c>
      <c r="K1579" s="31" t="n">
        <v>540</v>
      </c>
      <c r="L1579" s="32" t="n">
        <v>21</v>
      </c>
      <c r="M1579" s="32" t="n">
        <v>163</v>
      </c>
      <c r="N1579" s="31" t="n">
        <v>37241.6</v>
      </c>
      <c r="O1579" s="31" t="n">
        <v>37781.6</v>
      </c>
      <c r="P1579" s="22" t="n">
        <v>0</v>
      </c>
      <c r="Q1579" s="22" t="n">
        <v>0</v>
      </c>
      <c r="R1579" s="22" t="n">
        <v>0</v>
      </c>
    </row>
    <row r="1580">
      <c r="A1580" s="22" t="n">
        <v>201810</v>
      </c>
      <c r="B1580" s="22" t="inlineStr">
        <is>
          <t>10/2018</t>
        </is>
      </c>
      <c r="C1580" s="22" t="n">
        <v>61</v>
      </c>
      <c r="D1580" s="22" t="inlineStr">
        <is>
          <t>S61</t>
        </is>
      </c>
      <c r="E1580" s="22" t="inlineStr">
        <is>
          <t>Nexa South Carolina (S61)</t>
        </is>
      </c>
      <c r="F1580" s="22" t="inlineStr">
        <is>
          <t>Mỹ</t>
        </is>
      </c>
      <c r="G1580" s="22" t="inlineStr">
        <is>
          <t>POS</t>
        </is>
      </c>
      <c r="H1580" s="31" t="n">
        <v>18678.69</v>
      </c>
      <c r="I1580" s="31" t="n">
        <v>0</v>
      </c>
      <c r="J1580" s="31" t="n">
        <v>18678.69</v>
      </c>
      <c r="K1580" s="31" t="n">
        <v>230</v>
      </c>
      <c r="L1580" s="32" t="n">
        <v>13</v>
      </c>
      <c r="M1580" s="32" t="n">
        <v>80</v>
      </c>
      <c r="N1580" s="31" t="n">
        <v>18448.69</v>
      </c>
      <c r="O1580" s="31" t="n">
        <v>18678.69</v>
      </c>
      <c r="P1580" s="22" t="n">
        <v>0</v>
      </c>
      <c r="Q1580" s="22" t="n">
        <v>0</v>
      </c>
      <c r="R1580" s="22" t="n">
        <v>0</v>
      </c>
    </row>
    <row r="1581">
      <c r="A1581" s="22" t="n">
        <v>201810</v>
      </c>
      <c r="B1581" s="22" t="inlineStr">
        <is>
          <t>10/2018</t>
        </is>
      </c>
      <c r="C1581" s="22" t="n">
        <v>62</v>
      </c>
      <c r="D1581" s="22" t="inlineStr">
        <is>
          <t>S62</t>
        </is>
      </c>
      <c r="E1581" s="22" t="inlineStr">
        <is>
          <t>Nexa South Dakota (S62)</t>
        </is>
      </c>
      <c r="F1581" s="22" t="inlineStr">
        <is>
          <t>Mỹ</t>
        </is>
      </c>
      <c r="G1581" s="22" t="inlineStr">
        <is>
          <t>POS</t>
        </is>
      </c>
      <c r="H1581" s="31" t="n">
        <v>11532.99</v>
      </c>
      <c r="I1581" s="31" t="n">
        <v>0</v>
      </c>
      <c r="J1581" s="31" t="n">
        <v>11532.99</v>
      </c>
      <c r="K1581" s="31" t="n">
        <v>0</v>
      </c>
      <c r="L1581" s="32" t="n">
        <v>12</v>
      </c>
      <c r="M1581" s="32" t="n">
        <v>54</v>
      </c>
      <c r="N1581" s="31" t="n">
        <v>11532.99</v>
      </c>
      <c r="O1581" s="31" t="n">
        <v>11532.99</v>
      </c>
      <c r="P1581" s="22" t="n">
        <v>0</v>
      </c>
      <c r="Q1581" s="22" t="n">
        <v>0</v>
      </c>
      <c r="R1581" s="22" t="n">
        <v>0</v>
      </c>
    </row>
    <row r="1582">
      <c r="A1582" s="22" t="n">
        <v>201810</v>
      </c>
      <c r="B1582" s="22" t="inlineStr">
        <is>
          <t>10/2018</t>
        </is>
      </c>
      <c r="C1582" s="22" t="n">
        <v>63</v>
      </c>
      <c r="D1582" s="22" t="inlineStr">
        <is>
          <t>S63</t>
        </is>
      </c>
      <c r="E1582" s="22" t="inlineStr">
        <is>
          <t>Nexa Utah (S63)</t>
        </is>
      </c>
      <c r="F1582" s="22" t="inlineStr">
        <is>
          <t>Mỹ</t>
        </is>
      </c>
      <c r="G1582" s="22" t="inlineStr">
        <is>
          <t>POS</t>
        </is>
      </c>
      <c r="H1582" s="31" t="n">
        <v>9809.280000000001</v>
      </c>
      <c r="I1582" s="31" t="n">
        <v>0</v>
      </c>
      <c r="J1582" s="31" t="n">
        <v>9809.280000000001</v>
      </c>
      <c r="K1582" s="31" t="n">
        <v>125.19</v>
      </c>
      <c r="L1582" s="32" t="n">
        <v>8</v>
      </c>
      <c r="M1582" s="32" t="n">
        <v>46</v>
      </c>
      <c r="N1582" s="31" t="n">
        <v>9684.09</v>
      </c>
      <c r="O1582" s="31" t="n">
        <v>9809.280000000001</v>
      </c>
      <c r="P1582" s="22" t="n">
        <v>0</v>
      </c>
      <c r="Q1582" s="22" t="n">
        <v>0</v>
      </c>
      <c r="R1582" s="22" t="n">
        <v>0</v>
      </c>
    </row>
    <row r="1583">
      <c r="A1583" s="22" t="n">
        <v>201810</v>
      </c>
      <c r="B1583" s="22" t="inlineStr">
        <is>
          <t>10/2018</t>
        </is>
      </c>
      <c r="C1583" s="22" t="n">
        <v>64</v>
      </c>
      <c r="D1583" s="22" t="inlineStr">
        <is>
          <t>S64</t>
        </is>
      </c>
      <c r="E1583" s="22" t="inlineStr">
        <is>
          <t>Nexa Washington DC (S64)</t>
        </is>
      </c>
      <c r="F1583" s="22" t="inlineStr">
        <is>
          <t>Mỹ</t>
        </is>
      </c>
      <c r="G1583" s="22" t="inlineStr">
        <is>
          <t>POS</t>
        </is>
      </c>
      <c r="H1583" s="31" t="n">
        <v>24595.29</v>
      </c>
      <c r="I1583" s="31" t="n">
        <v>0</v>
      </c>
      <c r="J1583" s="31" t="n">
        <v>24595.29</v>
      </c>
      <c r="K1583" s="31" t="n">
        <v>0</v>
      </c>
      <c r="L1583" s="32" t="n">
        <v>7</v>
      </c>
      <c r="M1583" s="32" t="n">
        <v>61</v>
      </c>
      <c r="N1583" s="31" t="n">
        <v>24595.29</v>
      </c>
      <c r="O1583" s="31" t="n">
        <v>24595.29</v>
      </c>
      <c r="P1583" s="22" t="n">
        <v>0</v>
      </c>
      <c r="Q1583" s="22" t="n">
        <v>0</v>
      </c>
      <c r="R1583" s="22" t="n">
        <v>0</v>
      </c>
    </row>
    <row r="1584">
      <c r="A1584" s="22" t="n">
        <v>201810</v>
      </c>
      <c r="B1584" s="22" t="inlineStr">
        <is>
          <t>10/2018</t>
        </is>
      </c>
      <c r="C1584" s="22" t="n">
        <v>65</v>
      </c>
      <c r="D1584" s="22" t="inlineStr">
        <is>
          <t>S65</t>
        </is>
      </c>
      <c r="E1584" s="22" t="inlineStr">
        <is>
          <t>Nexa West Virginia (S65)</t>
        </is>
      </c>
      <c r="F1584" s="22" t="inlineStr">
        <is>
          <t>Mỹ</t>
        </is>
      </c>
      <c r="G1584" s="22" t="inlineStr">
        <is>
          <t>POS</t>
        </is>
      </c>
      <c r="H1584" s="31" t="n">
        <v>31439.69</v>
      </c>
      <c r="I1584" s="31" t="n">
        <v>0</v>
      </c>
      <c r="J1584" s="31" t="n">
        <v>31439.69</v>
      </c>
      <c r="K1584" s="31" t="n">
        <v>141</v>
      </c>
      <c r="L1584" s="32" t="n">
        <v>16</v>
      </c>
      <c r="M1584" s="32" t="n">
        <v>155</v>
      </c>
      <c r="N1584" s="31" t="n">
        <v>31298.69</v>
      </c>
      <c r="O1584" s="31" t="n">
        <v>31439.69</v>
      </c>
      <c r="P1584" s="22" t="n">
        <v>1</v>
      </c>
      <c r="Q1584" s="22" t="n">
        <v>0</v>
      </c>
      <c r="R1584" s="22" t="n">
        <v>0</v>
      </c>
    </row>
    <row r="1585">
      <c r="A1585" s="22" t="n">
        <v>201810</v>
      </c>
      <c r="B1585" s="22" t="inlineStr">
        <is>
          <t>10/2018</t>
        </is>
      </c>
      <c r="C1585" s="22" t="n">
        <v>66</v>
      </c>
      <c r="D1585" s="22" t="inlineStr">
        <is>
          <t>S66</t>
        </is>
      </c>
      <c r="E1585" s="22" t="inlineStr">
        <is>
          <t>Nexa Wyoming (S66)</t>
        </is>
      </c>
      <c r="F1585" s="22" t="inlineStr">
        <is>
          <t>Mỹ</t>
        </is>
      </c>
      <c r="G1585" s="22" t="inlineStr">
        <is>
          <t>POS</t>
        </is>
      </c>
      <c r="H1585" s="31" t="n">
        <v>44375.06</v>
      </c>
      <c r="I1585" s="31" t="n">
        <v>0</v>
      </c>
      <c r="J1585" s="31" t="n">
        <v>44375.06</v>
      </c>
      <c r="K1585" s="31" t="n">
        <v>96</v>
      </c>
      <c r="L1585" s="32" t="n">
        <v>9</v>
      </c>
      <c r="M1585" s="32" t="n">
        <v>71</v>
      </c>
      <c r="N1585" s="31" t="n">
        <v>44279.06</v>
      </c>
      <c r="O1585" s="31" t="n">
        <v>44375.06</v>
      </c>
      <c r="P1585" s="22" t="n">
        <v>0</v>
      </c>
      <c r="Q1585" s="22" t="n">
        <v>0</v>
      </c>
      <c r="R1585" s="22" t="n">
        <v>0</v>
      </c>
    </row>
    <row r="1586">
      <c r="A1586" s="22" t="n">
        <v>201811</v>
      </c>
      <c r="B1586" s="22" t="inlineStr">
        <is>
          <t>11/2018</t>
        </is>
      </c>
      <c r="C1586" s="22" t="n">
        <v>0</v>
      </c>
      <c r="D1586" s="22" t="inlineStr">
        <is>
          <t>ONL</t>
        </is>
      </c>
      <c r="E1586" s="22" t="inlineStr">
        <is>
          <t>Nexa Online (website/app)</t>
        </is>
      </c>
      <c r="F1586" s="22" t="inlineStr">
        <is>
          <t>Online</t>
        </is>
      </c>
      <c r="G1586" s="22" t="inlineStr">
        <is>
          <t>ONLINE</t>
        </is>
      </c>
      <c r="H1586" s="31" t="n">
        <v>261149.07</v>
      </c>
      <c r="I1586" s="31" t="n">
        <v>12409.52</v>
      </c>
      <c r="J1586" s="31" t="n">
        <v>248739.55</v>
      </c>
      <c r="K1586" s="31" t="n">
        <v>8132.77</v>
      </c>
      <c r="L1586" s="32" t="n">
        <v>123</v>
      </c>
      <c r="M1586" s="32" t="n">
        <v>932</v>
      </c>
      <c r="N1586" s="31" t="n">
        <v>245993.76</v>
      </c>
      <c r="O1586" s="31" t="n">
        <v>253206.93</v>
      </c>
      <c r="P1586" s="22" t="n">
        <v>4</v>
      </c>
      <c r="Q1586" s="22" t="n">
        <v>0</v>
      </c>
      <c r="R1586" s="22" t="n">
        <v>0</v>
      </c>
    </row>
    <row r="1587">
      <c r="A1587" s="22" t="n">
        <v>201811</v>
      </c>
      <c r="B1587" s="22" t="inlineStr">
        <is>
          <t>11/2018</t>
        </is>
      </c>
      <c r="C1587" s="22" t="n">
        <v>1</v>
      </c>
      <c r="D1587" s="22" t="inlineStr">
        <is>
          <t>S01</t>
        </is>
      </c>
      <c r="E1587" s="22" t="inlineStr">
        <is>
          <t>Nexa Australian Capital Territory (S01)</t>
        </is>
      </c>
      <c r="F1587" s="22" t="inlineStr">
        <is>
          <t>Úc</t>
        </is>
      </c>
      <c r="G1587" s="22" t="inlineStr">
        <is>
          <t>POS</t>
        </is>
      </c>
      <c r="H1587" s="31" t="n">
        <v>6607.29</v>
      </c>
      <c r="I1587" s="31" t="n">
        <v>991.1</v>
      </c>
      <c r="J1587" s="31" t="n">
        <v>5616.19</v>
      </c>
      <c r="K1587" s="31" t="n">
        <v>0</v>
      </c>
      <c r="L1587" s="32" t="n">
        <v>1</v>
      </c>
      <c r="M1587" s="32" t="n">
        <v>24</v>
      </c>
      <c r="N1587" s="31" t="n">
        <v>5616.19</v>
      </c>
      <c r="O1587" s="31" t="n">
        <v>5616.19</v>
      </c>
      <c r="P1587" s="22" t="n">
        <v>0</v>
      </c>
      <c r="Q1587" s="22" t="n">
        <v>0</v>
      </c>
      <c r="R1587" s="22" t="n">
        <v>0</v>
      </c>
    </row>
    <row r="1588">
      <c r="A1588" s="22" t="n">
        <v>201811</v>
      </c>
      <c r="B1588" s="22" t="inlineStr">
        <is>
          <t>11/2018</t>
        </is>
      </c>
      <c r="C1588" s="22" t="n">
        <v>4</v>
      </c>
      <c r="D1588" s="22" t="inlineStr">
        <is>
          <t>S04</t>
        </is>
      </c>
      <c r="E1588" s="22" t="inlineStr">
        <is>
          <t>Nexa Tasmania (S04)</t>
        </is>
      </c>
      <c r="F1588" s="22" t="inlineStr">
        <is>
          <t>Úc</t>
        </is>
      </c>
      <c r="G1588" s="22" t="inlineStr">
        <is>
          <t>POS</t>
        </is>
      </c>
      <c r="H1588" s="31" t="n">
        <v>9839.379999999999</v>
      </c>
      <c r="I1588" s="31" t="n">
        <v>548.4</v>
      </c>
      <c r="J1588" s="31" t="n">
        <v>9290.98</v>
      </c>
      <c r="K1588" s="31" t="n">
        <v>0</v>
      </c>
      <c r="L1588" s="32" t="n">
        <v>5</v>
      </c>
      <c r="M1588" s="32" t="n">
        <v>40</v>
      </c>
      <c r="N1588" s="31" t="n">
        <v>9290.98</v>
      </c>
      <c r="O1588" s="31" t="n">
        <v>9290.98</v>
      </c>
      <c r="P1588" s="22" t="n">
        <v>0</v>
      </c>
      <c r="Q1588" s="22" t="n">
        <v>0</v>
      </c>
      <c r="R1588" s="22" t="n">
        <v>0</v>
      </c>
    </row>
    <row r="1589">
      <c r="A1589" s="22" t="n">
        <v>201811</v>
      </c>
      <c r="B1589" s="22" t="inlineStr">
        <is>
          <t>11/2018</t>
        </is>
      </c>
      <c r="C1589" s="22" t="n">
        <v>5</v>
      </c>
      <c r="D1589" s="22" t="inlineStr">
        <is>
          <t>S05</t>
        </is>
      </c>
      <c r="E1589" s="22" t="inlineStr">
        <is>
          <t>Nexa Victoria (S05)</t>
        </is>
      </c>
      <c r="F1589" s="22" t="inlineStr">
        <is>
          <t>Úc</t>
        </is>
      </c>
      <c r="G1589" s="22" t="inlineStr">
        <is>
          <t>POS</t>
        </is>
      </c>
      <c r="H1589" s="31" t="n">
        <v>7842.77</v>
      </c>
      <c r="I1589" s="31" t="n">
        <v>42.32</v>
      </c>
      <c r="J1589" s="31" t="n">
        <v>7800.45</v>
      </c>
      <c r="K1589" s="31" t="n">
        <v>0</v>
      </c>
      <c r="L1589" s="32" t="n">
        <v>5</v>
      </c>
      <c r="M1589" s="32" t="n">
        <v>33</v>
      </c>
      <c r="N1589" s="31" t="n">
        <v>7800.45</v>
      </c>
      <c r="O1589" s="31" t="n">
        <v>7800.45</v>
      </c>
      <c r="P1589" s="22" t="n">
        <v>1</v>
      </c>
      <c r="Q1589" s="22" t="n">
        <v>0</v>
      </c>
      <c r="R1589" s="22" t="n">
        <v>0</v>
      </c>
    </row>
    <row r="1590">
      <c r="A1590" s="22" t="n">
        <v>201811</v>
      </c>
      <c r="B1590" s="22" t="inlineStr">
        <is>
          <t>11/2018</t>
        </is>
      </c>
      <c r="C1590" s="22" t="n">
        <v>6</v>
      </c>
      <c r="D1590" s="22" t="inlineStr">
        <is>
          <t>S06</t>
        </is>
      </c>
      <c r="E1590" s="22" t="inlineStr">
        <is>
          <t>Nexa Western Australia (S06)</t>
        </is>
      </c>
      <c r="F1590" s="22" t="inlineStr">
        <is>
          <t>Úc</t>
        </is>
      </c>
      <c r="G1590" s="22" t="inlineStr">
        <is>
          <t>POS</t>
        </is>
      </c>
      <c r="H1590" s="31" t="n">
        <v>9968.459999999999</v>
      </c>
      <c r="I1590" s="31" t="n">
        <v>29.24</v>
      </c>
      <c r="J1590" s="31" t="n">
        <v>9939.219999999999</v>
      </c>
      <c r="K1590" s="31" t="n">
        <v>0</v>
      </c>
      <c r="L1590" s="32" t="n">
        <v>6</v>
      </c>
      <c r="M1590" s="32" t="n">
        <v>39</v>
      </c>
      <c r="N1590" s="31" t="n">
        <v>9939.219999999999</v>
      </c>
      <c r="O1590" s="31" t="n">
        <v>9939.219999999999</v>
      </c>
      <c r="P1590" s="22" t="n">
        <v>0</v>
      </c>
      <c r="Q1590" s="22" t="n">
        <v>0</v>
      </c>
      <c r="R1590" s="22" t="n">
        <v>0</v>
      </c>
    </row>
    <row r="1591">
      <c r="A1591" s="22" t="n">
        <v>201811</v>
      </c>
      <c r="B1591" s="22" t="inlineStr">
        <is>
          <t>11/2018</t>
        </is>
      </c>
      <c r="C1591" s="22" t="n">
        <v>8</v>
      </c>
      <c r="D1591" s="22" t="inlineStr">
        <is>
          <t>S08</t>
        </is>
      </c>
      <c r="E1591" s="22" t="inlineStr">
        <is>
          <t>Nexa Newfoundland and Labrador (S08)</t>
        </is>
      </c>
      <c r="F1591" s="22" t="inlineStr">
        <is>
          <t>Canada</t>
        </is>
      </c>
      <c r="G1591" s="22" t="inlineStr">
        <is>
          <t>POS</t>
        </is>
      </c>
      <c r="H1591" s="31" t="n">
        <v>53922.51</v>
      </c>
      <c r="I1591" s="31" t="n">
        <v>1376.19</v>
      </c>
      <c r="J1591" s="31" t="n">
        <v>52546.32</v>
      </c>
      <c r="K1591" s="31" t="n">
        <v>906.17</v>
      </c>
      <c r="L1591" s="32" t="n">
        <v>14</v>
      </c>
      <c r="M1591" s="32" t="n">
        <v>108</v>
      </c>
      <c r="N1591" s="31" t="n">
        <v>51640.15</v>
      </c>
      <c r="O1591" s="31" t="n">
        <v>52546.32</v>
      </c>
      <c r="P1591" s="22" t="n">
        <v>0</v>
      </c>
      <c r="Q1591" s="22" t="n">
        <v>0</v>
      </c>
      <c r="R1591" s="22" t="n">
        <v>0</v>
      </c>
    </row>
    <row r="1592">
      <c r="A1592" s="22" t="n">
        <v>201811</v>
      </c>
      <c r="B1592" s="22" t="inlineStr">
        <is>
          <t>11/2018</t>
        </is>
      </c>
      <c r="C1592" s="22" t="n">
        <v>9</v>
      </c>
      <c r="D1592" s="22" t="inlineStr">
        <is>
          <t>S09</t>
        </is>
      </c>
      <c r="E1592" s="22" t="inlineStr">
        <is>
          <t>Nexa Northwest Territories (S09)</t>
        </is>
      </c>
      <c r="F1592" s="22" t="inlineStr">
        <is>
          <t>Canada</t>
        </is>
      </c>
      <c r="G1592" s="22" t="inlineStr">
        <is>
          <t>POS</t>
        </is>
      </c>
      <c r="H1592" s="31" t="n">
        <v>46808.24</v>
      </c>
      <c r="I1592" s="31" t="n">
        <v>1894.81</v>
      </c>
      <c r="J1592" s="31" t="n">
        <v>44913.43</v>
      </c>
      <c r="K1592" s="31" t="n">
        <v>1938</v>
      </c>
      <c r="L1592" s="32" t="n">
        <v>17</v>
      </c>
      <c r="M1592" s="32" t="n">
        <v>116</v>
      </c>
      <c r="N1592" s="31" t="n">
        <v>42975.43</v>
      </c>
      <c r="O1592" s="31" t="n">
        <v>44913.43</v>
      </c>
      <c r="P1592" s="22" t="n">
        <v>0</v>
      </c>
      <c r="Q1592" s="22" t="n">
        <v>0</v>
      </c>
      <c r="R1592" s="22" t="n">
        <v>0</v>
      </c>
    </row>
    <row r="1593">
      <c r="A1593" s="22" t="n">
        <v>201811</v>
      </c>
      <c r="B1593" s="22" t="inlineStr">
        <is>
          <t>11/2018</t>
        </is>
      </c>
      <c r="C1593" s="22" t="n">
        <v>10</v>
      </c>
      <c r="D1593" s="22" t="inlineStr">
        <is>
          <t>S10</t>
        </is>
      </c>
      <c r="E1593" s="22" t="inlineStr">
        <is>
          <t>Nexa Nunavut (S10)</t>
        </is>
      </c>
      <c r="F1593" s="22" t="inlineStr">
        <is>
          <t>Canada</t>
        </is>
      </c>
      <c r="G1593" s="22" t="inlineStr">
        <is>
          <t>POS</t>
        </is>
      </c>
      <c r="H1593" s="31" t="n">
        <v>23081.65</v>
      </c>
      <c r="I1593" s="31" t="n">
        <v>191.4</v>
      </c>
      <c r="J1593" s="31" t="n">
        <v>22890.25</v>
      </c>
      <c r="K1593" s="31" t="n">
        <v>0</v>
      </c>
      <c r="L1593" s="32" t="n">
        <v>12</v>
      </c>
      <c r="M1593" s="32" t="n">
        <v>86</v>
      </c>
      <c r="N1593" s="31" t="n">
        <v>22890.25</v>
      </c>
      <c r="O1593" s="31" t="n">
        <v>22890.25</v>
      </c>
      <c r="P1593" s="22" t="n">
        <v>2</v>
      </c>
      <c r="Q1593" s="22" t="n">
        <v>0</v>
      </c>
      <c r="R1593" s="22" t="n">
        <v>0</v>
      </c>
    </row>
    <row r="1594">
      <c r="A1594" s="22" t="n">
        <v>201811</v>
      </c>
      <c r="B1594" s="22" t="inlineStr">
        <is>
          <t>11/2018</t>
        </is>
      </c>
      <c r="C1594" s="22" t="n">
        <v>12</v>
      </c>
      <c r="D1594" s="22" t="inlineStr">
        <is>
          <t>S12</t>
        </is>
      </c>
      <c r="E1594" s="22" t="inlineStr">
        <is>
          <t>Nexa Basse-Normandie (S12)</t>
        </is>
      </c>
      <c r="F1594" s="22" t="inlineStr">
        <is>
          <t>Pháp</t>
        </is>
      </c>
      <c r="G1594" s="22" t="inlineStr">
        <is>
          <t>POS</t>
        </is>
      </c>
      <c r="H1594" s="31" t="n">
        <v>2035.29</v>
      </c>
      <c r="I1594" s="31" t="n">
        <v>226.45</v>
      </c>
      <c r="J1594" s="31" t="n">
        <v>1808.84</v>
      </c>
      <c r="K1594" s="31" t="n">
        <v>199.98</v>
      </c>
      <c r="L1594" s="32" t="n">
        <v>2</v>
      </c>
      <c r="M1594" s="32" t="n">
        <v>13</v>
      </c>
      <c r="N1594" s="31" t="n">
        <v>1608.86</v>
      </c>
      <c r="O1594" s="31" t="n">
        <v>1808.84</v>
      </c>
      <c r="P1594" s="22" t="n">
        <v>0</v>
      </c>
      <c r="Q1594" s="22" t="n">
        <v>0</v>
      </c>
      <c r="R1594" s="22" t="n">
        <v>0</v>
      </c>
    </row>
    <row r="1595">
      <c r="A1595" s="22" t="n">
        <v>201811</v>
      </c>
      <c r="B1595" s="22" t="inlineStr">
        <is>
          <t>11/2018</t>
        </is>
      </c>
      <c r="C1595" s="22" t="n">
        <v>13</v>
      </c>
      <c r="D1595" s="22" t="inlineStr">
        <is>
          <t>S13</t>
        </is>
      </c>
      <c r="E1595" s="22" t="inlineStr">
        <is>
          <t>Nexa Corse (S13)</t>
        </is>
      </c>
      <c r="F1595" s="22" t="inlineStr">
        <is>
          <t>Pháp</t>
        </is>
      </c>
      <c r="G1595" s="22" t="inlineStr">
        <is>
          <t>POS</t>
        </is>
      </c>
      <c r="H1595" s="31" t="n">
        <v>2520.87</v>
      </c>
      <c r="I1595" s="31" t="n">
        <v>0</v>
      </c>
      <c r="J1595" s="31" t="n">
        <v>2520.87</v>
      </c>
      <c r="K1595" s="31" t="n">
        <v>0</v>
      </c>
      <c r="L1595" s="32" t="n">
        <v>2</v>
      </c>
      <c r="M1595" s="32" t="n">
        <v>17</v>
      </c>
      <c r="N1595" s="31" t="n">
        <v>2520.87</v>
      </c>
      <c r="O1595" s="31" t="n">
        <v>2520.87</v>
      </c>
      <c r="P1595" s="22" t="n">
        <v>0</v>
      </c>
      <c r="Q1595" s="22" t="n">
        <v>0</v>
      </c>
      <c r="R1595" s="22" t="n">
        <v>0</v>
      </c>
    </row>
    <row r="1596">
      <c r="A1596" s="22" t="n">
        <v>201811</v>
      </c>
      <c r="B1596" s="22" t="inlineStr">
        <is>
          <t>11/2018</t>
        </is>
      </c>
      <c r="C1596" s="22" t="n">
        <v>14</v>
      </c>
      <c r="D1596" s="22" t="inlineStr">
        <is>
          <t>S14</t>
        </is>
      </c>
      <c r="E1596" s="22" t="inlineStr">
        <is>
          <t>Nexa Franche-Comté (S14)</t>
        </is>
      </c>
      <c r="F1596" s="22" t="inlineStr">
        <is>
          <t>Pháp</t>
        </is>
      </c>
      <c r="G1596" s="22" t="inlineStr">
        <is>
          <t>POS</t>
        </is>
      </c>
      <c r="H1596" s="31" t="n">
        <v>6400.89</v>
      </c>
      <c r="I1596" s="31" t="n">
        <v>0</v>
      </c>
      <c r="J1596" s="31" t="n">
        <v>6400.89</v>
      </c>
      <c r="K1596" s="31" t="n">
        <v>0</v>
      </c>
      <c r="L1596" s="32" t="n">
        <v>3</v>
      </c>
      <c r="M1596" s="32" t="n">
        <v>27</v>
      </c>
      <c r="N1596" s="31" t="n">
        <v>6400.89</v>
      </c>
      <c r="O1596" s="31" t="n">
        <v>6400.89</v>
      </c>
      <c r="P1596" s="22" t="n">
        <v>0</v>
      </c>
      <c r="Q1596" s="22" t="n">
        <v>0</v>
      </c>
      <c r="R1596" s="22" t="n">
        <v>0</v>
      </c>
    </row>
    <row r="1597">
      <c r="A1597" s="22" t="n">
        <v>201811</v>
      </c>
      <c r="B1597" s="22" t="inlineStr">
        <is>
          <t>11/2018</t>
        </is>
      </c>
      <c r="C1597" s="22" t="n">
        <v>15</v>
      </c>
      <c r="D1597" s="22" t="inlineStr">
        <is>
          <t>S15</t>
        </is>
      </c>
      <c r="E1597" s="22" t="inlineStr">
        <is>
          <t>Nexa La Réunion (S15)</t>
        </is>
      </c>
      <c r="F1597" s="22" t="inlineStr">
        <is>
          <t>Pháp</t>
        </is>
      </c>
      <c r="G1597" s="22" t="inlineStr">
        <is>
          <t>POS</t>
        </is>
      </c>
      <c r="H1597" s="31" t="n">
        <v>2013</v>
      </c>
      <c r="I1597" s="31" t="n">
        <v>257.55</v>
      </c>
      <c r="J1597" s="31" t="n">
        <v>1755.45</v>
      </c>
      <c r="K1597" s="31" t="n">
        <v>0</v>
      </c>
      <c r="L1597" s="32" t="n">
        <v>2</v>
      </c>
      <c r="M1597" s="32" t="n">
        <v>6</v>
      </c>
      <c r="N1597" s="31" t="n">
        <v>1755.45</v>
      </c>
      <c r="O1597" s="31" t="n">
        <v>1755.45</v>
      </c>
      <c r="P1597" s="22" t="n">
        <v>0</v>
      </c>
      <c r="Q1597" s="22" t="n">
        <v>0</v>
      </c>
      <c r="R1597" s="22" t="n">
        <v>0</v>
      </c>
    </row>
    <row r="1598">
      <c r="A1598" s="22" t="n">
        <v>201811</v>
      </c>
      <c r="B1598" s="22" t="inlineStr">
        <is>
          <t>11/2018</t>
        </is>
      </c>
      <c r="C1598" s="22" t="n">
        <v>17</v>
      </c>
      <c r="D1598" s="22" t="inlineStr">
        <is>
          <t>S17</t>
        </is>
      </c>
      <c r="E1598" s="22" t="inlineStr">
        <is>
          <t>Nexa Martinique (S17)</t>
        </is>
      </c>
      <c r="F1598" s="22" t="inlineStr">
        <is>
          <t>Pháp</t>
        </is>
      </c>
      <c r="G1598" s="22" t="inlineStr">
        <is>
          <t>POS</t>
        </is>
      </c>
      <c r="H1598" s="31" t="n">
        <v>9998.889999999999</v>
      </c>
      <c r="I1598" s="31" t="n">
        <v>0</v>
      </c>
      <c r="J1598" s="31" t="n">
        <v>9998.889999999999</v>
      </c>
      <c r="K1598" s="31" t="n">
        <v>0</v>
      </c>
      <c r="L1598" s="32" t="n">
        <v>1</v>
      </c>
      <c r="M1598" s="32" t="n">
        <v>14</v>
      </c>
      <c r="N1598" s="31" t="n">
        <v>9998.889999999999</v>
      </c>
      <c r="O1598" s="31" t="n">
        <v>9998.889999999999</v>
      </c>
      <c r="P1598" s="22" t="n">
        <v>0</v>
      </c>
      <c r="Q1598" s="22" t="n">
        <v>0</v>
      </c>
      <c r="R1598" s="22" t="n">
        <v>0</v>
      </c>
    </row>
    <row r="1599">
      <c r="A1599" s="22" t="n">
        <v>201811</v>
      </c>
      <c r="B1599" s="22" t="inlineStr">
        <is>
          <t>11/2018</t>
        </is>
      </c>
      <c r="C1599" s="22" t="n">
        <v>18</v>
      </c>
      <c r="D1599" s="22" t="inlineStr">
        <is>
          <t>S18</t>
        </is>
      </c>
      <c r="E1599" s="22" t="inlineStr">
        <is>
          <t>Nexa Mayotte (S18)</t>
        </is>
      </c>
      <c r="F1599" s="22" t="inlineStr">
        <is>
          <t>Pháp</t>
        </is>
      </c>
      <c r="G1599" s="22" t="inlineStr">
        <is>
          <t>POS</t>
        </is>
      </c>
      <c r="H1599" s="31" t="n">
        <v>7666.67</v>
      </c>
      <c r="I1599" s="31" t="n">
        <v>0</v>
      </c>
      <c r="J1599" s="31" t="n">
        <v>7666.67</v>
      </c>
      <c r="K1599" s="31" t="n">
        <v>0</v>
      </c>
      <c r="L1599" s="32" t="n">
        <v>4</v>
      </c>
      <c r="M1599" s="32" t="n">
        <v>25</v>
      </c>
      <c r="N1599" s="31" t="n">
        <v>7666.67</v>
      </c>
      <c r="O1599" s="31" t="n">
        <v>7666.67</v>
      </c>
      <c r="P1599" s="22" t="n">
        <v>0</v>
      </c>
      <c r="Q1599" s="22" t="n">
        <v>0</v>
      </c>
      <c r="R1599" s="22" t="n">
        <v>0</v>
      </c>
    </row>
    <row r="1600">
      <c r="A1600" s="22" t="n">
        <v>201811</v>
      </c>
      <c r="B1600" s="22" t="inlineStr">
        <is>
          <t>11/2018</t>
        </is>
      </c>
      <c r="C1600" s="22" t="n">
        <v>19</v>
      </c>
      <c r="D1600" s="22" t="inlineStr">
        <is>
          <t>S19</t>
        </is>
      </c>
      <c r="E1600" s="22" t="inlineStr">
        <is>
          <t>Nexa Berlin (S19)</t>
        </is>
      </c>
      <c r="F1600" s="22" t="inlineStr">
        <is>
          <t>Đức</t>
        </is>
      </c>
      <c r="G1600" s="22" t="inlineStr">
        <is>
          <t>POS</t>
        </is>
      </c>
      <c r="H1600" s="31" t="n">
        <v>15255.38</v>
      </c>
      <c r="I1600" s="31" t="n">
        <v>0</v>
      </c>
      <c r="J1600" s="31" t="n">
        <v>15255.38</v>
      </c>
      <c r="K1600" s="31" t="n">
        <v>0</v>
      </c>
      <c r="L1600" s="32" t="n">
        <v>4</v>
      </c>
      <c r="M1600" s="32" t="n">
        <v>43</v>
      </c>
      <c r="N1600" s="31" t="n">
        <v>15255.38</v>
      </c>
      <c r="O1600" s="31" t="n">
        <v>15255.38</v>
      </c>
      <c r="P1600" s="22" t="n">
        <v>0</v>
      </c>
      <c r="Q1600" s="22" t="n">
        <v>0</v>
      </c>
      <c r="R1600" s="22" t="n">
        <v>0</v>
      </c>
    </row>
    <row r="1601">
      <c r="A1601" s="22" t="n">
        <v>201811</v>
      </c>
      <c r="B1601" s="22" t="inlineStr">
        <is>
          <t>11/2018</t>
        </is>
      </c>
      <c r="C1601" s="22" t="n">
        <v>20</v>
      </c>
      <c r="D1601" s="22" t="inlineStr">
        <is>
          <t>S20</t>
        </is>
      </c>
      <c r="E1601" s="22" t="inlineStr">
        <is>
          <t>Nexa Brandenburg (S20)</t>
        </is>
      </c>
      <c r="F1601" s="22" t="inlineStr">
        <is>
          <t>Đức</t>
        </is>
      </c>
      <c r="G1601" s="22" t="inlineStr">
        <is>
          <t>POS</t>
        </is>
      </c>
      <c r="H1601" s="31" t="n">
        <v>11891.37</v>
      </c>
      <c r="I1601" s="31" t="n">
        <v>19.35</v>
      </c>
      <c r="J1601" s="31" t="n">
        <v>11872.02</v>
      </c>
      <c r="K1601" s="31" t="n">
        <v>586</v>
      </c>
      <c r="L1601" s="32" t="n">
        <v>6</v>
      </c>
      <c r="M1601" s="32" t="n">
        <v>51</v>
      </c>
      <c r="N1601" s="31" t="n">
        <v>11286.02</v>
      </c>
      <c r="O1601" s="31" t="n">
        <v>11872.02</v>
      </c>
      <c r="P1601" s="22" t="n">
        <v>0</v>
      </c>
      <c r="Q1601" s="22" t="n">
        <v>0</v>
      </c>
      <c r="R1601" s="22" t="n">
        <v>0</v>
      </c>
    </row>
    <row r="1602">
      <c r="A1602" s="22" t="n">
        <v>201811</v>
      </c>
      <c r="B1602" s="22" t="inlineStr">
        <is>
          <t>11/2018</t>
        </is>
      </c>
      <c r="C1602" s="22" t="n">
        <v>21</v>
      </c>
      <c r="D1602" s="22" t="inlineStr">
        <is>
          <t>S21</t>
        </is>
      </c>
      <c r="E1602" s="22" t="inlineStr">
        <is>
          <t>Nexa Freie Hansestadt Bremen (S21)</t>
        </is>
      </c>
      <c r="F1602" s="22" t="inlineStr">
        <is>
          <t>Đức</t>
        </is>
      </c>
      <c r="G1602" s="22" t="inlineStr">
        <is>
          <t>POS</t>
        </is>
      </c>
      <c r="H1602" s="31" t="n">
        <v>25651.28</v>
      </c>
      <c r="I1602" s="31" t="n">
        <v>135</v>
      </c>
      <c r="J1602" s="31" t="n">
        <v>25516.28</v>
      </c>
      <c r="K1602" s="31" t="n">
        <v>231.52</v>
      </c>
      <c r="L1602" s="32" t="n">
        <v>7</v>
      </c>
      <c r="M1602" s="32" t="n">
        <v>47</v>
      </c>
      <c r="N1602" s="31" t="n">
        <v>25284.76</v>
      </c>
      <c r="O1602" s="31" t="n">
        <v>25516.28</v>
      </c>
      <c r="P1602" s="22" t="n">
        <v>0</v>
      </c>
      <c r="Q1602" s="22" t="n">
        <v>0</v>
      </c>
      <c r="R1602" s="22" t="n">
        <v>0</v>
      </c>
    </row>
    <row r="1603">
      <c r="A1603" s="22" t="n">
        <v>201811</v>
      </c>
      <c r="B1603" s="22" t="inlineStr">
        <is>
          <t>11/2018</t>
        </is>
      </c>
      <c r="C1603" s="22" t="n">
        <v>22</v>
      </c>
      <c r="D1603" s="22" t="inlineStr">
        <is>
          <t>S22</t>
        </is>
      </c>
      <c r="E1603" s="22" t="inlineStr">
        <is>
          <t>Nexa Freistaat Thüringen (S22)</t>
        </is>
      </c>
      <c r="F1603" s="22" t="inlineStr">
        <is>
          <t>Đức</t>
        </is>
      </c>
      <c r="G1603" s="22" t="inlineStr">
        <is>
          <t>POS</t>
        </is>
      </c>
      <c r="H1603" s="31" t="n">
        <v>12192.92</v>
      </c>
      <c r="I1603" s="31" t="n">
        <v>964.95</v>
      </c>
      <c r="J1603" s="31" t="n">
        <v>11227.97</v>
      </c>
      <c r="K1603" s="31" t="n">
        <v>6700</v>
      </c>
      <c r="L1603" s="32" t="n">
        <v>3</v>
      </c>
      <c r="M1603" s="32" t="n">
        <v>19</v>
      </c>
      <c r="N1603" s="31" t="n">
        <v>4527.97</v>
      </c>
      <c r="O1603" s="31" t="n">
        <v>11227.97</v>
      </c>
      <c r="P1603" s="22" t="n">
        <v>1</v>
      </c>
      <c r="Q1603" s="22" t="n">
        <v>0</v>
      </c>
      <c r="R1603" s="22" t="n">
        <v>0</v>
      </c>
    </row>
    <row r="1604">
      <c r="A1604" s="22" t="n">
        <v>201811</v>
      </c>
      <c r="B1604" s="22" t="inlineStr">
        <is>
          <t>11/2018</t>
        </is>
      </c>
      <c r="C1604" s="22" t="n">
        <v>23</v>
      </c>
      <c r="D1604" s="22" t="inlineStr">
        <is>
          <t>S23</t>
        </is>
      </c>
      <c r="E1604" s="22" t="inlineStr">
        <is>
          <t>Nexa Hamburg (S23)</t>
        </is>
      </c>
      <c r="F1604" s="22" t="inlineStr">
        <is>
          <t>Đức</t>
        </is>
      </c>
      <c r="G1604" s="22" t="inlineStr">
        <is>
          <t>POS</t>
        </is>
      </c>
      <c r="H1604" s="31" t="n">
        <v>26197.11</v>
      </c>
      <c r="I1604" s="31" t="n">
        <v>331.86</v>
      </c>
      <c r="J1604" s="31" t="n">
        <v>25865.25</v>
      </c>
      <c r="K1604" s="31" t="n">
        <v>2097</v>
      </c>
      <c r="L1604" s="32" t="n">
        <v>5</v>
      </c>
      <c r="M1604" s="32" t="n">
        <v>41</v>
      </c>
      <c r="N1604" s="31" t="n">
        <v>23768.25</v>
      </c>
      <c r="O1604" s="31" t="n">
        <v>25865.25</v>
      </c>
      <c r="P1604" s="22" t="n">
        <v>1</v>
      </c>
      <c r="Q1604" s="22" t="n">
        <v>0</v>
      </c>
      <c r="R1604" s="22" t="n">
        <v>0</v>
      </c>
    </row>
    <row r="1605">
      <c r="A1605" s="22" t="n">
        <v>201811</v>
      </c>
      <c r="B1605" s="22" t="inlineStr">
        <is>
          <t>11/2018</t>
        </is>
      </c>
      <c r="C1605" s="22" t="n">
        <v>24</v>
      </c>
      <c r="D1605" s="22" t="inlineStr">
        <is>
          <t>S24</t>
        </is>
      </c>
      <c r="E1605" s="22" t="inlineStr">
        <is>
          <t>Nexa Hessen (S24)</t>
        </is>
      </c>
      <c r="F1605" s="22" t="inlineStr">
        <is>
          <t>Đức</t>
        </is>
      </c>
      <c r="G1605" s="22" t="inlineStr">
        <is>
          <t>POS</t>
        </is>
      </c>
      <c r="H1605" s="31" t="n">
        <v>39876.93</v>
      </c>
      <c r="I1605" s="31" t="n">
        <v>513.74</v>
      </c>
      <c r="J1605" s="31" t="n">
        <v>39363.19</v>
      </c>
      <c r="K1605" s="31" t="n">
        <v>199.97</v>
      </c>
      <c r="L1605" s="32" t="n">
        <v>9</v>
      </c>
      <c r="M1605" s="32" t="n">
        <v>90</v>
      </c>
      <c r="N1605" s="31" t="n">
        <v>39163.22</v>
      </c>
      <c r="O1605" s="31" t="n">
        <v>39363.19</v>
      </c>
      <c r="P1605" s="22" t="n">
        <v>0</v>
      </c>
      <c r="Q1605" s="22" t="n">
        <v>0</v>
      </c>
      <c r="R1605" s="22" t="n">
        <v>0</v>
      </c>
    </row>
    <row r="1606">
      <c r="A1606" s="22" t="n">
        <v>201811</v>
      </c>
      <c r="B1606" s="22" t="inlineStr">
        <is>
          <t>11/2018</t>
        </is>
      </c>
      <c r="C1606" s="22" t="n">
        <v>27</v>
      </c>
      <c r="D1606" s="22" t="inlineStr">
        <is>
          <t>S27</t>
        </is>
      </c>
      <c r="E1606" s="22" t="inlineStr">
        <is>
          <t>Nexa Sachsen-Anhalt (S27)</t>
        </is>
      </c>
      <c r="F1606" s="22" t="inlineStr">
        <is>
          <t>Đức</t>
        </is>
      </c>
      <c r="G1606" s="22" t="inlineStr">
        <is>
          <t>POS</t>
        </is>
      </c>
      <c r="H1606" s="31" t="n">
        <v>24639.05</v>
      </c>
      <c r="I1606" s="31" t="n">
        <v>2545.33</v>
      </c>
      <c r="J1606" s="31" t="n">
        <v>22093.72</v>
      </c>
      <c r="K1606" s="31" t="n">
        <v>0</v>
      </c>
      <c r="L1606" s="32" t="n">
        <v>7</v>
      </c>
      <c r="M1606" s="32" t="n">
        <v>54</v>
      </c>
      <c r="N1606" s="31" t="n">
        <v>22093.72</v>
      </c>
      <c r="O1606" s="31" t="n">
        <v>22093.72</v>
      </c>
      <c r="P1606" s="22" t="n">
        <v>1</v>
      </c>
      <c r="Q1606" s="22" t="n">
        <v>0</v>
      </c>
      <c r="R1606" s="22" t="n">
        <v>0</v>
      </c>
    </row>
    <row r="1607">
      <c r="A1607" s="22" t="n">
        <v>201811</v>
      </c>
      <c r="B1607" s="22" t="inlineStr">
        <is>
          <t>11/2018</t>
        </is>
      </c>
      <c r="C1607" s="22" t="n">
        <v>29</v>
      </c>
      <c r="D1607" s="22" t="inlineStr">
        <is>
          <t>S29</t>
        </is>
      </c>
      <c r="E1607" s="22" t="inlineStr">
        <is>
          <t>Nexa Enna (S29)</t>
        </is>
      </c>
      <c r="F1607" s="22" t="inlineStr">
        <is>
          <t>Ý</t>
        </is>
      </c>
      <c r="G1607" s="22" t="inlineStr">
        <is>
          <t>POS</t>
        </is>
      </c>
      <c r="H1607" s="31" t="n">
        <v>12418.78</v>
      </c>
      <c r="I1607" s="31" t="n">
        <v>437.54</v>
      </c>
      <c r="J1607" s="31" t="n">
        <v>11981.24</v>
      </c>
      <c r="K1607" s="31" t="n">
        <v>0</v>
      </c>
      <c r="L1607" s="32" t="n">
        <v>6</v>
      </c>
      <c r="M1607" s="32" t="n">
        <v>45</v>
      </c>
      <c r="N1607" s="31" t="n">
        <v>11981.24</v>
      </c>
      <c r="O1607" s="31" t="n">
        <v>11981.24</v>
      </c>
      <c r="P1607" s="22" t="n">
        <v>0</v>
      </c>
      <c r="Q1607" s="22" t="n">
        <v>0</v>
      </c>
      <c r="R1607" s="22" t="n">
        <v>0</v>
      </c>
    </row>
    <row r="1608">
      <c r="A1608" s="22" t="n">
        <v>201811</v>
      </c>
      <c r="B1608" s="22" t="inlineStr">
        <is>
          <t>11/2018</t>
        </is>
      </c>
      <c r="C1608" s="22" t="n">
        <v>30</v>
      </c>
      <c r="D1608" s="22" t="inlineStr">
        <is>
          <t>S30</t>
        </is>
      </c>
      <c r="E1608" s="22" t="inlineStr">
        <is>
          <t>Nexa Pesaro (S30)</t>
        </is>
      </c>
      <c r="F1608" s="22" t="inlineStr">
        <is>
          <t>Ý</t>
        </is>
      </c>
      <c r="G1608" s="22" t="inlineStr">
        <is>
          <t>POS</t>
        </is>
      </c>
      <c r="H1608" s="31" t="n">
        <v>22628.5</v>
      </c>
      <c r="I1608" s="31" t="n">
        <v>149.97</v>
      </c>
      <c r="J1608" s="31" t="n">
        <v>22478.53</v>
      </c>
      <c r="K1608" s="31" t="n">
        <v>4724.99</v>
      </c>
      <c r="L1608" s="32" t="n">
        <v>9</v>
      </c>
      <c r="M1608" s="32" t="n">
        <v>42</v>
      </c>
      <c r="N1608" s="31" t="n">
        <v>17753.54</v>
      </c>
      <c r="O1608" s="31" t="n">
        <v>22478.53</v>
      </c>
      <c r="P1608" s="22" t="n">
        <v>0</v>
      </c>
      <c r="Q1608" s="22" t="n">
        <v>0</v>
      </c>
      <c r="R1608" s="22" t="n">
        <v>0</v>
      </c>
    </row>
    <row r="1609">
      <c r="A1609" s="22" t="n">
        <v>201811</v>
      </c>
      <c r="B1609" s="22" t="inlineStr">
        <is>
          <t>11/2018</t>
        </is>
      </c>
      <c r="C1609" s="22" t="n">
        <v>31</v>
      </c>
      <c r="D1609" s="22" t="inlineStr">
        <is>
          <t>S31</t>
        </is>
      </c>
      <c r="E1609" s="22" t="inlineStr">
        <is>
          <t>Nexa Drenthe (S31)</t>
        </is>
      </c>
      <c r="F1609" s="22" t="inlineStr">
        <is>
          <t>Hà Lan</t>
        </is>
      </c>
      <c r="G1609" s="22" t="inlineStr">
        <is>
          <t>POS</t>
        </is>
      </c>
      <c r="H1609" s="31" t="n">
        <v>16677.67</v>
      </c>
      <c r="I1609" s="31" t="n">
        <v>215.88</v>
      </c>
      <c r="J1609" s="31" t="n">
        <v>16461.79</v>
      </c>
      <c r="K1609" s="31" t="n">
        <v>199.99</v>
      </c>
      <c r="L1609" s="32" t="n">
        <v>7</v>
      </c>
      <c r="M1609" s="32" t="n">
        <v>59</v>
      </c>
      <c r="N1609" s="31" t="n">
        <v>16261.8</v>
      </c>
      <c r="O1609" s="31" t="n">
        <v>16461.79</v>
      </c>
      <c r="P1609" s="22" t="n">
        <v>0</v>
      </c>
      <c r="Q1609" s="22" t="n">
        <v>0</v>
      </c>
      <c r="R1609" s="22" t="n">
        <v>0</v>
      </c>
    </row>
    <row r="1610">
      <c r="A1610" s="22" t="n">
        <v>201811</v>
      </c>
      <c r="B1610" s="22" t="inlineStr">
        <is>
          <t>11/2018</t>
        </is>
      </c>
      <c r="C1610" s="22" t="n">
        <v>32</v>
      </c>
      <c r="D1610" s="22" t="inlineStr">
        <is>
          <t>S32</t>
        </is>
      </c>
      <c r="E1610" s="22" t="inlineStr">
        <is>
          <t>Nexa Flevoland (S32)</t>
        </is>
      </c>
      <c r="F1610" s="22" t="inlineStr">
        <is>
          <t>Hà Lan</t>
        </is>
      </c>
      <c r="G1610" s="22" t="inlineStr">
        <is>
          <t>POS</t>
        </is>
      </c>
      <c r="H1610" s="31" t="n">
        <v>2036</v>
      </c>
      <c r="I1610" s="31" t="n">
        <v>44.1</v>
      </c>
      <c r="J1610" s="31" t="n">
        <v>1991.9</v>
      </c>
      <c r="K1610" s="31" t="n">
        <v>0</v>
      </c>
      <c r="L1610" s="32" t="n">
        <v>3</v>
      </c>
      <c r="M1610" s="32" t="n">
        <v>10</v>
      </c>
      <c r="N1610" s="31" t="n">
        <v>1991.9</v>
      </c>
      <c r="O1610" s="31" t="n">
        <v>1991.9</v>
      </c>
      <c r="P1610" s="22" t="n">
        <v>0</v>
      </c>
      <c r="Q1610" s="22" t="n">
        <v>0</v>
      </c>
      <c r="R1610" s="22" t="n">
        <v>0</v>
      </c>
    </row>
    <row r="1611">
      <c r="A1611" s="22" t="n">
        <v>201811</v>
      </c>
      <c r="B1611" s="22" t="inlineStr">
        <is>
          <t>11/2018</t>
        </is>
      </c>
      <c r="C1611" s="22" t="n">
        <v>33</v>
      </c>
      <c r="D1611" s="22" t="inlineStr">
        <is>
          <t>S33</t>
        </is>
      </c>
      <c r="E1611" s="22" t="inlineStr">
        <is>
          <t>Nexa Friesland (S33)</t>
        </is>
      </c>
      <c r="F1611" s="22" t="inlineStr">
        <is>
          <t>Hà Lan</t>
        </is>
      </c>
      <c r="G1611" s="22" t="inlineStr">
        <is>
          <t>POS</t>
        </is>
      </c>
      <c r="H1611" s="31" t="n">
        <v>14686.48</v>
      </c>
      <c r="I1611" s="31" t="n">
        <v>542.1</v>
      </c>
      <c r="J1611" s="31" t="n">
        <v>14144.38</v>
      </c>
      <c r="K1611" s="31" t="n">
        <v>0</v>
      </c>
      <c r="L1611" s="32" t="n">
        <v>8</v>
      </c>
      <c r="M1611" s="32" t="n">
        <v>53</v>
      </c>
      <c r="N1611" s="31" t="n">
        <v>14144.38</v>
      </c>
      <c r="O1611" s="31" t="n">
        <v>14144.38</v>
      </c>
      <c r="P1611" s="22" t="n">
        <v>0</v>
      </c>
      <c r="Q1611" s="22" t="n">
        <v>0</v>
      </c>
      <c r="R1611" s="22" t="n">
        <v>0</v>
      </c>
    </row>
    <row r="1612">
      <c r="A1612" s="22" t="n">
        <v>201811</v>
      </c>
      <c r="B1612" s="22" t="inlineStr">
        <is>
          <t>11/2018</t>
        </is>
      </c>
      <c r="C1612" s="22" t="n">
        <v>34</v>
      </c>
      <c r="D1612" s="22" t="inlineStr">
        <is>
          <t>S34</t>
        </is>
      </c>
      <c r="E1612" s="22" t="inlineStr">
        <is>
          <t>Nexa Groningen (S34)</t>
        </is>
      </c>
      <c r="F1612" s="22" t="inlineStr">
        <is>
          <t>Hà Lan</t>
        </is>
      </c>
      <c r="G1612" s="22" t="inlineStr">
        <is>
          <t>POS</t>
        </is>
      </c>
      <c r="H1612" s="31" t="n">
        <v>3517.07</v>
      </c>
      <c r="I1612" s="31" t="n">
        <v>263.98</v>
      </c>
      <c r="J1612" s="31" t="n">
        <v>3253.09</v>
      </c>
      <c r="K1612" s="31" t="n">
        <v>4845</v>
      </c>
      <c r="L1612" s="32" t="n">
        <v>4</v>
      </c>
      <c r="M1612" s="32" t="n">
        <v>27</v>
      </c>
      <c r="N1612" s="31" t="n">
        <v>-1591.91</v>
      </c>
      <c r="O1612" s="31" t="n">
        <v>3253.09</v>
      </c>
      <c r="P1612" s="22" t="n">
        <v>0</v>
      </c>
      <c r="Q1612" s="22" t="n">
        <v>0</v>
      </c>
      <c r="R1612" s="22" t="n">
        <v>0</v>
      </c>
    </row>
    <row r="1613">
      <c r="A1613" s="22" t="n">
        <v>201811</v>
      </c>
      <c r="B1613" s="22" t="inlineStr">
        <is>
          <t>11/2018</t>
        </is>
      </c>
      <c r="C1613" s="22" t="n">
        <v>36</v>
      </c>
      <c r="D1613" s="22" t="inlineStr">
        <is>
          <t>S36</t>
        </is>
      </c>
      <c r="E1613" s="22" t="inlineStr">
        <is>
          <t>Nexa Armagh (S36)</t>
        </is>
      </c>
      <c r="F1613" s="22" t="inlineStr">
        <is>
          <t>Anh</t>
        </is>
      </c>
      <c r="G1613" s="22" t="inlineStr">
        <is>
          <t>POS</t>
        </is>
      </c>
      <c r="H1613" s="31" t="n">
        <v>33928.36</v>
      </c>
      <c r="I1613" s="31" t="n">
        <v>1195.48</v>
      </c>
      <c r="J1613" s="31" t="n">
        <v>32732.88</v>
      </c>
      <c r="K1613" s="31" t="n">
        <v>95.90000000000001</v>
      </c>
      <c r="L1613" s="32" t="n">
        <v>14</v>
      </c>
      <c r="M1613" s="32" t="n">
        <v>101</v>
      </c>
      <c r="N1613" s="31" t="n">
        <v>32636.98</v>
      </c>
      <c r="O1613" s="31" t="n">
        <v>32732.88</v>
      </c>
      <c r="P1613" s="22" t="n">
        <v>0</v>
      </c>
      <c r="Q1613" s="22" t="n">
        <v>0</v>
      </c>
      <c r="R1613" s="22" t="n">
        <v>0</v>
      </c>
    </row>
    <row r="1614">
      <c r="A1614" s="22" t="n">
        <v>201811</v>
      </c>
      <c r="B1614" s="22" t="inlineStr">
        <is>
          <t>11/2018</t>
        </is>
      </c>
      <c r="C1614" s="22" t="n">
        <v>37</v>
      </c>
      <c r="D1614" s="22" t="inlineStr">
        <is>
          <t>S37</t>
        </is>
      </c>
      <c r="E1614" s="22" t="inlineStr">
        <is>
          <t>Nexa Ayrshire (S37)</t>
        </is>
      </c>
      <c r="F1614" s="22" t="inlineStr">
        <is>
          <t>Anh</t>
        </is>
      </c>
      <c r="G1614" s="22" t="inlineStr">
        <is>
          <t>POS</t>
        </is>
      </c>
      <c r="H1614" s="31" t="n">
        <v>44773.71</v>
      </c>
      <c r="I1614" s="31" t="n">
        <v>1673.22</v>
      </c>
      <c r="J1614" s="31" t="n">
        <v>43100.49</v>
      </c>
      <c r="K1614" s="31" t="n">
        <v>917.99</v>
      </c>
      <c r="L1614" s="32" t="n">
        <v>18</v>
      </c>
      <c r="M1614" s="32" t="n">
        <v>161</v>
      </c>
      <c r="N1614" s="31" t="n">
        <v>42182.5</v>
      </c>
      <c r="O1614" s="31" t="n">
        <v>43100.49</v>
      </c>
      <c r="P1614" s="22" t="n">
        <v>0</v>
      </c>
      <c r="Q1614" s="22" t="n">
        <v>0</v>
      </c>
      <c r="R1614" s="22" t="n">
        <v>0</v>
      </c>
    </row>
    <row r="1615">
      <c r="A1615" s="22" t="n">
        <v>201811</v>
      </c>
      <c r="B1615" s="22" t="inlineStr">
        <is>
          <t>11/2018</t>
        </is>
      </c>
      <c r="C1615" s="22" t="n">
        <v>38</v>
      </c>
      <c r="D1615" s="22" t="inlineStr">
        <is>
          <t>S38</t>
        </is>
      </c>
      <c r="E1615" s="22" t="inlineStr">
        <is>
          <t>Nexa Belfast (S38)</t>
        </is>
      </c>
      <c r="F1615" s="22" t="inlineStr">
        <is>
          <t>Anh</t>
        </is>
      </c>
      <c r="G1615" s="22" t="inlineStr">
        <is>
          <t>POS</t>
        </is>
      </c>
      <c r="H1615" s="31" t="n">
        <v>29755.66</v>
      </c>
      <c r="I1615" s="31" t="n">
        <v>234.38</v>
      </c>
      <c r="J1615" s="31" t="n">
        <v>29521.28</v>
      </c>
      <c r="K1615" s="31" t="n">
        <v>3200</v>
      </c>
      <c r="L1615" s="32" t="n">
        <v>11</v>
      </c>
      <c r="M1615" s="32" t="n">
        <v>98</v>
      </c>
      <c r="N1615" s="31" t="n">
        <v>26321.28</v>
      </c>
      <c r="O1615" s="31" t="n">
        <v>29521.28</v>
      </c>
      <c r="P1615" s="22" t="n">
        <v>0</v>
      </c>
      <c r="Q1615" s="22" t="n">
        <v>0</v>
      </c>
      <c r="R1615" s="22" t="n">
        <v>0</v>
      </c>
    </row>
    <row r="1616">
      <c r="A1616" s="22" t="n">
        <v>201811</v>
      </c>
      <c r="B1616" s="22" t="inlineStr">
        <is>
          <t>11/2018</t>
        </is>
      </c>
      <c r="C1616" s="22" t="n">
        <v>39</v>
      </c>
      <c r="D1616" s="22" t="inlineStr">
        <is>
          <t>S39</t>
        </is>
      </c>
      <c r="E1616" s="22" t="inlineStr">
        <is>
          <t>Nexa Blaenau Gwent (S39)</t>
        </is>
      </c>
      <c r="F1616" s="22" t="inlineStr">
        <is>
          <t>Anh</t>
        </is>
      </c>
      <c r="G1616" s="22" t="inlineStr">
        <is>
          <t>POS</t>
        </is>
      </c>
      <c r="H1616" s="31" t="n">
        <v>24106.13</v>
      </c>
      <c r="I1616" s="31" t="n">
        <v>1479.14</v>
      </c>
      <c r="J1616" s="31" t="n">
        <v>22626.99</v>
      </c>
      <c r="K1616" s="31" t="n">
        <v>17.99</v>
      </c>
      <c r="L1616" s="32" t="n">
        <v>11</v>
      </c>
      <c r="M1616" s="32" t="n">
        <v>98</v>
      </c>
      <c r="N1616" s="31" t="n">
        <v>22609</v>
      </c>
      <c r="O1616" s="31" t="n">
        <v>22626.99</v>
      </c>
      <c r="P1616" s="22" t="n">
        <v>0</v>
      </c>
      <c r="Q1616" s="22" t="n">
        <v>0</v>
      </c>
      <c r="R1616" s="22" t="n">
        <v>1</v>
      </c>
    </row>
    <row r="1617">
      <c r="A1617" s="22" t="n">
        <v>201811</v>
      </c>
      <c r="B1617" s="22" t="inlineStr">
        <is>
          <t>11/2018</t>
        </is>
      </c>
      <c r="C1617" s="22" t="n">
        <v>40</v>
      </c>
      <c r="D1617" s="22" t="inlineStr">
        <is>
          <t>S40</t>
        </is>
      </c>
      <c r="E1617" s="22" t="inlineStr">
        <is>
          <t>Nexa Dungannon and South Tyrone (S40)</t>
        </is>
      </c>
      <c r="F1617" s="22" t="inlineStr">
        <is>
          <t>Anh</t>
        </is>
      </c>
      <c r="G1617" s="22" t="inlineStr">
        <is>
          <t>POS</t>
        </is>
      </c>
      <c r="H1617" s="31" t="n">
        <v>19890.14</v>
      </c>
      <c r="I1617" s="31" t="n">
        <v>152.43</v>
      </c>
      <c r="J1617" s="31" t="n">
        <v>19737.71</v>
      </c>
      <c r="K1617" s="31" t="n">
        <v>119</v>
      </c>
      <c r="L1617" s="32" t="n">
        <v>11</v>
      </c>
      <c r="M1617" s="32" t="n">
        <v>71</v>
      </c>
      <c r="N1617" s="31" t="n">
        <v>19618.71</v>
      </c>
      <c r="O1617" s="31" t="n">
        <v>19737.71</v>
      </c>
      <c r="P1617" s="22" t="n">
        <v>1</v>
      </c>
      <c r="Q1617" s="22" t="n">
        <v>0</v>
      </c>
      <c r="R1617" s="22" t="n">
        <v>0</v>
      </c>
    </row>
    <row r="1618">
      <c r="A1618" s="22" t="n">
        <v>201811</v>
      </c>
      <c r="B1618" s="22" t="inlineStr">
        <is>
          <t>11/2018</t>
        </is>
      </c>
      <c r="C1618" s="22" t="n">
        <v>42</v>
      </c>
      <c r="D1618" s="22" t="inlineStr">
        <is>
          <t>S42</t>
        </is>
      </c>
      <c r="E1618" s="22" t="inlineStr">
        <is>
          <t>Nexa North Down (S42)</t>
        </is>
      </c>
      <c r="F1618" s="22" t="inlineStr">
        <is>
          <t>Anh</t>
        </is>
      </c>
      <c r="G1618" s="22" t="inlineStr">
        <is>
          <t>POS</t>
        </is>
      </c>
      <c r="H1618" s="31" t="n">
        <v>6617.13</v>
      </c>
      <c r="I1618" s="31" t="n">
        <v>0</v>
      </c>
      <c r="J1618" s="31" t="n">
        <v>6617.13</v>
      </c>
      <c r="K1618" s="31" t="n">
        <v>39.99</v>
      </c>
      <c r="L1618" s="32" t="n">
        <v>10</v>
      </c>
      <c r="M1618" s="32" t="n">
        <v>60</v>
      </c>
      <c r="N1618" s="31" t="n">
        <v>6577.14</v>
      </c>
      <c r="O1618" s="31" t="n">
        <v>6617.13</v>
      </c>
      <c r="P1618" s="22" t="n">
        <v>0</v>
      </c>
      <c r="Q1618" s="22" t="n">
        <v>0</v>
      </c>
      <c r="R1618" s="22" t="n">
        <v>0</v>
      </c>
    </row>
    <row r="1619">
      <c r="A1619" s="22" t="n">
        <v>201811</v>
      </c>
      <c r="B1619" s="22" t="inlineStr">
        <is>
          <t>11/2018</t>
        </is>
      </c>
      <c r="C1619" s="22" t="n">
        <v>43</v>
      </c>
      <c r="D1619" s="22" t="inlineStr">
        <is>
          <t>S43</t>
        </is>
      </c>
      <c r="E1619" s="22" t="inlineStr">
        <is>
          <t>Nexa Alaska (S43)</t>
        </is>
      </c>
      <c r="F1619" s="22" t="inlineStr">
        <is>
          <t>Mỹ</t>
        </is>
      </c>
      <c r="G1619" s="22" t="inlineStr">
        <is>
          <t>POS</t>
        </is>
      </c>
      <c r="H1619" s="31" t="n">
        <v>30487.2</v>
      </c>
      <c r="I1619" s="31" t="n">
        <v>620.0700000000001</v>
      </c>
      <c r="J1619" s="31" t="n">
        <v>29867.13</v>
      </c>
      <c r="K1619" s="31" t="n">
        <v>0</v>
      </c>
      <c r="L1619" s="32" t="n">
        <v>10</v>
      </c>
      <c r="M1619" s="32" t="n">
        <v>63</v>
      </c>
      <c r="N1619" s="31" t="n">
        <v>29867.13</v>
      </c>
      <c r="O1619" s="31" t="n">
        <v>29867.13</v>
      </c>
      <c r="P1619" s="22" t="n">
        <v>0</v>
      </c>
      <c r="Q1619" s="22" t="n">
        <v>0</v>
      </c>
      <c r="R1619" s="22" t="n">
        <v>0</v>
      </c>
    </row>
    <row r="1620">
      <c r="A1620" s="22" t="n">
        <v>201811</v>
      </c>
      <c r="B1620" s="22" t="inlineStr">
        <is>
          <t>11/2018</t>
        </is>
      </c>
      <c r="C1620" s="22" t="n">
        <v>44</v>
      </c>
      <c r="D1620" s="22" t="inlineStr">
        <is>
          <t>S44</t>
        </is>
      </c>
      <c r="E1620" s="22" t="inlineStr">
        <is>
          <t>Nexa Arkansas (S44)</t>
        </is>
      </c>
      <c r="F1620" s="22" t="inlineStr">
        <is>
          <t>Mỹ</t>
        </is>
      </c>
      <c r="G1620" s="22" t="inlineStr">
        <is>
          <t>POS</t>
        </is>
      </c>
      <c r="H1620" s="31" t="n">
        <v>47497.79</v>
      </c>
      <c r="I1620" s="31" t="n">
        <v>473.58</v>
      </c>
      <c r="J1620" s="31" t="n">
        <v>47024.21</v>
      </c>
      <c r="K1620" s="31" t="n">
        <v>422.35</v>
      </c>
      <c r="L1620" s="32" t="n">
        <v>13</v>
      </c>
      <c r="M1620" s="32" t="n">
        <v>150</v>
      </c>
      <c r="N1620" s="31" t="n">
        <v>46601.86</v>
      </c>
      <c r="O1620" s="31" t="n">
        <v>47024.21</v>
      </c>
      <c r="P1620" s="22" t="n">
        <v>0</v>
      </c>
      <c r="Q1620" s="22" t="n">
        <v>0</v>
      </c>
      <c r="R1620" s="22" t="n">
        <v>0</v>
      </c>
    </row>
    <row r="1621">
      <c r="A1621" s="22" t="n">
        <v>201811</v>
      </c>
      <c r="B1621" s="22" t="inlineStr">
        <is>
          <t>11/2018</t>
        </is>
      </c>
      <c r="C1621" s="22" t="n">
        <v>45</v>
      </c>
      <c r="D1621" s="22" t="inlineStr">
        <is>
          <t>S45</t>
        </is>
      </c>
      <c r="E1621" s="22" t="inlineStr">
        <is>
          <t>Nexa Connecticut (S45)</t>
        </is>
      </c>
      <c r="F1621" s="22" t="inlineStr">
        <is>
          <t>Mỹ</t>
        </is>
      </c>
      <c r="G1621" s="22" t="inlineStr">
        <is>
          <t>POS</t>
        </is>
      </c>
      <c r="H1621" s="31" t="n">
        <v>38985.85</v>
      </c>
      <c r="I1621" s="31" t="n">
        <v>672.08</v>
      </c>
      <c r="J1621" s="31" t="n">
        <v>38313.77</v>
      </c>
      <c r="K1621" s="31" t="n">
        <v>1236</v>
      </c>
      <c r="L1621" s="32" t="n">
        <v>18</v>
      </c>
      <c r="M1621" s="32" t="n">
        <v>135</v>
      </c>
      <c r="N1621" s="31" t="n">
        <v>37077.77</v>
      </c>
      <c r="O1621" s="31" t="n">
        <v>38313.77</v>
      </c>
      <c r="P1621" s="22" t="n">
        <v>0</v>
      </c>
      <c r="Q1621" s="22" t="n">
        <v>0</v>
      </c>
      <c r="R1621" s="22" t="n">
        <v>0</v>
      </c>
    </row>
    <row r="1622">
      <c r="A1622" s="22" t="n">
        <v>201811</v>
      </c>
      <c r="B1622" s="22" t="inlineStr">
        <is>
          <t>11/2018</t>
        </is>
      </c>
      <c r="C1622" s="22" t="n">
        <v>47</v>
      </c>
      <c r="D1622" s="22" t="inlineStr">
        <is>
          <t>S47</t>
        </is>
      </c>
      <c r="E1622" s="22" t="inlineStr">
        <is>
          <t>Nexa Hawaii (S47)</t>
        </is>
      </c>
      <c r="F1622" s="22" t="inlineStr">
        <is>
          <t>Mỹ</t>
        </is>
      </c>
      <c r="G1622" s="22" t="inlineStr">
        <is>
          <t>POS</t>
        </is>
      </c>
      <c r="H1622" s="31" t="n">
        <v>10985.34</v>
      </c>
      <c r="I1622" s="31" t="n">
        <v>493.26</v>
      </c>
      <c r="J1622" s="31" t="n">
        <v>10492.08</v>
      </c>
      <c r="K1622" s="31" t="n">
        <v>0</v>
      </c>
      <c r="L1622" s="32" t="n">
        <v>11</v>
      </c>
      <c r="M1622" s="32" t="n">
        <v>66</v>
      </c>
      <c r="N1622" s="31" t="n">
        <v>10492.08</v>
      </c>
      <c r="O1622" s="31" t="n">
        <v>10492.08</v>
      </c>
      <c r="P1622" s="22" t="n">
        <v>0</v>
      </c>
      <c r="Q1622" s="22" t="n">
        <v>0</v>
      </c>
      <c r="R1622" s="22" t="n">
        <v>0</v>
      </c>
    </row>
    <row r="1623">
      <c r="A1623" s="22" t="n">
        <v>201811</v>
      </c>
      <c r="B1623" s="22" t="inlineStr">
        <is>
          <t>11/2018</t>
        </is>
      </c>
      <c r="C1623" s="22" t="n">
        <v>48</v>
      </c>
      <c r="D1623" s="22" t="inlineStr">
        <is>
          <t>S48</t>
        </is>
      </c>
      <c r="E1623" s="22" t="inlineStr">
        <is>
          <t>Nexa Idaho (S48)</t>
        </is>
      </c>
      <c r="F1623" s="22" t="inlineStr">
        <is>
          <t>Mỹ</t>
        </is>
      </c>
      <c r="G1623" s="22" t="inlineStr">
        <is>
          <t>POS</t>
        </is>
      </c>
      <c r="H1623" s="31" t="n">
        <v>21104.87</v>
      </c>
      <c r="I1623" s="31" t="n">
        <v>873.0599999999999</v>
      </c>
      <c r="J1623" s="31" t="n">
        <v>20231.81</v>
      </c>
      <c r="K1623" s="31" t="n">
        <v>693.99</v>
      </c>
      <c r="L1623" s="32" t="n">
        <v>11</v>
      </c>
      <c r="M1623" s="32" t="n">
        <v>67</v>
      </c>
      <c r="N1623" s="31" t="n">
        <v>19537.82</v>
      </c>
      <c r="O1623" s="31" t="n">
        <v>20231.81</v>
      </c>
      <c r="P1623" s="22" t="n">
        <v>1</v>
      </c>
      <c r="Q1623" s="22" t="n">
        <v>0</v>
      </c>
      <c r="R1623" s="22" t="n">
        <v>0</v>
      </c>
    </row>
    <row r="1624">
      <c r="A1624" s="22" t="n">
        <v>201811</v>
      </c>
      <c r="B1624" s="22" t="inlineStr">
        <is>
          <t>11/2018</t>
        </is>
      </c>
      <c r="C1624" s="22" t="n">
        <v>49</v>
      </c>
      <c r="D1624" s="22" t="inlineStr">
        <is>
          <t>S49</t>
        </is>
      </c>
      <c r="E1624" s="22" t="inlineStr">
        <is>
          <t>Nexa Iowa (S49)</t>
        </is>
      </c>
      <c r="F1624" s="22" t="inlineStr">
        <is>
          <t>Mỹ</t>
        </is>
      </c>
      <c r="G1624" s="22" t="inlineStr">
        <is>
          <t>POS</t>
        </is>
      </c>
      <c r="H1624" s="31" t="n">
        <v>29996.49</v>
      </c>
      <c r="I1624" s="31" t="n">
        <v>1772.08</v>
      </c>
      <c r="J1624" s="31" t="n">
        <v>28224.41</v>
      </c>
      <c r="K1624" s="31" t="n">
        <v>0</v>
      </c>
      <c r="L1624" s="32" t="n">
        <v>16</v>
      </c>
      <c r="M1624" s="32" t="n">
        <v>121</v>
      </c>
      <c r="N1624" s="31" t="n">
        <v>28224.41</v>
      </c>
      <c r="O1624" s="31" t="n">
        <v>28224.41</v>
      </c>
      <c r="P1624" s="22" t="n">
        <v>0</v>
      </c>
      <c r="Q1624" s="22" t="n">
        <v>0</v>
      </c>
      <c r="R1624" s="22" t="n">
        <v>0</v>
      </c>
    </row>
    <row r="1625">
      <c r="A1625" s="22" t="n">
        <v>201811</v>
      </c>
      <c r="B1625" s="22" t="inlineStr">
        <is>
          <t>11/2018</t>
        </is>
      </c>
      <c r="C1625" s="22" t="n">
        <v>50</v>
      </c>
      <c r="D1625" s="22" t="inlineStr">
        <is>
          <t>S50</t>
        </is>
      </c>
      <c r="E1625" s="22" t="inlineStr">
        <is>
          <t>Nexa Kansas (S50)</t>
        </is>
      </c>
      <c r="F1625" s="22" t="inlineStr">
        <is>
          <t>Mỹ</t>
        </is>
      </c>
      <c r="G1625" s="22" t="inlineStr">
        <is>
          <t>POS</t>
        </is>
      </c>
      <c r="H1625" s="31" t="n">
        <v>16639.66</v>
      </c>
      <c r="I1625" s="31" t="n">
        <v>960.4400000000001</v>
      </c>
      <c r="J1625" s="31" t="n">
        <v>15679.22</v>
      </c>
      <c r="K1625" s="31" t="n">
        <v>0</v>
      </c>
      <c r="L1625" s="32" t="n">
        <v>13</v>
      </c>
      <c r="M1625" s="32" t="n">
        <v>84</v>
      </c>
      <c r="N1625" s="31" t="n">
        <v>15679.22</v>
      </c>
      <c r="O1625" s="31" t="n">
        <v>15679.22</v>
      </c>
      <c r="P1625" s="22" t="n">
        <v>0</v>
      </c>
      <c r="Q1625" s="22" t="n">
        <v>0</v>
      </c>
      <c r="R1625" s="22" t="n">
        <v>0</v>
      </c>
    </row>
    <row r="1626">
      <c r="A1626" s="22" t="n">
        <v>201811</v>
      </c>
      <c r="B1626" s="22" t="inlineStr">
        <is>
          <t>11/2018</t>
        </is>
      </c>
      <c r="C1626" s="22" t="n">
        <v>51</v>
      </c>
      <c r="D1626" s="22" t="inlineStr">
        <is>
          <t>S51</t>
        </is>
      </c>
      <c r="E1626" s="22" t="inlineStr">
        <is>
          <t>Nexa Maine (S51)</t>
        </is>
      </c>
      <c r="F1626" s="22" t="inlineStr">
        <is>
          <t>Mỹ</t>
        </is>
      </c>
      <c r="G1626" s="22" t="inlineStr">
        <is>
          <t>POS</t>
        </is>
      </c>
      <c r="H1626" s="31" t="n">
        <v>37841.53</v>
      </c>
      <c r="I1626" s="31" t="n">
        <v>2768.34</v>
      </c>
      <c r="J1626" s="31" t="n">
        <v>35073.19</v>
      </c>
      <c r="K1626" s="31" t="n">
        <v>32</v>
      </c>
      <c r="L1626" s="32" t="n">
        <v>17</v>
      </c>
      <c r="M1626" s="32" t="n">
        <v>123</v>
      </c>
      <c r="N1626" s="31" t="n">
        <v>35041.19</v>
      </c>
      <c r="O1626" s="31" t="n">
        <v>35073.19</v>
      </c>
      <c r="P1626" s="22" t="n">
        <v>0</v>
      </c>
      <c r="Q1626" s="22" t="n">
        <v>0</v>
      </c>
      <c r="R1626" s="22" t="n">
        <v>0</v>
      </c>
    </row>
    <row r="1627">
      <c r="A1627" s="22" t="n">
        <v>201811</v>
      </c>
      <c r="B1627" s="22" t="inlineStr">
        <is>
          <t>11/2018</t>
        </is>
      </c>
      <c r="C1627" s="22" t="n">
        <v>53</v>
      </c>
      <c r="D1627" s="22" t="inlineStr">
        <is>
          <t>S53</t>
        </is>
      </c>
      <c r="E1627" s="22" t="inlineStr">
        <is>
          <t>Nexa Montana (S53)</t>
        </is>
      </c>
      <c r="F1627" s="22" t="inlineStr">
        <is>
          <t>Mỹ</t>
        </is>
      </c>
      <c r="G1627" s="22" t="inlineStr">
        <is>
          <t>POS</t>
        </is>
      </c>
      <c r="H1627" s="31" t="n">
        <v>46580.34</v>
      </c>
      <c r="I1627" s="31" t="n">
        <v>2048.24</v>
      </c>
      <c r="J1627" s="31" t="n">
        <v>44532.1</v>
      </c>
      <c r="K1627" s="31" t="n">
        <v>99</v>
      </c>
      <c r="L1627" s="32" t="n">
        <v>17</v>
      </c>
      <c r="M1627" s="32" t="n">
        <v>156</v>
      </c>
      <c r="N1627" s="31" t="n">
        <v>44433.1</v>
      </c>
      <c r="O1627" s="31" t="n">
        <v>44532.1</v>
      </c>
      <c r="P1627" s="22" t="n">
        <v>1</v>
      </c>
      <c r="Q1627" s="22" t="n">
        <v>0</v>
      </c>
      <c r="R1627" s="22" t="n">
        <v>0</v>
      </c>
    </row>
    <row r="1628">
      <c r="A1628" s="22" t="n">
        <v>201811</v>
      </c>
      <c r="B1628" s="22" t="inlineStr">
        <is>
          <t>11/2018</t>
        </is>
      </c>
      <c r="C1628" s="22" t="n">
        <v>54</v>
      </c>
      <c r="D1628" s="22" t="inlineStr">
        <is>
          <t>S54</t>
        </is>
      </c>
      <c r="E1628" s="22" t="inlineStr">
        <is>
          <t>Nexa Nebraska (S54)</t>
        </is>
      </c>
      <c r="F1628" s="22" t="inlineStr">
        <is>
          <t>Mỹ</t>
        </is>
      </c>
      <c r="G1628" s="22" t="inlineStr">
        <is>
          <t>POS</t>
        </is>
      </c>
      <c r="H1628" s="31" t="n">
        <v>25336.13</v>
      </c>
      <c r="I1628" s="31" t="n">
        <v>1630.62</v>
      </c>
      <c r="J1628" s="31" t="n">
        <v>23705.51</v>
      </c>
      <c r="K1628" s="31" t="n">
        <v>3.35</v>
      </c>
      <c r="L1628" s="32" t="n">
        <v>13</v>
      </c>
      <c r="M1628" s="32" t="n">
        <v>113</v>
      </c>
      <c r="N1628" s="31" t="n">
        <v>23702.16</v>
      </c>
      <c r="O1628" s="31" t="n">
        <v>23705.51</v>
      </c>
      <c r="P1628" s="22" t="n">
        <v>0</v>
      </c>
      <c r="Q1628" s="22" t="n">
        <v>0</v>
      </c>
      <c r="R1628" s="22" t="n">
        <v>0</v>
      </c>
    </row>
    <row r="1629">
      <c r="A1629" s="22" t="n">
        <v>201811</v>
      </c>
      <c r="B1629" s="22" t="inlineStr">
        <is>
          <t>11/2018</t>
        </is>
      </c>
      <c r="C1629" s="22" t="n">
        <v>55</v>
      </c>
      <c r="D1629" s="22" t="inlineStr">
        <is>
          <t>S55</t>
        </is>
      </c>
      <c r="E1629" s="22" t="inlineStr">
        <is>
          <t>Nexa Nevada (S55)</t>
        </is>
      </c>
      <c r="F1629" s="22" t="inlineStr">
        <is>
          <t>Mỹ</t>
        </is>
      </c>
      <c r="G1629" s="22" t="inlineStr">
        <is>
          <t>POS</t>
        </is>
      </c>
      <c r="H1629" s="31" t="n">
        <v>25421.3</v>
      </c>
      <c r="I1629" s="31" t="n">
        <v>349.31</v>
      </c>
      <c r="J1629" s="31" t="n">
        <v>25071.99</v>
      </c>
      <c r="K1629" s="31" t="n">
        <v>964.98</v>
      </c>
      <c r="L1629" s="32" t="n">
        <v>12</v>
      </c>
      <c r="M1629" s="32" t="n">
        <v>85</v>
      </c>
      <c r="N1629" s="31" t="n">
        <v>24107.01</v>
      </c>
      <c r="O1629" s="31" t="n">
        <v>25071.99</v>
      </c>
      <c r="P1629" s="22" t="n">
        <v>1</v>
      </c>
      <c r="Q1629" s="22" t="n">
        <v>0</v>
      </c>
      <c r="R1629" s="22" t="n">
        <v>0</v>
      </c>
    </row>
    <row r="1630">
      <c r="A1630" s="22" t="n">
        <v>201811</v>
      </c>
      <c r="B1630" s="22" t="inlineStr">
        <is>
          <t>11/2018</t>
        </is>
      </c>
      <c r="C1630" s="22" t="n">
        <v>56</v>
      </c>
      <c r="D1630" s="22" t="inlineStr">
        <is>
          <t>S56</t>
        </is>
      </c>
      <c r="E1630" s="22" t="inlineStr">
        <is>
          <t>Nexa New Hampshire (S56)</t>
        </is>
      </c>
      <c r="F1630" s="22" t="inlineStr">
        <is>
          <t>Mỹ</t>
        </is>
      </c>
      <c r="G1630" s="22" t="inlineStr">
        <is>
          <t>POS</t>
        </is>
      </c>
      <c r="H1630" s="31" t="n">
        <v>39731.88</v>
      </c>
      <c r="I1630" s="31" t="n">
        <v>1661.48</v>
      </c>
      <c r="J1630" s="31" t="n">
        <v>38070.4</v>
      </c>
      <c r="K1630" s="31" t="n">
        <v>37.98</v>
      </c>
      <c r="L1630" s="32" t="n">
        <v>14</v>
      </c>
      <c r="M1630" s="32" t="n">
        <v>106</v>
      </c>
      <c r="N1630" s="31" t="n">
        <v>38032.42</v>
      </c>
      <c r="O1630" s="31" t="n">
        <v>38070.4</v>
      </c>
      <c r="P1630" s="22" t="n">
        <v>1</v>
      </c>
      <c r="Q1630" s="22" t="n">
        <v>0</v>
      </c>
      <c r="R1630" s="22" t="n">
        <v>1</v>
      </c>
    </row>
    <row r="1631">
      <c r="A1631" s="22" t="n">
        <v>201811</v>
      </c>
      <c r="B1631" s="22" t="inlineStr">
        <is>
          <t>11/2018</t>
        </is>
      </c>
      <c r="C1631" s="22" t="n">
        <v>57</v>
      </c>
      <c r="D1631" s="22" t="inlineStr">
        <is>
          <t>S57</t>
        </is>
      </c>
      <c r="E1631" s="22" t="inlineStr">
        <is>
          <t>Nexa New Mexico (S57)</t>
        </is>
      </c>
      <c r="F1631" s="22" t="inlineStr">
        <is>
          <t>Mỹ</t>
        </is>
      </c>
      <c r="G1631" s="22" t="inlineStr">
        <is>
          <t>POS</t>
        </is>
      </c>
      <c r="H1631" s="31" t="n">
        <v>26601.58</v>
      </c>
      <c r="I1631" s="31" t="n">
        <v>653.97</v>
      </c>
      <c r="J1631" s="31" t="n">
        <v>25947.61</v>
      </c>
      <c r="K1631" s="31" t="n">
        <v>205.77</v>
      </c>
      <c r="L1631" s="32" t="n">
        <v>12</v>
      </c>
      <c r="M1631" s="32" t="n">
        <v>67</v>
      </c>
      <c r="N1631" s="31" t="n">
        <v>25741.84</v>
      </c>
      <c r="O1631" s="31" t="n">
        <v>25947.61</v>
      </c>
      <c r="P1631" s="22" t="n">
        <v>0</v>
      </c>
      <c r="Q1631" s="22" t="n">
        <v>0</v>
      </c>
      <c r="R1631" s="22" t="n">
        <v>0</v>
      </c>
    </row>
    <row r="1632">
      <c r="A1632" s="22" t="n">
        <v>201811</v>
      </c>
      <c r="B1632" s="22" t="inlineStr">
        <is>
          <t>11/2018</t>
        </is>
      </c>
      <c r="C1632" s="22" t="n">
        <v>59</v>
      </c>
      <c r="D1632" s="22" t="inlineStr">
        <is>
          <t>S59</t>
        </is>
      </c>
      <c r="E1632" s="22" t="inlineStr">
        <is>
          <t>Nexa Oregon (S59)</t>
        </is>
      </c>
      <c r="F1632" s="22" t="inlineStr">
        <is>
          <t>Mỹ</t>
        </is>
      </c>
      <c r="G1632" s="22" t="inlineStr">
        <is>
          <t>POS</t>
        </is>
      </c>
      <c r="H1632" s="31" t="n">
        <v>43629</v>
      </c>
      <c r="I1632" s="31" t="n">
        <v>4076.8</v>
      </c>
      <c r="J1632" s="31" t="n">
        <v>39552.2</v>
      </c>
      <c r="K1632" s="31" t="n">
        <v>0</v>
      </c>
      <c r="L1632" s="32" t="n">
        <v>13</v>
      </c>
      <c r="M1632" s="32" t="n">
        <v>100</v>
      </c>
      <c r="N1632" s="31" t="n">
        <v>39552.2</v>
      </c>
      <c r="O1632" s="31" t="n">
        <v>39552.2</v>
      </c>
      <c r="P1632" s="22" t="n">
        <v>0</v>
      </c>
      <c r="Q1632" s="22" t="n">
        <v>0</v>
      </c>
      <c r="R1632" s="22" t="n">
        <v>0</v>
      </c>
    </row>
    <row r="1633">
      <c r="A1633" s="22" t="n">
        <v>201811</v>
      </c>
      <c r="B1633" s="22" t="inlineStr">
        <is>
          <t>11/2018</t>
        </is>
      </c>
      <c r="C1633" s="22" t="n">
        <v>61</v>
      </c>
      <c r="D1633" s="22" t="inlineStr">
        <is>
          <t>S61</t>
        </is>
      </c>
      <c r="E1633" s="22" t="inlineStr">
        <is>
          <t>Nexa South Carolina (S61)</t>
        </is>
      </c>
      <c r="F1633" s="22" t="inlineStr">
        <is>
          <t>Mỹ</t>
        </is>
      </c>
      <c r="G1633" s="22" t="inlineStr">
        <is>
          <t>POS</t>
        </is>
      </c>
      <c r="H1633" s="31" t="n">
        <v>62305.06</v>
      </c>
      <c r="I1633" s="31" t="n">
        <v>2439.55</v>
      </c>
      <c r="J1633" s="31" t="n">
        <v>59865.51</v>
      </c>
      <c r="K1633" s="31" t="n">
        <v>0</v>
      </c>
      <c r="L1633" s="32" t="n">
        <v>14</v>
      </c>
      <c r="M1633" s="32" t="n">
        <v>119</v>
      </c>
      <c r="N1633" s="31" t="n">
        <v>59865.51</v>
      </c>
      <c r="O1633" s="31" t="n">
        <v>59865.51</v>
      </c>
      <c r="P1633" s="22" t="n">
        <v>0</v>
      </c>
      <c r="Q1633" s="22" t="n">
        <v>0</v>
      </c>
      <c r="R1633" s="22" t="n">
        <v>0</v>
      </c>
    </row>
    <row r="1634">
      <c r="A1634" s="22" t="n">
        <v>201811</v>
      </c>
      <c r="B1634" s="22" t="inlineStr">
        <is>
          <t>11/2018</t>
        </is>
      </c>
      <c r="C1634" s="22" t="n">
        <v>62</v>
      </c>
      <c r="D1634" s="22" t="inlineStr">
        <is>
          <t>S62</t>
        </is>
      </c>
      <c r="E1634" s="22" t="inlineStr">
        <is>
          <t>Nexa South Dakota (S62)</t>
        </is>
      </c>
      <c r="F1634" s="22" t="inlineStr">
        <is>
          <t>Mỹ</t>
        </is>
      </c>
      <c r="G1634" s="22" t="inlineStr">
        <is>
          <t>POS</t>
        </is>
      </c>
      <c r="H1634" s="31" t="n">
        <v>13686.83</v>
      </c>
      <c r="I1634" s="31" t="n">
        <v>43.5</v>
      </c>
      <c r="J1634" s="31" t="n">
        <v>13643.33</v>
      </c>
      <c r="K1634" s="31" t="n">
        <v>0</v>
      </c>
      <c r="L1634" s="32" t="n">
        <v>11</v>
      </c>
      <c r="M1634" s="32" t="n">
        <v>70</v>
      </c>
      <c r="N1634" s="31" t="n">
        <v>13643.33</v>
      </c>
      <c r="O1634" s="31" t="n">
        <v>13643.33</v>
      </c>
      <c r="P1634" s="22" t="n">
        <v>2</v>
      </c>
      <c r="Q1634" s="22" t="n">
        <v>0</v>
      </c>
      <c r="R1634" s="22" t="n">
        <v>0</v>
      </c>
    </row>
    <row r="1635">
      <c r="A1635" s="22" t="n">
        <v>201811</v>
      </c>
      <c r="B1635" s="22" t="inlineStr">
        <is>
          <t>11/2018</t>
        </is>
      </c>
      <c r="C1635" s="22" t="n">
        <v>63</v>
      </c>
      <c r="D1635" s="22" t="inlineStr">
        <is>
          <t>S63</t>
        </is>
      </c>
      <c r="E1635" s="22" t="inlineStr">
        <is>
          <t>Nexa Utah (S63)</t>
        </is>
      </c>
      <c r="F1635" s="22" t="inlineStr">
        <is>
          <t>Mỹ</t>
        </is>
      </c>
      <c r="G1635" s="22" t="inlineStr">
        <is>
          <t>POS</t>
        </is>
      </c>
      <c r="H1635" s="31" t="n">
        <v>7810.74</v>
      </c>
      <c r="I1635" s="31" t="n">
        <v>346.96</v>
      </c>
      <c r="J1635" s="31" t="n">
        <v>7463.78</v>
      </c>
      <c r="K1635" s="31" t="n">
        <v>0</v>
      </c>
      <c r="L1635" s="32" t="n">
        <v>11</v>
      </c>
      <c r="M1635" s="32" t="n">
        <v>66</v>
      </c>
      <c r="N1635" s="31" t="n">
        <v>7463.78</v>
      </c>
      <c r="O1635" s="31" t="n">
        <v>7463.78</v>
      </c>
      <c r="P1635" s="22" t="n">
        <v>0</v>
      </c>
      <c r="Q1635" s="22" t="n">
        <v>0</v>
      </c>
      <c r="R1635" s="22" t="n">
        <v>0</v>
      </c>
    </row>
    <row r="1636">
      <c r="A1636" s="22" t="n">
        <v>201811</v>
      </c>
      <c r="B1636" s="22" t="inlineStr">
        <is>
          <t>11/2018</t>
        </is>
      </c>
      <c r="C1636" s="22" t="n">
        <v>64</v>
      </c>
      <c r="D1636" s="22" t="inlineStr">
        <is>
          <t>S64</t>
        </is>
      </c>
      <c r="E1636" s="22" t="inlineStr">
        <is>
          <t>Nexa Washington DC (S64)</t>
        </is>
      </c>
      <c r="F1636" s="22" t="inlineStr">
        <is>
          <t>Mỹ</t>
        </is>
      </c>
      <c r="G1636" s="22" t="inlineStr">
        <is>
          <t>POS</t>
        </is>
      </c>
      <c r="H1636" s="31" t="n">
        <v>26803.43</v>
      </c>
      <c r="I1636" s="31" t="n">
        <v>958.96</v>
      </c>
      <c r="J1636" s="31" t="n">
        <v>25844.47</v>
      </c>
      <c r="K1636" s="31" t="n">
        <v>0</v>
      </c>
      <c r="L1636" s="32" t="n">
        <v>12</v>
      </c>
      <c r="M1636" s="32" t="n">
        <v>72</v>
      </c>
      <c r="N1636" s="31" t="n">
        <v>25844.47</v>
      </c>
      <c r="O1636" s="31" t="n">
        <v>25844.47</v>
      </c>
      <c r="P1636" s="22" t="n">
        <v>0</v>
      </c>
      <c r="Q1636" s="22" t="n">
        <v>0</v>
      </c>
      <c r="R1636" s="22" t="n">
        <v>0</v>
      </c>
    </row>
    <row r="1637">
      <c r="A1637" s="22" t="n">
        <v>201811</v>
      </c>
      <c r="B1637" s="22" t="inlineStr">
        <is>
          <t>11/2018</t>
        </is>
      </c>
      <c r="C1637" s="22" t="n">
        <v>65</v>
      </c>
      <c r="D1637" s="22" t="inlineStr">
        <is>
          <t>S65</t>
        </is>
      </c>
      <c r="E1637" s="22" t="inlineStr">
        <is>
          <t>Nexa West Virginia (S65)</t>
        </is>
      </c>
      <c r="F1637" s="22" t="inlineStr">
        <is>
          <t>Mỹ</t>
        </is>
      </c>
      <c r="G1637" s="22" t="inlineStr">
        <is>
          <t>POS</t>
        </is>
      </c>
      <c r="H1637" s="31" t="n">
        <v>41646.47</v>
      </c>
      <c r="I1637" s="31" t="n">
        <v>1647.35</v>
      </c>
      <c r="J1637" s="31" t="n">
        <v>39999.12</v>
      </c>
      <c r="K1637" s="31" t="n">
        <v>832</v>
      </c>
      <c r="L1637" s="32" t="n">
        <v>16</v>
      </c>
      <c r="M1637" s="32" t="n">
        <v>136</v>
      </c>
      <c r="N1637" s="31" t="n">
        <v>39167.12</v>
      </c>
      <c r="O1637" s="31" t="n">
        <v>39999.12</v>
      </c>
      <c r="P1637" s="22" t="n">
        <v>1</v>
      </c>
      <c r="Q1637" s="22" t="n">
        <v>0</v>
      </c>
      <c r="R1637" s="22" t="n">
        <v>0</v>
      </c>
    </row>
    <row r="1638">
      <c r="A1638" s="22" t="n">
        <v>201811</v>
      </c>
      <c r="B1638" s="22" t="inlineStr">
        <is>
          <t>11/2018</t>
        </is>
      </c>
      <c r="C1638" s="22" t="n">
        <v>66</v>
      </c>
      <c r="D1638" s="22" t="inlineStr">
        <is>
          <t>S66</t>
        </is>
      </c>
      <c r="E1638" s="22" t="inlineStr">
        <is>
          <t>Nexa Wyoming (S66)</t>
        </is>
      </c>
      <c r="F1638" s="22" t="inlineStr">
        <is>
          <t>Mỹ</t>
        </is>
      </c>
      <c r="G1638" s="22" t="inlineStr">
        <is>
          <t>POS</t>
        </is>
      </c>
      <c r="H1638" s="31" t="n">
        <v>11562.84</v>
      </c>
      <c r="I1638" s="31" t="n">
        <v>157.35</v>
      </c>
      <c r="J1638" s="31" t="n">
        <v>11405.49</v>
      </c>
      <c r="K1638" s="31" t="n">
        <v>139.99</v>
      </c>
      <c r="L1638" s="32" t="n">
        <v>7</v>
      </c>
      <c r="M1638" s="32" t="n">
        <v>43</v>
      </c>
      <c r="N1638" s="31" t="n">
        <v>11265.5</v>
      </c>
      <c r="O1638" s="31" t="n">
        <v>11405.49</v>
      </c>
      <c r="P1638" s="22" t="n">
        <v>0</v>
      </c>
      <c r="Q1638" s="22" t="n">
        <v>0</v>
      </c>
      <c r="R1638" s="22" t="n">
        <v>0</v>
      </c>
    </row>
    <row r="1639">
      <c r="A1639" s="22" t="n">
        <v>201812</v>
      </c>
      <c r="B1639" s="22" t="inlineStr">
        <is>
          <t>12/2018</t>
        </is>
      </c>
      <c r="C1639" s="22" t="n">
        <v>0</v>
      </c>
      <c r="D1639" s="22" t="inlineStr">
        <is>
          <t>ONL</t>
        </is>
      </c>
      <c r="E1639" s="22" t="inlineStr">
        <is>
          <t>Nexa Online (website/app)</t>
        </is>
      </c>
      <c r="F1639" s="22" t="inlineStr">
        <is>
          <t>Online</t>
        </is>
      </c>
      <c r="G1639" s="22" t="inlineStr">
        <is>
          <t>ONLINE</t>
        </is>
      </c>
      <c r="H1639" s="31" t="n">
        <v>480914.18</v>
      </c>
      <c r="I1639" s="31" t="n">
        <v>17253.08</v>
      </c>
      <c r="J1639" s="31" t="n">
        <v>463661.1</v>
      </c>
      <c r="K1639" s="31" t="n">
        <v>4618.57</v>
      </c>
      <c r="L1639" s="32" t="n">
        <v>222</v>
      </c>
      <c r="M1639" s="32" t="n">
        <v>1643</v>
      </c>
      <c r="N1639" s="31" t="n">
        <v>397675.38</v>
      </c>
      <c r="O1639" s="31" t="n">
        <v>402313.73</v>
      </c>
      <c r="P1639" s="22" t="n">
        <v>4</v>
      </c>
      <c r="Q1639" s="22" t="n">
        <v>0</v>
      </c>
      <c r="R1639" s="22" t="n">
        <v>1</v>
      </c>
    </row>
    <row r="1640">
      <c r="A1640" s="22" t="n">
        <v>201812</v>
      </c>
      <c r="B1640" s="22" t="inlineStr">
        <is>
          <t>12/2018</t>
        </is>
      </c>
      <c r="C1640" s="22" t="n">
        <v>1</v>
      </c>
      <c r="D1640" s="22" t="inlineStr">
        <is>
          <t>S01</t>
        </is>
      </c>
      <c r="E1640" s="22" t="inlineStr">
        <is>
          <t>Nexa Australian Capital Territory (S01)</t>
        </is>
      </c>
      <c r="F1640" s="22" t="inlineStr">
        <is>
          <t>Úc</t>
        </is>
      </c>
      <c r="G1640" s="22" t="inlineStr">
        <is>
          <t>POS</t>
        </is>
      </c>
      <c r="H1640" s="31" t="n">
        <v>27791.33</v>
      </c>
      <c r="I1640" s="31" t="n">
        <v>903.88</v>
      </c>
      <c r="J1640" s="31" t="n">
        <v>26887.45</v>
      </c>
      <c r="K1640" s="31" t="n">
        <v>3115</v>
      </c>
      <c r="L1640" s="32" t="n">
        <v>10</v>
      </c>
      <c r="M1640" s="32" t="n">
        <v>68</v>
      </c>
      <c r="N1640" s="31" t="n">
        <v>23772.45</v>
      </c>
      <c r="O1640" s="31" t="n">
        <v>26887.45</v>
      </c>
      <c r="P1640" s="22" t="n">
        <v>0</v>
      </c>
      <c r="Q1640" s="22" t="n">
        <v>0</v>
      </c>
      <c r="R1640" s="22" t="n">
        <v>0</v>
      </c>
    </row>
    <row r="1641">
      <c r="A1641" s="22" t="n">
        <v>201812</v>
      </c>
      <c r="B1641" s="22" t="inlineStr">
        <is>
          <t>12/2018</t>
        </is>
      </c>
      <c r="C1641" s="22" t="n">
        <v>4</v>
      </c>
      <c r="D1641" s="22" t="inlineStr">
        <is>
          <t>S04</t>
        </is>
      </c>
      <c r="E1641" s="22" t="inlineStr">
        <is>
          <t>Nexa Tasmania (S04)</t>
        </is>
      </c>
      <c r="F1641" s="22" t="inlineStr">
        <is>
          <t>Úc</t>
        </is>
      </c>
      <c r="G1641" s="22" t="inlineStr">
        <is>
          <t>POS</t>
        </is>
      </c>
      <c r="H1641" s="31" t="n">
        <v>13432.39</v>
      </c>
      <c r="I1641" s="31" t="n">
        <v>745.71</v>
      </c>
      <c r="J1641" s="31" t="n">
        <v>12686.68</v>
      </c>
      <c r="K1641" s="31" t="n">
        <v>104.18</v>
      </c>
      <c r="L1641" s="32" t="n">
        <v>10</v>
      </c>
      <c r="M1641" s="32" t="n">
        <v>65</v>
      </c>
      <c r="N1641" s="31" t="n">
        <v>12582.5</v>
      </c>
      <c r="O1641" s="31" t="n">
        <v>12686.68</v>
      </c>
      <c r="P1641" s="22" t="n">
        <v>0</v>
      </c>
      <c r="Q1641" s="22" t="n">
        <v>0</v>
      </c>
      <c r="R1641" s="22" t="n">
        <v>0</v>
      </c>
    </row>
    <row r="1642">
      <c r="A1642" s="22" t="n">
        <v>201812</v>
      </c>
      <c r="B1642" s="22" t="inlineStr">
        <is>
          <t>12/2018</t>
        </is>
      </c>
      <c r="C1642" s="22" t="n">
        <v>5</v>
      </c>
      <c r="D1642" s="22" t="inlineStr">
        <is>
          <t>S05</t>
        </is>
      </c>
      <c r="E1642" s="22" t="inlineStr">
        <is>
          <t>Nexa Victoria (S05)</t>
        </is>
      </c>
      <c r="F1642" s="22" t="inlineStr">
        <is>
          <t>Úc</t>
        </is>
      </c>
      <c r="G1642" s="22" t="inlineStr">
        <is>
          <t>POS</t>
        </is>
      </c>
      <c r="H1642" s="31" t="n">
        <v>45065.37</v>
      </c>
      <c r="I1642" s="31" t="n">
        <v>580.58</v>
      </c>
      <c r="J1642" s="31" t="n">
        <v>44484.79</v>
      </c>
      <c r="K1642" s="31" t="n">
        <v>289</v>
      </c>
      <c r="L1642" s="32" t="n">
        <v>17</v>
      </c>
      <c r="M1642" s="32" t="n">
        <v>186</v>
      </c>
      <c r="N1642" s="31" t="n">
        <v>44195.79</v>
      </c>
      <c r="O1642" s="31" t="n">
        <v>44484.79</v>
      </c>
      <c r="P1642" s="22" t="n">
        <v>1</v>
      </c>
      <c r="Q1642" s="22" t="n">
        <v>0</v>
      </c>
      <c r="R1642" s="22" t="n">
        <v>1</v>
      </c>
    </row>
    <row r="1643">
      <c r="A1643" s="22" t="n">
        <v>201812</v>
      </c>
      <c r="B1643" s="22" t="inlineStr">
        <is>
          <t>12/2018</t>
        </is>
      </c>
      <c r="C1643" s="22" t="n">
        <v>6</v>
      </c>
      <c r="D1643" s="22" t="inlineStr">
        <is>
          <t>S06</t>
        </is>
      </c>
      <c r="E1643" s="22" t="inlineStr">
        <is>
          <t>Nexa Western Australia (S06)</t>
        </is>
      </c>
      <c r="F1643" s="22" t="inlineStr">
        <is>
          <t>Úc</t>
        </is>
      </c>
      <c r="G1643" s="22" t="inlineStr">
        <is>
          <t>POS</t>
        </is>
      </c>
      <c r="H1643" s="31" t="n">
        <v>19046.79</v>
      </c>
      <c r="I1643" s="31" t="n">
        <v>1497.52</v>
      </c>
      <c r="J1643" s="31" t="n">
        <v>17549.27</v>
      </c>
      <c r="K1643" s="31" t="n">
        <v>815.99</v>
      </c>
      <c r="L1643" s="32" t="n">
        <v>10</v>
      </c>
      <c r="M1643" s="32" t="n">
        <v>101</v>
      </c>
      <c r="N1643" s="31" t="n">
        <v>16733.28</v>
      </c>
      <c r="O1643" s="31" t="n">
        <v>17549.27</v>
      </c>
      <c r="P1643" s="22" t="n">
        <v>1</v>
      </c>
      <c r="Q1643" s="22" t="n">
        <v>0</v>
      </c>
      <c r="R1643" s="22" t="n">
        <v>0</v>
      </c>
    </row>
    <row r="1644">
      <c r="A1644" s="22" t="n">
        <v>201812</v>
      </c>
      <c r="B1644" s="22" t="inlineStr">
        <is>
          <t>12/2018</t>
        </is>
      </c>
      <c r="C1644" s="22" t="n">
        <v>8</v>
      </c>
      <c r="D1644" s="22" t="inlineStr">
        <is>
          <t>S08</t>
        </is>
      </c>
      <c r="E1644" s="22" t="inlineStr">
        <is>
          <t>Nexa Newfoundland and Labrador (S08)</t>
        </is>
      </c>
      <c r="F1644" s="22" t="inlineStr">
        <is>
          <t>Canada</t>
        </is>
      </c>
      <c r="G1644" s="22" t="inlineStr">
        <is>
          <t>POS</t>
        </is>
      </c>
      <c r="H1644" s="31" t="n">
        <v>36348.11</v>
      </c>
      <c r="I1644" s="31" t="n">
        <v>956.67</v>
      </c>
      <c r="J1644" s="31" t="n">
        <v>35391.44</v>
      </c>
      <c r="K1644" s="31" t="n">
        <v>165.99</v>
      </c>
      <c r="L1644" s="32" t="n">
        <v>22</v>
      </c>
      <c r="M1644" s="32" t="n">
        <v>198</v>
      </c>
      <c r="N1644" s="31" t="n">
        <v>35225.45</v>
      </c>
      <c r="O1644" s="31" t="n">
        <v>35391.44</v>
      </c>
      <c r="P1644" s="22" t="n">
        <v>0</v>
      </c>
      <c r="Q1644" s="22" t="n">
        <v>0</v>
      </c>
      <c r="R1644" s="22" t="n">
        <v>0</v>
      </c>
    </row>
    <row r="1645">
      <c r="A1645" s="22" t="n">
        <v>201812</v>
      </c>
      <c r="B1645" s="22" t="inlineStr">
        <is>
          <t>12/2018</t>
        </is>
      </c>
      <c r="C1645" s="22" t="n">
        <v>9</v>
      </c>
      <c r="D1645" s="22" t="inlineStr">
        <is>
          <t>S09</t>
        </is>
      </c>
      <c r="E1645" s="22" t="inlineStr">
        <is>
          <t>Nexa Northwest Territories (S09)</t>
        </is>
      </c>
      <c r="F1645" s="22" t="inlineStr">
        <is>
          <t>Canada</t>
        </is>
      </c>
      <c r="G1645" s="22" t="inlineStr">
        <is>
          <t>POS</t>
        </is>
      </c>
      <c r="H1645" s="31" t="n">
        <v>32692.89</v>
      </c>
      <c r="I1645" s="31" t="n">
        <v>1088.65</v>
      </c>
      <c r="J1645" s="31" t="n">
        <v>31604.24</v>
      </c>
      <c r="K1645" s="31" t="n">
        <v>68.67</v>
      </c>
      <c r="L1645" s="32" t="n">
        <v>27</v>
      </c>
      <c r="M1645" s="32" t="n">
        <v>127</v>
      </c>
      <c r="N1645" s="31" t="n">
        <v>31535.57</v>
      </c>
      <c r="O1645" s="31" t="n">
        <v>31604.24</v>
      </c>
      <c r="P1645" s="22" t="n">
        <v>0</v>
      </c>
      <c r="Q1645" s="22" t="n">
        <v>0</v>
      </c>
      <c r="R1645" s="22" t="n">
        <v>0</v>
      </c>
    </row>
    <row r="1646">
      <c r="A1646" s="22" t="n">
        <v>201812</v>
      </c>
      <c r="B1646" s="22" t="inlineStr">
        <is>
          <t>12/2018</t>
        </is>
      </c>
      <c r="C1646" s="22" t="n">
        <v>10</v>
      </c>
      <c r="D1646" s="22" t="inlineStr">
        <is>
          <t>S10</t>
        </is>
      </c>
      <c r="E1646" s="22" t="inlineStr">
        <is>
          <t>Nexa Nunavut (S10)</t>
        </is>
      </c>
      <c r="F1646" s="22" t="inlineStr">
        <is>
          <t>Canada</t>
        </is>
      </c>
      <c r="G1646" s="22" t="inlineStr">
        <is>
          <t>POS</t>
        </is>
      </c>
      <c r="H1646" s="31" t="n">
        <v>30699.25</v>
      </c>
      <c r="I1646" s="31" t="n">
        <v>1206.28</v>
      </c>
      <c r="J1646" s="31" t="n">
        <v>29492.97</v>
      </c>
      <c r="K1646" s="31" t="n">
        <v>643.15</v>
      </c>
      <c r="L1646" s="32" t="n">
        <v>21</v>
      </c>
      <c r="M1646" s="32" t="n">
        <v>181</v>
      </c>
      <c r="N1646" s="31" t="n">
        <v>28849.82</v>
      </c>
      <c r="O1646" s="31" t="n">
        <v>29492.97</v>
      </c>
      <c r="P1646" s="22" t="n">
        <v>0</v>
      </c>
      <c r="Q1646" s="22" t="n">
        <v>0</v>
      </c>
      <c r="R1646" s="22" t="n">
        <v>0</v>
      </c>
    </row>
    <row r="1647">
      <c r="A1647" s="22" t="n">
        <v>201812</v>
      </c>
      <c r="B1647" s="22" t="inlineStr">
        <is>
          <t>12/2018</t>
        </is>
      </c>
      <c r="C1647" s="22" t="n">
        <v>12</v>
      </c>
      <c r="D1647" s="22" t="inlineStr">
        <is>
          <t>S12</t>
        </is>
      </c>
      <c r="E1647" s="22" t="inlineStr">
        <is>
          <t>Nexa Basse-Normandie (S12)</t>
        </is>
      </c>
      <c r="F1647" s="22" t="inlineStr">
        <is>
          <t>Pháp</t>
        </is>
      </c>
      <c r="G1647" s="22" t="inlineStr">
        <is>
          <t>POS</t>
        </is>
      </c>
      <c r="H1647" s="31" t="n">
        <v>2156.44</v>
      </c>
      <c r="I1647" s="31" t="n">
        <v>163.75</v>
      </c>
      <c r="J1647" s="31" t="n">
        <v>1992.69</v>
      </c>
      <c r="K1647" s="31" t="n">
        <v>979.2</v>
      </c>
      <c r="L1647" s="32" t="n">
        <v>4</v>
      </c>
      <c r="M1647" s="32" t="n">
        <v>11</v>
      </c>
      <c r="N1647" s="31" t="n">
        <v>1013.49</v>
      </c>
      <c r="O1647" s="31" t="n">
        <v>1992.69</v>
      </c>
      <c r="P1647" s="22" t="n">
        <v>0</v>
      </c>
      <c r="Q1647" s="22" t="n">
        <v>0</v>
      </c>
      <c r="R1647" s="22" t="n">
        <v>0</v>
      </c>
    </row>
    <row r="1648">
      <c r="A1648" s="22" t="n">
        <v>201812</v>
      </c>
      <c r="B1648" s="22" t="inlineStr">
        <is>
          <t>12/2018</t>
        </is>
      </c>
      <c r="C1648" s="22" t="n">
        <v>13</v>
      </c>
      <c r="D1648" s="22" t="inlineStr">
        <is>
          <t>S13</t>
        </is>
      </c>
      <c r="E1648" s="22" t="inlineStr">
        <is>
          <t>Nexa Corse (S13)</t>
        </is>
      </c>
      <c r="F1648" s="22" t="inlineStr">
        <is>
          <t>Pháp</t>
        </is>
      </c>
      <c r="G1648" s="22" t="inlineStr">
        <is>
          <t>POS</t>
        </is>
      </c>
      <c r="H1648" s="31" t="n">
        <v>2495.26</v>
      </c>
      <c r="I1648" s="31" t="n">
        <v>0</v>
      </c>
      <c r="J1648" s="31" t="n">
        <v>2495.26</v>
      </c>
      <c r="K1648" s="31" t="n">
        <v>0</v>
      </c>
      <c r="L1648" s="32" t="n">
        <v>1</v>
      </c>
      <c r="M1648" s="32" t="n">
        <v>15</v>
      </c>
      <c r="N1648" s="31" t="n">
        <v>2495.26</v>
      </c>
      <c r="O1648" s="31" t="n">
        <v>2495.26</v>
      </c>
      <c r="P1648" s="22" t="n">
        <v>0</v>
      </c>
      <c r="Q1648" s="22" t="n">
        <v>0</v>
      </c>
      <c r="R1648" s="22" t="n">
        <v>0</v>
      </c>
    </row>
    <row r="1649">
      <c r="A1649" s="22" t="n">
        <v>201812</v>
      </c>
      <c r="B1649" s="22" t="inlineStr">
        <is>
          <t>12/2018</t>
        </is>
      </c>
      <c r="C1649" s="22" t="n">
        <v>14</v>
      </c>
      <c r="D1649" s="22" t="inlineStr">
        <is>
          <t>S14</t>
        </is>
      </c>
      <c r="E1649" s="22" t="inlineStr">
        <is>
          <t>Nexa Franche-Comté (S14)</t>
        </is>
      </c>
      <c r="F1649" s="22" t="inlineStr">
        <is>
          <t>Pháp</t>
        </is>
      </c>
      <c r="G1649" s="22" t="inlineStr">
        <is>
          <t>POS</t>
        </is>
      </c>
      <c r="H1649" s="31" t="n">
        <v>3737</v>
      </c>
      <c r="I1649" s="31" t="n">
        <v>373.7</v>
      </c>
      <c r="J1649" s="31" t="n">
        <v>3363.3</v>
      </c>
      <c r="K1649" s="31" t="n">
        <v>0</v>
      </c>
      <c r="L1649" s="32" t="n">
        <v>1</v>
      </c>
      <c r="M1649" s="32" t="n">
        <v>7</v>
      </c>
      <c r="N1649" s="31" t="n">
        <v>3363.3</v>
      </c>
      <c r="O1649" s="31" t="n">
        <v>3363.3</v>
      </c>
      <c r="P1649" s="22" t="n">
        <v>0</v>
      </c>
      <c r="Q1649" s="22" t="n">
        <v>0</v>
      </c>
      <c r="R1649" s="22" t="n">
        <v>0</v>
      </c>
    </row>
    <row r="1650">
      <c r="A1650" s="22" t="n">
        <v>201812</v>
      </c>
      <c r="B1650" s="22" t="inlineStr">
        <is>
          <t>12/2018</t>
        </is>
      </c>
      <c r="C1650" s="22" t="n">
        <v>15</v>
      </c>
      <c r="D1650" s="22" t="inlineStr">
        <is>
          <t>S15</t>
        </is>
      </c>
      <c r="E1650" s="22" t="inlineStr">
        <is>
          <t>Nexa La Réunion (S15)</t>
        </is>
      </c>
      <c r="F1650" s="22" t="inlineStr">
        <is>
          <t>Pháp</t>
        </is>
      </c>
      <c r="G1650" s="22" t="inlineStr">
        <is>
          <t>POS</t>
        </is>
      </c>
      <c r="H1650" s="31" t="n">
        <v>8475.41</v>
      </c>
      <c r="I1650" s="31" t="n">
        <v>17.53</v>
      </c>
      <c r="J1650" s="31" t="n">
        <v>8457.879999999999</v>
      </c>
      <c r="K1650" s="31" t="n">
        <v>0</v>
      </c>
      <c r="L1650" s="32" t="n">
        <v>4</v>
      </c>
      <c r="M1650" s="32" t="n">
        <v>39</v>
      </c>
      <c r="N1650" s="31" t="n">
        <v>8457.879999999999</v>
      </c>
      <c r="O1650" s="31" t="n">
        <v>8457.879999999999</v>
      </c>
      <c r="P1650" s="22" t="n">
        <v>0</v>
      </c>
      <c r="Q1650" s="22" t="n">
        <v>0</v>
      </c>
      <c r="R1650" s="22" t="n">
        <v>0</v>
      </c>
    </row>
    <row r="1651">
      <c r="A1651" s="22" t="n">
        <v>201812</v>
      </c>
      <c r="B1651" s="22" t="inlineStr">
        <is>
          <t>12/2018</t>
        </is>
      </c>
      <c r="C1651" s="22" t="n">
        <v>16</v>
      </c>
      <c r="D1651" s="22" t="inlineStr">
        <is>
          <t>S16</t>
        </is>
      </c>
      <c r="E1651" s="22" t="inlineStr">
        <is>
          <t>Nexa Limousin (S16)</t>
        </is>
      </c>
      <c r="F1651" s="22" t="inlineStr">
        <is>
          <t>Pháp</t>
        </is>
      </c>
      <c r="G1651" s="22" t="inlineStr">
        <is>
          <t>POS</t>
        </is>
      </c>
      <c r="H1651" s="31" t="n">
        <v>3161.09</v>
      </c>
      <c r="I1651" s="31" t="n">
        <v>0</v>
      </c>
      <c r="J1651" s="31" t="n">
        <v>3161.09</v>
      </c>
      <c r="K1651" s="31" t="n">
        <v>0</v>
      </c>
      <c r="L1651" s="32" t="n">
        <v>2</v>
      </c>
      <c r="M1651" s="32" t="n">
        <v>18</v>
      </c>
      <c r="N1651" s="31" t="n">
        <v>3161.09</v>
      </c>
      <c r="O1651" s="31" t="n">
        <v>3161.09</v>
      </c>
      <c r="P1651" s="22" t="n">
        <v>0</v>
      </c>
      <c r="Q1651" s="22" t="n">
        <v>0</v>
      </c>
      <c r="R1651" s="22" t="n">
        <v>0</v>
      </c>
    </row>
    <row r="1652">
      <c r="A1652" s="22" t="n">
        <v>201812</v>
      </c>
      <c r="B1652" s="22" t="inlineStr">
        <is>
          <t>12/2018</t>
        </is>
      </c>
      <c r="C1652" s="22" t="n">
        <v>17</v>
      </c>
      <c r="D1652" s="22" t="inlineStr">
        <is>
          <t>S17</t>
        </is>
      </c>
      <c r="E1652" s="22" t="inlineStr">
        <is>
          <t>Nexa Martinique (S17)</t>
        </is>
      </c>
      <c r="F1652" s="22" t="inlineStr">
        <is>
          <t>Pháp</t>
        </is>
      </c>
      <c r="G1652" s="22" t="inlineStr">
        <is>
          <t>POS</t>
        </is>
      </c>
      <c r="H1652" s="31" t="n">
        <v>5985.14</v>
      </c>
      <c r="I1652" s="31" t="n">
        <v>236.49</v>
      </c>
      <c r="J1652" s="31" t="n">
        <v>5748.65</v>
      </c>
      <c r="K1652" s="31" t="n">
        <v>0</v>
      </c>
      <c r="L1652" s="32" t="n">
        <v>6</v>
      </c>
      <c r="M1652" s="32" t="n">
        <v>41</v>
      </c>
      <c r="N1652" s="31" t="n">
        <v>5748.65</v>
      </c>
      <c r="O1652" s="31" t="n">
        <v>5748.65</v>
      </c>
      <c r="P1652" s="22" t="n">
        <v>0</v>
      </c>
      <c r="Q1652" s="22" t="n">
        <v>0</v>
      </c>
      <c r="R1652" s="22" t="n">
        <v>0</v>
      </c>
    </row>
    <row r="1653">
      <c r="A1653" s="22" t="n">
        <v>201812</v>
      </c>
      <c r="B1653" s="22" t="inlineStr">
        <is>
          <t>12/2018</t>
        </is>
      </c>
      <c r="C1653" s="22" t="n">
        <v>18</v>
      </c>
      <c r="D1653" s="22" t="inlineStr">
        <is>
          <t>S18</t>
        </is>
      </c>
      <c r="E1653" s="22" t="inlineStr">
        <is>
          <t>Nexa Mayotte (S18)</t>
        </is>
      </c>
      <c r="F1653" s="22" t="inlineStr">
        <is>
          <t>Pháp</t>
        </is>
      </c>
      <c r="G1653" s="22" t="inlineStr">
        <is>
          <t>POS</t>
        </is>
      </c>
      <c r="H1653" s="31" t="n">
        <v>22897.67</v>
      </c>
      <c r="I1653" s="31" t="n">
        <v>0</v>
      </c>
      <c r="J1653" s="31" t="n">
        <v>22897.67</v>
      </c>
      <c r="K1653" s="31" t="n">
        <v>0</v>
      </c>
      <c r="L1653" s="32" t="n">
        <v>4</v>
      </c>
      <c r="M1653" s="32" t="n">
        <v>40</v>
      </c>
      <c r="N1653" s="31" t="n">
        <v>22897.67</v>
      </c>
      <c r="O1653" s="31" t="n">
        <v>22897.67</v>
      </c>
      <c r="P1653" s="22" t="n">
        <v>0</v>
      </c>
      <c r="Q1653" s="22" t="n">
        <v>0</v>
      </c>
      <c r="R1653" s="22" t="n">
        <v>0</v>
      </c>
    </row>
    <row r="1654">
      <c r="A1654" s="22" t="n">
        <v>201812</v>
      </c>
      <c r="B1654" s="22" t="inlineStr">
        <is>
          <t>12/2018</t>
        </is>
      </c>
      <c r="C1654" s="22" t="n">
        <v>19</v>
      </c>
      <c r="D1654" s="22" t="inlineStr">
        <is>
          <t>S19</t>
        </is>
      </c>
      <c r="E1654" s="22" t="inlineStr">
        <is>
          <t>Nexa Berlin (S19)</t>
        </is>
      </c>
      <c r="F1654" s="22" t="inlineStr">
        <is>
          <t>Đức</t>
        </is>
      </c>
      <c r="G1654" s="22" t="inlineStr">
        <is>
          <t>POS</t>
        </is>
      </c>
      <c r="H1654" s="31" t="n">
        <v>28697.39</v>
      </c>
      <c r="I1654" s="31" t="n">
        <v>768.15</v>
      </c>
      <c r="J1654" s="31" t="n">
        <v>27929.24</v>
      </c>
      <c r="K1654" s="31" t="n">
        <v>0</v>
      </c>
      <c r="L1654" s="32" t="n">
        <v>19</v>
      </c>
      <c r="M1654" s="32" t="n">
        <v>128</v>
      </c>
      <c r="N1654" s="31" t="n">
        <v>27929.24</v>
      </c>
      <c r="O1654" s="31" t="n">
        <v>27929.24</v>
      </c>
      <c r="P1654" s="22" t="n">
        <v>0</v>
      </c>
      <c r="Q1654" s="22" t="n">
        <v>0</v>
      </c>
      <c r="R1654" s="22" t="n">
        <v>0</v>
      </c>
    </row>
    <row r="1655">
      <c r="A1655" s="22" t="n">
        <v>201812</v>
      </c>
      <c r="B1655" s="22" t="inlineStr">
        <is>
          <t>12/2018</t>
        </is>
      </c>
      <c r="C1655" s="22" t="n">
        <v>20</v>
      </c>
      <c r="D1655" s="22" t="inlineStr">
        <is>
          <t>S20</t>
        </is>
      </c>
      <c r="E1655" s="22" t="inlineStr">
        <is>
          <t>Nexa Brandenburg (S20)</t>
        </is>
      </c>
      <c r="F1655" s="22" t="inlineStr">
        <is>
          <t>Đức</t>
        </is>
      </c>
      <c r="G1655" s="22" t="inlineStr">
        <is>
          <t>POS</t>
        </is>
      </c>
      <c r="H1655" s="31" t="n">
        <v>36588.27</v>
      </c>
      <c r="I1655" s="31" t="n">
        <v>70.16</v>
      </c>
      <c r="J1655" s="31" t="n">
        <v>36518.11</v>
      </c>
      <c r="K1655" s="31" t="n">
        <v>0</v>
      </c>
      <c r="L1655" s="32" t="n">
        <v>13</v>
      </c>
      <c r="M1655" s="32" t="n">
        <v>93</v>
      </c>
      <c r="N1655" s="31" t="n">
        <v>36518.11</v>
      </c>
      <c r="O1655" s="31" t="n">
        <v>36518.11</v>
      </c>
      <c r="P1655" s="22" t="n">
        <v>1</v>
      </c>
      <c r="Q1655" s="22" t="n">
        <v>0</v>
      </c>
      <c r="R1655" s="22" t="n">
        <v>0</v>
      </c>
    </row>
    <row r="1656">
      <c r="A1656" s="22" t="n">
        <v>201812</v>
      </c>
      <c r="B1656" s="22" t="inlineStr">
        <is>
          <t>12/2018</t>
        </is>
      </c>
      <c r="C1656" s="22" t="n">
        <v>21</v>
      </c>
      <c r="D1656" s="22" t="inlineStr">
        <is>
          <t>S21</t>
        </is>
      </c>
      <c r="E1656" s="22" t="inlineStr">
        <is>
          <t>Nexa Freie Hansestadt Bremen (S21)</t>
        </is>
      </c>
      <c r="F1656" s="22" t="inlineStr">
        <is>
          <t>Đức</t>
        </is>
      </c>
      <c r="G1656" s="22" t="inlineStr">
        <is>
          <t>POS</t>
        </is>
      </c>
      <c r="H1656" s="31" t="n">
        <v>10410.52</v>
      </c>
      <c r="I1656" s="31" t="n">
        <v>705.77</v>
      </c>
      <c r="J1656" s="31" t="n">
        <v>9704.75</v>
      </c>
      <c r="K1656" s="31" t="n">
        <v>0</v>
      </c>
      <c r="L1656" s="32" t="n">
        <v>7</v>
      </c>
      <c r="M1656" s="32" t="n">
        <v>49</v>
      </c>
      <c r="N1656" s="31" t="n">
        <v>9704.75</v>
      </c>
      <c r="O1656" s="31" t="n">
        <v>9704.75</v>
      </c>
      <c r="P1656" s="22" t="n">
        <v>0</v>
      </c>
      <c r="Q1656" s="22" t="n">
        <v>0</v>
      </c>
      <c r="R1656" s="22" t="n">
        <v>0</v>
      </c>
    </row>
    <row r="1657">
      <c r="A1657" s="22" t="n">
        <v>201812</v>
      </c>
      <c r="B1657" s="22" t="inlineStr">
        <is>
          <t>12/2018</t>
        </is>
      </c>
      <c r="C1657" s="22" t="n">
        <v>22</v>
      </c>
      <c r="D1657" s="22" t="inlineStr">
        <is>
          <t>S22</t>
        </is>
      </c>
      <c r="E1657" s="22" t="inlineStr">
        <is>
          <t>Nexa Freistaat Thüringen (S22)</t>
        </is>
      </c>
      <c r="F1657" s="22" t="inlineStr">
        <is>
          <t>Đức</t>
        </is>
      </c>
      <c r="G1657" s="22" t="inlineStr">
        <is>
          <t>POS</t>
        </is>
      </c>
      <c r="H1657" s="31" t="n">
        <v>30331.68</v>
      </c>
      <c r="I1657" s="31" t="n">
        <v>360.1</v>
      </c>
      <c r="J1657" s="31" t="n">
        <v>29971.58</v>
      </c>
      <c r="K1657" s="31" t="n">
        <v>143.99</v>
      </c>
      <c r="L1657" s="32" t="n">
        <v>18</v>
      </c>
      <c r="M1657" s="32" t="n">
        <v>144</v>
      </c>
      <c r="N1657" s="31" t="n">
        <v>29827.59</v>
      </c>
      <c r="O1657" s="31" t="n">
        <v>29971.58</v>
      </c>
      <c r="P1657" s="22" t="n">
        <v>0</v>
      </c>
      <c r="Q1657" s="22" t="n">
        <v>0</v>
      </c>
      <c r="R1657" s="22" t="n">
        <v>0</v>
      </c>
    </row>
    <row r="1658">
      <c r="A1658" s="22" t="n">
        <v>201812</v>
      </c>
      <c r="B1658" s="22" t="inlineStr">
        <is>
          <t>12/2018</t>
        </is>
      </c>
      <c r="C1658" s="22" t="n">
        <v>23</v>
      </c>
      <c r="D1658" s="22" t="inlineStr">
        <is>
          <t>S23</t>
        </is>
      </c>
      <c r="E1658" s="22" t="inlineStr">
        <is>
          <t>Nexa Hamburg (S23)</t>
        </is>
      </c>
      <c r="F1658" s="22" t="inlineStr">
        <is>
          <t>Đức</t>
        </is>
      </c>
      <c r="G1658" s="22" t="inlineStr">
        <is>
          <t>POS</t>
        </is>
      </c>
      <c r="H1658" s="31" t="n">
        <v>25527.51</v>
      </c>
      <c r="I1658" s="31" t="n">
        <v>539.6</v>
      </c>
      <c r="J1658" s="31" t="n">
        <v>24987.91</v>
      </c>
      <c r="K1658" s="31" t="n">
        <v>0</v>
      </c>
      <c r="L1658" s="32" t="n">
        <v>12</v>
      </c>
      <c r="M1658" s="32" t="n">
        <v>95</v>
      </c>
      <c r="N1658" s="31" t="n">
        <v>24987.91</v>
      </c>
      <c r="O1658" s="31" t="n">
        <v>24987.91</v>
      </c>
      <c r="P1658" s="22" t="n">
        <v>0</v>
      </c>
      <c r="Q1658" s="22" t="n">
        <v>0</v>
      </c>
      <c r="R1658" s="22" t="n">
        <v>0</v>
      </c>
    </row>
    <row r="1659">
      <c r="A1659" s="22" t="n">
        <v>201812</v>
      </c>
      <c r="B1659" s="22" t="inlineStr">
        <is>
          <t>12/2018</t>
        </is>
      </c>
      <c r="C1659" s="22" t="n">
        <v>24</v>
      </c>
      <c r="D1659" s="22" t="inlineStr">
        <is>
          <t>S24</t>
        </is>
      </c>
      <c r="E1659" s="22" t="inlineStr">
        <is>
          <t>Nexa Hessen (S24)</t>
        </is>
      </c>
      <c r="F1659" s="22" t="inlineStr">
        <is>
          <t>Đức</t>
        </is>
      </c>
      <c r="G1659" s="22" t="inlineStr">
        <is>
          <t>POS</t>
        </is>
      </c>
      <c r="H1659" s="31" t="n">
        <v>17235.18</v>
      </c>
      <c r="I1659" s="31" t="n">
        <v>500.89</v>
      </c>
      <c r="J1659" s="31" t="n">
        <v>16734.29</v>
      </c>
      <c r="K1659" s="31" t="n">
        <v>0</v>
      </c>
      <c r="L1659" s="32" t="n">
        <v>17</v>
      </c>
      <c r="M1659" s="32" t="n">
        <v>89</v>
      </c>
      <c r="N1659" s="31" t="n">
        <v>16734.29</v>
      </c>
      <c r="O1659" s="31" t="n">
        <v>16734.29</v>
      </c>
      <c r="P1659" s="22" t="n">
        <v>0</v>
      </c>
      <c r="Q1659" s="22" t="n">
        <v>0</v>
      </c>
      <c r="R1659" s="22" t="n">
        <v>0</v>
      </c>
    </row>
    <row r="1660">
      <c r="A1660" s="22" t="n">
        <v>201812</v>
      </c>
      <c r="B1660" s="22" t="inlineStr">
        <is>
          <t>12/2018</t>
        </is>
      </c>
      <c r="C1660" s="22" t="n">
        <v>27</v>
      </c>
      <c r="D1660" s="22" t="inlineStr">
        <is>
          <t>S27</t>
        </is>
      </c>
      <c r="E1660" s="22" t="inlineStr">
        <is>
          <t>Nexa Sachsen-Anhalt (S27)</t>
        </is>
      </c>
      <c r="F1660" s="22" t="inlineStr">
        <is>
          <t>Đức</t>
        </is>
      </c>
      <c r="G1660" s="22" t="inlineStr">
        <is>
          <t>POS</t>
        </is>
      </c>
      <c r="H1660" s="31" t="n">
        <v>18220.62</v>
      </c>
      <c r="I1660" s="31" t="n">
        <v>146.1</v>
      </c>
      <c r="J1660" s="31" t="n">
        <v>18074.52</v>
      </c>
      <c r="K1660" s="31" t="n">
        <v>109.65</v>
      </c>
      <c r="L1660" s="32" t="n">
        <v>9</v>
      </c>
      <c r="M1660" s="32" t="n">
        <v>42</v>
      </c>
      <c r="N1660" s="31" t="n">
        <v>17964.87</v>
      </c>
      <c r="O1660" s="31" t="n">
        <v>18074.52</v>
      </c>
      <c r="P1660" s="22" t="n">
        <v>0</v>
      </c>
      <c r="Q1660" s="22" t="n">
        <v>0</v>
      </c>
      <c r="R1660" s="22" t="n">
        <v>0</v>
      </c>
    </row>
    <row r="1661">
      <c r="A1661" s="22" t="n">
        <v>201812</v>
      </c>
      <c r="B1661" s="22" t="inlineStr">
        <is>
          <t>12/2018</t>
        </is>
      </c>
      <c r="C1661" s="22" t="n">
        <v>29</v>
      </c>
      <c r="D1661" s="22" t="inlineStr">
        <is>
          <t>S29</t>
        </is>
      </c>
      <c r="E1661" s="22" t="inlineStr">
        <is>
          <t>Nexa Enna (S29)</t>
        </is>
      </c>
      <c r="F1661" s="22" t="inlineStr">
        <is>
          <t>Ý</t>
        </is>
      </c>
      <c r="G1661" s="22" t="inlineStr">
        <is>
          <t>POS</t>
        </is>
      </c>
      <c r="H1661" s="31" t="n">
        <v>38610.49</v>
      </c>
      <c r="I1661" s="31" t="n">
        <v>636.11</v>
      </c>
      <c r="J1661" s="31" t="n">
        <v>37974.38</v>
      </c>
      <c r="K1661" s="31" t="n">
        <v>3290.28</v>
      </c>
      <c r="L1661" s="32" t="n">
        <v>20</v>
      </c>
      <c r="M1661" s="32" t="n">
        <v>114</v>
      </c>
      <c r="N1661" s="31" t="n">
        <v>34684.1</v>
      </c>
      <c r="O1661" s="31" t="n">
        <v>37974.38</v>
      </c>
      <c r="P1661" s="22" t="n">
        <v>0</v>
      </c>
      <c r="Q1661" s="22" t="n">
        <v>0</v>
      </c>
      <c r="R1661" s="22" t="n">
        <v>0</v>
      </c>
    </row>
    <row r="1662">
      <c r="A1662" s="22" t="n">
        <v>201812</v>
      </c>
      <c r="B1662" s="22" t="inlineStr">
        <is>
          <t>12/2018</t>
        </is>
      </c>
      <c r="C1662" s="22" t="n">
        <v>30</v>
      </c>
      <c r="D1662" s="22" t="inlineStr">
        <is>
          <t>S30</t>
        </is>
      </c>
      <c r="E1662" s="22" t="inlineStr">
        <is>
          <t>Nexa Pesaro (S30)</t>
        </is>
      </c>
      <c r="F1662" s="22" t="inlineStr">
        <is>
          <t>Ý</t>
        </is>
      </c>
      <c r="G1662" s="22" t="inlineStr">
        <is>
          <t>POS</t>
        </is>
      </c>
      <c r="H1662" s="31" t="n">
        <v>49011.93</v>
      </c>
      <c r="I1662" s="31" t="n">
        <v>2789.09</v>
      </c>
      <c r="J1662" s="31" t="n">
        <v>46222.84</v>
      </c>
      <c r="K1662" s="31" t="n">
        <v>4045.5</v>
      </c>
      <c r="L1662" s="32" t="n">
        <v>13</v>
      </c>
      <c r="M1662" s="32" t="n">
        <v>136</v>
      </c>
      <c r="N1662" s="31" t="n">
        <v>42177.34</v>
      </c>
      <c r="O1662" s="31" t="n">
        <v>46222.84</v>
      </c>
      <c r="P1662" s="22" t="n">
        <v>1</v>
      </c>
      <c r="Q1662" s="22" t="n">
        <v>0</v>
      </c>
      <c r="R1662" s="22" t="n">
        <v>0</v>
      </c>
    </row>
    <row r="1663">
      <c r="A1663" s="22" t="n">
        <v>201812</v>
      </c>
      <c r="B1663" s="22" t="inlineStr">
        <is>
          <t>12/2018</t>
        </is>
      </c>
      <c r="C1663" s="22" t="n">
        <v>31</v>
      </c>
      <c r="D1663" s="22" t="inlineStr">
        <is>
          <t>S31</t>
        </is>
      </c>
      <c r="E1663" s="22" t="inlineStr">
        <is>
          <t>Nexa Drenthe (S31)</t>
        </is>
      </c>
      <c r="F1663" s="22" t="inlineStr">
        <is>
          <t>Hà Lan</t>
        </is>
      </c>
      <c r="G1663" s="22" t="inlineStr">
        <is>
          <t>POS</t>
        </is>
      </c>
      <c r="H1663" s="31" t="n">
        <v>22806.46</v>
      </c>
      <c r="I1663" s="31" t="n">
        <v>327.66</v>
      </c>
      <c r="J1663" s="31" t="n">
        <v>22478.8</v>
      </c>
      <c r="K1663" s="31" t="n">
        <v>0</v>
      </c>
      <c r="L1663" s="32" t="n">
        <v>11</v>
      </c>
      <c r="M1663" s="32" t="n">
        <v>61</v>
      </c>
      <c r="N1663" s="31" t="n">
        <v>22478.8</v>
      </c>
      <c r="O1663" s="31" t="n">
        <v>22478.8</v>
      </c>
      <c r="P1663" s="22" t="n">
        <v>0</v>
      </c>
      <c r="Q1663" s="22" t="n">
        <v>0</v>
      </c>
      <c r="R1663" s="22" t="n">
        <v>0</v>
      </c>
    </row>
    <row r="1664">
      <c r="A1664" s="22" t="n">
        <v>201812</v>
      </c>
      <c r="B1664" s="22" t="inlineStr">
        <is>
          <t>12/2018</t>
        </is>
      </c>
      <c r="C1664" s="22" t="n">
        <v>32</v>
      </c>
      <c r="D1664" s="22" t="inlineStr">
        <is>
          <t>S32</t>
        </is>
      </c>
      <c r="E1664" s="22" t="inlineStr">
        <is>
          <t>Nexa Flevoland (S32)</t>
        </is>
      </c>
      <c r="F1664" s="22" t="inlineStr">
        <is>
          <t>Hà Lan</t>
        </is>
      </c>
      <c r="G1664" s="22" t="inlineStr">
        <is>
          <t>POS</t>
        </is>
      </c>
      <c r="H1664" s="31" t="n">
        <v>18446.19</v>
      </c>
      <c r="I1664" s="31" t="n">
        <v>994.5599999999999</v>
      </c>
      <c r="J1664" s="31" t="n">
        <v>17451.63</v>
      </c>
      <c r="K1664" s="31" t="n">
        <v>0</v>
      </c>
      <c r="L1664" s="32" t="n">
        <v>15</v>
      </c>
      <c r="M1664" s="32" t="n">
        <v>132</v>
      </c>
      <c r="N1664" s="31" t="n">
        <v>17451.63</v>
      </c>
      <c r="O1664" s="31" t="n">
        <v>17451.63</v>
      </c>
      <c r="P1664" s="22" t="n">
        <v>1</v>
      </c>
      <c r="Q1664" s="22" t="n">
        <v>0</v>
      </c>
      <c r="R1664" s="22" t="n">
        <v>0</v>
      </c>
    </row>
    <row r="1665">
      <c r="A1665" s="22" t="n">
        <v>201812</v>
      </c>
      <c r="B1665" s="22" t="inlineStr">
        <is>
          <t>12/2018</t>
        </is>
      </c>
      <c r="C1665" s="22" t="n">
        <v>33</v>
      </c>
      <c r="D1665" s="22" t="inlineStr">
        <is>
          <t>S33</t>
        </is>
      </c>
      <c r="E1665" s="22" t="inlineStr">
        <is>
          <t>Nexa Friesland (S33)</t>
        </is>
      </c>
      <c r="F1665" s="22" t="inlineStr">
        <is>
          <t>Hà Lan</t>
        </is>
      </c>
      <c r="G1665" s="22" t="inlineStr">
        <is>
          <t>POS</t>
        </is>
      </c>
      <c r="H1665" s="31" t="n">
        <v>8555.75</v>
      </c>
      <c r="I1665" s="31" t="n">
        <v>290.26</v>
      </c>
      <c r="J1665" s="31" t="n">
        <v>8265.49</v>
      </c>
      <c r="K1665" s="31" t="n">
        <v>0</v>
      </c>
      <c r="L1665" s="32" t="n">
        <v>10</v>
      </c>
      <c r="M1665" s="32" t="n">
        <v>73</v>
      </c>
      <c r="N1665" s="31" t="n">
        <v>8265.49</v>
      </c>
      <c r="O1665" s="31" t="n">
        <v>8265.49</v>
      </c>
      <c r="P1665" s="22" t="n">
        <v>0</v>
      </c>
      <c r="Q1665" s="22" t="n">
        <v>0</v>
      </c>
      <c r="R1665" s="22" t="n">
        <v>0</v>
      </c>
    </row>
    <row r="1666">
      <c r="A1666" s="22" t="n">
        <v>201812</v>
      </c>
      <c r="B1666" s="22" t="inlineStr">
        <is>
          <t>12/2018</t>
        </is>
      </c>
      <c r="C1666" s="22" t="n">
        <v>34</v>
      </c>
      <c r="D1666" s="22" t="inlineStr">
        <is>
          <t>S34</t>
        </is>
      </c>
      <c r="E1666" s="22" t="inlineStr">
        <is>
          <t>Nexa Groningen (S34)</t>
        </is>
      </c>
      <c r="F1666" s="22" t="inlineStr">
        <is>
          <t>Hà Lan</t>
        </is>
      </c>
      <c r="G1666" s="22" t="inlineStr">
        <is>
          <t>POS</t>
        </is>
      </c>
      <c r="H1666" s="31" t="n">
        <v>14977.75</v>
      </c>
      <c r="I1666" s="31" t="n">
        <v>774.15</v>
      </c>
      <c r="J1666" s="31" t="n">
        <v>14203.6</v>
      </c>
      <c r="K1666" s="31" t="n">
        <v>36.17</v>
      </c>
      <c r="L1666" s="32" t="n">
        <v>7</v>
      </c>
      <c r="M1666" s="32" t="n">
        <v>48</v>
      </c>
      <c r="N1666" s="31" t="n">
        <v>14167.43</v>
      </c>
      <c r="O1666" s="31" t="n">
        <v>14203.6</v>
      </c>
      <c r="P1666" s="22" t="n">
        <v>1</v>
      </c>
      <c r="Q1666" s="22" t="n">
        <v>0</v>
      </c>
      <c r="R1666" s="22" t="n">
        <v>0</v>
      </c>
    </row>
    <row r="1667">
      <c r="A1667" s="22" t="n">
        <v>201812</v>
      </c>
      <c r="B1667" s="22" t="inlineStr">
        <is>
          <t>12/2018</t>
        </is>
      </c>
      <c r="C1667" s="22" t="n">
        <v>36</v>
      </c>
      <c r="D1667" s="22" t="inlineStr">
        <is>
          <t>S36</t>
        </is>
      </c>
      <c r="E1667" s="22" t="inlineStr">
        <is>
          <t>Nexa Armagh (S36)</t>
        </is>
      </c>
      <c r="F1667" s="22" t="inlineStr">
        <is>
          <t>Anh</t>
        </is>
      </c>
      <c r="G1667" s="22" t="inlineStr">
        <is>
          <t>POS</t>
        </is>
      </c>
      <c r="H1667" s="31" t="n">
        <v>28240.6</v>
      </c>
      <c r="I1667" s="31" t="n">
        <v>762.52</v>
      </c>
      <c r="J1667" s="31" t="n">
        <v>27478.08</v>
      </c>
      <c r="K1667" s="31" t="n">
        <v>3856</v>
      </c>
      <c r="L1667" s="32" t="n">
        <v>24</v>
      </c>
      <c r="M1667" s="32" t="n">
        <v>131</v>
      </c>
      <c r="N1667" s="31" t="n">
        <v>23622.08</v>
      </c>
      <c r="O1667" s="31" t="n">
        <v>27478.08</v>
      </c>
      <c r="P1667" s="22" t="n">
        <v>0</v>
      </c>
      <c r="Q1667" s="22" t="n">
        <v>0</v>
      </c>
      <c r="R1667" s="22" t="n">
        <v>0</v>
      </c>
    </row>
    <row r="1668">
      <c r="A1668" s="22" t="n">
        <v>201812</v>
      </c>
      <c r="B1668" s="22" t="inlineStr">
        <is>
          <t>12/2018</t>
        </is>
      </c>
      <c r="C1668" s="22" t="n">
        <v>37</v>
      </c>
      <c r="D1668" s="22" t="inlineStr">
        <is>
          <t>S37</t>
        </is>
      </c>
      <c r="E1668" s="22" t="inlineStr">
        <is>
          <t>Nexa Ayrshire (S37)</t>
        </is>
      </c>
      <c r="F1668" s="22" t="inlineStr">
        <is>
          <t>Anh</t>
        </is>
      </c>
      <c r="G1668" s="22" t="inlineStr">
        <is>
          <t>POS</t>
        </is>
      </c>
      <c r="H1668" s="31" t="n">
        <v>25714.78</v>
      </c>
      <c r="I1668" s="31" t="n">
        <v>166</v>
      </c>
      <c r="J1668" s="31" t="n">
        <v>25548.78</v>
      </c>
      <c r="K1668" s="31" t="n">
        <v>1935.13</v>
      </c>
      <c r="L1668" s="32" t="n">
        <v>16</v>
      </c>
      <c r="M1668" s="32" t="n">
        <v>85</v>
      </c>
      <c r="N1668" s="31" t="n">
        <v>23613.65</v>
      </c>
      <c r="O1668" s="31" t="n">
        <v>25548.78</v>
      </c>
      <c r="P1668" s="22" t="n">
        <v>0</v>
      </c>
      <c r="Q1668" s="22" t="n">
        <v>0</v>
      </c>
      <c r="R1668" s="22" t="n">
        <v>0</v>
      </c>
    </row>
    <row r="1669">
      <c r="A1669" s="22" t="n">
        <v>201812</v>
      </c>
      <c r="B1669" s="22" t="inlineStr">
        <is>
          <t>12/2018</t>
        </is>
      </c>
      <c r="C1669" s="22" t="n">
        <v>38</v>
      </c>
      <c r="D1669" s="22" t="inlineStr">
        <is>
          <t>S38</t>
        </is>
      </c>
      <c r="E1669" s="22" t="inlineStr">
        <is>
          <t>Nexa Belfast (S38)</t>
        </is>
      </c>
      <c r="F1669" s="22" t="inlineStr">
        <is>
          <t>Anh</t>
        </is>
      </c>
      <c r="G1669" s="22" t="inlineStr">
        <is>
          <t>POS</t>
        </is>
      </c>
      <c r="H1669" s="31" t="n">
        <v>32517.22</v>
      </c>
      <c r="I1669" s="31" t="n">
        <v>565.33</v>
      </c>
      <c r="J1669" s="31" t="n">
        <v>31951.89</v>
      </c>
      <c r="K1669" s="31" t="n">
        <v>58.95</v>
      </c>
      <c r="L1669" s="32" t="n">
        <v>20</v>
      </c>
      <c r="M1669" s="32" t="n">
        <v>141</v>
      </c>
      <c r="N1669" s="31" t="n">
        <v>31892.94</v>
      </c>
      <c r="O1669" s="31" t="n">
        <v>31951.89</v>
      </c>
      <c r="P1669" s="22" t="n">
        <v>0</v>
      </c>
      <c r="Q1669" s="22" t="n">
        <v>0</v>
      </c>
      <c r="R1669" s="22" t="n">
        <v>0</v>
      </c>
    </row>
    <row r="1670">
      <c r="A1670" s="22" t="n">
        <v>201812</v>
      </c>
      <c r="B1670" s="22" t="inlineStr">
        <is>
          <t>12/2018</t>
        </is>
      </c>
      <c r="C1670" s="22" t="n">
        <v>39</v>
      </c>
      <c r="D1670" s="22" t="inlineStr">
        <is>
          <t>S39</t>
        </is>
      </c>
      <c r="E1670" s="22" t="inlineStr">
        <is>
          <t>Nexa Blaenau Gwent (S39)</t>
        </is>
      </c>
      <c r="F1670" s="22" t="inlineStr">
        <is>
          <t>Anh</t>
        </is>
      </c>
      <c r="G1670" s="22" t="inlineStr">
        <is>
          <t>POS</t>
        </is>
      </c>
      <c r="H1670" s="31" t="n">
        <v>18481.85</v>
      </c>
      <c r="I1670" s="31" t="n">
        <v>106.4</v>
      </c>
      <c r="J1670" s="31" t="n">
        <v>18375.45</v>
      </c>
      <c r="K1670" s="31" t="n">
        <v>844.96</v>
      </c>
      <c r="L1670" s="32" t="n">
        <v>12</v>
      </c>
      <c r="M1670" s="32" t="n">
        <v>78</v>
      </c>
      <c r="N1670" s="31" t="n">
        <v>17530.49</v>
      </c>
      <c r="O1670" s="31" t="n">
        <v>18375.45</v>
      </c>
      <c r="P1670" s="22" t="n">
        <v>1</v>
      </c>
      <c r="Q1670" s="22" t="n">
        <v>0</v>
      </c>
      <c r="R1670" s="22" t="n">
        <v>0</v>
      </c>
    </row>
    <row r="1671">
      <c r="A1671" s="22" t="n">
        <v>201812</v>
      </c>
      <c r="B1671" s="22" t="inlineStr">
        <is>
          <t>12/2018</t>
        </is>
      </c>
      <c r="C1671" s="22" t="n">
        <v>40</v>
      </c>
      <c r="D1671" s="22" t="inlineStr">
        <is>
          <t>S40</t>
        </is>
      </c>
      <c r="E1671" s="22" t="inlineStr">
        <is>
          <t>Nexa Dungannon and South Tyrone (S40)</t>
        </is>
      </c>
      <c r="F1671" s="22" t="inlineStr">
        <is>
          <t>Anh</t>
        </is>
      </c>
      <c r="G1671" s="22" t="inlineStr">
        <is>
          <t>POS</t>
        </is>
      </c>
      <c r="H1671" s="31" t="n">
        <v>23494.89</v>
      </c>
      <c r="I1671" s="31" t="n">
        <v>120.9</v>
      </c>
      <c r="J1671" s="31" t="n">
        <v>23373.99</v>
      </c>
      <c r="K1671" s="31" t="n">
        <v>0</v>
      </c>
      <c r="L1671" s="32" t="n">
        <v>13</v>
      </c>
      <c r="M1671" s="32" t="n">
        <v>80</v>
      </c>
      <c r="N1671" s="31" t="n">
        <v>23373.99</v>
      </c>
      <c r="O1671" s="31" t="n">
        <v>23373.99</v>
      </c>
      <c r="P1671" s="22" t="n">
        <v>0</v>
      </c>
      <c r="Q1671" s="22" t="n">
        <v>0</v>
      </c>
      <c r="R1671" s="22" t="n">
        <v>0</v>
      </c>
    </row>
    <row r="1672">
      <c r="A1672" s="22" t="n">
        <v>201812</v>
      </c>
      <c r="B1672" s="22" t="inlineStr">
        <is>
          <t>12/2018</t>
        </is>
      </c>
      <c r="C1672" s="22" t="n">
        <v>42</v>
      </c>
      <c r="D1672" s="22" t="inlineStr">
        <is>
          <t>S42</t>
        </is>
      </c>
      <c r="E1672" s="22" t="inlineStr">
        <is>
          <t>Nexa North Down (S42)</t>
        </is>
      </c>
      <c r="F1672" s="22" t="inlineStr">
        <is>
          <t>Anh</t>
        </is>
      </c>
      <c r="G1672" s="22" t="inlineStr">
        <is>
          <t>POS</t>
        </is>
      </c>
      <c r="H1672" s="31" t="n">
        <v>33672.15</v>
      </c>
      <c r="I1672" s="31" t="n">
        <v>1365.1</v>
      </c>
      <c r="J1672" s="31" t="n">
        <v>32307.05</v>
      </c>
      <c r="K1672" s="31" t="n">
        <v>1994.64</v>
      </c>
      <c r="L1672" s="32" t="n">
        <v>21</v>
      </c>
      <c r="M1672" s="32" t="n">
        <v>98</v>
      </c>
      <c r="N1672" s="31" t="n">
        <v>32302.31</v>
      </c>
      <c r="O1672" s="31" t="n">
        <v>32307.05</v>
      </c>
      <c r="P1672" s="22" t="n">
        <v>0</v>
      </c>
      <c r="Q1672" s="22" t="n">
        <v>0</v>
      </c>
      <c r="R1672" s="22" t="n">
        <v>0</v>
      </c>
    </row>
    <row r="1673">
      <c r="A1673" s="22" t="n">
        <v>201812</v>
      </c>
      <c r="B1673" s="22" t="inlineStr">
        <is>
          <t>12/2018</t>
        </is>
      </c>
      <c r="C1673" s="22" t="n">
        <v>43</v>
      </c>
      <c r="D1673" s="22" t="inlineStr">
        <is>
          <t>S43</t>
        </is>
      </c>
      <c r="E1673" s="22" t="inlineStr">
        <is>
          <t>Nexa Alaska (S43)</t>
        </is>
      </c>
      <c r="F1673" s="22" t="inlineStr">
        <is>
          <t>Mỹ</t>
        </is>
      </c>
      <c r="G1673" s="22" t="inlineStr">
        <is>
          <t>POS</t>
        </is>
      </c>
      <c r="H1673" s="31" t="n">
        <v>43171.74</v>
      </c>
      <c r="I1673" s="31" t="n">
        <v>730.0700000000001</v>
      </c>
      <c r="J1673" s="31" t="n">
        <v>42441.67</v>
      </c>
      <c r="K1673" s="31" t="n">
        <v>0</v>
      </c>
      <c r="L1673" s="32" t="n">
        <v>20</v>
      </c>
      <c r="M1673" s="32" t="n">
        <v>169</v>
      </c>
      <c r="N1673" s="31" t="n">
        <v>42441.67</v>
      </c>
      <c r="O1673" s="31" t="n">
        <v>42441.67</v>
      </c>
      <c r="P1673" s="22" t="n">
        <v>2</v>
      </c>
      <c r="Q1673" s="22" t="n">
        <v>0</v>
      </c>
      <c r="R1673" s="22" t="n">
        <v>0</v>
      </c>
    </row>
    <row r="1674">
      <c r="A1674" s="22" t="n">
        <v>201812</v>
      </c>
      <c r="B1674" s="22" t="inlineStr">
        <is>
          <t>12/2018</t>
        </is>
      </c>
      <c r="C1674" s="22" t="n">
        <v>44</v>
      </c>
      <c r="D1674" s="22" t="inlineStr">
        <is>
          <t>S44</t>
        </is>
      </c>
      <c r="E1674" s="22" t="inlineStr">
        <is>
          <t>Nexa Arkansas (S44)</t>
        </is>
      </c>
      <c r="F1674" s="22" t="inlineStr">
        <is>
          <t>Mỹ</t>
        </is>
      </c>
      <c r="G1674" s="22" t="inlineStr">
        <is>
          <t>POS</t>
        </is>
      </c>
      <c r="H1674" s="31" t="n">
        <v>42554.77</v>
      </c>
      <c r="I1674" s="31" t="n">
        <v>1774.21</v>
      </c>
      <c r="J1674" s="31" t="n">
        <v>40780.56</v>
      </c>
      <c r="K1674" s="31" t="n">
        <v>672.35</v>
      </c>
      <c r="L1674" s="32" t="n">
        <v>23</v>
      </c>
      <c r="M1674" s="32" t="n">
        <v>175</v>
      </c>
      <c r="N1674" s="31" t="n">
        <v>40108.21</v>
      </c>
      <c r="O1674" s="31" t="n">
        <v>40780.56</v>
      </c>
      <c r="P1674" s="22" t="n">
        <v>0</v>
      </c>
      <c r="Q1674" s="22" t="n">
        <v>0</v>
      </c>
      <c r="R1674" s="22" t="n">
        <v>0</v>
      </c>
    </row>
    <row r="1675">
      <c r="A1675" s="22" t="n">
        <v>201812</v>
      </c>
      <c r="B1675" s="22" t="inlineStr">
        <is>
          <t>12/2018</t>
        </is>
      </c>
      <c r="C1675" s="22" t="n">
        <v>45</v>
      </c>
      <c r="D1675" s="22" t="inlineStr">
        <is>
          <t>S45</t>
        </is>
      </c>
      <c r="E1675" s="22" t="inlineStr">
        <is>
          <t>Nexa Connecticut (S45)</t>
        </is>
      </c>
      <c r="F1675" s="22" t="inlineStr">
        <is>
          <t>Mỹ</t>
        </is>
      </c>
      <c r="G1675" s="22" t="inlineStr">
        <is>
          <t>POS</t>
        </is>
      </c>
      <c r="H1675" s="31" t="n">
        <v>43498.59</v>
      </c>
      <c r="I1675" s="31" t="n">
        <v>1431.97</v>
      </c>
      <c r="J1675" s="31" t="n">
        <v>42066.62</v>
      </c>
      <c r="K1675" s="31" t="n">
        <v>51</v>
      </c>
      <c r="L1675" s="32" t="n">
        <v>23</v>
      </c>
      <c r="M1675" s="32" t="n">
        <v>150</v>
      </c>
      <c r="N1675" s="31" t="n">
        <v>42015.62</v>
      </c>
      <c r="O1675" s="31" t="n">
        <v>42066.62</v>
      </c>
      <c r="P1675" s="22" t="n">
        <v>0</v>
      </c>
      <c r="Q1675" s="22" t="n">
        <v>0</v>
      </c>
      <c r="R1675" s="22" t="n">
        <v>0</v>
      </c>
    </row>
    <row r="1676">
      <c r="A1676" s="22" t="n">
        <v>201812</v>
      </c>
      <c r="B1676" s="22" t="inlineStr">
        <is>
          <t>12/2018</t>
        </is>
      </c>
      <c r="C1676" s="22" t="n">
        <v>47</v>
      </c>
      <c r="D1676" s="22" t="inlineStr">
        <is>
          <t>S47</t>
        </is>
      </c>
      <c r="E1676" s="22" t="inlineStr">
        <is>
          <t>Nexa Hawaii (S47)</t>
        </is>
      </c>
      <c r="F1676" s="22" t="inlineStr">
        <is>
          <t>Mỹ</t>
        </is>
      </c>
      <c r="G1676" s="22" t="inlineStr">
        <is>
          <t>POS</t>
        </is>
      </c>
      <c r="H1676" s="31" t="n">
        <v>39449.89</v>
      </c>
      <c r="I1676" s="31" t="n">
        <v>1511.34</v>
      </c>
      <c r="J1676" s="31" t="n">
        <v>37938.55</v>
      </c>
      <c r="K1676" s="31" t="n">
        <v>1744.2</v>
      </c>
      <c r="L1676" s="32" t="n">
        <v>21</v>
      </c>
      <c r="M1676" s="32" t="n">
        <v>130</v>
      </c>
      <c r="N1676" s="31" t="n">
        <v>36194.35</v>
      </c>
      <c r="O1676" s="31" t="n">
        <v>37938.55</v>
      </c>
      <c r="P1676" s="22" t="n">
        <v>1</v>
      </c>
      <c r="Q1676" s="22" t="n">
        <v>0</v>
      </c>
      <c r="R1676" s="22" t="n">
        <v>0</v>
      </c>
    </row>
    <row r="1677">
      <c r="A1677" s="22" t="n">
        <v>201812</v>
      </c>
      <c r="B1677" s="22" t="inlineStr">
        <is>
          <t>12/2018</t>
        </is>
      </c>
      <c r="C1677" s="22" t="n">
        <v>48</v>
      </c>
      <c r="D1677" s="22" t="inlineStr">
        <is>
          <t>S48</t>
        </is>
      </c>
      <c r="E1677" s="22" t="inlineStr">
        <is>
          <t>Nexa Idaho (S48)</t>
        </is>
      </c>
      <c r="F1677" s="22" t="inlineStr">
        <is>
          <t>Mỹ</t>
        </is>
      </c>
      <c r="G1677" s="22" t="inlineStr">
        <is>
          <t>POS</t>
        </is>
      </c>
      <c r="H1677" s="31" t="n">
        <v>38715.65</v>
      </c>
      <c r="I1677" s="31" t="n">
        <v>1730.85</v>
      </c>
      <c r="J1677" s="31" t="n">
        <v>36984.8</v>
      </c>
      <c r="K1677" s="31" t="n">
        <v>0</v>
      </c>
      <c r="L1677" s="32" t="n">
        <v>19</v>
      </c>
      <c r="M1677" s="32" t="n">
        <v>131</v>
      </c>
      <c r="N1677" s="31" t="n">
        <v>36984.8</v>
      </c>
      <c r="O1677" s="31" t="n">
        <v>36984.8</v>
      </c>
      <c r="P1677" s="22" t="n">
        <v>2</v>
      </c>
      <c r="Q1677" s="22" t="n">
        <v>0</v>
      </c>
      <c r="R1677" s="22" t="n">
        <v>0</v>
      </c>
    </row>
    <row r="1678">
      <c r="A1678" s="22" t="n">
        <v>201812</v>
      </c>
      <c r="B1678" s="22" t="inlineStr">
        <is>
          <t>12/2018</t>
        </is>
      </c>
      <c r="C1678" s="22" t="n">
        <v>49</v>
      </c>
      <c r="D1678" s="22" t="inlineStr">
        <is>
          <t>S49</t>
        </is>
      </c>
      <c r="E1678" s="22" t="inlineStr">
        <is>
          <t>Nexa Iowa (S49)</t>
        </is>
      </c>
      <c r="F1678" s="22" t="inlineStr">
        <is>
          <t>Mỹ</t>
        </is>
      </c>
      <c r="G1678" s="22" t="inlineStr">
        <is>
          <t>POS</t>
        </is>
      </c>
      <c r="H1678" s="31" t="n">
        <v>82410.87</v>
      </c>
      <c r="I1678" s="31" t="n">
        <v>3403.11</v>
      </c>
      <c r="J1678" s="31" t="n">
        <v>79007.75999999999</v>
      </c>
      <c r="K1678" s="31" t="n">
        <v>497</v>
      </c>
      <c r="L1678" s="32" t="n">
        <v>27</v>
      </c>
      <c r="M1678" s="32" t="n">
        <v>218</v>
      </c>
      <c r="N1678" s="31" t="n">
        <v>78510.75999999999</v>
      </c>
      <c r="O1678" s="31" t="n">
        <v>79007.75999999999</v>
      </c>
      <c r="P1678" s="22" t="n">
        <v>0</v>
      </c>
      <c r="Q1678" s="22" t="n">
        <v>0</v>
      </c>
      <c r="R1678" s="22" t="n">
        <v>0</v>
      </c>
    </row>
    <row r="1679">
      <c r="A1679" s="22" t="n">
        <v>201812</v>
      </c>
      <c r="B1679" s="22" t="inlineStr">
        <is>
          <t>12/2018</t>
        </is>
      </c>
      <c r="C1679" s="22" t="n">
        <v>50</v>
      </c>
      <c r="D1679" s="22" t="inlineStr">
        <is>
          <t>S50</t>
        </is>
      </c>
      <c r="E1679" s="22" t="inlineStr">
        <is>
          <t>Nexa Kansas (S50)</t>
        </is>
      </c>
      <c r="F1679" s="22" t="inlineStr">
        <is>
          <t>Mỹ</t>
        </is>
      </c>
      <c r="G1679" s="22" t="inlineStr">
        <is>
          <t>POS</t>
        </is>
      </c>
      <c r="H1679" s="31" t="n">
        <v>49787</v>
      </c>
      <c r="I1679" s="31" t="n">
        <v>664.12</v>
      </c>
      <c r="J1679" s="31" t="n">
        <v>49122.88</v>
      </c>
      <c r="K1679" s="31" t="n">
        <v>227.96</v>
      </c>
      <c r="L1679" s="32" t="n">
        <v>26</v>
      </c>
      <c r="M1679" s="32" t="n">
        <v>208</v>
      </c>
      <c r="N1679" s="31" t="n">
        <v>48894.92</v>
      </c>
      <c r="O1679" s="31" t="n">
        <v>49122.88</v>
      </c>
      <c r="P1679" s="22" t="n">
        <v>1</v>
      </c>
      <c r="Q1679" s="22" t="n">
        <v>0</v>
      </c>
      <c r="R1679" s="22" t="n">
        <v>0</v>
      </c>
    </row>
    <row r="1680">
      <c r="A1680" s="22" t="n">
        <v>201812</v>
      </c>
      <c r="B1680" s="22" t="inlineStr">
        <is>
          <t>12/2018</t>
        </is>
      </c>
      <c r="C1680" s="22" t="n">
        <v>51</v>
      </c>
      <c r="D1680" s="22" t="inlineStr">
        <is>
          <t>S51</t>
        </is>
      </c>
      <c r="E1680" s="22" t="inlineStr">
        <is>
          <t>Nexa Maine (S51)</t>
        </is>
      </c>
      <c r="F1680" s="22" t="inlineStr">
        <is>
          <t>Mỹ</t>
        </is>
      </c>
      <c r="G1680" s="22" t="inlineStr">
        <is>
          <t>POS</t>
        </is>
      </c>
      <c r="H1680" s="31" t="n">
        <v>64910.95</v>
      </c>
      <c r="I1680" s="31" t="n">
        <v>1136.85</v>
      </c>
      <c r="J1680" s="31" t="n">
        <v>63774.1</v>
      </c>
      <c r="K1680" s="31" t="n">
        <v>2370.25</v>
      </c>
      <c r="L1680" s="32" t="n">
        <v>21</v>
      </c>
      <c r="M1680" s="32" t="n">
        <v>164</v>
      </c>
      <c r="N1680" s="31" t="n">
        <v>61403.85</v>
      </c>
      <c r="O1680" s="31" t="n">
        <v>63774.1</v>
      </c>
      <c r="P1680" s="22" t="n">
        <v>1</v>
      </c>
      <c r="Q1680" s="22" t="n">
        <v>0</v>
      </c>
      <c r="R1680" s="22" t="n">
        <v>0</v>
      </c>
    </row>
    <row r="1681">
      <c r="A1681" s="22" t="n">
        <v>201812</v>
      </c>
      <c r="B1681" s="22" t="inlineStr">
        <is>
          <t>12/2018</t>
        </is>
      </c>
      <c r="C1681" s="22" t="n">
        <v>53</v>
      </c>
      <c r="D1681" s="22" t="inlineStr">
        <is>
          <t>S53</t>
        </is>
      </c>
      <c r="E1681" s="22" t="inlineStr">
        <is>
          <t>Nexa Montana (S53)</t>
        </is>
      </c>
      <c r="F1681" s="22" t="inlineStr">
        <is>
          <t>Mỹ</t>
        </is>
      </c>
      <c r="G1681" s="22" t="inlineStr">
        <is>
          <t>POS</t>
        </is>
      </c>
      <c r="H1681" s="31" t="n">
        <v>56411.53</v>
      </c>
      <c r="I1681" s="31" t="n">
        <v>594.78</v>
      </c>
      <c r="J1681" s="31" t="n">
        <v>55816.75</v>
      </c>
      <c r="K1681" s="31" t="n">
        <v>17.72</v>
      </c>
      <c r="L1681" s="32" t="n">
        <v>21</v>
      </c>
      <c r="M1681" s="32" t="n">
        <v>204</v>
      </c>
      <c r="N1681" s="31" t="n">
        <v>55799.03</v>
      </c>
      <c r="O1681" s="31" t="n">
        <v>55816.75</v>
      </c>
      <c r="P1681" s="22" t="n">
        <v>1</v>
      </c>
      <c r="Q1681" s="22" t="n">
        <v>0</v>
      </c>
      <c r="R1681" s="22" t="n">
        <v>1</v>
      </c>
    </row>
    <row r="1682">
      <c r="A1682" s="22" t="n">
        <v>201812</v>
      </c>
      <c r="B1682" s="22" t="inlineStr">
        <is>
          <t>12/2018</t>
        </is>
      </c>
      <c r="C1682" s="22" t="n">
        <v>54</v>
      </c>
      <c r="D1682" s="22" t="inlineStr">
        <is>
          <t>S54</t>
        </is>
      </c>
      <c r="E1682" s="22" t="inlineStr">
        <is>
          <t>Nexa Nebraska (S54)</t>
        </is>
      </c>
      <c r="F1682" s="22" t="inlineStr">
        <is>
          <t>Mỹ</t>
        </is>
      </c>
      <c r="G1682" s="22" t="inlineStr">
        <is>
          <t>POS</t>
        </is>
      </c>
      <c r="H1682" s="31" t="n">
        <v>49996.36</v>
      </c>
      <c r="I1682" s="31" t="n">
        <v>246.06</v>
      </c>
      <c r="J1682" s="31" t="n">
        <v>49750.3</v>
      </c>
      <c r="K1682" s="31" t="n">
        <v>0</v>
      </c>
      <c r="L1682" s="32" t="n">
        <v>27</v>
      </c>
      <c r="M1682" s="32" t="n">
        <v>221</v>
      </c>
      <c r="N1682" s="31" t="n">
        <v>49750.3</v>
      </c>
      <c r="O1682" s="31" t="n">
        <v>49750.3</v>
      </c>
      <c r="P1682" s="22" t="n">
        <v>1</v>
      </c>
      <c r="Q1682" s="22" t="n">
        <v>0</v>
      </c>
      <c r="R1682" s="22" t="n">
        <v>0</v>
      </c>
    </row>
    <row r="1683">
      <c r="A1683" s="22" t="n">
        <v>201812</v>
      </c>
      <c r="B1683" s="22" t="inlineStr">
        <is>
          <t>12/2018</t>
        </is>
      </c>
      <c r="C1683" s="22" t="n">
        <v>55</v>
      </c>
      <c r="D1683" s="22" t="inlineStr">
        <is>
          <t>S55</t>
        </is>
      </c>
      <c r="E1683" s="22" t="inlineStr">
        <is>
          <t>Nexa Nevada (S55)</t>
        </is>
      </c>
      <c r="F1683" s="22" t="inlineStr">
        <is>
          <t>Mỹ</t>
        </is>
      </c>
      <c r="G1683" s="22" t="inlineStr">
        <is>
          <t>POS</t>
        </is>
      </c>
      <c r="H1683" s="31" t="n">
        <v>26605.72</v>
      </c>
      <c r="I1683" s="31" t="n">
        <v>1061.79</v>
      </c>
      <c r="J1683" s="31" t="n">
        <v>25543.93</v>
      </c>
      <c r="K1683" s="31" t="n">
        <v>116.1</v>
      </c>
      <c r="L1683" s="32" t="n">
        <v>20</v>
      </c>
      <c r="M1683" s="32" t="n">
        <v>158</v>
      </c>
      <c r="N1683" s="31" t="n">
        <v>25427.83</v>
      </c>
      <c r="O1683" s="31" t="n">
        <v>25543.93</v>
      </c>
      <c r="P1683" s="22" t="n">
        <v>0</v>
      </c>
      <c r="Q1683" s="22" t="n">
        <v>0</v>
      </c>
      <c r="R1683" s="22" t="n">
        <v>0</v>
      </c>
    </row>
    <row r="1684">
      <c r="A1684" s="22" t="n">
        <v>201812</v>
      </c>
      <c r="B1684" s="22" t="inlineStr">
        <is>
          <t>12/2018</t>
        </is>
      </c>
      <c r="C1684" s="22" t="n">
        <v>56</v>
      </c>
      <c r="D1684" s="22" t="inlineStr">
        <is>
          <t>S56</t>
        </is>
      </c>
      <c r="E1684" s="22" t="inlineStr">
        <is>
          <t>Nexa New Hampshire (S56)</t>
        </is>
      </c>
      <c r="F1684" s="22" t="inlineStr">
        <is>
          <t>Mỹ</t>
        </is>
      </c>
      <c r="G1684" s="22" t="inlineStr">
        <is>
          <t>POS</t>
        </is>
      </c>
      <c r="H1684" s="31" t="n">
        <v>13045.3</v>
      </c>
      <c r="I1684" s="31" t="n">
        <v>436.58</v>
      </c>
      <c r="J1684" s="31" t="n">
        <v>12608.72</v>
      </c>
      <c r="K1684" s="31" t="n">
        <v>43</v>
      </c>
      <c r="L1684" s="32" t="n">
        <v>19</v>
      </c>
      <c r="M1684" s="32" t="n">
        <v>90</v>
      </c>
      <c r="N1684" s="31" t="n">
        <v>12565.72</v>
      </c>
      <c r="O1684" s="31" t="n">
        <v>12608.72</v>
      </c>
      <c r="P1684" s="22" t="n">
        <v>0</v>
      </c>
      <c r="Q1684" s="22" t="n">
        <v>0</v>
      </c>
      <c r="R1684" s="22" t="n">
        <v>0</v>
      </c>
    </row>
    <row r="1685">
      <c r="A1685" s="22" t="n">
        <v>201812</v>
      </c>
      <c r="B1685" s="22" t="inlineStr">
        <is>
          <t>12/2018</t>
        </is>
      </c>
      <c r="C1685" s="22" t="n">
        <v>57</v>
      </c>
      <c r="D1685" s="22" t="inlineStr">
        <is>
          <t>S57</t>
        </is>
      </c>
      <c r="E1685" s="22" t="inlineStr">
        <is>
          <t>Nexa New Mexico (S57)</t>
        </is>
      </c>
      <c r="F1685" s="22" t="inlineStr">
        <is>
          <t>Mỹ</t>
        </is>
      </c>
      <c r="G1685" s="22" t="inlineStr">
        <is>
          <t>POS</t>
        </is>
      </c>
      <c r="H1685" s="31" t="n">
        <v>28227.42</v>
      </c>
      <c r="I1685" s="31" t="n">
        <v>138.45</v>
      </c>
      <c r="J1685" s="31" t="n">
        <v>28088.97</v>
      </c>
      <c r="K1685" s="31" t="n">
        <v>3660</v>
      </c>
      <c r="L1685" s="32" t="n">
        <v>24</v>
      </c>
      <c r="M1685" s="32" t="n">
        <v>135</v>
      </c>
      <c r="N1685" s="31" t="n">
        <v>24428.97</v>
      </c>
      <c r="O1685" s="31" t="n">
        <v>28088.97</v>
      </c>
      <c r="P1685" s="22" t="n">
        <v>0</v>
      </c>
      <c r="Q1685" s="22" t="n">
        <v>0</v>
      </c>
      <c r="R1685" s="22" t="n">
        <v>0</v>
      </c>
    </row>
    <row r="1686">
      <c r="A1686" s="22" t="n">
        <v>201812</v>
      </c>
      <c r="B1686" s="22" t="inlineStr">
        <is>
          <t>12/2018</t>
        </is>
      </c>
      <c r="C1686" s="22" t="n">
        <v>59</v>
      </c>
      <c r="D1686" s="22" t="inlineStr">
        <is>
          <t>S59</t>
        </is>
      </c>
      <c r="E1686" s="22" t="inlineStr">
        <is>
          <t>Nexa Oregon (S59)</t>
        </is>
      </c>
      <c r="F1686" s="22" t="inlineStr">
        <is>
          <t>Mỹ</t>
        </is>
      </c>
      <c r="G1686" s="22" t="inlineStr">
        <is>
          <t>POS</t>
        </is>
      </c>
      <c r="H1686" s="31" t="n">
        <v>51629.95</v>
      </c>
      <c r="I1686" s="31" t="n">
        <v>692.64</v>
      </c>
      <c r="J1686" s="31" t="n">
        <v>50937.31</v>
      </c>
      <c r="K1686" s="31" t="n">
        <v>789</v>
      </c>
      <c r="L1686" s="32" t="n">
        <v>25</v>
      </c>
      <c r="M1686" s="32" t="n">
        <v>180</v>
      </c>
      <c r="N1686" s="31" t="n">
        <v>50148.31</v>
      </c>
      <c r="O1686" s="31" t="n">
        <v>50937.31</v>
      </c>
      <c r="P1686" s="22" t="n">
        <v>0</v>
      </c>
      <c r="Q1686" s="22" t="n">
        <v>0</v>
      </c>
      <c r="R1686" s="22" t="n">
        <v>0</v>
      </c>
    </row>
    <row r="1687">
      <c r="A1687" s="22" t="n">
        <v>201812</v>
      </c>
      <c r="B1687" s="22" t="inlineStr">
        <is>
          <t>12/2018</t>
        </is>
      </c>
      <c r="C1687" s="22" t="n">
        <v>61</v>
      </c>
      <c r="D1687" s="22" t="inlineStr">
        <is>
          <t>S61</t>
        </is>
      </c>
      <c r="E1687" s="22" t="inlineStr">
        <is>
          <t>Nexa South Carolina (S61)</t>
        </is>
      </c>
      <c r="F1687" s="22" t="inlineStr">
        <is>
          <t>Mỹ</t>
        </is>
      </c>
      <c r="G1687" s="22" t="inlineStr">
        <is>
          <t>POS</t>
        </is>
      </c>
      <c r="H1687" s="31" t="n">
        <v>38164.81</v>
      </c>
      <c r="I1687" s="31" t="n">
        <v>222.78</v>
      </c>
      <c r="J1687" s="31" t="n">
        <v>37942.03</v>
      </c>
      <c r="K1687" s="31" t="n">
        <v>2374</v>
      </c>
      <c r="L1687" s="32" t="n">
        <v>21</v>
      </c>
      <c r="M1687" s="32" t="n">
        <v>163</v>
      </c>
      <c r="N1687" s="31" t="n">
        <v>35568.03</v>
      </c>
      <c r="O1687" s="31" t="n">
        <v>37942.03</v>
      </c>
      <c r="P1687" s="22" t="n">
        <v>0</v>
      </c>
      <c r="Q1687" s="22" t="n">
        <v>0</v>
      </c>
      <c r="R1687" s="22" t="n">
        <v>0</v>
      </c>
    </row>
    <row r="1688">
      <c r="A1688" s="22" t="n">
        <v>201812</v>
      </c>
      <c r="B1688" s="22" t="inlineStr">
        <is>
          <t>12/2018</t>
        </is>
      </c>
      <c r="C1688" s="22" t="n">
        <v>62</v>
      </c>
      <c r="D1688" s="22" t="inlineStr">
        <is>
          <t>S62</t>
        </is>
      </c>
      <c r="E1688" s="22" t="inlineStr">
        <is>
          <t>Nexa South Dakota (S62)</t>
        </is>
      </c>
      <c r="F1688" s="22" t="inlineStr">
        <is>
          <t>Mỹ</t>
        </is>
      </c>
      <c r="G1688" s="22" t="inlineStr">
        <is>
          <t>POS</t>
        </is>
      </c>
      <c r="H1688" s="31" t="n">
        <v>44371.33</v>
      </c>
      <c r="I1688" s="31" t="n">
        <v>786.91</v>
      </c>
      <c r="J1688" s="31" t="n">
        <v>43584.42</v>
      </c>
      <c r="K1688" s="31" t="n">
        <v>741.96</v>
      </c>
      <c r="L1688" s="32" t="n">
        <v>23</v>
      </c>
      <c r="M1688" s="32" t="n">
        <v>167</v>
      </c>
      <c r="N1688" s="31" t="n">
        <v>42954.46</v>
      </c>
      <c r="O1688" s="31" t="n">
        <v>43584.42</v>
      </c>
      <c r="P1688" s="22" t="n">
        <v>1</v>
      </c>
      <c r="Q1688" s="22" t="n">
        <v>0</v>
      </c>
      <c r="R1688" s="22" t="n">
        <v>0</v>
      </c>
    </row>
    <row r="1689">
      <c r="A1689" s="22" t="n">
        <v>201812</v>
      </c>
      <c r="B1689" s="22" t="inlineStr">
        <is>
          <t>12/2018</t>
        </is>
      </c>
      <c r="C1689" s="22" t="n">
        <v>63</v>
      </c>
      <c r="D1689" s="22" t="inlineStr">
        <is>
          <t>S63</t>
        </is>
      </c>
      <c r="E1689" s="22" t="inlineStr">
        <is>
          <t>Nexa Utah (S63)</t>
        </is>
      </c>
      <c r="F1689" s="22" t="inlineStr">
        <is>
          <t>Mỹ</t>
        </is>
      </c>
      <c r="G1689" s="22" t="inlineStr">
        <is>
          <t>POS</t>
        </is>
      </c>
      <c r="H1689" s="31" t="n">
        <v>29933.88</v>
      </c>
      <c r="I1689" s="31" t="n">
        <v>565.9</v>
      </c>
      <c r="J1689" s="31" t="n">
        <v>29367.98</v>
      </c>
      <c r="K1689" s="31" t="n">
        <v>2068.95</v>
      </c>
      <c r="L1689" s="32" t="n">
        <v>17</v>
      </c>
      <c r="M1689" s="32" t="n">
        <v>139</v>
      </c>
      <c r="N1689" s="31" t="n">
        <v>27399.02</v>
      </c>
      <c r="O1689" s="31" t="n">
        <v>29367.98</v>
      </c>
      <c r="P1689" s="22" t="n">
        <v>1</v>
      </c>
      <c r="Q1689" s="22" t="n">
        <v>0</v>
      </c>
      <c r="R1689" s="22" t="n">
        <v>0</v>
      </c>
    </row>
    <row r="1690">
      <c r="A1690" s="22" t="n">
        <v>201812</v>
      </c>
      <c r="B1690" s="22" t="inlineStr">
        <is>
          <t>12/2018</t>
        </is>
      </c>
      <c r="C1690" s="22" t="n">
        <v>64</v>
      </c>
      <c r="D1690" s="22" t="inlineStr">
        <is>
          <t>S64</t>
        </is>
      </c>
      <c r="E1690" s="22" t="inlineStr">
        <is>
          <t>Nexa Washington DC (S64)</t>
        </is>
      </c>
      <c r="F1690" s="22" t="inlineStr">
        <is>
          <t>Mỹ</t>
        </is>
      </c>
      <c r="G1690" s="22" t="inlineStr">
        <is>
          <t>POS</t>
        </is>
      </c>
      <c r="H1690" s="31" t="n">
        <v>31223.99</v>
      </c>
      <c r="I1690" s="31" t="n">
        <v>1503.7</v>
      </c>
      <c r="J1690" s="31" t="n">
        <v>29720.29</v>
      </c>
      <c r="K1690" s="31" t="n">
        <v>1259.32</v>
      </c>
      <c r="L1690" s="32" t="n">
        <v>15</v>
      </c>
      <c r="M1690" s="32" t="n">
        <v>93</v>
      </c>
      <c r="N1690" s="31" t="n">
        <v>28460.97</v>
      </c>
      <c r="O1690" s="31" t="n">
        <v>29720.29</v>
      </c>
      <c r="P1690" s="22" t="n">
        <v>0</v>
      </c>
      <c r="Q1690" s="22" t="n">
        <v>0</v>
      </c>
      <c r="R1690" s="22" t="n">
        <v>1</v>
      </c>
    </row>
    <row r="1691">
      <c r="A1691" s="22" t="n">
        <v>201812</v>
      </c>
      <c r="B1691" s="22" t="inlineStr">
        <is>
          <t>12/2018</t>
        </is>
      </c>
      <c r="C1691" s="22" t="n">
        <v>65</v>
      </c>
      <c r="D1691" s="22" t="inlineStr">
        <is>
          <t>S65</t>
        </is>
      </c>
      <c r="E1691" s="22" t="inlineStr">
        <is>
          <t>Nexa West Virginia (S65)</t>
        </is>
      </c>
      <c r="F1691" s="22" t="inlineStr">
        <is>
          <t>Mỹ</t>
        </is>
      </c>
      <c r="G1691" s="22" t="inlineStr">
        <is>
          <t>POS</t>
        </is>
      </c>
      <c r="H1691" s="31" t="n">
        <v>19776.15</v>
      </c>
      <c r="I1691" s="31" t="n">
        <v>249.61</v>
      </c>
      <c r="J1691" s="31" t="n">
        <v>19526.54</v>
      </c>
      <c r="K1691" s="31" t="n">
        <v>2831.37</v>
      </c>
      <c r="L1691" s="32" t="n">
        <v>18</v>
      </c>
      <c r="M1691" s="32" t="n">
        <v>100</v>
      </c>
      <c r="N1691" s="31" t="n">
        <v>16695.17</v>
      </c>
      <c r="O1691" s="31" t="n">
        <v>19526.54</v>
      </c>
      <c r="P1691" s="22" t="n">
        <v>1</v>
      </c>
      <c r="Q1691" s="22" t="n">
        <v>0</v>
      </c>
      <c r="R1691" s="22" t="n">
        <v>0</v>
      </c>
    </row>
    <row r="1692">
      <c r="A1692" s="22" t="n">
        <v>201812</v>
      </c>
      <c r="B1692" s="22" t="inlineStr">
        <is>
          <t>12/2018</t>
        </is>
      </c>
      <c r="C1692" s="22" t="n">
        <v>66</v>
      </c>
      <c r="D1692" s="22" t="inlineStr">
        <is>
          <t>S66</t>
        </is>
      </c>
      <c r="E1692" s="22" t="inlineStr">
        <is>
          <t>Nexa Wyoming (S66)</t>
        </is>
      </c>
      <c r="F1692" s="22" t="inlineStr">
        <is>
          <t>Mỹ</t>
        </is>
      </c>
      <c r="G1692" s="22" t="inlineStr">
        <is>
          <t>POS</t>
        </is>
      </c>
      <c r="H1692" s="31" t="n">
        <v>40629.39</v>
      </c>
      <c r="I1692" s="31" t="n">
        <v>406.66</v>
      </c>
      <c r="J1692" s="31" t="n">
        <v>40222.73</v>
      </c>
      <c r="K1692" s="31" t="n">
        <v>758.6</v>
      </c>
      <c r="L1692" s="32" t="n">
        <v>18</v>
      </c>
      <c r="M1692" s="32" t="n">
        <v>135</v>
      </c>
      <c r="N1692" s="31" t="n">
        <v>39464.13</v>
      </c>
      <c r="O1692" s="31" t="n">
        <v>40222.73</v>
      </c>
      <c r="P1692" s="22" t="n">
        <v>0</v>
      </c>
      <c r="Q1692" s="22" t="n">
        <v>0</v>
      </c>
      <c r="R1692" s="22" t="n">
        <v>0</v>
      </c>
    </row>
    <row r="1693">
      <c r="A1693" s="22" t="n">
        <v>201901</v>
      </c>
      <c r="B1693" s="22" t="inlineStr">
        <is>
          <t>01/2019</t>
        </is>
      </c>
      <c r="C1693" s="22" t="n">
        <v>0</v>
      </c>
      <c r="D1693" s="22" t="inlineStr">
        <is>
          <t>ONL</t>
        </is>
      </c>
      <c r="E1693" s="22" t="inlineStr">
        <is>
          <t>Nexa Online (website/app)</t>
        </is>
      </c>
      <c r="F1693" s="22" t="inlineStr">
        <is>
          <t>Online</t>
        </is>
      </c>
      <c r="G1693" s="22" t="inlineStr">
        <is>
          <t>ONLINE</t>
        </is>
      </c>
      <c r="H1693" s="31" t="n">
        <v>355358.39</v>
      </c>
      <c r="I1693" s="31" t="n">
        <v>12032.35</v>
      </c>
      <c r="J1693" s="31" t="n">
        <v>343326.04</v>
      </c>
      <c r="K1693" s="31" t="n">
        <v>10019.97</v>
      </c>
      <c r="L1693" s="32" t="n">
        <v>184</v>
      </c>
      <c r="M1693" s="32" t="n">
        <v>1296</v>
      </c>
      <c r="N1693" s="31" t="n">
        <v>382432.26</v>
      </c>
      <c r="O1693" s="31" t="n">
        <v>393352.05</v>
      </c>
      <c r="P1693" s="22" t="n">
        <v>1</v>
      </c>
      <c r="Q1693" s="22" t="n">
        <v>0</v>
      </c>
      <c r="R1693" s="22" t="n">
        <v>0</v>
      </c>
    </row>
    <row r="1694">
      <c r="A1694" s="22" t="n">
        <v>201901</v>
      </c>
      <c r="B1694" s="22" t="inlineStr">
        <is>
          <t>01/2019</t>
        </is>
      </c>
      <c r="C1694" s="22" t="n">
        <v>1</v>
      </c>
      <c r="D1694" s="22" t="inlineStr">
        <is>
          <t>S01</t>
        </is>
      </c>
      <c r="E1694" s="22" t="inlineStr">
        <is>
          <t>Nexa Australian Capital Territory (S01)</t>
        </is>
      </c>
      <c r="F1694" s="22" t="inlineStr">
        <is>
          <t>Úc</t>
        </is>
      </c>
      <c r="G1694" s="22" t="inlineStr">
        <is>
          <t>POS</t>
        </is>
      </c>
      <c r="H1694" s="31" t="n">
        <v>20050.52</v>
      </c>
      <c r="I1694" s="31" t="n">
        <v>1002.53</v>
      </c>
      <c r="J1694" s="31" t="n">
        <v>19047.99</v>
      </c>
      <c r="K1694" s="31" t="n">
        <v>0</v>
      </c>
      <c r="L1694" s="32" t="n">
        <v>1</v>
      </c>
      <c r="M1694" s="32" t="n">
        <v>21</v>
      </c>
      <c r="N1694" s="31" t="n">
        <v>19047.99</v>
      </c>
      <c r="O1694" s="31" t="n">
        <v>19047.99</v>
      </c>
      <c r="P1694" s="22" t="n">
        <v>0</v>
      </c>
      <c r="Q1694" s="22" t="n">
        <v>0</v>
      </c>
      <c r="R1694" s="22" t="n">
        <v>0</v>
      </c>
    </row>
    <row r="1695">
      <c r="A1695" s="22" t="n">
        <v>201901</v>
      </c>
      <c r="B1695" s="22" t="inlineStr">
        <is>
          <t>01/2019</t>
        </is>
      </c>
      <c r="C1695" s="22" t="n">
        <v>4</v>
      </c>
      <c r="D1695" s="22" t="inlineStr">
        <is>
          <t>S04</t>
        </is>
      </c>
      <c r="E1695" s="22" t="inlineStr">
        <is>
          <t>Nexa Tasmania (S04)</t>
        </is>
      </c>
      <c r="F1695" s="22" t="inlineStr">
        <is>
          <t>Úc</t>
        </is>
      </c>
      <c r="G1695" s="22" t="inlineStr">
        <is>
          <t>POS</t>
        </is>
      </c>
      <c r="H1695" s="31" t="n">
        <v>12087.11</v>
      </c>
      <c r="I1695" s="31" t="n">
        <v>67.62</v>
      </c>
      <c r="J1695" s="31" t="n">
        <v>12019.49</v>
      </c>
      <c r="K1695" s="31" t="n">
        <v>0</v>
      </c>
      <c r="L1695" s="32" t="n">
        <v>4</v>
      </c>
      <c r="M1695" s="32" t="n">
        <v>25</v>
      </c>
      <c r="N1695" s="31" t="n">
        <v>12019.49</v>
      </c>
      <c r="O1695" s="31" t="n">
        <v>12019.49</v>
      </c>
      <c r="P1695" s="22" t="n">
        <v>0</v>
      </c>
      <c r="Q1695" s="22" t="n">
        <v>0</v>
      </c>
      <c r="R1695" s="22" t="n">
        <v>0</v>
      </c>
    </row>
    <row r="1696">
      <c r="A1696" s="22" t="n">
        <v>201901</v>
      </c>
      <c r="B1696" s="22" t="inlineStr">
        <is>
          <t>01/2019</t>
        </is>
      </c>
      <c r="C1696" s="22" t="n">
        <v>5</v>
      </c>
      <c r="D1696" s="22" t="inlineStr">
        <is>
          <t>S05</t>
        </is>
      </c>
      <c r="E1696" s="22" t="inlineStr">
        <is>
          <t>Nexa Victoria (S05)</t>
        </is>
      </c>
      <c r="F1696" s="22" t="inlineStr">
        <is>
          <t>Úc</t>
        </is>
      </c>
      <c r="G1696" s="22" t="inlineStr">
        <is>
          <t>POS</t>
        </is>
      </c>
      <c r="H1696" s="31" t="n">
        <v>24447.63</v>
      </c>
      <c r="I1696" s="31" t="n">
        <v>460.12</v>
      </c>
      <c r="J1696" s="31" t="n">
        <v>23987.51</v>
      </c>
      <c r="K1696" s="31" t="n">
        <v>733.99</v>
      </c>
      <c r="L1696" s="32" t="n">
        <v>14</v>
      </c>
      <c r="M1696" s="32" t="n">
        <v>93</v>
      </c>
      <c r="N1696" s="31" t="n">
        <v>23253.52</v>
      </c>
      <c r="O1696" s="31" t="n">
        <v>23987.51</v>
      </c>
      <c r="P1696" s="22" t="n">
        <v>1</v>
      </c>
      <c r="Q1696" s="22" t="n">
        <v>0</v>
      </c>
      <c r="R1696" s="22" t="n">
        <v>0</v>
      </c>
    </row>
    <row r="1697">
      <c r="A1697" s="22" t="n">
        <v>201901</v>
      </c>
      <c r="B1697" s="22" t="inlineStr">
        <is>
          <t>01/2019</t>
        </is>
      </c>
      <c r="C1697" s="22" t="n">
        <v>6</v>
      </c>
      <c r="D1697" s="22" t="inlineStr">
        <is>
          <t>S06</t>
        </is>
      </c>
      <c r="E1697" s="22" t="inlineStr">
        <is>
          <t>Nexa Western Australia (S06)</t>
        </is>
      </c>
      <c r="F1697" s="22" t="inlineStr">
        <is>
          <t>Úc</t>
        </is>
      </c>
      <c r="G1697" s="22" t="inlineStr">
        <is>
          <t>POS</t>
        </is>
      </c>
      <c r="H1697" s="31" t="n">
        <v>4868.93</v>
      </c>
      <c r="I1697" s="31" t="n">
        <v>55.68</v>
      </c>
      <c r="J1697" s="31" t="n">
        <v>4813.25</v>
      </c>
      <c r="K1697" s="31" t="n">
        <v>0</v>
      </c>
      <c r="L1697" s="32" t="n">
        <v>8</v>
      </c>
      <c r="M1697" s="32" t="n">
        <v>35</v>
      </c>
      <c r="N1697" s="31" t="n">
        <v>4813.25</v>
      </c>
      <c r="O1697" s="31" t="n">
        <v>4813.25</v>
      </c>
      <c r="P1697" s="22" t="n">
        <v>1</v>
      </c>
      <c r="Q1697" s="22" t="n">
        <v>0</v>
      </c>
      <c r="R1697" s="22" t="n">
        <v>0</v>
      </c>
    </row>
    <row r="1698">
      <c r="A1698" s="22" t="n">
        <v>201901</v>
      </c>
      <c r="B1698" s="22" t="inlineStr">
        <is>
          <t>01/2019</t>
        </is>
      </c>
      <c r="C1698" s="22" t="n">
        <v>8</v>
      </c>
      <c r="D1698" s="22" t="inlineStr">
        <is>
          <t>S08</t>
        </is>
      </c>
      <c r="E1698" s="22" t="inlineStr">
        <is>
          <t>Nexa Newfoundland and Labrador (S08)</t>
        </is>
      </c>
      <c r="F1698" s="22" t="inlineStr">
        <is>
          <t>Canada</t>
        </is>
      </c>
      <c r="G1698" s="22" t="inlineStr">
        <is>
          <t>POS</t>
        </is>
      </c>
      <c r="H1698" s="31" t="n">
        <v>25293.26</v>
      </c>
      <c r="I1698" s="31" t="n">
        <v>543.46</v>
      </c>
      <c r="J1698" s="31" t="n">
        <v>24749.8</v>
      </c>
      <c r="K1698" s="31" t="n">
        <v>15.94</v>
      </c>
      <c r="L1698" s="32" t="n">
        <v>19</v>
      </c>
      <c r="M1698" s="32" t="n">
        <v>113</v>
      </c>
      <c r="N1698" s="31" t="n">
        <v>24733.86</v>
      </c>
      <c r="O1698" s="31" t="n">
        <v>24749.8</v>
      </c>
      <c r="P1698" s="22" t="n">
        <v>0</v>
      </c>
      <c r="Q1698" s="22" t="n">
        <v>0</v>
      </c>
      <c r="R1698" s="22" t="n">
        <v>0</v>
      </c>
    </row>
    <row r="1699">
      <c r="A1699" s="22" t="n">
        <v>201901</v>
      </c>
      <c r="B1699" s="22" t="inlineStr">
        <is>
          <t>01/2019</t>
        </is>
      </c>
      <c r="C1699" s="22" t="n">
        <v>9</v>
      </c>
      <c r="D1699" s="22" t="inlineStr">
        <is>
          <t>S09</t>
        </is>
      </c>
      <c r="E1699" s="22" t="inlineStr">
        <is>
          <t>Nexa Northwest Territories (S09)</t>
        </is>
      </c>
      <c r="F1699" s="22" t="inlineStr">
        <is>
          <t>Canada</t>
        </is>
      </c>
      <c r="G1699" s="22" t="inlineStr">
        <is>
          <t>POS</t>
        </is>
      </c>
      <c r="H1699" s="31" t="n">
        <v>46547.08</v>
      </c>
      <c r="I1699" s="31" t="n">
        <v>876.41</v>
      </c>
      <c r="J1699" s="31" t="n">
        <v>45670.67</v>
      </c>
      <c r="K1699" s="31" t="n">
        <v>540.45</v>
      </c>
      <c r="L1699" s="32" t="n">
        <v>27</v>
      </c>
      <c r="M1699" s="32" t="n">
        <v>150</v>
      </c>
      <c r="N1699" s="31" t="n">
        <v>45130.22</v>
      </c>
      <c r="O1699" s="31" t="n">
        <v>45670.67</v>
      </c>
      <c r="P1699" s="22" t="n">
        <v>0</v>
      </c>
      <c r="Q1699" s="22" t="n">
        <v>0</v>
      </c>
      <c r="R1699" s="22" t="n">
        <v>0</v>
      </c>
    </row>
    <row r="1700">
      <c r="A1700" s="22" t="n">
        <v>201901</v>
      </c>
      <c r="B1700" s="22" t="inlineStr">
        <is>
          <t>01/2019</t>
        </is>
      </c>
      <c r="C1700" s="22" t="n">
        <v>10</v>
      </c>
      <c r="D1700" s="22" t="inlineStr">
        <is>
          <t>S10</t>
        </is>
      </c>
      <c r="E1700" s="22" t="inlineStr">
        <is>
          <t>Nexa Nunavut (S10)</t>
        </is>
      </c>
      <c r="F1700" s="22" t="inlineStr">
        <is>
          <t>Canada</t>
        </is>
      </c>
      <c r="G1700" s="22" t="inlineStr">
        <is>
          <t>POS</t>
        </is>
      </c>
      <c r="H1700" s="31" t="n">
        <v>27656.88</v>
      </c>
      <c r="I1700" s="31" t="n">
        <v>787.01</v>
      </c>
      <c r="J1700" s="31" t="n">
        <v>26869.87</v>
      </c>
      <c r="K1700" s="31" t="n">
        <v>1292.83</v>
      </c>
      <c r="L1700" s="32" t="n">
        <v>17</v>
      </c>
      <c r="M1700" s="32" t="n">
        <v>130</v>
      </c>
      <c r="N1700" s="31" t="n">
        <v>25577.04</v>
      </c>
      <c r="O1700" s="31" t="n">
        <v>26869.87</v>
      </c>
      <c r="P1700" s="22" t="n">
        <v>1</v>
      </c>
      <c r="Q1700" s="22" t="n">
        <v>0</v>
      </c>
      <c r="R1700" s="22" t="n">
        <v>0</v>
      </c>
    </row>
    <row r="1701">
      <c r="A1701" s="22" t="n">
        <v>201901</v>
      </c>
      <c r="B1701" s="22" t="inlineStr">
        <is>
          <t>01/2019</t>
        </is>
      </c>
      <c r="C1701" s="22" t="n">
        <v>12</v>
      </c>
      <c r="D1701" s="22" t="inlineStr">
        <is>
          <t>S12</t>
        </is>
      </c>
      <c r="E1701" s="22" t="inlineStr">
        <is>
          <t>Nexa Basse-Normandie (S12)</t>
        </is>
      </c>
      <c r="F1701" s="22" t="inlineStr">
        <is>
          <t>Pháp</t>
        </is>
      </c>
      <c r="G1701" s="22" t="inlineStr">
        <is>
          <t>POS</t>
        </is>
      </c>
      <c r="H1701" s="31" t="n">
        <v>8814.030000000001</v>
      </c>
      <c r="I1701" s="31" t="n">
        <v>100.34</v>
      </c>
      <c r="J1701" s="31" t="n">
        <v>8713.690000000001</v>
      </c>
      <c r="K1701" s="31" t="n">
        <v>0</v>
      </c>
      <c r="L1701" s="32" t="n">
        <v>5</v>
      </c>
      <c r="M1701" s="32" t="n">
        <v>43</v>
      </c>
      <c r="N1701" s="31" t="n">
        <v>8713.690000000001</v>
      </c>
      <c r="O1701" s="31" t="n">
        <v>8713.690000000001</v>
      </c>
      <c r="P1701" s="22" t="n">
        <v>0</v>
      </c>
      <c r="Q1701" s="22" t="n">
        <v>0</v>
      </c>
      <c r="R1701" s="22" t="n">
        <v>0</v>
      </c>
    </row>
    <row r="1702">
      <c r="A1702" s="22" t="n">
        <v>201901</v>
      </c>
      <c r="B1702" s="22" t="inlineStr">
        <is>
          <t>01/2019</t>
        </is>
      </c>
      <c r="C1702" s="22" t="n">
        <v>14</v>
      </c>
      <c r="D1702" s="22" t="inlineStr">
        <is>
          <t>S14</t>
        </is>
      </c>
      <c r="E1702" s="22" t="inlineStr">
        <is>
          <t>Nexa Franche-Comté (S14)</t>
        </is>
      </c>
      <c r="F1702" s="22" t="inlineStr">
        <is>
          <t>Pháp</t>
        </is>
      </c>
      <c r="G1702" s="22" t="inlineStr">
        <is>
          <t>POS</t>
        </is>
      </c>
      <c r="H1702" s="31" t="n">
        <v>3308.69</v>
      </c>
      <c r="I1702" s="31" t="n">
        <v>0</v>
      </c>
      <c r="J1702" s="31" t="n">
        <v>3308.69</v>
      </c>
      <c r="K1702" s="31" t="n">
        <v>0</v>
      </c>
      <c r="L1702" s="32" t="n">
        <v>2</v>
      </c>
      <c r="M1702" s="32" t="n">
        <v>8</v>
      </c>
      <c r="N1702" s="31" t="n">
        <v>3308.69</v>
      </c>
      <c r="O1702" s="31" t="n">
        <v>3308.69</v>
      </c>
      <c r="P1702" s="22" t="n">
        <v>0</v>
      </c>
      <c r="Q1702" s="22" t="n">
        <v>0</v>
      </c>
      <c r="R1702" s="22" t="n">
        <v>0</v>
      </c>
    </row>
    <row r="1703">
      <c r="A1703" s="22" t="n">
        <v>201901</v>
      </c>
      <c r="B1703" s="22" t="inlineStr">
        <is>
          <t>01/2019</t>
        </is>
      </c>
      <c r="C1703" s="22" t="n">
        <v>15</v>
      </c>
      <c r="D1703" s="22" t="inlineStr">
        <is>
          <t>S15</t>
        </is>
      </c>
      <c r="E1703" s="22" t="inlineStr">
        <is>
          <t>Nexa La Réunion (S15)</t>
        </is>
      </c>
      <c r="F1703" s="22" t="inlineStr">
        <is>
          <t>Pháp</t>
        </is>
      </c>
      <c r="G1703" s="22" t="inlineStr">
        <is>
          <t>POS</t>
        </is>
      </c>
      <c r="H1703" s="31" t="n">
        <v>16975.33</v>
      </c>
      <c r="I1703" s="31" t="n">
        <v>117.34</v>
      </c>
      <c r="J1703" s="31" t="n">
        <v>16857.99</v>
      </c>
      <c r="K1703" s="31" t="n">
        <v>0</v>
      </c>
      <c r="L1703" s="32" t="n">
        <v>3</v>
      </c>
      <c r="M1703" s="32" t="n">
        <v>38</v>
      </c>
      <c r="N1703" s="31" t="n">
        <v>16857.99</v>
      </c>
      <c r="O1703" s="31" t="n">
        <v>16857.99</v>
      </c>
      <c r="P1703" s="22" t="n">
        <v>0</v>
      </c>
      <c r="Q1703" s="22" t="n">
        <v>0</v>
      </c>
      <c r="R1703" s="22" t="n">
        <v>0</v>
      </c>
    </row>
    <row r="1704">
      <c r="A1704" s="22" t="n">
        <v>201901</v>
      </c>
      <c r="B1704" s="22" t="inlineStr">
        <is>
          <t>01/2019</t>
        </is>
      </c>
      <c r="C1704" s="22" t="n">
        <v>16</v>
      </c>
      <c r="D1704" s="22" t="inlineStr">
        <is>
          <t>S16</t>
        </is>
      </c>
      <c r="E1704" s="22" t="inlineStr">
        <is>
          <t>Nexa Limousin (S16)</t>
        </is>
      </c>
      <c r="F1704" s="22" t="inlineStr">
        <is>
          <t>Pháp</t>
        </is>
      </c>
      <c r="G1704" s="22" t="inlineStr">
        <is>
          <t>POS</t>
        </is>
      </c>
      <c r="H1704" s="31" t="n">
        <v>14138.31</v>
      </c>
      <c r="I1704" s="31" t="n">
        <v>381.61</v>
      </c>
      <c r="J1704" s="31" t="n">
        <v>13756.7</v>
      </c>
      <c r="K1704" s="31" t="n">
        <v>43</v>
      </c>
      <c r="L1704" s="32" t="n">
        <v>4</v>
      </c>
      <c r="M1704" s="32" t="n">
        <v>64</v>
      </c>
      <c r="N1704" s="31" t="n">
        <v>13713.7</v>
      </c>
      <c r="O1704" s="31" t="n">
        <v>13756.7</v>
      </c>
      <c r="P1704" s="22" t="n">
        <v>0</v>
      </c>
      <c r="Q1704" s="22" t="n">
        <v>0</v>
      </c>
      <c r="R1704" s="22" t="n">
        <v>0</v>
      </c>
    </row>
    <row r="1705">
      <c r="A1705" s="22" t="n">
        <v>201901</v>
      </c>
      <c r="B1705" s="22" t="inlineStr">
        <is>
          <t>01/2019</t>
        </is>
      </c>
      <c r="C1705" s="22" t="n">
        <v>17</v>
      </c>
      <c r="D1705" s="22" t="inlineStr">
        <is>
          <t>S17</t>
        </is>
      </c>
      <c r="E1705" s="22" t="inlineStr">
        <is>
          <t>Nexa Martinique (S17)</t>
        </is>
      </c>
      <c r="F1705" s="22" t="inlineStr">
        <is>
          <t>Pháp</t>
        </is>
      </c>
      <c r="G1705" s="22" t="inlineStr">
        <is>
          <t>POS</t>
        </is>
      </c>
      <c r="H1705" s="31" t="n">
        <v>11631.9</v>
      </c>
      <c r="I1705" s="31" t="n">
        <v>211.09</v>
      </c>
      <c r="J1705" s="31" t="n">
        <v>11420.81</v>
      </c>
      <c r="K1705" s="31" t="n">
        <v>2126.07</v>
      </c>
      <c r="L1705" s="32" t="n">
        <v>3</v>
      </c>
      <c r="M1705" s="32" t="n">
        <v>52</v>
      </c>
      <c r="N1705" s="31" t="n">
        <v>9294.74</v>
      </c>
      <c r="O1705" s="31" t="n">
        <v>11420.81</v>
      </c>
      <c r="P1705" s="22" t="n">
        <v>0</v>
      </c>
      <c r="Q1705" s="22" t="n">
        <v>0</v>
      </c>
      <c r="R1705" s="22" t="n">
        <v>0</v>
      </c>
    </row>
    <row r="1706">
      <c r="A1706" s="22" t="n">
        <v>201901</v>
      </c>
      <c r="B1706" s="22" t="inlineStr">
        <is>
          <t>01/2019</t>
        </is>
      </c>
      <c r="C1706" s="22" t="n">
        <v>18</v>
      </c>
      <c r="D1706" s="22" t="inlineStr">
        <is>
          <t>S18</t>
        </is>
      </c>
      <c r="E1706" s="22" t="inlineStr">
        <is>
          <t>Nexa Mayotte (S18)</t>
        </is>
      </c>
      <c r="F1706" s="22" t="inlineStr">
        <is>
          <t>Pháp</t>
        </is>
      </c>
      <c r="G1706" s="22" t="inlineStr">
        <is>
          <t>POS</t>
        </is>
      </c>
      <c r="H1706" s="31" t="n">
        <v>22565.28</v>
      </c>
      <c r="I1706" s="31" t="n">
        <v>0</v>
      </c>
      <c r="J1706" s="31" t="n">
        <v>22565.28</v>
      </c>
      <c r="K1706" s="31" t="n">
        <v>0</v>
      </c>
      <c r="L1706" s="32" t="n">
        <v>6</v>
      </c>
      <c r="M1706" s="32" t="n">
        <v>58</v>
      </c>
      <c r="N1706" s="31" t="n">
        <v>22565.28</v>
      </c>
      <c r="O1706" s="31" t="n">
        <v>22565.28</v>
      </c>
      <c r="P1706" s="22" t="n">
        <v>0</v>
      </c>
      <c r="Q1706" s="22" t="n">
        <v>0</v>
      </c>
      <c r="R1706" s="22" t="n">
        <v>0</v>
      </c>
    </row>
    <row r="1707">
      <c r="A1707" s="22" t="n">
        <v>201901</v>
      </c>
      <c r="B1707" s="22" t="inlineStr">
        <is>
          <t>01/2019</t>
        </is>
      </c>
      <c r="C1707" s="22" t="n">
        <v>19</v>
      </c>
      <c r="D1707" s="22" t="inlineStr">
        <is>
          <t>S19</t>
        </is>
      </c>
      <c r="E1707" s="22" t="inlineStr">
        <is>
          <t>Nexa Berlin (S19)</t>
        </is>
      </c>
      <c r="F1707" s="22" t="inlineStr">
        <is>
          <t>Đức</t>
        </is>
      </c>
      <c r="G1707" s="22" t="inlineStr">
        <is>
          <t>POS</t>
        </is>
      </c>
      <c r="H1707" s="31" t="n">
        <v>18915.94</v>
      </c>
      <c r="I1707" s="31" t="n">
        <v>516.6900000000001</v>
      </c>
      <c r="J1707" s="31" t="n">
        <v>18399.25</v>
      </c>
      <c r="K1707" s="31" t="n">
        <v>941.76</v>
      </c>
      <c r="L1707" s="32" t="n">
        <v>9</v>
      </c>
      <c r="M1707" s="32" t="n">
        <v>93</v>
      </c>
      <c r="N1707" s="31" t="n">
        <v>17457.49</v>
      </c>
      <c r="O1707" s="31" t="n">
        <v>18399.25</v>
      </c>
      <c r="P1707" s="22" t="n">
        <v>0</v>
      </c>
      <c r="Q1707" s="22" t="n">
        <v>0</v>
      </c>
      <c r="R1707" s="22" t="n">
        <v>0</v>
      </c>
    </row>
    <row r="1708">
      <c r="A1708" s="22" t="n">
        <v>201901</v>
      </c>
      <c r="B1708" s="22" t="inlineStr">
        <is>
          <t>01/2019</t>
        </is>
      </c>
      <c r="C1708" s="22" t="n">
        <v>20</v>
      </c>
      <c r="D1708" s="22" t="inlineStr">
        <is>
          <t>S20</t>
        </is>
      </c>
      <c r="E1708" s="22" t="inlineStr">
        <is>
          <t>Nexa Brandenburg (S20)</t>
        </is>
      </c>
      <c r="F1708" s="22" t="inlineStr">
        <is>
          <t>Đức</t>
        </is>
      </c>
      <c r="G1708" s="22" t="inlineStr">
        <is>
          <t>POS</t>
        </is>
      </c>
      <c r="H1708" s="31" t="n">
        <v>14552.83</v>
      </c>
      <c r="I1708" s="31" t="n">
        <v>285.4</v>
      </c>
      <c r="J1708" s="31" t="n">
        <v>14267.43</v>
      </c>
      <c r="K1708" s="31" t="n">
        <v>512.9400000000001</v>
      </c>
      <c r="L1708" s="32" t="n">
        <v>8</v>
      </c>
      <c r="M1708" s="32" t="n">
        <v>73</v>
      </c>
      <c r="N1708" s="31" t="n">
        <v>13754.49</v>
      </c>
      <c r="O1708" s="31" t="n">
        <v>14267.43</v>
      </c>
      <c r="P1708" s="22" t="n">
        <v>0</v>
      </c>
      <c r="Q1708" s="22" t="n">
        <v>0</v>
      </c>
      <c r="R1708" s="22" t="n">
        <v>1</v>
      </c>
    </row>
    <row r="1709">
      <c r="A1709" s="22" t="n">
        <v>201901</v>
      </c>
      <c r="B1709" s="22" t="inlineStr">
        <is>
          <t>01/2019</t>
        </is>
      </c>
      <c r="C1709" s="22" t="n">
        <v>21</v>
      </c>
      <c r="D1709" s="22" t="inlineStr">
        <is>
          <t>S21</t>
        </is>
      </c>
      <c r="E1709" s="22" t="inlineStr">
        <is>
          <t>Nexa Freie Hansestadt Bremen (S21)</t>
        </is>
      </c>
      <c r="F1709" s="22" t="inlineStr">
        <is>
          <t>Đức</t>
        </is>
      </c>
      <c r="G1709" s="22" t="inlineStr">
        <is>
          <t>POS</t>
        </is>
      </c>
      <c r="H1709" s="31" t="n">
        <v>58302.38</v>
      </c>
      <c r="I1709" s="31" t="n">
        <v>22.9</v>
      </c>
      <c r="J1709" s="31" t="n">
        <v>58279.48</v>
      </c>
      <c r="K1709" s="31" t="n">
        <v>619</v>
      </c>
      <c r="L1709" s="32" t="n">
        <v>10</v>
      </c>
      <c r="M1709" s="32" t="n">
        <v>89</v>
      </c>
      <c r="N1709" s="31" t="n">
        <v>57660.48</v>
      </c>
      <c r="O1709" s="31" t="n">
        <v>58279.48</v>
      </c>
      <c r="P1709" s="22" t="n">
        <v>0</v>
      </c>
      <c r="Q1709" s="22" t="n">
        <v>0</v>
      </c>
      <c r="R1709" s="22" t="n">
        <v>0</v>
      </c>
    </row>
    <row r="1710">
      <c r="A1710" s="22" t="n">
        <v>201901</v>
      </c>
      <c r="B1710" s="22" t="inlineStr">
        <is>
          <t>01/2019</t>
        </is>
      </c>
      <c r="C1710" s="22" t="n">
        <v>22</v>
      </c>
      <c r="D1710" s="22" t="inlineStr">
        <is>
          <t>S22</t>
        </is>
      </c>
      <c r="E1710" s="22" t="inlineStr">
        <is>
          <t>Nexa Freistaat Thüringen (S22)</t>
        </is>
      </c>
      <c r="F1710" s="22" t="inlineStr">
        <is>
          <t>Đức</t>
        </is>
      </c>
      <c r="G1710" s="22" t="inlineStr">
        <is>
          <t>POS</t>
        </is>
      </c>
      <c r="H1710" s="31" t="n">
        <v>11507.5</v>
      </c>
      <c r="I1710" s="31" t="n">
        <v>47.25</v>
      </c>
      <c r="J1710" s="31" t="n">
        <v>11460.25</v>
      </c>
      <c r="K1710" s="31" t="n">
        <v>354</v>
      </c>
      <c r="L1710" s="32" t="n">
        <v>13</v>
      </c>
      <c r="M1710" s="32" t="n">
        <v>80</v>
      </c>
      <c r="N1710" s="31" t="n">
        <v>11106.25</v>
      </c>
      <c r="O1710" s="31" t="n">
        <v>11460.25</v>
      </c>
      <c r="P1710" s="22" t="n">
        <v>0</v>
      </c>
      <c r="Q1710" s="22" t="n">
        <v>0</v>
      </c>
      <c r="R1710" s="22" t="n">
        <v>0</v>
      </c>
    </row>
    <row r="1711">
      <c r="A1711" s="22" t="n">
        <v>201901</v>
      </c>
      <c r="B1711" s="22" t="inlineStr">
        <is>
          <t>01/2019</t>
        </is>
      </c>
      <c r="C1711" s="22" t="n">
        <v>23</v>
      </c>
      <c r="D1711" s="22" t="inlineStr">
        <is>
          <t>S23</t>
        </is>
      </c>
      <c r="E1711" s="22" t="inlineStr">
        <is>
          <t>Nexa Hamburg (S23)</t>
        </is>
      </c>
      <c r="F1711" s="22" t="inlineStr">
        <is>
          <t>Đức</t>
        </is>
      </c>
      <c r="G1711" s="22" t="inlineStr">
        <is>
          <t>POS</t>
        </is>
      </c>
      <c r="H1711" s="31" t="n">
        <v>32679.98</v>
      </c>
      <c r="I1711" s="31" t="n">
        <v>127.39</v>
      </c>
      <c r="J1711" s="31" t="n">
        <v>32552.59</v>
      </c>
      <c r="K1711" s="31" t="n">
        <v>756.6</v>
      </c>
      <c r="L1711" s="32" t="n">
        <v>13</v>
      </c>
      <c r="M1711" s="32" t="n">
        <v>85</v>
      </c>
      <c r="N1711" s="31" t="n">
        <v>31795.99</v>
      </c>
      <c r="O1711" s="31" t="n">
        <v>32552.59</v>
      </c>
      <c r="P1711" s="22" t="n">
        <v>0</v>
      </c>
      <c r="Q1711" s="22" t="n">
        <v>0</v>
      </c>
      <c r="R1711" s="22" t="n">
        <v>0</v>
      </c>
    </row>
    <row r="1712">
      <c r="A1712" s="22" t="n">
        <v>201901</v>
      </c>
      <c r="B1712" s="22" t="inlineStr">
        <is>
          <t>01/2019</t>
        </is>
      </c>
      <c r="C1712" s="22" t="n">
        <v>24</v>
      </c>
      <c r="D1712" s="22" t="inlineStr">
        <is>
          <t>S24</t>
        </is>
      </c>
      <c r="E1712" s="22" t="inlineStr">
        <is>
          <t>Nexa Hessen (S24)</t>
        </is>
      </c>
      <c r="F1712" s="22" t="inlineStr">
        <is>
          <t>Đức</t>
        </is>
      </c>
      <c r="G1712" s="22" t="inlineStr">
        <is>
          <t>POS</t>
        </is>
      </c>
      <c r="H1712" s="31" t="n">
        <v>15419.11</v>
      </c>
      <c r="I1712" s="31" t="n">
        <v>272.76</v>
      </c>
      <c r="J1712" s="31" t="n">
        <v>15146.35</v>
      </c>
      <c r="K1712" s="31" t="n">
        <v>3909.96</v>
      </c>
      <c r="L1712" s="32" t="n">
        <v>7</v>
      </c>
      <c r="M1712" s="32" t="n">
        <v>65</v>
      </c>
      <c r="N1712" s="31" t="n">
        <v>11236.39</v>
      </c>
      <c r="O1712" s="31" t="n">
        <v>15146.35</v>
      </c>
      <c r="P1712" s="22" t="n">
        <v>0</v>
      </c>
      <c r="Q1712" s="22" t="n">
        <v>0</v>
      </c>
      <c r="R1712" s="22" t="n">
        <v>0</v>
      </c>
    </row>
    <row r="1713">
      <c r="A1713" s="22" t="n">
        <v>201901</v>
      </c>
      <c r="B1713" s="22" t="inlineStr">
        <is>
          <t>01/2019</t>
        </is>
      </c>
      <c r="C1713" s="22" t="n">
        <v>27</v>
      </c>
      <c r="D1713" s="22" t="inlineStr">
        <is>
          <t>S27</t>
        </is>
      </c>
      <c r="E1713" s="22" t="inlineStr">
        <is>
          <t>Nexa Sachsen-Anhalt (S27)</t>
        </is>
      </c>
      <c r="F1713" s="22" t="inlineStr">
        <is>
          <t>Đức</t>
        </is>
      </c>
      <c r="G1713" s="22" t="inlineStr">
        <is>
          <t>POS</t>
        </is>
      </c>
      <c r="H1713" s="31" t="n">
        <v>23057.23</v>
      </c>
      <c r="I1713" s="31" t="n">
        <v>500.6</v>
      </c>
      <c r="J1713" s="31" t="n">
        <v>22556.63</v>
      </c>
      <c r="K1713" s="31" t="n">
        <v>591.3</v>
      </c>
      <c r="L1713" s="32" t="n">
        <v>10</v>
      </c>
      <c r="M1713" s="32" t="n">
        <v>104</v>
      </c>
      <c r="N1713" s="31" t="n">
        <v>24357.32</v>
      </c>
      <c r="O1713" s="31" t="n">
        <v>22556.63</v>
      </c>
      <c r="P1713" s="22" t="n">
        <v>1</v>
      </c>
      <c r="Q1713" s="22" t="n">
        <v>0</v>
      </c>
      <c r="R1713" s="22" t="n">
        <v>0</v>
      </c>
    </row>
    <row r="1714">
      <c r="A1714" s="22" t="n">
        <v>201901</v>
      </c>
      <c r="B1714" s="22" t="inlineStr">
        <is>
          <t>01/2019</t>
        </is>
      </c>
      <c r="C1714" s="22" t="n">
        <v>29</v>
      </c>
      <c r="D1714" s="22" t="inlineStr">
        <is>
          <t>S29</t>
        </is>
      </c>
      <c r="E1714" s="22" t="inlineStr">
        <is>
          <t>Nexa Enna (S29)</t>
        </is>
      </c>
      <c r="F1714" s="22" t="inlineStr">
        <is>
          <t>Ý</t>
        </is>
      </c>
      <c r="G1714" s="22" t="inlineStr">
        <is>
          <t>POS</t>
        </is>
      </c>
      <c r="H1714" s="31" t="n">
        <v>38710.15</v>
      </c>
      <c r="I1714" s="31" t="n">
        <v>1512.72</v>
      </c>
      <c r="J1714" s="31" t="n">
        <v>37197.43</v>
      </c>
      <c r="K1714" s="31" t="n">
        <v>1695.71</v>
      </c>
      <c r="L1714" s="32" t="n">
        <v>16</v>
      </c>
      <c r="M1714" s="32" t="n">
        <v>102</v>
      </c>
      <c r="N1714" s="31" t="n">
        <v>35501.72</v>
      </c>
      <c r="O1714" s="31" t="n">
        <v>37197.43</v>
      </c>
      <c r="P1714" s="22" t="n">
        <v>0</v>
      </c>
      <c r="Q1714" s="22" t="n">
        <v>0</v>
      </c>
      <c r="R1714" s="22" t="n">
        <v>0</v>
      </c>
    </row>
    <row r="1715">
      <c r="A1715" s="22" t="n">
        <v>201901</v>
      </c>
      <c r="B1715" s="22" t="inlineStr">
        <is>
          <t>01/2019</t>
        </is>
      </c>
      <c r="C1715" s="22" t="n">
        <v>30</v>
      </c>
      <c r="D1715" s="22" t="inlineStr">
        <is>
          <t>S30</t>
        </is>
      </c>
      <c r="E1715" s="22" t="inlineStr">
        <is>
          <t>Nexa Pesaro (S30)</t>
        </is>
      </c>
      <c r="F1715" s="22" t="inlineStr">
        <is>
          <t>Ý</t>
        </is>
      </c>
      <c r="G1715" s="22" t="inlineStr">
        <is>
          <t>POS</t>
        </is>
      </c>
      <c r="H1715" s="31" t="n">
        <v>15481.7</v>
      </c>
      <c r="I1715" s="31" t="n">
        <v>386.36</v>
      </c>
      <c r="J1715" s="31" t="n">
        <v>15095.34</v>
      </c>
      <c r="K1715" s="31" t="n">
        <v>2.94</v>
      </c>
      <c r="L1715" s="32" t="n">
        <v>13</v>
      </c>
      <c r="M1715" s="32" t="n">
        <v>105</v>
      </c>
      <c r="N1715" s="31" t="n">
        <v>15092.4</v>
      </c>
      <c r="O1715" s="31" t="n">
        <v>15095.34</v>
      </c>
      <c r="P1715" s="22" t="n">
        <v>1</v>
      </c>
      <c r="Q1715" s="22" t="n">
        <v>0</v>
      </c>
      <c r="R1715" s="22" t="n">
        <v>0</v>
      </c>
    </row>
    <row r="1716">
      <c r="A1716" s="22" t="n">
        <v>201901</v>
      </c>
      <c r="B1716" s="22" t="inlineStr">
        <is>
          <t>01/2019</t>
        </is>
      </c>
      <c r="C1716" s="22" t="n">
        <v>31</v>
      </c>
      <c r="D1716" s="22" t="inlineStr">
        <is>
          <t>S31</t>
        </is>
      </c>
      <c r="E1716" s="22" t="inlineStr">
        <is>
          <t>Nexa Drenthe (S31)</t>
        </is>
      </c>
      <c r="F1716" s="22" t="inlineStr">
        <is>
          <t>Hà Lan</t>
        </is>
      </c>
      <c r="G1716" s="22" t="inlineStr">
        <is>
          <t>POS</t>
        </is>
      </c>
      <c r="H1716" s="31" t="n">
        <v>10196.73</v>
      </c>
      <c r="I1716" s="31" t="n">
        <v>107.16</v>
      </c>
      <c r="J1716" s="31" t="n">
        <v>10089.57</v>
      </c>
      <c r="K1716" s="31" t="n">
        <v>486.4</v>
      </c>
      <c r="L1716" s="32" t="n">
        <v>5</v>
      </c>
      <c r="M1716" s="32" t="n">
        <v>52</v>
      </c>
      <c r="N1716" s="31" t="n">
        <v>9603.17</v>
      </c>
      <c r="O1716" s="31" t="n">
        <v>10089.57</v>
      </c>
      <c r="P1716" s="22" t="n">
        <v>0</v>
      </c>
      <c r="Q1716" s="22" t="n">
        <v>0</v>
      </c>
      <c r="R1716" s="22" t="n">
        <v>0</v>
      </c>
    </row>
    <row r="1717">
      <c r="A1717" s="22" t="n">
        <v>201901</v>
      </c>
      <c r="B1717" s="22" t="inlineStr">
        <is>
          <t>01/2019</t>
        </is>
      </c>
      <c r="C1717" s="22" t="n">
        <v>32</v>
      </c>
      <c r="D1717" s="22" t="inlineStr">
        <is>
          <t>S32</t>
        </is>
      </c>
      <c r="E1717" s="22" t="inlineStr">
        <is>
          <t>Nexa Flevoland (S32)</t>
        </is>
      </c>
      <c r="F1717" s="22" t="inlineStr">
        <is>
          <t>Hà Lan</t>
        </is>
      </c>
      <c r="G1717" s="22" t="inlineStr">
        <is>
          <t>POS</t>
        </is>
      </c>
      <c r="H1717" s="31" t="n">
        <v>725.74</v>
      </c>
      <c r="I1717" s="31" t="n">
        <v>26.8</v>
      </c>
      <c r="J1717" s="31" t="n">
        <v>698.9400000000001</v>
      </c>
      <c r="K1717" s="31" t="n">
        <v>0</v>
      </c>
      <c r="L1717" s="32" t="n">
        <v>3</v>
      </c>
      <c r="M1717" s="32" t="n">
        <v>7</v>
      </c>
      <c r="N1717" s="31" t="n">
        <v>698.9400000000001</v>
      </c>
      <c r="O1717" s="31" t="n">
        <v>698.9400000000001</v>
      </c>
      <c r="P1717" s="22" t="n">
        <v>2</v>
      </c>
      <c r="Q1717" s="22" t="n">
        <v>0</v>
      </c>
      <c r="R1717" s="22" t="n">
        <v>0</v>
      </c>
    </row>
    <row r="1718">
      <c r="A1718" s="22" t="n">
        <v>201901</v>
      </c>
      <c r="B1718" s="22" t="inlineStr">
        <is>
          <t>01/2019</t>
        </is>
      </c>
      <c r="C1718" s="22" t="n">
        <v>33</v>
      </c>
      <c r="D1718" s="22" t="inlineStr">
        <is>
          <t>S33</t>
        </is>
      </c>
      <c r="E1718" s="22" t="inlineStr">
        <is>
          <t>Nexa Friesland (S33)</t>
        </is>
      </c>
      <c r="F1718" s="22" t="inlineStr">
        <is>
          <t>Hà Lan</t>
        </is>
      </c>
      <c r="G1718" s="22" t="inlineStr">
        <is>
          <t>POS</t>
        </is>
      </c>
      <c r="H1718" s="31" t="n">
        <v>319.38</v>
      </c>
      <c r="I1718" s="31" t="n">
        <v>15.97</v>
      </c>
      <c r="J1718" s="31" t="n">
        <v>303.41</v>
      </c>
      <c r="K1718" s="31" t="n">
        <v>0</v>
      </c>
      <c r="L1718" s="32" t="n">
        <v>2</v>
      </c>
      <c r="M1718" s="32" t="n">
        <v>3</v>
      </c>
      <c r="N1718" s="31" t="n">
        <v>303.41</v>
      </c>
      <c r="O1718" s="31" t="n">
        <v>303.41</v>
      </c>
      <c r="P1718" s="22" t="n">
        <v>0</v>
      </c>
      <c r="Q1718" s="22" t="n">
        <v>0</v>
      </c>
      <c r="R1718" s="22" t="n">
        <v>0</v>
      </c>
    </row>
    <row r="1719">
      <c r="A1719" s="22" t="n">
        <v>201901</v>
      </c>
      <c r="B1719" s="22" t="inlineStr">
        <is>
          <t>01/2019</t>
        </is>
      </c>
      <c r="C1719" s="22" t="n">
        <v>34</v>
      </c>
      <c r="D1719" s="22" t="inlineStr">
        <is>
          <t>S34</t>
        </is>
      </c>
      <c r="E1719" s="22" t="inlineStr">
        <is>
          <t>Nexa Groningen (S34)</t>
        </is>
      </c>
      <c r="F1719" s="22" t="inlineStr">
        <is>
          <t>Hà Lan</t>
        </is>
      </c>
      <c r="G1719" s="22" t="inlineStr">
        <is>
          <t>POS</t>
        </is>
      </c>
      <c r="H1719" s="31" t="n">
        <v>33168.48</v>
      </c>
      <c r="I1719" s="31" t="n">
        <v>1529.1</v>
      </c>
      <c r="J1719" s="31" t="n">
        <v>31639.38</v>
      </c>
      <c r="K1719" s="31" t="n">
        <v>0</v>
      </c>
      <c r="L1719" s="32" t="n">
        <v>6</v>
      </c>
      <c r="M1719" s="32" t="n">
        <v>67</v>
      </c>
      <c r="N1719" s="31" t="n">
        <v>31639.38</v>
      </c>
      <c r="O1719" s="31" t="n">
        <v>31639.38</v>
      </c>
      <c r="P1719" s="22" t="n">
        <v>1</v>
      </c>
      <c r="Q1719" s="22" t="n">
        <v>0</v>
      </c>
      <c r="R1719" s="22" t="n">
        <v>0</v>
      </c>
    </row>
    <row r="1720">
      <c r="A1720" s="22" t="n">
        <v>201901</v>
      </c>
      <c r="B1720" s="22" t="inlineStr">
        <is>
          <t>01/2019</t>
        </is>
      </c>
      <c r="C1720" s="22" t="n">
        <v>36</v>
      </c>
      <c r="D1720" s="22" t="inlineStr">
        <is>
          <t>S36</t>
        </is>
      </c>
      <c r="E1720" s="22" t="inlineStr">
        <is>
          <t>Nexa Armagh (S36)</t>
        </is>
      </c>
      <c r="F1720" s="22" t="inlineStr">
        <is>
          <t>Anh</t>
        </is>
      </c>
      <c r="G1720" s="22" t="inlineStr">
        <is>
          <t>POS</t>
        </is>
      </c>
      <c r="H1720" s="31" t="n">
        <v>28530.14</v>
      </c>
      <c r="I1720" s="31" t="n">
        <v>276.44</v>
      </c>
      <c r="J1720" s="31" t="n">
        <v>28253.7</v>
      </c>
      <c r="K1720" s="31" t="n">
        <v>31.35</v>
      </c>
      <c r="L1720" s="32" t="n">
        <v>15</v>
      </c>
      <c r="M1720" s="32" t="n">
        <v>104</v>
      </c>
      <c r="N1720" s="31" t="n">
        <v>28222.35</v>
      </c>
      <c r="O1720" s="31" t="n">
        <v>28253.7</v>
      </c>
      <c r="P1720" s="22" t="n">
        <v>0</v>
      </c>
      <c r="Q1720" s="22" t="n">
        <v>0</v>
      </c>
      <c r="R1720" s="22" t="n">
        <v>0</v>
      </c>
    </row>
    <row r="1721">
      <c r="A1721" s="22" t="n">
        <v>201901</v>
      </c>
      <c r="B1721" s="22" t="inlineStr">
        <is>
          <t>01/2019</t>
        </is>
      </c>
      <c r="C1721" s="22" t="n">
        <v>37</v>
      </c>
      <c r="D1721" s="22" t="inlineStr">
        <is>
          <t>S37</t>
        </is>
      </c>
      <c r="E1721" s="22" t="inlineStr">
        <is>
          <t>Nexa Ayrshire (S37)</t>
        </is>
      </c>
      <c r="F1721" s="22" t="inlineStr">
        <is>
          <t>Anh</t>
        </is>
      </c>
      <c r="G1721" s="22" t="inlineStr">
        <is>
          <t>POS</t>
        </is>
      </c>
      <c r="H1721" s="31" t="n">
        <v>13725.65</v>
      </c>
      <c r="I1721" s="31" t="n">
        <v>72.36</v>
      </c>
      <c r="J1721" s="31" t="n">
        <v>13653.29</v>
      </c>
      <c r="K1721" s="31" t="n">
        <v>56</v>
      </c>
      <c r="L1721" s="32" t="n">
        <v>13</v>
      </c>
      <c r="M1721" s="32" t="n">
        <v>82</v>
      </c>
      <c r="N1721" s="31" t="n">
        <v>13597.29</v>
      </c>
      <c r="O1721" s="31" t="n">
        <v>13653.29</v>
      </c>
      <c r="P1721" s="22" t="n">
        <v>0</v>
      </c>
      <c r="Q1721" s="22" t="n">
        <v>0</v>
      </c>
      <c r="R1721" s="22" t="n">
        <v>0</v>
      </c>
    </row>
    <row r="1722">
      <c r="A1722" s="22" t="n">
        <v>201901</v>
      </c>
      <c r="B1722" s="22" t="inlineStr">
        <is>
          <t>01/2019</t>
        </is>
      </c>
      <c r="C1722" s="22" t="n">
        <v>38</v>
      </c>
      <c r="D1722" s="22" t="inlineStr">
        <is>
          <t>S38</t>
        </is>
      </c>
      <c r="E1722" s="22" t="inlineStr">
        <is>
          <t>Nexa Belfast (S38)</t>
        </is>
      </c>
      <c r="F1722" s="22" t="inlineStr">
        <is>
          <t>Anh</t>
        </is>
      </c>
      <c r="G1722" s="22" t="inlineStr">
        <is>
          <t>POS</t>
        </is>
      </c>
      <c r="H1722" s="31" t="n">
        <v>29337.62</v>
      </c>
      <c r="I1722" s="31" t="n">
        <v>10.45</v>
      </c>
      <c r="J1722" s="31" t="n">
        <v>29327.17</v>
      </c>
      <c r="K1722" s="31" t="n">
        <v>1635.94</v>
      </c>
      <c r="L1722" s="32" t="n">
        <v>12</v>
      </c>
      <c r="M1722" s="32" t="n">
        <v>94</v>
      </c>
      <c r="N1722" s="31" t="n">
        <v>27691.23</v>
      </c>
      <c r="O1722" s="31" t="n">
        <v>29327.17</v>
      </c>
      <c r="P1722" s="22" t="n">
        <v>0</v>
      </c>
      <c r="Q1722" s="22" t="n">
        <v>0</v>
      </c>
      <c r="R1722" s="22" t="n">
        <v>0</v>
      </c>
    </row>
    <row r="1723">
      <c r="A1723" s="22" t="n">
        <v>201901</v>
      </c>
      <c r="B1723" s="22" t="inlineStr">
        <is>
          <t>01/2019</t>
        </is>
      </c>
      <c r="C1723" s="22" t="n">
        <v>39</v>
      </c>
      <c r="D1723" s="22" t="inlineStr">
        <is>
          <t>S39</t>
        </is>
      </c>
      <c r="E1723" s="22" t="inlineStr">
        <is>
          <t>Nexa Blaenau Gwent (S39)</t>
        </is>
      </c>
      <c r="F1723" s="22" t="inlineStr">
        <is>
          <t>Anh</t>
        </is>
      </c>
      <c r="G1723" s="22" t="inlineStr">
        <is>
          <t>POS</t>
        </is>
      </c>
      <c r="H1723" s="31" t="n">
        <v>61291.09</v>
      </c>
      <c r="I1723" s="31" t="n">
        <v>1139.38</v>
      </c>
      <c r="J1723" s="31" t="n">
        <v>60151.71</v>
      </c>
      <c r="K1723" s="31" t="n">
        <v>1880.6</v>
      </c>
      <c r="L1723" s="32" t="n">
        <v>19</v>
      </c>
      <c r="M1723" s="32" t="n">
        <v>206</v>
      </c>
      <c r="N1723" s="31" t="n">
        <v>58271.11</v>
      </c>
      <c r="O1723" s="31" t="n">
        <v>60151.71</v>
      </c>
      <c r="P1723" s="22" t="n">
        <v>1</v>
      </c>
      <c r="Q1723" s="22" t="n">
        <v>0</v>
      </c>
      <c r="R1723" s="22" t="n">
        <v>1</v>
      </c>
    </row>
    <row r="1724">
      <c r="A1724" s="22" t="n">
        <v>201901</v>
      </c>
      <c r="B1724" s="22" t="inlineStr">
        <is>
          <t>01/2019</t>
        </is>
      </c>
      <c r="C1724" s="22" t="n">
        <v>40</v>
      </c>
      <c r="D1724" s="22" t="inlineStr">
        <is>
          <t>S40</t>
        </is>
      </c>
      <c r="E1724" s="22" t="inlineStr">
        <is>
          <t>Nexa Dungannon and South Tyrone (S40)</t>
        </is>
      </c>
      <c r="F1724" s="22" t="inlineStr">
        <is>
          <t>Anh</t>
        </is>
      </c>
      <c r="G1724" s="22" t="inlineStr">
        <is>
          <t>POS</t>
        </is>
      </c>
      <c r="H1724" s="31" t="n">
        <v>17531.76</v>
      </c>
      <c r="I1724" s="31" t="n">
        <v>177.42</v>
      </c>
      <c r="J1724" s="31" t="n">
        <v>17354.34</v>
      </c>
      <c r="K1724" s="31" t="n">
        <v>0</v>
      </c>
      <c r="L1724" s="32" t="n">
        <v>12</v>
      </c>
      <c r="M1724" s="32" t="n">
        <v>97</v>
      </c>
      <c r="N1724" s="31" t="n">
        <v>17354.34</v>
      </c>
      <c r="O1724" s="31" t="n">
        <v>17354.34</v>
      </c>
      <c r="P1724" s="22" t="n">
        <v>1</v>
      </c>
      <c r="Q1724" s="22" t="n">
        <v>0</v>
      </c>
      <c r="R1724" s="22" t="n">
        <v>0</v>
      </c>
    </row>
    <row r="1725">
      <c r="A1725" s="22" t="n">
        <v>201901</v>
      </c>
      <c r="B1725" s="22" t="inlineStr">
        <is>
          <t>01/2019</t>
        </is>
      </c>
      <c r="C1725" s="22" t="n">
        <v>42</v>
      </c>
      <c r="D1725" s="22" t="inlineStr">
        <is>
          <t>S42</t>
        </is>
      </c>
      <c r="E1725" s="22" t="inlineStr">
        <is>
          <t>Nexa North Down (S42)</t>
        </is>
      </c>
      <c r="F1725" s="22" t="inlineStr">
        <is>
          <t>Anh</t>
        </is>
      </c>
      <c r="G1725" s="22" t="inlineStr">
        <is>
          <t>POS</t>
        </is>
      </c>
      <c r="H1725" s="31" t="n">
        <v>25840.97</v>
      </c>
      <c r="I1725" s="31" t="n">
        <v>432.85</v>
      </c>
      <c r="J1725" s="31" t="n">
        <v>25408.12</v>
      </c>
      <c r="K1725" s="31" t="n">
        <v>875.34</v>
      </c>
      <c r="L1725" s="32" t="n">
        <v>14</v>
      </c>
      <c r="M1725" s="32" t="n">
        <v>104</v>
      </c>
      <c r="N1725" s="31" t="n">
        <v>22542.88</v>
      </c>
      <c r="O1725" s="31" t="n">
        <v>25408.12</v>
      </c>
      <c r="P1725" s="22" t="n">
        <v>0</v>
      </c>
      <c r="Q1725" s="22" t="n">
        <v>0</v>
      </c>
      <c r="R1725" s="22" t="n">
        <v>1</v>
      </c>
    </row>
    <row r="1726">
      <c r="A1726" s="22" t="n">
        <v>201901</v>
      </c>
      <c r="B1726" s="22" t="inlineStr">
        <is>
          <t>01/2019</t>
        </is>
      </c>
      <c r="C1726" s="22" t="n">
        <v>43</v>
      </c>
      <c r="D1726" s="22" t="inlineStr">
        <is>
          <t>S43</t>
        </is>
      </c>
      <c r="E1726" s="22" t="inlineStr">
        <is>
          <t>Nexa Alaska (S43)</t>
        </is>
      </c>
      <c r="F1726" s="22" t="inlineStr">
        <is>
          <t>Mỹ</t>
        </is>
      </c>
      <c r="G1726" s="22" t="inlineStr">
        <is>
          <t>POS</t>
        </is>
      </c>
      <c r="H1726" s="31" t="n">
        <v>44566</v>
      </c>
      <c r="I1726" s="31" t="n">
        <v>883.6</v>
      </c>
      <c r="J1726" s="31" t="n">
        <v>43682.4</v>
      </c>
      <c r="K1726" s="31" t="n">
        <v>935.97</v>
      </c>
      <c r="L1726" s="32" t="n">
        <v>20</v>
      </c>
      <c r="M1726" s="32" t="n">
        <v>167</v>
      </c>
      <c r="N1726" s="31" t="n">
        <v>42746.43</v>
      </c>
      <c r="O1726" s="31" t="n">
        <v>43682.4</v>
      </c>
      <c r="P1726" s="22" t="n">
        <v>0</v>
      </c>
      <c r="Q1726" s="22" t="n">
        <v>0</v>
      </c>
      <c r="R1726" s="22" t="n">
        <v>0</v>
      </c>
    </row>
    <row r="1727">
      <c r="A1727" s="22" t="n">
        <v>201901</v>
      </c>
      <c r="B1727" s="22" t="inlineStr">
        <is>
          <t>01/2019</t>
        </is>
      </c>
      <c r="C1727" s="22" t="n">
        <v>44</v>
      </c>
      <c r="D1727" s="22" t="inlineStr">
        <is>
          <t>S44</t>
        </is>
      </c>
      <c r="E1727" s="22" t="inlineStr">
        <is>
          <t>Nexa Arkansas (S44)</t>
        </is>
      </c>
      <c r="F1727" s="22" t="inlineStr">
        <is>
          <t>Mỹ</t>
        </is>
      </c>
      <c r="G1727" s="22" t="inlineStr">
        <is>
          <t>POS</t>
        </is>
      </c>
      <c r="H1727" s="31" t="n">
        <v>37404.59</v>
      </c>
      <c r="I1727" s="31" t="n">
        <v>763.1799999999999</v>
      </c>
      <c r="J1727" s="31" t="n">
        <v>36641.41</v>
      </c>
      <c r="K1727" s="31" t="n">
        <v>594.99</v>
      </c>
      <c r="L1727" s="32" t="n">
        <v>19</v>
      </c>
      <c r="M1727" s="32" t="n">
        <v>178</v>
      </c>
      <c r="N1727" s="31" t="n">
        <v>36046.42</v>
      </c>
      <c r="O1727" s="31" t="n">
        <v>36641.41</v>
      </c>
      <c r="P1727" s="22" t="n">
        <v>0</v>
      </c>
      <c r="Q1727" s="22" t="n">
        <v>0</v>
      </c>
      <c r="R1727" s="22" t="n">
        <v>0</v>
      </c>
    </row>
    <row r="1728">
      <c r="A1728" s="22" t="n">
        <v>201901</v>
      </c>
      <c r="B1728" s="22" t="inlineStr">
        <is>
          <t>01/2019</t>
        </is>
      </c>
      <c r="C1728" s="22" t="n">
        <v>45</v>
      </c>
      <c r="D1728" s="22" t="inlineStr">
        <is>
          <t>S45</t>
        </is>
      </c>
      <c r="E1728" s="22" t="inlineStr">
        <is>
          <t>Nexa Connecticut (S45)</t>
        </is>
      </c>
      <c r="F1728" s="22" t="inlineStr">
        <is>
          <t>Mỹ</t>
        </is>
      </c>
      <c r="G1728" s="22" t="inlineStr">
        <is>
          <t>POS</t>
        </is>
      </c>
      <c r="H1728" s="31" t="n">
        <v>39717.35</v>
      </c>
      <c r="I1728" s="31" t="n">
        <v>368.44</v>
      </c>
      <c r="J1728" s="31" t="n">
        <v>39348.91</v>
      </c>
      <c r="K1728" s="31" t="n">
        <v>26.43</v>
      </c>
      <c r="L1728" s="32" t="n">
        <v>22</v>
      </c>
      <c r="M1728" s="32" t="n">
        <v>149</v>
      </c>
      <c r="N1728" s="31" t="n">
        <v>39322.48</v>
      </c>
      <c r="O1728" s="31" t="n">
        <v>39348.91</v>
      </c>
      <c r="P1728" s="22" t="n">
        <v>0</v>
      </c>
      <c r="Q1728" s="22" t="n">
        <v>0</v>
      </c>
      <c r="R1728" s="22" t="n">
        <v>0</v>
      </c>
    </row>
    <row r="1729">
      <c r="A1729" s="22" t="n">
        <v>201901</v>
      </c>
      <c r="B1729" s="22" t="inlineStr">
        <is>
          <t>01/2019</t>
        </is>
      </c>
      <c r="C1729" s="22" t="n">
        <v>47</v>
      </c>
      <c r="D1729" s="22" t="inlineStr">
        <is>
          <t>S47</t>
        </is>
      </c>
      <c r="E1729" s="22" t="inlineStr">
        <is>
          <t>Nexa Hawaii (S47)</t>
        </is>
      </c>
      <c r="F1729" s="22" t="inlineStr">
        <is>
          <t>Mỹ</t>
        </is>
      </c>
      <c r="G1729" s="22" t="inlineStr">
        <is>
          <t>POS</t>
        </is>
      </c>
      <c r="H1729" s="31" t="n">
        <v>25515</v>
      </c>
      <c r="I1729" s="31" t="n">
        <v>174.12</v>
      </c>
      <c r="J1729" s="31" t="n">
        <v>25340.88</v>
      </c>
      <c r="K1729" s="31" t="n">
        <v>0</v>
      </c>
      <c r="L1729" s="32" t="n">
        <v>16</v>
      </c>
      <c r="M1729" s="32" t="n">
        <v>110</v>
      </c>
      <c r="N1729" s="31" t="n">
        <v>25340.88</v>
      </c>
      <c r="O1729" s="31" t="n">
        <v>25340.88</v>
      </c>
      <c r="P1729" s="22" t="n">
        <v>0</v>
      </c>
      <c r="Q1729" s="22" t="n">
        <v>0</v>
      </c>
      <c r="R1729" s="22" t="n">
        <v>0</v>
      </c>
    </row>
    <row r="1730">
      <c r="A1730" s="22" t="n">
        <v>201901</v>
      </c>
      <c r="B1730" s="22" t="inlineStr">
        <is>
          <t>01/2019</t>
        </is>
      </c>
      <c r="C1730" s="22" t="n">
        <v>48</v>
      </c>
      <c r="D1730" s="22" t="inlineStr">
        <is>
          <t>S48</t>
        </is>
      </c>
      <c r="E1730" s="22" t="inlineStr">
        <is>
          <t>Nexa Idaho (S48)</t>
        </is>
      </c>
      <c r="F1730" s="22" t="inlineStr">
        <is>
          <t>Mỹ</t>
        </is>
      </c>
      <c r="G1730" s="22" t="inlineStr">
        <is>
          <t>POS</t>
        </is>
      </c>
      <c r="H1730" s="31" t="n">
        <v>25273.6</v>
      </c>
      <c r="I1730" s="31" t="n">
        <v>226.59</v>
      </c>
      <c r="J1730" s="31" t="n">
        <v>25047.01</v>
      </c>
      <c r="K1730" s="31" t="n">
        <v>585.83</v>
      </c>
      <c r="L1730" s="32" t="n">
        <v>10</v>
      </c>
      <c r="M1730" s="32" t="n">
        <v>85</v>
      </c>
      <c r="N1730" s="31" t="n">
        <v>24461.18</v>
      </c>
      <c r="O1730" s="31" t="n">
        <v>25047.01</v>
      </c>
      <c r="P1730" s="22" t="n">
        <v>0</v>
      </c>
      <c r="Q1730" s="22" t="n">
        <v>0</v>
      </c>
      <c r="R1730" s="22" t="n">
        <v>0</v>
      </c>
    </row>
    <row r="1731">
      <c r="A1731" s="22" t="n">
        <v>201901</v>
      </c>
      <c r="B1731" s="22" t="inlineStr">
        <is>
          <t>01/2019</t>
        </is>
      </c>
      <c r="C1731" s="22" t="n">
        <v>49</v>
      </c>
      <c r="D1731" s="22" t="inlineStr">
        <is>
          <t>S49</t>
        </is>
      </c>
      <c r="E1731" s="22" t="inlineStr">
        <is>
          <t>Nexa Iowa (S49)</t>
        </is>
      </c>
      <c r="F1731" s="22" t="inlineStr">
        <is>
          <t>Mỹ</t>
        </is>
      </c>
      <c r="G1731" s="22" t="inlineStr">
        <is>
          <t>POS</t>
        </is>
      </c>
      <c r="H1731" s="31" t="n">
        <v>35736.98</v>
      </c>
      <c r="I1731" s="31" t="n">
        <v>815.0599999999999</v>
      </c>
      <c r="J1731" s="31" t="n">
        <v>34921.92</v>
      </c>
      <c r="K1731" s="31" t="n">
        <v>758</v>
      </c>
      <c r="L1731" s="32" t="n">
        <v>21</v>
      </c>
      <c r="M1731" s="32" t="n">
        <v>164</v>
      </c>
      <c r="N1731" s="31" t="n">
        <v>34163.92</v>
      </c>
      <c r="O1731" s="31" t="n">
        <v>34921.92</v>
      </c>
      <c r="P1731" s="22" t="n">
        <v>0</v>
      </c>
      <c r="Q1731" s="22" t="n">
        <v>0</v>
      </c>
      <c r="R1731" s="22" t="n">
        <v>1</v>
      </c>
    </row>
    <row r="1732">
      <c r="A1732" s="22" t="n">
        <v>201901</v>
      </c>
      <c r="B1732" s="22" t="inlineStr">
        <is>
          <t>01/2019</t>
        </is>
      </c>
      <c r="C1732" s="22" t="n">
        <v>50</v>
      </c>
      <c r="D1732" s="22" t="inlineStr">
        <is>
          <t>S50</t>
        </is>
      </c>
      <c r="E1732" s="22" t="inlineStr">
        <is>
          <t>Nexa Kansas (S50)</t>
        </is>
      </c>
      <c r="F1732" s="22" t="inlineStr">
        <is>
          <t>Mỹ</t>
        </is>
      </c>
      <c r="G1732" s="22" t="inlineStr">
        <is>
          <t>POS</t>
        </is>
      </c>
      <c r="H1732" s="31" t="n">
        <v>23085.24</v>
      </c>
      <c r="I1732" s="31" t="n">
        <v>298.64</v>
      </c>
      <c r="J1732" s="31" t="n">
        <v>22786.6</v>
      </c>
      <c r="K1732" s="31" t="n">
        <v>46.79</v>
      </c>
      <c r="L1732" s="32" t="n">
        <v>12</v>
      </c>
      <c r="M1732" s="32" t="n">
        <v>115</v>
      </c>
      <c r="N1732" s="31" t="n">
        <v>22739.81</v>
      </c>
      <c r="O1732" s="31" t="n">
        <v>22786.6</v>
      </c>
      <c r="P1732" s="22" t="n">
        <v>1</v>
      </c>
      <c r="Q1732" s="22" t="n">
        <v>0</v>
      </c>
      <c r="R1732" s="22" t="n">
        <v>1</v>
      </c>
    </row>
    <row r="1733">
      <c r="A1733" s="22" t="n">
        <v>201901</v>
      </c>
      <c r="B1733" s="22" t="inlineStr">
        <is>
          <t>01/2019</t>
        </is>
      </c>
      <c r="C1733" s="22" t="n">
        <v>51</v>
      </c>
      <c r="D1733" s="22" t="inlineStr">
        <is>
          <t>S51</t>
        </is>
      </c>
      <c r="E1733" s="22" t="inlineStr">
        <is>
          <t>Nexa Maine (S51)</t>
        </is>
      </c>
      <c r="F1733" s="22" t="inlineStr">
        <is>
          <t>Mỹ</t>
        </is>
      </c>
      <c r="G1733" s="22" t="inlineStr">
        <is>
          <t>POS</t>
        </is>
      </c>
      <c r="H1733" s="31" t="n">
        <v>44629.52</v>
      </c>
      <c r="I1733" s="31" t="n">
        <v>909.23</v>
      </c>
      <c r="J1733" s="31" t="n">
        <v>43720.29</v>
      </c>
      <c r="K1733" s="31" t="n">
        <v>500.04</v>
      </c>
      <c r="L1733" s="32" t="n">
        <v>21</v>
      </c>
      <c r="M1733" s="32" t="n">
        <v>161</v>
      </c>
      <c r="N1733" s="31" t="n">
        <v>43220.25</v>
      </c>
      <c r="O1733" s="31" t="n">
        <v>43720.29</v>
      </c>
      <c r="P1733" s="22" t="n">
        <v>1</v>
      </c>
      <c r="Q1733" s="22" t="n">
        <v>0</v>
      </c>
      <c r="R1733" s="22" t="n">
        <v>0</v>
      </c>
    </row>
    <row r="1734">
      <c r="A1734" s="22" t="n">
        <v>201901</v>
      </c>
      <c r="B1734" s="22" t="inlineStr">
        <is>
          <t>01/2019</t>
        </is>
      </c>
      <c r="C1734" s="22" t="n">
        <v>53</v>
      </c>
      <c r="D1734" s="22" t="inlineStr">
        <is>
          <t>S53</t>
        </is>
      </c>
      <c r="E1734" s="22" t="inlineStr">
        <is>
          <t>Nexa Montana (S53)</t>
        </is>
      </c>
      <c r="F1734" s="22" t="inlineStr">
        <is>
          <t>Mỹ</t>
        </is>
      </c>
      <c r="G1734" s="22" t="inlineStr">
        <is>
          <t>POS</t>
        </is>
      </c>
      <c r="H1734" s="31" t="n">
        <v>57079.26</v>
      </c>
      <c r="I1734" s="31" t="n">
        <v>675.26</v>
      </c>
      <c r="J1734" s="31" t="n">
        <v>56404</v>
      </c>
      <c r="K1734" s="31" t="n">
        <v>559.98</v>
      </c>
      <c r="L1734" s="32" t="n">
        <v>20</v>
      </c>
      <c r="M1734" s="32" t="n">
        <v>177</v>
      </c>
      <c r="N1734" s="31" t="n">
        <v>55844.02</v>
      </c>
      <c r="O1734" s="31" t="n">
        <v>56404</v>
      </c>
      <c r="P1734" s="22" t="n">
        <v>0</v>
      </c>
      <c r="Q1734" s="22" t="n">
        <v>0</v>
      </c>
      <c r="R1734" s="22" t="n">
        <v>0</v>
      </c>
    </row>
    <row r="1735">
      <c r="A1735" s="22" t="n">
        <v>201901</v>
      </c>
      <c r="B1735" s="22" t="inlineStr">
        <is>
          <t>01/2019</t>
        </is>
      </c>
      <c r="C1735" s="22" t="n">
        <v>54</v>
      </c>
      <c r="D1735" s="22" t="inlineStr">
        <is>
          <t>S54</t>
        </is>
      </c>
      <c r="E1735" s="22" t="inlineStr">
        <is>
          <t>Nexa Nebraska (S54)</t>
        </is>
      </c>
      <c r="F1735" s="22" t="inlineStr">
        <is>
          <t>Mỹ</t>
        </is>
      </c>
      <c r="G1735" s="22" t="inlineStr">
        <is>
          <t>POS</t>
        </is>
      </c>
      <c r="H1735" s="31" t="n">
        <v>36994.89</v>
      </c>
      <c r="I1735" s="31" t="n">
        <v>392.51</v>
      </c>
      <c r="J1735" s="31" t="n">
        <v>36602.38</v>
      </c>
      <c r="K1735" s="31" t="n">
        <v>0</v>
      </c>
      <c r="L1735" s="32" t="n">
        <v>16</v>
      </c>
      <c r="M1735" s="32" t="n">
        <v>113</v>
      </c>
      <c r="N1735" s="31" t="n">
        <v>36602.38</v>
      </c>
      <c r="O1735" s="31" t="n">
        <v>36602.38</v>
      </c>
      <c r="P1735" s="22" t="n">
        <v>1</v>
      </c>
      <c r="Q1735" s="22" t="n">
        <v>0</v>
      </c>
      <c r="R1735" s="22" t="n">
        <v>0</v>
      </c>
    </row>
    <row r="1736">
      <c r="A1736" s="22" t="n">
        <v>201901</v>
      </c>
      <c r="B1736" s="22" t="inlineStr">
        <is>
          <t>01/2019</t>
        </is>
      </c>
      <c r="C1736" s="22" t="n">
        <v>55</v>
      </c>
      <c r="D1736" s="22" t="inlineStr">
        <is>
          <t>S55</t>
        </is>
      </c>
      <c r="E1736" s="22" t="inlineStr">
        <is>
          <t>Nexa Nevada (S55)</t>
        </is>
      </c>
      <c r="F1736" s="22" t="inlineStr">
        <is>
          <t>Mỹ</t>
        </is>
      </c>
      <c r="G1736" s="22" t="inlineStr">
        <is>
          <t>POS</t>
        </is>
      </c>
      <c r="H1736" s="31" t="n">
        <v>35537.87</v>
      </c>
      <c r="I1736" s="31" t="n">
        <v>913.03</v>
      </c>
      <c r="J1736" s="31" t="n">
        <v>34624.84</v>
      </c>
      <c r="K1736" s="31" t="n">
        <v>4.85</v>
      </c>
      <c r="L1736" s="32" t="n">
        <v>17</v>
      </c>
      <c r="M1736" s="32" t="n">
        <v>140</v>
      </c>
      <c r="N1736" s="31" t="n">
        <v>34619.99</v>
      </c>
      <c r="O1736" s="31" t="n">
        <v>34624.84</v>
      </c>
      <c r="P1736" s="22" t="n">
        <v>0</v>
      </c>
      <c r="Q1736" s="22" t="n">
        <v>0</v>
      </c>
      <c r="R1736" s="22" t="n">
        <v>0</v>
      </c>
    </row>
    <row r="1737">
      <c r="A1737" s="22" t="n">
        <v>201901</v>
      </c>
      <c r="B1737" s="22" t="inlineStr">
        <is>
          <t>01/2019</t>
        </is>
      </c>
      <c r="C1737" s="22" t="n">
        <v>56</v>
      </c>
      <c r="D1737" s="22" t="inlineStr">
        <is>
          <t>S56</t>
        </is>
      </c>
      <c r="E1737" s="22" t="inlineStr">
        <is>
          <t>Nexa New Hampshire (S56)</t>
        </is>
      </c>
      <c r="F1737" s="22" t="inlineStr">
        <is>
          <t>Mỹ</t>
        </is>
      </c>
      <c r="G1737" s="22" t="inlineStr">
        <is>
          <t>POS</t>
        </is>
      </c>
      <c r="H1737" s="31" t="n">
        <v>48128.25</v>
      </c>
      <c r="I1737" s="31" t="n">
        <v>79.86</v>
      </c>
      <c r="J1737" s="31" t="n">
        <v>48048.39</v>
      </c>
      <c r="K1737" s="31" t="n">
        <v>13.78</v>
      </c>
      <c r="L1737" s="32" t="n">
        <v>16</v>
      </c>
      <c r="M1737" s="32" t="n">
        <v>168</v>
      </c>
      <c r="N1737" s="31" t="n">
        <v>48814.58</v>
      </c>
      <c r="O1737" s="31" t="n">
        <v>48048.39</v>
      </c>
      <c r="P1737" s="22" t="n">
        <v>1</v>
      </c>
      <c r="Q1737" s="22" t="n">
        <v>0</v>
      </c>
      <c r="R1737" s="22" t="n">
        <v>0</v>
      </c>
    </row>
    <row r="1738">
      <c r="A1738" s="22" t="n">
        <v>201901</v>
      </c>
      <c r="B1738" s="22" t="inlineStr">
        <is>
          <t>01/2019</t>
        </is>
      </c>
      <c r="C1738" s="22" t="n">
        <v>57</v>
      </c>
      <c r="D1738" s="22" t="inlineStr">
        <is>
          <t>S57</t>
        </is>
      </c>
      <c r="E1738" s="22" t="inlineStr">
        <is>
          <t>Nexa New Mexico (S57)</t>
        </is>
      </c>
      <c r="F1738" s="22" t="inlineStr">
        <is>
          <t>Mỹ</t>
        </is>
      </c>
      <c r="G1738" s="22" t="inlineStr">
        <is>
          <t>POS</t>
        </is>
      </c>
      <c r="H1738" s="31" t="n">
        <v>76154.32000000001</v>
      </c>
      <c r="I1738" s="31" t="n">
        <v>438.52</v>
      </c>
      <c r="J1738" s="31" t="n">
        <v>75715.8</v>
      </c>
      <c r="K1738" s="31" t="n">
        <v>4622.89</v>
      </c>
      <c r="L1738" s="32" t="n">
        <v>22</v>
      </c>
      <c r="M1738" s="32" t="n">
        <v>198</v>
      </c>
      <c r="N1738" s="31" t="n">
        <v>71092.91</v>
      </c>
      <c r="O1738" s="31" t="n">
        <v>75715.8</v>
      </c>
      <c r="P1738" s="22" t="n">
        <v>0</v>
      </c>
      <c r="Q1738" s="22" t="n">
        <v>0</v>
      </c>
      <c r="R1738" s="22" t="n">
        <v>0</v>
      </c>
    </row>
    <row r="1739">
      <c r="A1739" s="22" t="n">
        <v>201901</v>
      </c>
      <c r="B1739" s="22" t="inlineStr">
        <is>
          <t>01/2019</t>
        </is>
      </c>
      <c r="C1739" s="22" t="n">
        <v>59</v>
      </c>
      <c r="D1739" s="22" t="inlineStr">
        <is>
          <t>S59</t>
        </is>
      </c>
      <c r="E1739" s="22" t="inlineStr">
        <is>
          <t>Nexa Oregon (S59)</t>
        </is>
      </c>
      <c r="F1739" s="22" t="inlineStr">
        <is>
          <t>Mỹ</t>
        </is>
      </c>
      <c r="G1739" s="22" t="inlineStr">
        <is>
          <t>POS</t>
        </is>
      </c>
      <c r="H1739" s="31" t="n">
        <v>50205.68</v>
      </c>
      <c r="I1739" s="31" t="n">
        <v>2104.66</v>
      </c>
      <c r="J1739" s="31" t="n">
        <v>48101.02</v>
      </c>
      <c r="K1739" s="31" t="n">
        <v>986.6799999999999</v>
      </c>
      <c r="L1739" s="32" t="n">
        <v>22</v>
      </c>
      <c r="M1739" s="32" t="n">
        <v>140</v>
      </c>
      <c r="N1739" s="31" t="n">
        <v>47114.34</v>
      </c>
      <c r="O1739" s="31" t="n">
        <v>48101.02</v>
      </c>
      <c r="P1739" s="22" t="n">
        <v>0</v>
      </c>
      <c r="Q1739" s="22" t="n">
        <v>0</v>
      </c>
      <c r="R1739" s="22" t="n">
        <v>0</v>
      </c>
    </row>
    <row r="1740">
      <c r="A1740" s="22" t="n">
        <v>201901</v>
      </c>
      <c r="B1740" s="22" t="inlineStr">
        <is>
          <t>01/2019</t>
        </is>
      </c>
      <c r="C1740" s="22" t="n">
        <v>61</v>
      </c>
      <c r="D1740" s="22" t="inlineStr">
        <is>
          <t>S61</t>
        </is>
      </c>
      <c r="E1740" s="22" t="inlineStr">
        <is>
          <t>Nexa South Carolina (S61)</t>
        </is>
      </c>
      <c r="F1740" s="22" t="inlineStr">
        <is>
          <t>Mỹ</t>
        </is>
      </c>
      <c r="G1740" s="22" t="inlineStr">
        <is>
          <t>POS</t>
        </is>
      </c>
      <c r="H1740" s="31" t="n">
        <v>53040.46</v>
      </c>
      <c r="I1740" s="31" t="n">
        <v>1021.53</v>
      </c>
      <c r="J1740" s="31" t="n">
        <v>52018.93</v>
      </c>
      <c r="K1740" s="31" t="n">
        <v>9.99</v>
      </c>
      <c r="L1740" s="32" t="n">
        <v>25</v>
      </c>
      <c r="M1740" s="32" t="n">
        <v>186</v>
      </c>
      <c r="N1740" s="31" t="n">
        <v>52008.94</v>
      </c>
      <c r="O1740" s="31" t="n">
        <v>52018.93</v>
      </c>
      <c r="P1740" s="22" t="n">
        <v>0</v>
      </c>
      <c r="Q1740" s="22" t="n">
        <v>0</v>
      </c>
      <c r="R1740" s="22" t="n">
        <v>1</v>
      </c>
    </row>
    <row r="1741">
      <c r="A1741" s="22" t="n">
        <v>201901</v>
      </c>
      <c r="B1741" s="22" t="inlineStr">
        <is>
          <t>01/2019</t>
        </is>
      </c>
      <c r="C1741" s="22" t="n">
        <v>62</v>
      </c>
      <c r="D1741" s="22" t="inlineStr">
        <is>
          <t>S62</t>
        </is>
      </c>
      <c r="E1741" s="22" t="inlineStr">
        <is>
          <t>Nexa South Dakota (S62)</t>
        </is>
      </c>
      <c r="F1741" s="22" t="inlineStr">
        <is>
          <t>Mỹ</t>
        </is>
      </c>
      <c r="G1741" s="22" t="inlineStr">
        <is>
          <t>POS</t>
        </is>
      </c>
      <c r="H1741" s="31" t="n">
        <v>28113.68</v>
      </c>
      <c r="I1741" s="31" t="n">
        <v>878.13</v>
      </c>
      <c r="J1741" s="31" t="n">
        <v>27235.55</v>
      </c>
      <c r="K1741" s="31" t="n">
        <v>2027.45</v>
      </c>
      <c r="L1741" s="32" t="n">
        <v>15</v>
      </c>
      <c r="M1741" s="32" t="n">
        <v>115</v>
      </c>
      <c r="N1741" s="31" t="n">
        <v>25096.1</v>
      </c>
      <c r="O1741" s="31" t="n">
        <v>27235.55</v>
      </c>
      <c r="P1741" s="22" t="n">
        <v>0</v>
      </c>
      <c r="Q1741" s="22" t="n">
        <v>0</v>
      </c>
      <c r="R1741" s="22" t="n">
        <v>0</v>
      </c>
    </row>
    <row r="1742">
      <c r="A1742" s="22" t="n">
        <v>201901</v>
      </c>
      <c r="B1742" s="22" t="inlineStr">
        <is>
          <t>01/2019</t>
        </is>
      </c>
      <c r="C1742" s="22" t="n">
        <v>63</v>
      </c>
      <c r="D1742" s="22" t="inlineStr">
        <is>
          <t>S63</t>
        </is>
      </c>
      <c r="E1742" s="22" t="inlineStr">
        <is>
          <t>Nexa Utah (S63)</t>
        </is>
      </c>
      <c r="F1742" s="22" t="inlineStr">
        <is>
          <t>Mỹ</t>
        </is>
      </c>
      <c r="G1742" s="22" t="inlineStr">
        <is>
          <t>POS</t>
        </is>
      </c>
      <c r="H1742" s="31" t="n">
        <v>35251.97</v>
      </c>
      <c r="I1742" s="31" t="n">
        <v>772.61</v>
      </c>
      <c r="J1742" s="31" t="n">
        <v>34479.36</v>
      </c>
      <c r="K1742" s="31" t="n">
        <v>2323.19</v>
      </c>
      <c r="L1742" s="32" t="n">
        <v>15</v>
      </c>
      <c r="M1742" s="32" t="n">
        <v>109</v>
      </c>
      <c r="N1742" s="31" t="n">
        <v>32056.18</v>
      </c>
      <c r="O1742" s="31" t="n">
        <v>34479.36</v>
      </c>
      <c r="P1742" s="22" t="n">
        <v>2</v>
      </c>
      <c r="Q1742" s="22" t="n">
        <v>0</v>
      </c>
      <c r="R1742" s="22" t="n">
        <v>0</v>
      </c>
    </row>
    <row r="1743">
      <c r="A1743" s="22" t="n">
        <v>201901</v>
      </c>
      <c r="B1743" s="22" t="inlineStr">
        <is>
          <t>01/2019</t>
        </is>
      </c>
      <c r="C1743" s="22" t="n">
        <v>64</v>
      </c>
      <c r="D1743" s="22" t="inlineStr">
        <is>
          <t>S64</t>
        </is>
      </c>
      <c r="E1743" s="22" t="inlineStr">
        <is>
          <t>Nexa Washington DC (S64)</t>
        </is>
      </c>
      <c r="F1743" s="22" t="inlineStr">
        <is>
          <t>Mỹ</t>
        </is>
      </c>
      <c r="G1743" s="22" t="inlineStr">
        <is>
          <t>POS</t>
        </is>
      </c>
      <c r="H1743" s="31" t="n">
        <v>38126.45</v>
      </c>
      <c r="I1743" s="31" t="n">
        <v>365.83</v>
      </c>
      <c r="J1743" s="31" t="n">
        <v>37760.62</v>
      </c>
      <c r="K1743" s="31" t="n">
        <v>794.35</v>
      </c>
      <c r="L1743" s="32" t="n">
        <v>31</v>
      </c>
      <c r="M1743" s="32" t="n">
        <v>170</v>
      </c>
      <c r="N1743" s="31" t="n">
        <v>36966.27</v>
      </c>
      <c r="O1743" s="31" t="n">
        <v>37760.62</v>
      </c>
      <c r="P1743" s="22" t="n">
        <v>0</v>
      </c>
      <c r="Q1743" s="22" t="n">
        <v>0</v>
      </c>
      <c r="R1743" s="22" t="n">
        <v>0</v>
      </c>
    </row>
    <row r="1744">
      <c r="A1744" s="22" t="n">
        <v>201901</v>
      </c>
      <c r="B1744" s="22" t="inlineStr">
        <is>
          <t>01/2019</t>
        </is>
      </c>
      <c r="C1744" s="22" t="n">
        <v>65</v>
      </c>
      <c r="D1744" s="22" t="inlineStr">
        <is>
          <t>S65</t>
        </is>
      </c>
      <c r="E1744" s="22" t="inlineStr">
        <is>
          <t>Nexa West Virginia (S65)</t>
        </is>
      </c>
      <c r="F1744" s="22" t="inlineStr">
        <is>
          <t>Mỹ</t>
        </is>
      </c>
      <c r="G1744" s="22" t="inlineStr">
        <is>
          <t>POS</t>
        </is>
      </c>
      <c r="H1744" s="31" t="n">
        <v>45061.25</v>
      </c>
      <c r="I1744" s="31" t="n">
        <v>1231.33</v>
      </c>
      <c r="J1744" s="31" t="n">
        <v>43829.92</v>
      </c>
      <c r="K1744" s="31" t="n">
        <v>453.79</v>
      </c>
      <c r="L1744" s="32" t="n">
        <v>25</v>
      </c>
      <c r="M1744" s="32" t="n">
        <v>207</v>
      </c>
      <c r="N1744" s="31" t="n">
        <v>43376.13</v>
      </c>
      <c r="O1744" s="31" t="n">
        <v>43829.92</v>
      </c>
      <c r="P1744" s="22" t="n">
        <v>0</v>
      </c>
      <c r="Q1744" s="22" t="n">
        <v>0</v>
      </c>
      <c r="R1744" s="22" t="n">
        <v>0</v>
      </c>
    </row>
    <row r="1745">
      <c r="A1745" s="22" t="n">
        <v>201901</v>
      </c>
      <c r="B1745" s="22" t="inlineStr">
        <is>
          <t>01/2019</t>
        </is>
      </c>
      <c r="C1745" s="22" t="n">
        <v>66</v>
      </c>
      <c r="D1745" s="22" t="inlineStr">
        <is>
          <t>S66</t>
        </is>
      </c>
      <c r="E1745" s="22" t="inlineStr">
        <is>
          <t>Nexa Wyoming (S66)</t>
        </is>
      </c>
      <c r="F1745" s="22" t="inlineStr">
        <is>
          <t>Mỹ</t>
        </is>
      </c>
      <c r="G1745" s="22" t="inlineStr">
        <is>
          <t>POS</t>
        </is>
      </c>
      <c r="H1745" s="31" t="n">
        <v>59436.71</v>
      </c>
      <c r="I1745" s="31" t="n">
        <v>1390.16</v>
      </c>
      <c r="J1745" s="31" t="n">
        <v>58046.55</v>
      </c>
      <c r="K1745" s="31" t="n">
        <v>962.98</v>
      </c>
      <c r="L1745" s="32" t="n">
        <v>12</v>
      </c>
      <c r="M1745" s="32" t="n">
        <v>119</v>
      </c>
      <c r="N1745" s="31" t="n">
        <v>57083.57</v>
      </c>
      <c r="O1745" s="31" t="n">
        <v>58046.55</v>
      </c>
      <c r="P1745" s="22" t="n">
        <v>1</v>
      </c>
      <c r="Q1745" s="22" t="n">
        <v>0</v>
      </c>
      <c r="R1745" s="22" t="n">
        <v>0</v>
      </c>
    </row>
    <row r="1746">
      <c r="A1746" s="22" t="n">
        <v>201902</v>
      </c>
      <c r="B1746" s="22" t="inlineStr">
        <is>
          <t>02/2019</t>
        </is>
      </c>
      <c r="C1746" s="22" t="n">
        <v>0</v>
      </c>
      <c r="D1746" s="22" t="inlineStr">
        <is>
          <t>ONL</t>
        </is>
      </c>
      <c r="E1746" s="22" t="inlineStr">
        <is>
          <t>Nexa Online (website/app)</t>
        </is>
      </c>
      <c r="F1746" s="22" t="inlineStr">
        <is>
          <t>Online</t>
        </is>
      </c>
      <c r="G1746" s="22" t="inlineStr">
        <is>
          <t>ONLINE</t>
        </is>
      </c>
      <c r="H1746" s="31" t="n">
        <v>484704.39</v>
      </c>
      <c r="I1746" s="31" t="n">
        <v>12462.26</v>
      </c>
      <c r="J1746" s="31" t="n">
        <v>472242.13</v>
      </c>
      <c r="K1746" s="31" t="n">
        <v>5003.95</v>
      </c>
      <c r="L1746" s="32" t="n">
        <v>210</v>
      </c>
      <c r="M1746" s="32" t="n">
        <v>1576</v>
      </c>
      <c r="N1746" s="31" t="n">
        <v>414200.12</v>
      </c>
      <c r="O1746" s="31" t="n">
        <v>419204.07</v>
      </c>
      <c r="P1746" s="22" t="n">
        <v>1</v>
      </c>
      <c r="Q1746" s="22" t="n">
        <v>0</v>
      </c>
      <c r="R1746" s="22" t="n">
        <v>1</v>
      </c>
    </row>
    <row r="1747">
      <c r="A1747" s="22" t="n">
        <v>201902</v>
      </c>
      <c r="B1747" s="22" t="inlineStr">
        <is>
          <t>02/2019</t>
        </is>
      </c>
      <c r="C1747" s="22" t="n">
        <v>1</v>
      </c>
      <c r="D1747" s="22" t="inlineStr">
        <is>
          <t>S01</t>
        </is>
      </c>
      <c r="E1747" s="22" t="inlineStr">
        <is>
          <t>Nexa Australian Capital Territory (S01)</t>
        </is>
      </c>
      <c r="F1747" s="22" t="inlineStr">
        <is>
          <t>Úc</t>
        </is>
      </c>
      <c r="G1747" s="22" t="inlineStr">
        <is>
          <t>POS</t>
        </is>
      </c>
      <c r="H1747" s="31" t="n">
        <v>2052.26</v>
      </c>
      <c r="I1747" s="31" t="n">
        <v>0</v>
      </c>
      <c r="J1747" s="31" t="n">
        <v>2052.26</v>
      </c>
      <c r="K1747" s="31" t="n">
        <v>292.6</v>
      </c>
      <c r="L1747" s="32" t="n">
        <v>4</v>
      </c>
      <c r="M1747" s="32" t="n">
        <v>27</v>
      </c>
      <c r="N1747" s="31" t="n">
        <v>1759.66</v>
      </c>
      <c r="O1747" s="31" t="n">
        <v>2052.26</v>
      </c>
      <c r="P1747" s="22" t="n">
        <v>0</v>
      </c>
      <c r="Q1747" s="22" t="n">
        <v>0</v>
      </c>
      <c r="R1747" s="22" t="n">
        <v>0</v>
      </c>
    </row>
    <row r="1748">
      <c r="A1748" s="22" t="n">
        <v>201902</v>
      </c>
      <c r="B1748" s="22" t="inlineStr">
        <is>
          <t>02/2019</t>
        </is>
      </c>
      <c r="C1748" s="22" t="n">
        <v>4</v>
      </c>
      <c r="D1748" s="22" t="inlineStr">
        <is>
          <t>S04</t>
        </is>
      </c>
      <c r="E1748" s="22" t="inlineStr">
        <is>
          <t>Nexa Tasmania (S04)</t>
        </is>
      </c>
      <c r="F1748" s="22" t="inlineStr">
        <is>
          <t>Úc</t>
        </is>
      </c>
      <c r="G1748" s="22" t="inlineStr">
        <is>
          <t>POS</t>
        </is>
      </c>
      <c r="H1748" s="31" t="n">
        <v>11564.13</v>
      </c>
      <c r="I1748" s="31" t="n">
        <v>0</v>
      </c>
      <c r="J1748" s="31" t="n">
        <v>11564.13</v>
      </c>
      <c r="K1748" s="31" t="n">
        <v>0</v>
      </c>
      <c r="L1748" s="32" t="n">
        <v>7</v>
      </c>
      <c r="M1748" s="32" t="n">
        <v>42</v>
      </c>
      <c r="N1748" s="31" t="n">
        <v>11564.13</v>
      </c>
      <c r="O1748" s="31" t="n">
        <v>11564.13</v>
      </c>
      <c r="P1748" s="22" t="n">
        <v>0</v>
      </c>
      <c r="Q1748" s="22" t="n">
        <v>0</v>
      </c>
      <c r="R1748" s="22" t="n">
        <v>0</v>
      </c>
    </row>
    <row r="1749">
      <c r="A1749" s="22" t="n">
        <v>201902</v>
      </c>
      <c r="B1749" s="22" t="inlineStr">
        <is>
          <t>02/2019</t>
        </is>
      </c>
      <c r="C1749" s="22" t="n">
        <v>5</v>
      </c>
      <c r="D1749" s="22" t="inlineStr">
        <is>
          <t>S05</t>
        </is>
      </c>
      <c r="E1749" s="22" t="inlineStr">
        <is>
          <t>Nexa Victoria (S05)</t>
        </is>
      </c>
      <c r="F1749" s="22" t="inlineStr">
        <is>
          <t>Úc</t>
        </is>
      </c>
      <c r="G1749" s="22" t="inlineStr">
        <is>
          <t>POS</t>
        </is>
      </c>
      <c r="H1749" s="31" t="n">
        <v>31424.36</v>
      </c>
      <c r="I1749" s="31" t="n">
        <v>0</v>
      </c>
      <c r="J1749" s="31" t="n">
        <v>31424.36</v>
      </c>
      <c r="K1749" s="31" t="n">
        <v>0</v>
      </c>
      <c r="L1749" s="32" t="n">
        <v>10</v>
      </c>
      <c r="M1749" s="32" t="n">
        <v>110</v>
      </c>
      <c r="N1749" s="31" t="n">
        <v>31424.36</v>
      </c>
      <c r="O1749" s="31" t="n">
        <v>31424.36</v>
      </c>
      <c r="P1749" s="22" t="n">
        <v>0</v>
      </c>
      <c r="Q1749" s="22" t="n">
        <v>0</v>
      </c>
      <c r="R1749" s="22" t="n">
        <v>0</v>
      </c>
    </row>
    <row r="1750">
      <c r="A1750" s="22" t="n">
        <v>201902</v>
      </c>
      <c r="B1750" s="22" t="inlineStr">
        <is>
          <t>02/2019</t>
        </is>
      </c>
      <c r="C1750" s="22" t="n">
        <v>6</v>
      </c>
      <c r="D1750" s="22" t="inlineStr">
        <is>
          <t>S06</t>
        </is>
      </c>
      <c r="E1750" s="22" t="inlineStr">
        <is>
          <t>Nexa Western Australia (S06)</t>
        </is>
      </c>
      <c r="F1750" s="22" t="inlineStr">
        <is>
          <t>Úc</t>
        </is>
      </c>
      <c r="G1750" s="22" t="inlineStr">
        <is>
          <t>POS</t>
        </is>
      </c>
      <c r="H1750" s="31" t="n">
        <v>10225.47</v>
      </c>
      <c r="I1750" s="31" t="n">
        <v>0</v>
      </c>
      <c r="J1750" s="31" t="n">
        <v>10225.47</v>
      </c>
      <c r="K1750" s="31" t="n">
        <v>0</v>
      </c>
      <c r="L1750" s="32" t="n">
        <v>3</v>
      </c>
      <c r="M1750" s="32" t="n">
        <v>37</v>
      </c>
      <c r="N1750" s="31" t="n">
        <v>10225.47</v>
      </c>
      <c r="O1750" s="31" t="n">
        <v>10225.47</v>
      </c>
      <c r="P1750" s="22" t="n">
        <v>0</v>
      </c>
      <c r="Q1750" s="22" t="n">
        <v>0</v>
      </c>
      <c r="R1750" s="22" t="n">
        <v>0</v>
      </c>
    </row>
    <row r="1751">
      <c r="A1751" s="22" t="n">
        <v>201902</v>
      </c>
      <c r="B1751" s="22" t="inlineStr">
        <is>
          <t>02/2019</t>
        </is>
      </c>
      <c r="C1751" s="22" t="n">
        <v>8</v>
      </c>
      <c r="D1751" s="22" t="inlineStr">
        <is>
          <t>S08</t>
        </is>
      </c>
      <c r="E1751" s="22" t="inlineStr">
        <is>
          <t>Nexa Newfoundland and Labrador (S08)</t>
        </is>
      </c>
      <c r="F1751" s="22" t="inlineStr">
        <is>
          <t>Canada</t>
        </is>
      </c>
      <c r="G1751" s="22" t="inlineStr">
        <is>
          <t>POS</t>
        </is>
      </c>
      <c r="H1751" s="31" t="n">
        <v>57393.99</v>
      </c>
      <c r="I1751" s="31" t="n">
        <v>0</v>
      </c>
      <c r="J1751" s="31" t="n">
        <v>57393.99</v>
      </c>
      <c r="K1751" s="31" t="n">
        <v>592</v>
      </c>
      <c r="L1751" s="32" t="n">
        <v>26</v>
      </c>
      <c r="M1751" s="32" t="n">
        <v>222</v>
      </c>
      <c r="N1751" s="31" t="n">
        <v>56801.99</v>
      </c>
      <c r="O1751" s="31" t="n">
        <v>57393.99</v>
      </c>
      <c r="P1751" s="22" t="n">
        <v>0</v>
      </c>
      <c r="Q1751" s="22" t="n">
        <v>0</v>
      </c>
      <c r="R1751" s="22" t="n">
        <v>1</v>
      </c>
    </row>
    <row r="1752">
      <c r="A1752" s="22" t="n">
        <v>201902</v>
      </c>
      <c r="B1752" s="22" t="inlineStr">
        <is>
          <t>02/2019</t>
        </is>
      </c>
      <c r="C1752" s="22" t="n">
        <v>9</v>
      </c>
      <c r="D1752" s="22" t="inlineStr">
        <is>
          <t>S09</t>
        </is>
      </c>
      <c r="E1752" s="22" t="inlineStr">
        <is>
          <t>Nexa Northwest Territories (S09)</t>
        </is>
      </c>
      <c r="F1752" s="22" t="inlineStr">
        <is>
          <t>Canada</t>
        </is>
      </c>
      <c r="G1752" s="22" t="inlineStr">
        <is>
          <t>POS</t>
        </is>
      </c>
      <c r="H1752" s="31" t="n">
        <v>29374.5</v>
      </c>
      <c r="I1752" s="31" t="n">
        <v>0</v>
      </c>
      <c r="J1752" s="31" t="n">
        <v>29374.5</v>
      </c>
      <c r="K1752" s="31" t="n">
        <v>1896</v>
      </c>
      <c r="L1752" s="32" t="n">
        <v>17</v>
      </c>
      <c r="M1752" s="32" t="n">
        <v>159</v>
      </c>
      <c r="N1752" s="31" t="n">
        <v>27478.5</v>
      </c>
      <c r="O1752" s="31" t="n">
        <v>29374.5</v>
      </c>
      <c r="P1752" s="22" t="n">
        <v>3</v>
      </c>
      <c r="Q1752" s="22" t="n">
        <v>0</v>
      </c>
      <c r="R1752" s="22" t="n">
        <v>1</v>
      </c>
    </row>
    <row r="1753">
      <c r="A1753" s="22" t="n">
        <v>201902</v>
      </c>
      <c r="B1753" s="22" t="inlineStr">
        <is>
          <t>02/2019</t>
        </is>
      </c>
      <c r="C1753" s="22" t="n">
        <v>10</v>
      </c>
      <c r="D1753" s="22" t="inlineStr">
        <is>
          <t>S10</t>
        </is>
      </c>
      <c r="E1753" s="22" t="inlineStr">
        <is>
          <t>Nexa Nunavut (S10)</t>
        </is>
      </c>
      <c r="F1753" s="22" t="inlineStr">
        <is>
          <t>Canada</t>
        </is>
      </c>
      <c r="G1753" s="22" t="inlineStr">
        <is>
          <t>POS</t>
        </is>
      </c>
      <c r="H1753" s="31" t="n">
        <v>45169.66</v>
      </c>
      <c r="I1753" s="31" t="n">
        <v>0</v>
      </c>
      <c r="J1753" s="31" t="n">
        <v>45169.66</v>
      </c>
      <c r="K1753" s="31" t="n">
        <v>585.99</v>
      </c>
      <c r="L1753" s="32" t="n">
        <v>21</v>
      </c>
      <c r="M1753" s="32" t="n">
        <v>159</v>
      </c>
      <c r="N1753" s="31" t="n">
        <v>44583.67</v>
      </c>
      <c r="O1753" s="31" t="n">
        <v>45169.66</v>
      </c>
      <c r="P1753" s="22" t="n">
        <v>0</v>
      </c>
      <c r="Q1753" s="22" t="n">
        <v>0</v>
      </c>
      <c r="R1753" s="22" t="n">
        <v>0</v>
      </c>
    </row>
    <row r="1754">
      <c r="A1754" s="22" t="n">
        <v>201902</v>
      </c>
      <c r="B1754" s="22" t="inlineStr">
        <is>
          <t>02/2019</t>
        </is>
      </c>
      <c r="C1754" s="22" t="n">
        <v>12</v>
      </c>
      <c r="D1754" s="22" t="inlineStr">
        <is>
          <t>S12</t>
        </is>
      </c>
      <c r="E1754" s="22" t="inlineStr">
        <is>
          <t>Nexa Basse-Normandie (S12)</t>
        </is>
      </c>
      <c r="F1754" s="22" t="inlineStr">
        <is>
          <t>Pháp</t>
        </is>
      </c>
      <c r="G1754" s="22" t="inlineStr">
        <is>
          <t>POS</t>
        </is>
      </c>
      <c r="H1754" s="31" t="n">
        <v>7760.48</v>
      </c>
      <c r="I1754" s="31" t="n">
        <v>0</v>
      </c>
      <c r="J1754" s="31" t="n">
        <v>7760.48</v>
      </c>
      <c r="K1754" s="31" t="n">
        <v>19.99</v>
      </c>
      <c r="L1754" s="32" t="n">
        <v>4</v>
      </c>
      <c r="M1754" s="32" t="n">
        <v>61</v>
      </c>
      <c r="N1754" s="31" t="n">
        <v>7760.48</v>
      </c>
      <c r="O1754" s="31" t="n">
        <v>7760.48</v>
      </c>
      <c r="P1754" s="22" t="n">
        <v>0</v>
      </c>
      <c r="Q1754" s="22" t="n">
        <v>0</v>
      </c>
      <c r="R1754" s="22" t="n">
        <v>0</v>
      </c>
    </row>
    <row r="1755">
      <c r="A1755" s="22" t="n">
        <v>201902</v>
      </c>
      <c r="B1755" s="22" t="inlineStr">
        <is>
          <t>02/2019</t>
        </is>
      </c>
      <c r="C1755" s="22" t="n">
        <v>13</v>
      </c>
      <c r="D1755" s="22" t="inlineStr">
        <is>
          <t>S13</t>
        </is>
      </c>
      <c r="E1755" s="22" t="inlineStr">
        <is>
          <t>Nexa Corse (S13)</t>
        </is>
      </c>
      <c r="F1755" s="22" t="inlineStr">
        <is>
          <t>Pháp</t>
        </is>
      </c>
      <c r="G1755" s="22" t="inlineStr">
        <is>
          <t>POS</t>
        </is>
      </c>
      <c r="H1755" s="31" t="n">
        <v>2773</v>
      </c>
      <c r="I1755" s="31" t="n">
        <v>0</v>
      </c>
      <c r="J1755" s="31" t="n">
        <v>2773</v>
      </c>
      <c r="K1755" s="31" t="n">
        <v>1299</v>
      </c>
      <c r="L1755" s="32" t="n">
        <v>2</v>
      </c>
      <c r="M1755" s="32" t="n">
        <v>7</v>
      </c>
      <c r="N1755" s="31" t="n">
        <v>1474</v>
      </c>
      <c r="O1755" s="31" t="n">
        <v>2773</v>
      </c>
      <c r="P1755" s="22" t="n">
        <v>0</v>
      </c>
      <c r="Q1755" s="22" t="n">
        <v>0</v>
      </c>
      <c r="R1755" s="22" t="n">
        <v>0</v>
      </c>
    </row>
    <row r="1756">
      <c r="A1756" s="22" t="n">
        <v>201902</v>
      </c>
      <c r="B1756" s="22" t="inlineStr">
        <is>
          <t>02/2019</t>
        </is>
      </c>
      <c r="C1756" s="22" t="n">
        <v>14</v>
      </c>
      <c r="D1756" s="22" t="inlineStr">
        <is>
          <t>S14</t>
        </is>
      </c>
      <c r="E1756" s="22" t="inlineStr">
        <is>
          <t>Nexa Franche-Comté (S14)</t>
        </is>
      </c>
      <c r="F1756" s="22" t="inlineStr">
        <is>
          <t>Pháp</t>
        </is>
      </c>
      <c r="G1756" s="22" t="inlineStr">
        <is>
          <t>POS</t>
        </is>
      </c>
      <c r="H1756" s="31" t="n">
        <v>1978.67</v>
      </c>
      <c r="I1756" s="31" t="n">
        <v>0</v>
      </c>
      <c r="J1756" s="31" t="n">
        <v>1978.67</v>
      </c>
      <c r="K1756" s="31" t="n">
        <v>0</v>
      </c>
      <c r="L1756" s="32" t="n">
        <v>3</v>
      </c>
      <c r="M1756" s="32" t="n">
        <v>14</v>
      </c>
      <c r="N1756" s="31" t="n">
        <v>1978.67</v>
      </c>
      <c r="O1756" s="31" t="n">
        <v>1978.67</v>
      </c>
      <c r="P1756" s="22" t="n">
        <v>0</v>
      </c>
      <c r="Q1756" s="22" t="n">
        <v>0</v>
      </c>
      <c r="R1756" s="22" t="n">
        <v>0</v>
      </c>
    </row>
    <row r="1757">
      <c r="A1757" s="22" t="n">
        <v>201902</v>
      </c>
      <c r="B1757" s="22" t="inlineStr">
        <is>
          <t>02/2019</t>
        </is>
      </c>
      <c r="C1757" s="22" t="n">
        <v>15</v>
      </c>
      <c r="D1757" s="22" t="inlineStr">
        <is>
          <t>S15</t>
        </is>
      </c>
      <c r="E1757" s="22" t="inlineStr">
        <is>
          <t>Nexa La Réunion (S15)</t>
        </is>
      </c>
      <c r="F1757" s="22" t="inlineStr">
        <is>
          <t>Pháp</t>
        </is>
      </c>
      <c r="G1757" s="22" t="inlineStr">
        <is>
          <t>POS</t>
        </is>
      </c>
      <c r="H1757" s="31" t="n">
        <v>19486.97</v>
      </c>
      <c r="I1757" s="31" t="n">
        <v>0</v>
      </c>
      <c r="J1757" s="31" t="n">
        <v>19486.97</v>
      </c>
      <c r="K1757" s="31" t="n">
        <v>0</v>
      </c>
      <c r="L1757" s="32" t="n">
        <v>4</v>
      </c>
      <c r="M1757" s="32" t="n">
        <v>46</v>
      </c>
      <c r="N1757" s="31" t="n">
        <v>19486.97</v>
      </c>
      <c r="O1757" s="31" t="n">
        <v>19486.97</v>
      </c>
      <c r="P1757" s="22" t="n">
        <v>0</v>
      </c>
      <c r="Q1757" s="22" t="n">
        <v>0</v>
      </c>
      <c r="R1757" s="22" t="n">
        <v>0</v>
      </c>
    </row>
    <row r="1758">
      <c r="A1758" s="22" t="n">
        <v>201902</v>
      </c>
      <c r="B1758" s="22" t="inlineStr">
        <is>
          <t>02/2019</t>
        </is>
      </c>
      <c r="C1758" s="22" t="n">
        <v>16</v>
      </c>
      <c r="D1758" s="22" t="inlineStr">
        <is>
          <t>S16</t>
        </is>
      </c>
      <c r="E1758" s="22" t="inlineStr">
        <is>
          <t>Nexa Limousin (S16)</t>
        </is>
      </c>
      <c r="F1758" s="22" t="inlineStr">
        <is>
          <t>Pháp</t>
        </is>
      </c>
      <c r="G1758" s="22" t="inlineStr">
        <is>
          <t>POS</t>
        </is>
      </c>
      <c r="H1758" s="31" t="n">
        <v>7110.82</v>
      </c>
      <c r="I1758" s="31" t="n">
        <v>0</v>
      </c>
      <c r="J1758" s="31" t="n">
        <v>7110.82</v>
      </c>
      <c r="K1758" s="31" t="n">
        <v>0</v>
      </c>
      <c r="L1758" s="32" t="n">
        <v>3</v>
      </c>
      <c r="M1758" s="32" t="n">
        <v>17</v>
      </c>
      <c r="N1758" s="31" t="n">
        <v>7110.82</v>
      </c>
      <c r="O1758" s="31" t="n">
        <v>7110.82</v>
      </c>
      <c r="P1758" s="22" t="n">
        <v>0</v>
      </c>
      <c r="Q1758" s="22" t="n">
        <v>0</v>
      </c>
      <c r="R1758" s="22" t="n">
        <v>0</v>
      </c>
    </row>
    <row r="1759">
      <c r="A1759" s="22" t="n">
        <v>201902</v>
      </c>
      <c r="B1759" s="22" t="inlineStr">
        <is>
          <t>02/2019</t>
        </is>
      </c>
      <c r="C1759" s="22" t="n">
        <v>18</v>
      </c>
      <c r="D1759" s="22" t="inlineStr">
        <is>
          <t>S18</t>
        </is>
      </c>
      <c r="E1759" s="22" t="inlineStr">
        <is>
          <t>Nexa Mayotte (S18)</t>
        </is>
      </c>
      <c r="F1759" s="22" t="inlineStr">
        <is>
          <t>Pháp</t>
        </is>
      </c>
      <c r="G1759" s="22" t="inlineStr">
        <is>
          <t>POS</t>
        </is>
      </c>
      <c r="H1759" s="31" t="n">
        <v>19001.96</v>
      </c>
      <c r="I1759" s="31" t="n">
        <v>0</v>
      </c>
      <c r="J1759" s="31" t="n">
        <v>19001.96</v>
      </c>
      <c r="K1759" s="31" t="n">
        <v>897.6900000000001</v>
      </c>
      <c r="L1759" s="32" t="n">
        <v>3</v>
      </c>
      <c r="M1759" s="32" t="n">
        <v>34</v>
      </c>
      <c r="N1759" s="31" t="n">
        <v>18104.27</v>
      </c>
      <c r="O1759" s="31" t="n">
        <v>19001.96</v>
      </c>
      <c r="P1759" s="22" t="n">
        <v>0</v>
      </c>
      <c r="Q1759" s="22" t="n">
        <v>0</v>
      </c>
      <c r="R1759" s="22" t="n">
        <v>0</v>
      </c>
    </row>
    <row r="1760">
      <c r="A1760" s="22" t="n">
        <v>201902</v>
      </c>
      <c r="B1760" s="22" t="inlineStr">
        <is>
          <t>02/2019</t>
        </is>
      </c>
      <c r="C1760" s="22" t="n">
        <v>19</v>
      </c>
      <c r="D1760" s="22" t="inlineStr">
        <is>
          <t>S19</t>
        </is>
      </c>
      <c r="E1760" s="22" t="inlineStr">
        <is>
          <t>Nexa Berlin (S19)</t>
        </is>
      </c>
      <c r="F1760" s="22" t="inlineStr">
        <is>
          <t>Đức</t>
        </is>
      </c>
      <c r="G1760" s="22" t="inlineStr">
        <is>
          <t>POS</t>
        </is>
      </c>
      <c r="H1760" s="31" t="n">
        <v>12055.44</v>
      </c>
      <c r="I1760" s="31" t="n">
        <v>0</v>
      </c>
      <c r="J1760" s="31" t="n">
        <v>12055.44</v>
      </c>
      <c r="K1760" s="31" t="n">
        <v>567</v>
      </c>
      <c r="L1760" s="32" t="n">
        <v>9</v>
      </c>
      <c r="M1760" s="32" t="n">
        <v>62</v>
      </c>
      <c r="N1760" s="31" t="n">
        <v>11488.44</v>
      </c>
      <c r="O1760" s="31" t="n">
        <v>12055.44</v>
      </c>
      <c r="P1760" s="22" t="n">
        <v>0</v>
      </c>
      <c r="Q1760" s="22" t="n">
        <v>0</v>
      </c>
      <c r="R1760" s="22" t="n">
        <v>0</v>
      </c>
    </row>
    <row r="1761">
      <c r="A1761" s="22" t="n">
        <v>201902</v>
      </c>
      <c r="B1761" s="22" t="inlineStr">
        <is>
          <t>02/2019</t>
        </is>
      </c>
      <c r="C1761" s="22" t="n">
        <v>20</v>
      </c>
      <c r="D1761" s="22" t="inlineStr">
        <is>
          <t>S20</t>
        </is>
      </c>
      <c r="E1761" s="22" t="inlineStr">
        <is>
          <t>Nexa Brandenburg (S20)</t>
        </is>
      </c>
      <c r="F1761" s="22" t="inlineStr">
        <is>
          <t>Đức</t>
        </is>
      </c>
      <c r="G1761" s="22" t="inlineStr">
        <is>
          <t>POS</t>
        </is>
      </c>
      <c r="H1761" s="31" t="n">
        <v>31719.1</v>
      </c>
      <c r="I1761" s="31" t="n">
        <v>0</v>
      </c>
      <c r="J1761" s="31" t="n">
        <v>31719.1</v>
      </c>
      <c r="K1761" s="31" t="n">
        <v>0</v>
      </c>
      <c r="L1761" s="32" t="n">
        <v>8</v>
      </c>
      <c r="M1761" s="32" t="n">
        <v>57</v>
      </c>
      <c r="N1761" s="31" t="n">
        <v>31719.1</v>
      </c>
      <c r="O1761" s="31" t="n">
        <v>31719.1</v>
      </c>
      <c r="P1761" s="22" t="n">
        <v>0</v>
      </c>
      <c r="Q1761" s="22" t="n">
        <v>0</v>
      </c>
      <c r="R1761" s="22" t="n">
        <v>0</v>
      </c>
    </row>
    <row r="1762">
      <c r="A1762" s="22" t="n">
        <v>201902</v>
      </c>
      <c r="B1762" s="22" t="inlineStr">
        <is>
          <t>02/2019</t>
        </is>
      </c>
      <c r="C1762" s="22" t="n">
        <v>21</v>
      </c>
      <c r="D1762" s="22" t="inlineStr">
        <is>
          <t>S21</t>
        </is>
      </c>
      <c r="E1762" s="22" t="inlineStr">
        <is>
          <t>Nexa Freie Hansestadt Bremen (S21)</t>
        </is>
      </c>
      <c r="F1762" s="22" t="inlineStr">
        <is>
          <t>Đức</t>
        </is>
      </c>
      <c r="G1762" s="22" t="inlineStr">
        <is>
          <t>POS</t>
        </is>
      </c>
      <c r="H1762" s="31" t="n">
        <v>17085.12</v>
      </c>
      <c r="I1762" s="31" t="n">
        <v>0</v>
      </c>
      <c r="J1762" s="31" t="n">
        <v>17085.12</v>
      </c>
      <c r="K1762" s="31" t="n">
        <v>0</v>
      </c>
      <c r="L1762" s="32" t="n">
        <v>7</v>
      </c>
      <c r="M1762" s="32" t="n">
        <v>74</v>
      </c>
      <c r="N1762" s="31" t="n">
        <v>17085.12</v>
      </c>
      <c r="O1762" s="31" t="n">
        <v>17085.12</v>
      </c>
      <c r="P1762" s="22" t="n">
        <v>0</v>
      </c>
      <c r="Q1762" s="22" t="n">
        <v>0</v>
      </c>
      <c r="R1762" s="22" t="n">
        <v>0</v>
      </c>
    </row>
    <row r="1763">
      <c r="A1763" s="22" t="n">
        <v>201902</v>
      </c>
      <c r="B1763" s="22" t="inlineStr">
        <is>
          <t>02/2019</t>
        </is>
      </c>
      <c r="C1763" s="22" t="n">
        <v>22</v>
      </c>
      <c r="D1763" s="22" t="inlineStr">
        <is>
          <t>S22</t>
        </is>
      </c>
      <c r="E1763" s="22" t="inlineStr">
        <is>
          <t>Nexa Freistaat Thüringen (S22)</t>
        </is>
      </c>
      <c r="F1763" s="22" t="inlineStr">
        <is>
          <t>Đức</t>
        </is>
      </c>
      <c r="G1763" s="22" t="inlineStr">
        <is>
          <t>POS</t>
        </is>
      </c>
      <c r="H1763" s="31" t="n">
        <v>44994.29</v>
      </c>
      <c r="I1763" s="31" t="n">
        <v>0</v>
      </c>
      <c r="J1763" s="31" t="n">
        <v>44994.29</v>
      </c>
      <c r="K1763" s="31" t="n">
        <v>47.6</v>
      </c>
      <c r="L1763" s="32" t="n">
        <v>13</v>
      </c>
      <c r="M1763" s="32" t="n">
        <v>113</v>
      </c>
      <c r="N1763" s="31" t="n">
        <v>44946.69</v>
      </c>
      <c r="O1763" s="31" t="n">
        <v>44994.29</v>
      </c>
      <c r="P1763" s="22" t="n">
        <v>0</v>
      </c>
      <c r="Q1763" s="22" t="n">
        <v>0</v>
      </c>
      <c r="R1763" s="22" t="n">
        <v>0</v>
      </c>
    </row>
    <row r="1764">
      <c r="A1764" s="22" t="n">
        <v>201902</v>
      </c>
      <c r="B1764" s="22" t="inlineStr">
        <is>
          <t>02/2019</t>
        </is>
      </c>
      <c r="C1764" s="22" t="n">
        <v>23</v>
      </c>
      <c r="D1764" s="22" t="inlineStr">
        <is>
          <t>S23</t>
        </is>
      </c>
      <c r="E1764" s="22" t="inlineStr">
        <is>
          <t>Nexa Hamburg (S23)</t>
        </is>
      </c>
      <c r="F1764" s="22" t="inlineStr">
        <is>
          <t>Đức</t>
        </is>
      </c>
      <c r="G1764" s="22" t="inlineStr">
        <is>
          <t>POS</t>
        </is>
      </c>
      <c r="H1764" s="31" t="n">
        <v>13173.52</v>
      </c>
      <c r="I1764" s="31" t="n">
        <v>0</v>
      </c>
      <c r="J1764" s="31" t="n">
        <v>13173.52</v>
      </c>
      <c r="K1764" s="31" t="n">
        <v>308.99</v>
      </c>
      <c r="L1764" s="32" t="n">
        <v>9</v>
      </c>
      <c r="M1764" s="32" t="n">
        <v>70</v>
      </c>
      <c r="N1764" s="31" t="n">
        <v>12864.53</v>
      </c>
      <c r="O1764" s="31" t="n">
        <v>13173.52</v>
      </c>
      <c r="P1764" s="22" t="n">
        <v>0</v>
      </c>
      <c r="Q1764" s="22" t="n">
        <v>0</v>
      </c>
      <c r="R1764" s="22" t="n">
        <v>0</v>
      </c>
    </row>
    <row r="1765">
      <c r="A1765" s="22" t="n">
        <v>201902</v>
      </c>
      <c r="B1765" s="22" t="inlineStr">
        <is>
          <t>02/2019</t>
        </is>
      </c>
      <c r="C1765" s="22" t="n">
        <v>24</v>
      </c>
      <c r="D1765" s="22" t="inlineStr">
        <is>
          <t>S24</t>
        </is>
      </c>
      <c r="E1765" s="22" t="inlineStr">
        <is>
          <t>Nexa Hessen (S24)</t>
        </is>
      </c>
      <c r="F1765" s="22" t="inlineStr">
        <is>
          <t>Đức</t>
        </is>
      </c>
      <c r="G1765" s="22" t="inlineStr">
        <is>
          <t>POS</t>
        </is>
      </c>
      <c r="H1765" s="31" t="n">
        <v>7878.01</v>
      </c>
      <c r="I1765" s="31" t="n">
        <v>0</v>
      </c>
      <c r="J1765" s="31" t="n">
        <v>7878.01</v>
      </c>
      <c r="K1765" s="31" t="n">
        <v>0</v>
      </c>
      <c r="L1765" s="32" t="n">
        <v>11</v>
      </c>
      <c r="M1765" s="32" t="n">
        <v>59</v>
      </c>
      <c r="N1765" s="31" t="n">
        <v>7878.01</v>
      </c>
      <c r="O1765" s="31" t="n">
        <v>7878.01</v>
      </c>
      <c r="P1765" s="22" t="n">
        <v>0</v>
      </c>
      <c r="Q1765" s="22" t="n">
        <v>0</v>
      </c>
      <c r="R1765" s="22" t="n">
        <v>0</v>
      </c>
    </row>
    <row r="1766">
      <c r="A1766" s="22" t="n">
        <v>201902</v>
      </c>
      <c r="B1766" s="22" t="inlineStr">
        <is>
          <t>02/2019</t>
        </is>
      </c>
      <c r="C1766" s="22" t="n">
        <v>27</v>
      </c>
      <c r="D1766" s="22" t="inlineStr">
        <is>
          <t>S27</t>
        </is>
      </c>
      <c r="E1766" s="22" t="inlineStr">
        <is>
          <t>Nexa Sachsen-Anhalt (S27)</t>
        </is>
      </c>
      <c r="F1766" s="22" t="inlineStr">
        <is>
          <t>Đức</t>
        </is>
      </c>
      <c r="G1766" s="22" t="inlineStr">
        <is>
          <t>POS</t>
        </is>
      </c>
      <c r="H1766" s="31" t="n">
        <v>11932.76</v>
      </c>
      <c r="I1766" s="31" t="n">
        <v>0</v>
      </c>
      <c r="J1766" s="31" t="n">
        <v>11932.76</v>
      </c>
      <c r="K1766" s="31" t="n">
        <v>269.9</v>
      </c>
      <c r="L1766" s="32" t="n">
        <v>11</v>
      </c>
      <c r="M1766" s="32" t="n">
        <v>55</v>
      </c>
      <c r="N1766" s="31" t="n">
        <v>11662.86</v>
      </c>
      <c r="O1766" s="31" t="n">
        <v>11932.76</v>
      </c>
      <c r="P1766" s="22" t="n">
        <v>0</v>
      </c>
      <c r="Q1766" s="22" t="n">
        <v>0</v>
      </c>
      <c r="R1766" s="22" t="n">
        <v>0</v>
      </c>
    </row>
    <row r="1767">
      <c r="A1767" s="22" t="n">
        <v>201902</v>
      </c>
      <c r="B1767" s="22" t="inlineStr">
        <is>
          <t>02/2019</t>
        </is>
      </c>
      <c r="C1767" s="22" t="n">
        <v>29</v>
      </c>
      <c r="D1767" s="22" t="inlineStr">
        <is>
          <t>S29</t>
        </is>
      </c>
      <c r="E1767" s="22" t="inlineStr">
        <is>
          <t>Nexa Enna (S29)</t>
        </is>
      </c>
      <c r="F1767" s="22" t="inlineStr">
        <is>
          <t>Ý</t>
        </is>
      </c>
      <c r="G1767" s="22" t="inlineStr">
        <is>
          <t>POS</t>
        </is>
      </c>
      <c r="H1767" s="31" t="n">
        <v>52100.48</v>
      </c>
      <c r="I1767" s="31" t="n">
        <v>0</v>
      </c>
      <c r="J1767" s="31" t="n">
        <v>52100.48</v>
      </c>
      <c r="K1767" s="31" t="n">
        <v>0</v>
      </c>
      <c r="L1767" s="32" t="n">
        <v>15</v>
      </c>
      <c r="M1767" s="32" t="n">
        <v>118</v>
      </c>
      <c r="N1767" s="31" t="n">
        <v>52100.48</v>
      </c>
      <c r="O1767" s="31" t="n">
        <v>52100.48</v>
      </c>
      <c r="P1767" s="22" t="n">
        <v>0</v>
      </c>
      <c r="Q1767" s="22" t="n">
        <v>0</v>
      </c>
      <c r="R1767" s="22" t="n">
        <v>0</v>
      </c>
    </row>
    <row r="1768">
      <c r="A1768" s="22" t="n">
        <v>201902</v>
      </c>
      <c r="B1768" s="22" t="inlineStr">
        <is>
          <t>02/2019</t>
        </is>
      </c>
      <c r="C1768" s="22" t="n">
        <v>30</v>
      </c>
      <c r="D1768" s="22" t="inlineStr">
        <is>
          <t>S30</t>
        </is>
      </c>
      <c r="E1768" s="22" t="inlineStr">
        <is>
          <t>Nexa Pesaro (S30)</t>
        </is>
      </c>
      <c r="F1768" s="22" t="inlineStr">
        <is>
          <t>Ý</t>
        </is>
      </c>
      <c r="G1768" s="22" t="inlineStr">
        <is>
          <t>POS</t>
        </is>
      </c>
      <c r="H1768" s="31" t="n">
        <v>36078.55</v>
      </c>
      <c r="I1768" s="31" t="n">
        <v>0</v>
      </c>
      <c r="J1768" s="31" t="n">
        <v>36078.55</v>
      </c>
      <c r="K1768" s="31" t="n">
        <v>0</v>
      </c>
      <c r="L1768" s="32" t="n">
        <v>12</v>
      </c>
      <c r="M1768" s="32" t="n">
        <v>100</v>
      </c>
      <c r="N1768" s="31" t="n">
        <v>36078.55</v>
      </c>
      <c r="O1768" s="31" t="n">
        <v>36078.55</v>
      </c>
      <c r="P1768" s="22" t="n">
        <v>0</v>
      </c>
      <c r="Q1768" s="22" t="n">
        <v>0</v>
      </c>
      <c r="R1768" s="22" t="n">
        <v>0</v>
      </c>
    </row>
    <row r="1769">
      <c r="A1769" s="22" t="n">
        <v>201902</v>
      </c>
      <c r="B1769" s="22" t="inlineStr">
        <is>
          <t>02/2019</t>
        </is>
      </c>
      <c r="C1769" s="22" t="n">
        <v>31</v>
      </c>
      <c r="D1769" s="22" t="inlineStr">
        <is>
          <t>S31</t>
        </is>
      </c>
      <c r="E1769" s="22" t="inlineStr">
        <is>
          <t>Nexa Drenthe (S31)</t>
        </is>
      </c>
      <c r="F1769" s="22" t="inlineStr">
        <is>
          <t>Hà Lan</t>
        </is>
      </c>
      <c r="G1769" s="22" t="inlineStr">
        <is>
          <t>POS</t>
        </is>
      </c>
      <c r="H1769" s="31" t="n">
        <v>15568.66</v>
      </c>
      <c r="I1769" s="31" t="n">
        <v>0</v>
      </c>
      <c r="J1769" s="31" t="n">
        <v>15568.66</v>
      </c>
      <c r="K1769" s="31" t="n">
        <v>299</v>
      </c>
      <c r="L1769" s="32" t="n">
        <v>7</v>
      </c>
      <c r="M1769" s="32" t="n">
        <v>48</v>
      </c>
      <c r="N1769" s="31" t="n">
        <v>15269.66</v>
      </c>
      <c r="O1769" s="31" t="n">
        <v>15568.66</v>
      </c>
      <c r="P1769" s="22" t="n">
        <v>0</v>
      </c>
      <c r="Q1769" s="22" t="n">
        <v>0</v>
      </c>
      <c r="R1769" s="22" t="n">
        <v>0</v>
      </c>
    </row>
    <row r="1770">
      <c r="A1770" s="22" t="n">
        <v>201902</v>
      </c>
      <c r="B1770" s="22" t="inlineStr">
        <is>
          <t>02/2019</t>
        </is>
      </c>
      <c r="C1770" s="22" t="n">
        <v>32</v>
      </c>
      <c r="D1770" s="22" t="inlineStr">
        <is>
          <t>S32</t>
        </is>
      </c>
      <c r="E1770" s="22" t="inlineStr">
        <is>
          <t>Nexa Flevoland (S32)</t>
        </is>
      </c>
      <c r="F1770" s="22" t="inlineStr">
        <is>
          <t>Hà Lan</t>
        </is>
      </c>
      <c r="G1770" s="22" t="inlineStr">
        <is>
          <t>POS</t>
        </is>
      </c>
      <c r="H1770" s="31" t="n">
        <v>4333.03</v>
      </c>
      <c r="I1770" s="31" t="n">
        <v>0</v>
      </c>
      <c r="J1770" s="31" t="n">
        <v>4333.03</v>
      </c>
      <c r="K1770" s="31" t="n">
        <v>0</v>
      </c>
      <c r="L1770" s="32" t="n">
        <v>3</v>
      </c>
      <c r="M1770" s="32" t="n">
        <v>27</v>
      </c>
      <c r="N1770" s="31" t="n">
        <v>4333.03</v>
      </c>
      <c r="O1770" s="31" t="n">
        <v>4333.03</v>
      </c>
      <c r="P1770" s="22" t="n">
        <v>0</v>
      </c>
      <c r="Q1770" s="22" t="n">
        <v>0</v>
      </c>
      <c r="R1770" s="22" t="n">
        <v>0</v>
      </c>
    </row>
    <row r="1771">
      <c r="A1771" s="22" t="n">
        <v>201902</v>
      </c>
      <c r="B1771" s="22" t="inlineStr">
        <is>
          <t>02/2019</t>
        </is>
      </c>
      <c r="C1771" s="22" t="n">
        <v>33</v>
      </c>
      <c r="D1771" s="22" t="inlineStr">
        <is>
          <t>S33</t>
        </is>
      </c>
      <c r="E1771" s="22" t="inlineStr">
        <is>
          <t>Nexa Friesland (S33)</t>
        </is>
      </c>
      <c r="F1771" s="22" t="inlineStr">
        <is>
          <t>Hà Lan</t>
        </is>
      </c>
      <c r="G1771" s="22" t="inlineStr">
        <is>
          <t>POS</t>
        </is>
      </c>
      <c r="H1771" s="31" t="n">
        <v>13162.36</v>
      </c>
      <c r="I1771" s="31" t="n">
        <v>0</v>
      </c>
      <c r="J1771" s="31" t="n">
        <v>13162.36</v>
      </c>
      <c r="K1771" s="31" t="n">
        <v>35.52</v>
      </c>
      <c r="L1771" s="32" t="n">
        <v>9</v>
      </c>
      <c r="M1771" s="32" t="n">
        <v>74</v>
      </c>
      <c r="N1771" s="31" t="n">
        <v>13126.84</v>
      </c>
      <c r="O1771" s="31" t="n">
        <v>13162.36</v>
      </c>
      <c r="P1771" s="22" t="n">
        <v>0</v>
      </c>
      <c r="Q1771" s="22" t="n">
        <v>0</v>
      </c>
      <c r="R1771" s="22" t="n">
        <v>0</v>
      </c>
    </row>
    <row r="1772">
      <c r="A1772" s="22" t="n">
        <v>201902</v>
      </c>
      <c r="B1772" s="22" t="inlineStr">
        <is>
          <t>02/2019</t>
        </is>
      </c>
      <c r="C1772" s="22" t="n">
        <v>34</v>
      </c>
      <c r="D1772" s="22" t="inlineStr">
        <is>
          <t>S34</t>
        </is>
      </c>
      <c r="E1772" s="22" t="inlineStr">
        <is>
          <t>Nexa Groningen (S34)</t>
        </is>
      </c>
      <c r="F1772" s="22" t="inlineStr">
        <is>
          <t>Hà Lan</t>
        </is>
      </c>
      <c r="G1772" s="22" t="inlineStr">
        <is>
          <t>POS</t>
        </is>
      </c>
      <c r="H1772" s="31" t="n">
        <v>9468.549999999999</v>
      </c>
      <c r="I1772" s="31" t="n">
        <v>0</v>
      </c>
      <c r="J1772" s="31" t="n">
        <v>9468.549999999999</v>
      </c>
      <c r="K1772" s="31" t="n">
        <v>328.93</v>
      </c>
      <c r="L1772" s="32" t="n">
        <v>7</v>
      </c>
      <c r="M1772" s="32" t="n">
        <v>43</v>
      </c>
      <c r="N1772" s="31" t="n">
        <v>9139.620000000001</v>
      </c>
      <c r="O1772" s="31" t="n">
        <v>9468.549999999999</v>
      </c>
      <c r="P1772" s="22" t="n">
        <v>0</v>
      </c>
      <c r="Q1772" s="22" t="n">
        <v>0</v>
      </c>
      <c r="R1772" s="22" t="n">
        <v>0</v>
      </c>
    </row>
    <row r="1773">
      <c r="A1773" s="22" t="n">
        <v>201902</v>
      </c>
      <c r="B1773" s="22" t="inlineStr">
        <is>
          <t>02/2019</t>
        </is>
      </c>
      <c r="C1773" s="22" t="n">
        <v>36</v>
      </c>
      <c r="D1773" s="22" t="inlineStr">
        <is>
          <t>S36</t>
        </is>
      </c>
      <c r="E1773" s="22" t="inlineStr">
        <is>
          <t>Nexa Armagh (S36)</t>
        </is>
      </c>
      <c r="F1773" s="22" t="inlineStr">
        <is>
          <t>Anh</t>
        </is>
      </c>
      <c r="G1773" s="22" t="inlineStr">
        <is>
          <t>POS</t>
        </is>
      </c>
      <c r="H1773" s="31" t="n">
        <v>18277.46</v>
      </c>
      <c r="I1773" s="31" t="n">
        <v>0</v>
      </c>
      <c r="J1773" s="31" t="n">
        <v>18277.46</v>
      </c>
      <c r="K1773" s="31" t="n">
        <v>43</v>
      </c>
      <c r="L1773" s="32" t="n">
        <v>15</v>
      </c>
      <c r="M1773" s="32" t="n">
        <v>95</v>
      </c>
      <c r="N1773" s="31" t="n">
        <v>18234.46</v>
      </c>
      <c r="O1773" s="31" t="n">
        <v>18277.46</v>
      </c>
      <c r="P1773" s="22" t="n">
        <v>0</v>
      </c>
      <c r="Q1773" s="22" t="n">
        <v>0</v>
      </c>
      <c r="R1773" s="22" t="n">
        <v>0</v>
      </c>
    </row>
    <row r="1774">
      <c r="A1774" s="22" t="n">
        <v>201902</v>
      </c>
      <c r="B1774" s="22" t="inlineStr">
        <is>
          <t>02/2019</t>
        </is>
      </c>
      <c r="C1774" s="22" t="n">
        <v>37</v>
      </c>
      <c r="D1774" s="22" t="inlineStr">
        <is>
          <t>S37</t>
        </is>
      </c>
      <c r="E1774" s="22" t="inlineStr">
        <is>
          <t>Nexa Ayrshire (S37)</t>
        </is>
      </c>
      <c r="F1774" s="22" t="inlineStr">
        <is>
          <t>Anh</t>
        </is>
      </c>
      <c r="G1774" s="22" t="inlineStr">
        <is>
          <t>POS</t>
        </is>
      </c>
      <c r="H1774" s="31" t="n">
        <v>58272.79</v>
      </c>
      <c r="I1774" s="31" t="n">
        <v>0</v>
      </c>
      <c r="J1774" s="31" t="n">
        <v>58272.79</v>
      </c>
      <c r="K1774" s="31" t="n">
        <v>0</v>
      </c>
      <c r="L1774" s="32" t="n">
        <v>21</v>
      </c>
      <c r="M1774" s="32" t="n">
        <v>179</v>
      </c>
      <c r="N1774" s="31" t="n">
        <v>58272.79</v>
      </c>
      <c r="O1774" s="31" t="n">
        <v>58272.79</v>
      </c>
      <c r="P1774" s="22" t="n">
        <v>0</v>
      </c>
      <c r="Q1774" s="22" t="n">
        <v>0</v>
      </c>
      <c r="R1774" s="22" t="n">
        <v>0</v>
      </c>
    </row>
    <row r="1775">
      <c r="A1775" s="22" t="n">
        <v>201902</v>
      </c>
      <c r="B1775" s="22" t="inlineStr">
        <is>
          <t>02/2019</t>
        </is>
      </c>
      <c r="C1775" s="22" t="n">
        <v>38</v>
      </c>
      <c r="D1775" s="22" t="inlineStr">
        <is>
          <t>S38</t>
        </is>
      </c>
      <c r="E1775" s="22" t="inlineStr">
        <is>
          <t>Nexa Belfast (S38)</t>
        </is>
      </c>
      <c r="F1775" s="22" t="inlineStr">
        <is>
          <t>Anh</t>
        </is>
      </c>
      <c r="G1775" s="22" t="inlineStr">
        <is>
          <t>POS</t>
        </is>
      </c>
      <c r="H1775" s="31" t="n">
        <v>23849.66</v>
      </c>
      <c r="I1775" s="31" t="n">
        <v>0</v>
      </c>
      <c r="J1775" s="31" t="n">
        <v>23849.66</v>
      </c>
      <c r="K1775" s="31" t="n">
        <v>2109.95</v>
      </c>
      <c r="L1775" s="32" t="n">
        <v>18</v>
      </c>
      <c r="M1775" s="32" t="n">
        <v>114</v>
      </c>
      <c r="N1775" s="31" t="n">
        <v>21739.71</v>
      </c>
      <c r="O1775" s="31" t="n">
        <v>23849.66</v>
      </c>
      <c r="P1775" s="22" t="n">
        <v>0</v>
      </c>
      <c r="Q1775" s="22" t="n">
        <v>0</v>
      </c>
      <c r="R1775" s="22" t="n">
        <v>0</v>
      </c>
    </row>
    <row r="1776">
      <c r="A1776" s="22" t="n">
        <v>201902</v>
      </c>
      <c r="B1776" s="22" t="inlineStr">
        <is>
          <t>02/2019</t>
        </is>
      </c>
      <c r="C1776" s="22" t="n">
        <v>39</v>
      </c>
      <c r="D1776" s="22" t="inlineStr">
        <is>
          <t>S39</t>
        </is>
      </c>
      <c r="E1776" s="22" t="inlineStr">
        <is>
          <t>Nexa Blaenau Gwent (S39)</t>
        </is>
      </c>
      <c r="F1776" s="22" t="inlineStr">
        <is>
          <t>Anh</t>
        </is>
      </c>
      <c r="G1776" s="22" t="inlineStr">
        <is>
          <t>POS</t>
        </is>
      </c>
      <c r="H1776" s="31" t="n">
        <v>13796.37</v>
      </c>
      <c r="I1776" s="31" t="n">
        <v>0</v>
      </c>
      <c r="J1776" s="31" t="n">
        <v>13796.37</v>
      </c>
      <c r="K1776" s="31" t="n">
        <v>0</v>
      </c>
      <c r="L1776" s="32" t="n">
        <v>14</v>
      </c>
      <c r="M1776" s="32" t="n">
        <v>66</v>
      </c>
      <c r="N1776" s="31" t="n">
        <v>13796.37</v>
      </c>
      <c r="O1776" s="31" t="n">
        <v>13796.37</v>
      </c>
      <c r="P1776" s="22" t="n">
        <v>0</v>
      </c>
      <c r="Q1776" s="22" t="n">
        <v>0</v>
      </c>
      <c r="R1776" s="22" t="n">
        <v>0</v>
      </c>
    </row>
    <row r="1777">
      <c r="A1777" s="22" t="n">
        <v>201902</v>
      </c>
      <c r="B1777" s="22" t="inlineStr">
        <is>
          <t>02/2019</t>
        </is>
      </c>
      <c r="C1777" s="22" t="n">
        <v>40</v>
      </c>
      <c r="D1777" s="22" t="inlineStr">
        <is>
          <t>S40</t>
        </is>
      </c>
      <c r="E1777" s="22" t="inlineStr">
        <is>
          <t>Nexa Dungannon and South Tyrone (S40)</t>
        </is>
      </c>
      <c r="F1777" s="22" t="inlineStr">
        <is>
          <t>Anh</t>
        </is>
      </c>
      <c r="G1777" s="22" t="inlineStr">
        <is>
          <t>POS</t>
        </is>
      </c>
      <c r="H1777" s="31" t="n">
        <v>37650.39</v>
      </c>
      <c r="I1777" s="31" t="n">
        <v>0</v>
      </c>
      <c r="J1777" s="31" t="n">
        <v>37650.39</v>
      </c>
      <c r="K1777" s="31" t="n">
        <v>2550</v>
      </c>
      <c r="L1777" s="32" t="n">
        <v>24</v>
      </c>
      <c r="M1777" s="32" t="n">
        <v>158</v>
      </c>
      <c r="N1777" s="31" t="n">
        <v>35100.39</v>
      </c>
      <c r="O1777" s="31" t="n">
        <v>37650.39</v>
      </c>
      <c r="P1777" s="22" t="n">
        <v>1</v>
      </c>
      <c r="Q1777" s="22" t="n">
        <v>0</v>
      </c>
      <c r="R1777" s="22" t="n">
        <v>1</v>
      </c>
    </row>
    <row r="1778">
      <c r="A1778" s="22" t="n">
        <v>201902</v>
      </c>
      <c r="B1778" s="22" t="inlineStr">
        <is>
          <t>02/2019</t>
        </is>
      </c>
      <c r="C1778" s="22" t="n">
        <v>42</v>
      </c>
      <c r="D1778" s="22" t="inlineStr">
        <is>
          <t>S42</t>
        </is>
      </c>
      <c r="E1778" s="22" t="inlineStr">
        <is>
          <t>Nexa North Down (S42)</t>
        </is>
      </c>
      <c r="F1778" s="22" t="inlineStr">
        <is>
          <t>Anh</t>
        </is>
      </c>
      <c r="G1778" s="22" t="inlineStr">
        <is>
          <t>POS</t>
        </is>
      </c>
      <c r="H1778" s="31" t="n">
        <v>43360.23</v>
      </c>
      <c r="I1778" s="31" t="n">
        <v>0</v>
      </c>
      <c r="J1778" s="31" t="n">
        <v>43360.23</v>
      </c>
      <c r="K1778" s="31" t="n">
        <v>259.99</v>
      </c>
      <c r="L1778" s="32" t="n">
        <v>19</v>
      </c>
      <c r="M1778" s="32" t="n">
        <v>131</v>
      </c>
      <c r="N1778" s="31" t="n">
        <v>43100.24</v>
      </c>
      <c r="O1778" s="31" t="n">
        <v>43360.23</v>
      </c>
      <c r="P1778" s="22" t="n">
        <v>1</v>
      </c>
      <c r="Q1778" s="22" t="n">
        <v>0</v>
      </c>
      <c r="R1778" s="22" t="n">
        <v>0</v>
      </c>
    </row>
    <row r="1779">
      <c r="A1779" s="22" t="n">
        <v>201902</v>
      </c>
      <c r="B1779" s="22" t="inlineStr">
        <is>
          <t>02/2019</t>
        </is>
      </c>
      <c r="C1779" s="22" t="n">
        <v>43</v>
      </c>
      <c r="D1779" s="22" t="inlineStr">
        <is>
          <t>S43</t>
        </is>
      </c>
      <c r="E1779" s="22" t="inlineStr">
        <is>
          <t>Nexa Alaska (S43)</t>
        </is>
      </c>
      <c r="F1779" s="22" t="inlineStr">
        <is>
          <t>Mỹ</t>
        </is>
      </c>
      <c r="G1779" s="22" t="inlineStr">
        <is>
          <t>POS</t>
        </is>
      </c>
      <c r="H1779" s="31" t="n">
        <v>71608.94</v>
      </c>
      <c r="I1779" s="31" t="n">
        <v>0</v>
      </c>
      <c r="J1779" s="31" t="n">
        <v>71608.94</v>
      </c>
      <c r="K1779" s="31" t="n">
        <v>549.97</v>
      </c>
      <c r="L1779" s="32" t="n">
        <v>27</v>
      </c>
      <c r="M1779" s="32" t="n">
        <v>223</v>
      </c>
      <c r="N1779" s="31" t="n">
        <v>71058.97</v>
      </c>
      <c r="O1779" s="31" t="n">
        <v>71608.94</v>
      </c>
      <c r="P1779" s="22" t="n">
        <v>0</v>
      </c>
      <c r="Q1779" s="22" t="n">
        <v>0</v>
      </c>
      <c r="R1779" s="22" t="n">
        <v>0</v>
      </c>
    </row>
    <row r="1780">
      <c r="A1780" s="22" t="n">
        <v>201902</v>
      </c>
      <c r="B1780" s="22" t="inlineStr">
        <is>
          <t>02/2019</t>
        </is>
      </c>
      <c r="C1780" s="22" t="n">
        <v>44</v>
      </c>
      <c r="D1780" s="22" t="inlineStr">
        <is>
          <t>S44</t>
        </is>
      </c>
      <c r="E1780" s="22" t="inlineStr">
        <is>
          <t>Nexa Arkansas (S44)</t>
        </is>
      </c>
      <c r="F1780" s="22" t="inlineStr">
        <is>
          <t>Mỹ</t>
        </is>
      </c>
      <c r="G1780" s="22" t="inlineStr">
        <is>
          <t>POS</t>
        </is>
      </c>
      <c r="H1780" s="31" t="n">
        <v>34755.11</v>
      </c>
      <c r="I1780" s="31" t="n">
        <v>0</v>
      </c>
      <c r="J1780" s="31" t="n">
        <v>34755.11</v>
      </c>
      <c r="K1780" s="31" t="n">
        <v>641</v>
      </c>
      <c r="L1780" s="32" t="n">
        <v>21</v>
      </c>
      <c r="M1780" s="32" t="n">
        <v>186</v>
      </c>
      <c r="N1780" s="31" t="n">
        <v>35166.4</v>
      </c>
      <c r="O1780" s="31" t="n">
        <v>34755.11</v>
      </c>
      <c r="P1780" s="22" t="n">
        <v>2</v>
      </c>
      <c r="Q1780" s="22" t="n">
        <v>0</v>
      </c>
      <c r="R1780" s="22" t="n">
        <v>0</v>
      </c>
    </row>
    <row r="1781">
      <c r="A1781" s="22" t="n">
        <v>201902</v>
      </c>
      <c r="B1781" s="22" t="inlineStr">
        <is>
          <t>02/2019</t>
        </is>
      </c>
      <c r="C1781" s="22" t="n">
        <v>45</v>
      </c>
      <c r="D1781" s="22" t="inlineStr">
        <is>
          <t>S45</t>
        </is>
      </c>
      <c r="E1781" s="22" t="inlineStr">
        <is>
          <t>Nexa Connecticut (S45)</t>
        </is>
      </c>
      <c r="F1781" s="22" t="inlineStr">
        <is>
          <t>Mỹ</t>
        </is>
      </c>
      <c r="G1781" s="22" t="inlineStr">
        <is>
          <t>POS</t>
        </is>
      </c>
      <c r="H1781" s="31" t="n">
        <v>34193.71</v>
      </c>
      <c r="I1781" s="31" t="n">
        <v>0</v>
      </c>
      <c r="J1781" s="31" t="n">
        <v>34193.71</v>
      </c>
      <c r="K1781" s="31" t="n">
        <v>620</v>
      </c>
      <c r="L1781" s="32" t="n">
        <v>21</v>
      </c>
      <c r="M1781" s="32" t="n">
        <v>154</v>
      </c>
      <c r="N1781" s="31" t="n">
        <v>33573.71</v>
      </c>
      <c r="O1781" s="31" t="n">
        <v>34193.71</v>
      </c>
      <c r="P1781" s="22" t="n">
        <v>0</v>
      </c>
      <c r="Q1781" s="22" t="n">
        <v>0</v>
      </c>
      <c r="R1781" s="22" t="n">
        <v>0</v>
      </c>
    </row>
    <row r="1782">
      <c r="A1782" s="22" t="n">
        <v>201902</v>
      </c>
      <c r="B1782" s="22" t="inlineStr">
        <is>
          <t>02/2019</t>
        </is>
      </c>
      <c r="C1782" s="22" t="n">
        <v>47</v>
      </c>
      <c r="D1782" s="22" t="inlineStr">
        <is>
          <t>S47</t>
        </is>
      </c>
      <c r="E1782" s="22" t="inlineStr">
        <is>
          <t>Nexa Hawaii (S47)</t>
        </is>
      </c>
      <c r="F1782" s="22" t="inlineStr">
        <is>
          <t>Mỹ</t>
        </is>
      </c>
      <c r="G1782" s="22" t="inlineStr">
        <is>
          <t>POS</t>
        </is>
      </c>
      <c r="H1782" s="31" t="n">
        <v>36837.51</v>
      </c>
      <c r="I1782" s="31" t="n">
        <v>0</v>
      </c>
      <c r="J1782" s="31" t="n">
        <v>36837.51</v>
      </c>
      <c r="K1782" s="31" t="n">
        <v>0</v>
      </c>
      <c r="L1782" s="32" t="n">
        <v>19</v>
      </c>
      <c r="M1782" s="32" t="n">
        <v>148</v>
      </c>
      <c r="N1782" s="31" t="n">
        <v>36837.51</v>
      </c>
      <c r="O1782" s="31" t="n">
        <v>36837.51</v>
      </c>
      <c r="P1782" s="22" t="n">
        <v>0</v>
      </c>
      <c r="Q1782" s="22" t="n">
        <v>0</v>
      </c>
      <c r="R1782" s="22" t="n">
        <v>0</v>
      </c>
    </row>
    <row r="1783">
      <c r="A1783" s="22" t="n">
        <v>201902</v>
      </c>
      <c r="B1783" s="22" t="inlineStr">
        <is>
          <t>02/2019</t>
        </is>
      </c>
      <c r="C1783" s="22" t="n">
        <v>48</v>
      </c>
      <c r="D1783" s="22" t="inlineStr">
        <is>
          <t>S48</t>
        </is>
      </c>
      <c r="E1783" s="22" t="inlineStr">
        <is>
          <t>Nexa Idaho (S48)</t>
        </is>
      </c>
      <c r="F1783" s="22" t="inlineStr">
        <is>
          <t>Mỹ</t>
        </is>
      </c>
      <c r="G1783" s="22" t="inlineStr">
        <is>
          <t>POS</t>
        </is>
      </c>
      <c r="H1783" s="31" t="n">
        <v>18180.31</v>
      </c>
      <c r="I1783" s="31" t="n">
        <v>0</v>
      </c>
      <c r="J1783" s="31" t="n">
        <v>18180.31</v>
      </c>
      <c r="K1783" s="31" t="n">
        <v>205.77</v>
      </c>
      <c r="L1783" s="32" t="n">
        <v>20</v>
      </c>
      <c r="M1783" s="32" t="n">
        <v>138</v>
      </c>
      <c r="N1783" s="31" t="n">
        <v>18134.53</v>
      </c>
      <c r="O1783" s="31" t="n">
        <v>18180.31</v>
      </c>
      <c r="P1783" s="22" t="n">
        <v>1</v>
      </c>
      <c r="Q1783" s="22" t="n">
        <v>0</v>
      </c>
      <c r="R1783" s="22" t="n">
        <v>0</v>
      </c>
    </row>
    <row r="1784">
      <c r="A1784" s="22" t="n">
        <v>201902</v>
      </c>
      <c r="B1784" s="22" t="inlineStr">
        <is>
          <t>02/2019</t>
        </is>
      </c>
      <c r="C1784" s="22" t="n">
        <v>49</v>
      </c>
      <c r="D1784" s="22" t="inlineStr">
        <is>
          <t>S49</t>
        </is>
      </c>
      <c r="E1784" s="22" t="inlineStr">
        <is>
          <t>Nexa Iowa (S49)</t>
        </is>
      </c>
      <c r="F1784" s="22" t="inlineStr">
        <is>
          <t>Mỹ</t>
        </is>
      </c>
      <c r="G1784" s="22" t="inlineStr">
        <is>
          <t>POS</t>
        </is>
      </c>
      <c r="H1784" s="31" t="n">
        <v>22430.24</v>
      </c>
      <c r="I1784" s="31" t="n">
        <v>0</v>
      </c>
      <c r="J1784" s="31" t="n">
        <v>22430.24</v>
      </c>
      <c r="K1784" s="31" t="n">
        <v>268</v>
      </c>
      <c r="L1784" s="32" t="n">
        <v>15</v>
      </c>
      <c r="M1784" s="32" t="n">
        <v>96</v>
      </c>
      <c r="N1784" s="31" t="n">
        <v>22162.24</v>
      </c>
      <c r="O1784" s="31" t="n">
        <v>22430.24</v>
      </c>
      <c r="P1784" s="22" t="n">
        <v>2</v>
      </c>
      <c r="Q1784" s="22" t="n">
        <v>0</v>
      </c>
      <c r="R1784" s="22" t="n">
        <v>0</v>
      </c>
    </row>
    <row r="1785">
      <c r="A1785" s="22" t="n">
        <v>201902</v>
      </c>
      <c r="B1785" s="22" t="inlineStr">
        <is>
          <t>02/2019</t>
        </is>
      </c>
      <c r="C1785" s="22" t="n">
        <v>50</v>
      </c>
      <c r="D1785" s="22" t="inlineStr">
        <is>
          <t>S50</t>
        </is>
      </c>
      <c r="E1785" s="22" t="inlineStr">
        <is>
          <t>Nexa Kansas (S50)</t>
        </is>
      </c>
      <c r="F1785" s="22" t="inlineStr">
        <is>
          <t>Mỹ</t>
        </is>
      </c>
      <c r="G1785" s="22" t="inlineStr">
        <is>
          <t>POS</t>
        </is>
      </c>
      <c r="H1785" s="31" t="n">
        <v>13026.95</v>
      </c>
      <c r="I1785" s="31" t="n">
        <v>0</v>
      </c>
      <c r="J1785" s="31" t="n">
        <v>13026.95</v>
      </c>
      <c r="K1785" s="31" t="n">
        <v>0</v>
      </c>
      <c r="L1785" s="32" t="n">
        <v>13</v>
      </c>
      <c r="M1785" s="32" t="n">
        <v>57</v>
      </c>
      <c r="N1785" s="31" t="n">
        <v>13026.95</v>
      </c>
      <c r="O1785" s="31" t="n">
        <v>13026.95</v>
      </c>
      <c r="P1785" s="22" t="n">
        <v>0</v>
      </c>
      <c r="Q1785" s="22" t="n">
        <v>0</v>
      </c>
      <c r="R1785" s="22" t="n">
        <v>0</v>
      </c>
    </row>
    <row r="1786">
      <c r="A1786" s="22" t="n">
        <v>201902</v>
      </c>
      <c r="B1786" s="22" t="inlineStr">
        <is>
          <t>02/2019</t>
        </is>
      </c>
      <c r="C1786" s="22" t="n">
        <v>51</v>
      </c>
      <c r="D1786" s="22" t="inlineStr">
        <is>
          <t>S51</t>
        </is>
      </c>
      <c r="E1786" s="22" t="inlineStr">
        <is>
          <t>Nexa Maine (S51)</t>
        </is>
      </c>
      <c r="F1786" s="22" t="inlineStr">
        <is>
          <t>Mỹ</t>
        </is>
      </c>
      <c r="G1786" s="22" t="inlineStr">
        <is>
          <t>POS</t>
        </is>
      </c>
      <c r="H1786" s="31" t="n">
        <v>20810.35</v>
      </c>
      <c r="I1786" s="31" t="n">
        <v>0</v>
      </c>
      <c r="J1786" s="31" t="n">
        <v>20810.35</v>
      </c>
      <c r="K1786" s="31" t="n">
        <v>1407</v>
      </c>
      <c r="L1786" s="32" t="n">
        <v>16</v>
      </c>
      <c r="M1786" s="32" t="n">
        <v>74</v>
      </c>
      <c r="N1786" s="31" t="n">
        <v>19403.35</v>
      </c>
      <c r="O1786" s="31" t="n">
        <v>20810.35</v>
      </c>
      <c r="P1786" s="22" t="n">
        <v>2</v>
      </c>
      <c r="Q1786" s="22" t="n">
        <v>0</v>
      </c>
      <c r="R1786" s="22" t="n">
        <v>1</v>
      </c>
    </row>
    <row r="1787">
      <c r="A1787" s="22" t="n">
        <v>201902</v>
      </c>
      <c r="B1787" s="22" t="inlineStr">
        <is>
          <t>02/2019</t>
        </is>
      </c>
      <c r="C1787" s="22" t="n">
        <v>53</v>
      </c>
      <c r="D1787" s="22" t="inlineStr">
        <is>
          <t>S53</t>
        </is>
      </c>
      <c r="E1787" s="22" t="inlineStr">
        <is>
          <t>Nexa Montana (S53)</t>
        </is>
      </c>
      <c r="F1787" s="22" t="inlineStr">
        <is>
          <t>Mỹ</t>
        </is>
      </c>
      <c r="G1787" s="22" t="inlineStr">
        <is>
          <t>POS</t>
        </is>
      </c>
      <c r="H1787" s="31" t="n">
        <v>59135.99</v>
      </c>
      <c r="I1787" s="31" t="n">
        <v>0</v>
      </c>
      <c r="J1787" s="31" t="n">
        <v>59135.99</v>
      </c>
      <c r="K1787" s="31" t="n">
        <v>0</v>
      </c>
      <c r="L1787" s="32" t="n">
        <v>18</v>
      </c>
      <c r="M1787" s="32" t="n">
        <v>101</v>
      </c>
      <c r="N1787" s="31" t="n">
        <v>59135.99</v>
      </c>
      <c r="O1787" s="31" t="n">
        <v>59135.99</v>
      </c>
      <c r="P1787" s="22" t="n">
        <v>1</v>
      </c>
      <c r="Q1787" s="22" t="n">
        <v>0</v>
      </c>
      <c r="R1787" s="22" t="n">
        <v>0</v>
      </c>
    </row>
    <row r="1788">
      <c r="A1788" s="22" t="n">
        <v>201902</v>
      </c>
      <c r="B1788" s="22" t="inlineStr">
        <is>
          <t>02/2019</t>
        </is>
      </c>
      <c r="C1788" s="22" t="n">
        <v>54</v>
      </c>
      <c r="D1788" s="22" t="inlineStr">
        <is>
          <t>S54</t>
        </is>
      </c>
      <c r="E1788" s="22" t="inlineStr">
        <is>
          <t>Nexa Nebraska (S54)</t>
        </is>
      </c>
      <c r="F1788" s="22" t="inlineStr">
        <is>
          <t>Mỹ</t>
        </is>
      </c>
      <c r="G1788" s="22" t="inlineStr">
        <is>
          <t>POS</t>
        </is>
      </c>
      <c r="H1788" s="31" t="n">
        <v>114601.91</v>
      </c>
      <c r="I1788" s="31" t="n">
        <v>0</v>
      </c>
      <c r="J1788" s="31" t="n">
        <v>114601.91</v>
      </c>
      <c r="K1788" s="31" t="n">
        <v>14.99</v>
      </c>
      <c r="L1788" s="32" t="n">
        <v>33</v>
      </c>
      <c r="M1788" s="32" t="n">
        <v>310</v>
      </c>
      <c r="N1788" s="31" t="n">
        <v>114586.92</v>
      </c>
      <c r="O1788" s="31" t="n">
        <v>114601.91</v>
      </c>
      <c r="P1788" s="22" t="n">
        <v>0</v>
      </c>
      <c r="Q1788" s="22" t="n">
        <v>0</v>
      </c>
      <c r="R1788" s="22" t="n">
        <v>1</v>
      </c>
    </row>
    <row r="1789">
      <c r="A1789" s="22" t="n">
        <v>201902</v>
      </c>
      <c r="B1789" s="22" t="inlineStr">
        <is>
          <t>02/2019</t>
        </is>
      </c>
      <c r="C1789" s="22" t="n">
        <v>55</v>
      </c>
      <c r="D1789" s="22" t="inlineStr">
        <is>
          <t>S55</t>
        </is>
      </c>
      <c r="E1789" s="22" t="inlineStr">
        <is>
          <t>Nexa Nevada (S55)</t>
        </is>
      </c>
      <c r="F1789" s="22" t="inlineStr">
        <is>
          <t>Mỹ</t>
        </is>
      </c>
      <c r="G1789" s="22" t="inlineStr">
        <is>
          <t>POS</t>
        </is>
      </c>
      <c r="H1789" s="31" t="n">
        <v>75179.69</v>
      </c>
      <c r="I1789" s="31" t="n">
        <v>0</v>
      </c>
      <c r="J1789" s="31" t="n">
        <v>75179.69</v>
      </c>
      <c r="K1789" s="31" t="n">
        <v>6833.99</v>
      </c>
      <c r="L1789" s="32" t="n">
        <v>37</v>
      </c>
      <c r="M1789" s="32" t="n">
        <v>254</v>
      </c>
      <c r="N1789" s="31" t="n">
        <v>68345.7</v>
      </c>
      <c r="O1789" s="31" t="n">
        <v>75179.69</v>
      </c>
      <c r="P1789" s="22" t="n">
        <v>1</v>
      </c>
      <c r="Q1789" s="22" t="n">
        <v>0</v>
      </c>
      <c r="R1789" s="22" t="n">
        <v>0</v>
      </c>
    </row>
    <row r="1790">
      <c r="A1790" s="22" t="n">
        <v>201902</v>
      </c>
      <c r="B1790" s="22" t="inlineStr">
        <is>
          <t>02/2019</t>
        </is>
      </c>
      <c r="C1790" s="22" t="n">
        <v>56</v>
      </c>
      <c r="D1790" s="22" t="inlineStr">
        <is>
          <t>S56</t>
        </is>
      </c>
      <c r="E1790" s="22" t="inlineStr">
        <is>
          <t>Nexa New Hampshire (S56)</t>
        </is>
      </c>
      <c r="F1790" s="22" t="inlineStr">
        <is>
          <t>Mỹ</t>
        </is>
      </c>
      <c r="G1790" s="22" t="inlineStr">
        <is>
          <t>POS</t>
        </is>
      </c>
      <c r="H1790" s="31" t="n">
        <v>36696.9</v>
      </c>
      <c r="I1790" s="31" t="n">
        <v>0</v>
      </c>
      <c r="J1790" s="31" t="n">
        <v>36696.9</v>
      </c>
      <c r="K1790" s="31" t="n">
        <v>383</v>
      </c>
      <c r="L1790" s="32" t="n">
        <v>16</v>
      </c>
      <c r="M1790" s="32" t="n">
        <v>164</v>
      </c>
      <c r="N1790" s="31" t="n">
        <v>36313.9</v>
      </c>
      <c r="O1790" s="31" t="n">
        <v>36696.9</v>
      </c>
      <c r="P1790" s="22" t="n">
        <v>0</v>
      </c>
      <c r="Q1790" s="22" t="n">
        <v>0</v>
      </c>
      <c r="R1790" s="22" t="n">
        <v>0</v>
      </c>
    </row>
    <row r="1791">
      <c r="A1791" s="22" t="n">
        <v>201902</v>
      </c>
      <c r="B1791" s="22" t="inlineStr">
        <is>
          <t>02/2019</t>
        </is>
      </c>
      <c r="C1791" s="22" t="n">
        <v>57</v>
      </c>
      <c r="D1791" s="22" t="inlineStr">
        <is>
          <t>S57</t>
        </is>
      </c>
      <c r="E1791" s="22" t="inlineStr">
        <is>
          <t>Nexa New Mexico (S57)</t>
        </is>
      </c>
      <c r="F1791" s="22" t="inlineStr">
        <is>
          <t>Mỹ</t>
        </is>
      </c>
      <c r="G1791" s="22" t="inlineStr">
        <is>
          <t>POS</t>
        </is>
      </c>
      <c r="H1791" s="31" t="n">
        <v>36707.48</v>
      </c>
      <c r="I1791" s="31" t="n">
        <v>0</v>
      </c>
      <c r="J1791" s="31" t="n">
        <v>36707.48</v>
      </c>
      <c r="K1791" s="31" t="n">
        <v>1107.98</v>
      </c>
      <c r="L1791" s="32" t="n">
        <v>18</v>
      </c>
      <c r="M1791" s="32" t="n">
        <v>175</v>
      </c>
      <c r="N1791" s="31" t="n">
        <v>35599.5</v>
      </c>
      <c r="O1791" s="31" t="n">
        <v>36707.48</v>
      </c>
      <c r="P1791" s="22" t="n">
        <v>0</v>
      </c>
      <c r="Q1791" s="22" t="n">
        <v>0</v>
      </c>
      <c r="R1791" s="22" t="n">
        <v>0</v>
      </c>
    </row>
    <row r="1792">
      <c r="A1792" s="22" t="n">
        <v>201902</v>
      </c>
      <c r="B1792" s="22" t="inlineStr">
        <is>
          <t>02/2019</t>
        </is>
      </c>
      <c r="C1792" s="22" t="n">
        <v>59</v>
      </c>
      <c r="D1792" s="22" t="inlineStr">
        <is>
          <t>S59</t>
        </is>
      </c>
      <c r="E1792" s="22" t="inlineStr">
        <is>
          <t>Nexa Oregon (S59)</t>
        </is>
      </c>
      <c r="F1792" s="22" t="inlineStr">
        <is>
          <t>Mỹ</t>
        </is>
      </c>
      <c r="G1792" s="22" t="inlineStr">
        <is>
          <t>POS</t>
        </is>
      </c>
      <c r="H1792" s="31" t="n">
        <v>43872.27</v>
      </c>
      <c r="I1792" s="31" t="n">
        <v>0</v>
      </c>
      <c r="J1792" s="31" t="n">
        <v>43872.27</v>
      </c>
      <c r="K1792" s="31" t="n">
        <v>367.67</v>
      </c>
      <c r="L1792" s="32" t="n">
        <v>17</v>
      </c>
      <c r="M1792" s="32" t="n">
        <v>129</v>
      </c>
      <c r="N1792" s="31" t="n">
        <v>43546.27</v>
      </c>
      <c r="O1792" s="31" t="n">
        <v>43872.27</v>
      </c>
      <c r="P1792" s="22" t="n">
        <v>0</v>
      </c>
      <c r="Q1792" s="22" t="n">
        <v>0</v>
      </c>
      <c r="R1792" s="22" t="n">
        <v>0</v>
      </c>
    </row>
    <row r="1793">
      <c r="A1793" s="22" t="n">
        <v>201902</v>
      </c>
      <c r="B1793" s="22" t="inlineStr">
        <is>
          <t>02/2019</t>
        </is>
      </c>
      <c r="C1793" s="22" t="n">
        <v>61</v>
      </c>
      <c r="D1793" s="22" t="inlineStr">
        <is>
          <t>S61</t>
        </is>
      </c>
      <c r="E1793" s="22" t="inlineStr">
        <is>
          <t>Nexa South Carolina (S61)</t>
        </is>
      </c>
      <c r="F1793" s="22" t="inlineStr">
        <is>
          <t>Mỹ</t>
        </is>
      </c>
      <c r="G1793" s="22" t="inlineStr">
        <is>
          <t>POS</t>
        </is>
      </c>
      <c r="H1793" s="31" t="n">
        <v>28459.58</v>
      </c>
      <c r="I1793" s="31" t="n">
        <v>0</v>
      </c>
      <c r="J1793" s="31" t="n">
        <v>28459.58</v>
      </c>
      <c r="K1793" s="31" t="n">
        <v>249.99</v>
      </c>
      <c r="L1793" s="32" t="n">
        <v>21</v>
      </c>
      <c r="M1793" s="32" t="n">
        <v>130</v>
      </c>
      <c r="N1793" s="31" t="n">
        <v>28209.59</v>
      </c>
      <c r="O1793" s="31" t="n">
        <v>28459.58</v>
      </c>
      <c r="P1793" s="22" t="n">
        <v>1</v>
      </c>
      <c r="Q1793" s="22" t="n">
        <v>0</v>
      </c>
      <c r="R1793" s="22" t="n">
        <v>0</v>
      </c>
    </row>
    <row r="1794">
      <c r="A1794" s="22" t="n">
        <v>201902</v>
      </c>
      <c r="B1794" s="22" t="inlineStr">
        <is>
          <t>02/2019</t>
        </is>
      </c>
      <c r="C1794" s="22" t="n">
        <v>62</v>
      </c>
      <c r="D1794" s="22" t="inlineStr">
        <is>
          <t>S62</t>
        </is>
      </c>
      <c r="E1794" s="22" t="inlineStr">
        <is>
          <t>Nexa South Dakota (S62)</t>
        </is>
      </c>
      <c r="F1794" s="22" t="inlineStr">
        <is>
          <t>Mỹ</t>
        </is>
      </c>
      <c r="G1794" s="22" t="inlineStr">
        <is>
          <t>POS</t>
        </is>
      </c>
      <c r="H1794" s="31" t="n">
        <v>28133.03</v>
      </c>
      <c r="I1794" s="31" t="n">
        <v>0</v>
      </c>
      <c r="J1794" s="31" t="n">
        <v>28133.03</v>
      </c>
      <c r="K1794" s="31" t="n">
        <v>119.98</v>
      </c>
      <c r="L1794" s="32" t="n">
        <v>12</v>
      </c>
      <c r="M1794" s="32" t="n">
        <v>107</v>
      </c>
      <c r="N1794" s="31" t="n">
        <v>28013.05</v>
      </c>
      <c r="O1794" s="31" t="n">
        <v>28133.03</v>
      </c>
      <c r="P1794" s="22" t="n">
        <v>1</v>
      </c>
      <c r="Q1794" s="22" t="n">
        <v>0</v>
      </c>
      <c r="R1794" s="22" t="n">
        <v>0</v>
      </c>
    </row>
    <row r="1795">
      <c r="A1795" s="22" t="n">
        <v>201902</v>
      </c>
      <c r="B1795" s="22" t="inlineStr">
        <is>
          <t>02/2019</t>
        </is>
      </c>
      <c r="C1795" s="22" t="n">
        <v>63</v>
      </c>
      <c r="D1795" s="22" t="inlineStr">
        <is>
          <t>S63</t>
        </is>
      </c>
      <c r="E1795" s="22" t="inlineStr">
        <is>
          <t>Nexa Utah (S63)</t>
        </is>
      </c>
      <c r="F1795" s="22" t="inlineStr">
        <is>
          <t>Mỹ</t>
        </is>
      </c>
      <c r="G1795" s="22" t="inlineStr">
        <is>
          <t>POS</t>
        </is>
      </c>
      <c r="H1795" s="31" t="n">
        <v>53023.08</v>
      </c>
      <c r="I1795" s="31" t="n">
        <v>0</v>
      </c>
      <c r="J1795" s="31" t="n">
        <v>53023.08</v>
      </c>
      <c r="K1795" s="31" t="n">
        <v>296</v>
      </c>
      <c r="L1795" s="32" t="n">
        <v>18</v>
      </c>
      <c r="M1795" s="32" t="n">
        <v>118</v>
      </c>
      <c r="N1795" s="31" t="n">
        <v>52727.08</v>
      </c>
      <c r="O1795" s="31" t="n">
        <v>53023.08</v>
      </c>
      <c r="P1795" s="22" t="n">
        <v>1</v>
      </c>
      <c r="Q1795" s="22" t="n">
        <v>0</v>
      </c>
      <c r="R1795" s="22" t="n">
        <v>0</v>
      </c>
    </row>
    <row r="1796">
      <c r="A1796" s="22" t="n">
        <v>201902</v>
      </c>
      <c r="B1796" s="22" t="inlineStr">
        <is>
          <t>02/2019</t>
        </is>
      </c>
      <c r="C1796" s="22" t="n">
        <v>64</v>
      </c>
      <c r="D1796" s="22" t="inlineStr">
        <is>
          <t>S64</t>
        </is>
      </c>
      <c r="E1796" s="22" t="inlineStr">
        <is>
          <t>Nexa Washington DC (S64)</t>
        </is>
      </c>
      <c r="F1796" s="22" t="inlineStr">
        <is>
          <t>Mỹ</t>
        </is>
      </c>
      <c r="G1796" s="22" t="inlineStr">
        <is>
          <t>POS</t>
        </is>
      </c>
      <c r="H1796" s="31" t="n">
        <v>33598.43</v>
      </c>
      <c r="I1796" s="31" t="n">
        <v>0</v>
      </c>
      <c r="J1796" s="31" t="n">
        <v>33598.43</v>
      </c>
      <c r="K1796" s="31" t="n">
        <v>0</v>
      </c>
      <c r="L1796" s="32" t="n">
        <v>18</v>
      </c>
      <c r="M1796" s="32" t="n">
        <v>175</v>
      </c>
      <c r="N1796" s="31" t="n">
        <v>33728.42</v>
      </c>
      <c r="O1796" s="31" t="n">
        <v>33598.43</v>
      </c>
      <c r="P1796" s="22" t="n">
        <v>1</v>
      </c>
      <c r="Q1796" s="22" t="n">
        <v>0</v>
      </c>
      <c r="R1796" s="22" t="n">
        <v>0</v>
      </c>
    </row>
    <row r="1797">
      <c r="A1797" s="22" t="n">
        <v>201902</v>
      </c>
      <c r="B1797" s="22" t="inlineStr">
        <is>
          <t>02/2019</t>
        </is>
      </c>
      <c r="C1797" s="22" t="n">
        <v>65</v>
      </c>
      <c r="D1797" s="22" t="inlineStr">
        <is>
          <t>S65</t>
        </is>
      </c>
      <c r="E1797" s="22" t="inlineStr">
        <is>
          <t>Nexa West Virginia (S65)</t>
        </is>
      </c>
      <c r="F1797" s="22" t="inlineStr">
        <is>
          <t>Mỹ</t>
        </is>
      </c>
      <c r="G1797" s="22" t="inlineStr">
        <is>
          <t>POS</t>
        </is>
      </c>
      <c r="H1797" s="31" t="n">
        <v>55965.61</v>
      </c>
      <c r="I1797" s="31" t="n">
        <v>0</v>
      </c>
      <c r="J1797" s="31" t="n">
        <v>55965.61</v>
      </c>
      <c r="K1797" s="31" t="n">
        <v>2239.75</v>
      </c>
      <c r="L1797" s="32" t="n">
        <v>19</v>
      </c>
      <c r="M1797" s="32" t="n">
        <v>165</v>
      </c>
      <c r="N1797" s="31" t="n">
        <v>53928.61</v>
      </c>
      <c r="O1797" s="31" t="n">
        <v>55965.61</v>
      </c>
      <c r="P1797" s="22" t="n">
        <v>1</v>
      </c>
      <c r="Q1797" s="22" t="n">
        <v>0</v>
      </c>
      <c r="R1797" s="22" t="n">
        <v>0</v>
      </c>
    </row>
    <row r="1798">
      <c r="A1798" s="22" t="n">
        <v>201902</v>
      </c>
      <c r="B1798" s="22" t="inlineStr">
        <is>
          <t>02/2019</t>
        </is>
      </c>
      <c r="C1798" s="22" t="n">
        <v>66</v>
      </c>
      <c r="D1798" s="22" t="inlineStr">
        <is>
          <t>S66</t>
        </is>
      </c>
      <c r="E1798" s="22" t="inlineStr">
        <is>
          <t>Nexa Wyoming (S66)</t>
        </is>
      </c>
      <c r="F1798" s="22" t="inlineStr">
        <is>
          <t>Mỹ</t>
        </is>
      </c>
      <c r="G1798" s="22" t="inlineStr">
        <is>
          <t>POS</t>
        </is>
      </c>
      <c r="H1798" s="31" t="n">
        <v>37748.61</v>
      </c>
      <c r="I1798" s="31" t="n">
        <v>0</v>
      </c>
      <c r="J1798" s="31" t="n">
        <v>37748.61</v>
      </c>
      <c r="K1798" s="31" t="n">
        <v>0</v>
      </c>
      <c r="L1798" s="32" t="n">
        <v>18</v>
      </c>
      <c r="M1798" s="32" t="n">
        <v>151</v>
      </c>
      <c r="N1798" s="31" t="n">
        <v>37748.61</v>
      </c>
      <c r="O1798" s="31" t="n">
        <v>37748.61</v>
      </c>
      <c r="P1798" s="22" t="n">
        <v>1</v>
      </c>
      <c r="Q1798" s="22" t="n">
        <v>0</v>
      </c>
      <c r="R1798" s="22" t="n">
        <v>0</v>
      </c>
    </row>
    <row r="1799">
      <c r="A1799" s="22" t="n">
        <v>201903</v>
      </c>
      <c r="B1799" s="22" t="inlineStr">
        <is>
          <t>03/2019</t>
        </is>
      </c>
      <c r="C1799" s="22" t="n">
        <v>0</v>
      </c>
      <c r="D1799" s="22" t="inlineStr">
        <is>
          <t>ONL</t>
        </is>
      </c>
      <c r="E1799" s="22" t="inlineStr">
        <is>
          <t>Nexa Online (website/app)</t>
        </is>
      </c>
      <c r="F1799" s="22" t="inlineStr">
        <is>
          <t>Online</t>
        </is>
      </c>
      <c r="G1799" s="22" t="inlineStr">
        <is>
          <t>ONLINE</t>
        </is>
      </c>
      <c r="H1799" s="31" t="n">
        <v>174761.05</v>
      </c>
      <c r="I1799" s="31" t="n">
        <v>4013.1</v>
      </c>
      <c r="J1799" s="31" t="n">
        <v>170747.95</v>
      </c>
      <c r="K1799" s="31" t="n">
        <v>17799.76</v>
      </c>
      <c r="L1799" s="32" t="n">
        <v>73</v>
      </c>
      <c r="M1799" s="32" t="n">
        <v>612</v>
      </c>
      <c r="N1799" s="31" t="n">
        <v>239908.78</v>
      </c>
      <c r="O1799" s="31" t="n">
        <v>257708.54</v>
      </c>
      <c r="P1799" s="22" t="n">
        <v>2</v>
      </c>
      <c r="Q1799" s="22" t="n">
        <v>0</v>
      </c>
      <c r="R1799" s="22" t="n">
        <v>0</v>
      </c>
    </row>
    <row r="1800">
      <c r="A1800" s="22" t="n">
        <v>201903</v>
      </c>
      <c r="B1800" s="22" t="inlineStr">
        <is>
          <t>03/2019</t>
        </is>
      </c>
      <c r="C1800" s="22" t="n">
        <v>1</v>
      </c>
      <c r="D1800" s="22" t="inlineStr">
        <is>
          <t>S01</t>
        </is>
      </c>
      <c r="E1800" s="22" t="inlineStr">
        <is>
          <t>Nexa Australian Capital Territory (S01)</t>
        </is>
      </c>
      <c r="F1800" s="22" t="inlineStr">
        <is>
          <t>Úc</t>
        </is>
      </c>
      <c r="G1800" s="22" t="inlineStr">
        <is>
          <t>POS</t>
        </is>
      </c>
      <c r="H1800" s="31" t="n">
        <v>4162.99</v>
      </c>
      <c r="I1800" s="31" t="n">
        <v>108</v>
      </c>
      <c r="J1800" s="31" t="n">
        <v>4054.99</v>
      </c>
      <c r="K1800" s="31" t="n">
        <v>0</v>
      </c>
      <c r="L1800" s="32" t="n">
        <v>2</v>
      </c>
      <c r="M1800" s="32" t="n">
        <v>10</v>
      </c>
      <c r="N1800" s="31" t="n">
        <v>4054.99</v>
      </c>
      <c r="O1800" s="31" t="n">
        <v>4054.99</v>
      </c>
      <c r="P1800" s="22" t="n">
        <v>0</v>
      </c>
      <c r="Q1800" s="22" t="n">
        <v>0</v>
      </c>
      <c r="R1800" s="22" t="n">
        <v>0</v>
      </c>
    </row>
    <row r="1801">
      <c r="A1801" s="22" t="n">
        <v>201903</v>
      </c>
      <c r="B1801" s="22" t="inlineStr">
        <is>
          <t>03/2019</t>
        </is>
      </c>
      <c r="C1801" s="22" t="n">
        <v>4</v>
      </c>
      <c r="D1801" s="22" t="inlineStr">
        <is>
          <t>S04</t>
        </is>
      </c>
      <c r="E1801" s="22" t="inlineStr">
        <is>
          <t>Nexa Tasmania (S04)</t>
        </is>
      </c>
      <c r="F1801" s="22" t="inlineStr">
        <is>
          <t>Úc</t>
        </is>
      </c>
      <c r="G1801" s="22" t="inlineStr">
        <is>
          <t>POS</t>
        </is>
      </c>
      <c r="H1801" s="31" t="n">
        <v>15534.75</v>
      </c>
      <c r="I1801" s="31" t="n">
        <v>0</v>
      </c>
      <c r="J1801" s="31" t="n">
        <v>15534.75</v>
      </c>
      <c r="K1801" s="31" t="n">
        <v>0</v>
      </c>
      <c r="L1801" s="32" t="n">
        <v>4</v>
      </c>
      <c r="M1801" s="32" t="n">
        <v>45</v>
      </c>
      <c r="N1801" s="31" t="n">
        <v>15534.75</v>
      </c>
      <c r="O1801" s="31" t="n">
        <v>15534.75</v>
      </c>
      <c r="P1801" s="22" t="n">
        <v>0</v>
      </c>
      <c r="Q1801" s="22" t="n">
        <v>0</v>
      </c>
      <c r="R1801" s="22" t="n">
        <v>0</v>
      </c>
    </row>
    <row r="1802">
      <c r="A1802" s="22" t="n">
        <v>201903</v>
      </c>
      <c r="B1802" s="22" t="inlineStr">
        <is>
          <t>03/2019</t>
        </is>
      </c>
      <c r="C1802" s="22" t="n">
        <v>5</v>
      </c>
      <c r="D1802" s="22" t="inlineStr">
        <is>
          <t>S05</t>
        </is>
      </c>
      <c r="E1802" s="22" t="inlineStr">
        <is>
          <t>Nexa Victoria (S05)</t>
        </is>
      </c>
      <c r="F1802" s="22" t="inlineStr">
        <is>
          <t>Úc</t>
        </is>
      </c>
      <c r="G1802" s="22" t="inlineStr">
        <is>
          <t>POS</t>
        </is>
      </c>
      <c r="H1802" s="31" t="n">
        <v>17315.8</v>
      </c>
      <c r="I1802" s="31" t="n">
        <v>0</v>
      </c>
      <c r="J1802" s="31" t="n">
        <v>17315.8</v>
      </c>
      <c r="K1802" s="31" t="n">
        <v>2817.3</v>
      </c>
      <c r="L1802" s="32" t="n">
        <v>7</v>
      </c>
      <c r="M1802" s="32" t="n">
        <v>72</v>
      </c>
      <c r="N1802" s="31" t="n">
        <v>14498.5</v>
      </c>
      <c r="O1802" s="31" t="n">
        <v>17315.8</v>
      </c>
      <c r="P1802" s="22" t="n">
        <v>0</v>
      </c>
      <c r="Q1802" s="22" t="n">
        <v>0</v>
      </c>
      <c r="R1802" s="22" t="n">
        <v>0</v>
      </c>
    </row>
    <row r="1803">
      <c r="A1803" s="22" t="n">
        <v>201903</v>
      </c>
      <c r="B1803" s="22" t="inlineStr">
        <is>
          <t>03/2019</t>
        </is>
      </c>
      <c r="C1803" s="22" t="n">
        <v>6</v>
      </c>
      <c r="D1803" s="22" t="inlineStr">
        <is>
          <t>S06</t>
        </is>
      </c>
      <c r="E1803" s="22" t="inlineStr">
        <is>
          <t>Nexa Western Australia (S06)</t>
        </is>
      </c>
      <c r="F1803" s="22" t="inlineStr">
        <is>
          <t>Úc</t>
        </is>
      </c>
      <c r="G1803" s="22" t="inlineStr">
        <is>
          <t>POS</t>
        </is>
      </c>
      <c r="H1803" s="31" t="n">
        <v>12118.27</v>
      </c>
      <c r="I1803" s="31" t="n">
        <v>0</v>
      </c>
      <c r="J1803" s="31" t="n">
        <v>12118.27</v>
      </c>
      <c r="K1803" s="31" t="n">
        <v>303.72</v>
      </c>
      <c r="L1803" s="32" t="n">
        <v>3</v>
      </c>
      <c r="M1803" s="32" t="n">
        <v>53</v>
      </c>
      <c r="N1803" s="31" t="n">
        <v>11814.55</v>
      </c>
      <c r="O1803" s="31" t="n">
        <v>12118.27</v>
      </c>
      <c r="P1803" s="22" t="n">
        <v>0</v>
      </c>
      <c r="Q1803" s="22" t="n">
        <v>0</v>
      </c>
      <c r="R1803" s="22" t="n">
        <v>0</v>
      </c>
    </row>
    <row r="1804">
      <c r="A1804" s="22" t="n">
        <v>201903</v>
      </c>
      <c r="B1804" s="22" t="inlineStr">
        <is>
          <t>03/2019</t>
        </is>
      </c>
      <c r="C1804" s="22" t="n">
        <v>8</v>
      </c>
      <c r="D1804" s="22" t="inlineStr">
        <is>
          <t>S08</t>
        </is>
      </c>
      <c r="E1804" s="22" t="inlineStr">
        <is>
          <t>Nexa Newfoundland and Labrador (S08)</t>
        </is>
      </c>
      <c r="F1804" s="22" t="inlineStr">
        <is>
          <t>Canada</t>
        </is>
      </c>
      <c r="G1804" s="22" t="inlineStr">
        <is>
          <t>POS</t>
        </is>
      </c>
      <c r="H1804" s="31" t="n">
        <v>17705.69</v>
      </c>
      <c r="I1804" s="31" t="n">
        <v>0</v>
      </c>
      <c r="J1804" s="31" t="n">
        <v>17705.69</v>
      </c>
      <c r="K1804" s="31" t="n">
        <v>9337.99</v>
      </c>
      <c r="L1804" s="32" t="n">
        <v>7</v>
      </c>
      <c r="M1804" s="32" t="n">
        <v>44</v>
      </c>
      <c r="N1804" s="31" t="n">
        <v>17217.7</v>
      </c>
      <c r="O1804" s="31" t="n">
        <v>17705.69</v>
      </c>
      <c r="P1804" s="22" t="n">
        <v>1</v>
      </c>
      <c r="Q1804" s="22" t="n">
        <v>0</v>
      </c>
      <c r="R1804" s="22" t="n">
        <v>0</v>
      </c>
    </row>
    <row r="1805">
      <c r="A1805" s="22" t="n">
        <v>201903</v>
      </c>
      <c r="B1805" s="22" t="inlineStr">
        <is>
          <t>03/2019</t>
        </is>
      </c>
      <c r="C1805" s="22" t="n">
        <v>9</v>
      </c>
      <c r="D1805" s="22" t="inlineStr">
        <is>
          <t>S09</t>
        </is>
      </c>
      <c r="E1805" s="22" t="inlineStr">
        <is>
          <t>Nexa Northwest Territories (S09)</t>
        </is>
      </c>
      <c r="F1805" s="22" t="inlineStr">
        <is>
          <t>Canada</t>
        </is>
      </c>
      <c r="G1805" s="22" t="inlineStr">
        <is>
          <t>POS</t>
        </is>
      </c>
      <c r="H1805" s="31" t="n">
        <v>23659.83</v>
      </c>
      <c r="I1805" s="31" t="n">
        <v>107.49</v>
      </c>
      <c r="J1805" s="31" t="n">
        <v>23552.34</v>
      </c>
      <c r="K1805" s="31" t="n">
        <v>444</v>
      </c>
      <c r="L1805" s="32" t="n">
        <v>9</v>
      </c>
      <c r="M1805" s="32" t="n">
        <v>83</v>
      </c>
      <c r="N1805" s="31" t="n">
        <v>23108.34</v>
      </c>
      <c r="O1805" s="31" t="n">
        <v>23552.34</v>
      </c>
      <c r="P1805" s="22" t="n">
        <v>1</v>
      </c>
      <c r="Q1805" s="22" t="n">
        <v>0</v>
      </c>
      <c r="R1805" s="22" t="n">
        <v>0</v>
      </c>
    </row>
    <row r="1806">
      <c r="A1806" s="22" t="n">
        <v>201903</v>
      </c>
      <c r="B1806" s="22" t="inlineStr">
        <is>
          <t>03/2019</t>
        </is>
      </c>
      <c r="C1806" s="22" t="n">
        <v>10</v>
      </c>
      <c r="D1806" s="22" t="inlineStr">
        <is>
          <t>S10</t>
        </is>
      </c>
      <c r="E1806" s="22" t="inlineStr">
        <is>
          <t>Nexa Nunavut (S10)</t>
        </is>
      </c>
      <c r="F1806" s="22" t="inlineStr">
        <is>
          <t>Canada</t>
        </is>
      </c>
      <c r="G1806" s="22" t="inlineStr">
        <is>
          <t>POS</t>
        </is>
      </c>
      <c r="H1806" s="31" t="n">
        <v>4764.35</v>
      </c>
      <c r="I1806" s="31" t="n">
        <v>8.449999999999999</v>
      </c>
      <c r="J1806" s="31" t="n">
        <v>4755.9</v>
      </c>
      <c r="K1806" s="31" t="n">
        <v>71.98</v>
      </c>
      <c r="L1806" s="32" t="n">
        <v>6</v>
      </c>
      <c r="M1806" s="32" t="n">
        <v>22</v>
      </c>
      <c r="N1806" s="31" t="n">
        <v>4683.92</v>
      </c>
      <c r="O1806" s="31" t="n">
        <v>4755.9</v>
      </c>
      <c r="P1806" s="22" t="n">
        <v>0</v>
      </c>
      <c r="Q1806" s="22" t="n">
        <v>0</v>
      </c>
      <c r="R1806" s="22" t="n">
        <v>0</v>
      </c>
    </row>
    <row r="1807">
      <c r="A1807" s="22" t="n">
        <v>201903</v>
      </c>
      <c r="B1807" s="22" t="inlineStr">
        <is>
          <t>03/2019</t>
        </is>
      </c>
      <c r="C1807" s="22" t="n">
        <v>12</v>
      </c>
      <c r="D1807" s="22" t="inlineStr">
        <is>
          <t>S12</t>
        </is>
      </c>
      <c r="E1807" s="22" t="inlineStr">
        <is>
          <t>Nexa Basse-Normandie (S12)</t>
        </is>
      </c>
      <c r="F1807" s="22" t="inlineStr">
        <is>
          <t>Pháp</t>
        </is>
      </c>
      <c r="G1807" s="22" t="inlineStr">
        <is>
          <t>POS</t>
        </is>
      </c>
      <c r="H1807" s="31" t="n">
        <v>1123.18</v>
      </c>
      <c r="I1807" s="31" t="n">
        <v>0</v>
      </c>
      <c r="J1807" s="31" t="n">
        <v>1123.18</v>
      </c>
      <c r="K1807" s="31" t="n">
        <v>0</v>
      </c>
      <c r="L1807" s="32" t="n">
        <v>1</v>
      </c>
      <c r="M1807" s="32" t="n">
        <v>13</v>
      </c>
      <c r="N1807" s="31" t="n">
        <v>1103.19</v>
      </c>
      <c r="O1807" s="31" t="n">
        <v>1123.18</v>
      </c>
      <c r="P1807" s="22" t="n">
        <v>0</v>
      </c>
      <c r="Q1807" s="22" t="n">
        <v>0</v>
      </c>
      <c r="R1807" s="22" t="n">
        <v>0</v>
      </c>
    </row>
    <row r="1808">
      <c r="A1808" s="22" t="n">
        <v>201903</v>
      </c>
      <c r="B1808" s="22" t="inlineStr">
        <is>
          <t>03/2019</t>
        </is>
      </c>
      <c r="C1808" s="22" t="n">
        <v>13</v>
      </c>
      <c r="D1808" s="22" t="inlineStr">
        <is>
          <t>S13</t>
        </is>
      </c>
      <c r="E1808" s="22" t="inlineStr">
        <is>
          <t>Nexa Corse (S13)</t>
        </is>
      </c>
      <c r="F1808" s="22" t="inlineStr">
        <is>
          <t>Pháp</t>
        </is>
      </c>
      <c r="G1808" s="22" t="inlineStr">
        <is>
          <t>POS</t>
        </is>
      </c>
      <c r="H1808" s="31" t="n">
        <v>5438.96</v>
      </c>
      <c r="I1808" s="31" t="n">
        <v>0</v>
      </c>
      <c r="J1808" s="31" t="n">
        <v>5438.96</v>
      </c>
      <c r="K1808" s="31" t="n">
        <v>0</v>
      </c>
      <c r="L1808" s="32" t="n">
        <v>2</v>
      </c>
      <c r="M1808" s="32" t="n">
        <v>24</v>
      </c>
      <c r="N1808" s="31" t="n">
        <v>5438.96</v>
      </c>
      <c r="O1808" s="31" t="n">
        <v>5438.96</v>
      </c>
      <c r="P1808" s="22" t="n">
        <v>0</v>
      </c>
      <c r="Q1808" s="22" t="n">
        <v>0</v>
      </c>
      <c r="R1808" s="22" t="n">
        <v>0</v>
      </c>
    </row>
    <row r="1809">
      <c r="A1809" s="22" t="n">
        <v>201903</v>
      </c>
      <c r="B1809" s="22" t="inlineStr">
        <is>
          <t>03/2019</t>
        </is>
      </c>
      <c r="C1809" s="22" t="n">
        <v>15</v>
      </c>
      <c r="D1809" s="22" t="inlineStr">
        <is>
          <t>S15</t>
        </is>
      </c>
      <c r="E1809" s="22" t="inlineStr">
        <is>
          <t>Nexa La Réunion (S15)</t>
        </is>
      </c>
      <c r="F1809" s="22" t="inlineStr">
        <is>
          <t>Pháp</t>
        </is>
      </c>
      <c r="G1809" s="22" t="inlineStr">
        <is>
          <t>POS</t>
        </is>
      </c>
      <c r="H1809" s="31" t="n">
        <v>5936.71</v>
      </c>
      <c r="I1809" s="31" t="n">
        <v>0</v>
      </c>
      <c r="J1809" s="31" t="n">
        <v>5936.71</v>
      </c>
      <c r="K1809" s="31" t="n">
        <v>2067.9</v>
      </c>
      <c r="L1809" s="32" t="n">
        <v>3</v>
      </c>
      <c r="M1809" s="32" t="n">
        <v>28</v>
      </c>
      <c r="N1809" s="31" t="n">
        <v>3868.81</v>
      </c>
      <c r="O1809" s="31" t="n">
        <v>5936.71</v>
      </c>
      <c r="P1809" s="22" t="n">
        <v>0</v>
      </c>
      <c r="Q1809" s="22" t="n">
        <v>0</v>
      </c>
      <c r="R1809" s="22" t="n">
        <v>0</v>
      </c>
    </row>
    <row r="1810">
      <c r="A1810" s="22" t="n">
        <v>201903</v>
      </c>
      <c r="B1810" s="22" t="inlineStr">
        <is>
          <t>03/2019</t>
        </is>
      </c>
      <c r="C1810" s="22" t="n">
        <v>16</v>
      </c>
      <c r="D1810" s="22" t="inlineStr">
        <is>
          <t>S16</t>
        </is>
      </c>
      <c r="E1810" s="22" t="inlineStr">
        <is>
          <t>Nexa Limousin (S16)</t>
        </is>
      </c>
      <c r="F1810" s="22" t="inlineStr">
        <is>
          <t>Pháp</t>
        </is>
      </c>
      <c r="G1810" s="22" t="inlineStr">
        <is>
          <t>POS</t>
        </is>
      </c>
      <c r="H1810" s="31" t="n">
        <v>49.98</v>
      </c>
      <c r="I1810" s="31" t="n">
        <v>2.5</v>
      </c>
      <c r="J1810" s="31" t="n">
        <v>47.48</v>
      </c>
      <c r="K1810" s="31" t="n">
        <v>0</v>
      </c>
      <c r="L1810" s="32" t="n">
        <v>1</v>
      </c>
      <c r="M1810" s="32" t="n">
        <v>2</v>
      </c>
      <c r="N1810" s="31" t="n">
        <v>47.48</v>
      </c>
      <c r="O1810" s="31" t="n">
        <v>47.48</v>
      </c>
      <c r="P1810" s="22" t="n">
        <v>0</v>
      </c>
      <c r="Q1810" s="22" t="n">
        <v>0</v>
      </c>
      <c r="R1810" s="22" t="n">
        <v>0</v>
      </c>
    </row>
    <row r="1811">
      <c r="A1811" s="22" t="n">
        <v>201903</v>
      </c>
      <c r="B1811" s="22" t="inlineStr">
        <is>
          <t>03/2019</t>
        </is>
      </c>
      <c r="C1811" s="22" t="n">
        <v>17</v>
      </c>
      <c r="D1811" s="22" t="inlineStr">
        <is>
          <t>S17</t>
        </is>
      </c>
      <c r="E1811" s="22" t="inlineStr">
        <is>
          <t>Nexa Martinique (S17)</t>
        </is>
      </c>
      <c r="F1811" s="22" t="inlineStr">
        <is>
          <t>Pháp</t>
        </is>
      </c>
      <c r="G1811" s="22" t="inlineStr">
        <is>
          <t>POS</t>
        </is>
      </c>
      <c r="H1811" s="31" t="n">
        <v>5704.15</v>
      </c>
      <c r="I1811" s="31" t="n">
        <v>0</v>
      </c>
      <c r="J1811" s="31" t="n">
        <v>5704.15</v>
      </c>
      <c r="K1811" s="31" t="n">
        <v>0</v>
      </c>
      <c r="L1811" s="32" t="n">
        <v>3</v>
      </c>
      <c r="M1811" s="32" t="n">
        <v>33</v>
      </c>
      <c r="N1811" s="31" t="n">
        <v>5704.15</v>
      </c>
      <c r="O1811" s="31" t="n">
        <v>5704.15</v>
      </c>
      <c r="P1811" s="22" t="n">
        <v>0</v>
      </c>
      <c r="Q1811" s="22" t="n">
        <v>0</v>
      </c>
      <c r="R1811" s="22" t="n">
        <v>0</v>
      </c>
    </row>
    <row r="1812">
      <c r="A1812" s="22" t="n">
        <v>201903</v>
      </c>
      <c r="B1812" s="22" t="inlineStr">
        <is>
          <t>03/2019</t>
        </is>
      </c>
      <c r="C1812" s="22" t="n">
        <v>18</v>
      </c>
      <c r="D1812" s="22" t="inlineStr">
        <is>
          <t>S18</t>
        </is>
      </c>
      <c r="E1812" s="22" t="inlineStr">
        <is>
          <t>Nexa Mayotte (S18)</t>
        </is>
      </c>
      <c r="F1812" s="22" t="inlineStr">
        <is>
          <t>Pháp</t>
        </is>
      </c>
      <c r="G1812" s="22" t="inlineStr">
        <is>
          <t>POS</t>
        </is>
      </c>
      <c r="H1812" s="31" t="n">
        <v>1264.97</v>
      </c>
      <c r="I1812" s="31" t="n">
        <v>0</v>
      </c>
      <c r="J1812" s="31" t="n">
        <v>1264.97</v>
      </c>
      <c r="K1812" s="31" t="n">
        <v>600</v>
      </c>
      <c r="L1812" s="32" t="n">
        <v>1</v>
      </c>
      <c r="M1812" s="32" t="n">
        <v>8</v>
      </c>
      <c r="N1812" s="31" t="n">
        <v>664.97</v>
      </c>
      <c r="O1812" s="31" t="n">
        <v>1264.97</v>
      </c>
      <c r="P1812" s="22" t="n">
        <v>0</v>
      </c>
      <c r="Q1812" s="22" t="n">
        <v>0</v>
      </c>
      <c r="R1812" s="22" t="n">
        <v>0</v>
      </c>
    </row>
    <row r="1813">
      <c r="A1813" s="22" t="n">
        <v>201903</v>
      </c>
      <c r="B1813" s="22" t="inlineStr">
        <is>
          <t>03/2019</t>
        </is>
      </c>
      <c r="C1813" s="22" t="n">
        <v>19</v>
      </c>
      <c r="D1813" s="22" t="inlineStr">
        <is>
          <t>S19</t>
        </is>
      </c>
      <c r="E1813" s="22" t="inlineStr">
        <is>
          <t>Nexa Berlin (S19)</t>
        </is>
      </c>
      <c r="F1813" s="22" t="inlineStr">
        <is>
          <t>Đức</t>
        </is>
      </c>
      <c r="G1813" s="22" t="inlineStr">
        <is>
          <t>POS</t>
        </is>
      </c>
      <c r="H1813" s="31" t="n">
        <v>8361.25</v>
      </c>
      <c r="I1813" s="31" t="n">
        <v>0</v>
      </c>
      <c r="J1813" s="31" t="n">
        <v>8361.25</v>
      </c>
      <c r="K1813" s="31" t="n">
        <v>668.98</v>
      </c>
      <c r="L1813" s="32" t="n">
        <v>3</v>
      </c>
      <c r="M1813" s="32" t="n">
        <v>26</v>
      </c>
      <c r="N1813" s="31" t="n">
        <v>7692.27</v>
      </c>
      <c r="O1813" s="31" t="n">
        <v>8361.25</v>
      </c>
      <c r="P1813" s="22" t="n">
        <v>0</v>
      </c>
      <c r="Q1813" s="22" t="n">
        <v>0</v>
      </c>
      <c r="R1813" s="22" t="n">
        <v>0</v>
      </c>
    </row>
    <row r="1814">
      <c r="A1814" s="22" t="n">
        <v>201903</v>
      </c>
      <c r="B1814" s="22" t="inlineStr">
        <is>
          <t>03/2019</t>
        </is>
      </c>
      <c r="C1814" s="22" t="n">
        <v>20</v>
      </c>
      <c r="D1814" s="22" t="inlineStr">
        <is>
          <t>S20</t>
        </is>
      </c>
      <c r="E1814" s="22" t="inlineStr">
        <is>
          <t>Nexa Brandenburg (S20)</t>
        </is>
      </c>
      <c r="F1814" s="22" t="inlineStr">
        <is>
          <t>Đức</t>
        </is>
      </c>
      <c r="G1814" s="22" t="inlineStr">
        <is>
          <t>POS</t>
        </is>
      </c>
      <c r="H1814" s="31" t="n">
        <v>6865.15</v>
      </c>
      <c r="I1814" s="31" t="n">
        <v>0</v>
      </c>
      <c r="J1814" s="31" t="n">
        <v>6865.15</v>
      </c>
      <c r="K1814" s="31" t="n">
        <v>0</v>
      </c>
      <c r="L1814" s="32" t="n">
        <v>3</v>
      </c>
      <c r="M1814" s="32" t="n">
        <v>33</v>
      </c>
      <c r="N1814" s="31" t="n">
        <v>6865.15</v>
      </c>
      <c r="O1814" s="31" t="n">
        <v>6865.15</v>
      </c>
      <c r="P1814" s="22" t="n">
        <v>1</v>
      </c>
      <c r="Q1814" s="22" t="n">
        <v>0</v>
      </c>
      <c r="R1814" s="22" t="n">
        <v>0</v>
      </c>
    </row>
    <row r="1815">
      <c r="A1815" s="22" t="n">
        <v>201903</v>
      </c>
      <c r="B1815" s="22" t="inlineStr">
        <is>
          <t>03/2019</t>
        </is>
      </c>
      <c r="C1815" s="22" t="n">
        <v>21</v>
      </c>
      <c r="D1815" s="22" t="inlineStr">
        <is>
          <t>S21</t>
        </is>
      </c>
      <c r="E1815" s="22" t="inlineStr">
        <is>
          <t>Nexa Freie Hansestadt Bremen (S21)</t>
        </is>
      </c>
      <c r="F1815" s="22" t="inlineStr">
        <is>
          <t>Đức</t>
        </is>
      </c>
      <c r="G1815" s="22" t="inlineStr">
        <is>
          <t>POS</t>
        </is>
      </c>
      <c r="H1815" s="31" t="n">
        <v>6596.63</v>
      </c>
      <c r="I1815" s="31" t="n">
        <v>14.47</v>
      </c>
      <c r="J1815" s="31" t="n">
        <v>6582.16</v>
      </c>
      <c r="K1815" s="31" t="n">
        <v>0</v>
      </c>
      <c r="L1815" s="32" t="n">
        <v>6</v>
      </c>
      <c r="M1815" s="32" t="n">
        <v>41</v>
      </c>
      <c r="N1815" s="31" t="n">
        <v>6582.16</v>
      </c>
      <c r="O1815" s="31" t="n">
        <v>6582.16</v>
      </c>
      <c r="P1815" s="22" t="n">
        <v>0</v>
      </c>
      <c r="Q1815" s="22" t="n">
        <v>0</v>
      </c>
      <c r="R1815" s="22" t="n">
        <v>0</v>
      </c>
    </row>
    <row r="1816">
      <c r="A1816" s="22" t="n">
        <v>201903</v>
      </c>
      <c r="B1816" s="22" t="inlineStr">
        <is>
          <t>03/2019</t>
        </is>
      </c>
      <c r="C1816" s="22" t="n">
        <v>22</v>
      </c>
      <c r="D1816" s="22" t="inlineStr">
        <is>
          <t>S22</t>
        </is>
      </c>
      <c r="E1816" s="22" t="inlineStr">
        <is>
          <t>Nexa Freistaat Thüringen (S22)</t>
        </is>
      </c>
      <c r="F1816" s="22" t="inlineStr">
        <is>
          <t>Đức</t>
        </is>
      </c>
      <c r="G1816" s="22" t="inlineStr">
        <is>
          <t>POS</t>
        </is>
      </c>
      <c r="H1816" s="31" t="n">
        <v>28272.41</v>
      </c>
      <c r="I1816" s="31" t="n">
        <v>0</v>
      </c>
      <c r="J1816" s="31" t="n">
        <v>28272.41</v>
      </c>
      <c r="K1816" s="31" t="n">
        <v>303.68</v>
      </c>
      <c r="L1816" s="32" t="n">
        <v>7</v>
      </c>
      <c r="M1816" s="32" t="n">
        <v>94</v>
      </c>
      <c r="N1816" s="31" t="n">
        <v>27968.73</v>
      </c>
      <c r="O1816" s="31" t="n">
        <v>28272.41</v>
      </c>
      <c r="P1816" s="22" t="n">
        <v>1</v>
      </c>
      <c r="Q1816" s="22" t="n">
        <v>0</v>
      </c>
      <c r="R1816" s="22" t="n">
        <v>0</v>
      </c>
    </row>
    <row r="1817">
      <c r="A1817" s="22" t="n">
        <v>201903</v>
      </c>
      <c r="B1817" s="22" t="inlineStr">
        <is>
          <t>03/2019</t>
        </is>
      </c>
      <c r="C1817" s="22" t="n">
        <v>23</v>
      </c>
      <c r="D1817" s="22" t="inlineStr">
        <is>
          <t>S23</t>
        </is>
      </c>
      <c r="E1817" s="22" t="inlineStr">
        <is>
          <t>Nexa Hamburg (S23)</t>
        </is>
      </c>
      <c r="F1817" s="22" t="inlineStr">
        <is>
          <t>Đức</t>
        </is>
      </c>
      <c r="G1817" s="22" t="inlineStr">
        <is>
          <t>POS</t>
        </is>
      </c>
      <c r="H1817" s="31" t="n">
        <v>1952.33</v>
      </c>
      <c r="I1817" s="31" t="n">
        <v>0</v>
      </c>
      <c r="J1817" s="31" t="n">
        <v>1952.33</v>
      </c>
      <c r="K1817" s="31" t="n">
        <v>0</v>
      </c>
      <c r="L1817" s="32" t="n">
        <v>3</v>
      </c>
      <c r="M1817" s="32" t="n">
        <v>18</v>
      </c>
      <c r="N1817" s="31" t="n">
        <v>1952.33</v>
      </c>
      <c r="O1817" s="31" t="n">
        <v>1952.33</v>
      </c>
      <c r="P1817" s="22" t="n">
        <v>0</v>
      </c>
      <c r="Q1817" s="22" t="n">
        <v>0</v>
      </c>
      <c r="R1817" s="22" t="n">
        <v>0</v>
      </c>
    </row>
    <row r="1818">
      <c r="A1818" s="22" t="n">
        <v>201903</v>
      </c>
      <c r="B1818" s="22" t="inlineStr">
        <is>
          <t>03/2019</t>
        </is>
      </c>
      <c r="C1818" s="22" t="n">
        <v>24</v>
      </c>
      <c r="D1818" s="22" t="inlineStr">
        <is>
          <t>S24</t>
        </is>
      </c>
      <c r="E1818" s="22" t="inlineStr">
        <is>
          <t>Nexa Hessen (S24)</t>
        </is>
      </c>
      <c r="F1818" s="22" t="inlineStr">
        <is>
          <t>Đức</t>
        </is>
      </c>
      <c r="G1818" s="22" t="inlineStr">
        <is>
          <t>POS</t>
        </is>
      </c>
      <c r="H1818" s="31" t="n">
        <v>20725.56</v>
      </c>
      <c r="I1818" s="31" t="n">
        <v>0</v>
      </c>
      <c r="J1818" s="31" t="n">
        <v>20725.56</v>
      </c>
      <c r="K1818" s="31" t="n">
        <v>13923</v>
      </c>
      <c r="L1818" s="32" t="n">
        <v>5</v>
      </c>
      <c r="M1818" s="32" t="n">
        <v>53</v>
      </c>
      <c r="N1818" s="31" t="n">
        <v>6802.56</v>
      </c>
      <c r="O1818" s="31" t="n">
        <v>20725.56</v>
      </c>
      <c r="P1818" s="22" t="n">
        <v>0</v>
      </c>
      <c r="Q1818" s="22" t="n">
        <v>0</v>
      </c>
      <c r="R1818" s="22" t="n">
        <v>0</v>
      </c>
    </row>
    <row r="1819">
      <c r="A1819" s="22" t="n">
        <v>201903</v>
      </c>
      <c r="B1819" s="22" t="inlineStr">
        <is>
          <t>03/2019</t>
        </is>
      </c>
      <c r="C1819" s="22" t="n">
        <v>26</v>
      </c>
      <c r="D1819" s="22" t="inlineStr">
        <is>
          <t>S26</t>
        </is>
      </c>
      <c r="E1819" s="22" t="inlineStr">
        <is>
          <t>Nexa Saarland (S26)</t>
        </is>
      </c>
      <c r="F1819" s="22" t="inlineStr">
        <is>
          <t>Đức</t>
        </is>
      </c>
      <c r="G1819" s="22" t="inlineStr">
        <is>
          <t>POS</t>
        </is>
      </c>
      <c r="H1819" s="31" t="n">
        <v>7213.63</v>
      </c>
      <c r="I1819" s="31" t="n">
        <v>227.24</v>
      </c>
      <c r="J1819" s="31" t="n">
        <v>6986.39</v>
      </c>
      <c r="K1819" s="31" t="n">
        <v>0</v>
      </c>
      <c r="L1819" s="32" t="n">
        <v>4</v>
      </c>
      <c r="M1819" s="32" t="n">
        <v>44</v>
      </c>
      <c r="N1819" s="31" t="n">
        <v>6986.39</v>
      </c>
      <c r="O1819" s="31" t="n">
        <v>6986.39</v>
      </c>
      <c r="P1819" s="22" t="n">
        <v>0</v>
      </c>
      <c r="Q1819" s="22" t="n">
        <v>0</v>
      </c>
      <c r="R1819" s="22" t="n">
        <v>0</v>
      </c>
    </row>
    <row r="1820">
      <c r="A1820" s="22" t="n">
        <v>201903</v>
      </c>
      <c r="B1820" s="22" t="inlineStr">
        <is>
          <t>03/2019</t>
        </is>
      </c>
      <c r="C1820" s="22" t="n">
        <v>27</v>
      </c>
      <c r="D1820" s="22" t="inlineStr">
        <is>
          <t>S27</t>
        </is>
      </c>
      <c r="E1820" s="22" t="inlineStr">
        <is>
          <t>Nexa Sachsen-Anhalt (S27)</t>
        </is>
      </c>
      <c r="F1820" s="22" t="inlineStr">
        <is>
          <t>Đức</t>
        </is>
      </c>
      <c r="G1820" s="22" t="inlineStr">
        <is>
          <t>POS</t>
        </is>
      </c>
      <c r="H1820" s="31" t="n">
        <v>31725.07</v>
      </c>
      <c r="I1820" s="31" t="n">
        <v>0</v>
      </c>
      <c r="J1820" s="31" t="n">
        <v>31725.07</v>
      </c>
      <c r="K1820" s="31" t="n">
        <v>1240.99</v>
      </c>
      <c r="L1820" s="32" t="n">
        <v>10</v>
      </c>
      <c r="M1820" s="32" t="n">
        <v>97</v>
      </c>
      <c r="N1820" s="31" t="n">
        <v>30484.08</v>
      </c>
      <c r="O1820" s="31" t="n">
        <v>31725.07</v>
      </c>
      <c r="P1820" s="22" t="n">
        <v>0</v>
      </c>
      <c r="Q1820" s="22" t="n">
        <v>0</v>
      </c>
      <c r="R1820" s="22" t="n">
        <v>0</v>
      </c>
    </row>
    <row r="1821">
      <c r="A1821" s="22" t="n">
        <v>201903</v>
      </c>
      <c r="B1821" s="22" t="inlineStr">
        <is>
          <t>03/2019</t>
        </is>
      </c>
      <c r="C1821" s="22" t="n">
        <v>29</v>
      </c>
      <c r="D1821" s="22" t="inlineStr">
        <is>
          <t>S29</t>
        </is>
      </c>
      <c r="E1821" s="22" t="inlineStr">
        <is>
          <t>Nexa Enna (S29)</t>
        </is>
      </c>
      <c r="F1821" s="22" t="inlineStr">
        <is>
          <t>Ý</t>
        </is>
      </c>
      <c r="G1821" s="22" t="inlineStr">
        <is>
          <t>POS</t>
        </is>
      </c>
      <c r="H1821" s="31" t="n">
        <v>9672.459999999999</v>
      </c>
      <c r="I1821" s="31" t="n">
        <v>0</v>
      </c>
      <c r="J1821" s="31" t="n">
        <v>9672.459999999999</v>
      </c>
      <c r="K1821" s="31" t="n">
        <v>2870</v>
      </c>
      <c r="L1821" s="32" t="n">
        <v>7</v>
      </c>
      <c r="M1821" s="32" t="n">
        <v>65</v>
      </c>
      <c r="N1821" s="31" t="n">
        <v>6802.46</v>
      </c>
      <c r="O1821" s="31" t="n">
        <v>9672.459999999999</v>
      </c>
      <c r="P1821" s="22" t="n">
        <v>0</v>
      </c>
      <c r="Q1821" s="22" t="n">
        <v>0</v>
      </c>
      <c r="R1821" s="22" t="n">
        <v>0</v>
      </c>
    </row>
    <row r="1822">
      <c r="A1822" s="22" t="n">
        <v>201903</v>
      </c>
      <c r="B1822" s="22" t="inlineStr">
        <is>
          <t>03/2019</t>
        </is>
      </c>
      <c r="C1822" s="22" t="n">
        <v>30</v>
      </c>
      <c r="D1822" s="22" t="inlineStr">
        <is>
          <t>S30</t>
        </is>
      </c>
      <c r="E1822" s="22" t="inlineStr">
        <is>
          <t>Nexa Pesaro (S30)</t>
        </is>
      </c>
      <c r="F1822" s="22" t="inlineStr">
        <is>
          <t>Ý</t>
        </is>
      </c>
      <c r="G1822" s="22" t="inlineStr">
        <is>
          <t>POS</t>
        </is>
      </c>
      <c r="H1822" s="31" t="n">
        <v>995.74</v>
      </c>
      <c r="I1822" s="31" t="n">
        <v>0</v>
      </c>
      <c r="J1822" s="31" t="n">
        <v>995.74</v>
      </c>
      <c r="K1822" s="31" t="n">
        <v>0</v>
      </c>
      <c r="L1822" s="32" t="n">
        <v>2</v>
      </c>
      <c r="M1822" s="32" t="n">
        <v>13</v>
      </c>
      <c r="N1822" s="31" t="n">
        <v>995.74</v>
      </c>
      <c r="O1822" s="31" t="n">
        <v>995.74</v>
      </c>
      <c r="P1822" s="22" t="n">
        <v>0</v>
      </c>
      <c r="Q1822" s="22" t="n">
        <v>0</v>
      </c>
      <c r="R1822" s="22" t="n">
        <v>0</v>
      </c>
    </row>
    <row r="1823">
      <c r="A1823" s="22" t="n">
        <v>201903</v>
      </c>
      <c r="B1823" s="22" t="inlineStr">
        <is>
          <t>03/2019</t>
        </is>
      </c>
      <c r="C1823" s="22" t="n">
        <v>31</v>
      </c>
      <c r="D1823" s="22" t="inlineStr">
        <is>
          <t>S31</t>
        </is>
      </c>
      <c r="E1823" s="22" t="inlineStr">
        <is>
          <t>Nexa Drenthe (S31)</t>
        </is>
      </c>
      <c r="F1823" s="22" t="inlineStr">
        <is>
          <t>Hà Lan</t>
        </is>
      </c>
      <c r="G1823" s="22" t="inlineStr">
        <is>
          <t>POS</t>
        </is>
      </c>
      <c r="H1823" s="31" t="n">
        <v>143.4</v>
      </c>
      <c r="I1823" s="31" t="n">
        <v>0</v>
      </c>
      <c r="J1823" s="31" t="n">
        <v>143.4</v>
      </c>
      <c r="K1823" s="31" t="n">
        <v>2295</v>
      </c>
      <c r="L1823" s="32" t="n">
        <v>2</v>
      </c>
      <c r="M1823" s="32" t="n">
        <v>4</v>
      </c>
      <c r="N1823" s="31" t="n">
        <v>-2151.6</v>
      </c>
      <c r="O1823" s="31" t="n">
        <v>143.4</v>
      </c>
      <c r="P1823" s="22" t="n">
        <v>0</v>
      </c>
      <c r="Q1823" s="22" t="n">
        <v>0</v>
      </c>
      <c r="R1823" s="22" t="n">
        <v>0</v>
      </c>
    </row>
    <row r="1824">
      <c r="A1824" s="22" t="n">
        <v>201903</v>
      </c>
      <c r="B1824" s="22" t="inlineStr">
        <is>
          <t>03/2019</t>
        </is>
      </c>
      <c r="C1824" s="22" t="n">
        <v>32</v>
      </c>
      <c r="D1824" s="22" t="inlineStr">
        <is>
          <t>S32</t>
        </is>
      </c>
      <c r="E1824" s="22" t="inlineStr">
        <is>
          <t>Nexa Flevoland (S32)</t>
        </is>
      </c>
      <c r="F1824" s="22" t="inlineStr">
        <is>
          <t>Hà Lan</t>
        </is>
      </c>
      <c r="G1824" s="22" t="inlineStr">
        <is>
          <t>POS</t>
        </is>
      </c>
      <c r="H1824" s="31" t="n">
        <v>15395.85</v>
      </c>
      <c r="I1824" s="31" t="n">
        <v>0</v>
      </c>
      <c r="J1824" s="31" t="n">
        <v>15395.85</v>
      </c>
      <c r="K1824" s="31" t="n">
        <v>2099.7</v>
      </c>
      <c r="L1824" s="32" t="n">
        <v>5</v>
      </c>
      <c r="M1824" s="32" t="n">
        <v>42</v>
      </c>
      <c r="N1824" s="31" t="n">
        <v>13296.15</v>
      </c>
      <c r="O1824" s="31" t="n">
        <v>15395.85</v>
      </c>
      <c r="P1824" s="22" t="n">
        <v>0</v>
      </c>
      <c r="Q1824" s="22" t="n">
        <v>0</v>
      </c>
      <c r="R1824" s="22" t="n">
        <v>0</v>
      </c>
    </row>
    <row r="1825">
      <c r="A1825" s="22" t="n">
        <v>201903</v>
      </c>
      <c r="B1825" s="22" t="inlineStr">
        <is>
          <t>03/2019</t>
        </is>
      </c>
      <c r="C1825" s="22" t="n">
        <v>33</v>
      </c>
      <c r="D1825" s="22" t="inlineStr">
        <is>
          <t>S33</t>
        </is>
      </c>
      <c r="E1825" s="22" t="inlineStr">
        <is>
          <t>Nexa Friesland (S33)</t>
        </is>
      </c>
      <c r="F1825" s="22" t="inlineStr">
        <is>
          <t>Hà Lan</t>
        </is>
      </c>
      <c r="G1825" s="22" t="inlineStr">
        <is>
          <t>POS</t>
        </is>
      </c>
      <c r="H1825" s="31" t="n">
        <v>9299.35</v>
      </c>
      <c r="I1825" s="31" t="n">
        <v>48.6</v>
      </c>
      <c r="J1825" s="31" t="n">
        <v>9250.75</v>
      </c>
      <c r="K1825" s="31" t="n">
        <v>24.99</v>
      </c>
      <c r="L1825" s="32" t="n">
        <v>6</v>
      </c>
      <c r="M1825" s="32" t="n">
        <v>51</v>
      </c>
      <c r="N1825" s="31" t="n">
        <v>9225.76</v>
      </c>
      <c r="O1825" s="31" t="n">
        <v>9250.75</v>
      </c>
      <c r="P1825" s="22" t="n">
        <v>0</v>
      </c>
      <c r="Q1825" s="22" t="n">
        <v>0</v>
      </c>
      <c r="R1825" s="22" t="n">
        <v>0</v>
      </c>
    </row>
    <row r="1826">
      <c r="A1826" s="22" t="n">
        <v>201903</v>
      </c>
      <c r="B1826" s="22" t="inlineStr">
        <is>
          <t>03/2019</t>
        </is>
      </c>
      <c r="C1826" s="22" t="n">
        <v>34</v>
      </c>
      <c r="D1826" s="22" t="inlineStr">
        <is>
          <t>S34</t>
        </is>
      </c>
      <c r="E1826" s="22" t="inlineStr">
        <is>
          <t>Nexa Groningen (S34)</t>
        </is>
      </c>
      <c r="F1826" s="22" t="inlineStr">
        <is>
          <t>Hà Lan</t>
        </is>
      </c>
      <c r="G1826" s="22" t="inlineStr">
        <is>
          <t>POS</t>
        </is>
      </c>
      <c r="H1826" s="31" t="n">
        <v>8995.52</v>
      </c>
      <c r="I1826" s="31" t="n">
        <v>0</v>
      </c>
      <c r="J1826" s="31" t="n">
        <v>8995.52</v>
      </c>
      <c r="K1826" s="31" t="n">
        <v>219</v>
      </c>
      <c r="L1826" s="32" t="n">
        <v>3</v>
      </c>
      <c r="M1826" s="32" t="n">
        <v>22</v>
      </c>
      <c r="N1826" s="31" t="n">
        <v>8776.52</v>
      </c>
      <c r="O1826" s="31" t="n">
        <v>8995.52</v>
      </c>
      <c r="P1826" s="22" t="n">
        <v>0</v>
      </c>
      <c r="Q1826" s="22" t="n">
        <v>0</v>
      </c>
      <c r="R1826" s="22" t="n">
        <v>0</v>
      </c>
    </row>
    <row r="1827">
      <c r="A1827" s="22" t="n">
        <v>201903</v>
      </c>
      <c r="B1827" s="22" t="inlineStr">
        <is>
          <t>03/2019</t>
        </is>
      </c>
      <c r="C1827" s="22" t="n">
        <v>36</v>
      </c>
      <c r="D1827" s="22" t="inlineStr">
        <is>
          <t>S36</t>
        </is>
      </c>
      <c r="E1827" s="22" t="inlineStr">
        <is>
          <t>Nexa Armagh (S36)</t>
        </is>
      </c>
      <c r="F1827" s="22" t="inlineStr">
        <is>
          <t>Anh</t>
        </is>
      </c>
      <c r="G1827" s="22" t="inlineStr">
        <is>
          <t>POS</t>
        </is>
      </c>
      <c r="H1827" s="31" t="n">
        <v>11939.02</v>
      </c>
      <c r="I1827" s="31" t="n">
        <v>43.8</v>
      </c>
      <c r="J1827" s="31" t="n">
        <v>11895.22</v>
      </c>
      <c r="K1827" s="31" t="n">
        <v>40.55</v>
      </c>
      <c r="L1827" s="32" t="n">
        <v>10</v>
      </c>
      <c r="M1827" s="32" t="n">
        <v>55</v>
      </c>
      <c r="N1827" s="31" t="n">
        <v>11854.67</v>
      </c>
      <c r="O1827" s="31" t="n">
        <v>11895.22</v>
      </c>
      <c r="P1827" s="22" t="n">
        <v>0</v>
      </c>
      <c r="Q1827" s="22" t="n">
        <v>0</v>
      </c>
      <c r="R1827" s="22" t="n">
        <v>0</v>
      </c>
    </row>
    <row r="1828">
      <c r="A1828" s="22" t="n">
        <v>201903</v>
      </c>
      <c r="B1828" s="22" t="inlineStr">
        <is>
          <t>03/2019</t>
        </is>
      </c>
      <c r="C1828" s="22" t="n">
        <v>37</v>
      </c>
      <c r="D1828" s="22" t="inlineStr">
        <is>
          <t>S37</t>
        </is>
      </c>
      <c r="E1828" s="22" t="inlineStr">
        <is>
          <t>Nexa Ayrshire (S37)</t>
        </is>
      </c>
      <c r="F1828" s="22" t="inlineStr">
        <is>
          <t>Anh</t>
        </is>
      </c>
      <c r="G1828" s="22" t="inlineStr">
        <is>
          <t>POS</t>
        </is>
      </c>
      <c r="H1828" s="31" t="n">
        <v>7699.64</v>
      </c>
      <c r="I1828" s="31" t="n">
        <v>57.7</v>
      </c>
      <c r="J1828" s="31" t="n">
        <v>7641.94</v>
      </c>
      <c r="K1828" s="31" t="n">
        <v>132.99</v>
      </c>
      <c r="L1828" s="32" t="n">
        <v>4</v>
      </c>
      <c r="M1828" s="32" t="n">
        <v>13</v>
      </c>
      <c r="N1828" s="31" t="n">
        <v>7508.95</v>
      </c>
      <c r="O1828" s="31" t="n">
        <v>7641.94</v>
      </c>
      <c r="P1828" s="22" t="n">
        <v>0</v>
      </c>
      <c r="Q1828" s="22" t="n">
        <v>0</v>
      </c>
      <c r="R1828" s="22" t="n">
        <v>0</v>
      </c>
    </row>
    <row r="1829">
      <c r="A1829" s="22" t="n">
        <v>201903</v>
      </c>
      <c r="B1829" s="22" t="inlineStr">
        <is>
          <t>03/2019</t>
        </is>
      </c>
      <c r="C1829" s="22" t="n">
        <v>38</v>
      </c>
      <c r="D1829" s="22" t="inlineStr">
        <is>
          <t>S38</t>
        </is>
      </c>
      <c r="E1829" s="22" t="inlineStr">
        <is>
          <t>Nexa Belfast (S38)</t>
        </is>
      </c>
      <c r="F1829" s="22" t="inlineStr">
        <is>
          <t>Anh</t>
        </is>
      </c>
      <c r="G1829" s="22" t="inlineStr">
        <is>
          <t>POS</t>
        </is>
      </c>
      <c r="H1829" s="31" t="n">
        <v>9317.08</v>
      </c>
      <c r="I1829" s="31" t="n">
        <v>53.79</v>
      </c>
      <c r="J1829" s="31" t="n">
        <v>9263.290000000001</v>
      </c>
      <c r="K1829" s="31" t="n">
        <v>1670.8</v>
      </c>
      <c r="L1829" s="32" t="n">
        <v>6</v>
      </c>
      <c r="M1829" s="32" t="n">
        <v>31</v>
      </c>
      <c r="N1829" s="31" t="n">
        <v>7592.49</v>
      </c>
      <c r="O1829" s="31" t="n">
        <v>9263.290000000001</v>
      </c>
      <c r="P1829" s="22" t="n">
        <v>0</v>
      </c>
      <c r="Q1829" s="22" t="n">
        <v>0</v>
      </c>
      <c r="R1829" s="22" t="n">
        <v>0</v>
      </c>
    </row>
    <row r="1830">
      <c r="A1830" s="22" t="n">
        <v>201903</v>
      </c>
      <c r="B1830" s="22" t="inlineStr">
        <is>
          <t>03/2019</t>
        </is>
      </c>
      <c r="C1830" s="22" t="n">
        <v>39</v>
      </c>
      <c r="D1830" s="22" t="inlineStr">
        <is>
          <t>S39</t>
        </is>
      </c>
      <c r="E1830" s="22" t="inlineStr">
        <is>
          <t>Nexa Blaenau Gwent (S39)</t>
        </is>
      </c>
      <c r="F1830" s="22" t="inlineStr">
        <is>
          <t>Anh</t>
        </is>
      </c>
      <c r="G1830" s="22" t="inlineStr">
        <is>
          <t>POS</t>
        </is>
      </c>
      <c r="H1830" s="31" t="n">
        <v>29476.76</v>
      </c>
      <c r="I1830" s="31" t="n">
        <v>0</v>
      </c>
      <c r="J1830" s="31" t="n">
        <v>29476.76</v>
      </c>
      <c r="K1830" s="31" t="n">
        <v>0</v>
      </c>
      <c r="L1830" s="32" t="n">
        <v>10</v>
      </c>
      <c r="M1830" s="32" t="n">
        <v>70</v>
      </c>
      <c r="N1830" s="31" t="n">
        <v>29476.76</v>
      </c>
      <c r="O1830" s="31" t="n">
        <v>29476.76</v>
      </c>
      <c r="P1830" s="22" t="n">
        <v>0</v>
      </c>
      <c r="Q1830" s="22" t="n">
        <v>0</v>
      </c>
      <c r="R1830" s="22" t="n">
        <v>0</v>
      </c>
    </row>
    <row r="1831">
      <c r="A1831" s="22" t="n">
        <v>201903</v>
      </c>
      <c r="B1831" s="22" t="inlineStr">
        <is>
          <t>03/2019</t>
        </is>
      </c>
      <c r="C1831" s="22" t="n">
        <v>40</v>
      </c>
      <c r="D1831" s="22" t="inlineStr">
        <is>
          <t>S40</t>
        </is>
      </c>
      <c r="E1831" s="22" t="inlineStr">
        <is>
          <t>Nexa Dungannon and South Tyrone (S40)</t>
        </is>
      </c>
      <c r="F1831" s="22" t="inlineStr">
        <is>
          <t>Anh</t>
        </is>
      </c>
      <c r="G1831" s="22" t="inlineStr">
        <is>
          <t>POS</t>
        </is>
      </c>
      <c r="H1831" s="31" t="n">
        <v>2727.5</v>
      </c>
      <c r="I1831" s="31" t="n">
        <v>0</v>
      </c>
      <c r="J1831" s="31" t="n">
        <v>2727.5</v>
      </c>
      <c r="K1831" s="31" t="n">
        <v>269.9</v>
      </c>
      <c r="L1831" s="32" t="n">
        <v>7</v>
      </c>
      <c r="M1831" s="32" t="n">
        <v>26</v>
      </c>
      <c r="N1831" s="31" t="n">
        <v>2457.6</v>
      </c>
      <c r="O1831" s="31" t="n">
        <v>2727.5</v>
      </c>
      <c r="P1831" s="22" t="n">
        <v>0</v>
      </c>
      <c r="Q1831" s="22" t="n">
        <v>0</v>
      </c>
      <c r="R1831" s="22" t="n">
        <v>0</v>
      </c>
    </row>
    <row r="1832">
      <c r="A1832" s="22" t="n">
        <v>201903</v>
      </c>
      <c r="B1832" s="22" t="inlineStr">
        <is>
          <t>03/2019</t>
        </is>
      </c>
      <c r="C1832" s="22" t="n">
        <v>42</v>
      </c>
      <c r="D1832" s="22" t="inlineStr">
        <is>
          <t>S42</t>
        </is>
      </c>
      <c r="E1832" s="22" t="inlineStr">
        <is>
          <t>Nexa North Down (S42)</t>
        </is>
      </c>
      <c r="F1832" s="22" t="inlineStr">
        <is>
          <t>Anh</t>
        </is>
      </c>
      <c r="G1832" s="22" t="inlineStr">
        <is>
          <t>POS</t>
        </is>
      </c>
      <c r="H1832" s="31" t="n">
        <v>11375</v>
      </c>
      <c r="I1832" s="31" t="n">
        <v>0</v>
      </c>
      <c r="J1832" s="31" t="n">
        <v>11375</v>
      </c>
      <c r="K1832" s="31" t="n">
        <v>0</v>
      </c>
      <c r="L1832" s="32" t="n">
        <v>5</v>
      </c>
      <c r="M1832" s="32" t="n">
        <v>44</v>
      </c>
      <c r="N1832" s="31" t="n">
        <v>11375</v>
      </c>
      <c r="O1832" s="31" t="n">
        <v>11375</v>
      </c>
      <c r="P1832" s="22" t="n">
        <v>0</v>
      </c>
      <c r="Q1832" s="22" t="n">
        <v>0</v>
      </c>
      <c r="R1832" s="22" t="n">
        <v>0</v>
      </c>
    </row>
    <row r="1833">
      <c r="A1833" s="22" t="n">
        <v>201903</v>
      </c>
      <c r="B1833" s="22" t="inlineStr">
        <is>
          <t>03/2019</t>
        </is>
      </c>
      <c r="C1833" s="22" t="n">
        <v>43</v>
      </c>
      <c r="D1833" s="22" t="inlineStr">
        <is>
          <t>S43</t>
        </is>
      </c>
      <c r="E1833" s="22" t="inlineStr">
        <is>
          <t>Nexa Alaska (S43)</t>
        </is>
      </c>
      <c r="F1833" s="22" t="inlineStr">
        <is>
          <t>Mỹ</t>
        </is>
      </c>
      <c r="G1833" s="22" t="inlineStr">
        <is>
          <t>POS</t>
        </is>
      </c>
      <c r="H1833" s="31" t="n">
        <v>6762.62</v>
      </c>
      <c r="I1833" s="31" t="n">
        <v>58.8</v>
      </c>
      <c r="J1833" s="31" t="n">
        <v>6703.82</v>
      </c>
      <c r="K1833" s="31" t="n">
        <v>179.99</v>
      </c>
      <c r="L1833" s="32" t="n">
        <v>6</v>
      </c>
      <c r="M1833" s="32" t="n">
        <v>46</v>
      </c>
      <c r="N1833" s="31" t="n">
        <v>6523.83</v>
      </c>
      <c r="O1833" s="31" t="n">
        <v>6703.82</v>
      </c>
      <c r="P1833" s="22" t="n">
        <v>0</v>
      </c>
      <c r="Q1833" s="22" t="n">
        <v>0</v>
      </c>
      <c r="R1833" s="22" t="n">
        <v>0</v>
      </c>
    </row>
    <row r="1834">
      <c r="A1834" s="22" t="n">
        <v>201903</v>
      </c>
      <c r="B1834" s="22" t="inlineStr">
        <is>
          <t>03/2019</t>
        </is>
      </c>
      <c r="C1834" s="22" t="n">
        <v>44</v>
      </c>
      <c r="D1834" s="22" t="inlineStr">
        <is>
          <t>S44</t>
        </is>
      </c>
      <c r="E1834" s="22" t="inlineStr">
        <is>
          <t>Nexa Arkansas (S44)</t>
        </is>
      </c>
      <c r="F1834" s="22" t="inlineStr">
        <is>
          <t>Mỹ</t>
        </is>
      </c>
      <c r="G1834" s="22" t="inlineStr">
        <is>
          <t>POS</t>
        </is>
      </c>
      <c r="H1834" s="31" t="n">
        <v>19720.05</v>
      </c>
      <c r="I1834" s="31" t="n">
        <v>15</v>
      </c>
      <c r="J1834" s="31" t="n">
        <v>19705.05</v>
      </c>
      <c r="K1834" s="31" t="n">
        <v>5.5</v>
      </c>
      <c r="L1834" s="32" t="n">
        <v>7</v>
      </c>
      <c r="M1834" s="32" t="n">
        <v>47</v>
      </c>
      <c r="N1834" s="31" t="n">
        <v>19699.55</v>
      </c>
      <c r="O1834" s="31" t="n">
        <v>19705.05</v>
      </c>
      <c r="P1834" s="22" t="n">
        <v>0</v>
      </c>
      <c r="Q1834" s="22" t="n">
        <v>0</v>
      </c>
      <c r="R1834" s="22" t="n">
        <v>0</v>
      </c>
    </row>
    <row r="1835">
      <c r="A1835" s="22" t="n">
        <v>201903</v>
      </c>
      <c r="B1835" s="22" t="inlineStr">
        <is>
          <t>03/2019</t>
        </is>
      </c>
      <c r="C1835" s="22" t="n">
        <v>45</v>
      </c>
      <c r="D1835" s="22" t="inlineStr">
        <is>
          <t>S45</t>
        </is>
      </c>
      <c r="E1835" s="22" t="inlineStr">
        <is>
          <t>Nexa Connecticut (S45)</t>
        </is>
      </c>
      <c r="F1835" s="22" t="inlineStr">
        <is>
          <t>Mỹ</t>
        </is>
      </c>
      <c r="G1835" s="22" t="inlineStr">
        <is>
          <t>POS</t>
        </is>
      </c>
      <c r="H1835" s="31" t="n">
        <v>16158.1</v>
      </c>
      <c r="I1835" s="31" t="n">
        <v>42.5</v>
      </c>
      <c r="J1835" s="31" t="n">
        <v>16115.6</v>
      </c>
      <c r="K1835" s="31" t="n">
        <v>4319.76</v>
      </c>
      <c r="L1835" s="32" t="n">
        <v>7</v>
      </c>
      <c r="M1835" s="32" t="n">
        <v>63</v>
      </c>
      <c r="N1835" s="31" t="n">
        <v>11795.84</v>
      </c>
      <c r="O1835" s="31" t="n">
        <v>16115.6</v>
      </c>
      <c r="P1835" s="22" t="n">
        <v>0</v>
      </c>
      <c r="Q1835" s="22" t="n">
        <v>0</v>
      </c>
      <c r="R1835" s="22" t="n">
        <v>0</v>
      </c>
    </row>
    <row r="1836">
      <c r="A1836" s="22" t="n">
        <v>201903</v>
      </c>
      <c r="B1836" s="22" t="inlineStr">
        <is>
          <t>03/2019</t>
        </is>
      </c>
      <c r="C1836" s="22" t="n">
        <v>47</v>
      </c>
      <c r="D1836" s="22" t="inlineStr">
        <is>
          <t>S47</t>
        </is>
      </c>
      <c r="E1836" s="22" t="inlineStr">
        <is>
          <t>Nexa Hawaii (S47)</t>
        </is>
      </c>
      <c r="F1836" s="22" t="inlineStr">
        <is>
          <t>Mỹ</t>
        </is>
      </c>
      <c r="G1836" s="22" t="inlineStr">
        <is>
          <t>POS</t>
        </is>
      </c>
      <c r="H1836" s="31" t="n">
        <v>937.98</v>
      </c>
      <c r="I1836" s="31" t="n">
        <v>0</v>
      </c>
      <c r="J1836" s="31" t="n">
        <v>937.98</v>
      </c>
      <c r="K1836" s="31" t="n">
        <v>0</v>
      </c>
      <c r="L1836" s="32" t="n">
        <v>1</v>
      </c>
      <c r="M1836" s="32" t="n">
        <v>11</v>
      </c>
      <c r="N1836" s="31" t="n">
        <v>937.98</v>
      </c>
      <c r="O1836" s="31" t="n">
        <v>937.98</v>
      </c>
      <c r="P1836" s="22" t="n">
        <v>0</v>
      </c>
      <c r="Q1836" s="22" t="n">
        <v>0</v>
      </c>
      <c r="R1836" s="22" t="n">
        <v>0</v>
      </c>
    </row>
    <row r="1837">
      <c r="A1837" s="22" t="n">
        <v>201903</v>
      </c>
      <c r="B1837" s="22" t="inlineStr">
        <is>
          <t>03/2019</t>
        </is>
      </c>
      <c r="C1837" s="22" t="n">
        <v>48</v>
      </c>
      <c r="D1837" s="22" t="inlineStr">
        <is>
          <t>S48</t>
        </is>
      </c>
      <c r="E1837" s="22" t="inlineStr">
        <is>
          <t>Nexa Idaho (S48)</t>
        </is>
      </c>
      <c r="F1837" s="22" t="inlineStr">
        <is>
          <t>Mỹ</t>
        </is>
      </c>
      <c r="G1837" s="22" t="inlineStr">
        <is>
          <t>POS</t>
        </is>
      </c>
      <c r="H1837" s="31" t="n">
        <v>19326.32</v>
      </c>
      <c r="I1837" s="31" t="n">
        <v>0</v>
      </c>
      <c r="J1837" s="31" t="n">
        <v>19326.32</v>
      </c>
      <c r="K1837" s="31" t="n">
        <v>1435.6</v>
      </c>
      <c r="L1837" s="32" t="n">
        <v>9</v>
      </c>
      <c r="M1837" s="32" t="n">
        <v>68</v>
      </c>
      <c r="N1837" s="31" t="n">
        <v>17730.73</v>
      </c>
      <c r="O1837" s="31" t="n">
        <v>19326.32</v>
      </c>
      <c r="P1837" s="22" t="n">
        <v>1</v>
      </c>
      <c r="Q1837" s="22" t="n">
        <v>0</v>
      </c>
      <c r="R1837" s="22" t="n">
        <v>0</v>
      </c>
    </row>
    <row r="1838">
      <c r="A1838" s="22" t="n">
        <v>201903</v>
      </c>
      <c r="B1838" s="22" t="inlineStr">
        <is>
          <t>03/2019</t>
        </is>
      </c>
      <c r="C1838" s="22" t="n">
        <v>49</v>
      </c>
      <c r="D1838" s="22" t="inlineStr">
        <is>
          <t>S49</t>
        </is>
      </c>
      <c r="E1838" s="22" t="inlineStr">
        <is>
          <t>Nexa Iowa (S49)</t>
        </is>
      </c>
      <c r="F1838" s="22" t="inlineStr">
        <is>
          <t>Mỹ</t>
        </is>
      </c>
      <c r="G1838" s="22" t="inlineStr">
        <is>
          <t>POS</t>
        </is>
      </c>
      <c r="H1838" s="31" t="n">
        <v>23794.15</v>
      </c>
      <c r="I1838" s="31" t="n">
        <v>92.91</v>
      </c>
      <c r="J1838" s="31" t="n">
        <v>23701.24</v>
      </c>
      <c r="K1838" s="31" t="n">
        <v>1619.7</v>
      </c>
      <c r="L1838" s="32" t="n">
        <v>9</v>
      </c>
      <c r="M1838" s="32" t="n">
        <v>80</v>
      </c>
      <c r="N1838" s="31" t="n">
        <v>22081.54</v>
      </c>
      <c r="O1838" s="31" t="n">
        <v>23701.24</v>
      </c>
      <c r="P1838" s="22" t="n">
        <v>1</v>
      </c>
      <c r="Q1838" s="22" t="n">
        <v>0</v>
      </c>
      <c r="R1838" s="22" t="n">
        <v>0</v>
      </c>
    </row>
    <row r="1839">
      <c r="A1839" s="22" t="n">
        <v>201903</v>
      </c>
      <c r="B1839" s="22" t="inlineStr">
        <is>
          <t>03/2019</t>
        </is>
      </c>
      <c r="C1839" s="22" t="n">
        <v>50</v>
      </c>
      <c r="D1839" s="22" t="inlineStr">
        <is>
          <t>S50</t>
        </is>
      </c>
      <c r="E1839" s="22" t="inlineStr">
        <is>
          <t>Nexa Kansas (S50)</t>
        </is>
      </c>
      <c r="F1839" s="22" t="inlineStr">
        <is>
          <t>Mỹ</t>
        </is>
      </c>
      <c r="G1839" s="22" t="inlineStr">
        <is>
          <t>POS</t>
        </is>
      </c>
      <c r="H1839" s="31" t="n">
        <v>43619.89</v>
      </c>
      <c r="I1839" s="31" t="n">
        <v>235.8</v>
      </c>
      <c r="J1839" s="31" t="n">
        <v>43384.09</v>
      </c>
      <c r="K1839" s="31" t="n">
        <v>312</v>
      </c>
      <c r="L1839" s="32" t="n">
        <v>13</v>
      </c>
      <c r="M1839" s="32" t="n">
        <v>153</v>
      </c>
      <c r="N1839" s="31" t="n">
        <v>43072.09</v>
      </c>
      <c r="O1839" s="31" t="n">
        <v>43384.09</v>
      </c>
      <c r="P1839" s="22" t="n">
        <v>0</v>
      </c>
      <c r="Q1839" s="22" t="n">
        <v>0</v>
      </c>
      <c r="R1839" s="22" t="n">
        <v>1</v>
      </c>
    </row>
    <row r="1840">
      <c r="A1840" s="22" t="n">
        <v>201903</v>
      </c>
      <c r="B1840" s="22" t="inlineStr">
        <is>
          <t>03/2019</t>
        </is>
      </c>
      <c r="C1840" s="22" t="n">
        <v>51</v>
      </c>
      <c r="D1840" s="22" t="inlineStr">
        <is>
          <t>S51</t>
        </is>
      </c>
      <c r="E1840" s="22" t="inlineStr">
        <is>
          <t>Nexa Maine (S51)</t>
        </is>
      </c>
      <c r="F1840" s="22" t="inlineStr">
        <is>
          <t>Mỹ</t>
        </is>
      </c>
      <c r="G1840" s="22" t="inlineStr">
        <is>
          <t>POS</t>
        </is>
      </c>
      <c r="H1840" s="31" t="n">
        <v>8788.33</v>
      </c>
      <c r="I1840" s="31" t="n">
        <v>34.48</v>
      </c>
      <c r="J1840" s="31" t="n">
        <v>8753.85</v>
      </c>
      <c r="K1840" s="31" t="n">
        <v>0</v>
      </c>
      <c r="L1840" s="32" t="n">
        <v>9</v>
      </c>
      <c r="M1840" s="32" t="n">
        <v>48</v>
      </c>
      <c r="N1840" s="31" t="n">
        <v>8753.85</v>
      </c>
      <c r="O1840" s="31" t="n">
        <v>8753.85</v>
      </c>
      <c r="P1840" s="22" t="n">
        <v>0</v>
      </c>
      <c r="Q1840" s="22" t="n">
        <v>0</v>
      </c>
      <c r="R1840" s="22" t="n">
        <v>0</v>
      </c>
    </row>
    <row r="1841">
      <c r="A1841" s="22" t="n">
        <v>201903</v>
      </c>
      <c r="B1841" s="22" t="inlineStr">
        <is>
          <t>03/2019</t>
        </is>
      </c>
      <c r="C1841" s="22" t="n">
        <v>53</v>
      </c>
      <c r="D1841" s="22" t="inlineStr">
        <is>
          <t>S53</t>
        </is>
      </c>
      <c r="E1841" s="22" t="inlineStr">
        <is>
          <t>Nexa Montana (S53)</t>
        </is>
      </c>
      <c r="F1841" s="22" t="inlineStr">
        <is>
          <t>Mỹ</t>
        </is>
      </c>
      <c r="G1841" s="22" t="inlineStr">
        <is>
          <t>POS</t>
        </is>
      </c>
      <c r="H1841" s="31" t="n">
        <v>15564.47</v>
      </c>
      <c r="I1841" s="31" t="n">
        <v>51.2</v>
      </c>
      <c r="J1841" s="31" t="n">
        <v>15513.27</v>
      </c>
      <c r="K1841" s="31" t="n">
        <v>349</v>
      </c>
      <c r="L1841" s="32" t="n">
        <v>6</v>
      </c>
      <c r="M1841" s="32" t="n">
        <v>45</v>
      </c>
      <c r="N1841" s="31" t="n">
        <v>15164.27</v>
      </c>
      <c r="O1841" s="31" t="n">
        <v>15513.27</v>
      </c>
      <c r="P1841" s="22" t="n">
        <v>0</v>
      </c>
      <c r="Q1841" s="22" t="n">
        <v>0</v>
      </c>
      <c r="R1841" s="22" t="n">
        <v>0</v>
      </c>
    </row>
    <row r="1842">
      <c r="A1842" s="22" t="n">
        <v>201903</v>
      </c>
      <c r="B1842" s="22" t="inlineStr">
        <is>
          <t>03/2019</t>
        </is>
      </c>
      <c r="C1842" s="22" t="n">
        <v>54</v>
      </c>
      <c r="D1842" s="22" t="inlineStr">
        <is>
          <t>S54</t>
        </is>
      </c>
      <c r="E1842" s="22" t="inlineStr">
        <is>
          <t>Nexa Nebraska (S54)</t>
        </is>
      </c>
      <c r="F1842" s="22" t="inlineStr">
        <is>
          <t>Mỹ</t>
        </is>
      </c>
      <c r="G1842" s="22" t="inlineStr">
        <is>
          <t>POS</t>
        </is>
      </c>
      <c r="H1842" s="31" t="n">
        <v>9561.4</v>
      </c>
      <c r="I1842" s="31" t="n">
        <v>271.04</v>
      </c>
      <c r="J1842" s="31" t="n">
        <v>9290.360000000001</v>
      </c>
      <c r="K1842" s="31" t="n">
        <v>2331.2</v>
      </c>
      <c r="L1842" s="32" t="n">
        <v>7</v>
      </c>
      <c r="M1842" s="32" t="n">
        <v>44</v>
      </c>
      <c r="N1842" s="31" t="n">
        <v>6959.16</v>
      </c>
      <c r="O1842" s="31" t="n">
        <v>9290.360000000001</v>
      </c>
      <c r="P1842" s="22" t="n">
        <v>1</v>
      </c>
      <c r="Q1842" s="22" t="n">
        <v>0</v>
      </c>
      <c r="R1842" s="22" t="n">
        <v>0</v>
      </c>
    </row>
    <row r="1843">
      <c r="A1843" s="22" t="n">
        <v>201903</v>
      </c>
      <c r="B1843" s="22" t="inlineStr">
        <is>
          <t>03/2019</t>
        </is>
      </c>
      <c r="C1843" s="22" t="n">
        <v>55</v>
      </c>
      <c r="D1843" s="22" t="inlineStr">
        <is>
          <t>S55</t>
        </is>
      </c>
      <c r="E1843" s="22" t="inlineStr">
        <is>
          <t>Nexa Nevada (S55)</t>
        </is>
      </c>
      <c r="F1843" s="22" t="inlineStr">
        <is>
          <t>Mỹ</t>
        </is>
      </c>
      <c r="G1843" s="22" t="inlineStr">
        <is>
          <t>POS</t>
        </is>
      </c>
      <c r="H1843" s="31" t="n">
        <v>37023.4</v>
      </c>
      <c r="I1843" s="31" t="n">
        <v>89.84999999999999</v>
      </c>
      <c r="J1843" s="31" t="n">
        <v>36933.55</v>
      </c>
      <c r="K1843" s="31" t="n">
        <v>80.06</v>
      </c>
      <c r="L1843" s="32" t="n">
        <v>10</v>
      </c>
      <c r="M1843" s="32" t="n">
        <v>90</v>
      </c>
      <c r="N1843" s="31" t="n">
        <v>36853.49</v>
      </c>
      <c r="O1843" s="31" t="n">
        <v>36933.55</v>
      </c>
      <c r="P1843" s="22" t="n">
        <v>0</v>
      </c>
      <c r="Q1843" s="22" t="n">
        <v>0</v>
      </c>
      <c r="R1843" s="22" t="n">
        <v>0</v>
      </c>
    </row>
    <row r="1844">
      <c r="A1844" s="22" t="n">
        <v>201903</v>
      </c>
      <c r="B1844" s="22" t="inlineStr">
        <is>
          <t>03/2019</t>
        </is>
      </c>
      <c r="C1844" s="22" t="n">
        <v>56</v>
      </c>
      <c r="D1844" s="22" t="inlineStr">
        <is>
          <t>S56</t>
        </is>
      </c>
      <c r="E1844" s="22" t="inlineStr">
        <is>
          <t>Nexa New Hampshire (S56)</t>
        </is>
      </c>
      <c r="F1844" s="22" t="inlineStr">
        <is>
          <t>Mỹ</t>
        </is>
      </c>
      <c r="G1844" s="22" t="inlineStr">
        <is>
          <t>POS</t>
        </is>
      </c>
      <c r="H1844" s="31" t="n">
        <v>10557.41</v>
      </c>
      <c r="I1844" s="31" t="n">
        <v>0</v>
      </c>
      <c r="J1844" s="31" t="n">
        <v>10557.41</v>
      </c>
      <c r="K1844" s="31" t="n">
        <v>0</v>
      </c>
      <c r="L1844" s="32" t="n">
        <v>4</v>
      </c>
      <c r="M1844" s="32" t="n">
        <v>25</v>
      </c>
      <c r="N1844" s="31" t="n">
        <v>10557.41</v>
      </c>
      <c r="O1844" s="31" t="n">
        <v>10557.41</v>
      </c>
      <c r="P1844" s="22" t="n">
        <v>0</v>
      </c>
      <c r="Q1844" s="22" t="n">
        <v>0</v>
      </c>
      <c r="R1844" s="22" t="n">
        <v>0</v>
      </c>
    </row>
    <row r="1845">
      <c r="A1845" s="22" t="n">
        <v>201903</v>
      </c>
      <c r="B1845" s="22" t="inlineStr">
        <is>
          <t>03/2019</t>
        </is>
      </c>
      <c r="C1845" s="22" t="n">
        <v>57</v>
      </c>
      <c r="D1845" s="22" t="inlineStr">
        <is>
          <t>S57</t>
        </is>
      </c>
      <c r="E1845" s="22" t="inlineStr">
        <is>
          <t>Nexa New Mexico (S57)</t>
        </is>
      </c>
      <c r="F1845" s="22" t="inlineStr">
        <is>
          <t>Mỹ</t>
        </is>
      </c>
      <c r="G1845" s="22" t="inlineStr">
        <is>
          <t>POS</t>
        </is>
      </c>
      <c r="H1845" s="31" t="n">
        <v>10225.39</v>
      </c>
      <c r="I1845" s="31" t="n">
        <v>0</v>
      </c>
      <c r="J1845" s="31" t="n">
        <v>10225.39</v>
      </c>
      <c r="K1845" s="31" t="n">
        <v>899.7</v>
      </c>
      <c r="L1845" s="32" t="n">
        <v>9</v>
      </c>
      <c r="M1845" s="32" t="n">
        <v>72</v>
      </c>
      <c r="N1845" s="31" t="n">
        <v>9325.690000000001</v>
      </c>
      <c r="O1845" s="31" t="n">
        <v>10225.39</v>
      </c>
      <c r="P1845" s="22" t="n">
        <v>0</v>
      </c>
      <c r="Q1845" s="22" t="n">
        <v>0</v>
      </c>
      <c r="R1845" s="22" t="n">
        <v>0</v>
      </c>
    </row>
    <row r="1846">
      <c r="A1846" s="22" t="n">
        <v>201903</v>
      </c>
      <c r="B1846" s="22" t="inlineStr">
        <is>
          <t>03/2019</t>
        </is>
      </c>
      <c r="C1846" s="22" t="n">
        <v>59</v>
      </c>
      <c r="D1846" s="22" t="inlineStr">
        <is>
          <t>S59</t>
        </is>
      </c>
      <c r="E1846" s="22" t="inlineStr">
        <is>
          <t>Nexa Oregon (S59)</t>
        </is>
      </c>
      <c r="F1846" s="22" t="inlineStr">
        <is>
          <t>Mỹ</t>
        </is>
      </c>
      <c r="G1846" s="22" t="inlineStr">
        <is>
          <t>POS</t>
        </is>
      </c>
      <c r="H1846" s="31" t="n">
        <v>5749.22</v>
      </c>
      <c r="I1846" s="31" t="n">
        <v>0</v>
      </c>
      <c r="J1846" s="31" t="n">
        <v>5749.22</v>
      </c>
      <c r="K1846" s="31" t="n">
        <v>32</v>
      </c>
      <c r="L1846" s="32" t="n">
        <v>6</v>
      </c>
      <c r="M1846" s="32" t="n">
        <v>33</v>
      </c>
      <c r="N1846" s="31" t="n">
        <v>5675.55</v>
      </c>
      <c r="O1846" s="31" t="n">
        <v>5749.22</v>
      </c>
      <c r="P1846" s="22" t="n">
        <v>1</v>
      </c>
      <c r="Q1846" s="22" t="n">
        <v>0</v>
      </c>
      <c r="R1846" s="22" t="n">
        <v>1</v>
      </c>
    </row>
    <row r="1847">
      <c r="A1847" s="22" t="n">
        <v>201903</v>
      </c>
      <c r="B1847" s="22" t="inlineStr">
        <is>
          <t>03/2019</t>
        </is>
      </c>
      <c r="C1847" s="22" t="n">
        <v>61</v>
      </c>
      <c r="D1847" s="22" t="inlineStr">
        <is>
          <t>S61</t>
        </is>
      </c>
      <c r="E1847" s="22" t="inlineStr">
        <is>
          <t>Nexa South Carolina (S61)</t>
        </is>
      </c>
      <c r="F1847" s="22" t="inlineStr">
        <is>
          <t>Mỹ</t>
        </is>
      </c>
      <c r="G1847" s="22" t="inlineStr">
        <is>
          <t>POS</t>
        </is>
      </c>
      <c r="H1847" s="31" t="n">
        <v>29157.85</v>
      </c>
      <c r="I1847" s="31" t="n">
        <v>19</v>
      </c>
      <c r="J1847" s="31" t="n">
        <v>29138.85</v>
      </c>
      <c r="K1847" s="31" t="n">
        <v>439.75</v>
      </c>
      <c r="L1847" s="32" t="n">
        <v>12</v>
      </c>
      <c r="M1847" s="32" t="n">
        <v>103</v>
      </c>
      <c r="N1847" s="31" t="n">
        <v>28699.1</v>
      </c>
      <c r="O1847" s="31" t="n">
        <v>29138.85</v>
      </c>
      <c r="P1847" s="22" t="n">
        <v>0</v>
      </c>
      <c r="Q1847" s="22" t="n">
        <v>0</v>
      </c>
      <c r="R1847" s="22" t="n">
        <v>0</v>
      </c>
    </row>
    <row r="1848">
      <c r="A1848" s="22" t="n">
        <v>201903</v>
      </c>
      <c r="B1848" s="22" t="inlineStr">
        <is>
          <t>03/2019</t>
        </is>
      </c>
      <c r="C1848" s="22" t="n">
        <v>62</v>
      </c>
      <c r="D1848" s="22" t="inlineStr">
        <is>
          <t>S62</t>
        </is>
      </c>
      <c r="E1848" s="22" t="inlineStr">
        <is>
          <t>Nexa South Dakota (S62)</t>
        </is>
      </c>
      <c r="F1848" s="22" t="inlineStr">
        <is>
          <t>Mỹ</t>
        </is>
      </c>
      <c r="G1848" s="22" t="inlineStr">
        <is>
          <t>POS</t>
        </is>
      </c>
      <c r="H1848" s="31" t="n">
        <v>16298.87</v>
      </c>
      <c r="I1848" s="31" t="n">
        <v>0</v>
      </c>
      <c r="J1848" s="31" t="n">
        <v>16298.87</v>
      </c>
      <c r="K1848" s="31" t="n">
        <v>67.40000000000001</v>
      </c>
      <c r="L1848" s="32" t="n">
        <v>6</v>
      </c>
      <c r="M1848" s="32" t="n">
        <v>50</v>
      </c>
      <c r="N1848" s="31" t="n">
        <v>16231.47</v>
      </c>
      <c r="O1848" s="31" t="n">
        <v>16298.87</v>
      </c>
      <c r="P1848" s="22" t="n">
        <v>0</v>
      </c>
      <c r="Q1848" s="22" t="n">
        <v>0</v>
      </c>
      <c r="R1848" s="22" t="n">
        <v>0</v>
      </c>
    </row>
    <row r="1849">
      <c r="A1849" s="22" t="n">
        <v>201903</v>
      </c>
      <c r="B1849" s="22" t="inlineStr">
        <is>
          <t>03/2019</t>
        </is>
      </c>
      <c r="C1849" s="22" t="n">
        <v>63</v>
      </c>
      <c r="D1849" s="22" t="inlineStr">
        <is>
          <t>S63</t>
        </is>
      </c>
      <c r="E1849" s="22" t="inlineStr">
        <is>
          <t>Nexa Utah (S63)</t>
        </is>
      </c>
      <c r="F1849" s="22" t="inlineStr">
        <is>
          <t>Mỹ</t>
        </is>
      </c>
      <c r="G1849" s="22" t="inlineStr">
        <is>
          <t>POS</t>
        </is>
      </c>
      <c r="H1849" s="31" t="n">
        <v>4147.46</v>
      </c>
      <c r="I1849" s="31" t="n">
        <v>73.68000000000001</v>
      </c>
      <c r="J1849" s="31" t="n">
        <v>4073.78</v>
      </c>
      <c r="K1849" s="31" t="n">
        <v>219</v>
      </c>
      <c r="L1849" s="32" t="n">
        <v>6</v>
      </c>
      <c r="M1849" s="32" t="n">
        <v>46</v>
      </c>
      <c r="N1849" s="31" t="n">
        <v>3854.78</v>
      </c>
      <c r="O1849" s="31" t="n">
        <v>4073.78</v>
      </c>
      <c r="P1849" s="22" t="n">
        <v>0</v>
      </c>
      <c r="Q1849" s="22" t="n">
        <v>0</v>
      </c>
      <c r="R1849" s="22" t="n">
        <v>0</v>
      </c>
    </row>
    <row r="1850">
      <c r="A1850" s="22" t="n">
        <v>201903</v>
      </c>
      <c r="B1850" s="22" t="inlineStr">
        <is>
          <t>03/2019</t>
        </is>
      </c>
      <c r="C1850" s="22" t="n">
        <v>64</v>
      </c>
      <c r="D1850" s="22" t="inlineStr">
        <is>
          <t>S64</t>
        </is>
      </c>
      <c r="E1850" s="22" t="inlineStr">
        <is>
          <t>Nexa Washington DC (S64)</t>
        </is>
      </c>
      <c r="F1850" s="22" t="inlineStr">
        <is>
          <t>Mỹ</t>
        </is>
      </c>
      <c r="G1850" s="22" t="inlineStr">
        <is>
          <t>POS</t>
        </is>
      </c>
      <c r="H1850" s="31" t="n">
        <v>8512.59</v>
      </c>
      <c r="I1850" s="31" t="n">
        <v>30.9</v>
      </c>
      <c r="J1850" s="31" t="n">
        <v>8481.690000000001</v>
      </c>
      <c r="K1850" s="31" t="n">
        <v>493.45</v>
      </c>
      <c r="L1850" s="32" t="n">
        <v>4</v>
      </c>
      <c r="M1850" s="32" t="n">
        <v>18</v>
      </c>
      <c r="N1850" s="31" t="n">
        <v>7988.24</v>
      </c>
      <c r="O1850" s="31" t="n">
        <v>8481.690000000001</v>
      </c>
      <c r="P1850" s="22" t="n">
        <v>0</v>
      </c>
      <c r="Q1850" s="22" t="n">
        <v>0</v>
      </c>
      <c r="R1850" s="22" t="n">
        <v>0</v>
      </c>
    </row>
    <row r="1851">
      <c r="A1851" s="22" t="n">
        <v>201903</v>
      </c>
      <c r="B1851" s="22" t="inlineStr">
        <is>
          <t>03/2019</t>
        </is>
      </c>
      <c r="C1851" s="22" t="n">
        <v>65</v>
      </c>
      <c r="D1851" s="22" t="inlineStr">
        <is>
          <t>S65</t>
        </is>
      </c>
      <c r="E1851" s="22" t="inlineStr">
        <is>
          <t>Nexa West Virginia (S65)</t>
        </is>
      </c>
      <c r="F1851" s="22" t="inlineStr">
        <is>
          <t>Mỹ</t>
        </is>
      </c>
      <c r="G1851" s="22" t="inlineStr">
        <is>
          <t>POS</t>
        </is>
      </c>
      <c r="H1851" s="31" t="n">
        <v>8414.08</v>
      </c>
      <c r="I1851" s="31" t="n">
        <v>0</v>
      </c>
      <c r="J1851" s="31" t="n">
        <v>8414.08</v>
      </c>
      <c r="K1851" s="31" t="n">
        <v>2278.44</v>
      </c>
      <c r="L1851" s="32" t="n">
        <v>8</v>
      </c>
      <c r="M1851" s="32" t="n">
        <v>34</v>
      </c>
      <c r="N1851" s="31" t="n">
        <v>5932.89</v>
      </c>
      <c r="O1851" s="31" t="n">
        <v>8414.08</v>
      </c>
      <c r="P1851" s="22" t="n">
        <v>0</v>
      </c>
      <c r="Q1851" s="22" t="n">
        <v>0</v>
      </c>
      <c r="R1851" s="22" t="n">
        <v>0</v>
      </c>
    </row>
    <row r="1852">
      <c r="A1852" s="22" t="n">
        <v>201903</v>
      </c>
      <c r="B1852" s="22" t="inlineStr">
        <is>
          <t>03/2019</t>
        </is>
      </c>
      <c r="C1852" s="22" t="n">
        <v>66</v>
      </c>
      <c r="D1852" s="22" t="inlineStr">
        <is>
          <t>S66</t>
        </is>
      </c>
      <c r="E1852" s="22" t="inlineStr">
        <is>
          <t>Nexa Wyoming (S66)</t>
        </is>
      </c>
      <c r="F1852" s="22" t="inlineStr">
        <is>
          <t>Mỹ</t>
        </is>
      </c>
      <c r="G1852" s="22" t="inlineStr">
        <is>
          <t>POS</t>
        </is>
      </c>
      <c r="H1852" s="31" t="n">
        <v>10501.52</v>
      </c>
      <c r="I1852" s="31" t="n">
        <v>0</v>
      </c>
      <c r="J1852" s="31" t="n">
        <v>10501.52</v>
      </c>
      <c r="K1852" s="31" t="n">
        <v>439.96</v>
      </c>
      <c r="L1852" s="32" t="n">
        <v>7</v>
      </c>
      <c r="M1852" s="32" t="n">
        <v>38</v>
      </c>
      <c r="N1852" s="31" t="n">
        <v>10061.56</v>
      </c>
      <c r="O1852" s="31" t="n">
        <v>10501.52</v>
      </c>
      <c r="P1852" s="22" t="n">
        <v>0</v>
      </c>
      <c r="Q1852" s="22" t="n">
        <v>0</v>
      </c>
      <c r="R1852" s="22" t="n">
        <v>0</v>
      </c>
    </row>
    <row r="1853">
      <c r="A1853" s="22" t="n">
        <v>201904</v>
      </c>
      <c r="B1853" s="22" t="inlineStr">
        <is>
          <t>04/2019</t>
        </is>
      </c>
      <c r="C1853" s="22" t="n">
        <v>0</v>
      </c>
      <c r="D1853" s="22" t="inlineStr">
        <is>
          <t>ONL</t>
        </is>
      </c>
      <c r="E1853" s="22" t="inlineStr">
        <is>
          <t>Nexa Online (website/app)</t>
        </is>
      </c>
      <c r="F1853" s="22" t="inlineStr">
        <is>
          <t>Online</t>
        </is>
      </c>
      <c r="G1853" s="22" t="inlineStr">
        <is>
          <t>ONLINE</t>
        </is>
      </c>
      <c r="H1853" s="31" t="n">
        <v>29838.37</v>
      </c>
      <c r="I1853" s="31" t="n">
        <v>589.25</v>
      </c>
      <c r="J1853" s="31" t="n">
        <v>29249.12</v>
      </c>
      <c r="K1853" s="31" t="n">
        <v>2070.71</v>
      </c>
      <c r="L1853" s="32" t="n">
        <v>17</v>
      </c>
      <c r="M1853" s="32" t="n">
        <v>121</v>
      </c>
      <c r="N1853" s="31" t="n">
        <v>8072.78</v>
      </c>
      <c r="O1853" s="31" t="n">
        <v>10143.49</v>
      </c>
      <c r="P1853" s="22" t="n">
        <v>0</v>
      </c>
      <c r="Q1853" s="22" t="n">
        <v>0</v>
      </c>
      <c r="R1853" s="22" t="n">
        <v>0</v>
      </c>
    </row>
    <row r="1854">
      <c r="A1854" s="22" t="n">
        <v>201904</v>
      </c>
      <c r="B1854" s="22" t="inlineStr">
        <is>
          <t>04/2019</t>
        </is>
      </c>
      <c r="C1854" s="22" t="n">
        <v>1</v>
      </c>
      <c r="D1854" s="22" t="inlineStr">
        <is>
          <t>S01</t>
        </is>
      </c>
      <c r="E1854" s="22" t="inlineStr">
        <is>
          <t>Nexa Australian Capital Territory (S01)</t>
        </is>
      </c>
      <c r="F1854" s="22" t="inlineStr">
        <is>
          <t>Úc</t>
        </is>
      </c>
      <c r="G1854" s="22" t="inlineStr">
        <is>
          <t>POS</t>
        </is>
      </c>
      <c r="H1854" s="31" t="n">
        <v>1787.9</v>
      </c>
      <c r="I1854" s="31" t="n">
        <v>0</v>
      </c>
      <c r="J1854" s="31" t="n">
        <v>1787.9</v>
      </c>
      <c r="K1854" s="31" t="n">
        <v>0</v>
      </c>
      <c r="L1854" s="32" t="n">
        <v>1</v>
      </c>
      <c r="M1854" s="32" t="n">
        <v>6</v>
      </c>
      <c r="N1854" s="31" t="n">
        <v>1787.9</v>
      </c>
      <c r="O1854" s="31" t="n">
        <v>1787.9</v>
      </c>
      <c r="P1854" s="22" t="n">
        <v>0</v>
      </c>
      <c r="Q1854" s="22" t="n">
        <v>0</v>
      </c>
      <c r="R1854" s="22" t="n">
        <v>0</v>
      </c>
    </row>
    <row r="1855">
      <c r="A1855" s="22" t="n">
        <v>201904</v>
      </c>
      <c r="B1855" s="22" t="inlineStr">
        <is>
          <t>04/2019</t>
        </is>
      </c>
      <c r="C1855" s="22" t="n">
        <v>5</v>
      </c>
      <c r="D1855" s="22" t="inlineStr">
        <is>
          <t>S05</t>
        </is>
      </c>
      <c r="E1855" s="22" t="inlineStr">
        <is>
          <t>Nexa Victoria (S05)</t>
        </is>
      </c>
      <c r="F1855" s="22" t="inlineStr">
        <is>
          <t>Úc</t>
        </is>
      </c>
      <c r="G1855" s="22" t="inlineStr">
        <is>
          <t>POS</t>
        </is>
      </c>
      <c r="H1855" s="31" t="n">
        <v>13005</v>
      </c>
      <c r="I1855" s="31" t="n">
        <v>0</v>
      </c>
      <c r="J1855" s="31" t="n">
        <v>13005</v>
      </c>
      <c r="K1855" s="31" t="n">
        <v>1480</v>
      </c>
      <c r="L1855" s="32" t="n">
        <v>1</v>
      </c>
      <c r="M1855" s="32" t="n">
        <v>19</v>
      </c>
      <c r="N1855" s="31" t="n">
        <v>11525</v>
      </c>
      <c r="O1855" s="31" t="n">
        <v>13005</v>
      </c>
      <c r="P1855" s="22" t="n">
        <v>0</v>
      </c>
      <c r="Q1855" s="22" t="n">
        <v>0</v>
      </c>
      <c r="R1855" s="22" t="n">
        <v>0</v>
      </c>
    </row>
    <row r="1856">
      <c r="A1856" s="22" t="n">
        <v>201904</v>
      </c>
      <c r="B1856" s="22" t="inlineStr">
        <is>
          <t>04/2019</t>
        </is>
      </c>
      <c r="C1856" s="22" t="n">
        <v>6</v>
      </c>
      <c r="D1856" s="22" t="inlineStr">
        <is>
          <t>S06</t>
        </is>
      </c>
      <c r="E1856" s="22" t="inlineStr">
        <is>
          <t>Nexa Western Australia (S06)</t>
        </is>
      </c>
      <c r="F1856" s="22" t="inlineStr">
        <is>
          <t>Úc</t>
        </is>
      </c>
      <c r="G1856" s="22" t="inlineStr">
        <is>
          <t>POS</t>
        </is>
      </c>
      <c r="H1856" s="31" t="n">
        <v>349.39</v>
      </c>
      <c r="I1856" s="31" t="n">
        <v>0</v>
      </c>
      <c r="J1856" s="31" t="n">
        <v>349.39</v>
      </c>
      <c r="K1856" s="31" t="n">
        <v>0</v>
      </c>
      <c r="L1856" s="32" t="n">
        <v>1</v>
      </c>
      <c r="M1856" s="32" t="n">
        <v>9</v>
      </c>
      <c r="N1856" s="31" t="n">
        <v>349.39</v>
      </c>
      <c r="O1856" s="31" t="n">
        <v>349.39</v>
      </c>
      <c r="P1856" s="22" t="n">
        <v>0</v>
      </c>
      <c r="Q1856" s="22" t="n">
        <v>0</v>
      </c>
      <c r="R1856" s="22" t="n">
        <v>0</v>
      </c>
    </row>
    <row r="1857">
      <c r="A1857" s="22" t="n">
        <v>201904</v>
      </c>
      <c r="B1857" s="22" t="inlineStr">
        <is>
          <t>04/2019</t>
        </is>
      </c>
      <c r="C1857" s="22" t="n">
        <v>8</v>
      </c>
      <c r="D1857" s="22" t="inlineStr">
        <is>
          <t>S08</t>
        </is>
      </c>
      <c r="E1857" s="22" t="inlineStr">
        <is>
          <t>Nexa Newfoundland and Labrador (S08)</t>
        </is>
      </c>
      <c r="F1857" s="22" t="inlineStr">
        <is>
          <t>Canada</t>
        </is>
      </c>
      <c r="G1857" s="22" t="inlineStr">
        <is>
          <t>POS</t>
        </is>
      </c>
      <c r="H1857" s="31" t="n">
        <v>5092.91</v>
      </c>
      <c r="I1857" s="31" t="n">
        <v>0</v>
      </c>
      <c r="J1857" s="31" t="n">
        <v>5092.91</v>
      </c>
      <c r="K1857" s="31" t="n">
        <v>1072</v>
      </c>
      <c r="L1857" s="32" t="n">
        <v>2</v>
      </c>
      <c r="M1857" s="32" t="n">
        <v>18</v>
      </c>
      <c r="N1857" s="31" t="n">
        <v>-4829.09</v>
      </c>
      <c r="O1857" s="31" t="n">
        <v>5092.91</v>
      </c>
      <c r="P1857" s="22" t="n">
        <v>0</v>
      </c>
      <c r="Q1857" s="22" t="n">
        <v>0</v>
      </c>
      <c r="R1857" s="22" t="n">
        <v>0</v>
      </c>
    </row>
    <row r="1858">
      <c r="A1858" s="22" t="n">
        <v>201904</v>
      </c>
      <c r="B1858" s="22" t="inlineStr">
        <is>
          <t>04/2019</t>
        </is>
      </c>
      <c r="C1858" s="22" t="n">
        <v>16</v>
      </c>
      <c r="D1858" s="22" t="inlineStr">
        <is>
          <t>S16</t>
        </is>
      </c>
      <c r="E1858" s="22" t="inlineStr">
        <is>
          <t>Nexa Limousin (S16)</t>
        </is>
      </c>
      <c r="F1858" s="22" t="inlineStr">
        <is>
          <t>Pháp</t>
        </is>
      </c>
      <c r="G1858" s="22" t="inlineStr">
        <is>
          <t>POS</t>
        </is>
      </c>
      <c r="H1858" s="31" t="n">
        <v>289</v>
      </c>
      <c r="I1858" s="31" t="n">
        <v>0</v>
      </c>
      <c r="J1858" s="31" t="n">
        <v>289</v>
      </c>
      <c r="K1858" s="31" t="n">
        <v>0</v>
      </c>
      <c r="L1858" s="32" t="n">
        <v>1</v>
      </c>
      <c r="M1858" s="32" t="n">
        <v>1</v>
      </c>
      <c r="N1858" s="31" t="n">
        <v>289</v>
      </c>
      <c r="O1858" s="31" t="n">
        <v>289</v>
      </c>
      <c r="P1858" s="22" t="n">
        <v>0</v>
      </c>
      <c r="Q1858" s="22" t="n">
        <v>0</v>
      </c>
      <c r="R1858" s="22" t="n">
        <v>0</v>
      </c>
    </row>
    <row r="1859">
      <c r="A1859" s="22" t="n">
        <v>201904</v>
      </c>
      <c r="B1859" s="22" t="inlineStr">
        <is>
          <t>04/2019</t>
        </is>
      </c>
      <c r="C1859" s="22" t="n">
        <v>18</v>
      </c>
      <c r="D1859" s="22" t="inlineStr">
        <is>
          <t>S18</t>
        </is>
      </c>
      <c r="E1859" s="22" t="inlineStr">
        <is>
          <t>Nexa Mayotte (S18)</t>
        </is>
      </c>
      <c r="F1859" s="22" t="inlineStr">
        <is>
          <t>Pháp</t>
        </is>
      </c>
      <c r="G1859" s="22" t="inlineStr">
        <is>
          <t>POS</t>
        </is>
      </c>
      <c r="H1859" s="31" t="n">
        <v>659.85</v>
      </c>
      <c r="I1859" s="31" t="n">
        <v>0</v>
      </c>
      <c r="J1859" s="31" t="n">
        <v>659.85</v>
      </c>
      <c r="K1859" s="31" t="n">
        <v>0</v>
      </c>
      <c r="L1859" s="32" t="n">
        <v>1</v>
      </c>
      <c r="M1859" s="32" t="n">
        <v>3</v>
      </c>
      <c r="N1859" s="31" t="n">
        <v>659.85</v>
      </c>
      <c r="O1859" s="31" t="n">
        <v>659.85</v>
      </c>
      <c r="P1859" s="22" t="n">
        <v>0</v>
      </c>
      <c r="Q1859" s="22" t="n">
        <v>0</v>
      </c>
      <c r="R1859" s="22" t="n">
        <v>0</v>
      </c>
    </row>
    <row r="1860">
      <c r="A1860" s="22" t="n">
        <v>201904</v>
      </c>
      <c r="B1860" s="22" t="inlineStr">
        <is>
          <t>04/2019</t>
        </is>
      </c>
      <c r="C1860" s="22" t="n">
        <v>19</v>
      </c>
      <c r="D1860" s="22" t="inlineStr">
        <is>
          <t>S19</t>
        </is>
      </c>
      <c r="E1860" s="22" t="inlineStr">
        <is>
          <t>Nexa Berlin (S19)</t>
        </is>
      </c>
      <c r="F1860" s="22" t="inlineStr">
        <is>
          <t>Đức</t>
        </is>
      </c>
      <c r="G1860" s="22" t="inlineStr">
        <is>
          <t>POS</t>
        </is>
      </c>
      <c r="H1860" s="31" t="n">
        <v>857</v>
      </c>
      <c r="I1860" s="31" t="n">
        <v>0</v>
      </c>
      <c r="J1860" s="31" t="n">
        <v>857</v>
      </c>
      <c r="K1860" s="31" t="n">
        <v>0</v>
      </c>
      <c r="L1860" s="32" t="n">
        <v>1</v>
      </c>
      <c r="M1860" s="32" t="n">
        <v>4</v>
      </c>
      <c r="N1860" s="31" t="n">
        <v>857</v>
      </c>
      <c r="O1860" s="31" t="n">
        <v>857</v>
      </c>
      <c r="P1860" s="22" t="n">
        <v>0</v>
      </c>
      <c r="Q1860" s="22" t="n">
        <v>0</v>
      </c>
      <c r="R1860" s="22" t="n">
        <v>0</v>
      </c>
    </row>
    <row r="1861">
      <c r="A1861" s="22" t="n">
        <v>201904</v>
      </c>
      <c r="B1861" s="22" t="inlineStr">
        <is>
          <t>04/2019</t>
        </is>
      </c>
      <c r="C1861" s="22" t="n">
        <v>21</v>
      </c>
      <c r="D1861" s="22" t="inlineStr">
        <is>
          <t>S21</t>
        </is>
      </c>
      <c r="E1861" s="22" t="inlineStr">
        <is>
          <t>Nexa Freie Hansestadt Bremen (S21)</t>
        </is>
      </c>
      <c r="F1861" s="22" t="inlineStr">
        <is>
          <t>Đức</t>
        </is>
      </c>
      <c r="G1861" s="22" t="inlineStr">
        <is>
          <t>POS</t>
        </is>
      </c>
      <c r="H1861" s="31" t="n">
        <v>0</v>
      </c>
      <c r="I1861" s="31" t="n">
        <v>0</v>
      </c>
      <c r="J1861" s="31" t="n">
        <v>0</v>
      </c>
      <c r="K1861" s="31" t="n">
        <v>17.99</v>
      </c>
      <c r="L1861" s="32" t="n">
        <v>0</v>
      </c>
      <c r="M1861" s="32" t="n">
        <v>0</v>
      </c>
      <c r="N1861" s="31" t="n">
        <v>-17.99</v>
      </c>
      <c r="O1861" s="31" t="n">
        <v>0</v>
      </c>
      <c r="P1861" s="22" t="n">
        <v>0</v>
      </c>
      <c r="Q1861" s="22" t="n">
        <v>0</v>
      </c>
      <c r="R1861" s="22" t="n">
        <v>0</v>
      </c>
    </row>
    <row r="1862">
      <c r="A1862" s="22" t="n">
        <v>201904</v>
      </c>
      <c r="B1862" s="22" t="inlineStr">
        <is>
          <t>04/2019</t>
        </is>
      </c>
      <c r="C1862" s="22" t="n">
        <v>22</v>
      </c>
      <c r="D1862" s="22" t="inlineStr">
        <is>
          <t>S22</t>
        </is>
      </c>
      <c r="E1862" s="22" t="inlineStr">
        <is>
          <t>Nexa Freistaat Thüringen (S22)</t>
        </is>
      </c>
      <c r="F1862" s="22" t="inlineStr">
        <is>
          <t>Đức</t>
        </is>
      </c>
      <c r="G1862" s="22" t="inlineStr">
        <is>
          <t>POS</t>
        </is>
      </c>
      <c r="H1862" s="31" t="n">
        <v>2209.04</v>
      </c>
      <c r="I1862" s="31" t="n">
        <v>0</v>
      </c>
      <c r="J1862" s="31" t="n">
        <v>2209.04</v>
      </c>
      <c r="K1862" s="31" t="n">
        <v>51.8</v>
      </c>
      <c r="L1862" s="32" t="n">
        <v>1</v>
      </c>
      <c r="M1862" s="32" t="n">
        <v>16</v>
      </c>
      <c r="N1862" s="31" t="n">
        <v>2157.24</v>
      </c>
      <c r="O1862" s="31" t="n">
        <v>2209.04</v>
      </c>
      <c r="P1862" s="22" t="n">
        <v>0</v>
      </c>
      <c r="Q1862" s="22" t="n">
        <v>0</v>
      </c>
      <c r="R1862" s="22" t="n">
        <v>0</v>
      </c>
    </row>
    <row r="1863">
      <c r="A1863" s="22" t="n">
        <v>201904</v>
      </c>
      <c r="B1863" s="22" t="inlineStr">
        <is>
          <t>04/2019</t>
        </is>
      </c>
      <c r="C1863" s="22" t="n">
        <v>24</v>
      </c>
      <c r="D1863" s="22" t="inlineStr">
        <is>
          <t>S24</t>
        </is>
      </c>
      <c r="E1863" s="22" t="inlineStr">
        <is>
          <t>Nexa Hessen (S24)</t>
        </is>
      </c>
      <c r="F1863" s="22" t="inlineStr">
        <is>
          <t>Đức</t>
        </is>
      </c>
      <c r="G1863" s="22" t="inlineStr">
        <is>
          <t>POS</t>
        </is>
      </c>
      <c r="H1863" s="31" t="n">
        <v>1172.92</v>
      </c>
      <c r="I1863" s="31" t="n">
        <v>0</v>
      </c>
      <c r="J1863" s="31" t="n">
        <v>1172.92</v>
      </c>
      <c r="K1863" s="31" t="n">
        <v>102.76</v>
      </c>
      <c r="L1863" s="32" t="n">
        <v>1</v>
      </c>
      <c r="M1863" s="32" t="n">
        <v>11</v>
      </c>
      <c r="N1863" s="31" t="n">
        <v>1070.16</v>
      </c>
      <c r="O1863" s="31" t="n">
        <v>1172.92</v>
      </c>
      <c r="P1863" s="22" t="n">
        <v>0</v>
      </c>
      <c r="Q1863" s="22" t="n">
        <v>0</v>
      </c>
      <c r="R1863" s="22" t="n">
        <v>0</v>
      </c>
    </row>
    <row r="1864">
      <c r="A1864" s="22" t="n">
        <v>201904</v>
      </c>
      <c r="B1864" s="22" t="inlineStr">
        <is>
          <t>04/2019</t>
        </is>
      </c>
      <c r="C1864" s="22" t="n">
        <v>26</v>
      </c>
      <c r="D1864" s="22" t="inlineStr">
        <is>
          <t>S26</t>
        </is>
      </c>
      <c r="E1864" s="22" t="inlineStr">
        <is>
          <t>Nexa Saarland (S26)</t>
        </is>
      </c>
      <c r="F1864" s="22" t="inlineStr">
        <is>
          <t>Đức</t>
        </is>
      </c>
      <c r="G1864" s="22" t="inlineStr">
        <is>
          <t>POS</t>
        </is>
      </c>
      <c r="H1864" s="31" t="n">
        <v>0</v>
      </c>
      <c r="I1864" s="31" t="n">
        <v>0</v>
      </c>
      <c r="J1864" s="31" t="n">
        <v>0</v>
      </c>
      <c r="K1864" s="31" t="n">
        <v>102.46</v>
      </c>
      <c r="L1864" s="32" t="n">
        <v>0</v>
      </c>
      <c r="M1864" s="32" t="n">
        <v>0</v>
      </c>
      <c r="N1864" s="31" t="n">
        <v>-102.46</v>
      </c>
      <c r="O1864" s="31" t="n">
        <v>0</v>
      </c>
      <c r="P1864" s="22" t="n">
        <v>0</v>
      </c>
      <c r="Q1864" s="22" t="n">
        <v>0</v>
      </c>
      <c r="R1864" s="22" t="n">
        <v>0</v>
      </c>
    </row>
    <row r="1865">
      <c r="A1865" s="22" t="n">
        <v>201904</v>
      </c>
      <c r="B1865" s="22" t="inlineStr">
        <is>
          <t>04/2019</t>
        </is>
      </c>
      <c r="C1865" s="22" t="n">
        <v>27</v>
      </c>
      <c r="D1865" s="22" t="inlineStr">
        <is>
          <t>S27</t>
        </is>
      </c>
      <c r="E1865" s="22" t="inlineStr">
        <is>
          <t>Nexa Sachsen-Anhalt (S27)</t>
        </is>
      </c>
      <c r="F1865" s="22" t="inlineStr">
        <is>
          <t>Đức</t>
        </is>
      </c>
      <c r="G1865" s="22" t="inlineStr">
        <is>
          <t>POS</t>
        </is>
      </c>
      <c r="H1865" s="31" t="n">
        <v>3952.15</v>
      </c>
      <c r="I1865" s="31" t="n">
        <v>0</v>
      </c>
      <c r="J1865" s="31" t="n">
        <v>3952.15</v>
      </c>
      <c r="K1865" s="31" t="n">
        <v>0</v>
      </c>
      <c r="L1865" s="32" t="n">
        <v>2</v>
      </c>
      <c r="M1865" s="32" t="n">
        <v>19</v>
      </c>
      <c r="N1865" s="31" t="n">
        <v>3952.15</v>
      </c>
      <c r="O1865" s="31" t="n">
        <v>3952.15</v>
      </c>
      <c r="P1865" s="22" t="n">
        <v>0</v>
      </c>
      <c r="Q1865" s="22" t="n">
        <v>0</v>
      </c>
      <c r="R1865" s="22" t="n">
        <v>0</v>
      </c>
    </row>
    <row r="1866">
      <c r="A1866" s="22" t="n">
        <v>201904</v>
      </c>
      <c r="B1866" s="22" t="inlineStr">
        <is>
          <t>04/2019</t>
        </is>
      </c>
      <c r="C1866" s="22" t="n">
        <v>31</v>
      </c>
      <c r="D1866" s="22" t="inlineStr">
        <is>
          <t>S31</t>
        </is>
      </c>
      <c r="E1866" s="22" t="inlineStr">
        <is>
          <t>Nexa Drenthe (S31)</t>
        </is>
      </c>
      <c r="F1866" s="22" t="inlineStr">
        <is>
          <t>Hà Lan</t>
        </is>
      </c>
      <c r="G1866" s="22" t="inlineStr">
        <is>
          <t>POS</t>
        </is>
      </c>
      <c r="H1866" s="31" t="n">
        <v>11581.45</v>
      </c>
      <c r="I1866" s="31" t="n">
        <v>0</v>
      </c>
      <c r="J1866" s="31" t="n">
        <v>11581.45</v>
      </c>
      <c r="K1866" s="31" t="n">
        <v>0</v>
      </c>
      <c r="L1866" s="32" t="n">
        <v>3</v>
      </c>
      <c r="M1866" s="32" t="n">
        <v>37</v>
      </c>
      <c r="N1866" s="31" t="n">
        <v>11581.45</v>
      </c>
      <c r="O1866" s="31" t="n">
        <v>11581.45</v>
      </c>
      <c r="P1866" s="22" t="n">
        <v>0</v>
      </c>
      <c r="Q1866" s="22" t="n">
        <v>0</v>
      </c>
      <c r="R1866" s="22" t="n">
        <v>0</v>
      </c>
    </row>
    <row r="1867">
      <c r="A1867" s="22" t="n">
        <v>201904</v>
      </c>
      <c r="B1867" s="22" t="inlineStr">
        <is>
          <t>04/2019</t>
        </is>
      </c>
      <c r="C1867" s="22" t="n">
        <v>33</v>
      </c>
      <c r="D1867" s="22" t="inlineStr">
        <is>
          <t>S33</t>
        </is>
      </c>
      <c r="E1867" s="22" t="inlineStr">
        <is>
          <t>Nexa Friesland (S33)</t>
        </is>
      </c>
      <c r="F1867" s="22" t="inlineStr">
        <is>
          <t>Hà Lan</t>
        </is>
      </c>
      <c r="G1867" s="22" t="inlineStr">
        <is>
          <t>POS</t>
        </is>
      </c>
      <c r="H1867" s="31" t="n">
        <v>6679</v>
      </c>
      <c r="I1867" s="31" t="n">
        <v>0</v>
      </c>
      <c r="J1867" s="31" t="n">
        <v>6679</v>
      </c>
      <c r="K1867" s="31" t="n">
        <v>0</v>
      </c>
      <c r="L1867" s="32" t="n">
        <v>2</v>
      </c>
      <c r="M1867" s="32" t="n">
        <v>17</v>
      </c>
      <c r="N1867" s="31" t="n">
        <v>6679</v>
      </c>
      <c r="O1867" s="31" t="n">
        <v>6679</v>
      </c>
      <c r="P1867" s="22" t="n">
        <v>0</v>
      </c>
      <c r="Q1867" s="22" t="n">
        <v>0</v>
      </c>
      <c r="R1867" s="22" t="n">
        <v>0</v>
      </c>
    </row>
    <row r="1868">
      <c r="A1868" s="22" t="n">
        <v>201904</v>
      </c>
      <c r="B1868" s="22" t="inlineStr">
        <is>
          <t>04/2019</t>
        </is>
      </c>
      <c r="C1868" s="22" t="n">
        <v>34</v>
      </c>
      <c r="D1868" s="22" t="inlineStr">
        <is>
          <t>S34</t>
        </is>
      </c>
      <c r="E1868" s="22" t="inlineStr">
        <is>
          <t>Nexa Groningen (S34)</t>
        </is>
      </c>
      <c r="F1868" s="22" t="inlineStr">
        <is>
          <t>Hà Lan</t>
        </is>
      </c>
      <c r="G1868" s="22" t="inlineStr">
        <is>
          <t>POS</t>
        </is>
      </c>
      <c r="H1868" s="31" t="n">
        <v>14.94</v>
      </c>
      <c r="I1868" s="31" t="n">
        <v>0</v>
      </c>
      <c r="J1868" s="31" t="n">
        <v>14.94</v>
      </c>
      <c r="K1868" s="31" t="n">
        <v>0</v>
      </c>
      <c r="L1868" s="32" t="n">
        <v>1</v>
      </c>
      <c r="M1868" s="32" t="n">
        <v>3</v>
      </c>
      <c r="N1868" s="31" t="n">
        <v>14.94</v>
      </c>
      <c r="O1868" s="31" t="n">
        <v>14.94</v>
      </c>
      <c r="P1868" s="22" t="n">
        <v>0</v>
      </c>
      <c r="Q1868" s="22" t="n">
        <v>0</v>
      </c>
      <c r="R1868" s="22" t="n">
        <v>0</v>
      </c>
    </row>
    <row r="1869">
      <c r="A1869" s="22" t="n">
        <v>201904</v>
      </c>
      <c r="B1869" s="22" t="inlineStr">
        <is>
          <t>04/2019</t>
        </is>
      </c>
      <c r="C1869" s="22" t="n">
        <v>36</v>
      </c>
      <c r="D1869" s="22" t="inlineStr">
        <is>
          <t>S36</t>
        </is>
      </c>
      <c r="E1869" s="22" t="inlineStr">
        <is>
          <t>Nexa Armagh (S36)</t>
        </is>
      </c>
      <c r="F1869" s="22" t="inlineStr">
        <is>
          <t>Anh</t>
        </is>
      </c>
      <c r="G1869" s="22" t="inlineStr">
        <is>
          <t>POS</t>
        </is>
      </c>
      <c r="H1869" s="31" t="n">
        <v>658.8</v>
      </c>
      <c r="I1869" s="31" t="n">
        <v>0</v>
      </c>
      <c r="J1869" s="31" t="n">
        <v>658.8</v>
      </c>
      <c r="K1869" s="31" t="n">
        <v>0</v>
      </c>
      <c r="L1869" s="32" t="n">
        <v>2</v>
      </c>
      <c r="M1869" s="32" t="n">
        <v>3</v>
      </c>
      <c r="N1869" s="31" t="n">
        <v>658.8</v>
      </c>
      <c r="O1869" s="31" t="n">
        <v>658.8</v>
      </c>
      <c r="P1869" s="22" t="n">
        <v>0</v>
      </c>
      <c r="Q1869" s="22" t="n">
        <v>0</v>
      </c>
      <c r="R1869" s="22" t="n">
        <v>0</v>
      </c>
    </row>
    <row r="1870">
      <c r="A1870" s="22" t="n">
        <v>201904</v>
      </c>
      <c r="B1870" s="22" t="inlineStr">
        <is>
          <t>04/2019</t>
        </is>
      </c>
      <c r="C1870" s="22" t="n">
        <v>37</v>
      </c>
      <c r="D1870" s="22" t="inlineStr">
        <is>
          <t>S37</t>
        </is>
      </c>
      <c r="E1870" s="22" t="inlineStr">
        <is>
          <t>Nexa Ayrshire (S37)</t>
        </is>
      </c>
      <c r="F1870" s="22" t="inlineStr">
        <is>
          <t>Anh</t>
        </is>
      </c>
      <c r="G1870" s="22" t="inlineStr">
        <is>
          <t>POS</t>
        </is>
      </c>
      <c r="H1870" s="31" t="n">
        <v>2155.38</v>
      </c>
      <c r="I1870" s="31" t="n">
        <v>0</v>
      </c>
      <c r="J1870" s="31" t="n">
        <v>2155.38</v>
      </c>
      <c r="K1870" s="31" t="n">
        <v>0</v>
      </c>
      <c r="L1870" s="32" t="n">
        <v>2</v>
      </c>
      <c r="M1870" s="32" t="n">
        <v>13</v>
      </c>
      <c r="N1870" s="31" t="n">
        <v>2155.38</v>
      </c>
      <c r="O1870" s="31" t="n">
        <v>2155.38</v>
      </c>
      <c r="P1870" s="22" t="n">
        <v>0</v>
      </c>
      <c r="Q1870" s="22" t="n">
        <v>0</v>
      </c>
      <c r="R1870" s="22" t="n">
        <v>0</v>
      </c>
    </row>
    <row r="1871">
      <c r="A1871" s="22" t="n">
        <v>201904</v>
      </c>
      <c r="B1871" s="22" t="inlineStr">
        <is>
          <t>04/2019</t>
        </is>
      </c>
      <c r="C1871" s="22" t="n">
        <v>39</v>
      </c>
      <c r="D1871" s="22" t="inlineStr">
        <is>
          <t>S39</t>
        </is>
      </c>
      <c r="E1871" s="22" t="inlineStr">
        <is>
          <t>Nexa Blaenau Gwent (S39)</t>
        </is>
      </c>
      <c r="F1871" s="22" t="inlineStr">
        <is>
          <t>Anh</t>
        </is>
      </c>
      <c r="G1871" s="22" t="inlineStr">
        <is>
          <t>POS</t>
        </is>
      </c>
      <c r="H1871" s="31" t="n">
        <v>722.15</v>
      </c>
      <c r="I1871" s="31" t="n">
        <v>0</v>
      </c>
      <c r="J1871" s="31" t="n">
        <v>722.15</v>
      </c>
      <c r="K1871" s="31" t="n">
        <v>0</v>
      </c>
      <c r="L1871" s="32" t="n">
        <v>2</v>
      </c>
      <c r="M1871" s="32" t="n">
        <v>13</v>
      </c>
      <c r="N1871" s="31" t="n">
        <v>722.15</v>
      </c>
      <c r="O1871" s="31" t="n">
        <v>722.15</v>
      </c>
      <c r="P1871" s="22" t="n">
        <v>0</v>
      </c>
      <c r="Q1871" s="22" t="n">
        <v>0</v>
      </c>
      <c r="R1871" s="22" t="n">
        <v>0</v>
      </c>
    </row>
    <row r="1872">
      <c r="A1872" s="22" t="n">
        <v>201904</v>
      </c>
      <c r="B1872" s="22" t="inlineStr">
        <is>
          <t>04/2019</t>
        </is>
      </c>
      <c r="C1872" s="22" t="n">
        <v>42</v>
      </c>
      <c r="D1872" s="22" t="inlineStr">
        <is>
          <t>S42</t>
        </is>
      </c>
      <c r="E1872" s="22" t="inlineStr">
        <is>
          <t>Nexa North Down (S42)</t>
        </is>
      </c>
      <c r="F1872" s="22" t="inlineStr">
        <is>
          <t>Anh</t>
        </is>
      </c>
      <c r="G1872" s="22" t="inlineStr">
        <is>
          <t>POS</t>
        </is>
      </c>
      <c r="H1872" s="31" t="n">
        <v>8564.360000000001</v>
      </c>
      <c r="I1872" s="31" t="n">
        <v>0</v>
      </c>
      <c r="J1872" s="31" t="n">
        <v>8564.360000000001</v>
      </c>
      <c r="K1872" s="31" t="n">
        <v>0</v>
      </c>
      <c r="L1872" s="32" t="n">
        <v>3</v>
      </c>
      <c r="M1872" s="32" t="n">
        <v>17</v>
      </c>
      <c r="N1872" s="31" t="n">
        <v>8564.360000000001</v>
      </c>
      <c r="O1872" s="31" t="n">
        <v>8564.360000000001</v>
      </c>
      <c r="P1872" s="22" t="n">
        <v>0</v>
      </c>
      <c r="Q1872" s="22" t="n">
        <v>0</v>
      </c>
      <c r="R1872" s="22" t="n">
        <v>0</v>
      </c>
    </row>
    <row r="1873">
      <c r="A1873" s="22" t="n">
        <v>201904</v>
      </c>
      <c r="B1873" s="22" t="inlineStr">
        <is>
          <t>04/2019</t>
        </is>
      </c>
      <c r="C1873" s="22" t="n">
        <v>44</v>
      </c>
      <c r="D1873" s="22" t="inlineStr">
        <is>
          <t>S44</t>
        </is>
      </c>
      <c r="E1873" s="22" t="inlineStr">
        <is>
          <t>Nexa Arkansas (S44)</t>
        </is>
      </c>
      <c r="F1873" s="22" t="inlineStr">
        <is>
          <t>Mỹ</t>
        </is>
      </c>
      <c r="G1873" s="22" t="inlineStr">
        <is>
          <t>POS</t>
        </is>
      </c>
      <c r="H1873" s="31" t="n">
        <v>1704</v>
      </c>
      <c r="I1873" s="31" t="n">
        <v>0</v>
      </c>
      <c r="J1873" s="31" t="n">
        <v>1704</v>
      </c>
      <c r="K1873" s="31" t="n">
        <v>0</v>
      </c>
      <c r="L1873" s="32" t="n">
        <v>1</v>
      </c>
      <c r="M1873" s="32" t="n">
        <v>3</v>
      </c>
      <c r="N1873" s="31" t="n">
        <v>1704</v>
      </c>
      <c r="O1873" s="31" t="n">
        <v>1704</v>
      </c>
      <c r="P1873" s="22" t="n">
        <v>0</v>
      </c>
      <c r="Q1873" s="22" t="n">
        <v>0</v>
      </c>
      <c r="R1873" s="22" t="n">
        <v>0</v>
      </c>
    </row>
    <row r="1874">
      <c r="A1874" s="22" t="n">
        <v>201904</v>
      </c>
      <c r="B1874" s="22" t="inlineStr">
        <is>
          <t>04/2019</t>
        </is>
      </c>
      <c r="C1874" s="22" t="n">
        <v>45</v>
      </c>
      <c r="D1874" s="22" t="inlineStr">
        <is>
          <t>S45</t>
        </is>
      </c>
      <c r="E1874" s="22" t="inlineStr">
        <is>
          <t>Nexa Connecticut (S45)</t>
        </is>
      </c>
      <c r="F1874" s="22" t="inlineStr">
        <is>
          <t>Mỹ</t>
        </is>
      </c>
      <c r="G1874" s="22" t="inlineStr">
        <is>
          <t>POS</t>
        </is>
      </c>
      <c r="H1874" s="31" t="n">
        <v>3147.58</v>
      </c>
      <c r="I1874" s="31" t="n">
        <v>0</v>
      </c>
      <c r="J1874" s="31" t="n">
        <v>3147.58</v>
      </c>
      <c r="K1874" s="31" t="n">
        <v>0</v>
      </c>
      <c r="L1874" s="32" t="n">
        <v>2</v>
      </c>
      <c r="M1874" s="32" t="n">
        <v>8</v>
      </c>
      <c r="N1874" s="31" t="n">
        <v>3147.58</v>
      </c>
      <c r="O1874" s="31" t="n">
        <v>3147.58</v>
      </c>
      <c r="P1874" s="22" t="n">
        <v>0</v>
      </c>
      <c r="Q1874" s="22" t="n">
        <v>0</v>
      </c>
      <c r="R1874" s="22" t="n">
        <v>0</v>
      </c>
    </row>
    <row r="1875">
      <c r="A1875" s="22" t="n">
        <v>201904</v>
      </c>
      <c r="B1875" s="22" t="inlineStr">
        <is>
          <t>04/2019</t>
        </is>
      </c>
      <c r="C1875" s="22" t="n">
        <v>47</v>
      </c>
      <c r="D1875" s="22" t="inlineStr">
        <is>
          <t>S47</t>
        </is>
      </c>
      <c r="E1875" s="22" t="inlineStr">
        <is>
          <t>Nexa Hawaii (S47)</t>
        </is>
      </c>
      <c r="F1875" s="22" t="inlineStr">
        <is>
          <t>Mỹ</t>
        </is>
      </c>
      <c r="G1875" s="22" t="inlineStr">
        <is>
          <t>POS</t>
        </is>
      </c>
      <c r="H1875" s="31" t="n">
        <v>9141.889999999999</v>
      </c>
      <c r="I1875" s="31" t="n">
        <v>0</v>
      </c>
      <c r="J1875" s="31" t="n">
        <v>9141.889999999999</v>
      </c>
      <c r="K1875" s="31" t="n">
        <v>0</v>
      </c>
      <c r="L1875" s="32" t="n">
        <v>2</v>
      </c>
      <c r="M1875" s="32" t="n">
        <v>14</v>
      </c>
      <c r="N1875" s="31" t="n">
        <v>9141.889999999999</v>
      </c>
      <c r="O1875" s="31" t="n">
        <v>9141.889999999999</v>
      </c>
      <c r="P1875" s="22" t="n">
        <v>0</v>
      </c>
      <c r="Q1875" s="22" t="n">
        <v>0</v>
      </c>
      <c r="R1875" s="22" t="n">
        <v>0</v>
      </c>
    </row>
    <row r="1876">
      <c r="A1876" s="22" t="n">
        <v>201904</v>
      </c>
      <c r="B1876" s="22" t="inlineStr">
        <is>
          <t>04/2019</t>
        </is>
      </c>
      <c r="C1876" s="22" t="n">
        <v>48</v>
      </c>
      <c r="D1876" s="22" t="inlineStr">
        <is>
          <t>S48</t>
        </is>
      </c>
      <c r="E1876" s="22" t="inlineStr">
        <is>
          <t>Nexa Idaho (S48)</t>
        </is>
      </c>
      <c r="F1876" s="22" t="inlineStr">
        <is>
          <t>Mỹ</t>
        </is>
      </c>
      <c r="G1876" s="22" t="inlineStr">
        <is>
          <t>POS</t>
        </is>
      </c>
      <c r="H1876" s="31" t="n">
        <v>1849.97</v>
      </c>
      <c r="I1876" s="31" t="n">
        <v>0</v>
      </c>
      <c r="J1876" s="31" t="n">
        <v>1849.97</v>
      </c>
      <c r="K1876" s="31" t="n">
        <v>0</v>
      </c>
      <c r="L1876" s="32" t="n">
        <v>4</v>
      </c>
      <c r="M1876" s="32" t="n">
        <v>9</v>
      </c>
      <c r="N1876" s="31" t="n">
        <v>1849.97</v>
      </c>
      <c r="O1876" s="31" t="n">
        <v>1849.97</v>
      </c>
      <c r="P1876" s="22" t="n">
        <v>0</v>
      </c>
      <c r="Q1876" s="22" t="n">
        <v>0</v>
      </c>
      <c r="R1876" s="22" t="n">
        <v>0</v>
      </c>
    </row>
    <row r="1877">
      <c r="A1877" s="22" t="n">
        <v>201904</v>
      </c>
      <c r="B1877" s="22" t="inlineStr">
        <is>
          <t>04/2019</t>
        </is>
      </c>
      <c r="C1877" s="22" t="n">
        <v>50</v>
      </c>
      <c r="D1877" s="22" t="inlineStr">
        <is>
          <t>S50</t>
        </is>
      </c>
      <c r="E1877" s="22" t="inlineStr">
        <is>
          <t>Nexa Kansas (S50)</t>
        </is>
      </c>
      <c r="F1877" s="22" t="inlineStr">
        <is>
          <t>Mỹ</t>
        </is>
      </c>
      <c r="G1877" s="22" t="inlineStr">
        <is>
          <t>POS</t>
        </is>
      </c>
      <c r="H1877" s="31" t="n">
        <v>441</v>
      </c>
      <c r="I1877" s="31" t="n">
        <v>0</v>
      </c>
      <c r="J1877" s="31" t="n">
        <v>441</v>
      </c>
      <c r="K1877" s="31" t="n">
        <v>32</v>
      </c>
      <c r="L1877" s="32" t="n">
        <v>1</v>
      </c>
      <c r="M1877" s="32" t="n">
        <v>3</v>
      </c>
      <c r="N1877" s="31" t="n">
        <v>409</v>
      </c>
      <c r="O1877" s="31" t="n">
        <v>441</v>
      </c>
      <c r="P1877" s="22" t="n">
        <v>0</v>
      </c>
      <c r="Q1877" s="22" t="n">
        <v>0</v>
      </c>
      <c r="R1877" s="22" t="n">
        <v>0</v>
      </c>
    </row>
    <row r="1878">
      <c r="A1878" s="22" t="n">
        <v>201904</v>
      </c>
      <c r="B1878" s="22" t="inlineStr">
        <is>
          <t>04/2019</t>
        </is>
      </c>
      <c r="C1878" s="22" t="n">
        <v>51</v>
      </c>
      <c r="D1878" s="22" t="inlineStr">
        <is>
          <t>S51</t>
        </is>
      </c>
      <c r="E1878" s="22" t="inlineStr">
        <is>
          <t>Nexa Maine (S51)</t>
        </is>
      </c>
      <c r="F1878" s="22" t="inlineStr">
        <is>
          <t>Mỹ</t>
        </is>
      </c>
      <c r="G1878" s="22" t="inlineStr">
        <is>
          <t>POS</t>
        </is>
      </c>
      <c r="H1878" s="31" t="n">
        <v>6173.92</v>
      </c>
      <c r="I1878" s="31" t="n">
        <v>0</v>
      </c>
      <c r="J1878" s="31" t="n">
        <v>6173.92</v>
      </c>
      <c r="K1878" s="31" t="n">
        <v>13.9</v>
      </c>
      <c r="L1878" s="32" t="n">
        <v>1</v>
      </c>
      <c r="M1878" s="32" t="n">
        <v>17</v>
      </c>
      <c r="N1878" s="31" t="n">
        <v>6160.02</v>
      </c>
      <c r="O1878" s="31" t="n">
        <v>6173.92</v>
      </c>
      <c r="P1878" s="22" t="n">
        <v>0</v>
      </c>
      <c r="Q1878" s="22" t="n">
        <v>0</v>
      </c>
      <c r="R1878" s="22" t="n">
        <v>0</v>
      </c>
    </row>
    <row r="1879">
      <c r="A1879" s="22" t="n">
        <v>201904</v>
      </c>
      <c r="B1879" s="22" t="inlineStr">
        <is>
          <t>04/2019</t>
        </is>
      </c>
      <c r="C1879" s="22" t="n">
        <v>53</v>
      </c>
      <c r="D1879" s="22" t="inlineStr">
        <is>
          <t>S53</t>
        </is>
      </c>
      <c r="E1879" s="22" t="inlineStr">
        <is>
          <t>Nexa Montana (S53)</t>
        </is>
      </c>
      <c r="F1879" s="22" t="inlineStr">
        <is>
          <t>Mỹ</t>
        </is>
      </c>
      <c r="G1879" s="22" t="inlineStr">
        <is>
          <t>POS</t>
        </is>
      </c>
      <c r="H1879" s="31" t="n">
        <v>102</v>
      </c>
      <c r="I1879" s="31" t="n">
        <v>0</v>
      </c>
      <c r="J1879" s="31" t="n">
        <v>102</v>
      </c>
      <c r="K1879" s="31" t="n">
        <v>0</v>
      </c>
      <c r="L1879" s="32" t="n">
        <v>1</v>
      </c>
      <c r="M1879" s="32" t="n">
        <v>1</v>
      </c>
      <c r="N1879" s="31" t="n">
        <v>102</v>
      </c>
      <c r="O1879" s="31" t="n">
        <v>102</v>
      </c>
      <c r="P1879" s="22" t="n">
        <v>0</v>
      </c>
      <c r="Q1879" s="22" t="n">
        <v>0</v>
      </c>
      <c r="R1879" s="22" t="n">
        <v>0</v>
      </c>
    </row>
    <row r="1880">
      <c r="A1880" s="22" t="n">
        <v>201904</v>
      </c>
      <c r="B1880" s="22" t="inlineStr">
        <is>
          <t>04/2019</t>
        </is>
      </c>
      <c r="C1880" s="22" t="n">
        <v>54</v>
      </c>
      <c r="D1880" s="22" t="inlineStr">
        <is>
          <t>S54</t>
        </is>
      </c>
      <c r="E1880" s="22" t="inlineStr">
        <is>
          <t>Nexa Nebraska (S54)</t>
        </is>
      </c>
      <c r="F1880" s="22" t="inlineStr">
        <is>
          <t>Mỹ</t>
        </is>
      </c>
      <c r="G1880" s="22" t="inlineStr">
        <is>
          <t>POS</t>
        </is>
      </c>
      <c r="H1880" s="31" t="n">
        <v>0</v>
      </c>
      <c r="I1880" s="31" t="n">
        <v>0</v>
      </c>
      <c r="J1880" s="31" t="n">
        <v>0</v>
      </c>
      <c r="K1880" s="31" t="n">
        <v>0</v>
      </c>
      <c r="L1880" s="32" t="n">
        <v>0</v>
      </c>
      <c r="M1880" s="32" t="n">
        <v>0</v>
      </c>
      <c r="N1880" s="31" t="n">
        <v>0</v>
      </c>
      <c r="O1880" s="31" t="n">
        <v>0</v>
      </c>
      <c r="P1880" s="22" t="n">
        <v>1</v>
      </c>
      <c r="Q1880" s="22" t="n">
        <v>0</v>
      </c>
      <c r="R1880" s="22" t="n">
        <v>0</v>
      </c>
    </row>
    <row r="1881">
      <c r="A1881" s="22" t="n">
        <v>201904</v>
      </c>
      <c r="B1881" s="22" t="inlineStr">
        <is>
          <t>04/2019</t>
        </is>
      </c>
      <c r="C1881" s="22" t="n">
        <v>55</v>
      </c>
      <c r="D1881" s="22" t="inlineStr">
        <is>
          <t>S55</t>
        </is>
      </c>
      <c r="E1881" s="22" t="inlineStr">
        <is>
          <t>Nexa Nevada (S55)</t>
        </is>
      </c>
      <c r="F1881" s="22" t="inlineStr">
        <is>
          <t>Mỹ</t>
        </is>
      </c>
      <c r="G1881" s="22" t="inlineStr">
        <is>
          <t>POS</t>
        </is>
      </c>
      <c r="H1881" s="31" t="n">
        <v>1587</v>
      </c>
      <c r="I1881" s="31" t="n">
        <v>0</v>
      </c>
      <c r="J1881" s="31" t="n">
        <v>1587</v>
      </c>
      <c r="K1881" s="31" t="n">
        <v>0</v>
      </c>
      <c r="L1881" s="32" t="n">
        <v>1</v>
      </c>
      <c r="M1881" s="32" t="n">
        <v>3</v>
      </c>
      <c r="N1881" s="31" t="n">
        <v>1587</v>
      </c>
      <c r="O1881" s="31" t="n">
        <v>1587</v>
      </c>
      <c r="P1881" s="22" t="n">
        <v>0</v>
      </c>
      <c r="Q1881" s="22" t="n">
        <v>0</v>
      </c>
      <c r="R1881" s="22" t="n">
        <v>0</v>
      </c>
    </row>
    <row r="1882">
      <c r="A1882" s="22" t="n">
        <v>201904</v>
      </c>
      <c r="B1882" s="22" t="inlineStr">
        <is>
          <t>04/2019</t>
        </is>
      </c>
      <c r="C1882" s="22" t="n">
        <v>56</v>
      </c>
      <c r="D1882" s="22" t="inlineStr">
        <is>
          <t>S56</t>
        </is>
      </c>
      <c r="E1882" s="22" t="inlineStr">
        <is>
          <t>Nexa New Hampshire (S56)</t>
        </is>
      </c>
      <c r="F1882" s="22" t="inlineStr">
        <is>
          <t>Mỹ</t>
        </is>
      </c>
      <c r="G1882" s="22" t="inlineStr">
        <is>
          <t>POS</t>
        </is>
      </c>
      <c r="H1882" s="31" t="n">
        <v>610</v>
      </c>
      <c r="I1882" s="31" t="n">
        <v>0</v>
      </c>
      <c r="J1882" s="31" t="n">
        <v>610</v>
      </c>
      <c r="K1882" s="31" t="n">
        <v>0</v>
      </c>
      <c r="L1882" s="32" t="n">
        <v>1</v>
      </c>
      <c r="M1882" s="32" t="n">
        <v>2</v>
      </c>
      <c r="N1882" s="31" t="n">
        <v>610</v>
      </c>
      <c r="O1882" s="31" t="n">
        <v>610</v>
      </c>
      <c r="P1882" s="22" t="n">
        <v>0</v>
      </c>
      <c r="Q1882" s="22" t="n">
        <v>0</v>
      </c>
      <c r="R1882" s="22" t="n">
        <v>0</v>
      </c>
    </row>
    <row r="1883">
      <c r="A1883" s="22" t="n">
        <v>201904</v>
      </c>
      <c r="B1883" s="22" t="inlineStr">
        <is>
          <t>04/2019</t>
        </is>
      </c>
      <c r="C1883" s="22" t="n">
        <v>57</v>
      </c>
      <c r="D1883" s="22" t="inlineStr">
        <is>
          <t>S57</t>
        </is>
      </c>
      <c r="E1883" s="22" t="inlineStr">
        <is>
          <t>Nexa New Mexico (S57)</t>
        </is>
      </c>
      <c r="F1883" s="22" t="inlineStr">
        <is>
          <t>Mỹ</t>
        </is>
      </c>
      <c r="G1883" s="22" t="inlineStr">
        <is>
          <t>POS</t>
        </is>
      </c>
      <c r="H1883" s="31" t="n">
        <v>988.63</v>
      </c>
      <c r="I1883" s="31" t="n">
        <v>0</v>
      </c>
      <c r="J1883" s="31" t="n">
        <v>988.63</v>
      </c>
      <c r="K1883" s="31" t="n">
        <v>0</v>
      </c>
      <c r="L1883" s="32" t="n">
        <v>1</v>
      </c>
      <c r="M1883" s="32" t="n">
        <v>6</v>
      </c>
      <c r="N1883" s="31" t="n">
        <v>988.63</v>
      </c>
      <c r="O1883" s="31" t="n">
        <v>988.63</v>
      </c>
      <c r="P1883" s="22" t="n">
        <v>0</v>
      </c>
      <c r="Q1883" s="22" t="n">
        <v>0</v>
      </c>
      <c r="R1883" s="22" t="n">
        <v>0</v>
      </c>
    </row>
    <row r="1884">
      <c r="A1884" s="22" t="n">
        <v>201904</v>
      </c>
      <c r="B1884" s="22" t="inlineStr">
        <is>
          <t>04/2019</t>
        </is>
      </c>
      <c r="C1884" s="22" t="n">
        <v>59</v>
      </c>
      <c r="D1884" s="22" t="inlineStr">
        <is>
          <t>S59</t>
        </is>
      </c>
      <c r="E1884" s="22" t="inlineStr">
        <is>
          <t>Nexa Oregon (S59)</t>
        </is>
      </c>
      <c r="F1884" s="22" t="inlineStr">
        <is>
          <t>Mỹ</t>
        </is>
      </c>
      <c r="G1884" s="22" t="inlineStr">
        <is>
          <t>POS</t>
        </is>
      </c>
      <c r="H1884" s="31" t="n">
        <v>3837.34</v>
      </c>
      <c r="I1884" s="31" t="n">
        <v>0</v>
      </c>
      <c r="J1884" s="31" t="n">
        <v>3837.34</v>
      </c>
      <c r="K1884" s="31" t="n">
        <v>139.99</v>
      </c>
      <c r="L1884" s="32" t="n">
        <v>3</v>
      </c>
      <c r="M1884" s="32" t="n">
        <v>14</v>
      </c>
      <c r="N1884" s="31" t="n">
        <v>3697.35</v>
      </c>
      <c r="O1884" s="31" t="n">
        <v>3837.34</v>
      </c>
      <c r="P1884" s="22" t="n">
        <v>0</v>
      </c>
      <c r="Q1884" s="22" t="n">
        <v>0</v>
      </c>
      <c r="R1884" s="22" t="n">
        <v>0</v>
      </c>
    </row>
    <row r="1885">
      <c r="A1885" s="22" t="n">
        <v>201904</v>
      </c>
      <c r="B1885" s="22" t="inlineStr">
        <is>
          <t>04/2019</t>
        </is>
      </c>
      <c r="C1885" s="22" t="n">
        <v>61</v>
      </c>
      <c r="D1885" s="22" t="inlineStr">
        <is>
          <t>S61</t>
        </is>
      </c>
      <c r="E1885" s="22" t="inlineStr">
        <is>
          <t>Nexa South Carolina (S61)</t>
        </is>
      </c>
      <c r="F1885" s="22" t="inlineStr">
        <is>
          <t>Mỹ</t>
        </is>
      </c>
      <c r="G1885" s="22" t="inlineStr">
        <is>
          <t>POS</t>
        </is>
      </c>
      <c r="H1885" s="31" t="n">
        <v>6188</v>
      </c>
      <c r="I1885" s="31" t="n">
        <v>0</v>
      </c>
      <c r="J1885" s="31" t="n">
        <v>6188</v>
      </c>
      <c r="K1885" s="31" t="n">
        <v>189.96</v>
      </c>
      <c r="L1885" s="32" t="n">
        <v>1</v>
      </c>
      <c r="M1885" s="32" t="n">
        <v>19</v>
      </c>
      <c r="N1885" s="31" t="n">
        <v>5998.04</v>
      </c>
      <c r="O1885" s="31" t="n">
        <v>6188</v>
      </c>
      <c r="P1885" s="22" t="n">
        <v>0</v>
      </c>
      <c r="Q1885" s="22" t="n">
        <v>0</v>
      </c>
      <c r="R1885" s="22" t="n">
        <v>0</v>
      </c>
    </row>
    <row r="1886">
      <c r="A1886" s="22" t="n">
        <v>201904</v>
      </c>
      <c r="B1886" s="22" t="inlineStr">
        <is>
          <t>04/2019</t>
        </is>
      </c>
      <c r="C1886" s="22" t="n">
        <v>62</v>
      </c>
      <c r="D1886" s="22" t="inlineStr">
        <is>
          <t>S62</t>
        </is>
      </c>
      <c r="E1886" s="22" t="inlineStr">
        <is>
          <t>Nexa South Dakota (S62)</t>
        </is>
      </c>
      <c r="F1886" s="22" t="inlineStr">
        <is>
          <t>Mỹ</t>
        </is>
      </c>
      <c r="G1886" s="22" t="inlineStr">
        <is>
          <t>POS</t>
        </is>
      </c>
      <c r="H1886" s="31" t="n">
        <v>5653</v>
      </c>
      <c r="I1886" s="31" t="n">
        <v>0</v>
      </c>
      <c r="J1886" s="31" t="n">
        <v>5653</v>
      </c>
      <c r="K1886" s="31" t="n">
        <v>0</v>
      </c>
      <c r="L1886" s="32" t="n">
        <v>1</v>
      </c>
      <c r="M1886" s="32" t="n">
        <v>25</v>
      </c>
      <c r="N1886" s="31" t="n">
        <v>5653</v>
      </c>
      <c r="O1886" s="31" t="n">
        <v>5653</v>
      </c>
      <c r="P1886" s="22" t="n">
        <v>0</v>
      </c>
      <c r="Q1886" s="22" t="n">
        <v>0</v>
      </c>
      <c r="R1886" s="22" t="n">
        <v>0</v>
      </c>
    </row>
    <row r="1887">
      <c r="A1887" s="22" t="n">
        <v>201904</v>
      </c>
      <c r="B1887" s="22" t="inlineStr">
        <is>
          <t>04/2019</t>
        </is>
      </c>
      <c r="C1887" s="22" t="n">
        <v>63</v>
      </c>
      <c r="D1887" s="22" t="inlineStr">
        <is>
          <t>S63</t>
        </is>
      </c>
      <c r="E1887" s="22" t="inlineStr">
        <is>
          <t>Nexa Utah (S63)</t>
        </is>
      </c>
      <c r="F1887" s="22" t="inlineStr">
        <is>
          <t>Mỹ</t>
        </is>
      </c>
      <c r="G1887" s="22" t="inlineStr">
        <is>
          <t>POS</t>
        </is>
      </c>
      <c r="H1887" s="31" t="n">
        <v>1741.81</v>
      </c>
      <c r="I1887" s="31" t="n">
        <v>0</v>
      </c>
      <c r="J1887" s="31" t="n">
        <v>1741.81</v>
      </c>
      <c r="K1887" s="31" t="n">
        <v>0</v>
      </c>
      <c r="L1887" s="32" t="n">
        <v>1</v>
      </c>
      <c r="M1887" s="32" t="n">
        <v>14</v>
      </c>
      <c r="N1887" s="31" t="n">
        <v>1741.81</v>
      </c>
      <c r="O1887" s="31" t="n">
        <v>1741.81</v>
      </c>
      <c r="P1887" s="22" t="n">
        <v>0</v>
      </c>
      <c r="Q1887" s="22" t="n">
        <v>0</v>
      </c>
      <c r="R1887" s="22" t="n">
        <v>0</v>
      </c>
    </row>
    <row r="1888">
      <c r="A1888" s="22" t="n">
        <v>201904</v>
      </c>
      <c r="B1888" s="22" t="inlineStr">
        <is>
          <t>04/2019</t>
        </is>
      </c>
      <c r="C1888" s="22" t="n">
        <v>64</v>
      </c>
      <c r="D1888" s="22" t="inlineStr">
        <is>
          <t>S64</t>
        </is>
      </c>
      <c r="E1888" s="22" t="inlineStr">
        <is>
          <t>Nexa Washington DC (S64)</t>
        </is>
      </c>
      <c r="F1888" s="22" t="inlineStr">
        <is>
          <t>Mỹ</t>
        </is>
      </c>
      <c r="G1888" s="22" t="inlineStr">
        <is>
          <t>POS</t>
        </is>
      </c>
      <c r="H1888" s="31" t="n">
        <v>724.78</v>
      </c>
      <c r="I1888" s="31" t="n">
        <v>0</v>
      </c>
      <c r="J1888" s="31" t="n">
        <v>724.78</v>
      </c>
      <c r="K1888" s="31" t="n">
        <v>0</v>
      </c>
      <c r="L1888" s="32" t="n">
        <v>2</v>
      </c>
      <c r="M1888" s="32" t="n">
        <v>5</v>
      </c>
      <c r="N1888" s="31" t="n">
        <v>724.78</v>
      </c>
      <c r="O1888" s="31" t="n">
        <v>724.78</v>
      </c>
      <c r="P1888" s="22" t="n">
        <v>0</v>
      </c>
      <c r="Q1888" s="22" t="n">
        <v>0</v>
      </c>
      <c r="R1888" s="22" t="n">
        <v>0</v>
      </c>
    </row>
    <row r="1889">
      <c r="A1889" s="22" t="n">
        <v>201904</v>
      </c>
      <c r="B1889" s="22" t="inlineStr">
        <is>
          <t>04/2019</t>
        </is>
      </c>
      <c r="C1889" s="22" t="n">
        <v>65</v>
      </c>
      <c r="D1889" s="22" t="inlineStr">
        <is>
          <t>S65</t>
        </is>
      </c>
      <c r="E1889" s="22" t="inlineStr">
        <is>
          <t>Nexa West Virginia (S65)</t>
        </is>
      </c>
      <c r="F1889" s="22" t="inlineStr">
        <is>
          <t>Mỹ</t>
        </is>
      </c>
      <c r="G1889" s="22" t="inlineStr">
        <is>
          <t>POS</t>
        </is>
      </c>
      <c r="H1889" s="31" t="n">
        <v>9468.6</v>
      </c>
      <c r="I1889" s="31" t="n">
        <v>0</v>
      </c>
      <c r="J1889" s="31" t="n">
        <v>9468.6</v>
      </c>
      <c r="K1889" s="31" t="n">
        <v>0</v>
      </c>
      <c r="L1889" s="32" t="n">
        <v>5</v>
      </c>
      <c r="M1889" s="32" t="n">
        <v>56</v>
      </c>
      <c r="N1889" s="31" t="n">
        <v>9468.6</v>
      </c>
      <c r="O1889" s="31" t="n">
        <v>9468.6</v>
      </c>
      <c r="P1889" s="22" t="n">
        <v>0</v>
      </c>
      <c r="Q1889" s="22" t="n">
        <v>0</v>
      </c>
      <c r="R1889" s="22" t="n">
        <v>0</v>
      </c>
    </row>
    <row r="1890">
      <c r="A1890" s="22" t="n">
        <v>201904</v>
      </c>
      <c r="B1890" s="22" t="inlineStr">
        <is>
          <t>04/2019</t>
        </is>
      </c>
      <c r="C1890" s="22" t="n">
        <v>66</v>
      </c>
      <c r="D1890" s="22" t="inlineStr">
        <is>
          <t>S66</t>
        </is>
      </c>
      <c r="E1890" s="22" t="inlineStr">
        <is>
          <t>Nexa Wyoming (S66)</t>
        </is>
      </c>
      <c r="F1890" s="22" t="inlineStr">
        <is>
          <t>Mỹ</t>
        </is>
      </c>
      <c r="G1890" s="22" t="inlineStr">
        <is>
          <t>POS</t>
        </is>
      </c>
      <c r="H1890" s="31" t="n">
        <v>2431.78</v>
      </c>
      <c r="I1890" s="31" t="n">
        <v>0</v>
      </c>
      <c r="J1890" s="31" t="n">
        <v>2431.78</v>
      </c>
      <c r="K1890" s="31" t="n">
        <v>0</v>
      </c>
      <c r="L1890" s="32" t="n">
        <v>2</v>
      </c>
      <c r="M1890" s="32" t="n">
        <v>22</v>
      </c>
      <c r="N1890" s="31" t="n">
        <v>2431.78</v>
      </c>
      <c r="O1890" s="31" t="n">
        <v>2431.78</v>
      </c>
      <c r="P1890" s="22" t="n">
        <v>0</v>
      </c>
      <c r="Q1890" s="22" t="n">
        <v>0</v>
      </c>
      <c r="R1890" s="22" t="n">
        <v>1</v>
      </c>
    </row>
    <row r="1891">
      <c r="A1891" s="22" t="n">
        <v>201905</v>
      </c>
      <c r="B1891" s="22" t="inlineStr">
        <is>
          <t>05/2019</t>
        </is>
      </c>
      <c r="C1891" s="22" t="n">
        <v>0</v>
      </c>
      <c r="D1891" s="22" t="inlineStr">
        <is>
          <t>ONL</t>
        </is>
      </c>
      <c r="E1891" s="22" t="inlineStr">
        <is>
          <t>Nexa Online (website/app)</t>
        </is>
      </c>
      <c r="F1891" s="22" t="inlineStr">
        <is>
          <t>Online</t>
        </is>
      </c>
      <c r="G1891" s="22" t="inlineStr">
        <is>
          <t>ONLINE</t>
        </is>
      </c>
      <c r="H1891" s="31" t="n">
        <v>336050.55</v>
      </c>
      <c r="I1891" s="31" t="n">
        <v>7101.18</v>
      </c>
      <c r="J1891" s="31" t="n">
        <v>328949.37</v>
      </c>
      <c r="K1891" s="31" t="n">
        <v>1105.95</v>
      </c>
      <c r="L1891" s="32" t="n">
        <v>182</v>
      </c>
      <c r="M1891" s="32" t="n">
        <v>1303</v>
      </c>
      <c r="N1891" s="31" t="n">
        <v>294860.05</v>
      </c>
      <c r="O1891" s="31" t="n">
        <v>295966</v>
      </c>
      <c r="P1891" s="22" t="n">
        <v>5</v>
      </c>
      <c r="Q1891" s="22" t="n">
        <v>0</v>
      </c>
      <c r="R1891" s="22" t="n">
        <v>0</v>
      </c>
    </row>
    <row r="1892">
      <c r="A1892" s="22" t="n">
        <v>201905</v>
      </c>
      <c r="B1892" s="22" t="inlineStr">
        <is>
          <t>05/2019</t>
        </is>
      </c>
      <c r="C1892" s="22" t="n">
        <v>1</v>
      </c>
      <c r="D1892" s="22" t="inlineStr">
        <is>
          <t>S01</t>
        </is>
      </c>
      <c r="E1892" s="22" t="inlineStr">
        <is>
          <t>Nexa Australian Capital Territory (S01)</t>
        </is>
      </c>
      <c r="F1892" s="22" t="inlineStr">
        <is>
          <t>Úc</t>
        </is>
      </c>
      <c r="G1892" s="22" t="inlineStr">
        <is>
          <t>POS</t>
        </is>
      </c>
      <c r="H1892" s="31" t="n">
        <v>899.4400000000001</v>
      </c>
      <c r="I1892" s="31" t="n">
        <v>0</v>
      </c>
      <c r="J1892" s="31" t="n">
        <v>899.4400000000001</v>
      </c>
      <c r="K1892" s="31" t="n">
        <v>0</v>
      </c>
      <c r="L1892" s="32" t="n">
        <v>2</v>
      </c>
      <c r="M1892" s="32" t="n">
        <v>15</v>
      </c>
      <c r="N1892" s="31" t="n">
        <v>899.4400000000001</v>
      </c>
      <c r="O1892" s="31" t="n">
        <v>899.4400000000001</v>
      </c>
      <c r="P1892" s="22" t="n">
        <v>0</v>
      </c>
      <c r="Q1892" s="22" t="n">
        <v>0</v>
      </c>
      <c r="R1892" s="22" t="n">
        <v>0</v>
      </c>
    </row>
    <row r="1893">
      <c r="A1893" s="22" t="n">
        <v>201905</v>
      </c>
      <c r="B1893" s="22" t="inlineStr">
        <is>
          <t>05/2019</t>
        </is>
      </c>
      <c r="C1893" s="22" t="n">
        <v>4</v>
      </c>
      <c r="D1893" s="22" t="inlineStr">
        <is>
          <t>S04</t>
        </is>
      </c>
      <c r="E1893" s="22" t="inlineStr">
        <is>
          <t>Nexa Tasmania (S04)</t>
        </is>
      </c>
      <c r="F1893" s="22" t="inlineStr">
        <is>
          <t>Úc</t>
        </is>
      </c>
      <c r="G1893" s="22" t="inlineStr">
        <is>
          <t>POS</t>
        </is>
      </c>
      <c r="H1893" s="31" t="n">
        <v>7090.96</v>
      </c>
      <c r="I1893" s="31" t="n">
        <v>0</v>
      </c>
      <c r="J1893" s="31" t="n">
        <v>7090.96</v>
      </c>
      <c r="K1893" s="31" t="n">
        <v>0</v>
      </c>
      <c r="L1893" s="32" t="n">
        <v>4</v>
      </c>
      <c r="M1893" s="32" t="n">
        <v>28</v>
      </c>
      <c r="N1893" s="31" t="n">
        <v>7090.96</v>
      </c>
      <c r="O1893" s="31" t="n">
        <v>7090.96</v>
      </c>
      <c r="P1893" s="22" t="n">
        <v>1</v>
      </c>
      <c r="Q1893" s="22" t="n">
        <v>0</v>
      </c>
      <c r="R1893" s="22" t="n">
        <v>0</v>
      </c>
    </row>
    <row r="1894">
      <c r="A1894" s="22" t="n">
        <v>201905</v>
      </c>
      <c r="B1894" s="22" t="inlineStr">
        <is>
          <t>05/2019</t>
        </is>
      </c>
      <c r="C1894" s="22" t="n">
        <v>5</v>
      </c>
      <c r="D1894" s="22" t="inlineStr">
        <is>
          <t>S05</t>
        </is>
      </c>
      <c r="E1894" s="22" t="inlineStr">
        <is>
          <t>Nexa Victoria (S05)</t>
        </is>
      </c>
      <c r="F1894" s="22" t="inlineStr">
        <is>
          <t>Úc</t>
        </is>
      </c>
      <c r="G1894" s="22" t="inlineStr">
        <is>
          <t>POS</t>
        </is>
      </c>
      <c r="H1894" s="31" t="n">
        <v>7128.22</v>
      </c>
      <c r="I1894" s="31" t="n">
        <v>0</v>
      </c>
      <c r="J1894" s="31" t="n">
        <v>7128.22</v>
      </c>
      <c r="K1894" s="31" t="n">
        <v>0</v>
      </c>
      <c r="L1894" s="32" t="n">
        <v>8</v>
      </c>
      <c r="M1894" s="32" t="n">
        <v>31</v>
      </c>
      <c r="N1894" s="31" t="n">
        <v>7128.22</v>
      </c>
      <c r="O1894" s="31" t="n">
        <v>7128.22</v>
      </c>
      <c r="P1894" s="22" t="n">
        <v>0</v>
      </c>
      <c r="Q1894" s="22" t="n">
        <v>0</v>
      </c>
      <c r="R1894" s="22" t="n">
        <v>0</v>
      </c>
    </row>
    <row r="1895">
      <c r="A1895" s="22" t="n">
        <v>201905</v>
      </c>
      <c r="B1895" s="22" t="inlineStr">
        <is>
          <t>05/2019</t>
        </is>
      </c>
      <c r="C1895" s="22" t="n">
        <v>6</v>
      </c>
      <c r="D1895" s="22" t="inlineStr">
        <is>
          <t>S06</t>
        </is>
      </c>
      <c r="E1895" s="22" t="inlineStr">
        <is>
          <t>Nexa Western Australia (S06)</t>
        </is>
      </c>
      <c r="F1895" s="22" t="inlineStr">
        <is>
          <t>Úc</t>
        </is>
      </c>
      <c r="G1895" s="22" t="inlineStr">
        <is>
          <t>POS</t>
        </is>
      </c>
      <c r="H1895" s="31" t="n">
        <v>8106.58</v>
      </c>
      <c r="I1895" s="31" t="n">
        <v>0</v>
      </c>
      <c r="J1895" s="31" t="n">
        <v>8106.58</v>
      </c>
      <c r="K1895" s="31" t="n">
        <v>0</v>
      </c>
      <c r="L1895" s="32" t="n">
        <v>8</v>
      </c>
      <c r="M1895" s="32" t="n">
        <v>45</v>
      </c>
      <c r="N1895" s="31" t="n">
        <v>8106.58</v>
      </c>
      <c r="O1895" s="31" t="n">
        <v>8106.58</v>
      </c>
      <c r="P1895" s="22" t="n">
        <v>1</v>
      </c>
      <c r="Q1895" s="22" t="n">
        <v>0</v>
      </c>
      <c r="R1895" s="22" t="n">
        <v>0</v>
      </c>
    </row>
    <row r="1896">
      <c r="A1896" s="22" t="n">
        <v>201905</v>
      </c>
      <c r="B1896" s="22" t="inlineStr">
        <is>
          <t>05/2019</t>
        </is>
      </c>
      <c r="C1896" s="22" t="n">
        <v>8</v>
      </c>
      <c r="D1896" s="22" t="inlineStr">
        <is>
          <t>S08</t>
        </is>
      </c>
      <c r="E1896" s="22" t="inlineStr">
        <is>
          <t>Nexa Newfoundland and Labrador (S08)</t>
        </is>
      </c>
      <c r="F1896" s="22" t="inlineStr">
        <is>
          <t>Canada</t>
        </is>
      </c>
      <c r="G1896" s="22" t="inlineStr">
        <is>
          <t>POS</t>
        </is>
      </c>
      <c r="H1896" s="31" t="n">
        <v>26174.93</v>
      </c>
      <c r="I1896" s="31" t="n">
        <v>0</v>
      </c>
      <c r="J1896" s="31" t="n">
        <v>26174.93</v>
      </c>
      <c r="K1896" s="31" t="n">
        <v>5.5</v>
      </c>
      <c r="L1896" s="32" t="n">
        <v>16</v>
      </c>
      <c r="M1896" s="32" t="n">
        <v>75</v>
      </c>
      <c r="N1896" s="31" t="n">
        <v>26169.43</v>
      </c>
      <c r="O1896" s="31" t="n">
        <v>26174.93</v>
      </c>
      <c r="P1896" s="22" t="n">
        <v>0</v>
      </c>
      <c r="Q1896" s="22" t="n">
        <v>0</v>
      </c>
      <c r="R1896" s="22" t="n">
        <v>0</v>
      </c>
    </row>
    <row r="1897">
      <c r="A1897" s="22" t="n">
        <v>201905</v>
      </c>
      <c r="B1897" s="22" t="inlineStr">
        <is>
          <t>05/2019</t>
        </is>
      </c>
      <c r="C1897" s="22" t="n">
        <v>9</v>
      </c>
      <c r="D1897" s="22" t="inlineStr">
        <is>
          <t>S09</t>
        </is>
      </c>
      <c r="E1897" s="22" t="inlineStr">
        <is>
          <t>Nexa Northwest Territories (S09)</t>
        </is>
      </c>
      <c r="F1897" s="22" t="inlineStr">
        <is>
          <t>Canada</t>
        </is>
      </c>
      <c r="G1897" s="22" t="inlineStr">
        <is>
          <t>POS</t>
        </is>
      </c>
      <c r="H1897" s="31" t="n">
        <v>34630.58</v>
      </c>
      <c r="I1897" s="31" t="n">
        <v>0</v>
      </c>
      <c r="J1897" s="31" t="n">
        <v>34630.58</v>
      </c>
      <c r="K1897" s="31" t="n">
        <v>181</v>
      </c>
      <c r="L1897" s="32" t="n">
        <v>11</v>
      </c>
      <c r="M1897" s="32" t="n">
        <v>80</v>
      </c>
      <c r="N1897" s="31" t="n">
        <v>34449.58</v>
      </c>
      <c r="O1897" s="31" t="n">
        <v>34630.58</v>
      </c>
      <c r="P1897" s="22" t="n">
        <v>0</v>
      </c>
      <c r="Q1897" s="22" t="n">
        <v>0</v>
      </c>
      <c r="R1897" s="22" t="n">
        <v>0</v>
      </c>
    </row>
    <row r="1898">
      <c r="A1898" s="22" t="n">
        <v>201905</v>
      </c>
      <c r="B1898" s="22" t="inlineStr">
        <is>
          <t>05/2019</t>
        </is>
      </c>
      <c r="C1898" s="22" t="n">
        <v>10</v>
      </c>
      <c r="D1898" s="22" t="inlineStr">
        <is>
          <t>S10</t>
        </is>
      </c>
      <c r="E1898" s="22" t="inlineStr">
        <is>
          <t>Nexa Nunavut (S10)</t>
        </is>
      </c>
      <c r="F1898" s="22" t="inlineStr">
        <is>
          <t>Canada</t>
        </is>
      </c>
      <c r="G1898" s="22" t="inlineStr">
        <is>
          <t>POS</t>
        </is>
      </c>
      <c r="H1898" s="31" t="n">
        <v>12391.49</v>
      </c>
      <c r="I1898" s="31" t="n">
        <v>0</v>
      </c>
      <c r="J1898" s="31" t="n">
        <v>12391.49</v>
      </c>
      <c r="K1898" s="31" t="n">
        <v>0</v>
      </c>
      <c r="L1898" s="32" t="n">
        <v>10</v>
      </c>
      <c r="M1898" s="32" t="n">
        <v>71</v>
      </c>
      <c r="N1898" s="31" t="n">
        <v>12391.49</v>
      </c>
      <c r="O1898" s="31" t="n">
        <v>12391.49</v>
      </c>
      <c r="P1898" s="22" t="n">
        <v>0</v>
      </c>
      <c r="Q1898" s="22" t="n">
        <v>0</v>
      </c>
      <c r="R1898" s="22" t="n">
        <v>0</v>
      </c>
    </row>
    <row r="1899">
      <c r="A1899" s="22" t="n">
        <v>201905</v>
      </c>
      <c r="B1899" s="22" t="inlineStr">
        <is>
          <t>05/2019</t>
        </is>
      </c>
      <c r="C1899" s="22" t="n">
        <v>12</v>
      </c>
      <c r="D1899" s="22" t="inlineStr">
        <is>
          <t>S12</t>
        </is>
      </c>
      <c r="E1899" s="22" t="inlineStr">
        <is>
          <t>Nexa Basse-Normandie (S12)</t>
        </is>
      </c>
      <c r="F1899" s="22" t="inlineStr">
        <is>
          <t>Pháp</t>
        </is>
      </c>
      <c r="G1899" s="22" t="inlineStr">
        <is>
          <t>POS</t>
        </is>
      </c>
      <c r="H1899" s="31" t="n">
        <v>1689.99</v>
      </c>
      <c r="I1899" s="31" t="n">
        <v>0</v>
      </c>
      <c r="J1899" s="31" t="n">
        <v>1689.99</v>
      </c>
      <c r="K1899" s="31" t="n">
        <v>0</v>
      </c>
      <c r="L1899" s="32" t="n">
        <v>1</v>
      </c>
      <c r="M1899" s="32" t="n">
        <v>4</v>
      </c>
      <c r="N1899" s="31" t="n">
        <v>1689.99</v>
      </c>
      <c r="O1899" s="31" t="n">
        <v>1689.99</v>
      </c>
      <c r="P1899" s="22" t="n">
        <v>0</v>
      </c>
      <c r="Q1899" s="22" t="n">
        <v>0</v>
      </c>
      <c r="R1899" s="22" t="n">
        <v>0</v>
      </c>
    </row>
    <row r="1900">
      <c r="A1900" s="22" t="n">
        <v>201905</v>
      </c>
      <c r="B1900" s="22" t="inlineStr">
        <is>
          <t>05/2019</t>
        </is>
      </c>
      <c r="C1900" s="22" t="n">
        <v>13</v>
      </c>
      <c r="D1900" s="22" t="inlineStr">
        <is>
          <t>S13</t>
        </is>
      </c>
      <c r="E1900" s="22" t="inlineStr">
        <is>
          <t>Nexa Corse (S13)</t>
        </is>
      </c>
      <c r="F1900" s="22" t="inlineStr">
        <is>
          <t>Pháp</t>
        </is>
      </c>
      <c r="G1900" s="22" t="inlineStr">
        <is>
          <t>POS</t>
        </is>
      </c>
      <c r="H1900" s="31" t="n">
        <v>8154.52</v>
      </c>
      <c r="I1900" s="31" t="n">
        <v>0</v>
      </c>
      <c r="J1900" s="31" t="n">
        <v>8154.52</v>
      </c>
      <c r="K1900" s="31" t="n">
        <v>0</v>
      </c>
      <c r="L1900" s="32" t="n">
        <v>4</v>
      </c>
      <c r="M1900" s="32" t="n">
        <v>30</v>
      </c>
      <c r="N1900" s="31" t="n">
        <v>8154.52</v>
      </c>
      <c r="O1900" s="31" t="n">
        <v>8154.52</v>
      </c>
      <c r="P1900" s="22" t="n">
        <v>0</v>
      </c>
      <c r="Q1900" s="22" t="n">
        <v>0</v>
      </c>
      <c r="R1900" s="22" t="n">
        <v>0</v>
      </c>
    </row>
    <row r="1901">
      <c r="A1901" s="22" t="n">
        <v>201905</v>
      </c>
      <c r="B1901" s="22" t="inlineStr">
        <is>
          <t>05/2019</t>
        </is>
      </c>
      <c r="C1901" s="22" t="n">
        <v>15</v>
      </c>
      <c r="D1901" s="22" t="inlineStr">
        <is>
          <t>S15</t>
        </is>
      </c>
      <c r="E1901" s="22" t="inlineStr">
        <is>
          <t>Nexa La Réunion (S15)</t>
        </is>
      </c>
      <c r="F1901" s="22" t="inlineStr">
        <is>
          <t>Pháp</t>
        </is>
      </c>
      <c r="G1901" s="22" t="inlineStr">
        <is>
          <t>POS</t>
        </is>
      </c>
      <c r="H1901" s="31" t="n">
        <v>254.93</v>
      </c>
      <c r="I1901" s="31" t="n">
        <v>0</v>
      </c>
      <c r="J1901" s="31" t="n">
        <v>254.93</v>
      </c>
      <c r="K1901" s="31" t="n">
        <v>0</v>
      </c>
      <c r="L1901" s="32" t="n">
        <v>1</v>
      </c>
      <c r="M1901" s="32" t="n">
        <v>7</v>
      </c>
      <c r="N1901" s="31" t="n">
        <v>254.93</v>
      </c>
      <c r="O1901" s="31" t="n">
        <v>254.93</v>
      </c>
      <c r="P1901" s="22" t="n">
        <v>0</v>
      </c>
      <c r="Q1901" s="22" t="n">
        <v>0</v>
      </c>
      <c r="R1901" s="22" t="n">
        <v>0</v>
      </c>
    </row>
    <row r="1902">
      <c r="A1902" s="22" t="n">
        <v>201905</v>
      </c>
      <c r="B1902" s="22" t="inlineStr">
        <is>
          <t>05/2019</t>
        </is>
      </c>
      <c r="C1902" s="22" t="n">
        <v>16</v>
      </c>
      <c r="D1902" s="22" t="inlineStr">
        <is>
          <t>S16</t>
        </is>
      </c>
      <c r="E1902" s="22" t="inlineStr">
        <is>
          <t>Nexa Limousin (S16)</t>
        </is>
      </c>
      <c r="F1902" s="22" t="inlineStr">
        <is>
          <t>Pháp</t>
        </is>
      </c>
      <c r="G1902" s="22" t="inlineStr">
        <is>
          <t>POS</t>
        </is>
      </c>
      <c r="H1902" s="31" t="n">
        <v>5122.76</v>
      </c>
      <c r="I1902" s="31" t="n">
        <v>0</v>
      </c>
      <c r="J1902" s="31" t="n">
        <v>5122.76</v>
      </c>
      <c r="K1902" s="31" t="n">
        <v>0</v>
      </c>
      <c r="L1902" s="32" t="n">
        <v>7</v>
      </c>
      <c r="M1902" s="32" t="n">
        <v>33</v>
      </c>
      <c r="N1902" s="31" t="n">
        <v>5122.76</v>
      </c>
      <c r="O1902" s="31" t="n">
        <v>5122.76</v>
      </c>
      <c r="P1902" s="22" t="n">
        <v>0</v>
      </c>
      <c r="Q1902" s="22" t="n">
        <v>0</v>
      </c>
      <c r="R1902" s="22" t="n">
        <v>0</v>
      </c>
    </row>
    <row r="1903">
      <c r="A1903" s="22" t="n">
        <v>201905</v>
      </c>
      <c r="B1903" s="22" t="inlineStr">
        <is>
          <t>05/2019</t>
        </is>
      </c>
      <c r="C1903" s="22" t="n">
        <v>17</v>
      </c>
      <c r="D1903" s="22" t="inlineStr">
        <is>
          <t>S17</t>
        </is>
      </c>
      <c r="E1903" s="22" t="inlineStr">
        <is>
          <t>Nexa Martinique (S17)</t>
        </is>
      </c>
      <c r="F1903" s="22" t="inlineStr">
        <is>
          <t>Pháp</t>
        </is>
      </c>
      <c r="G1903" s="22" t="inlineStr">
        <is>
          <t>POS</t>
        </is>
      </c>
      <c r="H1903" s="31" t="n">
        <v>2487.8</v>
      </c>
      <c r="I1903" s="31" t="n">
        <v>0</v>
      </c>
      <c r="J1903" s="31" t="n">
        <v>2487.8</v>
      </c>
      <c r="K1903" s="31" t="n">
        <v>0</v>
      </c>
      <c r="L1903" s="32" t="n">
        <v>3</v>
      </c>
      <c r="M1903" s="32" t="n">
        <v>12</v>
      </c>
      <c r="N1903" s="31" t="n">
        <v>2487.8</v>
      </c>
      <c r="O1903" s="31" t="n">
        <v>2487.8</v>
      </c>
      <c r="P1903" s="22" t="n">
        <v>0</v>
      </c>
      <c r="Q1903" s="22" t="n">
        <v>0</v>
      </c>
      <c r="R1903" s="22" t="n">
        <v>0</v>
      </c>
    </row>
    <row r="1904">
      <c r="A1904" s="22" t="n">
        <v>201905</v>
      </c>
      <c r="B1904" s="22" t="inlineStr">
        <is>
          <t>05/2019</t>
        </is>
      </c>
      <c r="C1904" s="22" t="n">
        <v>18</v>
      </c>
      <c r="D1904" s="22" t="inlineStr">
        <is>
          <t>S18</t>
        </is>
      </c>
      <c r="E1904" s="22" t="inlineStr">
        <is>
          <t>Nexa Mayotte (S18)</t>
        </is>
      </c>
      <c r="F1904" s="22" t="inlineStr">
        <is>
          <t>Pháp</t>
        </is>
      </c>
      <c r="G1904" s="22" t="inlineStr">
        <is>
          <t>POS</t>
        </is>
      </c>
      <c r="H1904" s="31" t="n">
        <v>7234.95</v>
      </c>
      <c r="I1904" s="31" t="n">
        <v>0</v>
      </c>
      <c r="J1904" s="31" t="n">
        <v>7234.95</v>
      </c>
      <c r="K1904" s="31" t="n">
        <v>0</v>
      </c>
      <c r="L1904" s="32" t="n">
        <v>2</v>
      </c>
      <c r="M1904" s="32" t="n">
        <v>4</v>
      </c>
      <c r="N1904" s="31" t="n">
        <v>7234.95</v>
      </c>
      <c r="O1904" s="31" t="n">
        <v>7234.95</v>
      </c>
      <c r="P1904" s="22" t="n">
        <v>0</v>
      </c>
      <c r="Q1904" s="22" t="n">
        <v>0</v>
      </c>
      <c r="R1904" s="22" t="n">
        <v>0</v>
      </c>
    </row>
    <row r="1905">
      <c r="A1905" s="22" t="n">
        <v>201905</v>
      </c>
      <c r="B1905" s="22" t="inlineStr">
        <is>
          <t>05/2019</t>
        </is>
      </c>
      <c r="C1905" s="22" t="n">
        <v>19</v>
      </c>
      <c r="D1905" s="22" t="inlineStr">
        <is>
          <t>S19</t>
        </is>
      </c>
      <c r="E1905" s="22" t="inlineStr">
        <is>
          <t>Nexa Berlin (S19)</t>
        </is>
      </c>
      <c r="F1905" s="22" t="inlineStr">
        <is>
          <t>Đức</t>
        </is>
      </c>
      <c r="G1905" s="22" t="inlineStr">
        <is>
          <t>POS</t>
        </is>
      </c>
      <c r="H1905" s="31" t="n">
        <v>3088.82</v>
      </c>
      <c r="I1905" s="31" t="n">
        <v>0</v>
      </c>
      <c r="J1905" s="31" t="n">
        <v>3088.82</v>
      </c>
      <c r="K1905" s="31" t="n">
        <v>0</v>
      </c>
      <c r="L1905" s="32" t="n">
        <v>4</v>
      </c>
      <c r="M1905" s="32" t="n">
        <v>17</v>
      </c>
      <c r="N1905" s="31" t="n">
        <v>3088.82</v>
      </c>
      <c r="O1905" s="31" t="n">
        <v>3088.82</v>
      </c>
      <c r="P1905" s="22" t="n">
        <v>0</v>
      </c>
      <c r="Q1905" s="22" t="n">
        <v>0</v>
      </c>
      <c r="R1905" s="22" t="n">
        <v>0</v>
      </c>
    </row>
    <row r="1906">
      <c r="A1906" s="22" t="n">
        <v>201905</v>
      </c>
      <c r="B1906" s="22" t="inlineStr">
        <is>
          <t>05/2019</t>
        </is>
      </c>
      <c r="C1906" s="22" t="n">
        <v>20</v>
      </c>
      <c r="D1906" s="22" t="inlineStr">
        <is>
          <t>S20</t>
        </is>
      </c>
      <c r="E1906" s="22" t="inlineStr">
        <is>
          <t>Nexa Brandenburg (S20)</t>
        </is>
      </c>
      <c r="F1906" s="22" t="inlineStr">
        <is>
          <t>Đức</t>
        </is>
      </c>
      <c r="G1906" s="22" t="inlineStr">
        <is>
          <t>POS</t>
        </is>
      </c>
      <c r="H1906" s="31" t="n">
        <v>14796.27</v>
      </c>
      <c r="I1906" s="31" t="n">
        <v>0</v>
      </c>
      <c r="J1906" s="31" t="n">
        <v>14796.27</v>
      </c>
      <c r="K1906" s="31" t="n">
        <v>0</v>
      </c>
      <c r="L1906" s="32" t="n">
        <v>9</v>
      </c>
      <c r="M1906" s="32" t="n">
        <v>61</v>
      </c>
      <c r="N1906" s="31" t="n">
        <v>14796.27</v>
      </c>
      <c r="O1906" s="31" t="n">
        <v>14796.27</v>
      </c>
      <c r="P1906" s="22" t="n">
        <v>0</v>
      </c>
      <c r="Q1906" s="22" t="n">
        <v>0</v>
      </c>
      <c r="R1906" s="22" t="n">
        <v>0</v>
      </c>
    </row>
    <row r="1907">
      <c r="A1907" s="22" t="n">
        <v>201905</v>
      </c>
      <c r="B1907" s="22" t="inlineStr">
        <is>
          <t>05/2019</t>
        </is>
      </c>
      <c r="C1907" s="22" t="n">
        <v>21</v>
      </c>
      <c r="D1907" s="22" t="inlineStr">
        <is>
          <t>S21</t>
        </is>
      </c>
      <c r="E1907" s="22" t="inlineStr">
        <is>
          <t>Nexa Freie Hansestadt Bremen (S21)</t>
        </is>
      </c>
      <c r="F1907" s="22" t="inlineStr">
        <is>
          <t>Đức</t>
        </is>
      </c>
      <c r="G1907" s="22" t="inlineStr">
        <is>
          <t>POS</t>
        </is>
      </c>
      <c r="H1907" s="31" t="n">
        <v>33113.39</v>
      </c>
      <c r="I1907" s="31" t="n">
        <v>0</v>
      </c>
      <c r="J1907" s="31" t="n">
        <v>33113.39</v>
      </c>
      <c r="K1907" s="31" t="n">
        <v>0</v>
      </c>
      <c r="L1907" s="32" t="n">
        <v>13</v>
      </c>
      <c r="M1907" s="32" t="n">
        <v>105</v>
      </c>
      <c r="N1907" s="31" t="n">
        <v>33113.39</v>
      </c>
      <c r="O1907" s="31" t="n">
        <v>33113.39</v>
      </c>
      <c r="P1907" s="22" t="n">
        <v>0</v>
      </c>
      <c r="Q1907" s="22" t="n">
        <v>0</v>
      </c>
      <c r="R1907" s="22" t="n">
        <v>0</v>
      </c>
    </row>
    <row r="1908">
      <c r="A1908" s="22" t="n">
        <v>201905</v>
      </c>
      <c r="B1908" s="22" t="inlineStr">
        <is>
          <t>05/2019</t>
        </is>
      </c>
      <c r="C1908" s="22" t="n">
        <v>22</v>
      </c>
      <c r="D1908" s="22" t="inlineStr">
        <is>
          <t>S22</t>
        </is>
      </c>
      <c r="E1908" s="22" t="inlineStr">
        <is>
          <t>Nexa Freistaat Thüringen (S22)</t>
        </is>
      </c>
      <c r="F1908" s="22" t="inlineStr">
        <is>
          <t>Đức</t>
        </is>
      </c>
      <c r="G1908" s="22" t="inlineStr">
        <is>
          <t>POS</t>
        </is>
      </c>
      <c r="H1908" s="31" t="n">
        <v>19624.3</v>
      </c>
      <c r="I1908" s="31" t="n">
        <v>0</v>
      </c>
      <c r="J1908" s="31" t="n">
        <v>19624.3</v>
      </c>
      <c r="K1908" s="31" t="n">
        <v>2234</v>
      </c>
      <c r="L1908" s="32" t="n">
        <v>13</v>
      </c>
      <c r="M1908" s="32" t="n">
        <v>82</v>
      </c>
      <c r="N1908" s="31" t="n">
        <v>17390.3</v>
      </c>
      <c r="O1908" s="31" t="n">
        <v>19624.3</v>
      </c>
      <c r="P1908" s="22" t="n">
        <v>0</v>
      </c>
      <c r="Q1908" s="22" t="n">
        <v>0</v>
      </c>
      <c r="R1908" s="22" t="n">
        <v>0</v>
      </c>
    </row>
    <row r="1909">
      <c r="A1909" s="22" t="n">
        <v>201905</v>
      </c>
      <c r="B1909" s="22" t="inlineStr">
        <is>
          <t>05/2019</t>
        </is>
      </c>
      <c r="C1909" s="22" t="n">
        <v>23</v>
      </c>
      <c r="D1909" s="22" t="inlineStr">
        <is>
          <t>S23</t>
        </is>
      </c>
      <c r="E1909" s="22" t="inlineStr">
        <is>
          <t>Nexa Hamburg (S23)</t>
        </is>
      </c>
      <c r="F1909" s="22" t="inlineStr">
        <is>
          <t>Đức</t>
        </is>
      </c>
      <c r="G1909" s="22" t="inlineStr">
        <is>
          <t>POS</t>
        </is>
      </c>
      <c r="H1909" s="31" t="n">
        <v>35310.79</v>
      </c>
      <c r="I1909" s="31" t="n">
        <v>0</v>
      </c>
      <c r="J1909" s="31" t="n">
        <v>35310.79</v>
      </c>
      <c r="K1909" s="31" t="n">
        <v>839.76</v>
      </c>
      <c r="L1909" s="32" t="n">
        <v>11</v>
      </c>
      <c r="M1909" s="32" t="n">
        <v>104</v>
      </c>
      <c r="N1909" s="31" t="n">
        <v>34471.03</v>
      </c>
      <c r="O1909" s="31" t="n">
        <v>35310.79</v>
      </c>
      <c r="P1909" s="22" t="n">
        <v>0</v>
      </c>
      <c r="Q1909" s="22" t="n">
        <v>0</v>
      </c>
      <c r="R1909" s="22" t="n">
        <v>0</v>
      </c>
    </row>
    <row r="1910">
      <c r="A1910" s="22" t="n">
        <v>201905</v>
      </c>
      <c r="B1910" s="22" t="inlineStr">
        <is>
          <t>05/2019</t>
        </is>
      </c>
      <c r="C1910" s="22" t="n">
        <v>24</v>
      </c>
      <c r="D1910" s="22" t="inlineStr">
        <is>
          <t>S24</t>
        </is>
      </c>
      <c r="E1910" s="22" t="inlineStr">
        <is>
          <t>Nexa Hessen (S24)</t>
        </is>
      </c>
      <c r="F1910" s="22" t="inlineStr">
        <is>
          <t>Đức</t>
        </is>
      </c>
      <c r="G1910" s="22" t="inlineStr">
        <is>
          <t>POS</t>
        </is>
      </c>
      <c r="H1910" s="31" t="n">
        <v>6918.8</v>
      </c>
      <c r="I1910" s="31" t="n">
        <v>0</v>
      </c>
      <c r="J1910" s="31" t="n">
        <v>6918.8</v>
      </c>
      <c r="K1910" s="31" t="n">
        <v>0</v>
      </c>
      <c r="L1910" s="32" t="n">
        <v>6</v>
      </c>
      <c r="M1910" s="32" t="n">
        <v>26</v>
      </c>
      <c r="N1910" s="31" t="n">
        <v>6918.8</v>
      </c>
      <c r="O1910" s="31" t="n">
        <v>6918.8</v>
      </c>
      <c r="P1910" s="22" t="n">
        <v>0</v>
      </c>
      <c r="Q1910" s="22" t="n">
        <v>0</v>
      </c>
      <c r="R1910" s="22" t="n">
        <v>0</v>
      </c>
    </row>
    <row r="1911">
      <c r="A1911" s="22" t="n">
        <v>201905</v>
      </c>
      <c r="B1911" s="22" t="inlineStr">
        <is>
          <t>05/2019</t>
        </is>
      </c>
      <c r="C1911" s="22" t="n">
        <v>26</v>
      </c>
      <c r="D1911" s="22" t="inlineStr">
        <is>
          <t>S26</t>
        </is>
      </c>
      <c r="E1911" s="22" t="inlineStr">
        <is>
          <t>Nexa Saarland (S26)</t>
        </is>
      </c>
      <c r="F1911" s="22" t="inlineStr">
        <is>
          <t>Đức</t>
        </is>
      </c>
      <c r="G1911" s="22" t="inlineStr">
        <is>
          <t>POS</t>
        </is>
      </c>
      <c r="H1911" s="31" t="n">
        <v>21204.12</v>
      </c>
      <c r="I1911" s="31" t="n">
        <v>0</v>
      </c>
      <c r="J1911" s="31" t="n">
        <v>21204.12</v>
      </c>
      <c r="K1911" s="31" t="n">
        <v>0</v>
      </c>
      <c r="L1911" s="32" t="n">
        <v>6</v>
      </c>
      <c r="M1911" s="32" t="n">
        <v>79</v>
      </c>
      <c r="N1911" s="31" t="n">
        <v>21204.12</v>
      </c>
      <c r="O1911" s="31" t="n">
        <v>21204.12</v>
      </c>
      <c r="P1911" s="22" t="n">
        <v>0</v>
      </c>
      <c r="Q1911" s="22" t="n">
        <v>0</v>
      </c>
      <c r="R1911" s="22" t="n">
        <v>0</v>
      </c>
    </row>
    <row r="1912">
      <c r="A1912" s="22" t="n">
        <v>201905</v>
      </c>
      <c r="B1912" s="22" t="inlineStr">
        <is>
          <t>05/2019</t>
        </is>
      </c>
      <c r="C1912" s="22" t="n">
        <v>27</v>
      </c>
      <c r="D1912" s="22" t="inlineStr">
        <is>
          <t>S27</t>
        </is>
      </c>
      <c r="E1912" s="22" t="inlineStr">
        <is>
          <t>Nexa Sachsen-Anhalt (S27)</t>
        </is>
      </c>
      <c r="F1912" s="22" t="inlineStr">
        <is>
          <t>Đức</t>
        </is>
      </c>
      <c r="G1912" s="22" t="inlineStr">
        <is>
          <t>POS</t>
        </is>
      </c>
      <c r="H1912" s="31" t="n">
        <v>11115.25</v>
      </c>
      <c r="I1912" s="31" t="n">
        <v>0</v>
      </c>
      <c r="J1912" s="31" t="n">
        <v>11115.25</v>
      </c>
      <c r="K1912" s="31" t="n">
        <v>9.99</v>
      </c>
      <c r="L1912" s="32" t="n">
        <v>5</v>
      </c>
      <c r="M1912" s="32" t="n">
        <v>64</v>
      </c>
      <c r="N1912" s="31" t="n">
        <v>11675.2</v>
      </c>
      <c r="O1912" s="31" t="n">
        <v>11115.25</v>
      </c>
      <c r="P1912" s="22" t="n">
        <v>1</v>
      </c>
      <c r="Q1912" s="22" t="n">
        <v>0</v>
      </c>
      <c r="R1912" s="22" t="n">
        <v>0</v>
      </c>
    </row>
    <row r="1913">
      <c r="A1913" s="22" t="n">
        <v>201905</v>
      </c>
      <c r="B1913" s="22" t="inlineStr">
        <is>
          <t>05/2019</t>
        </is>
      </c>
      <c r="C1913" s="22" t="n">
        <v>29</v>
      </c>
      <c r="D1913" s="22" t="inlineStr">
        <is>
          <t>S29</t>
        </is>
      </c>
      <c r="E1913" s="22" t="inlineStr">
        <is>
          <t>Nexa Enna (S29)</t>
        </is>
      </c>
      <c r="F1913" s="22" t="inlineStr">
        <is>
          <t>Ý</t>
        </is>
      </c>
      <c r="G1913" s="22" t="inlineStr">
        <is>
          <t>POS</t>
        </is>
      </c>
      <c r="H1913" s="31" t="n">
        <v>28625.94</v>
      </c>
      <c r="I1913" s="31" t="n">
        <v>0</v>
      </c>
      <c r="J1913" s="31" t="n">
        <v>28625.94</v>
      </c>
      <c r="K1913" s="31" t="n">
        <v>2573.99</v>
      </c>
      <c r="L1913" s="32" t="n">
        <v>12</v>
      </c>
      <c r="M1913" s="32" t="n">
        <v>89</v>
      </c>
      <c r="N1913" s="31" t="n">
        <v>26051.95</v>
      </c>
      <c r="O1913" s="31" t="n">
        <v>28625.94</v>
      </c>
      <c r="P1913" s="22" t="n">
        <v>1</v>
      </c>
      <c r="Q1913" s="22" t="n">
        <v>0</v>
      </c>
      <c r="R1913" s="22" t="n">
        <v>0</v>
      </c>
    </row>
    <row r="1914">
      <c r="A1914" s="22" t="n">
        <v>201905</v>
      </c>
      <c r="B1914" s="22" t="inlineStr">
        <is>
          <t>05/2019</t>
        </is>
      </c>
      <c r="C1914" s="22" t="n">
        <v>30</v>
      </c>
      <c r="D1914" s="22" t="inlineStr">
        <is>
          <t>S30</t>
        </is>
      </c>
      <c r="E1914" s="22" t="inlineStr">
        <is>
          <t>Nexa Pesaro (S30)</t>
        </is>
      </c>
      <c r="F1914" s="22" t="inlineStr">
        <is>
          <t>Ý</t>
        </is>
      </c>
      <c r="G1914" s="22" t="inlineStr">
        <is>
          <t>POS</t>
        </is>
      </c>
      <c r="H1914" s="31" t="n">
        <v>10498.04</v>
      </c>
      <c r="I1914" s="31" t="n">
        <v>0</v>
      </c>
      <c r="J1914" s="31" t="n">
        <v>10498.04</v>
      </c>
      <c r="K1914" s="31" t="n">
        <v>0</v>
      </c>
      <c r="L1914" s="32" t="n">
        <v>10</v>
      </c>
      <c r="M1914" s="32" t="n">
        <v>78</v>
      </c>
      <c r="N1914" s="31" t="n">
        <v>10498.04</v>
      </c>
      <c r="O1914" s="31" t="n">
        <v>10498.04</v>
      </c>
      <c r="P1914" s="22" t="n">
        <v>0</v>
      </c>
      <c r="Q1914" s="22" t="n">
        <v>0</v>
      </c>
      <c r="R1914" s="22" t="n">
        <v>0</v>
      </c>
    </row>
    <row r="1915">
      <c r="A1915" s="22" t="n">
        <v>201905</v>
      </c>
      <c r="B1915" s="22" t="inlineStr">
        <is>
          <t>05/2019</t>
        </is>
      </c>
      <c r="C1915" s="22" t="n">
        <v>31</v>
      </c>
      <c r="D1915" s="22" t="inlineStr">
        <is>
          <t>S31</t>
        </is>
      </c>
      <c r="E1915" s="22" t="inlineStr">
        <is>
          <t>Nexa Drenthe (S31)</t>
        </is>
      </c>
      <c r="F1915" s="22" t="inlineStr">
        <is>
          <t>Hà Lan</t>
        </is>
      </c>
      <c r="G1915" s="22" t="inlineStr">
        <is>
          <t>POS</t>
        </is>
      </c>
      <c r="H1915" s="31" t="n">
        <v>7451.42</v>
      </c>
      <c r="I1915" s="31" t="n">
        <v>0</v>
      </c>
      <c r="J1915" s="31" t="n">
        <v>7451.42</v>
      </c>
      <c r="K1915" s="31" t="n">
        <v>68</v>
      </c>
      <c r="L1915" s="32" t="n">
        <v>5</v>
      </c>
      <c r="M1915" s="32" t="n">
        <v>44</v>
      </c>
      <c r="N1915" s="31" t="n">
        <v>7383.42</v>
      </c>
      <c r="O1915" s="31" t="n">
        <v>7451.42</v>
      </c>
      <c r="P1915" s="22" t="n">
        <v>0</v>
      </c>
      <c r="Q1915" s="22" t="n">
        <v>0</v>
      </c>
      <c r="R1915" s="22" t="n">
        <v>0</v>
      </c>
    </row>
    <row r="1916">
      <c r="A1916" s="22" t="n">
        <v>201905</v>
      </c>
      <c r="B1916" s="22" t="inlineStr">
        <is>
          <t>05/2019</t>
        </is>
      </c>
      <c r="C1916" s="22" t="n">
        <v>32</v>
      </c>
      <c r="D1916" s="22" t="inlineStr">
        <is>
          <t>S32</t>
        </is>
      </c>
      <c r="E1916" s="22" t="inlineStr">
        <is>
          <t>Nexa Flevoland (S32)</t>
        </is>
      </c>
      <c r="F1916" s="22" t="inlineStr">
        <is>
          <t>Hà Lan</t>
        </is>
      </c>
      <c r="G1916" s="22" t="inlineStr">
        <is>
          <t>POS</t>
        </is>
      </c>
      <c r="H1916" s="31" t="n">
        <v>11039.87</v>
      </c>
      <c r="I1916" s="31" t="n">
        <v>0</v>
      </c>
      <c r="J1916" s="31" t="n">
        <v>11039.87</v>
      </c>
      <c r="K1916" s="31" t="n">
        <v>0</v>
      </c>
      <c r="L1916" s="32" t="n">
        <v>8</v>
      </c>
      <c r="M1916" s="32" t="n">
        <v>51</v>
      </c>
      <c r="N1916" s="31" t="n">
        <v>11039.87</v>
      </c>
      <c r="O1916" s="31" t="n">
        <v>11039.87</v>
      </c>
      <c r="P1916" s="22" t="n">
        <v>1</v>
      </c>
      <c r="Q1916" s="22" t="n">
        <v>0</v>
      </c>
      <c r="R1916" s="22" t="n">
        <v>0</v>
      </c>
    </row>
    <row r="1917">
      <c r="A1917" s="22" t="n">
        <v>201905</v>
      </c>
      <c r="B1917" s="22" t="inlineStr">
        <is>
          <t>05/2019</t>
        </is>
      </c>
      <c r="C1917" s="22" t="n">
        <v>33</v>
      </c>
      <c r="D1917" s="22" t="inlineStr">
        <is>
          <t>S33</t>
        </is>
      </c>
      <c r="E1917" s="22" t="inlineStr">
        <is>
          <t>Nexa Friesland (S33)</t>
        </is>
      </c>
      <c r="F1917" s="22" t="inlineStr">
        <is>
          <t>Hà Lan</t>
        </is>
      </c>
      <c r="G1917" s="22" t="inlineStr">
        <is>
          <t>POS</t>
        </is>
      </c>
      <c r="H1917" s="31" t="n">
        <v>14050.84</v>
      </c>
      <c r="I1917" s="31" t="n">
        <v>0</v>
      </c>
      <c r="J1917" s="31" t="n">
        <v>14050.84</v>
      </c>
      <c r="K1917" s="31" t="n">
        <v>0</v>
      </c>
      <c r="L1917" s="32" t="n">
        <v>5</v>
      </c>
      <c r="M1917" s="32" t="n">
        <v>36</v>
      </c>
      <c r="N1917" s="31" t="n">
        <v>14050.84</v>
      </c>
      <c r="O1917" s="31" t="n">
        <v>14050.84</v>
      </c>
      <c r="P1917" s="22" t="n">
        <v>0</v>
      </c>
      <c r="Q1917" s="22" t="n">
        <v>0</v>
      </c>
      <c r="R1917" s="22" t="n">
        <v>0</v>
      </c>
    </row>
    <row r="1918">
      <c r="A1918" s="22" t="n">
        <v>201905</v>
      </c>
      <c r="B1918" s="22" t="inlineStr">
        <is>
          <t>05/2019</t>
        </is>
      </c>
      <c r="C1918" s="22" t="n">
        <v>34</v>
      </c>
      <c r="D1918" s="22" t="inlineStr">
        <is>
          <t>S34</t>
        </is>
      </c>
      <c r="E1918" s="22" t="inlineStr">
        <is>
          <t>Nexa Groningen (S34)</t>
        </is>
      </c>
      <c r="F1918" s="22" t="inlineStr">
        <is>
          <t>Hà Lan</t>
        </is>
      </c>
      <c r="G1918" s="22" t="inlineStr">
        <is>
          <t>POS</t>
        </is>
      </c>
      <c r="H1918" s="31" t="n">
        <v>10224.51</v>
      </c>
      <c r="I1918" s="31" t="n">
        <v>0</v>
      </c>
      <c r="J1918" s="31" t="n">
        <v>10224.51</v>
      </c>
      <c r="K1918" s="31" t="n">
        <v>198</v>
      </c>
      <c r="L1918" s="32" t="n">
        <v>8</v>
      </c>
      <c r="M1918" s="32" t="n">
        <v>47</v>
      </c>
      <c r="N1918" s="31" t="n">
        <v>10026.51</v>
      </c>
      <c r="O1918" s="31" t="n">
        <v>10224.51</v>
      </c>
      <c r="P1918" s="22" t="n">
        <v>1</v>
      </c>
      <c r="Q1918" s="22" t="n">
        <v>0</v>
      </c>
      <c r="R1918" s="22" t="n">
        <v>1</v>
      </c>
    </row>
    <row r="1919">
      <c r="A1919" s="22" t="n">
        <v>201905</v>
      </c>
      <c r="B1919" s="22" t="inlineStr">
        <is>
          <t>05/2019</t>
        </is>
      </c>
      <c r="C1919" s="22" t="n">
        <v>36</v>
      </c>
      <c r="D1919" s="22" t="inlineStr">
        <is>
          <t>S36</t>
        </is>
      </c>
      <c r="E1919" s="22" t="inlineStr">
        <is>
          <t>Nexa Armagh (S36)</t>
        </is>
      </c>
      <c r="F1919" s="22" t="inlineStr">
        <is>
          <t>Anh</t>
        </is>
      </c>
      <c r="G1919" s="22" t="inlineStr">
        <is>
          <t>POS</t>
        </is>
      </c>
      <c r="H1919" s="31" t="n">
        <v>38477.39</v>
      </c>
      <c r="I1919" s="31" t="n">
        <v>0</v>
      </c>
      <c r="J1919" s="31" t="n">
        <v>38477.39</v>
      </c>
      <c r="K1919" s="31" t="n">
        <v>0</v>
      </c>
      <c r="L1919" s="32" t="n">
        <v>13</v>
      </c>
      <c r="M1919" s="32" t="n">
        <v>100</v>
      </c>
      <c r="N1919" s="31" t="n">
        <v>38477.39</v>
      </c>
      <c r="O1919" s="31" t="n">
        <v>38477.39</v>
      </c>
      <c r="P1919" s="22" t="n">
        <v>1</v>
      </c>
      <c r="Q1919" s="22" t="n">
        <v>0</v>
      </c>
      <c r="R1919" s="22" t="n">
        <v>0</v>
      </c>
    </row>
    <row r="1920">
      <c r="A1920" s="22" t="n">
        <v>201905</v>
      </c>
      <c r="B1920" s="22" t="inlineStr">
        <is>
          <t>05/2019</t>
        </is>
      </c>
      <c r="C1920" s="22" t="n">
        <v>37</v>
      </c>
      <c r="D1920" s="22" t="inlineStr">
        <is>
          <t>S37</t>
        </is>
      </c>
      <c r="E1920" s="22" t="inlineStr">
        <is>
          <t>Nexa Ayrshire (S37)</t>
        </is>
      </c>
      <c r="F1920" s="22" t="inlineStr">
        <is>
          <t>Anh</t>
        </is>
      </c>
      <c r="G1920" s="22" t="inlineStr">
        <is>
          <t>POS</t>
        </is>
      </c>
      <c r="H1920" s="31" t="n">
        <v>13200.79</v>
      </c>
      <c r="I1920" s="31" t="n">
        <v>0</v>
      </c>
      <c r="J1920" s="31" t="n">
        <v>13200.79</v>
      </c>
      <c r="K1920" s="31" t="n">
        <v>624</v>
      </c>
      <c r="L1920" s="32" t="n">
        <v>10</v>
      </c>
      <c r="M1920" s="32" t="n">
        <v>101</v>
      </c>
      <c r="N1920" s="31" t="n">
        <v>12576.79</v>
      </c>
      <c r="O1920" s="31" t="n">
        <v>13200.79</v>
      </c>
      <c r="P1920" s="22" t="n">
        <v>0</v>
      </c>
      <c r="Q1920" s="22" t="n">
        <v>0</v>
      </c>
      <c r="R1920" s="22" t="n">
        <v>0</v>
      </c>
    </row>
    <row r="1921">
      <c r="A1921" s="22" t="n">
        <v>201905</v>
      </c>
      <c r="B1921" s="22" t="inlineStr">
        <is>
          <t>05/2019</t>
        </is>
      </c>
      <c r="C1921" s="22" t="n">
        <v>38</v>
      </c>
      <c r="D1921" s="22" t="inlineStr">
        <is>
          <t>S38</t>
        </is>
      </c>
      <c r="E1921" s="22" t="inlineStr">
        <is>
          <t>Nexa Belfast (S38)</t>
        </is>
      </c>
      <c r="F1921" s="22" t="inlineStr">
        <is>
          <t>Anh</t>
        </is>
      </c>
      <c r="G1921" s="22" t="inlineStr">
        <is>
          <t>POS</t>
        </is>
      </c>
      <c r="H1921" s="31" t="n">
        <v>45816.06</v>
      </c>
      <c r="I1921" s="31" t="n">
        <v>0</v>
      </c>
      <c r="J1921" s="31" t="n">
        <v>45816.06</v>
      </c>
      <c r="K1921" s="31" t="n">
        <v>4.74</v>
      </c>
      <c r="L1921" s="32" t="n">
        <v>16</v>
      </c>
      <c r="M1921" s="32" t="n">
        <v>144</v>
      </c>
      <c r="N1921" s="31" t="n">
        <v>45811.32</v>
      </c>
      <c r="O1921" s="31" t="n">
        <v>45816.06</v>
      </c>
      <c r="P1921" s="22" t="n">
        <v>1</v>
      </c>
      <c r="Q1921" s="22" t="n">
        <v>0</v>
      </c>
      <c r="R1921" s="22" t="n">
        <v>0</v>
      </c>
    </row>
    <row r="1922">
      <c r="A1922" s="22" t="n">
        <v>201905</v>
      </c>
      <c r="B1922" s="22" t="inlineStr">
        <is>
          <t>05/2019</t>
        </is>
      </c>
      <c r="C1922" s="22" t="n">
        <v>39</v>
      </c>
      <c r="D1922" s="22" t="inlineStr">
        <is>
          <t>S39</t>
        </is>
      </c>
      <c r="E1922" s="22" t="inlineStr">
        <is>
          <t>Nexa Blaenau Gwent (S39)</t>
        </is>
      </c>
      <c r="F1922" s="22" t="inlineStr">
        <is>
          <t>Anh</t>
        </is>
      </c>
      <c r="G1922" s="22" t="inlineStr">
        <is>
          <t>POS</t>
        </is>
      </c>
      <c r="H1922" s="31" t="n">
        <v>7635.79</v>
      </c>
      <c r="I1922" s="31" t="n">
        <v>0</v>
      </c>
      <c r="J1922" s="31" t="n">
        <v>7635.79</v>
      </c>
      <c r="K1922" s="31" t="n">
        <v>410</v>
      </c>
      <c r="L1922" s="32" t="n">
        <v>9</v>
      </c>
      <c r="M1922" s="32" t="n">
        <v>56</v>
      </c>
      <c r="N1922" s="31" t="n">
        <v>7225.79</v>
      </c>
      <c r="O1922" s="31" t="n">
        <v>7635.79</v>
      </c>
      <c r="P1922" s="22" t="n">
        <v>0</v>
      </c>
      <c r="Q1922" s="22" t="n">
        <v>0</v>
      </c>
      <c r="R1922" s="22" t="n">
        <v>0</v>
      </c>
    </row>
    <row r="1923">
      <c r="A1923" s="22" t="n">
        <v>201905</v>
      </c>
      <c r="B1923" s="22" t="inlineStr">
        <is>
          <t>05/2019</t>
        </is>
      </c>
      <c r="C1923" s="22" t="n">
        <v>40</v>
      </c>
      <c r="D1923" s="22" t="inlineStr">
        <is>
          <t>S40</t>
        </is>
      </c>
      <c r="E1923" s="22" t="inlineStr">
        <is>
          <t>Nexa Dungannon and South Tyrone (S40)</t>
        </is>
      </c>
      <c r="F1923" s="22" t="inlineStr">
        <is>
          <t>Anh</t>
        </is>
      </c>
      <c r="G1923" s="22" t="inlineStr">
        <is>
          <t>POS</t>
        </is>
      </c>
      <c r="H1923" s="31" t="n">
        <v>71850.10000000001</v>
      </c>
      <c r="I1923" s="31" t="n">
        <v>0</v>
      </c>
      <c r="J1923" s="31" t="n">
        <v>71850.10000000001</v>
      </c>
      <c r="K1923" s="31" t="n">
        <v>0</v>
      </c>
      <c r="L1923" s="32" t="n">
        <v>19</v>
      </c>
      <c r="M1923" s="32" t="n">
        <v>162</v>
      </c>
      <c r="N1923" s="31" t="n">
        <v>71850.10000000001</v>
      </c>
      <c r="O1923" s="31" t="n">
        <v>71850.10000000001</v>
      </c>
      <c r="P1923" s="22" t="n">
        <v>0</v>
      </c>
      <c r="Q1923" s="22" t="n">
        <v>0</v>
      </c>
      <c r="R1923" s="22" t="n">
        <v>0</v>
      </c>
    </row>
    <row r="1924">
      <c r="A1924" s="22" t="n">
        <v>201905</v>
      </c>
      <c r="B1924" s="22" t="inlineStr">
        <is>
          <t>05/2019</t>
        </is>
      </c>
      <c r="C1924" s="22" t="n">
        <v>42</v>
      </c>
      <c r="D1924" s="22" t="inlineStr">
        <is>
          <t>S42</t>
        </is>
      </c>
      <c r="E1924" s="22" t="inlineStr">
        <is>
          <t>Nexa North Down (S42)</t>
        </is>
      </c>
      <c r="F1924" s="22" t="inlineStr">
        <is>
          <t>Anh</t>
        </is>
      </c>
      <c r="G1924" s="22" t="inlineStr">
        <is>
          <t>POS</t>
        </is>
      </c>
      <c r="H1924" s="31" t="n">
        <v>13900.96</v>
      </c>
      <c r="I1924" s="31" t="n">
        <v>0</v>
      </c>
      <c r="J1924" s="31" t="n">
        <v>13900.96</v>
      </c>
      <c r="K1924" s="31" t="n">
        <v>0</v>
      </c>
      <c r="L1924" s="32" t="n">
        <v>13</v>
      </c>
      <c r="M1924" s="32" t="n">
        <v>66</v>
      </c>
      <c r="N1924" s="31" t="n">
        <v>13900.96</v>
      </c>
      <c r="O1924" s="31" t="n">
        <v>13900.96</v>
      </c>
      <c r="P1924" s="22" t="n">
        <v>0</v>
      </c>
      <c r="Q1924" s="22" t="n">
        <v>0</v>
      </c>
      <c r="R1924" s="22" t="n">
        <v>0</v>
      </c>
    </row>
    <row r="1925">
      <c r="A1925" s="22" t="n">
        <v>201905</v>
      </c>
      <c r="B1925" s="22" t="inlineStr">
        <is>
          <t>05/2019</t>
        </is>
      </c>
      <c r="C1925" s="22" t="n">
        <v>43</v>
      </c>
      <c r="D1925" s="22" t="inlineStr">
        <is>
          <t>S43</t>
        </is>
      </c>
      <c r="E1925" s="22" t="inlineStr">
        <is>
          <t>Nexa Alaska (S43)</t>
        </is>
      </c>
      <c r="F1925" s="22" t="inlineStr">
        <is>
          <t>Mỹ</t>
        </is>
      </c>
      <c r="G1925" s="22" t="inlineStr">
        <is>
          <t>POS</t>
        </is>
      </c>
      <c r="H1925" s="31" t="n">
        <v>59679.2</v>
      </c>
      <c r="I1925" s="31" t="n">
        <v>0</v>
      </c>
      <c r="J1925" s="31" t="n">
        <v>59679.2</v>
      </c>
      <c r="K1925" s="31" t="n">
        <v>6368.8</v>
      </c>
      <c r="L1925" s="32" t="n">
        <v>23</v>
      </c>
      <c r="M1925" s="32" t="n">
        <v>225</v>
      </c>
      <c r="N1925" s="31" t="n">
        <v>53310.4</v>
      </c>
      <c r="O1925" s="31" t="n">
        <v>59679.2</v>
      </c>
      <c r="P1925" s="22" t="n">
        <v>0</v>
      </c>
      <c r="Q1925" s="22" t="n">
        <v>0</v>
      </c>
      <c r="R1925" s="22" t="n">
        <v>1</v>
      </c>
    </row>
    <row r="1926">
      <c r="A1926" s="22" t="n">
        <v>201905</v>
      </c>
      <c r="B1926" s="22" t="inlineStr">
        <is>
          <t>05/2019</t>
        </is>
      </c>
      <c r="C1926" s="22" t="n">
        <v>44</v>
      </c>
      <c r="D1926" s="22" t="inlineStr">
        <is>
          <t>S44</t>
        </is>
      </c>
      <c r="E1926" s="22" t="inlineStr">
        <is>
          <t>Nexa Arkansas (S44)</t>
        </is>
      </c>
      <c r="F1926" s="22" t="inlineStr">
        <is>
          <t>Mỹ</t>
        </is>
      </c>
      <c r="G1926" s="22" t="inlineStr">
        <is>
          <t>POS</t>
        </is>
      </c>
      <c r="H1926" s="31" t="n">
        <v>36773.65</v>
      </c>
      <c r="I1926" s="31" t="n">
        <v>0</v>
      </c>
      <c r="J1926" s="31" t="n">
        <v>36773.65</v>
      </c>
      <c r="K1926" s="31" t="n">
        <v>49.96</v>
      </c>
      <c r="L1926" s="32" t="n">
        <v>13</v>
      </c>
      <c r="M1926" s="32" t="n">
        <v>80</v>
      </c>
      <c r="N1926" s="31" t="n">
        <v>36723.69</v>
      </c>
      <c r="O1926" s="31" t="n">
        <v>36773.65</v>
      </c>
      <c r="P1926" s="22" t="n">
        <v>1</v>
      </c>
      <c r="Q1926" s="22" t="n">
        <v>0</v>
      </c>
      <c r="R1926" s="22" t="n">
        <v>0</v>
      </c>
    </row>
    <row r="1927">
      <c r="A1927" s="22" t="n">
        <v>201905</v>
      </c>
      <c r="B1927" s="22" t="inlineStr">
        <is>
          <t>05/2019</t>
        </is>
      </c>
      <c r="C1927" s="22" t="n">
        <v>45</v>
      </c>
      <c r="D1927" s="22" t="inlineStr">
        <is>
          <t>S45</t>
        </is>
      </c>
      <c r="E1927" s="22" t="inlineStr">
        <is>
          <t>Nexa Connecticut (S45)</t>
        </is>
      </c>
      <c r="F1927" s="22" t="inlineStr">
        <is>
          <t>Mỹ</t>
        </is>
      </c>
      <c r="G1927" s="22" t="inlineStr">
        <is>
          <t>POS</t>
        </is>
      </c>
      <c r="H1927" s="31" t="n">
        <v>42732.34</v>
      </c>
      <c r="I1927" s="31" t="n">
        <v>0</v>
      </c>
      <c r="J1927" s="31" t="n">
        <v>42732.34</v>
      </c>
      <c r="K1927" s="31" t="n">
        <v>0</v>
      </c>
      <c r="L1927" s="32" t="n">
        <v>21</v>
      </c>
      <c r="M1927" s="32" t="n">
        <v>168</v>
      </c>
      <c r="N1927" s="31" t="n">
        <v>42732.34</v>
      </c>
      <c r="O1927" s="31" t="n">
        <v>42732.34</v>
      </c>
      <c r="P1927" s="22" t="n">
        <v>0</v>
      </c>
      <c r="Q1927" s="22" t="n">
        <v>0</v>
      </c>
      <c r="R1927" s="22" t="n">
        <v>0</v>
      </c>
    </row>
    <row r="1928">
      <c r="A1928" s="22" t="n">
        <v>201905</v>
      </c>
      <c r="B1928" s="22" t="inlineStr">
        <is>
          <t>05/2019</t>
        </is>
      </c>
      <c r="C1928" s="22" t="n">
        <v>47</v>
      </c>
      <c r="D1928" s="22" t="inlineStr">
        <is>
          <t>S47</t>
        </is>
      </c>
      <c r="E1928" s="22" t="inlineStr">
        <is>
          <t>Nexa Hawaii (S47)</t>
        </is>
      </c>
      <c r="F1928" s="22" t="inlineStr">
        <is>
          <t>Mỹ</t>
        </is>
      </c>
      <c r="G1928" s="22" t="inlineStr">
        <is>
          <t>POS</t>
        </is>
      </c>
      <c r="H1928" s="31" t="n">
        <v>36451.88</v>
      </c>
      <c r="I1928" s="31" t="n">
        <v>0</v>
      </c>
      <c r="J1928" s="31" t="n">
        <v>36451.88</v>
      </c>
      <c r="K1928" s="31" t="n">
        <v>310</v>
      </c>
      <c r="L1928" s="32" t="n">
        <v>19</v>
      </c>
      <c r="M1928" s="32" t="n">
        <v>166</v>
      </c>
      <c r="N1928" s="31" t="n">
        <v>36141.88</v>
      </c>
      <c r="O1928" s="31" t="n">
        <v>36451.88</v>
      </c>
      <c r="P1928" s="22" t="n">
        <v>0</v>
      </c>
      <c r="Q1928" s="22" t="n">
        <v>0</v>
      </c>
      <c r="R1928" s="22" t="n">
        <v>0</v>
      </c>
    </row>
    <row r="1929">
      <c r="A1929" s="22" t="n">
        <v>201905</v>
      </c>
      <c r="B1929" s="22" t="inlineStr">
        <is>
          <t>05/2019</t>
        </is>
      </c>
      <c r="C1929" s="22" t="n">
        <v>48</v>
      </c>
      <c r="D1929" s="22" t="inlineStr">
        <is>
          <t>S48</t>
        </is>
      </c>
      <c r="E1929" s="22" t="inlineStr">
        <is>
          <t>Nexa Idaho (S48)</t>
        </is>
      </c>
      <c r="F1929" s="22" t="inlineStr">
        <is>
          <t>Mỹ</t>
        </is>
      </c>
      <c r="G1929" s="22" t="inlineStr">
        <is>
          <t>POS</t>
        </is>
      </c>
      <c r="H1929" s="31" t="n">
        <v>16771.32</v>
      </c>
      <c r="I1929" s="31" t="n">
        <v>0</v>
      </c>
      <c r="J1929" s="31" t="n">
        <v>16771.32</v>
      </c>
      <c r="K1929" s="31" t="n">
        <v>0</v>
      </c>
      <c r="L1929" s="32" t="n">
        <v>8</v>
      </c>
      <c r="M1929" s="32" t="n">
        <v>75</v>
      </c>
      <c r="N1929" s="31" t="n">
        <v>16771.32</v>
      </c>
      <c r="O1929" s="31" t="n">
        <v>16771.32</v>
      </c>
      <c r="P1929" s="22" t="n">
        <v>0</v>
      </c>
      <c r="Q1929" s="22" t="n">
        <v>0</v>
      </c>
      <c r="R1929" s="22" t="n">
        <v>0</v>
      </c>
    </row>
    <row r="1930">
      <c r="A1930" s="22" t="n">
        <v>201905</v>
      </c>
      <c r="B1930" s="22" t="inlineStr">
        <is>
          <t>05/2019</t>
        </is>
      </c>
      <c r="C1930" s="22" t="n">
        <v>49</v>
      </c>
      <c r="D1930" s="22" t="inlineStr">
        <is>
          <t>S49</t>
        </is>
      </c>
      <c r="E1930" s="22" t="inlineStr">
        <is>
          <t>Nexa Iowa (S49)</t>
        </is>
      </c>
      <c r="F1930" s="22" t="inlineStr">
        <is>
          <t>Mỹ</t>
        </is>
      </c>
      <c r="G1930" s="22" t="inlineStr">
        <is>
          <t>POS</t>
        </is>
      </c>
      <c r="H1930" s="31" t="n">
        <v>51576.56</v>
      </c>
      <c r="I1930" s="31" t="n">
        <v>0</v>
      </c>
      <c r="J1930" s="31" t="n">
        <v>51576.56</v>
      </c>
      <c r="K1930" s="31" t="n">
        <v>0</v>
      </c>
      <c r="L1930" s="32" t="n">
        <v>19</v>
      </c>
      <c r="M1930" s="32" t="n">
        <v>153</v>
      </c>
      <c r="N1930" s="31" t="n">
        <v>51576.56</v>
      </c>
      <c r="O1930" s="31" t="n">
        <v>51576.56</v>
      </c>
      <c r="P1930" s="22" t="n">
        <v>0</v>
      </c>
      <c r="Q1930" s="22" t="n">
        <v>0</v>
      </c>
      <c r="R1930" s="22" t="n">
        <v>0</v>
      </c>
    </row>
    <row r="1931">
      <c r="A1931" s="22" t="n">
        <v>201905</v>
      </c>
      <c r="B1931" s="22" t="inlineStr">
        <is>
          <t>05/2019</t>
        </is>
      </c>
      <c r="C1931" s="22" t="n">
        <v>50</v>
      </c>
      <c r="D1931" s="22" t="inlineStr">
        <is>
          <t>S50</t>
        </is>
      </c>
      <c r="E1931" s="22" t="inlineStr">
        <is>
          <t>Nexa Kansas (S50)</t>
        </is>
      </c>
      <c r="F1931" s="22" t="inlineStr">
        <is>
          <t>Mỹ</t>
        </is>
      </c>
      <c r="G1931" s="22" t="inlineStr">
        <is>
          <t>POS</t>
        </is>
      </c>
      <c r="H1931" s="31" t="n">
        <v>29404.82</v>
      </c>
      <c r="I1931" s="31" t="n">
        <v>0</v>
      </c>
      <c r="J1931" s="31" t="n">
        <v>29404.82</v>
      </c>
      <c r="K1931" s="31" t="n">
        <v>1990</v>
      </c>
      <c r="L1931" s="32" t="n">
        <v>14</v>
      </c>
      <c r="M1931" s="32" t="n">
        <v>133</v>
      </c>
      <c r="N1931" s="31" t="n">
        <v>27414.82</v>
      </c>
      <c r="O1931" s="31" t="n">
        <v>29404.82</v>
      </c>
      <c r="P1931" s="22" t="n">
        <v>0</v>
      </c>
      <c r="Q1931" s="22" t="n">
        <v>0</v>
      </c>
      <c r="R1931" s="22" t="n">
        <v>1</v>
      </c>
    </row>
    <row r="1932">
      <c r="A1932" s="22" t="n">
        <v>201905</v>
      </c>
      <c r="B1932" s="22" t="inlineStr">
        <is>
          <t>05/2019</t>
        </is>
      </c>
      <c r="C1932" s="22" t="n">
        <v>51</v>
      </c>
      <c r="D1932" s="22" t="inlineStr">
        <is>
          <t>S51</t>
        </is>
      </c>
      <c r="E1932" s="22" t="inlineStr">
        <is>
          <t>Nexa Maine (S51)</t>
        </is>
      </c>
      <c r="F1932" s="22" t="inlineStr">
        <is>
          <t>Mỹ</t>
        </is>
      </c>
      <c r="G1932" s="22" t="inlineStr">
        <is>
          <t>POS</t>
        </is>
      </c>
      <c r="H1932" s="31" t="n">
        <v>41686.75</v>
      </c>
      <c r="I1932" s="31" t="n">
        <v>0</v>
      </c>
      <c r="J1932" s="31" t="n">
        <v>41686.75</v>
      </c>
      <c r="K1932" s="31" t="n">
        <v>0</v>
      </c>
      <c r="L1932" s="32" t="n">
        <v>17</v>
      </c>
      <c r="M1932" s="32" t="n">
        <v>150</v>
      </c>
      <c r="N1932" s="31" t="n">
        <v>41686.75</v>
      </c>
      <c r="O1932" s="31" t="n">
        <v>41686.75</v>
      </c>
      <c r="P1932" s="22" t="n">
        <v>0</v>
      </c>
      <c r="Q1932" s="22" t="n">
        <v>0</v>
      </c>
      <c r="R1932" s="22" t="n">
        <v>0</v>
      </c>
    </row>
    <row r="1933">
      <c r="A1933" s="22" t="n">
        <v>201905</v>
      </c>
      <c r="B1933" s="22" t="inlineStr">
        <is>
          <t>05/2019</t>
        </is>
      </c>
      <c r="C1933" s="22" t="n">
        <v>53</v>
      </c>
      <c r="D1933" s="22" t="inlineStr">
        <is>
          <t>S53</t>
        </is>
      </c>
      <c r="E1933" s="22" t="inlineStr">
        <is>
          <t>Nexa Montana (S53)</t>
        </is>
      </c>
      <c r="F1933" s="22" t="inlineStr">
        <is>
          <t>Mỹ</t>
        </is>
      </c>
      <c r="G1933" s="22" t="inlineStr">
        <is>
          <t>POS</t>
        </is>
      </c>
      <c r="H1933" s="31" t="n">
        <v>7826.27</v>
      </c>
      <c r="I1933" s="31" t="n">
        <v>0</v>
      </c>
      <c r="J1933" s="31" t="n">
        <v>7826.27</v>
      </c>
      <c r="K1933" s="31" t="n">
        <v>0</v>
      </c>
      <c r="L1933" s="32" t="n">
        <v>11</v>
      </c>
      <c r="M1933" s="32" t="n">
        <v>55</v>
      </c>
      <c r="N1933" s="31" t="n">
        <v>7826.27</v>
      </c>
      <c r="O1933" s="31" t="n">
        <v>7826.27</v>
      </c>
      <c r="P1933" s="22" t="n">
        <v>3</v>
      </c>
      <c r="Q1933" s="22" t="n">
        <v>0</v>
      </c>
      <c r="R1933" s="22" t="n">
        <v>0</v>
      </c>
    </row>
    <row r="1934">
      <c r="A1934" s="22" t="n">
        <v>201905</v>
      </c>
      <c r="B1934" s="22" t="inlineStr">
        <is>
          <t>05/2019</t>
        </is>
      </c>
      <c r="C1934" s="22" t="n">
        <v>54</v>
      </c>
      <c r="D1934" s="22" t="inlineStr">
        <is>
          <t>S54</t>
        </is>
      </c>
      <c r="E1934" s="22" t="inlineStr">
        <is>
          <t>Nexa Nebraska (S54)</t>
        </is>
      </c>
      <c r="F1934" s="22" t="inlineStr">
        <is>
          <t>Mỹ</t>
        </is>
      </c>
      <c r="G1934" s="22" t="inlineStr">
        <is>
          <t>POS</t>
        </is>
      </c>
      <c r="H1934" s="31" t="n">
        <v>44215.97</v>
      </c>
      <c r="I1934" s="31" t="n">
        <v>0</v>
      </c>
      <c r="J1934" s="31" t="n">
        <v>44215.97</v>
      </c>
      <c r="K1934" s="31" t="n">
        <v>804</v>
      </c>
      <c r="L1934" s="32" t="n">
        <v>18</v>
      </c>
      <c r="M1934" s="32" t="n">
        <v>145</v>
      </c>
      <c r="N1934" s="31" t="n">
        <v>43411.97</v>
      </c>
      <c r="O1934" s="31" t="n">
        <v>44215.97</v>
      </c>
      <c r="P1934" s="22" t="n">
        <v>0</v>
      </c>
      <c r="Q1934" s="22" t="n">
        <v>0</v>
      </c>
      <c r="R1934" s="22" t="n">
        <v>0</v>
      </c>
    </row>
    <row r="1935">
      <c r="A1935" s="22" t="n">
        <v>201905</v>
      </c>
      <c r="B1935" s="22" t="inlineStr">
        <is>
          <t>05/2019</t>
        </is>
      </c>
      <c r="C1935" s="22" t="n">
        <v>55</v>
      </c>
      <c r="D1935" s="22" t="inlineStr">
        <is>
          <t>S55</t>
        </is>
      </c>
      <c r="E1935" s="22" t="inlineStr">
        <is>
          <t>Nexa Nevada (S55)</t>
        </is>
      </c>
      <c r="F1935" s="22" t="inlineStr">
        <is>
          <t>Mỹ</t>
        </is>
      </c>
      <c r="G1935" s="22" t="inlineStr">
        <is>
          <t>POS</t>
        </is>
      </c>
      <c r="H1935" s="31" t="n">
        <v>30344.11</v>
      </c>
      <c r="I1935" s="31" t="n">
        <v>0</v>
      </c>
      <c r="J1935" s="31" t="n">
        <v>30344.11</v>
      </c>
      <c r="K1935" s="31" t="n">
        <v>1411.25</v>
      </c>
      <c r="L1935" s="32" t="n">
        <v>19</v>
      </c>
      <c r="M1935" s="32" t="n">
        <v>119</v>
      </c>
      <c r="N1935" s="31" t="n">
        <v>28932.86</v>
      </c>
      <c r="O1935" s="31" t="n">
        <v>30344.11</v>
      </c>
      <c r="P1935" s="22" t="n">
        <v>2</v>
      </c>
      <c r="Q1935" s="22" t="n">
        <v>0</v>
      </c>
      <c r="R1935" s="22" t="n">
        <v>0</v>
      </c>
    </row>
    <row r="1936">
      <c r="A1936" s="22" t="n">
        <v>201905</v>
      </c>
      <c r="B1936" s="22" t="inlineStr">
        <is>
          <t>05/2019</t>
        </is>
      </c>
      <c r="C1936" s="22" t="n">
        <v>56</v>
      </c>
      <c r="D1936" s="22" t="inlineStr">
        <is>
          <t>S56</t>
        </is>
      </c>
      <c r="E1936" s="22" t="inlineStr">
        <is>
          <t>Nexa New Hampshire (S56)</t>
        </is>
      </c>
      <c r="F1936" s="22" t="inlineStr">
        <is>
          <t>Mỹ</t>
        </is>
      </c>
      <c r="G1936" s="22" t="inlineStr">
        <is>
          <t>POS</t>
        </is>
      </c>
      <c r="H1936" s="31" t="n">
        <v>24460.66</v>
      </c>
      <c r="I1936" s="31" t="n">
        <v>0</v>
      </c>
      <c r="J1936" s="31" t="n">
        <v>24460.66</v>
      </c>
      <c r="K1936" s="31" t="n">
        <v>0</v>
      </c>
      <c r="L1936" s="32" t="n">
        <v>12</v>
      </c>
      <c r="M1936" s="32" t="n">
        <v>94</v>
      </c>
      <c r="N1936" s="31" t="n">
        <v>24460.66</v>
      </c>
      <c r="O1936" s="31" t="n">
        <v>24460.66</v>
      </c>
      <c r="P1936" s="22" t="n">
        <v>0</v>
      </c>
      <c r="Q1936" s="22" t="n">
        <v>0</v>
      </c>
      <c r="R1936" s="22" t="n">
        <v>0</v>
      </c>
    </row>
    <row r="1937">
      <c r="A1937" s="22" t="n">
        <v>201905</v>
      </c>
      <c r="B1937" s="22" t="inlineStr">
        <is>
          <t>05/2019</t>
        </is>
      </c>
      <c r="C1937" s="22" t="n">
        <v>57</v>
      </c>
      <c r="D1937" s="22" t="inlineStr">
        <is>
          <t>S57</t>
        </is>
      </c>
      <c r="E1937" s="22" t="inlineStr">
        <is>
          <t>Nexa New Mexico (S57)</t>
        </is>
      </c>
      <c r="F1937" s="22" t="inlineStr">
        <is>
          <t>Mỹ</t>
        </is>
      </c>
      <c r="G1937" s="22" t="inlineStr">
        <is>
          <t>POS</t>
        </is>
      </c>
      <c r="H1937" s="31" t="n">
        <v>35962.8</v>
      </c>
      <c r="I1937" s="31" t="n">
        <v>0</v>
      </c>
      <c r="J1937" s="31" t="n">
        <v>35962.8</v>
      </c>
      <c r="K1937" s="31" t="n">
        <v>0</v>
      </c>
      <c r="L1937" s="32" t="n">
        <v>15</v>
      </c>
      <c r="M1937" s="32" t="n">
        <v>128</v>
      </c>
      <c r="N1937" s="31" t="n">
        <v>35962.8</v>
      </c>
      <c r="O1937" s="31" t="n">
        <v>35962.8</v>
      </c>
      <c r="P1937" s="22" t="n">
        <v>1</v>
      </c>
      <c r="Q1937" s="22" t="n">
        <v>0</v>
      </c>
      <c r="R1937" s="22" t="n">
        <v>0</v>
      </c>
    </row>
    <row r="1938">
      <c r="A1938" s="22" t="n">
        <v>201905</v>
      </c>
      <c r="B1938" s="22" t="inlineStr">
        <is>
          <t>05/2019</t>
        </is>
      </c>
      <c r="C1938" s="22" t="n">
        <v>59</v>
      </c>
      <c r="D1938" s="22" t="inlineStr">
        <is>
          <t>S59</t>
        </is>
      </c>
      <c r="E1938" s="22" t="inlineStr">
        <is>
          <t>Nexa Oregon (S59)</t>
        </is>
      </c>
      <c r="F1938" s="22" t="inlineStr">
        <is>
          <t>Mỹ</t>
        </is>
      </c>
      <c r="G1938" s="22" t="inlineStr">
        <is>
          <t>POS</t>
        </is>
      </c>
      <c r="H1938" s="31" t="n">
        <v>32193.83</v>
      </c>
      <c r="I1938" s="31" t="n">
        <v>0</v>
      </c>
      <c r="J1938" s="31" t="n">
        <v>32193.83</v>
      </c>
      <c r="K1938" s="31" t="n">
        <v>620</v>
      </c>
      <c r="L1938" s="32" t="n">
        <v>13</v>
      </c>
      <c r="M1938" s="32" t="n">
        <v>117</v>
      </c>
      <c r="N1938" s="31" t="n">
        <v>31573.83</v>
      </c>
      <c r="O1938" s="31" t="n">
        <v>32193.83</v>
      </c>
      <c r="P1938" s="22" t="n">
        <v>0</v>
      </c>
      <c r="Q1938" s="22" t="n">
        <v>0</v>
      </c>
      <c r="R1938" s="22" t="n">
        <v>0</v>
      </c>
    </row>
    <row r="1939">
      <c r="A1939" s="22" t="n">
        <v>201905</v>
      </c>
      <c r="B1939" s="22" t="inlineStr">
        <is>
          <t>05/2019</t>
        </is>
      </c>
      <c r="C1939" s="22" t="n">
        <v>61</v>
      </c>
      <c r="D1939" s="22" t="inlineStr">
        <is>
          <t>S61</t>
        </is>
      </c>
      <c r="E1939" s="22" t="inlineStr">
        <is>
          <t>Nexa South Carolina (S61)</t>
        </is>
      </c>
      <c r="F1939" s="22" t="inlineStr">
        <is>
          <t>Mỹ</t>
        </is>
      </c>
      <c r="G1939" s="22" t="inlineStr">
        <is>
          <t>POS</t>
        </is>
      </c>
      <c r="H1939" s="31" t="n">
        <v>40906.64</v>
      </c>
      <c r="I1939" s="31" t="n">
        <v>0</v>
      </c>
      <c r="J1939" s="31" t="n">
        <v>40906.64</v>
      </c>
      <c r="K1939" s="31" t="n">
        <v>0</v>
      </c>
      <c r="L1939" s="32" t="n">
        <v>22</v>
      </c>
      <c r="M1939" s="32" t="n">
        <v>139</v>
      </c>
      <c r="N1939" s="31" t="n">
        <v>40906.64</v>
      </c>
      <c r="O1939" s="31" t="n">
        <v>40906.64</v>
      </c>
      <c r="P1939" s="22" t="n">
        <v>1</v>
      </c>
      <c r="Q1939" s="22" t="n">
        <v>0</v>
      </c>
      <c r="R1939" s="22" t="n">
        <v>0</v>
      </c>
    </row>
    <row r="1940">
      <c r="A1940" s="22" t="n">
        <v>201905</v>
      </c>
      <c r="B1940" s="22" t="inlineStr">
        <is>
          <t>05/2019</t>
        </is>
      </c>
      <c r="C1940" s="22" t="n">
        <v>62</v>
      </c>
      <c r="D1940" s="22" t="inlineStr">
        <is>
          <t>S62</t>
        </is>
      </c>
      <c r="E1940" s="22" t="inlineStr">
        <is>
          <t>Nexa South Dakota (S62)</t>
        </is>
      </c>
      <c r="F1940" s="22" t="inlineStr">
        <is>
          <t>Mỹ</t>
        </is>
      </c>
      <c r="G1940" s="22" t="inlineStr">
        <is>
          <t>POS</t>
        </is>
      </c>
      <c r="H1940" s="31" t="n">
        <v>35478.08</v>
      </c>
      <c r="I1940" s="31" t="n">
        <v>0</v>
      </c>
      <c r="J1940" s="31" t="n">
        <v>35478.08</v>
      </c>
      <c r="K1940" s="31" t="n">
        <v>99</v>
      </c>
      <c r="L1940" s="32" t="n">
        <v>16</v>
      </c>
      <c r="M1940" s="32" t="n">
        <v>130</v>
      </c>
      <c r="N1940" s="31" t="n">
        <v>35379.08</v>
      </c>
      <c r="O1940" s="31" t="n">
        <v>35478.08</v>
      </c>
      <c r="P1940" s="22" t="n">
        <v>0</v>
      </c>
      <c r="Q1940" s="22" t="n">
        <v>0</v>
      </c>
      <c r="R1940" s="22" t="n">
        <v>0</v>
      </c>
    </row>
    <row r="1941">
      <c r="A1941" s="22" t="n">
        <v>201905</v>
      </c>
      <c r="B1941" s="22" t="inlineStr">
        <is>
          <t>05/2019</t>
        </is>
      </c>
      <c r="C1941" s="22" t="n">
        <v>63</v>
      </c>
      <c r="D1941" s="22" t="inlineStr">
        <is>
          <t>S63</t>
        </is>
      </c>
      <c r="E1941" s="22" t="inlineStr">
        <is>
          <t>Nexa Utah (S63)</t>
        </is>
      </c>
      <c r="F1941" s="22" t="inlineStr">
        <is>
          <t>Mỹ</t>
        </is>
      </c>
      <c r="G1941" s="22" t="inlineStr">
        <is>
          <t>POS</t>
        </is>
      </c>
      <c r="H1941" s="31" t="n">
        <v>21293.47</v>
      </c>
      <c r="I1941" s="31" t="n">
        <v>0</v>
      </c>
      <c r="J1941" s="31" t="n">
        <v>21293.47</v>
      </c>
      <c r="K1941" s="31" t="n">
        <v>269.9</v>
      </c>
      <c r="L1941" s="32" t="n">
        <v>18</v>
      </c>
      <c r="M1941" s="32" t="n">
        <v>108</v>
      </c>
      <c r="N1941" s="31" t="n">
        <v>21023.57</v>
      </c>
      <c r="O1941" s="31" t="n">
        <v>21293.47</v>
      </c>
      <c r="P1941" s="22" t="n">
        <v>0</v>
      </c>
      <c r="Q1941" s="22" t="n">
        <v>0</v>
      </c>
      <c r="R1941" s="22" t="n">
        <v>0</v>
      </c>
    </row>
    <row r="1942">
      <c r="A1942" s="22" t="n">
        <v>201905</v>
      </c>
      <c r="B1942" s="22" t="inlineStr">
        <is>
          <t>05/2019</t>
        </is>
      </c>
      <c r="C1942" s="22" t="n">
        <v>64</v>
      </c>
      <c r="D1942" s="22" t="inlineStr">
        <is>
          <t>S64</t>
        </is>
      </c>
      <c r="E1942" s="22" t="inlineStr">
        <is>
          <t>Nexa Washington DC (S64)</t>
        </is>
      </c>
      <c r="F1942" s="22" t="inlineStr">
        <is>
          <t>Mỹ</t>
        </is>
      </c>
      <c r="G1942" s="22" t="inlineStr">
        <is>
          <t>POS</t>
        </is>
      </c>
      <c r="H1942" s="31" t="n">
        <v>24346.4</v>
      </c>
      <c r="I1942" s="31" t="n">
        <v>0</v>
      </c>
      <c r="J1942" s="31" t="n">
        <v>24346.4</v>
      </c>
      <c r="K1942" s="31" t="n">
        <v>13.78</v>
      </c>
      <c r="L1942" s="32" t="n">
        <v>18</v>
      </c>
      <c r="M1942" s="32" t="n">
        <v>97</v>
      </c>
      <c r="N1942" s="31" t="n">
        <v>28047.92</v>
      </c>
      <c r="O1942" s="31" t="n">
        <v>24346.4</v>
      </c>
      <c r="P1942" s="22" t="n">
        <v>1</v>
      </c>
      <c r="Q1942" s="22" t="n">
        <v>0</v>
      </c>
      <c r="R1942" s="22" t="n">
        <v>0</v>
      </c>
    </row>
    <row r="1943">
      <c r="A1943" s="22" t="n">
        <v>201905</v>
      </c>
      <c r="B1943" s="22" t="inlineStr">
        <is>
          <t>05/2019</t>
        </is>
      </c>
      <c r="C1943" s="22" t="n">
        <v>65</v>
      </c>
      <c r="D1943" s="22" t="inlineStr">
        <is>
          <t>S65</t>
        </is>
      </c>
      <c r="E1943" s="22" t="inlineStr">
        <is>
          <t>Nexa West Virginia (S65)</t>
        </is>
      </c>
      <c r="F1943" s="22" t="inlineStr">
        <is>
          <t>Mỹ</t>
        </is>
      </c>
      <c r="G1943" s="22" t="inlineStr">
        <is>
          <t>POS</t>
        </is>
      </c>
      <c r="H1943" s="31" t="n">
        <v>20739.83</v>
      </c>
      <c r="I1943" s="31" t="n">
        <v>0</v>
      </c>
      <c r="J1943" s="31" t="n">
        <v>20739.83</v>
      </c>
      <c r="K1943" s="31" t="n">
        <v>0</v>
      </c>
      <c r="L1943" s="32" t="n">
        <v>16</v>
      </c>
      <c r="M1943" s="32" t="n">
        <v>110</v>
      </c>
      <c r="N1943" s="31" t="n">
        <v>20739.83</v>
      </c>
      <c r="O1943" s="31" t="n">
        <v>20739.83</v>
      </c>
      <c r="P1943" s="22" t="n">
        <v>0</v>
      </c>
      <c r="Q1943" s="22" t="n">
        <v>0</v>
      </c>
      <c r="R1943" s="22" t="n">
        <v>0</v>
      </c>
    </row>
    <row r="1944">
      <c r="A1944" s="22" t="n">
        <v>201905</v>
      </c>
      <c r="B1944" s="22" t="inlineStr">
        <is>
          <t>05/2019</t>
        </is>
      </c>
      <c r="C1944" s="22" t="n">
        <v>66</v>
      </c>
      <c r="D1944" s="22" t="inlineStr">
        <is>
          <t>S66</t>
        </is>
      </c>
      <c r="E1944" s="22" t="inlineStr">
        <is>
          <t>Nexa Wyoming (S66)</t>
        </is>
      </c>
      <c r="F1944" s="22" t="inlineStr">
        <is>
          <t>Mỹ</t>
        </is>
      </c>
      <c r="G1944" s="22" t="inlineStr">
        <is>
          <t>POS</t>
        </is>
      </c>
      <c r="H1944" s="31" t="n">
        <v>35819.1</v>
      </c>
      <c r="I1944" s="31" t="n">
        <v>0</v>
      </c>
      <c r="J1944" s="31" t="n">
        <v>35819.1</v>
      </c>
      <c r="K1944" s="31" t="n">
        <v>2019</v>
      </c>
      <c r="L1944" s="32" t="n">
        <v>18</v>
      </c>
      <c r="M1944" s="32" t="n">
        <v>115</v>
      </c>
      <c r="N1944" s="31" t="n">
        <v>35433.04</v>
      </c>
      <c r="O1944" s="31" t="n">
        <v>35819.1</v>
      </c>
      <c r="P1944" s="22" t="n">
        <v>2</v>
      </c>
      <c r="Q1944" s="22" t="n">
        <v>0</v>
      </c>
      <c r="R1944" s="22" t="n">
        <v>0</v>
      </c>
    </row>
    <row r="1945">
      <c r="A1945" s="22" t="n">
        <v>201906</v>
      </c>
      <c r="B1945" s="22" t="inlineStr">
        <is>
          <t>06/2019</t>
        </is>
      </c>
      <c r="C1945" s="22" t="n">
        <v>0</v>
      </c>
      <c r="D1945" s="22" t="inlineStr">
        <is>
          <t>ONL</t>
        </is>
      </c>
      <c r="E1945" s="22" t="inlineStr">
        <is>
          <t>Nexa Online (website/app)</t>
        </is>
      </c>
      <c r="F1945" s="22" t="inlineStr">
        <is>
          <t>Online</t>
        </is>
      </c>
      <c r="G1945" s="22" t="inlineStr">
        <is>
          <t>ONLINE</t>
        </is>
      </c>
      <c r="H1945" s="31" t="n">
        <v>310327.12</v>
      </c>
      <c r="I1945" s="31" t="n">
        <v>7813.65</v>
      </c>
      <c r="J1945" s="31" t="n">
        <v>302513.47</v>
      </c>
      <c r="K1945" s="31" t="n">
        <v>7271.18</v>
      </c>
      <c r="L1945" s="32" t="n">
        <v>188</v>
      </c>
      <c r="M1945" s="32" t="n">
        <v>1310</v>
      </c>
      <c r="N1945" s="31" t="n">
        <v>328301.07</v>
      </c>
      <c r="O1945" s="31" t="n">
        <v>335572.25</v>
      </c>
      <c r="P1945" s="22" t="n">
        <v>6</v>
      </c>
      <c r="Q1945" s="22" t="n">
        <v>0</v>
      </c>
      <c r="R1945" s="22" t="n">
        <v>0</v>
      </c>
    </row>
    <row r="1946">
      <c r="A1946" s="22" t="n">
        <v>201906</v>
      </c>
      <c r="B1946" s="22" t="inlineStr">
        <is>
          <t>06/2019</t>
        </is>
      </c>
      <c r="C1946" s="22" t="n">
        <v>1</v>
      </c>
      <c r="D1946" s="22" t="inlineStr">
        <is>
          <t>S01</t>
        </is>
      </c>
      <c r="E1946" s="22" t="inlineStr">
        <is>
          <t>Nexa Australian Capital Territory (S01)</t>
        </is>
      </c>
      <c r="F1946" s="22" t="inlineStr">
        <is>
          <t>Úc</t>
        </is>
      </c>
      <c r="G1946" s="22" t="inlineStr">
        <is>
          <t>POS</t>
        </is>
      </c>
      <c r="H1946" s="31" t="n">
        <v>1767.74</v>
      </c>
      <c r="I1946" s="31" t="n">
        <v>0</v>
      </c>
      <c r="J1946" s="31" t="n">
        <v>1767.74</v>
      </c>
      <c r="K1946" s="31" t="n">
        <v>0</v>
      </c>
      <c r="L1946" s="32" t="n">
        <v>4</v>
      </c>
      <c r="M1946" s="32" t="n">
        <v>19</v>
      </c>
      <c r="N1946" s="31" t="n">
        <v>1767.74</v>
      </c>
      <c r="O1946" s="31" t="n">
        <v>1767.74</v>
      </c>
      <c r="P1946" s="22" t="n">
        <v>0</v>
      </c>
      <c r="Q1946" s="22" t="n">
        <v>0</v>
      </c>
      <c r="R1946" s="22" t="n">
        <v>0</v>
      </c>
    </row>
    <row r="1947">
      <c r="A1947" s="22" t="n">
        <v>201906</v>
      </c>
      <c r="B1947" s="22" t="inlineStr">
        <is>
          <t>06/2019</t>
        </is>
      </c>
      <c r="C1947" s="22" t="n">
        <v>4</v>
      </c>
      <c r="D1947" s="22" t="inlineStr">
        <is>
          <t>S04</t>
        </is>
      </c>
      <c r="E1947" s="22" t="inlineStr">
        <is>
          <t>Nexa Tasmania (S04)</t>
        </is>
      </c>
      <c r="F1947" s="22" t="inlineStr">
        <is>
          <t>Úc</t>
        </is>
      </c>
      <c r="G1947" s="22" t="inlineStr">
        <is>
          <t>POS</t>
        </is>
      </c>
      <c r="H1947" s="31" t="n">
        <v>25074.92</v>
      </c>
      <c r="I1947" s="31" t="n">
        <v>0</v>
      </c>
      <c r="J1947" s="31" t="n">
        <v>25074.92</v>
      </c>
      <c r="K1947" s="31" t="n">
        <v>196</v>
      </c>
      <c r="L1947" s="32" t="n">
        <v>4</v>
      </c>
      <c r="M1947" s="32" t="n">
        <v>42</v>
      </c>
      <c r="N1947" s="31" t="n">
        <v>25074.92</v>
      </c>
      <c r="O1947" s="31" t="n">
        <v>25074.92</v>
      </c>
      <c r="P1947" s="22" t="n">
        <v>0</v>
      </c>
      <c r="Q1947" s="22" t="n">
        <v>0</v>
      </c>
      <c r="R1947" s="22" t="n">
        <v>0</v>
      </c>
    </row>
    <row r="1948">
      <c r="A1948" s="22" t="n">
        <v>201906</v>
      </c>
      <c r="B1948" s="22" t="inlineStr">
        <is>
          <t>06/2019</t>
        </is>
      </c>
      <c r="C1948" s="22" t="n">
        <v>5</v>
      </c>
      <c r="D1948" s="22" t="inlineStr">
        <is>
          <t>S05</t>
        </is>
      </c>
      <c r="E1948" s="22" t="inlineStr">
        <is>
          <t>Nexa Victoria (S05)</t>
        </is>
      </c>
      <c r="F1948" s="22" t="inlineStr">
        <is>
          <t>Úc</t>
        </is>
      </c>
      <c r="G1948" s="22" t="inlineStr">
        <is>
          <t>POS</t>
        </is>
      </c>
      <c r="H1948" s="31" t="n">
        <v>25178.85</v>
      </c>
      <c r="I1948" s="31" t="n">
        <v>0</v>
      </c>
      <c r="J1948" s="31" t="n">
        <v>25178.85</v>
      </c>
      <c r="K1948" s="31" t="n">
        <v>0</v>
      </c>
      <c r="L1948" s="32" t="n">
        <v>8</v>
      </c>
      <c r="M1948" s="32" t="n">
        <v>88</v>
      </c>
      <c r="N1948" s="31" t="n">
        <v>25178.85</v>
      </c>
      <c r="O1948" s="31" t="n">
        <v>25178.85</v>
      </c>
      <c r="P1948" s="22" t="n">
        <v>0</v>
      </c>
      <c r="Q1948" s="22" t="n">
        <v>0</v>
      </c>
      <c r="R1948" s="22" t="n">
        <v>0</v>
      </c>
    </row>
    <row r="1949">
      <c r="A1949" s="22" t="n">
        <v>201906</v>
      </c>
      <c r="B1949" s="22" t="inlineStr">
        <is>
          <t>06/2019</t>
        </is>
      </c>
      <c r="C1949" s="22" t="n">
        <v>6</v>
      </c>
      <c r="D1949" s="22" t="inlineStr">
        <is>
          <t>S06</t>
        </is>
      </c>
      <c r="E1949" s="22" t="inlineStr">
        <is>
          <t>Nexa Western Australia (S06)</t>
        </is>
      </c>
      <c r="F1949" s="22" t="inlineStr">
        <is>
          <t>Úc</t>
        </is>
      </c>
      <c r="G1949" s="22" t="inlineStr">
        <is>
          <t>POS</t>
        </is>
      </c>
      <c r="H1949" s="31" t="n">
        <v>11154.37</v>
      </c>
      <c r="I1949" s="31" t="n">
        <v>0</v>
      </c>
      <c r="J1949" s="31" t="n">
        <v>11154.37</v>
      </c>
      <c r="K1949" s="31" t="n">
        <v>1271.98</v>
      </c>
      <c r="L1949" s="32" t="n">
        <v>7</v>
      </c>
      <c r="M1949" s="32" t="n">
        <v>56</v>
      </c>
      <c r="N1949" s="31" t="n">
        <v>9882.389999999999</v>
      </c>
      <c r="O1949" s="31" t="n">
        <v>11154.37</v>
      </c>
      <c r="P1949" s="22" t="n">
        <v>1</v>
      </c>
      <c r="Q1949" s="22" t="n">
        <v>0</v>
      </c>
      <c r="R1949" s="22" t="n">
        <v>0</v>
      </c>
    </row>
    <row r="1950">
      <c r="A1950" s="22" t="n">
        <v>201906</v>
      </c>
      <c r="B1950" s="22" t="inlineStr">
        <is>
          <t>06/2019</t>
        </is>
      </c>
      <c r="C1950" s="22" t="n">
        <v>8</v>
      </c>
      <c r="D1950" s="22" t="inlineStr">
        <is>
          <t>S08</t>
        </is>
      </c>
      <c r="E1950" s="22" t="inlineStr">
        <is>
          <t>Nexa Newfoundland and Labrador (S08)</t>
        </is>
      </c>
      <c r="F1950" s="22" t="inlineStr">
        <is>
          <t>Canada</t>
        </is>
      </c>
      <c r="G1950" s="22" t="inlineStr">
        <is>
          <t>POS</t>
        </is>
      </c>
      <c r="H1950" s="31" t="n">
        <v>11884.22</v>
      </c>
      <c r="I1950" s="31" t="n">
        <v>0</v>
      </c>
      <c r="J1950" s="31" t="n">
        <v>11884.22</v>
      </c>
      <c r="K1950" s="31" t="n">
        <v>4.99</v>
      </c>
      <c r="L1950" s="32" t="n">
        <v>8</v>
      </c>
      <c r="M1950" s="32" t="n">
        <v>46</v>
      </c>
      <c r="N1950" s="31" t="n">
        <v>11879.23</v>
      </c>
      <c r="O1950" s="31" t="n">
        <v>11884.22</v>
      </c>
      <c r="P1950" s="22" t="n">
        <v>0</v>
      </c>
      <c r="Q1950" s="22" t="n">
        <v>0</v>
      </c>
      <c r="R1950" s="22" t="n">
        <v>0</v>
      </c>
    </row>
    <row r="1951">
      <c r="A1951" s="22" t="n">
        <v>201906</v>
      </c>
      <c r="B1951" s="22" t="inlineStr">
        <is>
          <t>06/2019</t>
        </is>
      </c>
      <c r="C1951" s="22" t="n">
        <v>9</v>
      </c>
      <c r="D1951" s="22" t="inlineStr">
        <is>
          <t>S09</t>
        </is>
      </c>
      <c r="E1951" s="22" t="inlineStr">
        <is>
          <t>Nexa Northwest Territories (S09)</t>
        </is>
      </c>
      <c r="F1951" s="22" t="inlineStr">
        <is>
          <t>Canada</t>
        </is>
      </c>
      <c r="G1951" s="22" t="inlineStr">
        <is>
          <t>POS</t>
        </is>
      </c>
      <c r="H1951" s="31" t="n">
        <v>49934.68</v>
      </c>
      <c r="I1951" s="31" t="n">
        <v>0</v>
      </c>
      <c r="J1951" s="31" t="n">
        <v>49934.68</v>
      </c>
      <c r="K1951" s="31" t="n">
        <v>721</v>
      </c>
      <c r="L1951" s="32" t="n">
        <v>24</v>
      </c>
      <c r="M1951" s="32" t="n">
        <v>245</v>
      </c>
      <c r="N1951" s="31" t="n">
        <v>49269.68</v>
      </c>
      <c r="O1951" s="31" t="n">
        <v>49934.68</v>
      </c>
      <c r="P1951" s="22" t="n">
        <v>0</v>
      </c>
      <c r="Q1951" s="22" t="n">
        <v>0</v>
      </c>
      <c r="R1951" s="22" t="n">
        <v>1</v>
      </c>
    </row>
    <row r="1952">
      <c r="A1952" s="22" t="n">
        <v>201906</v>
      </c>
      <c r="B1952" s="22" t="inlineStr">
        <is>
          <t>06/2019</t>
        </is>
      </c>
      <c r="C1952" s="22" t="n">
        <v>10</v>
      </c>
      <c r="D1952" s="22" t="inlineStr">
        <is>
          <t>S10</t>
        </is>
      </c>
      <c r="E1952" s="22" t="inlineStr">
        <is>
          <t>Nexa Nunavut (S10)</t>
        </is>
      </c>
      <c r="F1952" s="22" t="inlineStr">
        <is>
          <t>Canada</t>
        </is>
      </c>
      <c r="G1952" s="22" t="inlineStr">
        <is>
          <t>POS</t>
        </is>
      </c>
      <c r="H1952" s="31" t="n">
        <v>33468.73</v>
      </c>
      <c r="I1952" s="31" t="n">
        <v>0</v>
      </c>
      <c r="J1952" s="31" t="n">
        <v>33468.73</v>
      </c>
      <c r="K1952" s="31" t="n">
        <v>1016</v>
      </c>
      <c r="L1952" s="32" t="n">
        <v>18</v>
      </c>
      <c r="M1952" s="32" t="n">
        <v>142</v>
      </c>
      <c r="N1952" s="31" t="n">
        <v>32452.73</v>
      </c>
      <c r="O1952" s="31" t="n">
        <v>33468.73</v>
      </c>
      <c r="P1952" s="22" t="n">
        <v>0</v>
      </c>
      <c r="Q1952" s="22" t="n">
        <v>0</v>
      </c>
      <c r="R1952" s="22" t="n">
        <v>0</v>
      </c>
    </row>
    <row r="1953">
      <c r="A1953" s="22" t="n">
        <v>201906</v>
      </c>
      <c r="B1953" s="22" t="inlineStr">
        <is>
          <t>06/2019</t>
        </is>
      </c>
      <c r="C1953" s="22" t="n">
        <v>12</v>
      </c>
      <c r="D1953" s="22" t="inlineStr">
        <is>
          <t>S12</t>
        </is>
      </c>
      <c r="E1953" s="22" t="inlineStr">
        <is>
          <t>Nexa Basse-Normandie (S12)</t>
        </is>
      </c>
      <c r="F1953" s="22" t="inlineStr">
        <is>
          <t>Pháp</t>
        </is>
      </c>
      <c r="G1953" s="22" t="inlineStr">
        <is>
          <t>POS</t>
        </is>
      </c>
      <c r="H1953" s="31" t="n">
        <v>8348.889999999999</v>
      </c>
      <c r="I1953" s="31" t="n">
        <v>0</v>
      </c>
      <c r="J1953" s="31" t="n">
        <v>8348.889999999999</v>
      </c>
      <c r="K1953" s="31" t="n">
        <v>0</v>
      </c>
      <c r="L1953" s="32" t="n">
        <v>4</v>
      </c>
      <c r="M1953" s="32" t="n">
        <v>24</v>
      </c>
      <c r="N1953" s="31" t="n">
        <v>8348.889999999999</v>
      </c>
      <c r="O1953" s="31" t="n">
        <v>8348.889999999999</v>
      </c>
      <c r="P1953" s="22" t="n">
        <v>1</v>
      </c>
      <c r="Q1953" s="22" t="n">
        <v>0</v>
      </c>
      <c r="R1953" s="22" t="n">
        <v>0</v>
      </c>
    </row>
    <row r="1954">
      <c r="A1954" s="22" t="n">
        <v>201906</v>
      </c>
      <c r="B1954" s="22" t="inlineStr">
        <is>
          <t>06/2019</t>
        </is>
      </c>
      <c r="C1954" s="22" t="n">
        <v>13</v>
      </c>
      <c r="D1954" s="22" t="inlineStr">
        <is>
          <t>S13</t>
        </is>
      </c>
      <c r="E1954" s="22" t="inlineStr">
        <is>
          <t>Nexa Corse (S13)</t>
        </is>
      </c>
      <c r="F1954" s="22" t="inlineStr">
        <is>
          <t>Pháp</t>
        </is>
      </c>
      <c r="G1954" s="22" t="inlineStr">
        <is>
          <t>POS</t>
        </is>
      </c>
      <c r="H1954" s="31" t="n">
        <v>8424.790000000001</v>
      </c>
      <c r="I1954" s="31" t="n">
        <v>0</v>
      </c>
      <c r="J1954" s="31" t="n">
        <v>8424.790000000001</v>
      </c>
      <c r="K1954" s="31" t="n">
        <v>599.85</v>
      </c>
      <c r="L1954" s="32" t="n">
        <v>3</v>
      </c>
      <c r="M1954" s="32" t="n">
        <v>24</v>
      </c>
      <c r="N1954" s="31" t="n">
        <v>7824.94</v>
      </c>
      <c r="O1954" s="31" t="n">
        <v>8424.790000000001</v>
      </c>
      <c r="P1954" s="22" t="n">
        <v>0</v>
      </c>
      <c r="Q1954" s="22" t="n">
        <v>0</v>
      </c>
      <c r="R1954" s="22" t="n">
        <v>0</v>
      </c>
    </row>
    <row r="1955">
      <c r="A1955" s="22" t="n">
        <v>201906</v>
      </c>
      <c r="B1955" s="22" t="inlineStr">
        <is>
          <t>06/2019</t>
        </is>
      </c>
      <c r="C1955" s="22" t="n">
        <v>14</v>
      </c>
      <c r="D1955" s="22" t="inlineStr">
        <is>
          <t>S14</t>
        </is>
      </c>
      <c r="E1955" s="22" t="inlineStr">
        <is>
          <t>Nexa Franche-Comté (S14)</t>
        </is>
      </c>
      <c r="F1955" s="22" t="inlineStr">
        <is>
          <t>Pháp</t>
        </is>
      </c>
      <c r="G1955" s="22" t="inlineStr">
        <is>
          <t>POS</t>
        </is>
      </c>
      <c r="H1955" s="31" t="n">
        <v>1086.98</v>
      </c>
      <c r="I1955" s="31" t="n">
        <v>0</v>
      </c>
      <c r="J1955" s="31" t="n">
        <v>1086.98</v>
      </c>
      <c r="K1955" s="31" t="n">
        <v>0</v>
      </c>
      <c r="L1955" s="32" t="n">
        <v>3</v>
      </c>
      <c r="M1955" s="32" t="n">
        <v>5</v>
      </c>
      <c r="N1955" s="31" t="n">
        <v>1086.98</v>
      </c>
      <c r="O1955" s="31" t="n">
        <v>1086.98</v>
      </c>
      <c r="P1955" s="22" t="n">
        <v>0</v>
      </c>
      <c r="Q1955" s="22" t="n">
        <v>0</v>
      </c>
      <c r="R1955" s="22" t="n">
        <v>0</v>
      </c>
    </row>
    <row r="1956">
      <c r="A1956" s="22" t="n">
        <v>201906</v>
      </c>
      <c r="B1956" s="22" t="inlineStr">
        <is>
          <t>06/2019</t>
        </is>
      </c>
      <c r="C1956" s="22" t="n">
        <v>15</v>
      </c>
      <c r="D1956" s="22" t="inlineStr">
        <is>
          <t>S15</t>
        </is>
      </c>
      <c r="E1956" s="22" t="inlineStr">
        <is>
          <t>Nexa La Réunion (S15)</t>
        </is>
      </c>
      <c r="F1956" s="22" t="inlineStr">
        <is>
          <t>Pháp</t>
        </is>
      </c>
      <c r="G1956" s="22" t="inlineStr">
        <is>
          <t>POS</t>
        </is>
      </c>
      <c r="H1956" s="31" t="n">
        <v>251.98</v>
      </c>
      <c r="I1956" s="31" t="n">
        <v>0</v>
      </c>
      <c r="J1956" s="31" t="n">
        <v>251.98</v>
      </c>
      <c r="K1956" s="31" t="n">
        <v>0</v>
      </c>
      <c r="L1956" s="32" t="n">
        <v>1</v>
      </c>
      <c r="M1956" s="32" t="n">
        <v>3</v>
      </c>
      <c r="N1956" s="31" t="n">
        <v>251.98</v>
      </c>
      <c r="O1956" s="31" t="n">
        <v>251.98</v>
      </c>
      <c r="P1956" s="22" t="n">
        <v>1</v>
      </c>
      <c r="Q1956" s="22" t="n">
        <v>0</v>
      </c>
      <c r="R1956" s="22" t="n">
        <v>0</v>
      </c>
    </row>
    <row r="1957">
      <c r="A1957" s="22" t="n">
        <v>201906</v>
      </c>
      <c r="B1957" s="22" t="inlineStr">
        <is>
          <t>06/2019</t>
        </is>
      </c>
      <c r="C1957" s="22" t="n">
        <v>16</v>
      </c>
      <c r="D1957" s="22" t="inlineStr">
        <is>
          <t>S16</t>
        </is>
      </c>
      <c r="E1957" s="22" t="inlineStr">
        <is>
          <t>Nexa Limousin (S16)</t>
        </is>
      </c>
      <c r="F1957" s="22" t="inlineStr">
        <is>
          <t>Pháp</t>
        </is>
      </c>
      <c r="G1957" s="22" t="inlineStr">
        <is>
          <t>POS</t>
        </is>
      </c>
      <c r="H1957" s="31" t="n">
        <v>3859.3</v>
      </c>
      <c r="I1957" s="31" t="n">
        <v>0</v>
      </c>
      <c r="J1957" s="31" t="n">
        <v>3859.3</v>
      </c>
      <c r="K1957" s="31" t="n">
        <v>0</v>
      </c>
      <c r="L1957" s="32" t="n">
        <v>3</v>
      </c>
      <c r="M1957" s="32" t="n">
        <v>21</v>
      </c>
      <c r="N1957" s="31" t="n">
        <v>3859.3</v>
      </c>
      <c r="O1957" s="31" t="n">
        <v>3859.3</v>
      </c>
      <c r="P1957" s="22" t="n">
        <v>0</v>
      </c>
      <c r="Q1957" s="22" t="n">
        <v>0</v>
      </c>
      <c r="R1957" s="22" t="n">
        <v>0</v>
      </c>
    </row>
    <row r="1958">
      <c r="A1958" s="22" t="n">
        <v>201906</v>
      </c>
      <c r="B1958" s="22" t="inlineStr">
        <is>
          <t>06/2019</t>
        </is>
      </c>
      <c r="C1958" s="22" t="n">
        <v>17</v>
      </c>
      <c r="D1958" s="22" t="inlineStr">
        <is>
          <t>S17</t>
        </is>
      </c>
      <c r="E1958" s="22" t="inlineStr">
        <is>
          <t>Nexa Martinique (S17)</t>
        </is>
      </c>
      <c r="F1958" s="22" t="inlineStr">
        <is>
          <t>Pháp</t>
        </is>
      </c>
      <c r="G1958" s="22" t="inlineStr">
        <is>
          <t>POS</t>
        </is>
      </c>
      <c r="H1958" s="31" t="n">
        <v>380</v>
      </c>
      <c r="I1958" s="31" t="n">
        <v>0</v>
      </c>
      <c r="J1958" s="31" t="n">
        <v>380</v>
      </c>
      <c r="K1958" s="31" t="n">
        <v>0</v>
      </c>
      <c r="L1958" s="32" t="n">
        <v>1</v>
      </c>
      <c r="M1958" s="32" t="n">
        <v>4</v>
      </c>
      <c r="N1958" s="31" t="n">
        <v>380</v>
      </c>
      <c r="O1958" s="31" t="n">
        <v>380</v>
      </c>
      <c r="P1958" s="22" t="n">
        <v>0</v>
      </c>
      <c r="Q1958" s="22" t="n">
        <v>0</v>
      </c>
      <c r="R1958" s="22" t="n">
        <v>0</v>
      </c>
    </row>
    <row r="1959">
      <c r="A1959" s="22" t="n">
        <v>201906</v>
      </c>
      <c r="B1959" s="22" t="inlineStr">
        <is>
          <t>06/2019</t>
        </is>
      </c>
      <c r="C1959" s="22" t="n">
        <v>18</v>
      </c>
      <c r="D1959" s="22" t="inlineStr">
        <is>
          <t>S18</t>
        </is>
      </c>
      <c r="E1959" s="22" t="inlineStr">
        <is>
          <t>Nexa Mayotte (S18)</t>
        </is>
      </c>
      <c r="F1959" s="22" t="inlineStr">
        <is>
          <t>Pháp</t>
        </is>
      </c>
      <c r="G1959" s="22" t="inlineStr">
        <is>
          <t>POS</t>
        </is>
      </c>
      <c r="H1959" s="31" t="n">
        <v>7929</v>
      </c>
      <c r="I1959" s="31" t="n">
        <v>0</v>
      </c>
      <c r="J1959" s="31" t="n">
        <v>7929</v>
      </c>
      <c r="K1959" s="31" t="n">
        <v>0</v>
      </c>
      <c r="L1959" s="32" t="n">
        <v>2</v>
      </c>
      <c r="M1959" s="32" t="n">
        <v>24</v>
      </c>
      <c r="N1959" s="31" t="n">
        <v>7929</v>
      </c>
      <c r="O1959" s="31" t="n">
        <v>7929</v>
      </c>
      <c r="P1959" s="22" t="n">
        <v>0</v>
      </c>
      <c r="Q1959" s="22" t="n">
        <v>0</v>
      </c>
      <c r="R1959" s="22" t="n">
        <v>0</v>
      </c>
    </row>
    <row r="1960">
      <c r="A1960" s="22" t="n">
        <v>201906</v>
      </c>
      <c r="B1960" s="22" t="inlineStr">
        <is>
          <t>06/2019</t>
        </is>
      </c>
      <c r="C1960" s="22" t="n">
        <v>19</v>
      </c>
      <c r="D1960" s="22" t="inlineStr">
        <is>
          <t>S19</t>
        </is>
      </c>
      <c r="E1960" s="22" t="inlineStr">
        <is>
          <t>Nexa Berlin (S19)</t>
        </is>
      </c>
      <c r="F1960" s="22" t="inlineStr">
        <is>
          <t>Đức</t>
        </is>
      </c>
      <c r="G1960" s="22" t="inlineStr">
        <is>
          <t>POS</t>
        </is>
      </c>
      <c r="H1960" s="31" t="n">
        <v>4718.88</v>
      </c>
      <c r="I1960" s="31" t="n">
        <v>0</v>
      </c>
      <c r="J1960" s="31" t="n">
        <v>4718.88</v>
      </c>
      <c r="K1960" s="31" t="n">
        <v>318.99</v>
      </c>
      <c r="L1960" s="32" t="n">
        <v>6</v>
      </c>
      <c r="M1960" s="32" t="n">
        <v>39</v>
      </c>
      <c r="N1960" s="31" t="n">
        <v>4399.89</v>
      </c>
      <c r="O1960" s="31" t="n">
        <v>4718.88</v>
      </c>
      <c r="P1960" s="22" t="n">
        <v>0</v>
      </c>
      <c r="Q1960" s="22" t="n">
        <v>0</v>
      </c>
      <c r="R1960" s="22" t="n">
        <v>0</v>
      </c>
    </row>
    <row r="1961">
      <c r="A1961" s="22" t="n">
        <v>201906</v>
      </c>
      <c r="B1961" s="22" t="inlineStr">
        <is>
          <t>06/2019</t>
        </is>
      </c>
      <c r="C1961" s="22" t="n">
        <v>20</v>
      </c>
      <c r="D1961" s="22" t="inlineStr">
        <is>
          <t>S20</t>
        </is>
      </c>
      <c r="E1961" s="22" t="inlineStr">
        <is>
          <t>Nexa Brandenburg (S20)</t>
        </is>
      </c>
      <c r="F1961" s="22" t="inlineStr">
        <is>
          <t>Đức</t>
        </is>
      </c>
      <c r="G1961" s="22" t="inlineStr">
        <is>
          <t>POS</t>
        </is>
      </c>
      <c r="H1961" s="31" t="n">
        <v>13764.36</v>
      </c>
      <c r="I1961" s="31" t="n">
        <v>0</v>
      </c>
      <c r="J1961" s="31" t="n">
        <v>13764.36</v>
      </c>
      <c r="K1961" s="31" t="n">
        <v>0</v>
      </c>
      <c r="L1961" s="32" t="n">
        <v>9</v>
      </c>
      <c r="M1961" s="32" t="n">
        <v>64</v>
      </c>
      <c r="N1961" s="31" t="n">
        <v>13764.36</v>
      </c>
      <c r="O1961" s="31" t="n">
        <v>13764.36</v>
      </c>
      <c r="P1961" s="22" t="n">
        <v>0</v>
      </c>
      <c r="Q1961" s="22" t="n">
        <v>0</v>
      </c>
      <c r="R1961" s="22" t="n">
        <v>0</v>
      </c>
    </row>
    <row r="1962">
      <c r="A1962" s="22" t="n">
        <v>201906</v>
      </c>
      <c r="B1962" s="22" t="inlineStr">
        <is>
          <t>06/2019</t>
        </is>
      </c>
      <c r="C1962" s="22" t="n">
        <v>21</v>
      </c>
      <c r="D1962" s="22" t="inlineStr">
        <is>
          <t>S21</t>
        </is>
      </c>
      <c r="E1962" s="22" t="inlineStr">
        <is>
          <t>Nexa Freie Hansestadt Bremen (S21)</t>
        </is>
      </c>
      <c r="F1962" s="22" t="inlineStr">
        <is>
          <t>Đức</t>
        </is>
      </c>
      <c r="G1962" s="22" t="inlineStr">
        <is>
          <t>POS</t>
        </is>
      </c>
      <c r="H1962" s="31" t="n">
        <v>12893.66</v>
      </c>
      <c r="I1962" s="31" t="n">
        <v>0</v>
      </c>
      <c r="J1962" s="31" t="n">
        <v>12893.66</v>
      </c>
      <c r="K1962" s="31" t="n">
        <v>0</v>
      </c>
      <c r="L1962" s="32" t="n">
        <v>5</v>
      </c>
      <c r="M1962" s="32" t="n">
        <v>34</v>
      </c>
      <c r="N1962" s="31" t="n">
        <v>12893.66</v>
      </c>
      <c r="O1962" s="31" t="n">
        <v>12893.66</v>
      </c>
      <c r="P1962" s="22" t="n">
        <v>0</v>
      </c>
      <c r="Q1962" s="22" t="n">
        <v>0</v>
      </c>
      <c r="R1962" s="22" t="n">
        <v>0</v>
      </c>
    </row>
    <row r="1963">
      <c r="A1963" s="22" t="n">
        <v>201906</v>
      </c>
      <c r="B1963" s="22" t="inlineStr">
        <is>
          <t>06/2019</t>
        </is>
      </c>
      <c r="C1963" s="22" t="n">
        <v>22</v>
      </c>
      <c r="D1963" s="22" t="inlineStr">
        <is>
          <t>S22</t>
        </is>
      </c>
      <c r="E1963" s="22" t="inlineStr">
        <is>
          <t>Nexa Freistaat Thüringen (S22)</t>
        </is>
      </c>
      <c r="F1963" s="22" t="inlineStr">
        <is>
          <t>Đức</t>
        </is>
      </c>
      <c r="G1963" s="22" t="inlineStr">
        <is>
          <t>POS</t>
        </is>
      </c>
      <c r="H1963" s="31" t="n">
        <v>22620.22</v>
      </c>
      <c r="I1963" s="31" t="n">
        <v>0</v>
      </c>
      <c r="J1963" s="31" t="n">
        <v>22620.22</v>
      </c>
      <c r="K1963" s="31" t="n">
        <v>57.88</v>
      </c>
      <c r="L1963" s="32" t="n">
        <v>10</v>
      </c>
      <c r="M1963" s="32" t="n">
        <v>67</v>
      </c>
      <c r="N1963" s="31" t="n">
        <v>22562.34</v>
      </c>
      <c r="O1963" s="31" t="n">
        <v>22620.22</v>
      </c>
      <c r="P1963" s="22" t="n">
        <v>0</v>
      </c>
      <c r="Q1963" s="22" t="n">
        <v>0</v>
      </c>
      <c r="R1963" s="22" t="n">
        <v>0</v>
      </c>
    </row>
    <row r="1964">
      <c r="A1964" s="22" t="n">
        <v>201906</v>
      </c>
      <c r="B1964" s="22" t="inlineStr">
        <is>
          <t>06/2019</t>
        </is>
      </c>
      <c r="C1964" s="22" t="n">
        <v>23</v>
      </c>
      <c r="D1964" s="22" t="inlineStr">
        <is>
          <t>S23</t>
        </is>
      </c>
      <c r="E1964" s="22" t="inlineStr">
        <is>
          <t>Nexa Hamburg (S23)</t>
        </is>
      </c>
      <c r="F1964" s="22" t="inlineStr">
        <is>
          <t>Đức</t>
        </is>
      </c>
      <c r="G1964" s="22" t="inlineStr">
        <is>
          <t>POS</t>
        </is>
      </c>
      <c r="H1964" s="31" t="n">
        <v>13538.75</v>
      </c>
      <c r="I1964" s="31" t="n">
        <v>0</v>
      </c>
      <c r="J1964" s="31" t="n">
        <v>13538.75</v>
      </c>
      <c r="K1964" s="31" t="n">
        <v>240</v>
      </c>
      <c r="L1964" s="32" t="n">
        <v>10</v>
      </c>
      <c r="M1964" s="32" t="n">
        <v>53</v>
      </c>
      <c r="N1964" s="31" t="n">
        <v>13298.75</v>
      </c>
      <c r="O1964" s="31" t="n">
        <v>13538.75</v>
      </c>
      <c r="P1964" s="22" t="n">
        <v>0</v>
      </c>
      <c r="Q1964" s="22" t="n">
        <v>0</v>
      </c>
      <c r="R1964" s="22" t="n">
        <v>0</v>
      </c>
    </row>
    <row r="1965">
      <c r="A1965" s="22" t="n">
        <v>201906</v>
      </c>
      <c r="B1965" s="22" t="inlineStr">
        <is>
          <t>06/2019</t>
        </is>
      </c>
      <c r="C1965" s="22" t="n">
        <v>24</v>
      </c>
      <c r="D1965" s="22" t="inlineStr">
        <is>
          <t>S24</t>
        </is>
      </c>
      <c r="E1965" s="22" t="inlineStr">
        <is>
          <t>Nexa Hessen (S24)</t>
        </is>
      </c>
      <c r="F1965" s="22" t="inlineStr">
        <is>
          <t>Đức</t>
        </is>
      </c>
      <c r="G1965" s="22" t="inlineStr">
        <is>
          <t>POS</t>
        </is>
      </c>
      <c r="H1965" s="31" t="n">
        <v>18878.49</v>
      </c>
      <c r="I1965" s="31" t="n">
        <v>0</v>
      </c>
      <c r="J1965" s="31" t="n">
        <v>18878.49</v>
      </c>
      <c r="K1965" s="31" t="n">
        <v>0</v>
      </c>
      <c r="L1965" s="32" t="n">
        <v>5</v>
      </c>
      <c r="M1965" s="32" t="n">
        <v>42</v>
      </c>
      <c r="N1965" s="31" t="n">
        <v>18878.49</v>
      </c>
      <c r="O1965" s="31" t="n">
        <v>18878.49</v>
      </c>
      <c r="P1965" s="22" t="n">
        <v>0</v>
      </c>
      <c r="Q1965" s="22" t="n">
        <v>0</v>
      </c>
      <c r="R1965" s="22" t="n">
        <v>0</v>
      </c>
    </row>
    <row r="1966">
      <c r="A1966" s="22" t="n">
        <v>201906</v>
      </c>
      <c r="B1966" s="22" t="inlineStr">
        <is>
          <t>06/2019</t>
        </is>
      </c>
      <c r="C1966" s="22" t="n">
        <v>26</v>
      </c>
      <c r="D1966" s="22" t="inlineStr">
        <is>
          <t>S26</t>
        </is>
      </c>
      <c r="E1966" s="22" t="inlineStr">
        <is>
          <t>Nexa Saarland (S26)</t>
        </is>
      </c>
      <c r="F1966" s="22" t="inlineStr">
        <is>
          <t>Đức</t>
        </is>
      </c>
      <c r="G1966" s="22" t="inlineStr">
        <is>
          <t>POS</t>
        </is>
      </c>
      <c r="H1966" s="31" t="n">
        <v>5723.27</v>
      </c>
      <c r="I1966" s="31" t="n">
        <v>0</v>
      </c>
      <c r="J1966" s="31" t="n">
        <v>5723.27</v>
      </c>
      <c r="K1966" s="31" t="n">
        <v>0</v>
      </c>
      <c r="L1966" s="32" t="n">
        <v>4</v>
      </c>
      <c r="M1966" s="32" t="n">
        <v>40</v>
      </c>
      <c r="N1966" s="31" t="n">
        <v>5723.27</v>
      </c>
      <c r="O1966" s="31" t="n">
        <v>5723.27</v>
      </c>
      <c r="P1966" s="22" t="n">
        <v>0</v>
      </c>
      <c r="Q1966" s="22" t="n">
        <v>0</v>
      </c>
      <c r="R1966" s="22" t="n">
        <v>0</v>
      </c>
    </row>
    <row r="1967">
      <c r="A1967" s="22" t="n">
        <v>201906</v>
      </c>
      <c r="B1967" s="22" t="inlineStr">
        <is>
          <t>06/2019</t>
        </is>
      </c>
      <c r="C1967" s="22" t="n">
        <v>27</v>
      </c>
      <c r="D1967" s="22" t="inlineStr">
        <is>
          <t>S27</t>
        </is>
      </c>
      <c r="E1967" s="22" t="inlineStr">
        <is>
          <t>Nexa Sachsen-Anhalt (S27)</t>
        </is>
      </c>
      <c r="F1967" s="22" t="inlineStr">
        <is>
          <t>Đức</t>
        </is>
      </c>
      <c r="G1967" s="22" t="inlineStr">
        <is>
          <t>POS</t>
        </is>
      </c>
      <c r="H1967" s="31" t="n">
        <v>19016.66</v>
      </c>
      <c r="I1967" s="31" t="n">
        <v>0</v>
      </c>
      <c r="J1967" s="31" t="n">
        <v>19016.66</v>
      </c>
      <c r="K1967" s="31" t="n">
        <v>79</v>
      </c>
      <c r="L1967" s="32" t="n">
        <v>13</v>
      </c>
      <c r="M1967" s="32" t="n">
        <v>86</v>
      </c>
      <c r="N1967" s="31" t="n">
        <v>18937.66</v>
      </c>
      <c r="O1967" s="31" t="n">
        <v>19016.66</v>
      </c>
      <c r="P1967" s="22" t="n">
        <v>0</v>
      </c>
      <c r="Q1967" s="22" t="n">
        <v>0</v>
      </c>
      <c r="R1967" s="22" t="n">
        <v>0</v>
      </c>
    </row>
    <row r="1968">
      <c r="A1968" s="22" t="n">
        <v>201906</v>
      </c>
      <c r="B1968" s="22" t="inlineStr">
        <is>
          <t>06/2019</t>
        </is>
      </c>
      <c r="C1968" s="22" t="n">
        <v>29</v>
      </c>
      <c r="D1968" s="22" t="inlineStr">
        <is>
          <t>S29</t>
        </is>
      </c>
      <c r="E1968" s="22" t="inlineStr">
        <is>
          <t>Nexa Enna (S29)</t>
        </is>
      </c>
      <c r="F1968" s="22" t="inlineStr">
        <is>
          <t>Ý</t>
        </is>
      </c>
      <c r="G1968" s="22" t="inlineStr">
        <is>
          <t>POS</t>
        </is>
      </c>
      <c r="H1968" s="31" t="n">
        <v>16403.79</v>
      </c>
      <c r="I1968" s="31" t="n">
        <v>0</v>
      </c>
      <c r="J1968" s="31" t="n">
        <v>16403.79</v>
      </c>
      <c r="K1968" s="31" t="n">
        <v>0</v>
      </c>
      <c r="L1968" s="32" t="n">
        <v>12</v>
      </c>
      <c r="M1968" s="32" t="n">
        <v>69</v>
      </c>
      <c r="N1968" s="31" t="n">
        <v>16403.79</v>
      </c>
      <c r="O1968" s="31" t="n">
        <v>16403.79</v>
      </c>
      <c r="P1968" s="22" t="n">
        <v>1</v>
      </c>
      <c r="Q1968" s="22" t="n">
        <v>0</v>
      </c>
      <c r="R1968" s="22" t="n">
        <v>0</v>
      </c>
    </row>
    <row r="1969">
      <c r="A1969" s="22" t="n">
        <v>201906</v>
      </c>
      <c r="B1969" s="22" t="inlineStr">
        <is>
          <t>06/2019</t>
        </is>
      </c>
      <c r="C1969" s="22" t="n">
        <v>30</v>
      </c>
      <c r="D1969" s="22" t="inlineStr">
        <is>
          <t>S30</t>
        </is>
      </c>
      <c r="E1969" s="22" t="inlineStr">
        <is>
          <t>Nexa Pesaro (S30)</t>
        </is>
      </c>
      <c r="F1969" s="22" t="inlineStr">
        <is>
          <t>Ý</t>
        </is>
      </c>
      <c r="G1969" s="22" t="inlineStr">
        <is>
          <t>POS</t>
        </is>
      </c>
      <c r="H1969" s="31" t="n">
        <v>31896.53</v>
      </c>
      <c r="I1969" s="31" t="n">
        <v>0</v>
      </c>
      <c r="J1969" s="31" t="n">
        <v>31896.53</v>
      </c>
      <c r="K1969" s="31" t="n">
        <v>3.35</v>
      </c>
      <c r="L1969" s="32" t="n">
        <v>16</v>
      </c>
      <c r="M1969" s="32" t="n">
        <v>91</v>
      </c>
      <c r="N1969" s="31" t="n">
        <v>31893.18</v>
      </c>
      <c r="O1969" s="31" t="n">
        <v>31896.53</v>
      </c>
      <c r="P1969" s="22" t="n">
        <v>0</v>
      </c>
      <c r="Q1969" s="22" t="n">
        <v>0</v>
      </c>
      <c r="R1969" s="22" t="n">
        <v>1</v>
      </c>
    </row>
    <row r="1970">
      <c r="A1970" s="22" t="n">
        <v>201906</v>
      </c>
      <c r="B1970" s="22" t="inlineStr">
        <is>
          <t>06/2019</t>
        </is>
      </c>
      <c r="C1970" s="22" t="n">
        <v>31</v>
      </c>
      <c r="D1970" s="22" t="inlineStr">
        <is>
          <t>S31</t>
        </is>
      </c>
      <c r="E1970" s="22" t="inlineStr">
        <is>
          <t>Nexa Drenthe (S31)</t>
        </is>
      </c>
      <c r="F1970" s="22" t="inlineStr">
        <is>
          <t>Hà Lan</t>
        </is>
      </c>
      <c r="G1970" s="22" t="inlineStr">
        <is>
          <t>POS</t>
        </is>
      </c>
      <c r="H1970" s="31" t="n">
        <v>2635.97</v>
      </c>
      <c r="I1970" s="31" t="n">
        <v>0</v>
      </c>
      <c r="J1970" s="31" t="n">
        <v>2635.97</v>
      </c>
      <c r="K1970" s="31" t="n">
        <v>0</v>
      </c>
      <c r="L1970" s="32" t="n">
        <v>2</v>
      </c>
      <c r="M1970" s="32" t="n">
        <v>11</v>
      </c>
      <c r="N1970" s="31" t="n">
        <v>2635.97</v>
      </c>
      <c r="O1970" s="31" t="n">
        <v>2635.97</v>
      </c>
      <c r="P1970" s="22" t="n">
        <v>1</v>
      </c>
      <c r="Q1970" s="22" t="n">
        <v>0</v>
      </c>
      <c r="R1970" s="22" t="n">
        <v>0</v>
      </c>
    </row>
    <row r="1971">
      <c r="A1971" s="22" t="n">
        <v>201906</v>
      </c>
      <c r="B1971" s="22" t="inlineStr">
        <is>
          <t>06/2019</t>
        </is>
      </c>
      <c r="C1971" s="22" t="n">
        <v>32</v>
      </c>
      <c r="D1971" s="22" t="inlineStr">
        <is>
          <t>S32</t>
        </is>
      </c>
      <c r="E1971" s="22" t="inlineStr">
        <is>
          <t>Nexa Flevoland (S32)</t>
        </is>
      </c>
      <c r="F1971" s="22" t="inlineStr">
        <is>
          <t>Hà Lan</t>
        </is>
      </c>
      <c r="G1971" s="22" t="inlineStr">
        <is>
          <t>POS</t>
        </is>
      </c>
      <c r="H1971" s="31" t="n">
        <v>18272.45</v>
      </c>
      <c r="I1971" s="31" t="n">
        <v>0</v>
      </c>
      <c r="J1971" s="31" t="n">
        <v>18272.45</v>
      </c>
      <c r="K1971" s="31" t="n">
        <v>879</v>
      </c>
      <c r="L1971" s="32" t="n">
        <v>10</v>
      </c>
      <c r="M1971" s="32" t="n">
        <v>80</v>
      </c>
      <c r="N1971" s="31" t="n">
        <v>17393.45</v>
      </c>
      <c r="O1971" s="31" t="n">
        <v>18272.45</v>
      </c>
      <c r="P1971" s="22" t="n">
        <v>0</v>
      </c>
      <c r="Q1971" s="22" t="n">
        <v>0</v>
      </c>
      <c r="R1971" s="22" t="n">
        <v>0</v>
      </c>
    </row>
    <row r="1972">
      <c r="A1972" s="22" t="n">
        <v>201906</v>
      </c>
      <c r="B1972" s="22" t="inlineStr">
        <is>
          <t>06/2019</t>
        </is>
      </c>
      <c r="C1972" s="22" t="n">
        <v>33</v>
      </c>
      <c r="D1972" s="22" t="inlineStr">
        <is>
          <t>S33</t>
        </is>
      </c>
      <c r="E1972" s="22" t="inlineStr">
        <is>
          <t>Nexa Friesland (S33)</t>
        </is>
      </c>
      <c r="F1972" s="22" t="inlineStr">
        <is>
          <t>Hà Lan</t>
        </is>
      </c>
      <c r="G1972" s="22" t="inlineStr">
        <is>
          <t>POS</t>
        </is>
      </c>
      <c r="H1972" s="31" t="n">
        <v>7693</v>
      </c>
      <c r="I1972" s="31" t="n">
        <v>0</v>
      </c>
      <c r="J1972" s="31" t="n">
        <v>7693</v>
      </c>
      <c r="K1972" s="31" t="n">
        <v>0</v>
      </c>
      <c r="L1972" s="32" t="n">
        <v>6</v>
      </c>
      <c r="M1972" s="32" t="n">
        <v>41</v>
      </c>
      <c r="N1972" s="31" t="n">
        <v>7693</v>
      </c>
      <c r="O1972" s="31" t="n">
        <v>7693</v>
      </c>
      <c r="P1972" s="22" t="n">
        <v>1</v>
      </c>
      <c r="Q1972" s="22" t="n">
        <v>0</v>
      </c>
      <c r="R1972" s="22" t="n">
        <v>0</v>
      </c>
    </row>
    <row r="1973">
      <c r="A1973" s="22" t="n">
        <v>201906</v>
      </c>
      <c r="B1973" s="22" t="inlineStr">
        <is>
          <t>06/2019</t>
        </is>
      </c>
      <c r="C1973" s="22" t="n">
        <v>34</v>
      </c>
      <c r="D1973" s="22" t="inlineStr">
        <is>
          <t>S34</t>
        </is>
      </c>
      <c r="E1973" s="22" t="inlineStr">
        <is>
          <t>Nexa Groningen (S34)</t>
        </is>
      </c>
      <c r="F1973" s="22" t="inlineStr">
        <is>
          <t>Hà Lan</t>
        </is>
      </c>
      <c r="G1973" s="22" t="inlineStr">
        <is>
          <t>POS</t>
        </is>
      </c>
      <c r="H1973" s="31" t="n">
        <v>10403.91</v>
      </c>
      <c r="I1973" s="31" t="n">
        <v>0</v>
      </c>
      <c r="J1973" s="31" t="n">
        <v>10403.91</v>
      </c>
      <c r="K1973" s="31" t="n">
        <v>13.89</v>
      </c>
      <c r="L1973" s="32" t="n">
        <v>8</v>
      </c>
      <c r="M1973" s="32" t="n">
        <v>44</v>
      </c>
      <c r="N1973" s="31" t="n">
        <v>10390.02</v>
      </c>
      <c r="O1973" s="31" t="n">
        <v>10403.91</v>
      </c>
      <c r="P1973" s="22" t="n">
        <v>1</v>
      </c>
      <c r="Q1973" s="22" t="n">
        <v>0</v>
      </c>
      <c r="R1973" s="22" t="n">
        <v>0</v>
      </c>
    </row>
    <row r="1974">
      <c r="A1974" s="22" t="n">
        <v>201906</v>
      </c>
      <c r="B1974" s="22" t="inlineStr">
        <is>
          <t>06/2019</t>
        </is>
      </c>
      <c r="C1974" s="22" t="n">
        <v>36</v>
      </c>
      <c r="D1974" s="22" t="inlineStr">
        <is>
          <t>S36</t>
        </is>
      </c>
      <c r="E1974" s="22" t="inlineStr">
        <is>
          <t>Nexa Armagh (S36)</t>
        </is>
      </c>
      <c r="F1974" s="22" t="inlineStr">
        <is>
          <t>Anh</t>
        </is>
      </c>
      <c r="G1974" s="22" t="inlineStr">
        <is>
          <t>POS</t>
        </is>
      </c>
      <c r="H1974" s="31" t="n">
        <v>30458.31</v>
      </c>
      <c r="I1974" s="31" t="n">
        <v>0</v>
      </c>
      <c r="J1974" s="31" t="n">
        <v>30458.31</v>
      </c>
      <c r="K1974" s="31" t="n">
        <v>2799.9</v>
      </c>
      <c r="L1974" s="32" t="n">
        <v>13</v>
      </c>
      <c r="M1974" s="32" t="n">
        <v>91</v>
      </c>
      <c r="N1974" s="31" t="n">
        <v>27658.41</v>
      </c>
      <c r="O1974" s="31" t="n">
        <v>30458.31</v>
      </c>
      <c r="P1974" s="22" t="n">
        <v>0</v>
      </c>
      <c r="Q1974" s="22" t="n">
        <v>0</v>
      </c>
      <c r="R1974" s="22" t="n">
        <v>0</v>
      </c>
    </row>
    <row r="1975">
      <c r="A1975" s="22" t="n">
        <v>201906</v>
      </c>
      <c r="B1975" s="22" t="inlineStr">
        <is>
          <t>06/2019</t>
        </is>
      </c>
      <c r="C1975" s="22" t="n">
        <v>37</v>
      </c>
      <c r="D1975" s="22" t="inlineStr">
        <is>
          <t>S37</t>
        </is>
      </c>
      <c r="E1975" s="22" t="inlineStr">
        <is>
          <t>Nexa Ayrshire (S37)</t>
        </is>
      </c>
      <c r="F1975" s="22" t="inlineStr">
        <is>
          <t>Anh</t>
        </is>
      </c>
      <c r="G1975" s="22" t="inlineStr">
        <is>
          <t>POS</t>
        </is>
      </c>
      <c r="H1975" s="31" t="n">
        <v>6846.84</v>
      </c>
      <c r="I1975" s="31" t="n">
        <v>0</v>
      </c>
      <c r="J1975" s="31" t="n">
        <v>6846.84</v>
      </c>
      <c r="K1975" s="31" t="n">
        <v>0</v>
      </c>
      <c r="L1975" s="32" t="n">
        <v>9</v>
      </c>
      <c r="M1975" s="32" t="n">
        <v>55</v>
      </c>
      <c r="N1975" s="31" t="n">
        <v>6846.84</v>
      </c>
      <c r="O1975" s="31" t="n">
        <v>6846.84</v>
      </c>
      <c r="P1975" s="22" t="n">
        <v>0</v>
      </c>
      <c r="Q1975" s="22" t="n">
        <v>0</v>
      </c>
      <c r="R1975" s="22" t="n">
        <v>0</v>
      </c>
    </row>
    <row r="1976">
      <c r="A1976" s="22" t="n">
        <v>201906</v>
      </c>
      <c r="B1976" s="22" t="inlineStr">
        <is>
          <t>06/2019</t>
        </is>
      </c>
      <c r="C1976" s="22" t="n">
        <v>38</v>
      </c>
      <c r="D1976" s="22" t="inlineStr">
        <is>
          <t>S38</t>
        </is>
      </c>
      <c r="E1976" s="22" t="inlineStr">
        <is>
          <t>Nexa Belfast (S38)</t>
        </is>
      </c>
      <c r="F1976" s="22" t="inlineStr">
        <is>
          <t>Anh</t>
        </is>
      </c>
      <c r="G1976" s="22" t="inlineStr">
        <is>
          <t>POS</t>
        </is>
      </c>
      <c r="H1976" s="31" t="n">
        <v>20842.78</v>
      </c>
      <c r="I1976" s="31" t="n">
        <v>0</v>
      </c>
      <c r="J1976" s="31" t="n">
        <v>20842.78</v>
      </c>
      <c r="K1976" s="31" t="n">
        <v>0</v>
      </c>
      <c r="L1976" s="32" t="n">
        <v>8</v>
      </c>
      <c r="M1976" s="32" t="n">
        <v>58</v>
      </c>
      <c r="N1976" s="31" t="n">
        <v>20842.78</v>
      </c>
      <c r="O1976" s="31" t="n">
        <v>20842.78</v>
      </c>
      <c r="P1976" s="22" t="n">
        <v>0</v>
      </c>
      <c r="Q1976" s="22" t="n">
        <v>0</v>
      </c>
      <c r="R1976" s="22" t="n">
        <v>0</v>
      </c>
    </row>
    <row r="1977">
      <c r="A1977" s="22" t="n">
        <v>201906</v>
      </c>
      <c r="B1977" s="22" t="inlineStr">
        <is>
          <t>06/2019</t>
        </is>
      </c>
      <c r="C1977" s="22" t="n">
        <v>39</v>
      </c>
      <c r="D1977" s="22" t="inlineStr">
        <is>
          <t>S39</t>
        </is>
      </c>
      <c r="E1977" s="22" t="inlineStr">
        <is>
          <t>Nexa Blaenau Gwent (S39)</t>
        </is>
      </c>
      <c r="F1977" s="22" t="inlineStr">
        <is>
          <t>Anh</t>
        </is>
      </c>
      <c r="G1977" s="22" t="inlineStr">
        <is>
          <t>POS</t>
        </is>
      </c>
      <c r="H1977" s="31" t="n">
        <v>46295.91</v>
      </c>
      <c r="I1977" s="31" t="n">
        <v>0</v>
      </c>
      <c r="J1977" s="31" t="n">
        <v>46295.91</v>
      </c>
      <c r="K1977" s="31" t="n">
        <v>0</v>
      </c>
      <c r="L1977" s="32" t="n">
        <v>16</v>
      </c>
      <c r="M1977" s="32" t="n">
        <v>127</v>
      </c>
      <c r="N1977" s="31" t="n">
        <v>46295.91</v>
      </c>
      <c r="O1977" s="31" t="n">
        <v>46295.91</v>
      </c>
      <c r="P1977" s="22" t="n">
        <v>0</v>
      </c>
      <c r="Q1977" s="22" t="n">
        <v>0</v>
      </c>
      <c r="R1977" s="22" t="n">
        <v>0</v>
      </c>
    </row>
    <row r="1978">
      <c r="A1978" s="22" t="n">
        <v>201906</v>
      </c>
      <c r="B1978" s="22" t="inlineStr">
        <is>
          <t>06/2019</t>
        </is>
      </c>
      <c r="C1978" s="22" t="n">
        <v>40</v>
      </c>
      <c r="D1978" s="22" t="inlineStr">
        <is>
          <t>S40</t>
        </is>
      </c>
      <c r="E1978" s="22" t="inlineStr">
        <is>
          <t>Nexa Dungannon and South Tyrone (S40)</t>
        </is>
      </c>
      <c r="F1978" s="22" t="inlineStr">
        <is>
          <t>Anh</t>
        </is>
      </c>
      <c r="G1978" s="22" t="inlineStr">
        <is>
          <t>POS</t>
        </is>
      </c>
      <c r="H1978" s="31" t="n">
        <v>34361.84</v>
      </c>
      <c r="I1978" s="31" t="n">
        <v>0</v>
      </c>
      <c r="J1978" s="31" t="n">
        <v>34361.84</v>
      </c>
      <c r="K1978" s="31" t="n">
        <v>2769.66</v>
      </c>
      <c r="L1978" s="32" t="n">
        <v>13</v>
      </c>
      <c r="M1978" s="32" t="n">
        <v>115</v>
      </c>
      <c r="N1978" s="31" t="n">
        <v>31592.18</v>
      </c>
      <c r="O1978" s="31" t="n">
        <v>34361.84</v>
      </c>
      <c r="P1978" s="22" t="n">
        <v>0</v>
      </c>
      <c r="Q1978" s="22" t="n">
        <v>0</v>
      </c>
      <c r="R1978" s="22" t="n">
        <v>1</v>
      </c>
    </row>
    <row r="1979">
      <c r="A1979" s="22" t="n">
        <v>201906</v>
      </c>
      <c r="B1979" s="22" t="inlineStr">
        <is>
          <t>06/2019</t>
        </is>
      </c>
      <c r="C1979" s="22" t="n">
        <v>42</v>
      </c>
      <c r="D1979" s="22" t="inlineStr">
        <is>
          <t>S42</t>
        </is>
      </c>
      <c r="E1979" s="22" t="inlineStr">
        <is>
          <t>Nexa North Down (S42)</t>
        </is>
      </c>
      <c r="F1979" s="22" t="inlineStr">
        <is>
          <t>Anh</t>
        </is>
      </c>
      <c r="G1979" s="22" t="inlineStr">
        <is>
          <t>POS</t>
        </is>
      </c>
      <c r="H1979" s="31" t="n">
        <v>25418.03</v>
      </c>
      <c r="I1979" s="31" t="n">
        <v>0</v>
      </c>
      <c r="J1979" s="31" t="n">
        <v>25418.03</v>
      </c>
      <c r="K1979" s="31" t="n">
        <v>112.65</v>
      </c>
      <c r="L1979" s="32" t="n">
        <v>13</v>
      </c>
      <c r="M1979" s="32" t="n">
        <v>94</v>
      </c>
      <c r="N1979" s="31" t="n">
        <v>25305.38</v>
      </c>
      <c r="O1979" s="31" t="n">
        <v>25418.03</v>
      </c>
      <c r="P1979" s="22" t="n">
        <v>0</v>
      </c>
      <c r="Q1979" s="22" t="n">
        <v>0</v>
      </c>
      <c r="R1979" s="22" t="n">
        <v>0</v>
      </c>
    </row>
    <row r="1980">
      <c r="A1980" s="22" t="n">
        <v>201906</v>
      </c>
      <c r="B1980" s="22" t="inlineStr">
        <is>
          <t>06/2019</t>
        </is>
      </c>
      <c r="C1980" s="22" t="n">
        <v>43</v>
      </c>
      <c r="D1980" s="22" t="inlineStr">
        <is>
          <t>S43</t>
        </is>
      </c>
      <c r="E1980" s="22" t="inlineStr">
        <is>
          <t>Nexa Alaska (S43)</t>
        </is>
      </c>
      <c r="F1980" s="22" t="inlineStr">
        <is>
          <t>Mỹ</t>
        </is>
      </c>
      <c r="G1980" s="22" t="inlineStr">
        <is>
          <t>POS</t>
        </is>
      </c>
      <c r="H1980" s="31" t="n">
        <v>30357.99</v>
      </c>
      <c r="I1980" s="31" t="n">
        <v>0</v>
      </c>
      <c r="J1980" s="31" t="n">
        <v>30357.99</v>
      </c>
      <c r="K1980" s="31" t="n">
        <v>1402.3</v>
      </c>
      <c r="L1980" s="32" t="n">
        <v>15</v>
      </c>
      <c r="M1980" s="32" t="n">
        <v>87</v>
      </c>
      <c r="N1980" s="31" t="n">
        <v>28955.69</v>
      </c>
      <c r="O1980" s="31" t="n">
        <v>30357.99</v>
      </c>
      <c r="P1980" s="22" t="n">
        <v>1</v>
      </c>
      <c r="Q1980" s="22" t="n">
        <v>0</v>
      </c>
      <c r="R1980" s="22" t="n">
        <v>0</v>
      </c>
    </row>
    <row r="1981">
      <c r="A1981" s="22" t="n">
        <v>201906</v>
      </c>
      <c r="B1981" s="22" t="inlineStr">
        <is>
          <t>06/2019</t>
        </is>
      </c>
      <c r="C1981" s="22" t="n">
        <v>44</v>
      </c>
      <c r="D1981" s="22" t="inlineStr">
        <is>
          <t>S44</t>
        </is>
      </c>
      <c r="E1981" s="22" t="inlineStr">
        <is>
          <t>Nexa Arkansas (S44)</t>
        </is>
      </c>
      <c r="F1981" s="22" t="inlineStr">
        <is>
          <t>Mỹ</t>
        </is>
      </c>
      <c r="G1981" s="22" t="inlineStr">
        <is>
          <t>POS</t>
        </is>
      </c>
      <c r="H1981" s="31" t="n">
        <v>22037.18</v>
      </c>
      <c r="I1981" s="31" t="n">
        <v>0</v>
      </c>
      <c r="J1981" s="31" t="n">
        <v>22037.18</v>
      </c>
      <c r="K1981" s="31" t="n">
        <v>29.97</v>
      </c>
      <c r="L1981" s="32" t="n">
        <v>13</v>
      </c>
      <c r="M1981" s="32" t="n">
        <v>83</v>
      </c>
      <c r="N1981" s="31" t="n">
        <v>22007.21</v>
      </c>
      <c r="O1981" s="31" t="n">
        <v>22037.18</v>
      </c>
      <c r="P1981" s="22" t="n">
        <v>0</v>
      </c>
      <c r="Q1981" s="22" t="n">
        <v>0</v>
      </c>
      <c r="R1981" s="22" t="n">
        <v>0</v>
      </c>
    </row>
    <row r="1982">
      <c r="A1982" s="22" t="n">
        <v>201906</v>
      </c>
      <c r="B1982" s="22" t="inlineStr">
        <is>
          <t>06/2019</t>
        </is>
      </c>
      <c r="C1982" s="22" t="n">
        <v>45</v>
      </c>
      <c r="D1982" s="22" t="inlineStr">
        <is>
          <t>S45</t>
        </is>
      </c>
      <c r="E1982" s="22" t="inlineStr">
        <is>
          <t>Nexa Connecticut (S45)</t>
        </is>
      </c>
      <c r="F1982" s="22" t="inlineStr">
        <is>
          <t>Mỹ</t>
        </is>
      </c>
      <c r="G1982" s="22" t="inlineStr">
        <is>
          <t>POS</t>
        </is>
      </c>
      <c r="H1982" s="31" t="n">
        <v>36612.9</v>
      </c>
      <c r="I1982" s="31" t="n">
        <v>0</v>
      </c>
      <c r="J1982" s="31" t="n">
        <v>36612.9</v>
      </c>
      <c r="K1982" s="31" t="n">
        <v>2862.9</v>
      </c>
      <c r="L1982" s="32" t="n">
        <v>15</v>
      </c>
      <c r="M1982" s="32" t="n">
        <v>169</v>
      </c>
      <c r="N1982" s="31" t="n">
        <v>33750</v>
      </c>
      <c r="O1982" s="31" t="n">
        <v>36612.9</v>
      </c>
      <c r="P1982" s="22" t="n">
        <v>0</v>
      </c>
      <c r="Q1982" s="22" t="n">
        <v>0</v>
      </c>
      <c r="R1982" s="22" t="n">
        <v>0</v>
      </c>
    </row>
    <row r="1983">
      <c r="A1983" s="22" t="n">
        <v>201906</v>
      </c>
      <c r="B1983" s="22" t="inlineStr">
        <is>
          <t>06/2019</t>
        </is>
      </c>
      <c r="C1983" s="22" t="n">
        <v>47</v>
      </c>
      <c r="D1983" s="22" t="inlineStr">
        <is>
          <t>S47</t>
        </is>
      </c>
      <c r="E1983" s="22" t="inlineStr">
        <is>
          <t>Nexa Hawaii (S47)</t>
        </is>
      </c>
      <c r="F1983" s="22" t="inlineStr">
        <is>
          <t>Mỹ</t>
        </is>
      </c>
      <c r="G1983" s="22" t="inlineStr">
        <is>
          <t>POS</t>
        </is>
      </c>
      <c r="H1983" s="31" t="n">
        <v>12170.8</v>
      </c>
      <c r="I1983" s="31" t="n">
        <v>0</v>
      </c>
      <c r="J1983" s="31" t="n">
        <v>12170.8</v>
      </c>
      <c r="K1983" s="31" t="n">
        <v>268</v>
      </c>
      <c r="L1983" s="32" t="n">
        <v>11</v>
      </c>
      <c r="M1983" s="32" t="n">
        <v>49</v>
      </c>
      <c r="N1983" s="31" t="n">
        <v>11902.8</v>
      </c>
      <c r="O1983" s="31" t="n">
        <v>12170.8</v>
      </c>
      <c r="P1983" s="22" t="n">
        <v>1</v>
      </c>
      <c r="Q1983" s="22" t="n">
        <v>0</v>
      </c>
      <c r="R1983" s="22" t="n">
        <v>0</v>
      </c>
    </row>
    <row r="1984">
      <c r="A1984" s="22" t="n">
        <v>201906</v>
      </c>
      <c r="B1984" s="22" t="inlineStr">
        <is>
          <t>06/2019</t>
        </is>
      </c>
      <c r="C1984" s="22" t="n">
        <v>48</v>
      </c>
      <c r="D1984" s="22" t="inlineStr">
        <is>
          <t>S48</t>
        </is>
      </c>
      <c r="E1984" s="22" t="inlineStr">
        <is>
          <t>Nexa Idaho (S48)</t>
        </is>
      </c>
      <c r="F1984" s="22" t="inlineStr">
        <is>
          <t>Mỹ</t>
        </is>
      </c>
      <c r="G1984" s="22" t="inlineStr">
        <is>
          <t>POS</t>
        </is>
      </c>
      <c r="H1984" s="31" t="n">
        <v>14595.07</v>
      </c>
      <c r="I1984" s="31" t="n">
        <v>0</v>
      </c>
      <c r="J1984" s="31" t="n">
        <v>14595.07</v>
      </c>
      <c r="K1984" s="31" t="n">
        <v>129.99</v>
      </c>
      <c r="L1984" s="32" t="n">
        <v>12</v>
      </c>
      <c r="M1984" s="32" t="n">
        <v>66</v>
      </c>
      <c r="N1984" s="31" t="n">
        <v>14465.08</v>
      </c>
      <c r="O1984" s="31" t="n">
        <v>14595.07</v>
      </c>
      <c r="P1984" s="22" t="n">
        <v>0</v>
      </c>
      <c r="Q1984" s="22" t="n">
        <v>0</v>
      </c>
      <c r="R1984" s="22" t="n">
        <v>0</v>
      </c>
    </row>
    <row r="1985">
      <c r="A1985" s="22" t="n">
        <v>201906</v>
      </c>
      <c r="B1985" s="22" t="inlineStr">
        <is>
          <t>06/2019</t>
        </is>
      </c>
      <c r="C1985" s="22" t="n">
        <v>49</v>
      </c>
      <c r="D1985" s="22" t="inlineStr">
        <is>
          <t>S49</t>
        </is>
      </c>
      <c r="E1985" s="22" t="inlineStr">
        <is>
          <t>Nexa Iowa (S49)</t>
        </is>
      </c>
      <c r="F1985" s="22" t="inlineStr">
        <is>
          <t>Mỹ</t>
        </is>
      </c>
      <c r="G1985" s="22" t="inlineStr">
        <is>
          <t>POS</t>
        </is>
      </c>
      <c r="H1985" s="31" t="n">
        <v>49281.13</v>
      </c>
      <c r="I1985" s="31" t="n">
        <v>0</v>
      </c>
      <c r="J1985" s="31" t="n">
        <v>49281.13</v>
      </c>
      <c r="K1985" s="31" t="n">
        <v>202.75</v>
      </c>
      <c r="L1985" s="32" t="n">
        <v>23</v>
      </c>
      <c r="M1985" s="32" t="n">
        <v>167</v>
      </c>
      <c r="N1985" s="31" t="n">
        <v>49078.38</v>
      </c>
      <c r="O1985" s="31" t="n">
        <v>49281.13</v>
      </c>
      <c r="P1985" s="22" t="n">
        <v>0</v>
      </c>
      <c r="Q1985" s="22" t="n">
        <v>0</v>
      </c>
      <c r="R1985" s="22" t="n">
        <v>0</v>
      </c>
    </row>
    <row r="1986">
      <c r="A1986" s="22" t="n">
        <v>201906</v>
      </c>
      <c r="B1986" s="22" t="inlineStr">
        <is>
          <t>06/2019</t>
        </is>
      </c>
      <c r="C1986" s="22" t="n">
        <v>50</v>
      </c>
      <c r="D1986" s="22" t="inlineStr">
        <is>
          <t>S50</t>
        </is>
      </c>
      <c r="E1986" s="22" t="inlineStr">
        <is>
          <t>Nexa Kansas (S50)</t>
        </is>
      </c>
      <c r="F1986" s="22" t="inlineStr">
        <is>
          <t>Mỹ</t>
        </is>
      </c>
      <c r="G1986" s="22" t="inlineStr">
        <is>
          <t>POS</t>
        </is>
      </c>
      <c r="H1986" s="31" t="n">
        <v>11608.79</v>
      </c>
      <c r="I1986" s="31" t="n">
        <v>0</v>
      </c>
      <c r="J1986" s="31" t="n">
        <v>11608.79</v>
      </c>
      <c r="K1986" s="31" t="n">
        <v>0</v>
      </c>
      <c r="L1986" s="32" t="n">
        <v>10</v>
      </c>
      <c r="M1986" s="32" t="n">
        <v>64</v>
      </c>
      <c r="N1986" s="31" t="n">
        <v>11608.79</v>
      </c>
      <c r="O1986" s="31" t="n">
        <v>11608.79</v>
      </c>
      <c r="P1986" s="22" t="n">
        <v>0</v>
      </c>
      <c r="Q1986" s="22" t="n">
        <v>0</v>
      </c>
      <c r="R1986" s="22" t="n">
        <v>0</v>
      </c>
    </row>
    <row r="1987">
      <c r="A1987" s="22" t="n">
        <v>201906</v>
      </c>
      <c r="B1987" s="22" t="inlineStr">
        <is>
          <t>06/2019</t>
        </is>
      </c>
      <c r="C1987" s="22" t="n">
        <v>51</v>
      </c>
      <c r="D1987" s="22" t="inlineStr">
        <is>
          <t>S51</t>
        </is>
      </c>
      <c r="E1987" s="22" t="inlineStr">
        <is>
          <t>Nexa Maine (S51)</t>
        </is>
      </c>
      <c r="F1987" s="22" t="inlineStr">
        <is>
          <t>Mỹ</t>
        </is>
      </c>
      <c r="G1987" s="22" t="inlineStr">
        <is>
          <t>POS</t>
        </is>
      </c>
      <c r="H1987" s="31" t="n">
        <v>18134.09</v>
      </c>
      <c r="I1987" s="31" t="n">
        <v>0</v>
      </c>
      <c r="J1987" s="31" t="n">
        <v>18134.09</v>
      </c>
      <c r="K1987" s="31" t="n">
        <v>474</v>
      </c>
      <c r="L1987" s="32" t="n">
        <v>8</v>
      </c>
      <c r="M1987" s="32" t="n">
        <v>86</v>
      </c>
      <c r="N1987" s="31" t="n">
        <v>17660.09</v>
      </c>
      <c r="O1987" s="31" t="n">
        <v>18134.09</v>
      </c>
      <c r="P1987" s="22" t="n">
        <v>1</v>
      </c>
      <c r="Q1987" s="22" t="n">
        <v>0</v>
      </c>
      <c r="R1987" s="22" t="n">
        <v>0</v>
      </c>
    </row>
    <row r="1988">
      <c r="A1988" s="22" t="n">
        <v>201906</v>
      </c>
      <c r="B1988" s="22" t="inlineStr">
        <is>
          <t>06/2019</t>
        </is>
      </c>
      <c r="C1988" s="22" t="n">
        <v>53</v>
      </c>
      <c r="D1988" s="22" t="inlineStr">
        <is>
          <t>S53</t>
        </is>
      </c>
      <c r="E1988" s="22" t="inlineStr">
        <is>
          <t>Nexa Montana (S53)</t>
        </is>
      </c>
      <c r="F1988" s="22" t="inlineStr">
        <is>
          <t>Mỹ</t>
        </is>
      </c>
      <c r="G1988" s="22" t="inlineStr">
        <is>
          <t>POS</t>
        </is>
      </c>
      <c r="H1988" s="31" t="n">
        <v>16536.94</v>
      </c>
      <c r="I1988" s="31" t="n">
        <v>0</v>
      </c>
      <c r="J1988" s="31" t="n">
        <v>16536.94</v>
      </c>
      <c r="K1988" s="31" t="n">
        <v>0</v>
      </c>
      <c r="L1988" s="32" t="n">
        <v>12</v>
      </c>
      <c r="M1988" s="32" t="n">
        <v>53</v>
      </c>
      <c r="N1988" s="31" t="n">
        <v>16536.94</v>
      </c>
      <c r="O1988" s="31" t="n">
        <v>16536.94</v>
      </c>
      <c r="P1988" s="22" t="n">
        <v>1</v>
      </c>
      <c r="Q1988" s="22" t="n">
        <v>0</v>
      </c>
      <c r="R1988" s="22" t="n">
        <v>0</v>
      </c>
    </row>
    <row r="1989">
      <c r="A1989" s="22" t="n">
        <v>201906</v>
      </c>
      <c r="B1989" s="22" t="inlineStr">
        <is>
          <t>06/2019</t>
        </is>
      </c>
      <c r="C1989" s="22" t="n">
        <v>54</v>
      </c>
      <c r="D1989" s="22" t="inlineStr">
        <is>
          <t>S54</t>
        </is>
      </c>
      <c r="E1989" s="22" t="inlineStr">
        <is>
          <t>Nexa Nebraska (S54)</t>
        </is>
      </c>
      <c r="F1989" s="22" t="inlineStr">
        <is>
          <t>Mỹ</t>
        </is>
      </c>
      <c r="G1989" s="22" t="inlineStr">
        <is>
          <t>POS</t>
        </is>
      </c>
      <c r="H1989" s="31" t="n">
        <v>29701.1</v>
      </c>
      <c r="I1989" s="31" t="n">
        <v>0</v>
      </c>
      <c r="J1989" s="31" t="n">
        <v>29701.1</v>
      </c>
      <c r="K1989" s="31" t="n">
        <v>2027.98</v>
      </c>
      <c r="L1989" s="32" t="n">
        <v>18</v>
      </c>
      <c r="M1989" s="32" t="n">
        <v>127</v>
      </c>
      <c r="N1989" s="31" t="n">
        <v>27673.12</v>
      </c>
      <c r="O1989" s="31" t="n">
        <v>29701.1</v>
      </c>
      <c r="P1989" s="22" t="n">
        <v>0</v>
      </c>
      <c r="Q1989" s="22" t="n">
        <v>0</v>
      </c>
      <c r="R1989" s="22" t="n">
        <v>0</v>
      </c>
    </row>
    <row r="1990">
      <c r="A1990" s="22" t="n">
        <v>201906</v>
      </c>
      <c r="B1990" s="22" t="inlineStr">
        <is>
          <t>06/2019</t>
        </is>
      </c>
      <c r="C1990" s="22" t="n">
        <v>55</v>
      </c>
      <c r="D1990" s="22" t="inlineStr">
        <is>
          <t>S55</t>
        </is>
      </c>
      <c r="E1990" s="22" t="inlineStr">
        <is>
          <t>Nexa Nevada (S55)</t>
        </is>
      </c>
      <c r="F1990" s="22" t="inlineStr">
        <is>
          <t>Mỹ</t>
        </is>
      </c>
      <c r="G1990" s="22" t="inlineStr">
        <is>
          <t>POS</t>
        </is>
      </c>
      <c r="H1990" s="31" t="n">
        <v>30120.61</v>
      </c>
      <c r="I1990" s="31" t="n">
        <v>0</v>
      </c>
      <c r="J1990" s="31" t="n">
        <v>30120.61</v>
      </c>
      <c r="K1990" s="31" t="n">
        <v>309.98</v>
      </c>
      <c r="L1990" s="32" t="n">
        <v>19</v>
      </c>
      <c r="M1990" s="32" t="n">
        <v>151</v>
      </c>
      <c r="N1990" s="31" t="n">
        <v>29810.63</v>
      </c>
      <c r="O1990" s="31" t="n">
        <v>30120.61</v>
      </c>
      <c r="P1990" s="22" t="n">
        <v>2</v>
      </c>
      <c r="Q1990" s="22" t="n">
        <v>0</v>
      </c>
      <c r="R1990" s="22" t="n">
        <v>0</v>
      </c>
    </row>
    <row r="1991">
      <c r="A1991" s="22" t="n">
        <v>201906</v>
      </c>
      <c r="B1991" s="22" t="inlineStr">
        <is>
          <t>06/2019</t>
        </is>
      </c>
      <c r="C1991" s="22" t="n">
        <v>56</v>
      </c>
      <c r="D1991" s="22" t="inlineStr">
        <is>
          <t>S56</t>
        </is>
      </c>
      <c r="E1991" s="22" t="inlineStr">
        <is>
          <t>Nexa New Hampshire (S56)</t>
        </is>
      </c>
      <c r="F1991" s="22" t="inlineStr">
        <is>
          <t>Mỹ</t>
        </is>
      </c>
      <c r="G1991" s="22" t="inlineStr">
        <is>
          <t>POS</t>
        </is>
      </c>
      <c r="H1991" s="31" t="n">
        <v>24195.14</v>
      </c>
      <c r="I1991" s="31" t="n">
        <v>0</v>
      </c>
      <c r="J1991" s="31" t="n">
        <v>24195.14</v>
      </c>
      <c r="K1991" s="31" t="n">
        <v>599</v>
      </c>
      <c r="L1991" s="32" t="n">
        <v>9</v>
      </c>
      <c r="M1991" s="32" t="n">
        <v>62</v>
      </c>
      <c r="N1991" s="31" t="n">
        <v>23596.14</v>
      </c>
      <c r="O1991" s="31" t="n">
        <v>24195.14</v>
      </c>
      <c r="P1991" s="22" t="n">
        <v>1</v>
      </c>
      <c r="Q1991" s="22" t="n">
        <v>0</v>
      </c>
      <c r="R1991" s="22" t="n">
        <v>0</v>
      </c>
    </row>
    <row r="1992">
      <c r="A1992" s="22" t="n">
        <v>201906</v>
      </c>
      <c r="B1992" s="22" t="inlineStr">
        <is>
          <t>06/2019</t>
        </is>
      </c>
      <c r="C1992" s="22" t="n">
        <v>57</v>
      </c>
      <c r="D1992" s="22" t="inlineStr">
        <is>
          <t>S57</t>
        </is>
      </c>
      <c r="E1992" s="22" t="inlineStr">
        <is>
          <t>Nexa New Mexico (S57)</t>
        </is>
      </c>
      <c r="F1992" s="22" t="inlineStr">
        <is>
          <t>Mỹ</t>
        </is>
      </c>
      <c r="G1992" s="22" t="inlineStr">
        <is>
          <t>POS</t>
        </is>
      </c>
      <c r="H1992" s="31" t="n">
        <v>37762.74</v>
      </c>
      <c r="I1992" s="31" t="n">
        <v>0</v>
      </c>
      <c r="J1992" s="31" t="n">
        <v>37762.74</v>
      </c>
      <c r="K1992" s="31" t="n">
        <v>289.99</v>
      </c>
      <c r="L1992" s="32" t="n">
        <v>13</v>
      </c>
      <c r="M1992" s="32" t="n">
        <v>97</v>
      </c>
      <c r="N1992" s="31" t="n">
        <v>37762.74</v>
      </c>
      <c r="O1992" s="31" t="n">
        <v>37762.74</v>
      </c>
      <c r="P1992" s="22" t="n">
        <v>1</v>
      </c>
      <c r="Q1992" s="22" t="n">
        <v>0</v>
      </c>
      <c r="R1992" s="22" t="n">
        <v>0</v>
      </c>
    </row>
    <row r="1993">
      <c r="A1993" s="22" t="n">
        <v>201906</v>
      </c>
      <c r="B1993" s="22" t="inlineStr">
        <is>
          <t>06/2019</t>
        </is>
      </c>
      <c r="C1993" s="22" t="n">
        <v>59</v>
      </c>
      <c r="D1993" s="22" t="inlineStr">
        <is>
          <t>S59</t>
        </is>
      </c>
      <c r="E1993" s="22" t="inlineStr">
        <is>
          <t>Nexa Oregon (S59)</t>
        </is>
      </c>
      <c r="F1993" s="22" t="inlineStr">
        <is>
          <t>Mỹ</t>
        </is>
      </c>
      <c r="G1993" s="22" t="inlineStr">
        <is>
          <t>POS</t>
        </is>
      </c>
      <c r="H1993" s="31" t="n">
        <v>42805.62</v>
      </c>
      <c r="I1993" s="31" t="n">
        <v>0</v>
      </c>
      <c r="J1993" s="31" t="n">
        <v>42805.62</v>
      </c>
      <c r="K1993" s="31" t="n">
        <v>2558.73</v>
      </c>
      <c r="L1993" s="32" t="n">
        <v>19</v>
      </c>
      <c r="M1993" s="32" t="n">
        <v>195</v>
      </c>
      <c r="N1993" s="31" t="n">
        <v>40246.89</v>
      </c>
      <c r="O1993" s="31" t="n">
        <v>42805.62</v>
      </c>
      <c r="P1993" s="22" t="n">
        <v>0</v>
      </c>
      <c r="Q1993" s="22" t="n">
        <v>0</v>
      </c>
      <c r="R1993" s="22" t="n">
        <v>0</v>
      </c>
    </row>
    <row r="1994">
      <c r="A1994" s="22" t="n">
        <v>201906</v>
      </c>
      <c r="B1994" s="22" t="inlineStr">
        <is>
          <t>06/2019</t>
        </is>
      </c>
      <c r="C1994" s="22" t="n">
        <v>61</v>
      </c>
      <c r="D1994" s="22" t="inlineStr">
        <is>
          <t>S61</t>
        </is>
      </c>
      <c r="E1994" s="22" t="inlineStr">
        <is>
          <t>Nexa South Carolina (S61)</t>
        </is>
      </c>
      <c r="F1994" s="22" t="inlineStr">
        <is>
          <t>Mỹ</t>
        </is>
      </c>
      <c r="G1994" s="22" t="inlineStr">
        <is>
          <t>POS</t>
        </is>
      </c>
      <c r="H1994" s="31" t="n">
        <v>17791.23</v>
      </c>
      <c r="I1994" s="31" t="n">
        <v>0</v>
      </c>
      <c r="J1994" s="31" t="n">
        <v>17791.23</v>
      </c>
      <c r="K1994" s="31" t="n">
        <v>387.9</v>
      </c>
      <c r="L1994" s="32" t="n">
        <v>18</v>
      </c>
      <c r="M1994" s="32" t="n">
        <v>91</v>
      </c>
      <c r="N1994" s="31" t="n">
        <v>17403.33</v>
      </c>
      <c r="O1994" s="31" t="n">
        <v>17791.23</v>
      </c>
      <c r="P1994" s="22" t="n">
        <v>1</v>
      </c>
      <c r="Q1994" s="22" t="n">
        <v>0</v>
      </c>
      <c r="R1994" s="22" t="n">
        <v>0</v>
      </c>
    </row>
    <row r="1995">
      <c r="A1995" s="22" t="n">
        <v>201906</v>
      </c>
      <c r="B1995" s="22" t="inlineStr">
        <is>
          <t>06/2019</t>
        </is>
      </c>
      <c r="C1995" s="22" t="n">
        <v>62</v>
      </c>
      <c r="D1995" s="22" t="inlineStr">
        <is>
          <t>S62</t>
        </is>
      </c>
      <c r="E1995" s="22" t="inlineStr">
        <is>
          <t>Nexa South Dakota (S62)</t>
        </is>
      </c>
      <c r="F1995" s="22" t="inlineStr">
        <is>
          <t>Mỹ</t>
        </is>
      </c>
      <c r="G1995" s="22" t="inlineStr">
        <is>
          <t>POS</t>
        </is>
      </c>
      <c r="H1995" s="31" t="n">
        <v>17272.76</v>
      </c>
      <c r="I1995" s="31" t="n">
        <v>0</v>
      </c>
      <c r="J1995" s="31" t="n">
        <v>17272.76</v>
      </c>
      <c r="K1995" s="31" t="n">
        <v>0</v>
      </c>
      <c r="L1995" s="32" t="n">
        <v>9</v>
      </c>
      <c r="M1995" s="32" t="n">
        <v>50</v>
      </c>
      <c r="N1995" s="31" t="n">
        <v>17272.76</v>
      </c>
      <c r="O1995" s="31" t="n">
        <v>17272.76</v>
      </c>
      <c r="P1995" s="22" t="n">
        <v>1</v>
      </c>
      <c r="Q1995" s="22" t="n">
        <v>0</v>
      </c>
      <c r="R1995" s="22" t="n">
        <v>0</v>
      </c>
    </row>
    <row r="1996">
      <c r="A1996" s="22" t="n">
        <v>201906</v>
      </c>
      <c r="B1996" s="22" t="inlineStr">
        <is>
          <t>06/2019</t>
        </is>
      </c>
      <c r="C1996" s="22" t="n">
        <v>63</v>
      </c>
      <c r="D1996" s="22" t="inlineStr">
        <is>
          <t>S63</t>
        </is>
      </c>
      <c r="E1996" s="22" t="inlineStr">
        <is>
          <t>Nexa Utah (S63)</t>
        </is>
      </c>
      <c r="F1996" s="22" t="inlineStr">
        <is>
          <t>Mỹ</t>
        </is>
      </c>
      <c r="G1996" s="22" t="inlineStr">
        <is>
          <t>POS</t>
        </is>
      </c>
      <c r="H1996" s="31" t="n">
        <v>31666.98</v>
      </c>
      <c r="I1996" s="31" t="n">
        <v>0</v>
      </c>
      <c r="J1996" s="31" t="n">
        <v>31666.98</v>
      </c>
      <c r="K1996" s="31" t="n">
        <v>198</v>
      </c>
      <c r="L1996" s="32" t="n">
        <v>21</v>
      </c>
      <c r="M1996" s="32" t="n">
        <v>134</v>
      </c>
      <c r="N1996" s="31" t="n">
        <v>31468.98</v>
      </c>
      <c r="O1996" s="31" t="n">
        <v>31666.98</v>
      </c>
      <c r="P1996" s="22" t="n">
        <v>1</v>
      </c>
      <c r="Q1996" s="22" t="n">
        <v>0</v>
      </c>
      <c r="R1996" s="22" t="n">
        <v>0</v>
      </c>
    </row>
    <row r="1997">
      <c r="A1997" s="22" t="n">
        <v>201906</v>
      </c>
      <c r="B1997" s="22" t="inlineStr">
        <is>
          <t>06/2019</t>
        </is>
      </c>
      <c r="C1997" s="22" t="n">
        <v>64</v>
      </c>
      <c r="D1997" s="22" t="inlineStr">
        <is>
          <t>S64</t>
        </is>
      </c>
      <c r="E1997" s="22" t="inlineStr">
        <is>
          <t>Nexa Washington DC (S64)</t>
        </is>
      </c>
      <c r="F1997" s="22" t="inlineStr">
        <is>
          <t>Mỹ</t>
        </is>
      </c>
      <c r="G1997" s="22" t="inlineStr">
        <is>
          <t>POS</t>
        </is>
      </c>
      <c r="H1997" s="31" t="n">
        <v>24495.87</v>
      </c>
      <c r="I1997" s="31" t="n">
        <v>0</v>
      </c>
      <c r="J1997" s="31" t="n">
        <v>24495.87</v>
      </c>
      <c r="K1997" s="31" t="n">
        <v>6815</v>
      </c>
      <c r="L1997" s="32" t="n">
        <v>11</v>
      </c>
      <c r="M1997" s="32" t="n">
        <v>72</v>
      </c>
      <c r="N1997" s="31" t="n">
        <v>17680.87</v>
      </c>
      <c r="O1997" s="31" t="n">
        <v>24495.87</v>
      </c>
      <c r="P1997" s="22" t="n">
        <v>0</v>
      </c>
      <c r="Q1997" s="22" t="n">
        <v>0</v>
      </c>
      <c r="R1997" s="22" t="n">
        <v>0</v>
      </c>
    </row>
    <row r="1998">
      <c r="A1998" s="22" t="n">
        <v>201906</v>
      </c>
      <c r="B1998" s="22" t="inlineStr">
        <is>
          <t>06/2019</t>
        </is>
      </c>
      <c r="C1998" s="22" t="n">
        <v>65</v>
      </c>
      <c r="D1998" s="22" t="inlineStr">
        <is>
          <t>S65</t>
        </is>
      </c>
      <c r="E1998" s="22" t="inlineStr">
        <is>
          <t>Nexa West Virginia (S65)</t>
        </is>
      </c>
      <c r="F1998" s="22" t="inlineStr">
        <is>
          <t>Mỹ</t>
        </is>
      </c>
      <c r="G1998" s="22" t="inlineStr">
        <is>
          <t>POS</t>
        </is>
      </c>
      <c r="H1998" s="31" t="n">
        <v>26831.31</v>
      </c>
      <c r="I1998" s="31" t="n">
        <v>0</v>
      </c>
      <c r="J1998" s="31" t="n">
        <v>26831.31</v>
      </c>
      <c r="K1998" s="31" t="n">
        <v>219.95</v>
      </c>
      <c r="L1998" s="32" t="n">
        <v>18</v>
      </c>
      <c r="M1998" s="32" t="n">
        <v>128</v>
      </c>
      <c r="N1998" s="31" t="n">
        <v>26611.36</v>
      </c>
      <c r="O1998" s="31" t="n">
        <v>26831.31</v>
      </c>
      <c r="P1998" s="22" t="n">
        <v>1</v>
      </c>
      <c r="Q1998" s="22" t="n">
        <v>0</v>
      </c>
      <c r="R1998" s="22" t="n">
        <v>0</v>
      </c>
    </row>
    <row r="1999">
      <c r="A1999" s="22" t="n">
        <v>201906</v>
      </c>
      <c r="B1999" s="22" t="inlineStr">
        <is>
          <t>06/2019</t>
        </is>
      </c>
      <c r="C1999" s="22" t="n">
        <v>66</v>
      </c>
      <c r="D1999" s="22" t="inlineStr">
        <is>
          <t>S66</t>
        </is>
      </c>
      <c r="E1999" s="22" t="inlineStr">
        <is>
          <t>Nexa Wyoming (S66)</t>
        </is>
      </c>
      <c r="F1999" s="22" t="inlineStr">
        <is>
          <t>Mỹ</t>
        </is>
      </c>
      <c r="G1999" s="22" t="inlineStr">
        <is>
          <t>POS</t>
        </is>
      </c>
      <c r="H1999" s="31" t="n">
        <v>6712.8</v>
      </c>
      <c r="I1999" s="31" t="n">
        <v>0</v>
      </c>
      <c r="J1999" s="31" t="n">
        <v>6712.8</v>
      </c>
      <c r="K1999" s="31" t="n">
        <v>264.98</v>
      </c>
      <c r="L1999" s="32" t="n">
        <v>7</v>
      </c>
      <c r="M1999" s="32" t="n">
        <v>28</v>
      </c>
      <c r="N1999" s="31" t="n">
        <v>6447.82</v>
      </c>
      <c r="O1999" s="31" t="n">
        <v>6712.8</v>
      </c>
      <c r="P1999" s="22" t="n">
        <v>0</v>
      </c>
      <c r="Q1999" s="22" t="n">
        <v>0</v>
      </c>
      <c r="R1999" s="22" t="n">
        <v>0</v>
      </c>
    </row>
    <row r="2000">
      <c r="A2000" s="22" t="n">
        <v>201907</v>
      </c>
      <c r="B2000" s="22" t="inlineStr">
        <is>
          <t>07/2019</t>
        </is>
      </c>
      <c r="C2000" s="22" t="n">
        <v>0</v>
      </c>
      <c r="D2000" s="22" t="inlineStr">
        <is>
          <t>ONL</t>
        </is>
      </c>
      <c r="E2000" s="22" t="inlineStr">
        <is>
          <t>Nexa Online (website/app)</t>
        </is>
      </c>
      <c r="F2000" s="22" t="inlineStr">
        <is>
          <t>Online</t>
        </is>
      </c>
      <c r="G2000" s="22" t="inlineStr">
        <is>
          <t>ONLINE</t>
        </is>
      </c>
      <c r="H2000" s="31" t="n">
        <v>264763.34</v>
      </c>
      <c r="I2000" s="31" t="n">
        <v>4277.3</v>
      </c>
      <c r="J2000" s="31" t="n">
        <v>260486.04</v>
      </c>
      <c r="K2000" s="31" t="n">
        <v>6405.41</v>
      </c>
      <c r="L2000" s="32" t="n">
        <v>151</v>
      </c>
      <c r="M2000" s="32" t="n">
        <v>1040</v>
      </c>
      <c r="N2000" s="31" t="n">
        <v>264842.02</v>
      </c>
      <c r="O2000" s="31" t="n">
        <v>271247.43</v>
      </c>
      <c r="P2000" s="22" t="n">
        <v>5</v>
      </c>
      <c r="Q2000" s="22" t="n">
        <v>0</v>
      </c>
      <c r="R2000" s="22" t="n">
        <v>1</v>
      </c>
    </row>
    <row r="2001">
      <c r="A2001" s="22" t="n">
        <v>201907</v>
      </c>
      <c r="B2001" s="22" t="inlineStr">
        <is>
          <t>07/2019</t>
        </is>
      </c>
      <c r="C2001" s="22" t="n">
        <v>1</v>
      </c>
      <c r="D2001" s="22" t="inlineStr">
        <is>
          <t>S01</t>
        </is>
      </c>
      <c r="E2001" s="22" t="inlineStr">
        <is>
          <t>Nexa Australian Capital Territory (S01)</t>
        </is>
      </c>
      <c r="F2001" s="22" t="inlineStr">
        <is>
          <t>Úc</t>
        </is>
      </c>
      <c r="G2001" s="22" t="inlineStr">
        <is>
          <t>POS</t>
        </is>
      </c>
      <c r="H2001" s="31" t="n">
        <v>12429.42</v>
      </c>
      <c r="I2001" s="31" t="n">
        <v>0</v>
      </c>
      <c r="J2001" s="31" t="n">
        <v>12429.42</v>
      </c>
      <c r="K2001" s="31" t="n">
        <v>0</v>
      </c>
      <c r="L2001" s="32" t="n">
        <v>3</v>
      </c>
      <c r="M2001" s="32" t="n">
        <v>43</v>
      </c>
      <c r="N2001" s="31" t="n">
        <v>12429.42</v>
      </c>
      <c r="O2001" s="31" t="n">
        <v>12429.42</v>
      </c>
      <c r="P2001" s="22" t="n">
        <v>0</v>
      </c>
      <c r="Q2001" s="22" t="n">
        <v>0</v>
      </c>
      <c r="R2001" s="22" t="n">
        <v>0</v>
      </c>
    </row>
    <row r="2002">
      <c r="A2002" s="22" t="n">
        <v>201907</v>
      </c>
      <c r="B2002" s="22" t="inlineStr">
        <is>
          <t>07/2019</t>
        </is>
      </c>
      <c r="C2002" s="22" t="n">
        <v>4</v>
      </c>
      <c r="D2002" s="22" t="inlineStr">
        <is>
          <t>S04</t>
        </is>
      </c>
      <c r="E2002" s="22" t="inlineStr">
        <is>
          <t>Nexa Tasmania (S04)</t>
        </is>
      </c>
      <c r="F2002" s="22" t="inlineStr">
        <is>
          <t>Úc</t>
        </is>
      </c>
      <c r="G2002" s="22" t="inlineStr">
        <is>
          <t>POS</t>
        </is>
      </c>
      <c r="H2002" s="31" t="n">
        <v>23202.35</v>
      </c>
      <c r="I2002" s="31" t="n">
        <v>0</v>
      </c>
      <c r="J2002" s="31" t="n">
        <v>23202.35</v>
      </c>
      <c r="K2002" s="31" t="n">
        <v>0</v>
      </c>
      <c r="L2002" s="32" t="n">
        <v>6</v>
      </c>
      <c r="M2002" s="32" t="n">
        <v>46</v>
      </c>
      <c r="N2002" s="31" t="n">
        <v>23006.35</v>
      </c>
      <c r="O2002" s="31" t="n">
        <v>23202.35</v>
      </c>
      <c r="P2002" s="22" t="n">
        <v>1</v>
      </c>
      <c r="Q2002" s="22" t="n">
        <v>0</v>
      </c>
      <c r="R2002" s="22" t="n">
        <v>0</v>
      </c>
    </row>
    <row r="2003">
      <c r="A2003" s="22" t="n">
        <v>201907</v>
      </c>
      <c r="B2003" s="22" t="inlineStr">
        <is>
          <t>07/2019</t>
        </is>
      </c>
      <c r="C2003" s="22" t="n">
        <v>5</v>
      </c>
      <c r="D2003" s="22" t="inlineStr">
        <is>
          <t>S05</t>
        </is>
      </c>
      <c r="E2003" s="22" t="inlineStr">
        <is>
          <t>Nexa Victoria (S05)</t>
        </is>
      </c>
      <c r="F2003" s="22" t="inlineStr">
        <is>
          <t>Úc</t>
        </is>
      </c>
      <c r="G2003" s="22" t="inlineStr">
        <is>
          <t>POS</t>
        </is>
      </c>
      <c r="H2003" s="31" t="n">
        <v>43604.16</v>
      </c>
      <c r="I2003" s="31" t="n">
        <v>0</v>
      </c>
      <c r="J2003" s="31" t="n">
        <v>43604.16</v>
      </c>
      <c r="K2003" s="31" t="n">
        <v>682.34</v>
      </c>
      <c r="L2003" s="32" t="n">
        <v>11</v>
      </c>
      <c r="M2003" s="32" t="n">
        <v>122</v>
      </c>
      <c r="N2003" s="31" t="n">
        <v>42921.82</v>
      </c>
      <c r="O2003" s="31" t="n">
        <v>43604.16</v>
      </c>
      <c r="P2003" s="22" t="n">
        <v>1</v>
      </c>
      <c r="Q2003" s="22" t="n">
        <v>0</v>
      </c>
      <c r="R2003" s="22" t="n">
        <v>0</v>
      </c>
    </row>
    <row r="2004">
      <c r="A2004" s="22" t="n">
        <v>201907</v>
      </c>
      <c r="B2004" s="22" t="inlineStr">
        <is>
          <t>07/2019</t>
        </is>
      </c>
      <c r="C2004" s="22" t="n">
        <v>6</v>
      </c>
      <c r="D2004" s="22" t="inlineStr">
        <is>
          <t>S06</t>
        </is>
      </c>
      <c r="E2004" s="22" t="inlineStr">
        <is>
          <t>Nexa Western Australia (S06)</t>
        </is>
      </c>
      <c r="F2004" s="22" t="inlineStr">
        <is>
          <t>Úc</t>
        </is>
      </c>
      <c r="G2004" s="22" t="inlineStr">
        <is>
          <t>POS</t>
        </is>
      </c>
      <c r="H2004" s="31" t="n">
        <v>11693.56</v>
      </c>
      <c r="I2004" s="31" t="n">
        <v>0</v>
      </c>
      <c r="J2004" s="31" t="n">
        <v>11693.56</v>
      </c>
      <c r="K2004" s="31" t="n">
        <v>0</v>
      </c>
      <c r="L2004" s="32" t="n">
        <v>11</v>
      </c>
      <c r="M2004" s="32" t="n">
        <v>78</v>
      </c>
      <c r="N2004" s="31" t="n">
        <v>11693.56</v>
      </c>
      <c r="O2004" s="31" t="n">
        <v>11693.56</v>
      </c>
      <c r="P2004" s="22" t="n">
        <v>0</v>
      </c>
      <c r="Q2004" s="22" t="n">
        <v>0</v>
      </c>
      <c r="R2004" s="22" t="n">
        <v>0</v>
      </c>
    </row>
    <row r="2005">
      <c r="A2005" s="22" t="n">
        <v>201907</v>
      </c>
      <c r="B2005" s="22" t="inlineStr">
        <is>
          <t>07/2019</t>
        </is>
      </c>
      <c r="C2005" s="22" t="n">
        <v>8</v>
      </c>
      <c r="D2005" s="22" t="inlineStr">
        <is>
          <t>S08</t>
        </is>
      </c>
      <c r="E2005" s="22" t="inlineStr">
        <is>
          <t>Nexa Newfoundland and Labrador (S08)</t>
        </is>
      </c>
      <c r="F2005" s="22" t="inlineStr">
        <is>
          <t>Canada</t>
        </is>
      </c>
      <c r="G2005" s="22" t="inlineStr">
        <is>
          <t>POS</t>
        </is>
      </c>
      <c r="H2005" s="31" t="n">
        <v>55044.45</v>
      </c>
      <c r="I2005" s="31" t="n">
        <v>0</v>
      </c>
      <c r="J2005" s="31" t="n">
        <v>55044.45</v>
      </c>
      <c r="K2005" s="31" t="n">
        <v>519.98</v>
      </c>
      <c r="L2005" s="32" t="n">
        <v>15</v>
      </c>
      <c r="M2005" s="32" t="n">
        <v>135</v>
      </c>
      <c r="N2005" s="31" t="n">
        <v>54524.47</v>
      </c>
      <c r="O2005" s="31" t="n">
        <v>55044.45</v>
      </c>
      <c r="P2005" s="22" t="n">
        <v>0</v>
      </c>
      <c r="Q2005" s="22" t="n">
        <v>0</v>
      </c>
      <c r="R2005" s="22" t="n">
        <v>0</v>
      </c>
    </row>
    <row r="2006">
      <c r="A2006" s="22" t="n">
        <v>201907</v>
      </c>
      <c r="B2006" s="22" t="inlineStr">
        <is>
          <t>07/2019</t>
        </is>
      </c>
      <c r="C2006" s="22" t="n">
        <v>9</v>
      </c>
      <c r="D2006" s="22" t="inlineStr">
        <is>
          <t>S09</t>
        </is>
      </c>
      <c r="E2006" s="22" t="inlineStr">
        <is>
          <t>Nexa Northwest Territories (S09)</t>
        </is>
      </c>
      <c r="F2006" s="22" t="inlineStr">
        <is>
          <t>Canada</t>
        </is>
      </c>
      <c r="G2006" s="22" t="inlineStr">
        <is>
          <t>POS</t>
        </is>
      </c>
      <c r="H2006" s="31" t="n">
        <v>19068.88</v>
      </c>
      <c r="I2006" s="31" t="n">
        <v>0</v>
      </c>
      <c r="J2006" s="31" t="n">
        <v>19068.88</v>
      </c>
      <c r="K2006" s="31" t="n">
        <v>0</v>
      </c>
      <c r="L2006" s="32" t="n">
        <v>17</v>
      </c>
      <c r="M2006" s="32" t="n">
        <v>107</v>
      </c>
      <c r="N2006" s="31" t="n">
        <v>19012.88</v>
      </c>
      <c r="O2006" s="31" t="n">
        <v>19068.88</v>
      </c>
      <c r="P2006" s="22" t="n">
        <v>1</v>
      </c>
      <c r="Q2006" s="22" t="n">
        <v>0</v>
      </c>
      <c r="R2006" s="22" t="n">
        <v>0</v>
      </c>
    </row>
    <row r="2007">
      <c r="A2007" s="22" t="n">
        <v>201907</v>
      </c>
      <c r="B2007" s="22" t="inlineStr">
        <is>
          <t>07/2019</t>
        </is>
      </c>
      <c r="C2007" s="22" t="n">
        <v>10</v>
      </c>
      <c r="D2007" s="22" t="inlineStr">
        <is>
          <t>S10</t>
        </is>
      </c>
      <c r="E2007" s="22" t="inlineStr">
        <is>
          <t>Nexa Nunavut (S10)</t>
        </is>
      </c>
      <c r="F2007" s="22" t="inlineStr">
        <is>
          <t>Canada</t>
        </is>
      </c>
      <c r="G2007" s="22" t="inlineStr">
        <is>
          <t>POS</t>
        </is>
      </c>
      <c r="H2007" s="31" t="n">
        <v>45354.23</v>
      </c>
      <c r="I2007" s="31" t="n">
        <v>0</v>
      </c>
      <c r="J2007" s="31" t="n">
        <v>45354.23</v>
      </c>
      <c r="K2007" s="31" t="n">
        <v>468</v>
      </c>
      <c r="L2007" s="32" t="n">
        <v>11</v>
      </c>
      <c r="M2007" s="32" t="n">
        <v>127</v>
      </c>
      <c r="N2007" s="31" t="n">
        <v>44886.23</v>
      </c>
      <c r="O2007" s="31" t="n">
        <v>45354.23</v>
      </c>
      <c r="P2007" s="22" t="n">
        <v>0</v>
      </c>
      <c r="Q2007" s="22" t="n">
        <v>0</v>
      </c>
      <c r="R2007" s="22" t="n">
        <v>0</v>
      </c>
    </row>
    <row r="2008">
      <c r="A2008" s="22" t="n">
        <v>201907</v>
      </c>
      <c r="B2008" s="22" t="inlineStr">
        <is>
          <t>07/2019</t>
        </is>
      </c>
      <c r="C2008" s="22" t="n">
        <v>12</v>
      </c>
      <c r="D2008" s="22" t="inlineStr">
        <is>
          <t>S12</t>
        </is>
      </c>
      <c r="E2008" s="22" t="inlineStr">
        <is>
          <t>Nexa Basse-Normandie (S12)</t>
        </is>
      </c>
      <c r="F2008" s="22" t="inlineStr">
        <is>
          <t>Pháp</t>
        </is>
      </c>
      <c r="G2008" s="22" t="inlineStr">
        <is>
          <t>POS</t>
        </is>
      </c>
      <c r="H2008" s="31" t="n">
        <v>599.7</v>
      </c>
      <c r="I2008" s="31" t="n">
        <v>0</v>
      </c>
      <c r="J2008" s="31" t="n">
        <v>599.7</v>
      </c>
      <c r="K2008" s="31" t="n">
        <v>0</v>
      </c>
      <c r="L2008" s="32" t="n">
        <v>1</v>
      </c>
      <c r="M2008" s="32" t="n">
        <v>3</v>
      </c>
      <c r="N2008" s="31" t="n">
        <v>599.7</v>
      </c>
      <c r="O2008" s="31" t="n">
        <v>599.7</v>
      </c>
      <c r="P2008" s="22" t="n">
        <v>0</v>
      </c>
      <c r="Q2008" s="22" t="n">
        <v>0</v>
      </c>
      <c r="R2008" s="22" t="n">
        <v>0</v>
      </c>
    </row>
    <row r="2009">
      <c r="A2009" s="22" t="n">
        <v>201907</v>
      </c>
      <c r="B2009" s="22" t="inlineStr">
        <is>
          <t>07/2019</t>
        </is>
      </c>
      <c r="C2009" s="22" t="n">
        <v>13</v>
      </c>
      <c r="D2009" s="22" t="inlineStr">
        <is>
          <t>S13</t>
        </is>
      </c>
      <c r="E2009" s="22" t="inlineStr">
        <is>
          <t>Nexa Corse (S13)</t>
        </is>
      </c>
      <c r="F2009" s="22" t="inlineStr">
        <is>
          <t>Pháp</t>
        </is>
      </c>
      <c r="G2009" s="22" t="inlineStr">
        <is>
          <t>POS</t>
        </is>
      </c>
      <c r="H2009" s="31" t="n">
        <v>1039.39</v>
      </c>
      <c r="I2009" s="31" t="n">
        <v>0</v>
      </c>
      <c r="J2009" s="31" t="n">
        <v>1039.39</v>
      </c>
      <c r="K2009" s="31" t="n">
        <v>0</v>
      </c>
      <c r="L2009" s="32" t="n">
        <v>3</v>
      </c>
      <c r="M2009" s="32" t="n">
        <v>17</v>
      </c>
      <c r="N2009" s="31" t="n">
        <v>1039.39</v>
      </c>
      <c r="O2009" s="31" t="n">
        <v>1039.39</v>
      </c>
      <c r="P2009" s="22" t="n">
        <v>0</v>
      </c>
      <c r="Q2009" s="22" t="n">
        <v>0</v>
      </c>
      <c r="R2009" s="22" t="n">
        <v>0</v>
      </c>
    </row>
    <row r="2010">
      <c r="A2010" s="22" t="n">
        <v>201907</v>
      </c>
      <c r="B2010" s="22" t="inlineStr">
        <is>
          <t>07/2019</t>
        </is>
      </c>
      <c r="C2010" s="22" t="n">
        <v>14</v>
      </c>
      <c r="D2010" s="22" t="inlineStr">
        <is>
          <t>S14</t>
        </is>
      </c>
      <c r="E2010" s="22" t="inlineStr">
        <is>
          <t>Nexa Franche-Comté (S14)</t>
        </is>
      </c>
      <c r="F2010" s="22" t="inlineStr">
        <is>
          <t>Pháp</t>
        </is>
      </c>
      <c r="G2010" s="22" t="inlineStr">
        <is>
          <t>POS</t>
        </is>
      </c>
      <c r="H2010" s="31" t="n">
        <v>870</v>
      </c>
      <c r="I2010" s="31" t="n">
        <v>0</v>
      </c>
      <c r="J2010" s="31" t="n">
        <v>870</v>
      </c>
      <c r="K2010" s="31" t="n">
        <v>290</v>
      </c>
      <c r="L2010" s="32" t="n">
        <v>1</v>
      </c>
      <c r="M2010" s="32" t="n">
        <v>3</v>
      </c>
      <c r="N2010" s="31" t="n">
        <v>580</v>
      </c>
      <c r="O2010" s="31" t="n">
        <v>870</v>
      </c>
      <c r="P2010" s="22" t="n">
        <v>0</v>
      </c>
      <c r="Q2010" s="22" t="n">
        <v>0</v>
      </c>
      <c r="R2010" s="22" t="n">
        <v>0</v>
      </c>
    </row>
    <row r="2011">
      <c r="A2011" s="22" t="n">
        <v>201907</v>
      </c>
      <c r="B2011" s="22" t="inlineStr">
        <is>
          <t>07/2019</t>
        </is>
      </c>
      <c r="C2011" s="22" t="n">
        <v>15</v>
      </c>
      <c r="D2011" s="22" t="inlineStr">
        <is>
          <t>S15</t>
        </is>
      </c>
      <c r="E2011" s="22" t="inlineStr">
        <is>
          <t>Nexa La Réunion (S15)</t>
        </is>
      </c>
      <c r="F2011" s="22" t="inlineStr">
        <is>
          <t>Pháp</t>
        </is>
      </c>
      <c r="G2011" s="22" t="inlineStr">
        <is>
          <t>POS</t>
        </is>
      </c>
      <c r="H2011" s="31" t="n">
        <v>2737.86</v>
      </c>
      <c r="I2011" s="31" t="n">
        <v>0</v>
      </c>
      <c r="J2011" s="31" t="n">
        <v>2737.86</v>
      </c>
      <c r="K2011" s="31" t="n">
        <v>22.89</v>
      </c>
      <c r="L2011" s="32" t="n">
        <v>1</v>
      </c>
      <c r="M2011" s="32" t="n">
        <v>10</v>
      </c>
      <c r="N2011" s="31" t="n">
        <v>2714.97</v>
      </c>
      <c r="O2011" s="31" t="n">
        <v>2737.86</v>
      </c>
      <c r="P2011" s="22" t="n">
        <v>1</v>
      </c>
      <c r="Q2011" s="22" t="n">
        <v>0</v>
      </c>
      <c r="R2011" s="22" t="n">
        <v>0</v>
      </c>
    </row>
    <row r="2012">
      <c r="A2012" s="22" t="n">
        <v>201907</v>
      </c>
      <c r="B2012" s="22" t="inlineStr">
        <is>
          <t>07/2019</t>
        </is>
      </c>
      <c r="C2012" s="22" t="n">
        <v>16</v>
      </c>
      <c r="D2012" s="22" t="inlineStr">
        <is>
          <t>S16</t>
        </is>
      </c>
      <c r="E2012" s="22" t="inlineStr">
        <is>
          <t>Nexa Limousin (S16)</t>
        </is>
      </c>
      <c r="F2012" s="22" t="inlineStr">
        <is>
          <t>Pháp</t>
        </is>
      </c>
      <c r="G2012" s="22" t="inlineStr">
        <is>
          <t>POS</t>
        </is>
      </c>
      <c r="H2012" s="31" t="n">
        <v>9193.9</v>
      </c>
      <c r="I2012" s="31" t="n">
        <v>0</v>
      </c>
      <c r="J2012" s="31" t="n">
        <v>9193.9</v>
      </c>
      <c r="K2012" s="31" t="n">
        <v>719.96</v>
      </c>
      <c r="L2012" s="32" t="n">
        <v>2</v>
      </c>
      <c r="M2012" s="32" t="n">
        <v>15</v>
      </c>
      <c r="N2012" s="31" t="n">
        <v>8473.940000000001</v>
      </c>
      <c r="O2012" s="31" t="n">
        <v>9193.9</v>
      </c>
      <c r="P2012" s="22" t="n">
        <v>0</v>
      </c>
      <c r="Q2012" s="22" t="n">
        <v>0</v>
      </c>
      <c r="R2012" s="22" t="n">
        <v>0</v>
      </c>
    </row>
    <row r="2013">
      <c r="A2013" s="22" t="n">
        <v>201907</v>
      </c>
      <c r="B2013" s="22" t="inlineStr">
        <is>
          <t>07/2019</t>
        </is>
      </c>
      <c r="C2013" s="22" t="n">
        <v>18</v>
      </c>
      <c r="D2013" s="22" t="inlineStr">
        <is>
          <t>S18</t>
        </is>
      </c>
      <c r="E2013" s="22" t="inlineStr">
        <is>
          <t>Nexa Mayotte (S18)</t>
        </is>
      </c>
      <c r="F2013" s="22" t="inlineStr">
        <is>
          <t>Pháp</t>
        </is>
      </c>
      <c r="G2013" s="22" t="inlineStr">
        <is>
          <t>POS</t>
        </is>
      </c>
      <c r="H2013" s="31" t="n">
        <v>0</v>
      </c>
      <c r="I2013" s="31" t="n">
        <v>0</v>
      </c>
      <c r="J2013" s="31" t="n">
        <v>0</v>
      </c>
      <c r="K2013" s="31" t="n">
        <v>168</v>
      </c>
      <c r="L2013" s="32" t="n">
        <v>0</v>
      </c>
      <c r="M2013" s="32" t="n">
        <v>0</v>
      </c>
      <c r="N2013" s="31" t="n">
        <v>-168</v>
      </c>
      <c r="O2013" s="31" t="n">
        <v>0</v>
      </c>
      <c r="P2013" s="22" t="n">
        <v>1</v>
      </c>
      <c r="Q2013" s="22" t="n">
        <v>0</v>
      </c>
      <c r="R2013" s="22" t="n">
        <v>0</v>
      </c>
    </row>
    <row r="2014">
      <c r="A2014" s="22" t="n">
        <v>201907</v>
      </c>
      <c r="B2014" s="22" t="inlineStr">
        <is>
          <t>07/2019</t>
        </is>
      </c>
      <c r="C2014" s="22" t="n">
        <v>19</v>
      </c>
      <c r="D2014" s="22" t="inlineStr">
        <is>
          <t>S19</t>
        </is>
      </c>
      <c r="E2014" s="22" t="inlineStr">
        <is>
          <t>Nexa Berlin (S19)</t>
        </is>
      </c>
      <c r="F2014" s="22" t="inlineStr">
        <is>
          <t>Đức</t>
        </is>
      </c>
      <c r="G2014" s="22" t="inlineStr">
        <is>
          <t>POS</t>
        </is>
      </c>
      <c r="H2014" s="31" t="n">
        <v>8480.59</v>
      </c>
      <c r="I2014" s="31" t="n">
        <v>0</v>
      </c>
      <c r="J2014" s="31" t="n">
        <v>8480.59</v>
      </c>
      <c r="K2014" s="31" t="n">
        <v>1072</v>
      </c>
      <c r="L2014" s="32" t="n">
        <v>7</v>
      </c>
      <c r="M2014" s="32" t="n">
        <v>39</v>
      </c>
      <c r="N2014" s="31" t="n">
        <v>7408.59</v>
      </c>
      <c r="O2014" s="31" t="n">
        <v>8480.59</v>
      </c>
      <c r="P2014" s="22" t="n">
        <v>0</v>
      </c>
      <c r="Q2014" s="22" t="n">
        <v>0</v>
      </c>
      <c r="R2014" s="22" t="n">
        <v>1</v>
      </c>
    </row>
    <row r="2015">
      <c r="A2015" s="22" t="n">
        <v>201907</v>
      </c>
      <c r="B2015" s="22" t="inlineStr">
        <is>
          <t>07/2019</t>
        </is>
      </c>
      <c r="C2015" s="22" t="n">
        <v>20</v>
      </c>
      <c r="D2015" s="22" t="inlineStr">
        <is>
          <t>S20</t>
        </is>
      </c>
      <c r="E2015" s="22" t="inlineStr">
        <is>
          <t>Nexa Brandenburg (S20)</t>
        </is>
      </c>
      <c r="F2015" s="22" t="inlineStr">
        <is>
          <t>Đức</t>
        </is>
      </c>
      <c r="G2015" s="22" t="inlineStr">
        <is>
          <t>POS</t>
        </is>
      </c>
      <c r="H2015" s="31" t="n">
        <v>6323.07</v>
      </c>
      <c r="I2015" s="31" t="n">
        <v>0</v>
      </c>
      <c r="J2015" s="31" t="n">
        <v>6323.07</v>
      </c>
      <c r="K2015" s="31" t="n">
        <v>0</v>
      </c>
      <c r="L2015" s="32" t="n">
        <v>8</v>
      </c>
      <c r="M2015" s="32" t="n">
        <v>68</v>
      </c>
      <c r="N2015" s="31" t="n">
        <v>6323.07</v>
      </c>
      <c r="O2015" s="31" t="n">
        <v>6323.07</v>
      </c>
      <c r="P2015" s="22" t="n">
        <v>0</v>
      </c>
      <c r="Q2015" s="22" t="n">
        <v>0</v>
      </c>
      <c r="R2015" s="22" t="n">
        <v>0</v>
      </c>
    </row>
    <row r="2016">
      <c r="A2016" s="22" t="n">
        <v>201907</v>
      </c>
      <c r="B2016" s="22" t="inlineStr">
        <is>
          <t>07/2019</t>
        </is>
      </c>
      <c r="C2016" s="22" t="n">
        <v>21</v>
      </c>
      <c r="D2016" s="22" t="inlineStr">
        <is>
          <t>S21</t>
        </is>
      </c>
      <c r="E2016" s="22" t="inlineStr">
        <is>
          <t>Nexa Freie Hansestadt Bremen (S21)</t>
        </is>
      </c>
      <c r="F2016" s="22" t="inlineStr">
        <is>
          <t>Đức</t>
        </is>
      </c>
      <c r="G2016" s="22" t="inlineStr">
        <is>
          <t>POS</t>
        </is>
      </c>
      <c r="H2016" s="31" t="n">
        <v>14834.36</v>
      </c>
      <c r="I2016" s="31" t="n">
        <v>0</v>
      </c>
      <c r="J2016" s="31" t="n">
        <v>14834.36</v>
      </c>
      <c r="K2016" s="31" t="n">
        <v>1440</v>
      </c>
      <c r="L2016" s="32" t="n">
        <v>8</v>
      </c>
      <c r="M2016" s="32" t="n">
        <v>64</v>
      </c>
      <c r="N2016" s="31" t="n">
        <v>13394.36</v>
      </c>
      <c r="O2016" s="31" t="n">
        <v>14834.36</v>
      </c>
      <c r="P2016" s="22" t="n">
        <v>0</v>
      </c>
      <c r="Q2016" s="22" t="n">
        <v>0</v>
      </c>
      <c r="R2016" s="22" t="n">
        <v>0</v>
      </c>
    </row>
    <row r="2017">
      <c r="A2017" s="22" t="n">
        <v>201907</v>
      </c>
      <c r="B2017" s="22" t="inlineStr">
        <is>
          <t>07/2019</t>
        </is>
      </c>
      <c r="C2017" s="22" t="n">
        <v>22</v>
      </c>
      <c r="D2017" s="22" t="inlineStr">
        <is>
          <t>S22</t>
        </is>
      </c>
      <c r="E2017" s="22" t="inlineStr">
        <is>
          <t>Nexa Freistaat Thüringen (S22)</t>
        </is>
      </c>
      <c r="F2017" s="22" t="inlineStr">
        <is>
          <t>Đức</t>
        </is>
      </c>
      <c r="G2017" s="22" t="inlineStr">
        <is>
          <t>POS</t>
        </is>
      </c>
      <c r="H2017" s="31" t="n">
        <v>26615.55</v>
      </c>
      <c r="I2017" s="31" t="n">
        <v>0</v>
      </c>
      <c r="J2017" s="31" t="n">
        <v>26615.55</v>
      </c>
      <c r="K2017" s="31" t="n">
        <v>869</v>
      </c>
      <c r="L2017" s="32" t="n">
        <v>15</v>
      </c>
      <c r="M2017" s="32" t="n">
        <v>103</v>
      </c>
      <c r="N2017" s="31" t="n">
        <v>25746.55</v>
      </c>
      <c r="O2017" s="31" t="n">
        <v>26615.55</v>
      </c>
      <c r="P2017" s="22" t="n">
        <v>0</v>
      </c>
      <c r="Q2017" s="22" t="n">
        <v>0</v>
      </c>
      <c r="R2017" s="22" t="n">
        <v>0</v>
      </c>
    </row>
    <row r="2018">
      <c r="A2018" s="22" t="n">
        <v>201907</v>
      </c>
      <c r="B2018" s="22" t="inlineStr">
        <is>
          <t>07/2019</t>
        </is>
      </c>
      <c r="C2018" s="22" t="n">
        <v>23</v>
      </c>
      <c r="D2018" s="22" t="inlineStr">
        <is>
          <t>S23</t>
        </is>
      </c>
      <c r="E2018" s="22" t="inlineStr">
        <is>
          <t>Nexa Hamburg (S23)</t>
        </is>
      </c>
      <c r="F2018" s="22" t="inlineStr">
        <is>
          <t>Đức</t>
        </is>
      </c>
      <c r="G2018" s="22" t="inlineStr">
        <is>
          <t>POS</t>
        </is>
      </c>
      <c r="H2018" s="31" t="n">
        <v>30140.46</v>
      </c>
      <c r="I2018" s="31" t="n">
        <v>0</v>
      </c>
      <c r="J2018" s="31" t="n">
        <v>30140.46</v>
      </c>
      <c r="K2018" s="31" t="n">
        <v>0</v>
      </c>
      <c r="L2018" s="32" t="n">
        <v>8</v>
      </c>
      <c r="M2018" s="32" t="n">
        <v>59</v>
      </c>
      <c r="N2018" s="31" t="n">
        <v>30198.44</v>
      </c>
      <c r="O2018" s="31" t="n">
        <v>30140.46</v>
      </c>
      <c r="P2018" s="22" t="n">
        <v>1</v>
      </c>
      <c r="Q2018" s="22" t="n">
        <v>0</v>
      </c>
      <c r="R2018" s="22" t="n">
        <v>0</v>
      </c>
    </row>
    <row r="2019">
      <c r="A2019" s="22" t="n">
        <v>201907</v>
      </c>
      <c r="B2019" s="22" t="inlineStr">
        <is>
          <t>07/2019</t>
        </is>
      </c>
      <c r="C2019" s="22" t="n">
        <v>24</v>
      </c>
      <c r="D2019" s="22" t="inlineStr">
        <is>
          <t>S24</t>
        </is>
      </c>
      <c r="E2019" s="22" t="inlineStr">
        <is>
          <t>Nexa Hessen (S24)</t>
        </is>
      </c>
      <c r="F2019" s="22" t="inlineStr">
        <is>
          <t>Đức</t>
        </is>
      </c>
      <c r="G2019" s="22" t="inlineStr">
        <is>
          <t>POS</t>
        </is>
      </c>
      <c r="H2019" s="31" t="n">
        <v>13489.51</v>
      </c>
      <c r="I2019" s="31" t="n">
        <v>0</v>
      </c>
      <c r="J2019" s="31" t="n">
        <v>13489.51</v>
      </c>
      <c r="K2019" s="31" t="n">
        <v>0</v>
      </c>
      <c r="L2019" s="32" t="n">
        <v>7</v>
      </c>
      <c r="M2019" s="32" t="n">
        <v>67</v>
      </c>
      <c r="N2019" s="31" t="n">
        <v>13489.51</v>
      </c>
      <c r="O2019" s="31" t="n">
        <v>13489.51</v>
      </c>
      <c r="P2019" s="22" t="n">
        <v>0</v>
      </c>
      <c r="Q2019" s="22" t="n">
        <v>0</v>
      </c>
      <c r="R2019" s="22" t="n">
        <v>0</v>
      </c>
    </row>
    <row r="2020">
      <c r="A2020" s="22" t="n">
        <v>201907</v>
      </c>
      <c r="B2020" s="22" t="inlineStr">
        <is>
          <t>07/2019</t>
        </is>
      </c>
      <c r="C2020" s="22" t="n">
        <v>26</v>
      </c>
      <c r="D2020" s="22" t="inlineStr">
        <is>
          <t>S26</t>
        </is>
      </c>
      <c r="E2020" s="22" t="inlineStr">
        <is>
          <t>Nexa Saarland (S26)</t>
        </is>
      </c>
      <c r="F2020" s="22" t="inlineStr">
        <is>
          <t>Đức</t>
        </is>
      </c>
      <c r="G2020" s="22" t="inlineStr">
        <is>
          <t>POS</t>
        </is>
      </c>
      <c r="H2020" s="31" t="n">
        <v>14462.63</v>
      </c>
      <c r="I2020" s="31" t="n">
        <v>0</v>
      </c>
      <c r="J2020" s="31" t="n">
        <v>14462.63</v>
      </c>
      <c r="K2020" s="31" t="n">
        <v>45.78</v>
      </c>
      <c r="L2020" s="32" t="n">
        <v>8</v>
      </c>
      <c r="M2020" s="32" t="n">
        <v>45</v>
      </c>
      <c r="N2020" s="31" t="n">
        <v>14416.85</v>
      </c>
      <c r="O2020" s="31" t="n">
        <v>14462.63</v>
      </c>
      <c r="P2020" s="22" t="n">
        <v>0</v>
      </c>
      <c r="Q2020" s="22" t="n">
        <v>0</v>
      </c>
      <c r="R2020" s="22" t="n">
        <v>0</v>
      </c>
    </row>
    <row r="2021">
      <c r="A2021" s="22" t="n">
        <v>201907</v>
      </c>
      <c r="B2021" s="22" t="inlineStr">
        <is>
          <t>07/2019</t>
        </is>
      </c>
      <c r="C2021" s="22" t="n">
        <v>27</v>
      </c>
      <c r="D2021" s="22" t="inlineStr">
        <is>
          <t>S27</t>
        </is>
      </c>
      <c r="E2021" s="22" t="inlineStr">
        <is>
          <t>Nexa Sachsen-Anhalt (S27)</t>
        </is>
      </c>
      <c r="F2021" s="22" t="inlineStr">
        <is>
          <t>Đức</t>
        </is>
      </c>
      <c r="G2021" s="22" t="inlineStr">
        <is>
          <t>POS</t>
        </is>
      </c>
      <c r="H2021" s="31" t="n">
        <v>27464.57</v>
      </c>
      <c r="I2021" s="31" t="n">
        <v>0</v>
      </c>
      <c r="J2021" s="31" t="n">
        <v>27464.57</v>
      </c>
      <c r="K2021" s="31" t="n">
        <v>1798</v>
      </c>
      <c r="L2021" s="32" t="n">
        <v>7</v>
      </c>
      <c r="M2021" s="32" t="n">
        <v>87</v>
      </c>
      <c r="N2021" s="31" t="n">
        <v>25666.57</v>
      </c>
      <c r="O2021" s="31" t="n">
        <v>27464.57</v>
      </c>
      <c r="P2021" s="22" t="n">
        <v>0</v>
      </c>
      <c r="Q2021" s="22" t="n">
        <v>0</v>
      </c>
      <c r="R2021" s="22" t="n">
        <v>1</v>
      </c>
    </row>
    <row r="2022">
      <c r="A2022" s="22" t="n">
        <v>201907</v>
      </c>
      <c r="B2022" s="22" t="inlineStr">
        <is>
          <t>07/2019</t>
        </is>
      </c>
      <c r="C2022" s="22" t="n">
        <v>29</v>
      </c>
      <c r="D2022" s="22" t="inlineStr">
        <is>
          <t>S29</t>
        </is>
      </c>
      <c r="E2022" s="22" t="inlineStr">
        <is>
          <t>Nexa Enna (S29)</t>
        </is>
      </c>
      <c r="F2022" s="22" t="inlineStr">
        <is>
          <t>Ý</t>
        </is>
      </c>
      <c r="G2022" s="22" t="inlineStr">
        <is>
          <t>POS</t>
        </is>
      </c>
      <c r="H2022" s="31" t="n">
        <v>23654.5</v>
      </c>
      <c r="I2022" s="31" t="n">
        <v>0</v>
      </c>
      <c r="J2022" s="31" t="n">
        <v>23654.5</v>
      </c>
      <c r="K2022" s="31" t="n">
        <v>0</v>
      </c>
      <c r="L2022" s="32" t="n">
        <v>8</v>
      </c>
      <c r="M2022" s="32" t="n">
        <v>72</v>
      </c>
      <c r="N2022" s="31" t="n">
        <v>23654.5</v>
      </c>
      <c r="O2022" s="31" t="n">
        <v>23654.5</v>
      </c>
      <c r="P2022" s="22" t="n">
        <v>0</v>
      </c>
      <c r="Q2022" s="22" t="n">
        <v>0</v>
      </c>
      <c r="R2022" s="22" t="n">
        <v>0</v>
      </c>
    </row>
    <row r="2023">
      <c r="A2023" s="22" t="n">
        <v>201907</v>
      </c>
      <c r="B2023" s="22" t="inlineStr">
        <is>
          <t>07/2019</t>
        </is>
      </c>
      <c r="C2023" s="22" t="n">
        <v>30</v>
      </c>
      <c r="D2023" s="22" t="inlineStr">
        <is>
          <t>S30</t>
        </is>
      </c>
      <c r="E2023" s="22" t="inlineStr">
        <is>
          <t>Nexa Pesaro (S30)</t>
        </is>
      </c>
      <c r="F2023" s="22" t="inlineStr">
        <is>
          <t>Ý</t>
        </is>
      </c>
      <c r="G2023" s="22" t="inlineStr">
        <is>
          <t>POS</t>
        </is>
      </c>
      <c r="H2023" s="31" t="n">
        <v>24419.56</v>
      </c>
      <c r="I2023" s="31" t="n">
        <v>0</v>
      </c>
      <c r="J2023" s="31" t="n">
        <v>24419.56</v>
      </c>
      <c r="K2023" s="31" t="n">
        <v>432.98</v>
      </c>
      <c r="L2023" s="32" t="n">
        <v>13</v>
      </c>
      <c r="M2023" s="32" t="n">
        <v>116</v>
      </c>
      <c r="N2023" s="31" t="n">
        <v>23986.58</v>
      </c>
      <c r="O2023" s="31" t="n">
        <v>24419.56</v>
      </c>
      <c r="P2023" s="22" t="n">
        <v>0</v>
      </c>
      <c r="Q2023" s="22" t="n">
        <v>0</v>
      </c>
      <c r="R2023" s="22" t="n">
        <v>0</v>
      </c>
    </row>
    <row r="2024">
      <c r="A2024" s="22" t="n">
        <v>201907</v>
      </c>
      <c r="B2024" s="22" t="inlineStr">
        <is>
          <t>07/2019</t>
        </is>
      </c>
      <c r="C2024" s="22" t="n">
        <v>31</v>
      </c>
      <c r="D2024" s="22" t="inlineStr">
        <is>
          <t>S31</t>
        </is>
      </c>
      <c r="E2024" s="22" t="inlineStr">
        <is>
          <t>Nexa Drenthe (S31)</t>
        </is>
      </c>
      <c r="F2024" s="22" t="inlineStr">
        <is>
          <t>Hà Lan</t>
        </is>
      </c>
      <c r="G2024" s="22" t="inlineStr">
        <is>
          <t>POS</t>
        </is>
      </c>
      <c r="H2024" s="31" t="n">
        <v>13517.38</v>
      </c>
      <c r="I2024" s="31" t="n">
        <v>0</v>
      </c>
      <c r="J2024" s="31" t="n">
        <v>13517.38</v>
      </c>
      <c r="K2024" s="31" t="n">
        <v>0</v>
      </c>
      <c r="L2024" s="32" t="n">
        <v>4</v>
      </c>
      <c r="M2024" s="32" t="n">
        <v>34</v>
      </c>
      <c r="N2024" s="31" t="n">
        <v>13517.38</v>
      </c>
      <c r="O2024" s="31" t="n">
        <v>13517.38</v>
      </c>
      <c r="P2024" s="22" t="n">
        <v>0</v>
      </c>
      <c r="Q2024" s="22" t="n">
        <v>0</v>
      </c>
      <c r="R2024" s="22" t="n">
        <v>0</v>
      </c>
    </row>
    <row r="2025">
      <c r="A2025" s="22" t="n">
        <v>201907</v>
      </c>
      <c r="B2025" s="22" t="inlineStr">
        <is>
          <t>07/2019</t>
        </is>
      </c>
      <c r="C2025" s="22" t="n">
        <v>32</v>
      </c>
      <c r="D2025" s="22" t="inlineStr">
        <is>
          <t>S32</t>
        </is>
      </c>
      <c r="E2025" s="22" t="inlineStr">
        <is>
          <t>Nexa Flevoland (S32)</t>
        </is>
      </c>
      <c r="F2025" s="22" t="inlineStr">
        <is>
          <t>Hà Lan</t>
        </is>
      </c>
      <c r="G2025" s="22" t="inlineStr">
        <is>
          <t>POS</t>
        </is>
      </c>
      <c r="H2025" s="31" t="n">
        <v>3689.36</v>
      </c>
      <c r="I2025" s="31" t="n">
        <v>0</v>
      </c>
      <c r="J2025" s="31" t="n">
        <v>3689.36</v>
      </c>
      <c r="K2025" s="31" t="n">
        <v>0</v>
      </c>
      <c r="L2025" s="32" t="n">
        <v>4</v>
      </c>
      <c r="M2025" s="32" t="n">
        <v>25</v>
      </c>
      <c r="N2025" s="31" t="n">
        <v>3689.36</v>
      </c>
      <c r="O2025" s="31" t="n">
        <v>3689.36</v>
      </c>
      <c r="P2025" s="22" t="n">
        <v>0</v>
      </c>
      <c r="Q2025" s="22" t="n">
        <v>0</v>
      </c>
      <c r="R2025" s="22" t="n">
        <v>0</v>
      </c>
    </row>
    <row r="2026">
      <c r="A2026" s="22" t="n">
        <v>201907</v>
      </c>
      <c r="B2026" s="22" t="inlineStr">
        <is>
          <t>07/2019</t>
        </is>
      </c>
      <c r="C2026" s="22" t="n">
        <v>33</v>
      </c>
      <c r="D2026" s="22" t="inlineStr">
        <is>
          <t>S33</t>
        </is>
      </c>
      <c r="E2026" s="22" t="inlineStr">
        <is>
          <t>Nexa Friesland (S33)</t>
        </is>
      </c>
      <c r="F2026" s="22" t="inlineStr">
        <is>
          <t>Hà Lan</t>
        </is>
      </c>
      <c r="G2026" s="22" t="inlineStr">
        <is>
          <t>POS</t>
        </is>
      </c>
      <c r="H2026" s="31" t="n">
        <v>6163.54</v>
      </c>
      <c r="I2026" s="31" t="n">
        <v>0</v>
      </c>
      <c r="J2026" s="31" t="n">
        <v>6163.54</v>
      </c>
      <c r="K2026" s="31" t="n">
        <v>659.9400000000001</v>
      </c>
      <c r="L2026" s="32" t="n">
        <v>7</v>
      </c>
      <c r="M2026" s="32" t="n">
        <v>47</v>
      </c>
      <c r="N2026" s="31" t="n">
        <v>5503.6</v>
      </c>
      <c r="O2026" s="31" t="n">
        <v>6163.54</v>
      </c>
      <c r="P2026" s="22" t="n">
        <v>0</v>
      </c>
      <c r="Q2026" s="22" t="n">
        <v>0</v>
      </c>
      <c r="R2026" s="22" t="n">
        <v>0</v>
      </c>
    </row>
    <row r="2027">
      <c r="A2027" s="22" t="n">
        <v>201907</v>
      </c>
      <c r="B2027" s="22" t="inlineStr">
        <is>
          <t>07/2019</t>
        </is>
      </c>
      <c r="C2027" s="22" t="n">
        <v>34</v>
      </c>
      <c r="D2027" s="22" t="inlineStr">
        <is>
          <t>S34</t>
        </is>
      </c>
      <c r="E2027" s="22" t="inlineStr">
        <is>
          <t>Nexa Groningen (S34)</t>
        </is>
      </c>
      <c r="F2027" s="22" t="inlineStr">
        <is>
          <t>Hà Lan</t>
        </is>
      </c>
      <c r="G2027" s="22" t="inlineStr">
        <is>
          <t>POS</t>
        </is>
      </c>
      <c r="H2027" s="31" t="n">
        <v>6679.62</v>
      </c>
      <c r="I2027" s="31" t="n">
        <v>0</v>
      </c>
      <c r="J2027" s="31" t="n">
        <v>6679.62</v>
      </c>
      <c r="K2027" s="31" t="n">
        <v>0</v>
      </c>
      <c r="L2027" s="32" t="n">
        <v>4</v>
      </c>
      <c r="M2027" s="32" t="n">
        <v>37</v>
      </c>
      <c r="N2027" s="31" t="n">
        <v>6679.62</v>
      </c>
      <c r="O2027" s="31" t="n">
        <v>6679.62</v>
      </c>
      <c r="P2027" s="22" t="n">
        <v>0</v>
      </c>
      <c r="Q2027" s="22" t="n">
        <v>0</v>
      </c>
      <c r="R2027" s="22" t="n">
        <v>0</v>
      </c>
    </row>
    <row r="2028">
      <c r="A2028" s="22" t="n">
        <v>201907</v>
      </c>
      <c r="B2028" s="22" t="inlineStr">
        <is>
          <t>07/2019</t>
        </is>
      </c>
      <c r="C2028" s="22" t="n">
        <v>36</v>
      </c>
      <c r="D2028" s="22" t="inlineStr">
        <is>
          <t>S36</t>
        </is>
      </c>
      <c r="E2028" s="22" t="inlineStr">
        <is>
          <t>Nexa Armagh (S36)</t>
        </is>
      </c>
      <c r="F2028" s="22" t="inlineStr">
        <is>
          <t>Anh</t>
        </is>
      </c>
      <c r="G2028" s="22" t="inlineStr">
        <is>
          <t>POS</t>
        </is>
      </c>
      <c r="H2028" s="31" t="n">
        <v>14082.55</v>
      </c>
      <c r="I2028" s="31" t="n">
        <v>0</v>
      </c>
      <c r="J2028" s="31" t="n">
        <v>14082.55</v>
      </c>
      <c r="K2028" s="31" t="n">
        <v>1408.45</v>
      </c>
      <c r="L2028" s="32" t="n">
        <v>12</v>
      </c>
      <c r="M2028" s="32" t="n">
        <v>86</v>
      </c>
      <c r="N2028" s="31" t="n">
        <v>12674.1</v>
      </c>
      <c r="O2028" s="31" t="n">
        <v>14082.55</v>
      </c>
      <c r="P2028" s="22" t="n">
        <v>0</v>
      </c>
      <c r="Q2028" s="22" t="n">
        <v>0</v>
      </c>
      <c r="R2028" s="22" t="n">
        <v>0</v>
      </c>
    </row>
    <row r="2029">
      <c r="A2029" s="22" t="n">
        <v>201907</v>
      </c>
      <c r="B2029" s="22" t="inlineStr">
        <is>
          <t>07/2019</t>
        </is>
      </c>
      <c r="C2029" s="22" t="n">
        <v>37</v>
      </c>
      <c r="D2029" s="22" t="inlineStr">
        <is>
          <t>S37</t>
        </is>
      </c>
      <c r="E2029" s="22" t="inlineStr">
        <is>
          <t>Nexa Ayrshire (S37)</t>
        </is>
      </c>
      <c r="F2029" s="22" t="inlineStr">
        <is>
          <t>Anh</t>
        </is>
      </c>
      <c r="G2029" s="22" t="inlineStr">
        <is>
          <t>POS</t>
        </is>
      </c>
      <c r="H2029" s="31" t="n">
        <v>5645.45</v>
      </c>
      <c r="I2029" s="31" t="n">
        <v>0</v>
      </c>
      <c r="J2029" s="31" t="n">
        <v>5645.45</v>
      </c>
      <c r="K2029" s="31" t="n">
        <v>366.55</v>
      </c>
      <c r="L2029" s="32" t="n">
        <v>5</v>
      </c>
      <c r="M2029" s="32" t="n">
        <v>28</v>
      </c>
      <c r="N2029" s="31" t="n">
        <v>5278.9</v>
      </c>
      <c r="O2029" s="31" t="n">
        <v>5645.45</v>
      </c>
      <c r="P2029" s="22" t="n">
        <v>0</v>
      </c>
      <c r="Q2029" s="22" t="n">
        <v>0</v>
      </c>
      <c r="R2029" s="22" t="n">
        <v>0</v>
      </c>
    </row>
    <row r="2030">
      <c r="A2030" s="22" t="n">
        <v>201907</v>
      </c>
      <c r="B2030" s="22" t="inlineStr">
        <is>
          <t>07/2019</t>
        </is>
      </c>
      <c r="C2030" s="22" t="n">
        <v>38</v>
      </c>
      <c r="D2030" s="22" t="inlineStr">
        <is>
          <t>S38</t>
        </is>
      </c>
      <c r="E2030" s="22" t="inlineStr">
        <is>
          <t>Nexa Belfast (S38)</t>
        </is>
      </c>
      <c r="F2030" s="22" t="inlineStr">
        <is>
          <t>Anh</t>
        </is>
      </c>
      <c r="G2030" s="22" t="inlineStr">
        <is>
          <t>POS</t>
        </is>
      </c>
      <c r="H2030" s="31" t="n">
        <v>28544.85</v>
      </c>
      <c r="I2030" s="31" t="n">
        <v>0</v>
      </c>
      <c r="J2030" s="31" t="n">
        <v>28544.85</v>
      </c>
      <c r="K2030" s="31" t="n">
        <v>4946</v>
      </c>
      <c r="L2030" s="32" t="n">
        <v>14</v>
      </c>
      <c r="M2030" s="32" t="n">
        <v>109</v>
      </c>
      <c r="N2030" s="31" t="n">
        <v>23598.85</v>
      </c>
      <c r="O2030" s="31" t="n">
        <v>28544.85</v>
      </c>
      <c r="P2030" s="22" t="n">
        <v>0</v>
      </c>
      <c r="Q2030" s="22" t="n">
        <v>0</v>
      </c>
      <c r="R2030" s="22" t="n">
        <v>0</v>
      </c>
    </row>
    <row r="2031">
      <c r="A2031" s="22" t="n">
        <v>201907</v>
      </c>
      <c r="B2031" s="22" t="inlineStr">
        <is>
          <t>07/2019</t>
        </is>
      </c>
      <c r="C2031" s="22" t="n">
        <v>39</v>
      </c>
      <c r="D2031" s="22" t="inlineStr">
        <is>
          <t>S39</t>
        </is>
      </c>
      <c r="E2031" s="22" t="inlineStr">
        <is>
          <t>Nexa Blaenau Gwent (S39)</t>
        </is>
      </c>
      <c r="F2031" s="22" t="inlineStr">
        <is>
          <t>Anh</t>
        </is>
      </c>
      <c r="G2031" s="22" t="inlineStr">
        <is>
          <t>POS</t>
        </is>
      </c>
      <c r="H2031" s="31" t="n">
        <v>6449.33</v>
      </c>
      <c r="I2031" s="31" t="n">
        <v>0</v>
      </c>
      <c r="J2031" s="31" t="n">
        <v>6449.33</v>
      </c>
      <c r="K2031" s="31" t="n">
        <v>703.85</v>
      </c>
      <c r="L2031" s="32" t="n">
        <v>8</v>
      </c>
      <c r="M2031" s="32" t="n">
        <v>49</v>
      </c>
      <c r="N2031" s="31" t="n">
        <v>5745.48</v>
      </c>
      <c r="O2031" s="31" t="n">
        <v>6449.33</v>
      </c>
      <c r="P2031" s="22" t="n">
        <v>0</v>
      </c>
      <c r="Q2031" s="22" t="n">
        <v>0</v>
      </c>
      <c r="R2031" s="22" t="n">
        <v>1</v>
      </c>
    </row>
    <row r="2032">
      <c r="A2032" s="22" t="n">
        <v>201907</v>
      </c>
      <c r="B2032" s="22" t="inlineStr">
        <is>
          <t>07/2019</t>
        </is>
      </c>
      <c r="C2032" s="22" t="n">
        <v>40</v>
      </c>
      <c r="D2032" s="22" t="inlineStr">
        <is>
          <t>S40</t>
        </is>
      </c>
      <c r="E2032" s="22" t="inlineStr">
        <is>
          <t>Nexa Dungannon and South Tyrone (S40)</t>
        </is>
      </c>
      <c r="F2032" s="22" t="inlineStr">
        <is>
          <t>Anh</t>
        </is>
      </c>
      <c r="G2032" s="22" t="inlineStr">
        <is>
          <t>POS</t>
        </is>
      </c>
      <c r="H2032" s="31" t="n">
        <v>24666.43</v>
      </c>
      <c r="I2032" s="31" t="n">
        <v>0</v>
      </c>
      <c r="J2032" s="31" t="n">
        <v>24666.43</v>
      </c>
      <c r="K2032" s="31" t="n">
        <v>3995.64</v>
      </c>
      <c r="L2032" s="32" t="n">
        <v>16</v>
      </c>
      <c r="M2032" s="32" t="n">
        <v>87</v>
      </c>
      <c r="N2032" s="31" t="n">
        <v>20670.79</v>
      </c>
      <c r="O2032" s="31" t="n">
        <v>24666.43</v>
      </c>
      <c r="P2032" s="22" t="n">
        <v>0</v>
      </c>
      <c r="Q2032" s="22" t="n">
        <v>0</v>
      </c>
      <c r="R2032" s="22" t="n">
        <v>0</v>
      </c>
    </row>
    <row r="2033">
      <c r="A2033" s="22" t="n">
        <v>201907</v>
      </c>
      <c r="B2033" s="22" t="inlineStr">
        <is>
          <t>07/2019</t>
        </is>
      </c>
      <c r="C2033" s="22" t="n">
        <v>42</v>
      </c>
      <c r="D2033" s="22" t="inlineStr">
        <is>
          <t>S42</t>
        </is>
      </c>
      <c r="E2033" s="22" t="inlineStr">
        <is>
          <t>Nexa North Down (S42)</t>
        </is>
      </c>
      <c r="F2033" s="22" t="inlineStr">
        <is>
          <t>Anh</t>
        </is>
      </c>
      <c r="G2033" s="22" t="inlineStr">
        <is>
          <t>POS</t>
        </is>
      </c>
      <c r="H2033" s="31" t="n">
        <v>20531.69</v>
      </c>
      <c r="I2033" s="31" t="n">
        <v>0</v>
      </c>
      <c r="J2033" s="31" t="n">
        <v>20531.69</v>
      </c>
      <c r="K2033" s="31" t="n">
        <v>1240</v>
      </c>
      <c r="L2033" s="32" t="n">
        <v>11</v>
      </c>
      <c r="M2033" s="32" t="n">
        <v>109</v>
      </c>
      <c r="N2033" s="31" t="n">
        <v>19291.69</v>
      </c>
      <c r="O2033" s="31" t="n">
        <v>20531.69</v>
      </c>
      <c r="P2033" s="22" t="n">
        <v>0</v>
      </c>
      <c r="Q2033" s="22" t="n">
        <v>0</v>
      </c>
      <c r="R2033" s="22" t="n">
        <v>0</v>
      </c>
    </row>
    <row r="2034">
      <c r="A2034" s="22" t="n">
        <v>201907</v>
      </c>
      <c r="B2034" s="22" t="inlineStr">
        <is>
          <t>07/2019</t>
        </is>
      </c>
      <c r="C2034" s="22" t="n">
        <v>43</v>
      </c>
      <c r="D2034" s="22" t="inlineStr">
        <is>
          <t>S43</t>
        </is>
      </c>
      <c r="E2034" s="22" t="inlineStr">
        <is>
          <t>Nexa Alaska (S43)</t>
        </is>
      </c>
      <c r="F2034" s="22" t="inlineStr">
        <is>
          <t>Mỹ</t>
        </is>
      </c>
      <c r="G2034" s="22" t="inlineStr">
        <is>
          <t>POS</t>
        </is>
      </c>
      <c r="H2034" s="31" t="n">
        <v>26021.79</v>
      </c>
      <c r="I2034" s="31" t="n">
        <v>0</v>
      </c>
      <c r="J2034" s="31" t="n">
        <v>26021.79</v>
      </c>
      <c r="K2034" s="31" t="n">
        <v>1166.99</v>
      </c>
      <c r="L2034" s="32" t="n">
        <v>20</v>
      </c>
      <c r="M2034" s="32" t="n">
        <v>122</v>
      </c>
      <c r="N2034" s="31" t="n">
        <v>24854.8</v>
      </c>
      <c r="O2034" s="31" t="n">
        <v>26021.79</v>
      </c>
      <c r="P2034" s="22" t="n">
        <v>0</v>
      </c>
      <c r="Q2034" s="22" t="n">
        <v>0</v>
      </c>
      <c r="R2034" s="22" t="n">
        <v>0</v>
      </c>
    </row>
    <row r="2035">
      <c r="A2035" s="22" t="n">
        <v>201907</v>
      </c>
      <c r="B2035" s="22" t="inlineStr">
        <is>
          <t>07/2019</t>
        </is>
      </c>
      <c r="C2035" s="22" t="n">
        <v>44</v>
      </c>
      <c r="D2035" s="22" t="inlineStr">
        <is>
          <t>S44</t>
        </is>
      </c>
      <c r="E2035" s="22" t="inlineStr">
        <is>
          <t>Nexa Arkansas (S44)</t>
        </is>
      </c>
      <c r="F2035" s="22" t="inlineStr">
        <is>
          <t>Mỹ</t>
        </is>
      </c>
      <c r="G2035" s="22" t="inlineStr">
        <is>
          <t>POS</t>
        </is>
      </c>
      <c r="H2035" s="31" t="n">
        <v>12174.16</v>
      </c>
      <c r="I2035" s="31" t="n">
        <v>0</v>
      </c>
      <c r="J2035" s="31" t="n">
        <v>12174.16</v>
      </c>
      <c r="K2035" s="31" t="n">
        <v>0</v>
      </c>
      <c r="L2035" s="32" t="n">
        <v>11</v>
      </c>
      <c r="M2035" s="32" t="n">
        <v>78</v>
      </c>
      <c r="N2035" s="31" t="n">
        <v>12174.16</v>
      </c>
      <c r="O2035" s="31" t="n">
        <v>12174.16</v>
      </c>
      <c r="P2035" s="22" t="n">
        <v>0</v>
      </c>
      <c r="Q2035" s="22" t="n">
        <v>0</v>
      </c>
      <c r="R2035" s="22" t="n">
        <v>0</v>
      </c>
    </row>
    <row r="2036">
      <c r="A2036" s="22" t="n">
        <v>201907</v>
      </c>
      <c r="B2036" s="22" t="inlineStr">
        <is>
          <t>07/2019</t>
        </is>
      </c>
      <c r="C2036" s="22" t="n">
        <v>45</v>
      </c>
      <c r="D2036" s="22" t="inlineStr">
        <is>
          <t>S45</t>
        </is>
      </c>
      <c r="E2036" s="22" t="inlineStr">
        <is>
          <t>Nexa Connecticut (S45)</t>
        </is>
      </c>
      <c r="F2036" s="22" t="inlineStr">
        <is>
          <t>Mỹ</t>
        </is>
      </c>
      <c r="G2036" s="22" t="inlineStr">
        <is>
          <t>POS</t>
        </is>
      </c>
      <c r="H2036" s="31" t="n">
        <v>46656.35</v>
      </c>
      <c r="I2036" s="31" t="n">
        <v>0</v>
      </c>
      <c r="J2036" s="31" t="n">
        <v>46656.35</v>
      </c>
      <c r="K2036" s="31" t="n">
        <v>896.75</v>
      </c>
      <c r="L2036" s="32" t="n">
        <v>22</v>
      </c>
      <c r="M2036" s="32" t="n">
        <v>189</v>
      </c>
      <c r="N2036" s="31" t="n">
        <v>47499.54</v>
      </c>
      <c r="O2036" s="31" t="n">
        <v>46656.35</v>
      </c>
      <c r="P2036" s="22" t="n">
        <v>1</v>
      </c>
      <c r="Q2036" s="22" t="n">
        <v>0</v>
      </c>
      <c r="R2036" s="22" t="n">
        <v>0</v>
      </c>
    </row>
    <row r="2037">
      <c r="A2037" s="22" t="n">
        <v>201907</v>
      </c>
      <c r="B2037" s="22" t="inlineStr">
        <is>
          <t>07/2019</t>
        </is>
      </c>
      <c r="C2037" s="22" t="n">
        <v>47</v>
      </c>
      <c r="D2037" s="22" t="inlineStr">
        <is>
          <t>S47</t>
        </is>
      </c>
      <c r="E2037" s="22" t="inlineStr">
        <is>
          <t>Nexa Hawaii (S47)</t>
        </is>
      </c>
      <c r="F2037" s="22" t="inlineStr">
        <is>
          <t>Mỹ</t>
        </is>
      </c>
      <c r="G2037" s="22" t="inlineStr">
        <is>
          <t>POS</t>
        </is>
      </c>
      <c r="H2037" s="31" t="n">
        <v>7181.7</v>
      </c>
      <c r="I2037" s="31" t="n">
        <v>0</v>
      </c>
      <c r="J2037" s="31" t="n">
        <v>7181.7</v>
      </c>
      <c r="K2037" s="31" t="n">
        <v>0</v>
      </c>
      <c r="L2037" s="32" t="n">
        <v>10</v>
      </c>
      <c r="M2037" s="32" t="n">
        <v>42</v>
      </c>
      <c r="N2037" s="31" t="n">
        <v>7181.7</v>
      </c>
      <c r="O2037" s="31" t="n">
        <v>7181.7</v>
      </c>
      <c r="P2037" s="22" t="n">
        <v>1</v>
      </c>
      <c r="Q2037" s="22" t="n">
        <v>0</v>
      </c>
      <c r="R2037" s="22" t="n">
        <v>0</v>
      </c>
    </row>
    <row r="2038">
      <c r="A2038" s="22" t="n">
        <v>201907</v>
      </c>
      <c r="B2038" s="22" t="inlineStr">
        <is>
          <t>07/2019</t>
        </is>
      </c>
      <c r="C2038" s="22" t="n">
        <v>48</v>
      </c>
      <c r="D2038" s="22" t="inlineStr">
        <is>
          <t>S48</t>
        </is>
      </c>
      <c r="E2038" s="22" t="inlineStr">
        <is>
          <t>Nexa Idaho (S48)</t>
        </is>
      </c>
      <c r="F2038" s="22" t="inlineStr">
        <is>
          <t>Mỹ</t>
        </is>
      </c>
      <c r="G2038" s="22" t="inlineStr">
        <is>
          <t>POS</t>
        </is>
      </c>
      <c r="H2038" s="31" t="n">
        <v>25342.61</v>
      </c>
      <c r="I2038" s="31" t="n">
        <v>0</v>
      </c>
      <c r="J2038" s="31" t="n">
        <v>25342.61</v>
      </c>
      <c r="K2038" s="31" t="n">
        <v>67.59999999999999</v>
      </c>
      <c r="L2038" s="32" t="n">
        <v>11</v>
      </c>
      <c r="M2038" s="32" t="n">
        <v>75</v>
      </c>
      <c r="N2038" s="31" t="n">
        <v>25275.01</v>
      </c>
      <c r="O2038" s="31" t="n">
        <v>25342.61</v>
      </c>
      <c r="P2038" s="22" t="n">
        <v>0</v>
      </c>
      <c r="Q2038" s="22" t="n">
        <v>0</v>
      </c>
      <c r="R2038" s="22" t="n">
        <v>0</v>
      </c>
    </row>
    <row r="2039">
      <c r="A2039" s="22" t="n">
        <v>201907</v>
      </c>
      <c r="B2039" s="22" t="inlineStr">
        <is>
          <t>07/2019</t>
        </is>
      </c>
      <c r="C2039" s="22" t="n">
        <v>49</v>
      </c>
      <c r="D2039" s="22" t="inlineStr">
        <is>
          <t>S49</t>
        </is>
      </c>
      <c r="E2039" s="22" t="inlineStr">
        <is>
          <t>Nexa Iowa (S49)</t>
        </is>
      </c>
      <c r="F2039" s="22" t="inlineStr">
        <is>
          <t>Mỹ</t>
        </is>
      </c>
      <c r="G2039" s="22" t="inlineStr">
        <is>
          <t>POS</t>
        </is>
      </c>
      <c r="H2039" s="31" t="n">
        <v>31156.86</v>
      </c>
      <c r="I2039" s="31" t="n">
        <v>0</v>
      </c>
      <c r="J2039" s="31" t="n">
        <v>31156.86</v>
      </c>
      <c r="K2039" s="31" t="n">
        <v>0</v>
      </c>
      <c r="L2039" s="32" t="n">
        <v>16</v>
      </c>
      <c r="M2039" s="32" t="n">
        <v>136</v>
      </c>
      <c r="N2039" s="31" t="n">
        <v>31156.86</v>
      </c>
      <c r="O2039" s="31" t="n">
        <v>31156.86</v>
      </c>
      <c r="P2039" s="22" t="n">
        <v>0</v>
      </c>
      <c r="Q2039" s="22" t="n">
        <v>0</v>
      </c>
      <c r="R2039" s="22" t="n">
        <v>0</v>
      </c>
    </row>
    <row r="2040">
      <c r="A2040" s="22" t="n">
        <v>201907</v>
      </c>
      <c r="B2040" s="22" t="inlineStr">
        <is>
          <t>07/2019</t>
        </is>
      </c>
      <c r="C2040" s="22" t="n">
        <v>50</v>
      </c>
      <c r="D2040" s="22" t="inlineStr">
        <is>
          <t>S50</t>
        </is>
      </c>
      <c r="E2040" s="22" t="inlineStr">
        <is>
          <t>Nexa Kansas (S50)</t>
        </is>
      </c>
      <c r="F2040" s="22" t="inlineStr">
        <is>
          <t>Mỹ</t>
        </is>
      </c>
      <c r="G2040" s="22" t="inlineStr">
        <is>
          <t>POS</t>
        </is>
      </c>
      <c r="H2040" s="31" t="n">
        <v>35635.29</v>
      </c>
      <c r="I2040" s="31" t="n">
        <v>0</v>
      </c>
      <c r="J2040" s="31" t="n">
        <v>35635.29</v>
      </c>
      <c r="K2040" s="31" t="n">
        <v>10.78</v>
      </c>
      <c r="L2040" s="32" t="n">
        <v>17</v>
      </c>
      <c r="M2040" s="32" t="n">
        <v>153</v>
      </c>
      <c r="N2040" s="31" t="n">
        <v>35624.51</v>
      </c>
      <c r="O2040" s="31" t="n">
        <v>35635.29</v>
      </c>
      <c r="P2040" s="22" t="n">
        <v>0</v>
      </c>
      <c r="Q2040" s="22" t="n">
        <v>0</v>
      </c>
      <c r="R2040" s="22" t="n">
        <v>0</v>
      </c>
    </row>
    <row r="2041">
      <c r="A2041" s="22" t="n">
        <v>201907</v>
      </c>
      <c r="B2041" s="22" t="inlineStr">
        <is>
          <t>07/2019</t>
        </is>
      </c>
      <c r="C2041" s="22" t="n">
        <v>51</v>
      </c>
      <c r="D2041" s="22" t="inlineStr">
        <is>
          <t>S51</t>
        </is>
      </c>
      <c r="E2041" s="22" t="inlineStr">
        <is>
          <t>Nexa Maine (S51)</t>
        </is>
      </c>
      <c r="F2041" s="22" t="inlineStr">
        <is>
          <t>Mỹ</t>
        </is>
      </c>
      <c r="G2041" s="22" t="inlineStr">
        <is>
          <t>POS</t>
        </is>
      </c>
      <c r="H2041" s="31" t="n">
        <v>30417.93</v>
      </c>
      <c r="I2041" s="31" t="n">
        <v>0</v>
      </c>
      <c r="J2041" s="31" t="n">
        <v>30417.93</v>
      </c>
      <c r="K2041" s="31" t="n">
        <v>3198</v>
      </c>
      <c r="L2041" s="32" t="n">
        <v>14</v>
      </c>
      <c r="M2041" s="32" t="n">
        <v>111</v>
      </c>
      <c r="N2041" s="31" t="n">
        <v>27219.93</v>
      </c>
      <c r="O2041" s="31" t="n">
        <v>30417.93</v>
      </c>
      <c r="P2041" s="22" t="n">
        <v>1</v>
      </c>
      <c r="Q2041" s="22" t="n">
        <v>0</v>
      </c>
      <c r="R2041" s="22" t="n">
        <v>0</v>
      </c>
    </row>
    <row r="2042">
      <c r="A2042" s="22" t="n">
        <v>201907</v>
      </c>
      <c r="B2042" s="22" t="inlineStr">
        <is>
          <t>07/2019</t>
        </is>
      </c>
      <c r="C2042" s="22" t="n">
        <v>53</v>
      </c>
      <c r="D2042" s="22" t="inlineStr">
        <is>
          <t>S53</t>
        </is>
      </c>
      <c r="E2042" s="22" t="inlineStr">
        <is>
          <t>Nexa Montana (S53)</t>
        </is>
      </c>
      <c r="F2042" s="22" t="inlineStr">
        <is>
          <t>Mỹ</t>
        </is>
      </c>
      <c r="G2042" s="22" t="inlineStr">
        <is>
          <t>POS</t>
        </is>
      </c>
      <c r="H2042" s="31" t="n">
        <v>9841.200000000001</v>
      </c>
      <c r="I2042" s="31" t="n">
        <v>0</v>
      </c>
      <c r="J2042" s="31" t="n">
        <v>9841.200000000001</v>
      </c>
      <c r="K2042" s="31" t="n">
        <v>79.98</v>
      </c>
      <c r="L2042" s="32" t="n">
        <v>9</v>
      </c>
      <c r="M2042" s="32" t="n">
        <v>46</v>
      </c>
      <c r="N2042" s="31" t="n">
        <v>9761.219999999999</v>
      </c>
      <c r="O2042" s="31" t="n">
        <v>9841.200000000001</v>
      </c>
      <c r="P2042" s="22" t="n">
        <v>0</v>
      </c>
      <c r="Q2042" s="22" t="n">
        <v>0</v>
      </c>
      <c r="R2042" s="22" t="n">
        <v>0</v>
      </c>
    </row>
    <row r="2043">
      <c r="A2043" s="22" t="n">
        <v>201907</v>
      </c>
      <c r="B2043" s="22" t="inlineStr">
        <is>
          <t>07/2019</t>
        </is>
      </c>
      <c r="C2043" s="22" t="n">
        <v>54</v>
      </c>
      <c r="D2043" s="22" t="inlineStr">
        <is>
          <t>S54</t>
        </is>
      </c>
      <c r="E2043" s="22" t="inlineStr">
        <is>
          <t>Nexa Nebraska (S54)</t>
        </is>
      </c>
      <c r="F2043" s="22" t="inlineStr">
        <is>
          <t>Mỹ</t>
        </is>
      </c>
      <c r="G2043" s="22" t="inlineStr">
        <is>
          <t>POS</t>
        </is>
      </c>
      <c r="H2043" s="31" t="n">
        <v>15863.05</v>
      </c>
      <c r="I2043" s="31" t="n">
        <v>0</v>
      </c>
      <c r="J2043" s="31" t="n">
        <v>15863.05</v>
      </c>
      <c r="K2043" s="31" t="n">
        <v>339.93</v>
      </c>
      <c r="L2043" s="32" t="n">
        <v>12</v>
      </c>
      <c r="M2043" s="32" t="n">
        <v>45</v>
      </c>
      <c r="N2043" s="31" t="n">
        <v>15523.12</v>
      </c>
      <c r="O2043" s="31" t="n">
        <v>15863.05</v>
      </c>
      <c r="P2043" s="22" t="n">
        <v>1</v>
      </c>
      <c r="Q2043" s="22" t="n">
        <v>0</v>
      </c>
      <c r="R2043" s="22" t="n">
        <v>1</v>
      </c>
    </row>
    <row r="2044">
      <c r="A2044" s="22" t="n">
        <v>201907</v>
      </c>
      <c r="B2044" s="22" t="inlineStr">
        <is>
          <t>07/2019</t>
        </is>
      </c>
      <c r="C2044" s="22" t="n">
        <v>55</v>
      </c>
      <c r="D2044" s="22" t="inlineStr">
        <is>
          <t>S55</t>
        </is>
      </c>
      <c r="E2044" s="22" t="inlineStr">
        <is>
          <t>Nexa Nevada (S55)</t>
        </is>
      </c>
      <c r="F2044" s="22" t="inlineStr">
        <is>
          <t>Mỹ</t>
        </is>
      </c>
      <c r="G2044" s="22" t="inlineStr">
        <is>
          <t>POS</t>
        </is>
      </c>
      <c r="H2044" s="31" t="n">
        <v>42140.6</v>
      </c>
      <c r="I2044" s="31" t="n">
        <v>0</v>
      </c>
      <c r="J2044" s="31" t="n">
        <v>42140.6</v>
      </c>
      <c r="K2044" s="31" t="n">
        <v>433.98</v>
      </c>
      <c r="L2044" s="32" t="n">
        <v>14</v>
      </c>
      <c r="M2044" s="32" t="n">
        <v>165</v>
      </c>
      <c r="N2044" s="31" t="n">
        <v>41706.62</v>
      </c>
      <c r="O2044" s="31" t="n">
        <v>42140.6</v>
      </c>
      <c r="P2044" s="22" t="n">
        <v>1</v>
      </c>
      <c r="Q2044" s="22" t="n">
        <v>0</v>
      </c>
      <c r="R2044" s="22" t="n">
        <v>0</v>
      </c>
    </row>
    <row r="2045">
      <c r="A2045" s="22" t="n">
        <v>201907</v>
      </c>
      <c r="B2045" s="22" t="inlineStr">
        <is>
          <t>07/2019</t>
        </is>
      </c>
      <c r="C2045" s="22" t="n">
        <v>56</v>
      </c>
      <c r="D2045" s="22" t="inlineStr">
        <is>
          <t>S56</t>
        </is>
      </c>
      <c r="E2045" s="22" t="inlineStr">
        <is>
          <t>Nexa New Hampshire (S56)</t>
        </is>
      </c>
      <c r="F2045" s="22" t="inlineStr">
        <is>
          <t>Mỹ</t>
        </is>
      </c>
      <c r="G2045" s="22" t="inlineStr">
        <is>
          <t>POS</t>
        </is>
      </c>
      <c r="H2045" s="31" t="n">
        <v>29329.72</v>
      </c>
      <c r="I2045" s="31" t="n">
        <v>0</v>
      </c>
      <c r="J2045" s="31" t="n">
        <v>29329.72</v>
      </c>
      <c r="K2045" s="31" t="n">
        <v>2968.96</v>
      </c>
      <c r="L2045" s="32" t="n">
        <v>11</v>
      </c>
      <c r="M2045" s="32" t="n">
        <v>87</v>
      </c>
      <c r="N2045" s="31" t="n">
        <v>26360.76</v>
      </c>
      <c r="O2045" s="31" t="n">
        <v>29329.72</v>
      </c>
      <c r="P2045" s="22" t="n">
        <v>2</v>
      </c>
      <c r="Q2045" s="22" t="n">
        <v>0</v>
      </c>
      <c r="R2045" s="22" t="n">
        <v>0</v>
      </c>
    </row>
    <row r="2046">
      <c r="A2046" s="22" t="n">
        <v>201907</v>
      </c>
      <c r="B2046" s="22" t="inlineStr">
        <is>
          <t>07/2019</t>
        </is>
      </c>
      <c r="C2046" s="22" t="n">
        <v>57</v>
      </c>
      <c r="D2046" s="22" t="inlineStr">
        <is>
          <t>S57</t>
        </is>
      </c>
      <c r="E2046" s="22" t="inlineStr">
        <is>
          <t>Nexa New Mexico (S57)</t>
        </is>
      </c>
      <c r="F2046" s="22" t="inlineStr">
        <is>
          <t>Mỹ</t>
        </is>
      </c>
      <c r="G2046" s="22" t="inlineStr">
        <is>
          <t>POS</t>
        </is>
      </c>
      <c r="H2046" s="31" t="n">
        <v>30084.63</v>
      </c>
      <c r="I2046" s="31" t="n">
        <v>0</v>
      </c>
      <c r="J2046" s="31" t="n">
        <v>30084.63</v>
      </c>
      <c r="K2046" s="31" t="n">
        <v>499.98</v>
      </c>
      <c r="L2046" s="32" t="n">
        <v>20</v>
      </c>
      <c r="M2046" s="32" t="n">
        <v>107</v>
      </c>
      <c r="N2046" s="31" t="n">
        <v>31853.65</v>
      </c>
      <c r="O2046" s="31" t="n">
        <v>30084.63</v>
      </c>
      <c r="P2046" s="22" t="n">
        <v>3</v>
      </c>
      <c r="Q2046" s="22" t="n">
        <v>0</v>
      </c>
      <c r="R2046" s="22" t="n">
        <v>0</v>
      </c>
    </row>
    <row r="2047">
      <c r="A2047" s="22" t="n">
        <v>201907</v>
      </c>
      <c r="B2047" s="22" t="inlineStr">
        <is>
          <t>07/2019</t>
        </is>
      </c>
      <c r="C2047" s="22" t="n">
        <v>59</v>
      </c>
      <c r="D2047" s="22" t="inlineStr">
        <is>
          <t>S59</t>
        </is>
      </c>
      <c r="E2047" s="22" t="inlineStr">
        <is>
          <t>Nexa Oregon (S59)</t>
        </is>
      </c>
      <c r="F2047" s="22" t="inlineStr">
        <is>
          <t>Mỹ</t>
        </is>
      </c>
      <c r="G2047" s="22" t="inlineStr">
        <is>
          <t>POS</t>
        </is>
      </c>
      <c r="H2047" s="31" t="n">
        <v>30092.64</v>
      </c>
      <c r="I2047" s="31" t="n">
        <v>0</v>
      </c>
      <c r="J2047" s="31" t="n">
        <v>30092.64</v>
      </c>
      <c r="K2047" s="31" t="n">
        <v>1276</v>
      </c>
      <c r="L2047" s="32" t="n">
        <v>13</v>
      </c>
      <c r="M2047" s="32" t="n">
        <v>101</v>
      </c>
      <c r="N2047" s="31" t="n">
        <v>28816.64</v>
      </c>
      <c r="O2047" s="31" t="n">
        <v>30092.64</v>
      </c>
      <c r="P2047" s="22" t="n">
        <v>1</v>
      </c>
      <c r="Q2047" s="22" t="n">
        <v>0</v>
      </c>
      <c r="R2047" s="22" t="n">
        <v>0</v>
      </c>
    </row>
    <row r="2048">
      <c r="A2048" s="22" t="n">
        <v>201907</v>
      </c>
      <c r="B2048" s="22" t="inlineStr">
        <is>
          <t>07/2019</t>
        </is>
      </c>
      <c r="C2048" s="22" t="n">
        <v>61</v>
      </c>
      <c r="D2048" s="22" t="inlineStr">
        <is>
          <t>S61</t>
        </is>
      </c>
      <c r="E2048" s="22" t="inlineStr">
        <is>
          <t>Nexa South Carolina (S61)</t>
        </is>
      </c>
      <c r="F2048" s="22" t="inlineStr">
        <is>
          <t>Mỹ</t>
        </is>
      </c>
      <c r="G2048" s="22" t="inlineStr">
        <is>
          <t>POS</t>
        </is>
      </c>
      <c r="H2048" s="31" t="n">
        <v>35319.74</v>
      </c>
      <c r="I2048" s="31" t="n">
        <v>0</v>
      </c>
      <c r="J2048" s="31" t="n">
        <v>35319.74</v>
      </c>
      <c r="K2048" s="31" t="n">
        <v>0</v>
      </c>
      <c r="L2048" s="32" t="n">
        <v>21</v>
      </c>
      <c r="M2048" s="32" t="n">
        <v>151</v>
      </c>
      <c r="N2048" s="31" t="n">
        <v>35319.74</v>
      </c>
      <c r="O2048" s="31" t="n">
        <v>35319.74</v>
      </c>
      <c r="P2048" s="22" t="n">
        <v>0</v>
      </c>
      <c r="Q2048" s="22" t="n">
        <v>0</v>
      </c>
      <c r="R2048" s="22" t="n">
        <v>0</v>
      </c>
    </row>
    <row r="2049">
      <c r="A2049" s="22" t="n">
        <v>201907</v>
      </c>
      <c r="B2049" s="22" t="inlineStr">
        <is>
          <t>07/2019</t>
        </is>
      </c>
      <c r="C2049" s="22" t="n">
        <v>62</v>
      </c>
      <c r="D2049" s="22" t="inlineStr">
        <is>
          <t>S62</t>
        </is>
      </c>
      <c r="E2049" s="22" t="inlineStr">
        <is>
          <t>Nexa South Dakota (S62)</t>
        </is>
      </c>
      <c r="F2049" s="22" t="inlineStr">
        <is>
          <t>Mỹ</t>
        </is>
      </c>
      <c r="G2049" s="22" t="inlineStr">
        <is>
          <t>POS</t>
        </is>
      </c>
      <c r="H2049" s="31" t="n">
        <v>25886.98</v>
      </c>
      <c r="I2049" s="31" t="n">
        <v>0</v>
      </c>
      <c r="J2049" s="31" t="n">
        <v>25886.98</v>
      </c>
      <c r="K2049" s="31" t="n">
        <v>0</v>
      </c>
      <c r="L2049" s="32" t="n">
        <v>10</v>
      </c>
      <c r="M2049" s="32" t="n">
        <v>61</v>
      </c>
      <c r="N2049" s="31" t="n">
        <v>25886.98</v>
      </c>
      <c r="O2049" s="31" t="n">
        <v>25886.98</v>
      </c>
      <c r="P2049" s="22" t="n">
        <v>0</v>
      </c>
      <c r="Q2049" s="22" t="n">
        <v>0</v>
      </c>
      <c r="R2049" s="22" t="n">
        <v>0</v>
      </c>
    </row>
    <row r="2050">
      <c r="A2050" s="22" t="n">
        <v>201907</v>
      </c>
      <c r="B2050" s="22" t="inlineStr">
        <is>
          <t>07/2019</t>
        </is>
      </c>
      <c r="C2050" s="22" t="n">
        <v>63</v>
      </c>
      <c r="D2050" s="22" t="inlineStr">
        <is>
          <t>S63</t>
        </is>
      </c>
      <c r="E2050" s="22" t="inlineStr">
        <is>
          <t>Nexa Utah (S63)</t>
        </is>
      </c>
      <c r="F2050" s="22" t="inlineStr">
        <is>
          <t>Mỹ</t>
        </is>
      </c>
      <c r="G2050" s="22" t="inlineStr">
        <is>
          <t>POS</t>
        </is>
      </c>
      <c r="H2050" s="31" t="n">
        <v>26740.31</v>
      </c>
      <c r="I2050" s="31" t="n">
        <v>0</v>
      </c>
      <c r="J2050" s="31" t="n">
        <v>26740.31</v>
      </c>
      <c r="K2050" s="31" t="n">
        <v>643</v>
      </c>
      <c r="L2050" s="32" t="n">
        <v>10</v>
      </c>
      <c r="M2050" s="32" t="n">
        <v>56</v>
      </c>
      <c r="N2050" s="31" t="n">
        <v>26097.31</v>
      </c>
      <c r="O2050" s="31" t="n">
        <v>26740.31</v>
      </c>
      <c r="P2050" s="22" t="n">
        <v>0</v>
      </c>
      <c r="Q2050" s="22" t="n">
        <v>0</v>
      </c>
      <c r="R2050" s="22" t="n">
        <v>0</v>
      </c>
    </row>
    <row r="2051">
      <c r="A2051" s="22" t="n">
        <v>201907</v>
      </c>
      <c r="B2051" s="22" t="inlineStr">
        <is>
          <t>07/2019</t>
        </is>
      </c>
      <c r="C2051" s="22" t="n">
        <v>64</v>
      </c>
      <c r="D2051" s="22" t="inlineStr">
        <is>
          <t>S64</t>
        </is>
      </c>
      <c r="E2051" s="22" t="inlineStr">
        <is>
          <t>Nexa Washington DC (S64)</t>
        </is>
      </c>
      <c r="F2051" s="22" t="inlineStr">
        <is>
          <t>Mỹ</t>
        </is>
      </c>
      <c r="G2051" s="22" t="inlineStr">
        <is>
          <t>POS</t>
        </is>
      </c>
      <c r="H2051" s="31" t="n">
        <v>28691.25</v>
      </c>
      <c r="I2051" s="31" t="n">
        <v>0</v>
      </c>
      <c r="J2051" s="31" t="n">
        <v>28691.25</v>
      </c>
      <c r="K2051" s="31" t="n">
        <v>228.99</v>
      </c>
      <c r="L2051" s="32" t="n">
        <v>12</v>
      </c>
      <c r="M2051" s="32" t="n">
        <v>114</v>
      </c>
      <c r="N2051" s="31" t="n">
        <v>28462.26</v>
      </c>
      <c r="O2051" s="31" t="n">
        <v>28691.25</v>
      </c>
      <c r="P2051" s="22" t="n">
        <v>0</v>
      </c>
      <c r="Q2051" s="22" t="n">
        <v>0</v>
      </c>
      <c r="R2051" s="22" t="n">
        <v>0</v>
      </c>
    </row>
    <row r="2052">
      <c r="A2052" s="22" t="n">
        <v>201907</v>
      </c>
      <c r="B2052" s="22" t="inlineStr">
        <is>
          <t>07/2019</t>
        </is>
      </c>
      <c r="C2052" s="22" t="n">
        <v>65</v>
      </c>
      <c r="D2052" s="22" t="inlineStr">
        <is>
          <t>S65</t>
        </is>
      </c>
      <c r="E2052" s="22" t="inlineStr">
        <is>
          <t>Nexa West Virginia (S65)</t>
        </is>
      </c>
      <c r="F2052" s="22" t="inlineStr">
        <is>
          <t>Mỹ</t>
        </is>
      </c>
      <c r="G2052" s="22" t="inlineStr">
        <is>
          <t>POS</t>
        </is>
      </c>
      <c r="H2052" s="31" t="n">
        <v>35803.83</v>
      </c>
      <c r="I2052" s="31" t="n">
        <v>0</v>
      </c>
      <c r="J2052" s="31" t="n">
        <v>35803.83</v>
      </c>
      <c r="K2052" s="31" t="n">
        <v>0</v>
      </c>
      <c r="L2052" s="32" t="n">
        <v>16</v>
      </c>
      <c r="M2052" s="32" t="n">
        <v>127</v>
      </c>
      <c r="N2052" s="31" t="n">
        <v>35803.83</v>
      </c>
      <c r="O2052" s="31" t="n">
        <v>35803.83</v>
      </c>
      <c r="P2052" s="22" t="n">
        <v>0</v>
      </c>
      <c r="Q2052" s="22" t="n">
        <v>0</v>
      </c>
      <c r="R2052" s="22" t="n">
        <v>0</v>
      </c>
    </row>
    <row r="2053">
      <c r="A2053" s="22" t="n">
        <v>201907</v>
      </c>
      <c r="B2053" s="22" t="inlineStr">
        <is>
          <t>07/2019</t>
        </is>
      </c>
      <c r="C2053" s="22" t="n">
        <v>66</v>
      </c>
      <c r="D2053" s="22" t="inlineStr">
        <is>
          <t>S66</t>
        </is>
      </c>
      <c r="E2053" s="22" t="inlineStr">
        <is>
          <t>Nexa Wyoming (S66)</t>
        </is>
      </c>
      <c r="F2053" s="22" t="inlineStr">
        <is>
          <t>Mỹ</t>
        </is>
      </c>
      <c r="G2053" s="22" t="inlineStr">
        <is>
          <t>POS</t>
        </is>
      </c>
      <c r="H2053" s="31" t="n">
        <v>33493.68</v>
      </c>
      <c r="I2053" s="31" t="n">
        <v>0</v>
      </c>
      <c r="J2053" s="31" t="n">
        <v>33493.68</v>
      </c>
      <c r="K2053" s="31" t="n">
        <v>96</v>
      </c>
      <c r="L2053" s="32" t="n">
        <v>17</v>
      </c>
      <c r="M2053" s="32" t="n">
        <v>123</v>
      </c>
      <c r="N2053" s="31" t="n">
        <v>33397.68</v>
      </c>
      <c r="O2053" s="31" t="n">
        <v>33493.68</v>
      </c>
      <c r="P2053" s="22" t="n">
        <v>1</v>
      </c>
      <c r="Q2053" s="22" t="n">
        <v>0</v>
      </c>
      <c r="R2053" s="22" t="n">
        <v>0</v>
      </c>
    </row>
    <row r="2054">
      <c r="A2054" s="22" t="n">
        <v>201908</v>
      </c>
      <c r="B2054" s="22" t="inlineStr">
        <is>
          <t>08/2019</t>
        </is>
      </c>
      <c r="C2054" s="22" t="n">
        <v>0</v>
      </c>
      <c r="D2054" s="22" t="inlineStr">
        <is>
          <t>ONL</t>
        </is>
      </c>
      <c r="E2054" s="22" t="inlineStr">
        <is>
          <t>Nexa Online (website/app)</t>
        </is>
      </c>
      <c r="F2054" s="22" t="inlineStr">
        <is>
          <t>Online</t>
        </is>
      </c>
      <c r="G2054" s="22" t="inlineStr">
        <is>
          <t>ONLINE</t>
        </is>
      </c>
      <c r="H2054" s="31" t="n">
        <v>351114.85</v>
      </c>
      <c r="I2054" s="31" t="n">
        <v>21488.63</v>
      </c>
      <c r="J2054" s="31" t="n">
        <v>329626.22</v>
      </c>
      <c r="K2054" s="31" t="n">
        <v>3611.45</v>
      </c>
      <c r="L2054" s="32" t="n">
        <v>178</v>
      </c>
      <c r="M2054" s="32" t="n">
        <v>1273</v>
      </c>
      <c r="N2054" s="31" t="n">
        <v>261810.6</v>
      </c>
      <c r="O2054" s="31" t="n">
        <v>265422.05</v>
      </c>
      <c r="P2054" s="22" t="n">
        <v>2</v>
      </c>
      <c r="Q2054" s="22" t="n">
        <v>0</v>
      </c>
      <c r="R2054" s="22" t="n">
        <v>0</v>
      </c>
    </row>
    <row r="2055">
      <c r="A2055" s="22" t="n">
        <v>201908</v>
      </c>
      <c r="B2055" s="22" t="inlineStr">
        <is>
          <t>08/2019</t>
        </is>
      </c>
      <c r="C2055" s="22" t="n">
        <v>1</v>
      </c>
      <c r="D2055" s="22" t="inlineStr">
        <is>
          <t>S01</t>
        </is>
      </c>
      <c r="E2055" s="22" t="inlineStr">
        <is>
          <t>Nexa Australian Capital Territory (S01)</t>
        </is>
      </c>
      <c r="F2055" s="22" t="inlineStr">
        <is>
          <t>Úc</t>
        </is>
      </c>
      <c r="G2055" s="22" t="inlineStr">
        <is>
          <t>POS</t>
        </is>
      </c>
      <c r="H2055" s="31" t="n">
        <v>2036.71</v>
      </c>
      <c r="I2055" s="31" t="n">
        <v>0</v>
      </c>
      <c r="J2055" s="31" t="n">
        <v>2036.71</v>
      </c>
      <c r="K2055" s="31" t="n">
        <v>27.56</v>
      </c>
      <c r="L2055" s="32" t="n">
        <v>2</v>
      </c>
      <c r="M2055" s="32" t="n">
        <v>12</v>
      </c>
      <c r="N2055" s="31" t="n">
        <v>2009.15</v>
      </c>
      <c r="O2055" s="31" t="n">
        <v>2036.71</v>
      </c>
      <c r="P2055" s="22" t="n">
        <v>0</v>
      </c>
      <c r="Q2055" s="22" t="n">
        <v>0</v>
      </c>
      <c r="R2055" s="22" t="n">
        <v>0</v>
      </c>
    </row>
    <row r="2056">
      <c r="A2056" s="22" t="n">
        <v>201908</v>
      </c>
      <c r="B2056" s="22" t="inlineStr">
        <is>
          <t>08/2019</t>
        </is>
      </c>
      <c r="C2056" s="22" t="n">
        <v>4</v>
      </c>
      <c r="D2056" s="22" t="inlineStr">
        <is>
          <t>S04</t>
        </is>
      </c>
      <c r="E2056" s="22" t="inlineStr">
        <is>
          <t>Nexa Tasmania (S04)</t>
        </is>
      </c>
      <c r="F2056" s="22" t="inlineStr">
        <is>
          <t>Úc</t>
        </is>
      </c>
      <c r="G2056" s="22" t="inlineStr">
        <is>
          <t>POS</t>
        </is>
      </c>
      <c r="H2056" s="31" t="n">
        <v>22436.83</v>
      </c>
      <c r="I2056" s="31" t="n">
        <v>1447.29</v>
      </c>
      <c r="J2056" s="31" t="n">
        <v>20989.54</v>
      </c>
      <c r="K2056" s="31" t="n">
        <v>738</v>
      </c>
      <c r="L2056" s="32" t="n">
        <v>4</v>
      </c>
      <c r="M2056" s="32" t="n">
        <v>24</v>
      </c>
      <c r="N2056" s="31" t="n">
        <v>20251.54</v>
      </c>
      <c r="O2056" s="31" t="n">
        <v>20989.54</v>
      </c>
      <c r="P2056" s="22" t="n">
        <v>0</v>
      </c>
      <c r="Q2056" s="22" t="n">
        <v>0</v>
      </c>
      <c r="R2056" s="22" t="n">
        <v>0</v>
      </c>
    </row>
    <row r="2057">
      <c r="A2057" s="22" t="n">
        <v>201908</v>
      </c>
      <c r="B2057" s="22" t="inlineStr">
        <is>
          <t>08/2019</t>
        </is>
      </c>
      <c r="C2057" s="22" t="n">
        <v>5</v>
      </c>
      <c r="D2057" s="22" t="inlineStr">
        <is>
          <t>S05</t>
        </is>
      </c>
      <c r="E2057" s="22" t="inlineStr">
        <is>
          <t>Nexa Victoria (S05)</t>
        </is>
      </c>
      <c r="F2057" s="22" t="inlineStr">
        <is>
          <t>Úc</t>
        </is>
      </c>
      <c r="G2057" s="22" t="inlineStr">
        <is>
          <t>POS</t>
        </is>
      </c>
      <c r="H2057" s="31" t="n">
        <v>27665.29</v>
      </c>
      <c r="I2057" s="31" t="n">
        <v>1481.38</v>
      </c>
      <c r="J2057" s="31" t="n">
        <v>26183.91</v>
      </c>
      <c r="K2057" s="31" t="n">
        <v>1387</v>
      </c>
      <c r="L2057" s="32" t="n">
        <v>14</v>
      </c>
      <c r="M2057" s="32" t="n">
        <v>109</v>
      </c>
      <c r="N2057" s="31" t="n">
        <v>24796.91</v>
      </c>
      <c r="O2057" s="31" t="n">
        <v>26183.91</v>
      </c>
      <c r="P2057" s="22" t="n">
        <v>0</v>
      </c>
      <c r="Q2057" s="22" t="n">
        <v>0</v>
      </c>
      <c r="R2057" s="22" t="n">
        <v>0</v>
      </c>
    </row>
    <row r="2058">
      <c r="A2058" s="22" t="n">
        <v>201908</v>
      </c>
      <c r="B2058" s="22" t="inlineStr">
        <is>
          <t>08/2019</t>
        </is>
      </c>
      <c r="C2058" s="22" t="n">
        <v>6</v>
      </c>
      <c r="D2058" s="22" t="inlineStr">
        <is>
          <t>S06</t>
        </is>
      </c>
      <c r="E2058" s="22" t="inlineStr">
        <is>
          <t>Nexa Western Australia (S06)</t>
        </is>
      </c>
      <c r="F2058" s="22" t="inlineStr">
        <is>
          <t>Úc</t>
        </is>
      </c>
      <c r="G2058" s="22" t="inlineStr">
        <is>
          <t>POS</t>
        </is>
      </c>
      <c r="H2058" s="31" t="n">
        <v>7695.44</v>
      </c>
      <c r="I2058" s="31" t="n">
        <v>496.16</v>
      </c>
      <c r="J2058" s="31" t="n">
        <v>7199.28</v>
      </c>
      <c r="K2058" s="31" t="n">
        <v>599.98</v>
      </c>
      <c r="L2058" s="32" t="n">
        <v>5</v>
      </c>
      <c r="M2058" s="32" t="n">
        <v>30</v>
      </c>
      <c r="N2058" s="31" t="n">
        <v>6599.3</v>
      </c>
      <c r="O2058" s="31" t="n">
        <v>7199.28</v>
      </c>
      <c r="P2058" s="22" t="n">
        <v>0</v>
      </c>
      <c r="Q2058" s="22" t="n">
        <v>0</v>
      </c>
      <c r="R2058" s="22" t="n">
        <v>0</v>
      </c>
    </row>
    <row r="2059">
      <c r="A2059" s="22" t="n">
        <v>201908</v>
      </c>
      <c r="B2059" s="22" t="inlineStr">
        <is>
          <t>08/2019</t>
        </is>
      </c>
      <c r="C2059" s="22" t="n">
        <v>8</v>
      </c>
      <c r="D2059" s="22" t="inlineStr">
        <is>
          <t>S08</t>
        </is>
      </c>
      <c r="E2059" s="22" t="inlineStr">
        <is>
          <t>Nexa Newfoundland and Labrador (S08)</t>
        </is>
      </c>
      <c r="F2059" s="22" t="inlineStr">
        <is>
          <t>Canada</t>
        </is>
      </c>
      <c r="G2059" s="22" t="inlineStr">
        <is>
          <t>POS</t>
        </is>
      </c>
      <c r="H2059" s="31" t="n">
        <v>38316.81</v>
      </c>
      <c r="I2059" s="31" t="n">
        <v>2901.84</v>
      </c>
      <c r="J2059" s="31" t="n">
        <v>35414.97</v>
      </c>
      <c r="K2059" s="31" t="n">
        <v>1755</v>
      </c>
      <c r="L2059" s="32" t="n">
        <v>18</v>
      </c>
      <c r="M2059" s="32" t="n">
        <v>159</v>
      </c>
      <c r="N2059" s="31" t="n">
        <v>33659.97</v>
      </c>
      <c r="O2059" s="31" t="n">
        <v>35414.97</v>
      </c>
      <c r="P2059" s="22" t="n">
        <v>1</v>
      </c>
      <c r="Q2059" s="22" t="n">
        <v>0</v>
      </c>
      <c r="R2059" s="22" t="n">
        <v>0</v>
      </c>
    </row>
    <row r="2060">
      <c r="A2060" s="22" t="n">
        <v>201908</v>
      </c>
      <c r="B2060" s="22" t="inlineStr">
        <is>
          <t>08/2019</t>
        </is>
      </c>
      <c r="C2060" s="22" t="n">
        <v>9</v>
      </c>
      <c r="D2060" s="22" t="inlineStr">
        <is>
          <t>S09</t>
        </is>
      </c>
      <c r="E2060" s="22" t="inlineStr">
        <is>
          <t>Nexa Northwest Territories (S09)</t>
        </is>
      </c>
      <c r="F2060" s="22" t="inlineStr">
        <is>
          <t>Canada</t>
        </is>
      </c>
      <c r="G2060" s="22" t="inlineStr">
        <is>
          <t>POS</t>
        </is>
      </c>
      <c r="H2060" s="31" t="n">
        <v>21099.23</v>
      </c>
      <c r="I2060" s="31" t="n">
        <v>1259.84</v>
      </c>
      <c r="J2060" s="31" t="n">
        <v>19839.39</v>
      </c>
      <c r="K2060" s="31" t="n">
        <v>1373.98</v>
      </c>
      <c r="L2060" s="32" t="n">
        <v>14</v>
      </c>
      <c r="M2060" s="32" t="n">
        <v>126</v>
      </c>
      <c r="N2060" s="31" t="n">
        <v>18465.41</v>
      </c>
      <c r="O2060" s="31" t="n">
        <v>19839.39</v>
      </c>
      <c r="P2060" s="22" t="n">
        <v>0</v>
      </c>
      <c r="Q2060" s="22" t="n">
        <v>0</v>
      </c>
      <c r="R2060" s="22" t="n">
        <v>0</v>
      </c>
    </row>
    <row r="2061">
      <c r="A2061" s="22" t="n">
        <v>201908</v>
      </c>
      <c r="B2061" s="22" t="inlineStr">
        <is>
          <t>08/2019</t>
        </is>
      </c>
      <c r="C2061" s="22" t="n">
        <v>10</v>
      </c>
      <c r="D2061" s="22" t="inlineStr">
        <is>
          <t>S10</t>
        </is>
      </c>
      <c r="E2061" s="22" t="inlineStr">
        <is>
          <t>Nexa Nunavut (S10)</t>
        </is>
      </c>
      <c r="F2061" s="22" t="inlineStr">
        <is>
          <t>Canada</t>
        </is>
      </c>
      <c r="G2061" s="22" t="inlineStr">
        <is>
          <t>POS</t>
        </is>
      </c>
      <c r="H2061" s="31" t="n">
        <v>37998.86</v>
      </c>
      <c r="I2061" s="31" t="n">
        <v>2544.67</v>
      </c>
      <c r="J2061" s="31" t="n">
        <v>35454.19</v>
      </c>
      <c r="K2061" s="31" t="n">
        <v>438</v>
      </c>
      <c r="L2061" s="32" t="n">
        <v>23</v>
      </c>
      <c r="M2061" s="32" t="n">
        <v>173</v>
      </c>
      <c r="N2061" s="31" t="n">
        <v>35016.19</v>
      </c>
      <c r="O2061" s="31" t="n">
        <v>35454.19</v>
      </c>
      <c r="P2061" s="22" t="n">
        <v>0</v>
      </c>
      <c r="Q2061" s="22" t="n">
        <v>0</v>
      </c>
      <c r="R2061" s="22" t="n">
        <v>0</v>
      </c>
    </row>
    <row r="2062">
      <c r="A2062" s="22" t="n">
        <v>201908</v>
      </c>
      <c r="B2062" s="22" t="inlineStr">
        <is>
          <t>08/2019</t>
        </is>
      </c>
      <c r="C2062" s="22" t="n">
        <v>12</v>
      </c>
      <c r="D2062" s="22" t="inlineStr">
        <is>
          <t>S12</t>
        </is>
      </c>
      <c r="E2062" s="22" t="inlineStr">
        <is>
          <t>Nexa Basse-Normandie (S12)</t>
        </is>
      </c>
      <c r="F2062" s="22" t="inlineStr">
        <is>
          <t>Pháp</t>
        </is>
      </c>
      <c r="G2062" s="22" t="inlineStr">
        <is>
          <t>POS</t>
        </is>
      </c>
      <c r="H2062" s="31" t="n">
        <v>1176</v>
      </c>
      <c r="I2062" s="31" t="n">
        <v>117.6</v>
      </c>
      <c r="J2062" s="31" t="n">
        <v>1058.4</v>
      </c>
      <c r="K2062" s="31" t="n">
        <v>0</v>
      </c>
      <c r="L2062" s="32" t="n">
        <v>1</v>
      </c>
      <c r="M2062" s="32" t="n">
        <v>8</v>
      </c>
      <c r="N2062" s="31" t="n">
        <v>1058.4</v>
      </c>
      <c r="O2062" s="31" t="n">
        <v>1058.4</v>
      </c>
      <c r="P2062" s="22" t="n">
        <v>0</v>
      </c>
      <c r="Q2062" s="22" t="n">
        <v>0</v>
      </c>
      <c r="R2062" s="22" t="n">
        <v>0</v>
      </c>
    </row>
    <row r="2063">
      <c r="A2063" s="22" t="n">
        <v>201908</v>
      </c>
      <c r="B2063" s="22" t="inlineStr">
        <is>
          <t>08/2019</t>
        </is>
      </c>
      <c r="C2063" s="22" t="n">
        <v>13</v>
      </c>
      <c r="D2063" s="22" t="inlineStr">
        <is>
          <t>S13</t>
        </is>
      </c>
      <c r="E2063" s="22" t="inlineStr">
        <is>
          <t>Nexa Corse (S13)</t>
        </is>
      </c>
      <c r="F2063" s="22" t="inlineStr">
        <is>
          <t>Pháp</t>
        </is>
      </c>
      <c r="G2063" s="22" t="inlineStr">
        <is>
          <t>POS</t>
        </is>
      </c>
      <c r="H2063" s="31" t="n">
        <v>3047.72</v>
      </c>
      <c r="I2063" s="31" t="n">
        <v>93.18000000000001</v>
      </c>
      <c r="J2063" s="31" t="n">
        <v>2954.54</v>
      </c>
      <c r="K2063" s="31" t="n">
        <v>0</v>
      </c>
      <c r="L2063" s="32" t="n">
        <v>3</v>
      </c>
      <c r="M2063" s="32" t="n">
        <v>13</v>
      </c>
      <c r="N2063" s="31" t="n">
        <v>2954.54</v>
      </c>
      <c r="O2063" s="31" t="n">
        <v>2954.54</v>
      </c>
      <c r="P2063" s="22" t="n">
        <v>0</v>
      </c>
      <c r="Q2063" s="22" t="n">
        <v>0</v>
      </c>
      <c r="R2063" s="22" t="n">
        <v>0</v>
      </c>
    </row>
    <row r="2064">
      <c r="A2064" s="22" t="n">
        <v>201908</v>
      </c>
      <c r="B2064" s="22" t="inlineStr">
        <is>
          <t>08/2019</t>
        </is>
      </c>
      <c r="C2064" s="22" t="n">
        <v>14</v>
      </c>
      <c r="D2064" s="22" t="inlineStr">
        <is>
          <t>S14</t>
        </is>
      </c>
      <c r="E2064" s="22" t="inlineStr">
        <is>
          <t>Nexa Franche-Comté (S14)</t>
        </is>
      </c>
      <c r="F2064" s="22" t="inlineStr">
        <is>
          <t>Pháp</t>
        </is>
      </c>
      <c r="G2064" s="22" t="inlineStr">
        <is>
          <t>POS</t>
        </is>
      </c>
      <c r="H2064" s="31" t="n">
        <v>3815.94</v>
      </c>
      <c r="I2064" s="31" t="n">
        <v>0</v>
      </c>
      <c r="J2064" s="31" t="n">
        <v>3815.94</v>
      </c>
      <c r="K2064" s="31" t="n">
        <v>0</v>
      </c>
      <c r="L2064" s="32" t="n">
        <v>1</v>
      </c>
      <c r="M2064" s="32" t="n">
        <v>6</v>
      </c>
      <c r="N2064" s="31" t="n">
        <v>3815.94</v>
      </c>
      <c r="O2064" s="31" t="n">
        <v>3815.94</v>
      </c>
      <c r="P2064" s="22" t="n">
        <v>1</v>
      </c>
      <c r="Q2064" s="22" t="n">
        <v>0</v>
      </c>
      <c r="R2064" s="22" t="n">
        <v>0</v>
      </c>
    </row>
    <row r="2065">
      <c r="A2065" s="22" t="n">
        <v>201908</v>
      </c>
      <c r="B2065" s="22" t="inlineStr">
        <is>
          <t>08/2019</t>
        </is>
      </c>
      <c r="C2065" s="22" t="n">
        <v>15</v>
      </c>
      <c r="D2065" s="22" t="inlineStr">
        <is>
          <t>S15</t>
        </is>
      </c>
      <c r="E2065" s="22" t="inlineStr">
        <is>
          <t>Nexa La Réunion (S15)</t>
        </is>
      </c>
      <c r="F2065" s="22" t="inlineStr">
        <is>
          <t>Pháp</t>
        </is>
      </c>
      <c r="G2065" s="22" t="inlineStr">
        <is>
          <t>POS</t>
        </is>
      </c>
      <c r="H2065" s="31" t="n">
        <v>1059</v>
      </c>
      <c r="I2065" s="31" t="n">
        <v>105.9</v>
      </c>
      <c r="J2065" s="31" t="n">
        <v>953.1</v>
      </c>
      <c r="K2065" s="31" t="n">
        <v>1995</v>
      </c>
      <c r="L2065" s="32" t="n">
        <v>2</v>
      </c>
      <c r="M2065" s="32" t="n">
        <v>9</v>
      </c>
      <c r="N2065" s="31" t="n">
        <v>-1041.9</v>
      </c>
      <c r="O2065" s="31" t="n">
        <v>953.1</v>
      </c>
      <c r="P2065" s="22" t="n">
        <v>0</v>
      </c>
      <c r="Q2065" s="22" t="n">
        <v>0</v>
      </c>
      <c r="R2065" s="22" t="n">
        <v>0</v>
      </c>
    </row>
    <row r="2066">
      <c r="A2066" s="22" t="n">
        <v>201908</v>
      </c>
      <c r="B2066" s="22" t="inlineStr">
        <is>
          <t>08/2019</t>
        </is>
      </c>
      <c r="C2066" s="22" t="n">
        <v>16</v>
      </c>
      <c r="D2066" s="22" t="inlineStr">
        <is>
          <t>S16</t>
        </is>
      </c>
      <c r="E2066" s="22" t="inlineStr">
        <is>
          <t>Nexa Limousin (S16)</t>
        </is>
      </c>
      <c r="F2066" s="22" t="inlineStr">
        <is>
          <t>Pháp</t>
        </is>
      </c>
      <c r="G2066" s="22" t="inlineStr">
        <is>
          <t>POS</t>
        </is>
      </c>
      <c r="H2066" s="31" t="n">
        <v>1008.68</v>
      </c>
      <c r="I2066" s="31" t="n">
        <v>0</v>
      </c>
      <c r="J2066" s="31" t="n">
        <v>1008.68</v>
      </c>
      <c r="K2066" s="31" t="n">
        <v>0</v>
      </c>
      <c r="L2066" s="32" t="n">
        <v>1</v>
      </c>
      <c r="M2066" s="32" t="n">
        <v>6</v>
      </c>
      <c r="N2066" s="31" t="n">
        <v>1008.68</v>
      </c>
      <c r="O2066" s="31" t="n">
        <v>1008.68</v>
      </c>
      <c r="P2066" s="22" t="n">
        <v>0</v>
      </c>
      <c r="Q2066" s="22" t="n">
        <v>0</v>
      </c>
      <c r="R2066" s="22" t="n">
        <v>0</v>
      </c>
    </row>
    <row r="2067">
      <c r="A2067" s="22" t="n">
        <v>201908</v>
      </c>
      <c r="B2067" s="22" t="inlineStr">
        <is>
          <t>08/2019</t>
        </is>
      </c>
      <c r="C2067" s="22" t="n">
        <v>17</v>
      </c>
      <c r="D2067" s="22" t="inlineStr">
        <is>
          <t>S17</t>
        </is>
      </c>
      <c r="E2067" s="22" t="inlineStr">
        <is>
          <t>Nexa Martinique (S17)</t>
        </is>
      </c>
      <c r="F2067" s="22" t="inlineStr">
        <is>
          <t>Pháp</t>
        </is>
      </c>
      <c r="G2067" s="22" t="inlineStr">
        <is>
          <t>POS</t>
        </is>
      </c>
      <c r="H2067" s="31" t="n">
        <v>4407.55</v>
      </c>
      <c r="I2067" s="31" t="n">
        <v>122.84</v>
      </c>
      <c r="J2067" s="31" t="n">
        <v>4284.71</v>
      </c>
      <c r="K2067" s="31" t="n">
        <v>47.95</v>
      </c>
      <c r="L2067" s="32" t="n">
        <v>4</v>
      </c>
      <c r="M2067" s="32" t="n">
        <v>50</v>
      </c>
      <c r="N2067" s="31" t="n">
        <v>4236.76</v>
      </c>
      <c r="O2067" s="31" t="n">
        <v>4284.71</v>
      </c>
      <c r="P2067" s="22" t="n">
        <v>0</v>
      </c>
      <c r="Q2067" s="22" t="n">
        <v>0</v>
      </c>
      <c r="R2067" s="22" t="n">
        <v>0</v>
      </c>
    </row>
    <row r="2068">
      <c r="A2068" s="22" t="n">
        <v>201908</v>
      </c>
      <c r="B2068" s="22" t="inlineStr">
        <is>
          <t>08/2019</t>
        </is>
      </c>
      <c r="C2068" s="22" t="n">
        <v>19</v>
      </c>
      <c r="D2068" s="22" t="inlineStr">
        <is>
          <t>S19</t>
        </is>
      </c>
      <c r="E2068" s="22" t="inlineStr">
        <is>
          <t>Nexa Berlin (S19)</t>
        </is>
      </c>
      <c r="F2068" s="22" t="inlineStr">
        <is>
          <t>Đức</t>
        </is>
      </c>
      <c r="G2068" s="22" t="inlineStr">
        <is>
          <t>POS</t>
        </is>
      </c>
      <c r="H2068" s="31" t="n">
        <v>7760.92</v>
      </c>
      <c r="I2068" s="31" t="n">
        <v>469.3</v>
      </c>
      <c r="J2068" s="31" t="n">
        <v>7291.62</v>
      </c>
      <c r="K2068" s="31" t="n">
        <v>156.28</v>
      </c>
      <c r="L2068" s="32" t="n">
        <v>3</v>
      </c>
      <c r="M2068" s="32" t="n">
        <v>31</v>
      </c>
      <c r="N2068" s="31" t="n">
        <v>7135.34</v>
      </c>
      <c r="O2068" s="31" t="n">
        <v>7291.62</v>
      </c>
      <c r="P2068" s="22" t="n">
        <v>0</v>
      </c>
      <c r="Q2068" s="22" t="n">
        <v>0</v>
      </c>
      <c r="R2068" s="22" t="n">
        <v>0</v>
      </c>
    </row>
    <row r="2069">
      <c r="A2069" s="22" t="n">
        <v>201908</v>
      </c>
      <c r="B2069" s="22" t="inlineStr">
        <is>
          <t>08/2019</t>
        </is>
      </c>
      <c r="C2069" s="22" t="n">
        <v>21</v>
      </c>
      <c r="D2069" s="22" t="inlineStr">
        <is>
          <t>S21</t>
        </is>
      </c>
      <c r="E2069" s="22" t="inlineStr">
        <is>
          <t>Nexa Freie Hansestadt Bremen (S21)</t>
        </is>
      </c>
      <c r="F2069" s="22" t="inlineStr">
        <is>
          <t>Đức</t>
        </is>
      </c>
      <c r="G2069" s="22" t="inlineStr">
        <is>
          <t>POS</t>
        </is>
      </c>
      <c r="H2069" s="31" t="n">
        <v>3381.96</v>
      </c>
      <c r="I2069" s="31" t="n">
        <v>239</v>
      </c>
      <c r="J2069" s="31" t="n">
        <v>3142.96</v>
      </c>
      <c r="K2069" s="31" t="n">
        <v>0</v>
      </c>
      <c r="L2069" s="32" t="n">
        <v>3</v>
      </c>
      <c r="M2069" s="32" t="n">
        <v>13</v>
      </c>
      <c r="N2069" s="31" t="n">
        <v>3142.96</v>
      </c>
      <c r="O2069" s="31" t="n">
        <v>3142.96</v>
      </c>
      <c r="P2069" s="22" t="n">
        <v>0</v>
      </c>
      <c r="Q2069" s="22" t="n">
        <v>0</v>
      </c>
      <c r="R2069" s="22" t="n">
        <v>0</v>
      </c>
    </row>
    <row r="2070">
      <c r="A2070" s="22" t="n">
        <v>201908</v>
      </c>
      <c r="B2070" s="22" t="inlineStr">
        <is>
          <t>08/2019</t>
        </is>
      </c>
      <c r="C2070" s="22" t="n">
        <v>22</v>
      </c>
      <c r="D2070" s="22" t="inlineStr">
        <is>
          <t>S22</t>
        </is>
      </c>
      <c r="E2070" s="22" t="inlineStr">
        <is>
          <t>Nexa Freistaat Thüringen (S22)</t>
        </is>
      </c>
      <c r="F2070" s="22" t="inlineStr">
        <is>
          <t>Đức</t>
        </is>
      </c>
      <c r="G2070" s="22" t="inlineStr">
        <is>
          <t>POS</t>
        </is>
      </c>
      <c r="H2070" s="31" t="n">
        <v>26520.13</v>
      </c>
      <c r="I2070" s="31" t="n">
        <v>2297.86</v>
      </c>
      <c r="J2070" s="31" t="n">
        <v>24222.27</v>
      </c>
      <c r="K2070" s="31" t="n">
        <v>2959.5</v>
      </c>
      <c r="L2070" s="32" t="n">
        <v>11</v>
      </c>
      <c r="M2070" s="32" t="n">
        <v>92</v>
      </c>
      <c r="N2070" s="31" t="n">
        <v>21262.77</v>
      </c>
      <c r="O2070" s="31" t="n">
        <v>24222.27</v>
      </c>
      <c r="P2070" s="22" t="n">
        <v>0</v>
      </c>
      <c r="Q2070" s="22" t="n">
        <v>0</v>
      </c>
      <c r="R2070" s="22" t="n">
        <v>1</v>
      </c>
    </row>
    <row r="2071">
      <c r="A2071" s="22" t="n">
        <v>201908</v>
      </c>
      <c r="B2071" s="22" t="inlineStr">
        <is>
          <t>08/2019</t>
        </is>
      </c>
      <c r="C2071" s="22" t="n">
        <v>23</v>
      </c>
      <c r="D2071" s="22" t="inlineStr">
        <is>
          <t>S23</t>
        </is>
      </c>
      <c r="E2071" s="22" t="inlineStr">
        <is>
          <t>Nexa Hamburg (S23)</t>
        </is>
      </c>
      <c r="F2071" s="22" t="inlineStr">
        <is>
          <t>Đức</t>
        </is>
      </c>
      <c r="G2071" s="22" t="inlineStr">
        <is>
          <t>POS</t>
        </is>
      </c>
      <c r="H2071" s="31" t="n">
        <v>7330.92</v>
      </c>
      <c r="I2071" s="31" t="n">
        <v>304.8</v>
      </c>
      <c r="J2071" s="31" t="n">
        <v>7026.12</v>
      </c>
      <c r="K2071" s="31" t="n">
        <v>462</v>
      </c>
      <c r="L2071" s="32" t="n">
        <v>5</v>
      </c>
      <c r="M2071" s="32" t="n">
        <v>34</v>
      </c>
      <c r="N2071" s="31" t="n">
        <v>6564.12</v>
      </c>
      <c r="O2071" s="31" t="n">
        <v>7026.12</v>
      </c>
      <c r="P2071" s="22" t="n">
        <v>0</v>
      </c>
      <c r="Q2071" s="22" t="n">
        <v>0</v>
      </c>
      <c r="R2071" s="22" t="n">
        <v>0</v>
      </c>
    </row>
    <row r="2072">
      <c r="A2072" s="22" t="n">
        <v>201908</v>
      </c>
      <c r="B2072" s="22" t="inlineStr">
        <is>
          <t>08/2019</t>
        </is>
      </c>
      <c r="C2072" s="22" t="n">
        <v>24</v>
      </c>
      <c r="D2072" s="22" t="inlineStr">
        <is>
          <t>S24</t>
        </is>
      </c>
      <c r="E2072" s="22" t="inlineStr">
        <is>
          <t>Nexa Hessen (S24)</t>
        </is>
      </c>
      <c r="F2072" s="22" t="inlineStr">
        <is>
          <t>Đức</t>
        </is>
      </c>
      <c r="G2072" s="22" t="inlineStr">
        <is>
          <t>POS</t>
        </is>
      </c>
      <c r="H2072" s="31" t="n">
        <v>18359.35</v>
      </c>
      <c r="I2072" s="31" t="n">
        <v>1105.77</v>
      </c>
      <c r="J2072" s="31" t="n">
        <v>17253.58</v>
      </c>
      <c r="K2072" s="31" t="n">
        <v>22.79</v>
      </c>
      <c r="L2072" s="32" t="n">
        <v>8</v>
      </c>
      <c r="M2072" s="32" t="n">
        <v>95</v>
      </c>
      <c r="N2072" s="31" t="n">
        <v>17230.79</v>
      </c>
      <c r="O2072" s="31" t="n">
        <v>17253.58</v>
      </c>
      <c r="P2072" s="22" t="n">
        <v>0</v>
      </c>
      <c r="Q2072" s="22" t="n">
        <v>0</v>
      </c>
      <c r="R2072" s="22" t="n">
        <v>0</v>
      </c>
    </row>
    <row r="2073">
      <c r="A2073" s="22" t="n">
        <v>201908</v>
      </c>
      <c r="B2073" s="22" t="inlineStr">
        <is>
          <t>08/2019</t>
        </is>
      </c>
      <c r="C2073" s="22" t="n">
        <v>26</v>
      </c>
      <c r="D2073" s="22" t="inlineStr">
        <is>
          <t>S26</t>
        </is>
      </c>
      <c r="E2073" s="22" t="inlineStr">
        <is>
          <t>Nexa Saarland (S26)</t>
        </is>
      </c>
      <c r="F2073" s="22" t="inlineStr">
        <is>
          <t>Đức</t>
        </is>
      </c>
      <c r="G2073" s="22" t="inlineStr">
        <is>
          <t>POS</t>
        </is>
      </c>
      <c r="H2073" s="31" t="n">
        <v>16956.06</v>
      </c>
      <c r="I2073" s="31" t="n">
        <v>1423.17</v>
      </c>
      <c r="J2073" s="31" t="n">
        <v>15532.89</v>
      </c>
      <c r="K2073" s="31" t="n">
        <v>224.99</v>
      </c>
      <c r="L2073" s="32" t="n">
        <v>8</v>
      </c>
      <c r="M2073" s="32" t="n">
        <v>86</v>
      </c>
      <c r="N2073" s="31" t="n">
        <v>15307.9</v>
      </c>
      <c r="O2073" s="31" t="n">
        <v>15532.89</v>
      </c>
      <c r="P2073" s="22" t="n">
        <v>0</v>
      </c>
      <c r="Q2073" s="22" t="n">
        <v>0</v>
      </c>
      <c r="R2073" s="22" t="n">
        <v>0</v>
      </c>
    </row>
    <row r="2074">
      <c r="A2074" s="22" t="n">
        <v>201908</v>
      </c>
      <c r="B2074" s="22" t="inlineStr">
        <is>
          <t>08/2019</t>
        </is>
      </c>
      <c r="C2074" s="22" t="n">
        <v>27</v>
      </c>
      <c r="D2074" s="22" t="inlineStr">
        <is>
          <t>S27</t>
        </is>
      </c>
      <c r="E2074" s="22" t="inlineStr">
        <is>
          <t>Nexa Sachsen-Anhalt (S27)</t>
        </is>
      </c>
      <c r="F2074" s="22" t="inlineStr">
        <is>
          <t>Đức</t>
        </is>
      </c>
      <c r="G2074" s="22" t="inlineStr">
        <is>
          <t>POS</t>
        </is>
      </c>
      <c r="H2074" s="31" t="n">
        <v>28112.64</v>
      </c>
      <c r="I2074" s="31" t="n">
        <v>644.61</v>
      </c>
      <c r="J2074" s="31" t="n">
        <v>27468.03</v>
      </c>
      <c r="K2074" s="31" t="n">
        <v>0</v>
      </c>
      <c r="L2074" s="32" t="n">
        <v>8</v>
      </c>
      <c r="M2074" s="32" t="n">
        <v>76</v>
      </c>
      <c r="N2074" s="31" t="n">
        <v>27468.03</v>
      </c>
      <c r="O2074" s="31" t="n">
        <v>27468.03</v>
      </c>
      <c r="P2074" s="22" t="n">
        <v>0</v>
      </c>
      <c r="Q2074" s="22" t="n">
        <v>0</v>
      </c>
      <c r="R2074" s="22" t="n">
        <v>0</v>
      </c>
    </row>
    <row r="2075">
      <c r="A2075" s="22" t="n">
        <v>201908</v>
      </c>
      <c r="B2075" s="22" t="inlineStr">
        <is>
          <t>08/2019</t>
        </is>
      </c>
      <c r="C2075" s="22" t="n">
        <v>29</v>
      </c>
      <c r="D2075" s="22" t="inlineStr">
        <is>
          <t>S29</t>
        </is>
      </c>
      <c r="E2075" s="22" t="inlineStr">
        <is>
          <t>Nexa Enna (S29)</t>
        </is>
      </c>
      <c r="F2075" s="22" t="inlineStr">
        <is>
          <t>Ý</t>
        </is>
      </c>
      <c r="G2075" s="22" t="inlineStr">
        <is>
          <t>POS</t>
        </is>
      </c>
      <c r="H2075" s="31" t="n">
        <v>14108.86</v>
      </c>
      <c r="I2075" s="31" t="n">
        <v>832.95</v>
      </c>
      <c r="J2075" s="31" t="n">
        <v>13275.91</v>
      </c>
      <c r="K2075" s="31" t="n">
        <v>177.38</v>
      </c>
      <c r="L2075" s="32" t="n">
        <v>11</v>
      </c>
      <c r="M2075" s="32" t="n">
        <v>69</v>
      </c>
      <c r="N2075" s="31" t="n">
        <v>13098.53</v>
      </c>
      <c r="O2075" s="31" t="n">
        <v>13275.91</v>
      </c>
      <c r="P2075" s="22" t="n">
        <v>1</v>
      </c>
      <c r="Q2075" s="22" t="n">
        <v>0</v>
      </c>
      <c r="R2075" s="22" t="n">
        <v>1</v>
      </c>
    </row>
    <row r="2076">
      <c r="A2076" s="22" t="n">
        <v>201908</v>
      </c>
      <c r="B2076" s="22" t="inlineStr">
        <is>
          <t>08/2019</t>
        </is>
      </c>
      <c r="C2076" s="22" t="n">
        <v>30</v>
      </c>
      <c r="D2076" s="22" t="inlineStr">
        <is>
          <t>S30</t>
        </is>
      </c>
      <c r="E2076" s="22" t="inlineStr">
        <is>
          <t>Nexa Pesaro (S30)</t>
        </is>
      </c>
      <c r="F2076" s="22" t="inlineStr">
        <is>
          <t>Ý</t>
        </is>
      </c>
      <c r="G2076" s="22" t="inlineStr">
        <is>
          <t>POS</t>
        </is>
      </c>
      <c r="H2076" s="31" t="n">
        <v>14227.84</v>
      </c>
      <c r="I2076" s="31" t="n">
        <v>1013.47</v>
      </c>
      <c r="J2076" s="31" t="n">
        <v>13214.37</v>
      </c>
      <c r="K2076" s="31" t="n">
        <v>70.13</v>
      </c>
      <c r="L2076" s="32" t="n">
        <v>12</v>
      </c>
      <c r="M2076" s="32" t="n">
        <v>66</v>
      </c>
      <c r="N2076" s="31" t="n">
        <v>13144.24</v>
      </c>
      <c r="O2076" s="31" t="n">
        <v>13214.37</v>
      </c>
      <c r="P2076" s="22" t="n">
        <v>0</v>
      </c>
      <c r="Q2076" s="22" t="n">
        <v>0</v>
      </c>
      <c r="R2076" s="22" t="n">
        <v>0</v>
      </c>
    </row>
    <row r="2077">
      <c r="A2077" s="22" t="n">
        <v>201908</v>
      </c>
      <c r="B2077" s="22" t="inlineStr">
        <is>
          <t>08/2019</t>
        </is>
      </c>
      <c r="C2077" s="22" t="n">
        <v>31</v>
      </c>
      <c r="D2077" s="22" t="inlineStr">
        <is>
          <t>S31</t>
        </is>
      </c>
      <c r="E2077" s="22" t="inlineStr">
        <is>
          <t>Nexa Drenthe (S31)</t>
        </is>
      </c>
      <c r="F2077" s="22" t="inlineStr">
        <is>
          <t>Hà Lan</t>
        </is>
      </c>
      <c r="G2077" s="22" t="inlineStr">
        <is>
          <t>POS</t>
        </is>
      </c>
      <c r="H2077" s="31" t="n">
        <v>18486.71</v>
      </c>
      <c r="I2077" s="31" t="n">
        <v>1848.67</v>
      </c>
      <c r="J2077" s="31" t="n">
        <v>16638.04</v>
      </c>
      <c r="K2077" s="31" t="n">
        <v>0</v>
      </c>
      <c r="L2077" s="32" t="n">
        <v>3</v>
      </c>
      <c r="M2077" s="32" t="n">
        <v>26</v>
      </c>
      <c r="N2077" s="31" t="n">
        <v>16638.04</v>
      </c>
      <c r="O2077" s="31" t="n">
        <v>16638.04</v>
      </c>
      <c r="P2077" s="22" t="n">
        <v>0</v>
      </c>
      <c r="Q2077" s="22" t="n">
        <v>0</v>
      </c>
      <c r="R2077" s="22" t="n">
        <v>0</v>
      </c>
    </row>
    <row r="2078">
      <c r="A2078" s="22" t="n">
        <v>201908</v>
      </c>
      <c r="B2078" s="22" t="inlineStr">
        <is>
          <t>08/2019</t>
        </is>
      </c>
      <c r="C2078" s="22" t="n">
        <v>32</v>
      </c>
      <c r="D2078" s="22" t="inlineStr">
        <is>
          <t>S32</t>
        </is>
      </c>
      <c r="E2078" s="22" t="inlineStr">
        <is>
          <t>Nexa Flevoland (S32)</t>
        </is>
      </c>
      <c r="F2078" s="22" t="inlineStr">
        <is>
          <t>Hà Lan</t>
        </is>
      </c>
      <c r="G2078" s="22" t="inlineStr">
        <is>
          <t>POS</t>
        </is>
      </c>
      <c r="H2078" s="31" t="n">
        <v>2237.97</v>
      </c>
      <c r="I2078" s="31" t="n">
        <v>223.8</v>
      </c>
      <c r="J2078" s="31" t="n">
        <v>2014.17</v>
      </c>
      <c r="K2078" s="31" t="n">
        <v>0</v>
      </c>
      <c r="L2078" s="32" t="n">
        <v>2</v>
      </c>
      <c r="M2078" s="32" t="n">
        <v>6</v>
      </c>
      <c r="N2078" s="31" t="n">
        <v>2014.17</v>
      </c>
      <c r="O2078" s="31" t="n">
        <v>2014.17</v>
      </c>
      <c r="P2078" s="22" t="n">
        <v>2</v>
      </c>
      <c r="Q2078" s="22" t="n">
        <v>0</v>
      </c>
      <c r="R2078" s="22" t="n">
        <v>0</v>
      </c>
    </row>
    <row r="2079">
      <c r="A2079" s="22" t="n">
        <v>201908</v>
      </c>
      <c r="B2079" s="22" t="inlineStr">
        <is>
          <t>08/2019</t>
        </is>
      </c>
      <c r="C2079" s="22" t="n">
        <v>33</v>
      </c>
      <c r="D2079" s="22" t="inlineStr">
        <is>
          <t>S33</t>
        </is>
      </c>
      <c r="E2079" s="22" t="inlineStr">
        <is>
          <t>Nexa Friesland (S33)</t>
        </is>
      </c>
      <c r="F2079" s="22" t="inlineStr">
        <is>
          <t>Hà Lan</t>
        </is>
      </c>
      <c r="G2079" s="22" t="inlineStr">
        <is>
          <t>POS</t>
        </is>
      </c>
      <c r="H2079" s="31" t="n">
        <v>9354.690000000001</v>
      </c>
      <c r="I2079" s="31" t="n">
        <v>935.48</v>
      </c>
      <c r="J2079" s="31" t="n">
        <v>8419.209999999999</v>
      </c>
      <c r="K2079" s="31" t="n">
        <v>0</v>
      </c>
      <c r="L2079" s="32" t="n">
        <v>5</v>
      </c>
      <c r="M2079" s="32" t="n">
        <v>32</v>
      </c>
      <c r="N2079" s="31" t="n">
        <v>8419.209999999999</v>
      </c>
      <c r="O2079" s="31" t="n">
        <v>8419.209999999999</v>
      </c>
      <c r="P2079" s="22" t="n">
        <v>0</v>
      </c>
      <c r="Q2079" s="22" t="n">
        <v>0</v>
      </c>
      <c r="R2079" s="22" t="n">
        <v>0</v>
      </c>
    </row>
    <row r="2080">
      <c r="A2080" s="22" t="n">
        <v>201908</v>
      </c>
      <c r="B2080" s="22" t="inlineStr">
        <is>
          <t>08/2019</t>
        </is>
      </c>
      <c r="C2080" s="22" t="n">
        <v>34</v>
      </c>
      <c r="D2080" s="22" t="inlineStr">
        <is>
          <t>S34</t>
        </is>
      </c>
      <c r="E2080" s="22" t="inlineStr">
        <is>
          <t>Nexa Groningen (S34)</t>
        </is>
      </c>
      <c r="F2080" s="22" t="inlineStr">
        <is>
          <t>Hà Lan</t>
        </is>
      </c>
      <c r="G2080" s="22" t="inlineStr">
        <is>
          <t>POS</t>
        </is>
      </c>
      <c r="H2080" s="31" t="n">
        <v>5377.46</v>
      </c>
      <c r="I2080" s="31" t="n">
        <v>324.53</v>
      </c>
      <c r="J2080" s="31" t="n">
        <v>5052.93</v>
      </c>
      <c r="K2080" s="31" t="n">
        <v>0</v>
      </c>
      <c r="L2080" s="32" t="n">
        <v>6</v>
      </c>
      <c r="M2080" s="32" t="n">
        <v>42</v>
      </c>
      <c r="N2080" s="31" t="n">
        <v>5052.93</v>
      </c>
      <c r="O2080" s="31" t="n">
        <v>5052.93</v>
      </c>
      <c r="P2080" s="22" t="n">
        <v>1</v>
      </c>
      <c r="Q2080" s="22" t="n">
        <v>0</v>
      </c>
      <c r="R2080" s="22" t="n">
        <v>0</v>
      </c>
    </row>
    <row r="2081">
      <c r="A2081" s="22" t="n">
        <v>201908</v>
      </c>
      <c r="B2081" s="22" t="inlineStr">
        <is>
          <t>08/2019</t>
        </is>
      </c>
      <c r="C2081" s="22" t="n">
        <v>36</v>
      </c>
      <c r="D2081" s="22" t="inlineStr">
        <is>
          <t>S36</t>
        </is>
      </c>
      <c r="E2081" s="22" t="inlineStr">
        <is>
          <t>Nexa Armagh (S36)</t>
        </is>
      </c>
      <c r="F2081" s="22" t="inlineStr">
        <is>
          <t>Anh</t>
        </is>
      </c>
      <c r="G2081" s="22" t="inlineStr">
        <is>
          <t>POS</t>
        </is>
      </c>
      <c r="H2081" s="31" t="n">
        <v>17931.64</v>
      </c>
      <c r="I2081" s="31" t="n">
        <v>890.58</v>
      </c>
      <c r="J2081" s="31" t="n">
        <v>17041.06</v>
      </c>
      <c r="K2081" s="31" t="n">
        <v>0</v>
      </c>
      <c r="L2081" s="32" t="n">
        <v>7</v>
      </c>
      <c r="M2081" s="32" t="n">
        <v>61</v>
      </c>
      <c r="N2081" s="31" t="n">
        <v>17041.06</v>
      </c>
      <c r="O2081" s="31" t="n">
        <v>17041.06</v>
      </c>
      <c r="P2081" s="22" t="n">
        <v>0</v>
      </c>
      <c r="Q2081" s="22" t="n">
        <v>0</v>
      </c>
      <c r="R2081" s="22" t="n">
        <v>0</v>
      </c>
    </row>
    <row r="2082">
      <c r="A2082" s="22" t="n">
        <v>201908</v>
      </c>
      <c r="B2082" s="22" t="inlineStr">
        <is>
          <t>08/2019</t>
        </is>
      </c>
      <c r="C2082" s="22" t="n">
        <v>37</v>
      </c>
      <c r="D2082" s="22" t="inlineStr">
        <is>
          <t>S37</t>
        </is>
      </c>
      <c r="E2082" s="22" t="inlineStr">
        <is>
          <t>Nexa Ayrshire (S37)</t>
        </is>
      </c>
      <c r="F2082" s="22" t="inlineStr">
        <is>
          <t>Anh</t>
        </is>
      </c>
      <c r="G2082" s="22" t="inlineStr">
        <is>
          <t>POS</t>
        </is>
      </c>
      <c r="H2082" s="31" t="n">
        <v>8488.940000000001</v>
      </c>
      <c r="I2082" s="31" t="n">
        <v>573.24</v>
      </c>
      <c r="J2082" s="31" t="n">
        <v>7915.7</v>
      </c>
      <c r="K2082" s="31" t="n">
        <v>1759.8</v>
      </c>
      <c r="L2082" s="32" t="n">
        <v>9</v>
      </c>
      <c r="M2082" s="32" t="n">
        <v>57</v>
      </c>
      <c r="N2082" s="31" t="n">
        <v>6155.9</v>
      </c>
      <c r="O2082" s="31" t="n">
        <v>7915.7</v>
      </c>
      <c r="P2082" s="22" t="n">
        <v>0</v>
      </c>
      <c r="Q2082" s="22" t="n">
        <v>0</v>
      </c>
      <c r="R2082" s="22" t="n">
        <v>0</v>
      </c>
    </row>
    <row r="2083">
      <c r="A2083" s="22" t="n">
        <v>201908</v>
      </c>
      <c r="B2083" s="22" t="inlineStr">
        <is>
          <t>08/2019</t>
        </is>
      </c>
      <c r="C2083" s="22" t="n">
        <v>38</v>
      </c>
      <c r="D2083" s="22" t="inlineStr">
        <is>
          <t>S38</t>
        </is>
      </c>
      <c r="E2083" s="22" t="inlineStr">
        <is>
          <t>Nexa Belfast (S38)</t>
        </is>
      </c>
      <c r="F2083" s="22" t="inlineStr">
        <is>
          <t>Anh</t>
        </is>
      </c>
      <c r="G2083" s="22" t="inlineStr">
        <is>
          <t>POS</t>
        </is>
      </c>
      <c r="H2083" s="31" t="n">
        <v>14975.42</v>
      </c>
      <c r="I2083" s="31" t="n">
        <v>1240.5</v>
      </c>
      <c r="J2083" s="31" t="n">
        <v>13734.92</v>
      </c>
      <c r="K2083" s="31" t="n">
        <v>652.39</v>
      </c>
      <c r="L2083" s="32" t="n">
        <v>14</v>
      </c>
      <c r="M2083" s="32" t="n">
        <v>82</v>
      </c>
      <c r="N2083" s="31" t="n">
        <v>13182.52</v>
      </c>
      <c r="O2083" s="31" t="n">
        <v>13734.92</v>
      </c>
      <c r="P2083" s="22" t="n">
        <v>1</v>
      </c>
      <c r="Q2083" s="22" t="n">
        <v>0</v>
      </c>
      <c r="R2083" s="22" t="n">
        <v>0</v>
      </c>
    </row>
    <row r="2084">
      <c r="A2084" s="22" t="n">
        <v>201908</v>
      </c>
      <c r="B2084" s="22" t="inlineStr">
        <is>
          <t>08/2019</t>
        </is>
      </c>
      <c r="C2084" s="22" t="n">
        <v>39</v>
      </c>
      <c r="D2084" s="22" t="inlineStr">
        <is>
          <t>S39</t>
        </is>
      </c>
      <c r="E2084" s="22" t="inlineStr">
        <is>
          <t>Nexa Blaenau Gwent (S39)</t>
        </is>
      </c>
      <c r="F2084" s="22" t="inlineStr">
        <is>
          <t>Anh</t>
        </is>
      </c>
      <c r="G2084" s="22" t="inlineStr">
        <is>
          <t>POS</t>
        </is>
      </c>
      <c r="H2084" s="31" t="n">
        <v>31273.71</v>
      </c>
      <c r="I2084" s="31" t="n">
        <v>2859.12</v>
      </c>
      <c r="J2084" s="31" t="n">
        <v>28414.59</v>
      </c>
      <c r="K2084" s="31" t="n">
        <v>1775.08</v>
      </c>
      <c r="L2084" s="32" t="n">
        <v>19</v>
      </c>
      <c r="M2084" s="32" t="n">
        <v>136</v>
      </c>
      <c r="N2084" s="31" t="n">
        <v>26639.51</v>
      </c>
      <c r="O2084" s="31" t="n">
        <v>28414.59</v>
      </c>
      <c r="P2084" s="22" t="n">
        <v>0</v>
      </c>
      <c r="Q2084" s="22" t="n">
        <v>0</v>
      </c>
      <c r="R2084" s="22" t="n">
        <v>0</v>
      </c>
    </row>
    <row r="2085">
      <c r="A2085" s="22" t="n">
        <v>201908</v>
      </c>
      <c r="B2085" s="22" t="inlineStr">
        <is>
          <t>08/2019</t>
        </is>
      </c>
      <c r="C2085" s="22" t="n">
        <v>40</v>
      </c>
      <c r="D2085" s="22" t="inlineStr">
        <is>
          <t>S40</t>
        </is>
      </c>
      <c r="E2085" s="22" t="inlineStr">
        <is>
          <t>Nexa Dungannon and South Tyrone (S40)</t>
        </is>
      </c>
      <c r="F2085" s="22" t="inlineStr">
        <is>
          <t>Anh</t>
        </is>
      </c>
      <c r="G2085" s="22" t="inlineStr">
        <is>
          <t>POS</t>
        </is>
      </c>
      <c r="H2085" s="31" t="n">
        <v>19790.77</v>
      </c>
      <c r="I2085" s="31" t="n">
        <v>1061.78</v>
      </c>
      <c r="J2085" s="31" t="n">
        <v>18728.99</v>
      </c>
      <c r="K2085" s="31" t="n">
        <v>0</v>
      </c>
      <c r="L2085" s="32" t="n">
        <v>8</v>
      </c>
      <c r="M2085" s="32" t="n">
        <v>65</v>
      </c>
      <c r="N2085" s="31" t="n">
        <v>18728.99</v>
      </c>
      <c r="O2085" s="31" t="n">
        <v>18728.99</v>
      </c>
      <c r="P2085" s="22" t="n">
        <v>1</v>
      </c>
      <c r="Q2085" s="22" t="n">
        <v>0</v>
      </c>
      <c r="R2085" s="22" t="n">
        <v>0</v>
      </c>
    </row>
    <row r="2086">
      <c r="A2086" s="22" t="n">
        <v>201908</v>
      </c>
      <c r="B2086" s="22" t="inlineStr">
        <is>
          <t>08/2019</t>
        </is>
      </c>
      <c r="C2086" s="22" t="n">
        <v>42</v>
      </c>
      <c r="D2086" s="22" t="inlineStr">
        <is>
          <t>S42</t>
        </is>
      </c>
      <c r="E2086" s="22" t="inlineStr">
        <is>
          <t>Nexa North Down (S42)</t>
        </is>
      </c>
      <c r="F2086" s="22" t="inlineStr">
        <is>
          <t>Anh</t>
        </is>
      </c>
      <c r="G2086" s="22" t="inlineStr">
        <is>
          <t>POS</t>
        </is>
      </c>
      <c r="H2086" s="31" t="n">
        <v>37514.98</v>
      </c>
      <c r="I2086" s="31" t="n">
        <v>2705.66</v>
      </c>
      <c r="J2086" s="31" t="n">
        <v>34809.32</v>
      </c>
      <c r="K2086" s="31" t="n">
        <v>300</v>
      </c>
      <c r="L2086" s="32" t="n">
        <v>12</v>
      </c>
      <c r="M2086" s="32" t="n">
        <v>91</v>
      </c>
      <c r="N2086" s="31" t="n">
        <v>34509.32</v>
      </c>
      <c r="O2086" s="31" t="n">
        <v>34809.32</v>
      </c>
      <c r="P2086" s="22" t="n">
        <v>0</v>
      </c>
      <c r="Q2086" s="22" t="n">
        <v>0</v>
      </c>
      <c r="R2086" s="22" t="n">
        <v>0</v>
      </c>
    </row>
    <row r="2087">
      <c r="A2087" s="22" t="n">
        <v>201908</v>
      </c>
      <c r="B2087" s="22" t="inlineStr">
        <is>
          <t>08/2019</t>
        </is>
      </c>
      <c r="C2087" s="22" t="n">
        <v>43</v>
      </c>
      <c r="D2087" s="22" t="inlineStr">
        <is>
          <t>S43</t>
        </is>
      </c>
      <c r="E2087" s="22" t="inlineStr">
        <is>
          <t>Nexa Alaska (S43)</t>
        </is>
      </c>
      <c r="F2087" s="22" t="inlineStr">
        <is>
          <t>Mỹ</t>
        </is>
      </c>
      <c r="G2087" s="22" t="inlineStr">
        <is>
          <t>POS</t>
        </is>
      </c>
      <c r="H2087" s="31" t="n">
        <v>50655.52</v>
      </c>
      <c r="I2087" s="31" t="n">
        <v>3337.3</v>
      </c>
      <c r="J2087" s="31" t="n">
        <v>47318.22</v>
      </c>
      <c r="K2087" s="31" t="n">
        <v>254.87</v>
      </c>
      <c r="L2087" s="32" t="n">
        <v>21</v>
      </c>
      <c r="M2087" s="32" t="n">
        <v>162</v>
      </c>
      <c r="N2087" s="31" t="n">
        <v>47063.35</v>
      </c>
      <c r="O2087" s="31" t="n">
        <v>47318.22</v>
      </c>
      <c r="P2087" s="22" t="n">
        <v>0</v>
      </c>
      <c r="Q2087" s="22" t="n">
        <v>0</v>
      </c>
      <c r="R2087" s="22" t="n">
        <v>0</v>
      </c>
    </row>
    <row r="2088">
      <c r="A2088" s="22" t="n">
        <v>201908</v>
      </c>
      <c r="B2088" s="22" t="inlineStr">
        <is>
          <t>08/2019</t>
        </is>
      </c>
      <c r="C2088" s="22" t="n">
        <v>44</v>
      </c>
      <c r="D2088" s="22" t="inlineStr">
        <is>
          <t>S44</t>
        </is>
      </c>
      <c r="E2088" s="22" t="inlineStr">
        <is>
          <t>Nexa Arkansas (S44)</t>
        </is>
      </c>
      <c r="F2088" s="22" t="inlineStr">
        <is>
          <t>Mỹ</t>
        </is>
      </c>
      <c r="G2088" s="22" t="inlineStr">
        <is>
          <t>POS</t>
        </is>
      </c>
      <c r="H2088" s="31" t="n">
        <v>23662.94</v>
      </c>
      <c r="I2088" s="31" t="n">
        <v>1649.76</v>
      </c>
      <c r="J2088" s="31" t="n">
        <v>22013.18</v>
      </c>
      <c r="K2088" s="31" t="n">
        <v>140.26</v>
      </c>
      <c r="L2088" s="32" t="n">
        <v>15</v>
      </c>
      <c r="M2088" s="32" t="n">
        <v>98</v>
      </c>
      <c r="N2088" s="31" t="n">
        <v>21872.92</v>
      </c>
      <c r="O2088" s="31" t="n">
        <v>22013.18</v>
      </c>
      <c r="P2088" s="22" t="n">
        <v>1</v>
      </c>
      <c r="Q2088" s="22" t="n">
        <v>0</v>
      </c>
      <c r="R2088" s="22" t="n">
        <v>0</v>
      </c>
    </row>
    <row r="2089">
      <c r="A2089" s="22" t="n">
        <v>201908</v>
      </c>
      <c r="B2089" s="22" t="inlineStr">
        <is>
          <t>08/2019</t>
        </is>
      </c>
      <c r="C2089" s="22" t="n">
        <v>45</v>
      </c>
      <c r="D2089" s="22" t="inlineStr">
        <is>
          <t>S45</t>
        </is>
      </c>
      <c r="E2089" s="22" t="inlineStr">
        <is>
          <t>Nexa Connecticut (S45)</t>
        </is>
      </c>
      <c r="F2089" s="22" t="inlineStr">
        <is>
          <t>Mỹ</t>
        </is>
      </c>
      <c r="G2089" s="22" t="inlineStr">
        <is>
          <t>POS</t>
        </is>
      </c>
      <c r="H2089" s="31" t="n">
        <v>31312.51</v>
      </c>
      <c r="I2089" s="31" t="n">
        <v>2003.77</v>
      </c>
      <c r="J2089" s="31" t="n">
        <v>29308.74</v>
      </c>
      <c r="K2089" s="31" t="n">
        <v>459</v>
      </c>
      <c r="L2089" s="32" t="n">
        <v>19</v>
      </c>
      <c r="M2089" s="32" t="n">
        <v>149</v>
      </c>
      <c r="N2089" s="31" t="n">
        <v>28849.74</v>
      </c>
      <c r="O2089" s="31" t="n">
        <v>29308.74</v>
      </c>
      <c r="P2089" s="22" t="n">
        <v>0</v>
      </c>
      <c r="Q2089" s="22" t="n">
        <v>0</v>
      </c>
      <c r="R2089" s="22" t="n">
        <v>1</v>
      </c>
    </row>
    <row r="2090">
      <c r="A2090" s="22" t="n">
        <v>201908</v>
      </c>
      <c r="B2090" s="22" t="inlineStr">
        <is>
          <t>08/2019</t>
        </is>
      </c>
      <c r="C2090" s="22" t="n">
        <v>47</v>
      </c>
      <c r="D2090" s="22" t="inlineStr">
        <is>
          <t>S47</t>
        </is>
      </c>
      <c r="E2090" s="22" t="inlineStr">
        <is>
          <t>Nexa Hawaii (S47)</t>
        </is>
      </c>
      <c r="F2090" s="22" t="inlineStr">
        <is>
          <t>Mỹ</t>
        </is>
      </c>
      <c r="G2090" s="22" t="inlineStr">
        <is>
          <t>POS</t>
        </is>
      </c>
      <c r="H2090" s="31" t="n">
        <v>26689.75</v>
      </c>
      <c r="I2090" s="31" t="n">
        <v>928.12</v>
      </c>
      <c r="J2090" s="31" t="n">
        <v>25761.63</v>
      </c>
      <c r="K2090" s="31" t="n">
        <v>68.8</v>
      </c>
      <c r="L2090" s="32" t="n">
        <v>20</v>
      </c>
      <c r="M2090" s="32" t="n">
        <v>137</v>
      </c>
      <c r="N2090" s="31" t="n">
        <v>25692.83</v>
      </c>
      <c r="O2090" s="31" t="n">
        <v>25761.63</v>
      </c>
      <c r="P2090" s="22" t="n">
        <v>1</v>
      </c>
      <c r="Q2090" s="22" t="n">
        <v>0</v>
      </c>
      <c r="R2090" s="22" t="n">
        <v>0</v>
      </c>
    </row>
    <row r="2091">
      <c r="A2091" s="22" t="n">
        <v>201908</v>
      </c>
      <c r="B2091" s="22" t="inlineStr">
        <is>
          <t>08/2019</t>
        </is>
      </c>
      <c r="C2091" s="22" t="n">
        <v>48</v>
      </c>
      <c r="D2091" s="22" t="inlineStr">
        <is>
          <t>S48</t>
        </is>
      </c>
      <c r="E2091" s="22" t="inlineStr">
        <is>
          <t>Nexa Idaho (S48)</t>
        </is>
      </c>
      <c r="F2091" s="22" t="inlineStr">
        <is>
          <t>Mỹ</t>
        </is>
      </c>
      <c r="G2091" s="22" t="inlineStr">
        <is>
          <t>POS</t>
        </is>
      </c>
      <c r="H2091" s="31" t="n">
        <v>33865.14</v>
      </c>
      <c r="I2091" s="31" t="n">
        <v>1690.88</v>
      </c>
      <c r="J2091" s="31" t="n">
        <v>32174.26</v>
      </c>
      <c r="K2091" s="31" t="n">
        <v>259.99</v>
      </c>
      <c r="L2091" s="32" t="n">
        <v>19</v>
      </c>
      <c r="M2091" s="32" t="n">
        <v>103</v>
      </c>
      <c r="N2091" s="31" t="n">
        <v>31914.27</v>
      </c>
      <c r="O2091" s="31" t="n">
        <v>32174.26</v>
      </c>
      <c r="P2091" s="22" t="n">
        <v>2</v>
      </c>
      <c r="Q2091" s="22" t="n">
        <v>0</v>
      </c>
      <c r="R2091" s="22" t="n">
        <v>0</v>
      </c>
    </row>
    <row r="2092">
      <c r="A2092" s="22" t="n">
        <v>201908</v>
      </c>
      <c r="B2092" s="22" t="inlineStr">
        <is>
          <t>08/2019</t>
        </is>
      </c>
      <c r="C2092" s="22" t="n">
        <v>49</v>
      </c>
      <c r="D2092" s="22" t="inlineStr">
        <is>
          <t>S49</t>
        </is>
      </c>
      <c r="E2092" s="22" t="inlineStr">
        <is>
          <t>Nexa Iowa (S49)</t>
        </is>
      </c>
      <c r="F2092" s="22" t="inlineStr">
        <is>
          <t>Mỹ</t>
        </is>
      </c>
      <c r="G2092" s="22" t="inlineStr">
        <is>
          <t>POS</t>
        </is>
      </c>
      <c r="H2092" s="31" t="n">
        <v>43523.22</v>
      </c>
      <c r="I2092" s="31" t="n">
        <v>1982.37</v>
      </c>
      <c r="J2092" s="31" t="n">
        <v>41540.85</v>
      </c>
      <c r="K2092" s="31" t="n">
        <v>1649.71</v>
      </c>
      <c r="L2092" s="32" t="n">
        <v>19</v>
      </c>
      <c r="M2092" s="32" t="n">
        <v>155</v>
      </c>
      <c r="N2092" s="31" t="n">
        <v>39891.14</v>
      </c>
      <c r="O2092" s="31" t="n">
        <v>41540.85</v>
      </c>
      <c r="P2092" s="22" t="n">
        <v>0</v>
      </c>
      <c r="Q2092" s="22" t="n">
        <v>0</v>
      </c>
      <c r="R2092" s="22" t="n">
        <v>0</v>
      </c>
    </row>
    <row r="2093">
      <c r="A2093" s="22" t="n">
        <v>201908</v>
      </c>
      <c r="B2093" s="22" t="inlineStr">
        <is>
          <t>08/2019</t>
        </is>
      </c>
      <c r="C2093" s="22" t="n">
        <v>50</v>
      </c>
      <c r="D2093" s="22" t="inlineStr">
        <is>
          <t>S50</t>
        </is>
      </c>
      <c r="E2093" s="22" t="inlineStr">
        <is>
          <t>Nexa Kansas (S50)</t>
        </is>
      </c>
      <c r="F2093" s="22" t="inlineStr">
        <is>
          <t>Mỹ</t>
        </is>
      </c>
      <c r="G2093" s="22" t="inlineStr">
        <is>
          <t>POS</t>
        </is>
      </c>
      <c r="H2093" s="31" t="n">
        <v>43631.99</v>
      </c>
      <c r="I2093" s="31" t="n">
        <v>3200.66</v>
      </c>
      <c r="J2093" s="31" t="n">
        <v>40431.33</v>
      </c>
      <c r="K2093" s="31" t="n">
        <v>1149.5</v>
      </c>
      <c r="L2093" s="32" t="n">
        <v>19</v>
      </c>
      <c r="M2093" s="32" t="n">
        <v>161</v>
      </c>
      <c r="N2093" s="31" t="n">
        <v>39281.83</v>
      </c>
      <c r="O2093" s="31" t="n">
        <v>40431.33</v>
      </c>
      <c r="P2093" s="22" t="n">
        <v>0</v>
      </c>
      <c r="Q2093" s="22" t="n">
        <v>0</v>
      </c>
      <c r="R2093" s="22" t="n">
        <v>0</v>
      </c>
    </row>
    <row r="2094">
      <c r="A2094" s="22" t="n">
        <v>201908</v>
      </c>
      <c r="B2094" s="22" t="inlineStr">
        <is>
          <t>08/2019</t>
        </is>
      </c>
      <c r="C2094" s="22" t="n">
        <v>51</v>
      </c>
      <c r="D2094" s="22" t="inlineStr">
        <is>
          <t>S51</t>
        </is>
      </c>
      <c r="E2094" s="22" t="inlineStr">
        <is>
          <t>Nexa Maine (S51)</t>
        </is>
      </c>
      <c r="F2094" s="22" t="inlineStr">
        <is>
          <t>Mỹ</t>
        </is>
      </c>
      <c r="G2094" s="22" t="inlineStr">
        <is>
          <t>POS</t>
        </is>
      </c>
      <c r="H2094" s="31" t="n">
        <v>15397.32</v>
      </c>
      <c r="I2094" s="31" t="n">
        <v>1285.61</v>
      </c>
      <c r="J2094" s="31" t="n">
        <v>14111.71</v>
      </c>
      <c r="K2094" s="31" t="n">
        <v>118.6</v>
      </c>
      <c r="L2094" s="32" t="n">
        <v>12</v>
      </c>
      <c r="M2094" s="32" t="n">
        <v>82</v>
      </c>
      <c r="N2094" s="31" t="n">
        <v>13993.11</v>
      </c>
      <c r="O2094" s="31" t="n">
        <v>14111.71</v>
      </c>
      <c r="P2094" s="22" t="n">
        <v>0</v>
      </c>
      <c r="Q2094" s="22" t="n">
        <v>0</v>
      </c>
      <c r="R2094" s="22" t="n">
        <v>0</v>
      </c>
    </row>
    <row r="2095">
      <c r="A2095" s="22" t="n">
        <v>201908</v>
      </c>
      <c r="B2095" s="22" t="inlineStr">
        <is>
          <t>08/2019</t>
        </is>
      </c>
      <c r="C2095" s="22" t="n">
        <v>53</v>
      </c>
      <c r="D2095" s="22" t="inlineStr">
        <is>
          <t>S53</t>
        </is>
      </c>
      <c r="E2095" s="22" t="inlineStr">
        <is>
          <t>Nexa Montana (S53)</t>
        </is>
      </c>
      <c r="F2095" s="22" t="inlineStr">
        <is>
          <t>Mỹ</t>
        </is>
      </c>
      <c r="G2095" s="22" t="inlineStr">
        <is>
          <t>POS</t>
        </is>
      </c>
      <c r="H2095" s="31" t="n">
        <v>25028.87</v>
      </c>
      <c r="I2095" s="31" t="n">
        <v>2317.78</v>
      </c>
      <c r="J2095" s="31" t="n">
        <v>22711.09</v>
      </c>
      <c r="K2095" s="31" t="n">
        <v>836.03</v>
      </c>
      <c r="L2095" s="32" t="n">
        <v>13</v>
      </c>
      <c r="M2095" s="32" t="n">
        <v>81</v>
      </c>
      <c r="N2095" s="31" t="n">
        <v>21875.06</v>
      </c>
      <c r="O2095" s="31" t="n">
        <v>22711.09</v>
      </c>
      <c r="P2095" s="22" t="n">
        <v>1</v>
      </c>
      <c r="Q2095" s="22" t="n">
        <v>0</v>
      </c>
      <c r="R2095" s="22" t="n">
        <v>0</v>
      </c>
    </row>
    <row r="2096">
      <c r="A2096" s="22" t="n">
        <v>201908</v>
      </c>
      <c r="B2096" s="22" t="inlineStr">
        <is>
          <t>08/2019</t>
        </is>
      </c>
      <c r="C2096" s="22" t="n">
        <v>54</v>
      </c>
      <c r="D2096" s="22" t="inlineStr">
        <is>
          <t>S54</t>
        </is>
      </c>
      <c r="E2096" s="22" t="inlineStr">
        <is>
          <t>Nexa Nebraska (S54)</t>
        </is>
      </c>
      <c r="F2096" s="22" t="inlineStr">
        <is>
          <t>Mỹ</t>
        </is>
      </c>
      <c r="G2096" s="22" t="inlineStr">
        <is>
          <t>POS</t>
        </is>
      </c>
      <c r="H2096" s="31" t="n">
        <v>21426.53</v>
      </c>
      <c r="I2096" s="31" t="n">
        <v>1470.56</v>
      </c>
      <c r="J2096" s="31" t="n">
        <v>19955.97</v>
      </c>
      <c r="K2096" s="31" t="n">
        <v>0</v>
      </c>
      <c r="L2096" s="32" t="n">
        <v>21</v>
      </c>
      <c r="M2096" s="32" t="n">
        <v>136</v>
      </c>
      <c r="N2096" s="31" t="n">
        <v>19955.97</v>
      </c>
      <c r="O2096" s="31" t="n">
        <v>19955.97</v>
      </c>
      <c r="P2096" s="22" t="n">
        <v>0</v>
      </c>
      <c r="Q2096" s="22" t="n">
        <v>0</v>
      </c>
      <c r="R2096" s="22" t="n">
        <v>0</v>
      </c>
    </row>
    <row r="2097">
      <c r="A2097" s="22" t="n">
        <v>201908</v>
      </c>
      <c r="B2097" s="22" t="inlineStr">
        <is>
          <t>08/2019</t>
        </is>
      </c>
      <c r="C2097" s="22" t="n">
        <v>55</v>
      </c>
      <c r="D2097" s="22" t="inlineStr">
        <is>
          <t>S55</t>
        </is>
      </c>
      <c r="E2097" s="22" t="inlineStr">
        <is>
          <t>Nexa Nevada (S55)</t>
        </is>
      </c>
      <c r="F2097" s="22" t="inlineStr">
        <is>
          <t>Mỹ</t>
        </is>
      </c>
      <c r="G2097" s="22" t="inlineStr">
        <is>
          <t>POS</t>
        </is>
      </c>
      <c r="H2097" s="31" t="n">
        <v>50503.58</v>
      </c>
      <c r="I2097" s="31" t="n">
        <v>1972.32</v>
      </c>
      <c r="J2097" s="31" t="n">
        <v>48531.26</v>
      </c>
      <c r="K2097" s="31" t="n">
        <v>1792.64</v>
      </c>
      <c r="L2097" s="32" t="n">
        <v>31</v>
      </c>
      <c r="M2097" s="32" t="n">
        <v>257</v>
      </c>
      <c r="N2097" s="31" t="n">
        <v>46738.62</v>
      </c>
      <c r="O2097" s="31" t="n">
        <v>48531.26</v>
      </c>
      <c r="P2097" s="22" t="n">
        <v>0</v>
      </c>
      <c r="Q2097" s="22" t="n">
        <v>0</v>
      </c>
      <c r="R2097" s="22" t="n">
        <v>0</v>
      </c>
    </row>
    <row r="2098">
      <c r="A2098" s="22" t="n">
        <v>201908</v>
      </c>
      <c r="B2098" s="22" t="inlineStr">
        <is>
          <t>08/2019</t>
        </is>
      </c>
      <c r="C2098" s="22" t="n">
        <v>56</v>
      </c>
      <c r="D2098" s="22" t="inlineStr">
        <is>
          <t>S56</t>
        </is>
      </c>
      <c r="E2098" s="22" t="inlineStr">
        <is>
          <t>Nexa New Hampshire (S56)</t>
        </is>
      </c>
      <c r="F2098" s="22" t="inlineStr">
        <is>
          <t>Mỹ</t>
        </is>
      </c>
      <c r="G2098" s="22" t="inlineStr">
        <is>
          <t>POS</t>
        </is>
      </c>
      <c r="H2098" s="31" t="n">
        <v>46389.08</v>
      </c>
      <c r="I2098" s="31" t="n">
        <v>2228.3</v>
      </c>
      <c r="J2098" s="31" t="n">
        <v>44160.78</v>
      </c>
      <c r="K2098" s="31" t="n">
        <v>0</v>
      </c>
      <c r="L2098" s="32" t="n">
        <v>16</v>
      </c>
      <c r="M2098" s="32" t="n">
        <v>149</v>
      </c>
      <c r="N2098" s="31" t="n">
        <v>44160.78</v>
      </c>
      <c r="O2098" s="31" t="n">
        <v>44160.78</v>
      </c>
      <c r="P2098" s="22" t="n">
        <v>1</v>
      </c>
      <c r="Q2098" s="22" t="n">
        <v>0</v>
      </c>
      <c r="R2098" s="22" t="n">
        <v>0</v>
      </c>
    </row>
    <row r="2099">
      <c r="A2099" s="22" t="n">
        <v>201908</v>
      </c>
      <c r="B2099" s="22" t="inlineStr">
        <is>
          <t>08/2019</t>
        </is>
      </c>
      <c r="C2099" s="22" t="n">
        <v>57</v>
      </c>
      <c r="D2099" s="22" t="inlineStr">
        <is>
          <t>S57</t>
        </is>
      </c>
      <c r="E2099" s="22" t="inlineStr">
        <is>
          <t>Nexa New Mexico (S57)</t>
        </is>
      </c>
      <c r="F2099" s="22" t="inlineStr">
        <is>
          <t>Mỹ</t>
        </is>
      </c>
      <c r="G2099" s="22" t="inlineStr">
        <is>
          <t>POS</t>
        </is>
      </c>
      <c r="H2099" s="31" t="n">
        <v>38092.48</v>
      </c>
      <c r="I2099" s="31" t="n">
        <v>2363.25</v>
      </c>
      <c r="J2099" s="31" t="n">
        <v>35729.23</v>
      </c>
      <c r="K2099" s="31" t="n">
        <v>6.89</v>
      </c>
      <c r="L2099" s="32" t="n">
        <v>18</v>
      </c>
      <c r="M2099" s="32" t="n">
        <v>147</v>
      </c>
      <c r="N2099" s="31" t="n">
        <v>35722.34</v>
      </c>
      <c r="O2099" s="31" t="n">
        <v>35729.23</v>
      </c>
      <c r="P2099" s="22" t="n">
        <v>0</v>
      </c>
      <c r="Q2099" s="22" t="n">
        <v>0</v>
      </c>
      <c r="R2099" s="22" t="n">
        <v>0</v>
      </c>
    </row>
    <row r="2100">
      <c r="A2100" s="22" t="n">
        <v>201908</v>
      </c>
      <c r="B2100" s="22" t="inlineStr">
        <is>
          <t>08/2019</t>
        </is>
      </c>
      <c r="C2100" s="22" t="n">
        <v>59</v>
      </c>
      <c r="D2100" s="22" t="inlineStr">
        <is>
          <t>S59</t>
        </is>
      </c>
      <c r="E2100" s="22" t="inlineStr">
        <is>
          <t>Nexa Oregon (S59)</t>
        </is>
      </c>
      <c r="F2100" s="22" t="inlineStr">
        <is>
          <t>Mỹ</t>
        </is>
      </c>
      <c r="G2100" s="22" t="inlineStr">
        <is>
          <t>POS</t>
        </is>
      </c>
      <c r="H2100" s="31" t="n">
        <v>42470.6</v>
      </c>
      <c r="I2100" s="31" t="n">
        <v>1955.97</v>
      </c>
      <c r="J2100" s="31" t="n">
        <v>40514.63</v>
      </c>
      <c r="K2100" s="31" t="n">
        <v>0</v>
      </c>
      <c r="L2100" s="32" t="n">
        <v>15</v>
      </c>
      <c r="M2100" s="32" t="n">
        <v>130</v>
      </c>
      <c r="N2100" s="31" t="n">
        <v>40514.63</v>
      </c>
      <c r="O2100" s="31" t="n">
        <v>40514.63</v>
      </c>
      <c r="P2100" s="22" t="n">
        <v>2</v>
      </c>
      <c r="Q2100" s="22" t="n">
        <v>0</v>
      </c>
      <c r="R2100" s="22" t="n">
        <v>0</v>
      </c>
    </row>
    <row r="2101">
      <c r="A2101" s="22" t="n">
        <v>201908</v>
      </c>
      <c r="B2101" s="22" t="inlineStr">
        <is>
          <t>08/2019</t>
        </is>
      </c>
      <c r="C2101" s="22" t="n">
        <v>61</v>
      </c>
      <c r="D2101" s="22" t="inlineStr">
        <is>
          <t>S61</t>
        </is>
      </c>
      <c r="E2101" s="22" t="inlineStr">
        <is>
          <t>Nexa South Carolina (S61)</t>
        </is>
      </c>
      <c r="F2101" s="22" t="inlineStr">
        <is>
          <t>Mỹ</t>
        </is>
      </c>
      <c r="G2101" s="22" t="inlineStr">
        <is>
          <t>POS</t>
        </is>
      </c>
      <c r="H2101" s="31" t="n">
        <v>24315.82</v>
      </c>
      <c r="I2101" s="31" t="n">
        <v>1905.97</v>
      </c>
      <c r="J2101" s="31" t="n">
        <v>22409.85</v>
      </c>
      <c r="K2101" s="31" t="n">
        <v>300</v>
      </c>
      <c r="L2101" s="32" t="n">
        <v>18</v>
      </c>
      <c r="M2101" s="32" t="n">
        <v>111</v>
      </c>
      <c r="N2101" s="31" t="n">
        <v>22109.85</v>
      </c>
      <c r="O2101" s="31" t="n">
        <v>22409.85</v>
      </c>
      <c r="P2101" s="22" t="n">
        <v>1</v>
      </c>
      <c r="Q2101" s="22" t="n">
        <v>0</v>
      </c>
      <c r="R2101" s="22" t="n">
        <v>0</v>
      </c>
    </row>
    <row r="2102">
      <c r="A2102" s="22" t="n">
        <v>201908</v>
      </c>
      <c r="B2102" s="22" t="inlineStr">
        <is>
          <t>08/2019</t>
        </is>
      </c>
      <c r="C2102" s="22" t="n">
        <v>62</v>
      </c>
      <c r="D2102" s="22" t="inlineStr">
        <is>
          <t>S62</t>
        </is>
      </c>
      <c r="E2102" s="22" t="inlineStr">
        <is>
          <t>Nexa South Dakota (S62)</t>
        </is>
      </c>
      <c r="F2102" s="22" t="inlineStr">
        <is>
          <t>Mỹ</t>
        </is>
      </c>
      <c r="G2102" s="22" t="inlineStr">
        <is>
          <t>POS</t>
        </is>
      </c>
      <c r="H2102" s="31" t="n">
        <v>20359.66</v>
      </c>
      <c r="I2102" s="31" t="n">
        <v>978.04</v>
      </c>
      <c r="J2102" s="31" t="n">
        <v>19381.62</v>
      </c>
      <c r="K2102" s="31" t="n">
        <v>5464.2</v>
      </c>
      <c r="L2102" s="32" t="n">
        <v>11</v>
      </c>
      <c r="M2102" s="32" t="n">
        <v>85</v>
      </c>
      <c r="N2102" s="31" t="n">
        <v>13917.42</v>
      </c>
      <c r="O2102" s="31" t="n">
        <v>19381.62</v>
      </c>
      <c r="P2102" s="22" t="n">
        <v>1</v>
      </c>
      <c r="Q2102" s="22" t="n">
        <v>0</v>
      </c>
      <c r="R2102" s="22" t="n">
        <v>0</v>
      </c>
    </row>
    <row r="2103">
      <c r="A2103" s="22" t="n">
        <v>201908</v>
      </c>
      <c r="B2103" s="22" t="inlineStr">
        <is>
          <t>08/2019</t>
        </is>
      </c>
      <c r="C2103" s="22" t="n">
        <v>63</v>
      </c>
      <c r="D2103" s="22" t="inlineStr">
        <is>
          <t>S63</t>
        </is>
      </c>
      <c r="E2103" s="22" t="inlineStr">
        <is>
          <t>Nexa Utah (S63)</t>
        </is>
      </c>
      <c r="F2103" s="22" t="inlineStr">
        <is>
          <t>Mỹ</t>
        </is>
      </c>
      <c r="G2103" s="22" t="inlineStr">
        <is>
          <t>POS</t>
        </is>
      </c>
      <c r="H2103" s="31" t="n">
        <v>26560.36</v>
      </c>
      <c r="I2103" s="31" t="n">
        <v>2312.16</v>
      </c>
      <c r="J2103" s="31" t="n">
        <v>24248.2</v>
      </c>
      <c r="K2103" s="31" t="n">
        <v>0</v>
      </c>
      <c r="L2103" s="32" t="n">
        <v>19</v>
      </c>
      <c r="M2103" s="32" t="n">
        <v>155</v>
      </c>
      <c r="N2103" s="31" t="n">
        <v>24248.2</v>
      </c>
      <c r="O2103" s="31" t="n">
        <v>24248.2</v>
      </c>
      <c r="P2103" s="22" t="n">
        <v>0</v>
      </c>
      <c r="Q2103" s="22" t="n">
        <v>0</v>
      </c>
      <c r="R2103" s="22" t="n">
        <v>0</v>
      </c>
    </row>
    <row r="2104">
      <c r="A2104" s="22" t="n">
        <v>201908</v>
      </c>
      <c r="B2104" s="22" t="inlineStr">
        <is>
          <t>08/2019</t>
        </is>
      </c>
      <c r="C2104" s="22" t="n">
        <v>64</v>
      </c>
      <c r="D2104" s="22" t="inlineStr">
        <is>
          <t>S64</t>
        </is>
      </c>
      <c r="E2104" s="22" t="inlineStr">
        <is>
          <t>Nexa Washington DC (S64)</t>
        </is>
      </c>
      <c r="F2104" s="22" t="inlineStr">
        <is>
          <t>Mỹ</t>
        </is>
      </c>
      <c r="G2104" s="22" t="inlineStr">
        <is>
          <t>POS</t>
        </is>
      </c>
      <c r="H2104" s="31" t="n">
        <v>11670.21</v>
      </c>
      <c r="I2104" s="31" t="n">
        <v>1117.66</v>
      </c>
      <c r="J2104" s="31" t="n">
        <v>10552.55</v>
      </c>
      <c r="K2104" s="31" t="n">
        <v>0</v>
      </c>
      <c r="L2104" s="32" t="n">
        <v>10</v>
      </c>
      <c r="M2104" s="32" t="n">
        <v>62</v>
      </c>
      <c r="N2104" s="31" t="n">
        <v>10552.55</v>
      </c>
      <c r="O2104" s="31" t="n">
        <v>10552.55</v>
      </c>
      <c r="P2104" s="22" t="n">
        <v>1</v>
      </c>
      <c r="Q2104" s="22" t="n">
        <v>0</v>
      </c>
      <c r="R2104" s="22" t="n">
        <v>0</v>
      </c>
    </row>
    <row r="2105">
      <c r="A2105" s="22" t="n">
        <v>201908</v>
      </c>
      <c r="B2105" s="22" t="inlineStr">
        <is>
          <t>08/2019</t>
        </is>
      </c>
      <c r="C2105" s="22" t="n">
        <v>65</v>
      </c>
      <c r="D2105" s="22" t="inlineStr">
        <is>
          <t>S65</t>
        </is>
      </c>
      <c r="E2105" s="22" t="inlineStr">
        <is>
          <t>Nexa West Virginia (S65)</t>
        </is>
      </c>
      <c r="F2105" s="22" t="inlineStr">
        <is>
          <t>Mỹ</t>
        </is>
      </c>
      <c r="G2105" s="22" t="inlineStr">
        <is>
          <t>POS</t>
        </is>
      </c>
      <c r="H2105" s="31" t="n">
        <v>20180.74</v>
      </c>
      <c r="I2105" s="31" t="n">
        <v>862.1799999999999</v>
      </c>
      <c r="J2105" s="31" t="n">
        <v>19318.56</v>
      </c>
      <c r="K2105" s="31" t="n">
        <v>1002</v>
      </c>
      <c r="L2105" s="32" t="n">
        <v>14</v>
      </c>
      <c r="M2105" s="32" t="n">
        <v>102</v>
      </c>
      <c r="N2105" s="31" t="n">
        <v>18316.56</v>
      </c>
      <c r="O2105" s="31" t="n">
        <v>19318.56</v>
      </c>
      <c r="P2105" s="22" t="n">
        <v>1</v>
      </c>
      <c r="Q2105" s="22" t="n">
        <v>0</v>
      </c>
      <c r="R2105" s="22" t="n">
        <v>0</v>
      </c>
    </row>
    <row r="2106">
      <c r="A2106" s="22" t="n">
        <v>201908</v>
      </c>
      <c r="B2106" s="22" t="inlineStr">
        <is>
          <t>08/2019</t>
        </is>
      </c>
      <c r="C2106" s="22" t="n">
        <v>66</v>
      </c>
      <c r="D2106" s="22" t="inlineStr">
        <is>
          <t>S66</t>
        </is>
      </c>
      <c r="E2106" s="22" t="inlineStr">
        <is>
          <t>Nexa Wyoming (S66)</t>
        </is>
      </c>
      <c r="F2106" s="22" t="inlineStr">
        <is>
          <t>Mỹ</t>
        </is>
      </c>
      <c r="G2106" s="22" t="inlineStr">
        <is>
          <t>POS</t>
        </is>
      </c>
      <c r="H2106" s="31" t="n">
        <v>44755.31</v>
      </c>
      <c r="I2106" s="31" t="n">
        <v>2541.31</v>
      </c>
      <c r="J2106" s="31" t="n">
        <v>42214</v>
      </c>
      <c r="K2106" s="31" t="n">
        <v>1063.92</v>
      </c>
      <c r="L2106" s="32" t="n">
        <v>17</v>
      </c>
      <c r="M2106" s="32" t="n">
        <v>133</v>
      </c>
      <c r="N2106" s="31" t="n">
        <v>41150.08</v>
      </c>
      <c r="O2106" s="31" t="n">
        <v>42214</v>
      </c>
      <c r="P2106" s="22" t="n">
        <v>0</v>
      </c>
      <c r="Q2106" s="22" t="n">
        <v>0</v>
      </c>
      <c r="R2106" s="22" t="n">
        <v>0</v>
      </c>
    </row>
    <row r="2107">
      <c r="A2107" s="22" t="n">
        <v>201909</v>
      </c>
      <c r="B2107" s="22" t="inlineStr">
        <is>
          <t>09/2019</t>
        </is>
      </c>
      <c r="C2107" s="22" t="n">
        <v>0</v>
      </c>
      <c r="D2107" s="22" t="inlineStr">
        <is>
          <t>ONL</t>
        </is>
      </c>
      <c r="E2107" s="22" t="inlineStr">
        <is>
          <t>Nexa Online (website/app)</t>
        </is>
      </c>
      <c r="F2107" s="22" t="inlineStr">
        <is>
          <t>Online</t>
        </is>
      </c>
      <c r="G2107" s="22" t="inlineStr">
        <is>
          <t>ONLINE</t>
        </is>
      </c>
      <c r="H2107" s="31" t="n">
        <v>300805.47</v>
      </c>
      <c r="I2107" s="31" t="n">
        <v>15845.09</v>
      </c>
      <c r="J2107" s="31" t="n">
        <v>284960.38</v>
      </c>
      <c r="K2107" s="31" t="n">
        <v>3656.88</v>
      </c>
      <c r="L2107" s="32" t="n">
        <v>160</v>
      </c>
      <c r="M2107" s="32" t="n">
        <v>1230</v>
      </c>
      <c r="N2107" s="31" t="n">
        <v>314056.41</v>
      </c>
      <c r="O2107" s="31" t="n">
        <v>317713.29</v>
      </c>
      <c r="P2107" s="22" t="n">
        <v>8</v>
      </c>
      <c r="Q2107" s="22" t="n">
        <v>0</v>
      </c>
      <c r="R2107" s="22" t="n">
        <v>1</v>
      </c>
    </row>
    <row r="2108">
      <c r="A2108" s="22" t="n">
        <v>201909</v>
      </c>
      <c r="B2108" s="22" t="inlineStr">
        <is>
          <t>09/2019</t>
        </is>
      </c>
      <c r="C2108" s="22" t="n">
        <v>1</v>
      </c>
      <c r="D2108" s="22" t="inlineStr">
        <is>
          <t>S01</t>
        </is>
      </c>
      <c r="E2108" s="22" t="inlineStr">
        <is>
          <t>Nexa Australian Capital Territory (S01)</t>
        </is>
      </c>
      <c r="F2108" s="22" t="inlineStr">
        <is>
          <t>Úc</t>
        </is>
      </c>
      <c r="G2108" s="22" t="inlineStr">
        <is>
          <t>POS</t>
        </is>
      </c>
      <c r="H2108" s="31" t="n">
        <v>12022.57</v>
      </c>
      <c r="I2108" s="31" t="n">
        <v>0</v>
      </c>
      <c r="J2108" s="31" t="n">
        <v>12022.57</v>
      </c>
      <c r="K2108" s="31" t="n">
        <v>880</v>
      </c>
      <c r="L2108" s="32" t="n">
        <v>5</v>
      </c>
      <c r="M2108" s="32" t="n">
        <v>34</v>
      </c>
      <c r="N2108" s="31" t="n">
        <v>11142.57</v>
      </c>
      <c r="O2108" s="31" t="n">
        <v>12022.57</v>
      </c>
      <c r="P2108" s="22" t="n">
        <v>0</v>
      </c>
      <c r="Q2108" s="22" t="n">
        <v>0</v>
      </c>
      <c r="R2108" s="22" t="n">
        <v>0</v>
      </c>
    </row>
    <row r="2109">
      <c r="A2109" s="22" t="n">
        <v>201909</v>
      </c>
      <c r="B2109" s="22" t="inlineStr">
        <is>
          <t>09/2019</t>
        </is>
      </c>
      <c r="C2109" s="22" t="n">
        <v>4</v>
      </c>
      <c r="D2109" s="22" t="inlineStr">
        <is>
          <t>S04</t>
        </is>
      </c>
      <c r="E2109" s="22" t="inlineStr">
        <is>
          <t>Nexa Tasmania (S04)</t>
        </is>
      </c>
      <c r="F2109" s="22" t="inlineStr">
        <is>
          <t>Úc</t>
        </is>
      </c>
      <c r="G2109" s="22" t="inlineStr">
        <is>
          <t>POS</t>
        </is>
      </c>
      <c r="H2109" s="31" t="n">
        <v>23479.32</v>
      </c>
      <c r="I2109" s="31" t="n">
        <v>543.27</v>
      </c>
      <c r="J2109" s="31" t="n">
        <v>22936.05</v>
      </c>
      <c r="K2109" s="31" t="n">
        <v>449.91</v>
      </c>
      <c r="L2109" s="32" t="n">
        <v>9</v>
      </c>
      <c r="M2109" s="32" t="n">
        <v>59</v>
      </c>
      <c r="N2109" s="31" t="n">
        <v>22486.14</v>
      </c>
      <c r="O2109" s="31" t="n">
        <v>22936.05</v>
      </c>
      <c r="P2109" s="22" t="n">
        <v>0</v>
      </c>
      <c r="Q2109" s="22" t="n">
        <v>0</v>
      </c>
      <c r="R2109" s="22" t="n">
        <v>0</v>
      </c>
    </row>
    <row r="2110">
      <c r="A2110" s="22" t="n">
        <v>201909</v>
      </c>
      <c r="B2110" s="22" t="inlineStr">
        <is>
          <t>09/2019</t>
        </is>
      </c>
      <c r="C2110" s="22" t="n">
        <v>5</v>
      </c>
      <c r="D2110" s="22" t="inlineStr">
        <is>
          <t>S05</t>
        </is>
      </c>
      <c r="E2110" s="22" t="inlineStr">
        <is>
          <t>Nexa Victoria (S05)</t>
        </is>
      </c>
      <c r="F2110" s="22" t="inlineStr">
        <is>
          <t>Úc</t>
        </is>
      </c>
      <c r="G2110" s="22" t="inlineStr">
        <is>
          <t>POS</t>
        </is>
      </c>
      <c r="H2110" s="31" t="n">
        <v>26687.04</v>
      </c>
      <c r="I2110" s="31" t="n">
        <v>1348.36</v>
      </c>
      <c r="J2110" s="31" t="n">
        <v>25338.68</v>
      </c>
      <c r="K2110" s="31" t="n">
        <v>0</v>
      </c>
      <c r="L2110" s="32" t="n">
        <v>12</v>
      </c>
      <c r="M2110" s="32" t="n">
        <v>101</v>
      </c>
      <c r="N2110" s="31" t="n">
        <v>25338.68</v>
      </c>
      <c r="O2110" s="31" t="n">
        <v>25338.68</v>
      </c>
      <c r="P2110" s="22" t="n">
        <v>0</v>
      </c>
      <c r="Q2110" s="22" t="n">
        <v>0</v>
      </c>
      <c r="R2110" s="22" t="n">
        <v>0</v>
      </c>
    </row>
    <row r="2111">
      <c r="A2111" s="22" t="n">
        <v>201909</v>
      </c>
      <c r="B2111" s="22" t="inlineStr">
        <is>
          <t>09/2019</t>
        </is>
      </c>
      <c r="C2111" s="22" t="n">
        <v>6</v>
      </c>
      <c r="D2111" s="22" t="inlineStr">
        <is>
          <t>S06</t>
        </is>
      </c>
      <c r="E2111" s="22" t="inlineStr">
        <is>
          <t>Nexa Western Australia (S06)</t>
        </is>
      </c>
      <c r="F2111" s="22" t="inlineStr">
        <is>
          <t>Úc</t>
        </is>
      </c>
      <c r="G2111" s="22" t="inlineStr">
        <is>
          <t>POS</t>
        </is>
      </c>
      <c r="H2111" s="31" t="n">
        <v>4568.32</v>
      </c>
      <c r="I2111" s="31" t="n">
        <v>0</v>
      </c>
      <c r="J2111" s="31" t="n">
        <v>4568.32</v>
      </c>
      <c r="K2111" s="31" t="n">
        <v>0</v>
      </c>
      <c r="L2111" s="32" t="n">
        <v>5</v>
      </c>
      <c r="M2111" s="32" t="n">
        <v>42</v>
      </c>
      <c r="N2111" s="31" t="n">
        <v>4568.32</v>
      </c>
      <c r="O2111" s="31" t="n">
        <v>4568.32</v>
      </c>
      <c r="P2111" s="22" t="n">
        <v>0</v>
      </c>
      <c r="Q2111" s="22" t="n">
        <v>0</v>
      </c>
      <c r="R2111" s="22" t="n">
        <v>0</v>
      </c>
    </row>
    <row r="2112">
      <c r="A2112" s="22" t="n">
        <v>201909</v>
      </c>
      <c r="B2112" s="22" t="inlineStr">
        <is>
          <t>09/2019</t>
        </is>
      </c>
      <c r="C2112" s="22" t="n">
        <v>8</v>
      </c>
      <c r="D2112" s="22" t="inlineStr">
        <is>
          <t>S08</t>
        </is>
      </c>
      <c r="E2112" s="22" t="inlineStr">
        <is>
          <t>Nexa Newfoundland and Labrador (S08)</t>
        </is>
      </c>
      <c r="F2112" s="22" t="inlineStr">
        <is>
          <t>Canada</t>
        </is>
      </c>
      <c r="G2112" s="22" t="inlineStr">
        <is>
          <t>POS</t>
        </is>
      </c>
      <c r="H2112" s="31" t="n">
        <v>23250.47</v>
      </c>
      <c r="I2112" s="31" t="n">
        <v>1634.47</v>
      </c>
      <c r="J2112" s="31" t="n">
        <v>21616</v>
      </c>
      <c r="K2112" s="31" t="n">
        <v>37.5</v>
      </c>
      <c r="L2112" s="32" t="n">
        <v>12</v>
      </c>
      <c r="M2112" s="32" t="n">
        <v>73</v>
      </c>
      <c r="N2112" s="31" t="n">
        <v>21578.5</v>
      </c>
      <c r="O2112" s="31" t="n">
        <v>21616</v>
      </c>
      <c r="P2112" s="22" t="n">
        <v>0</v>
      </c>
      <c r="Q2112" s="22" t="n">
        <v>0</v>
      </c>
      <c r="R2112" s="22" t="n">
        <v>0</v>
      </c>
    </row>
    <row r="2113">
      <c r="A2113" s="22" t="n">
        <v>201909</v>
      </c>
      <c r="B2113" s="22" t="inlineStr">
        <is>
          <t>09/2019</t>
        </is>
      </c>
      <c r="C2113" s="22" t="n">
        <v>9</v>
      </c>
      <c r="D2113" s="22" t="inlineStr">
        <is>
          <t>S09</t>
        </is>
      </c>
      <c r="E2113" s="22" t="inlineStr">
        <is>
          <t>Nexa Northwest Territories (S09)</t>
        </is>
      </c>
      <c r="F2113" s="22" t="inlineStr">
        <is>
          <t>Canada</t>
        </is>
      </c>
      <c r="G2113" s="22" t="inlineStr">
        <is>
          <t>POS</t>
        </is>
      </c>
      <c r="H2113" s="31" t="n">
        <v>48013.99</v>
      </c>
      <c r="I2113" s="31" t="n">
        <v>1386.98</v>
      </c>
      <c r="J2113" s="31" t="n">
        <v>46627.01</v>
      </c>
      <c r="K2113" s="31" t="n">
        <v>1598.88</v>
      </c>
      <c r="L2113" s="32" t="n">
        <v>28</v>
      </c>
      <c r="M2113" s="32" t="n">
        <v>241</v>
      </c>
      <c r="N2113" s="31" t="n">
        <v>45028.13</v>
      </c>
      <c r="O2113" s="31" t="n">
        <v>46627.01</v>
      </c>
      <c r="P2113" s="22" t="n">
        <v>1</v>
      </c>
      <c r="Q2113" s="22" t="n">
        <v>0</v>
      </c>
      <c r="R2113" s="22" t="n">
        <v>0</v>
      </c>
    </row>
    <row r="2114">
      <c r="A2114" s="22" t="n">
        <v>201909</v>
      </c>
      <c r="B2114" s="22" t="inlineStr">
        <is>
          <t>09/2019</t>
        </is>
      </c>
      <c r="C2114" s="22" t="n">
        <v>10</v>
      </c>
      <c r="D2114" s="22" t="inlineStr">
        <is>
          <t>S10</t>
        </is>
      </c>
      <c r="E2114" s="22" t="inlineStr">
        <is>
          <t>Nexa Nunavut (S10)</t>
        </is>
      </c>
      <c r="F2114" s="22" t="inlineStr">
        <is>
          <t>Canada</t>
        </is>
      </c>
      <c r="G2114" s="22" t="inlineStr">
        <is>
          <t>POS</t>
        </is>
      </c>
      <c r="H2114" s="31" t="n">
        <v>20396.35</v>
      </c>
      <c r="I2114" s="31" t="n">
        <v>1081.83</v>
      </c>
      <c r="J2114" s="31" t="n">
        <v>19314.52</v>
      </c>
      <c r="K2114" s="31" t="n">
        <v>367.06</v>
      </c>
      <c r="L2114" s="32" t="n">
        <v>13</v>
      </c>
      <c r="M2114" s="32" t="n">
        <v>90</v>
      </c>
      <c r="N2114" s="31" t="n">
        <v>18947.46</v>
      </c>
      <c r="O2114" s="31" t="n">
        <v>19314.52</v>
      </c>
      <c r="P2114" s="22" t="n">
        <v>0</v>
      </c>
      <c r="Q2114" s="22" t="n">
        <v>0</v>
      </c>
      <c r="R2114" s="22" t="n">
        <v>0</v>
      </c>
    </row>
    <row r="2115">
      <c r="A2115" s="22" t="n">
        <v>201909</v>
      </c>
      <c r="B2115" s="22" t="inlineStr">
        <is>
          <t>09/2019</t>
        </is>
      </c>
      <c r="C2115" s="22" t="n">
        <v>12</v>
      </c>
      <c r="D2115" s="22" t="inlineStr">
        <is>
          <t>S12</t>
        </is>
      </c>
      <c r="E2115" s="22" t="inlineStr">
        <is>
          <t>Nexa Basse-Normandie (S12)</t>
        </is>
      </c>
      <c r="F2115" s="22" t="inlineStr">
        <is>
          <t>Pháp</t>
        </is>
      </c>
      <c r="G2115" s="22" t="inlineStr">
        <is>
          <t>POS</t>
        </is>
      </c>
      <c r="H2115" s="31" t="n">
        <v>3153.68</v>
      </c>
      <c r="I2115" s="31" t="n">
        <v>255.89</v>
      </c>
      <c r="J2115" s="31" t="n">
        <v>2897.79</v>
      </c>
      <c r="K2115" s="31" t="n">
        <v>0</v>
      </c>
      <c r="L2115" s="32" t="n">
        <v>4</v>
      </c>
      <c r="M2115" s="32" t="n">
        <v>18</v>
      </c>
      <c r="N2115" s="31" t="n">
        <v>2897.79</v>
      </c>
      <c r="O2115" s="31" t="n">
        <v>2897.79</v>
      </c>
      <c r="P2115" s="22" t="n">
        <v>0</v>
      </c>
      <c r="Q2115" s="22" t="n">
        <v>0</v>
      </c>
      <c r="R2115" s="22" t="n">
        <v>0</v>
      </c>
    </row>
    <row r="2116">
      <c r="A2116" s="22" t="n">
        <v>201909</v>
      </c>
      <c r="B2116" s="22" t="inlineStr">
        <is>
          <t>09/2019</t>
        </is>
      </c>
      <c r="C2116" s="22" t="n">
        <v>14</v>
      </c>
      <c r="D2116" s="22" t="inlineStr">
        <is>
          <t>S14</t>
        </is>
      </c>
      <c r="E2116" s="22" t="inlineStr">
        <is>
          <t>Nexa Franche-Comté (S14)</t>
        </is>
      </c>
      <c r="F2116" s="22" t="inlineStr">
        <is>
          <t>Pháp</t>
        </is>
      </c>
      <c r="G2116" s="22" t="inlineStr">
        <is>
          <t>POS</t>
        </is>
      </c>
      <c r="H2116" s="31" t="n">
        <v>1065.99</v>
      </c>
      <c r="I2116" s="31" t="n">
        <v>0</v>
      </c>
      <c r="J2116" s="31" t="n">
        <v>1065.99</v>
      </c>
      <c r="K2116" s="31" t="n">
        <v>0</v>
      </c>
      <c r="L2116" s="32" t="n">
        <v>1</v>
      </c>
      <c r="M2116" s="32" t="n">
        <v>10</v>
      </c>
      <c r="N2116" s="31" t="n">
        <v>1065.99</v>
      </c>
      <c r="O2116" s="31" t="n">
        <v>1065.99</v>
      </c>
      <c r="P2116" s="22" t="n">
        <v>0</v>
      </c>
      <c r="Q2116" s="22" t="n">
        <v>0</v>
      </c>
      <c r="R2116" s="22" t="n">
        <v>0</v>
      </c>
    </row>
    <row r="2117">
      <c r="A2117" s="22" t="n">
        <v>201909</v>
      </c>
      <c r="B2117" s="22" t="inlineStr">
        <is>
          <t>09/2019</t>
        </is>
      </c>
      <c r="C2117" s="22" t="n">
        <v>15</v>
      </c>
      <c r="D2117" s="22" t="inlineStr">
        <is>
          <t>S15</t>
        </is>
      </c>
      <c r="E2117" s="22" t="inlineStr">
        <is>
          <t>Nexa La Réunion (S15)</t>
        </is>
      </c>
      <c r="F2117" s="22" t="inlineStr">
        <is>
          <t>Pháp</t>
        </is>
      </c>
      <c r="G2117" s="22" t="inlineStr">
        <is>
          <t>POS</t>
        </is>
      </c>
      <c r="H2117" s="31" t="n">
        <v>722.1799999999999</v>
      </c>
      <c r="I2117" s="31" t="n">
        <v>0</v>
      </c>
      <c r="J2117" s="31" t="n">
        <v>722.1799999999999</v>
      </c>
      <c r="K2117" s="31" t="n">
        <v>0</v>
      </c>
      <c r="L2117" s="32" t="n">
        <v>1</v>
      </c>
      <c r="M2117" s="32" t="n">
        <v>14</v>
      </c>
      <c r="N2117" s="31" t="n">
        <v>722.1799999999999</v>
      </c>
      <c r="O2117" s="31" t="n">
        <v>722.1799999999999</v>
      </c>
      <c r="P2117" s="22" t="n">
        <v>0</v>
      </c>
      <c r="Q2117" s="22" t="n">
        <v>0</v>
      </c>
      <c r="R2117" s="22" t="n">
        <v>0</v>
      </c>
    </row>
    <row r="2118">
      <c r="A2118" s="22" t="n">
        <v>201909</v>
      </c>
      <c r="B2118" s="22" t="inlineStr">
        <is>
          <t>09/2019</t>
        </is>
      </c>
      <c r="C2118" s="22" t="n">
        <v>16</v>
      </c>
      <c r="D2118" s="22" t="inlineStr">
        <is>
          <t>S16</t>
        </is>
      </c>
      <c r="E2118" s="22" t="inlineStr">
        <is>
          <t>Nexa Limousin (S16)</t>
        </is>
      </c>
      <c r="F2118" s="22" t="inlineStr">
        <is>
          <t>Pháp</t>
        </is>
      </c>
      <c r="G2118" s="22" t="inlineStr">
        <is>
          <t>POS</t>
        </is>
      </c>
      <c r="H2118" s="31" t="n">
        <v>749.8</v>
      </c>
      <c r="I2118" s="31" t="n">
        <v>0</v>
      </c>
      <c r="J2118" s="31" t="n">
        <v>749.8</v>
      </c>
      <c r="K2118" s="31" t="n">
        <v>0</v>
      </c>
      <c r="L2118" s="32" t="n">
        <v>1</v>
      </c>
      <c r="M2118" s="32" t="n">
        <v>3</v>
      </c>
      <c r="N2118" s="31" t="n">
        <v>749.8</v>
      </c>
      <c r="O2118" s="31" t="n">
        <v>749.8</v>
      </c>
      <c r="P2118" s="22" t="n">
        <v>1</v>
      </c>
      <c r="Q2118" s="22" t="n">
        <v>0</v>
      </c>
      <c r="R2118" s="22" t="n">
        <v>0</v>
      </c>
    </row>
    <row r="2119">
      <c r="A2119" s="22" t="n">
        <v>201909</v>
      </c>
      <c r="B2119" s="22" t="inlineStr">
        <is>
          <t>09/2019</t>
        </is>
      </c>
      <c r="C2119" s="22" t="n">
        <v>17</v>
      </c>
      <c r="D2119" s="22" t="inlineStr">
        <is>
          <t>S17</t>
        </is>
      </c>
      <c r="E2119" s="22" t="inlineStr">
        <is>
          <t>Nexa Martinique (S17)</t>
        </is>
      </c>
      <c r="F2119" s="22" t="inlineStr">
        <is>
          <t>Pháp</t>
        </is>
      </c>
      <c r="G2119" s="22" t="inlineStr">
        <is>
          <t>POS</t>
        </is>
      </c>
      <c r="H2119" s="31" t="n">
        <v>5292.81</v>
      </c>
      <c r="I2119" s="31" t="n">
        <v>0</v>
      </c>
      <c r="J2119" s="31" t="n">
        <v>5292.81</v>
      </c>
      <c r="K2119" s="31" t="n">
        <v>0</v>
      </c>
      <c r="L2119" s="32" t="n">
        <v>3</v>
      </c>
      <c r="M2119" s="32" t="n">
        <v>28</v>
      </c>
      <c r="N2119" s="31" t="n">
        <v>5292.81</v>
      </c>
      <c r="O2119" s="31" t="n">
        <v>5292.81</v>
      </c>
      <c r="P2119" s="22" t="n">
        <v>0</v>
      </c>
      <c r="Q2119" s="22" t="n">
        <v>0</v>
      </c>
      <c r="R2119" s="22" t="n">
        <v>0</v>
      </c>
    </row>
    <row r="2120">
      <c r="A2120" s="22" t="n">
        <v>201909</v>
      </c>
      <c r="B2120" s="22" t="inlineStr">
        <is>
          <t>09/2019</t>
        </is>
      </c>
      <c r="C2120" s="22" t="n">
        <v>18</v>
      </c>
      <c r="D2120" s="22" t="inlineStr">
        <is>
          <t>S18</t>
        </is>
      </c>
      <c r="E2120" s="22" t="inlineStr">
        <is>
          <t>Nexa Mayotte (S18)</t>
        </is>
      </c>
      <c r="F2120" s="22" t="inlineStr">
        <is>
          <t>Pháp</t>
        </is>
      </c>
      <c r="G2120" s="22" t="inlineStr">
        <is>
          <t>POS</t>
        </is>
      </c>
      <c r="H2120" s="31" t="n">
        <v>7517.85</v>
      </c>
      <c r="I2120" s="31" t="n">
        <v>0</v>
      </c>
      <c r="J2120" s="31" t="n">
        <v>7517.85</v>
      </c>
      <c r="K2120" s="31" t="n">
        <v>0</v>
      </c>
      <c r="L2120" s="32" t="n">
        <v>1</v>
      </c>
      <c r="M2120" s="32" t="n">
        <v>12</v>
      </c>
      <c r="N2120" s="31" t="n">
        <v>7517.85</v>
      </c>
      <c r="O2120" s="31" t="n">
        <v>7517.85</v>
      </c>
      <c r="P2120" s="22" t="n">
        <v>0</v>
      </c>
      <c r="Q2120" s="22" t="n">
        <v>0</v>
      </c>
      <c r="R2120" s="22" t="n">
        <v>0</v>
      </c>
    </row>
    <row r="2121">
      <c r="A2121" s="22" t="n">
        <v>201909</v>
      </c>
      <c r="B2121" s="22" t="inlineStr">
        <is>
          <t>09/2019</t>
        </is>
      </c>
      <c r="C2121" s="22" t="n">
        <v>19</v>
      </c>
      <c r="D2121" s="22" t="inlineStr">
        <is>
          <t>S19</t>
        </is>
      </c>
      <c r="E2121" s="22" t="inlineStr">
        <is>
          <t>Nexa Berlin (S19)</t>
        </is>
      </c>
      <c r="F2121" s="22" t="inlineStr">
        <is>
          <t>Đức</t>
        </is>
      </c>
      <c r="G2121" s="22" t="inlineStr">
        <is>
          <t>POS</t>
        </is>
      </c>
      <c r="H2121" s="31" t="n">
        <v>9573.51</v>
      </c>
      <c r="I2121" s="31" t="n">
        <v>420.73</v>
      </c>
      <c r="J2121" s="31" t="n">
        <v>9152.780000000001</v>
      </c>
      <c r="K2121" s="31" t="n">
        <v>0</v>
      </c>
      <c r="L2121" s="32" t="n">
        <v>8</v>
      </c>
      <c r="M2121" s="32" t="n">
        <v>52</v>
      </c>
      <c r="N2121" s="31" t="n">
        <v>9152.780000000001</v>
      </c>
      <c r="O2121" s="31" t="n">
        <v>9152.780000000001</v>
      </c>
      <c r="P2121" s="22" t="n">
        <v>0</v>
      </c>
      <c r="Q2121" s="22" t="n">
        <v>0</v>
      </c>
      <c r="R2121" s="22" t="n">
        <v>0</v>
      </c>
    </row>
    <row r="2122">
      <c r="A2122" s="22" t="n">
        <v>201909</v>
      </c>
      <c r="B2122" s="22" t="inlineStr">
        <is>
          <t>09/2019</t>
        </is>
      </c>
      <c r="C2122" s="22" t="n">
        <v>21</v>
      </c>
      <c r="D2122" s="22" t="inlineStr">
        <is>
          <t>S21</t>
        </is>
      </c>
      <c r="E2122" s="22" t="inlineStr">
        <is>
          <t>Nexa Freie Hansestadt Bremen (S21)</t>
        </is>
      </c>
      <c r="F2122" s="22" t="inlineStr">
        <is>
          <t>Đức</t>
        </is>
      </c>
      <c r="G2122" s="22" t="inlineStr">
        <is>
          <t>POS</t>
        </is>
      </c>
      <c r="H2122" s="31" t="n">
        <v>11323.3</v>
      </c>
      <c r="I2122" s="31" t="n">
        <v>0</v>
      </c>
      <c r="J2122" s="31" t="n">
        <v>11323.3</v>
      </c>
      <c r="K2122" s="31" t="n">
        <v>0</v>
      </c>
      <c r="L2122" s="32" t="n">
        <v>6</v>
      </c>
      <c r="M2122" s="32" t="n">
        <v>56</v>
      </c>
      <c r="N2122" s="31" t="n">
        <v>11323.3</v>
      </c>
      <c r="O2122" s="31" t="n">
        <v>11323.3</v>
      </c>
      <c r="P2122" s="22" t="n">
        <v>1</v>
      </c>
      <c r="Q2122" s="22" t="n">
        <v>0</v>
      </c>
      <c r="R2122" s="22" t="n">
        <v>0</v>
      </c>
    </row>
    <row r="2123">
      <c r="A2123" s="22" t="n">
        <v>201909</v>
      </c>
      <c r="B2123" s="22" t="inlineStr">
        <is>
          <t>09/2019</t>
        </is>
      </c>
      <c r="C2123" s="22" t="n">
        <v>22</v>
      </c>
      <c r="D2123" s="22" t="inlineStr">
        <is>
          <t>S22</t>
        </is>
      </c>
      <c r="E2123" s="22" t="inlineStr">
        <is>
          <t>Nexa Freistaat Thüringen (S22)</t>
        </is>
      </c>
      <c r="F2123" s="22" t="inlineStr">
        <is>
          <t>Đức</t>
        </is>
      </c>
      <c r="G2123" s="22" t="inlineStr">
        <is>
          <t>POS</t>
        </is>
      </c>
      <c r="H2123" s="31" t="n">
        <v>24623.63</v>
      </c>
      <c r="I2123" s="31" t="n">
        <v>480.21</v>
      </c>
      <c r="J2123" s="31" t="n">
        <v>24143.42</v>
      </c>
      <c r="K2123" s="31" t="n">
        <v>1632.15</v>
      </c>
      <c r="L2123" s="32" t="n">
        <v>14</v>
      </c>
      <c r="M2123" s="32" t="n">
        <v>98</v>
      </c>
      <c r="N2123" s="31" t="n">
        <v>22511.27</v>
      </c>
      <c r="O2123" s="31" t="n">
        <v>24143.42</v>
      </c>
      <c r="P2123" s="22" t="n">
        <v>0</v>
      </c>
      <c r="Q2123" s="22" t="n">
        <v>0</v>
      </c>
      <c r="R2123" s="22" t="n">
        <v>0</v>
      </c>
    </row>
    <row r="2124">
      <c r="A2124" s="22" t="n">
        <v>201909</v>
      </c>
      <c r="B2124" s="22" t="inlineStr">
        <is>
          <t>09/2019</t>
        </is>
      </c>
      <c r="C2124" s="22" t="n">
        <v>23</v>
      </c>
      <c r="D2124" s="22" t="inlineStr">
        <is>
          <t>S23</t>
        </is>
      </c>
      <c r="E2124" s="22" t="inlineStr">
        <is>
          <t>Nexa Hamburg (S23)</t>
        </is>
      </c>
      <c r="F2124" s="22" t="inlineStr">
        <is>
          <t>Đức</t>
        </is>
      </c>
      <c r="G2124" s="22" t="inlineStr">
        <is>
          <t>POS</t>
        </is>
      </c>
      <c r="H2124" s="31" t="n">
        <v>17395.04</v>
      </c>
      <c r="I2124" s="31" t="n">
        <v>278.88</v>
      </c>
      <c r="J2124" s="31" t="n">
        <v>17116.16</v>
      </c>
      <c r="K2124" s="31" t="n">
        <v>159.63</v>
      </c>
      <c r="L2124" s="32" t="n">
        <v>7</v>
      </c>
      <c r="M2124" s="32" t="n">
        <v>70</v>
      </c>
      <c r="N2124" s="31" t="n">
        <v>16960.18</v>
      </c>
      <c r="O2124" s="31" t="n">
        <v>17116.16</v>
      </c>
      <c r="P2124" s="22" t="n">
        <v>0</v>
      </c>
      <c r="Q2124" s="22" t="n">
        <v>0</v>
      </c>
      <c r="R2124" s="22" t="n">
        <v>0</v>
      </c>
    </row>
    <row r="2125">
      <c r="A2125" s="22" t="n">
        <v>201909</v>
      </c>
      <c r="B2125" s="22" t="inlineStr">
        <is>
          <t>09/2019</t>
        </is>
      </c>
      <c r="C2125" s="22" t="n">
        <v>24</v>
      </c>
      <c r="D2125" s="22" t="inlineStr">
        <is>
          <t>S24</t>
        </is>
      </c>
      <c r="E2125" s="22" t="inlineStr">
        <is>
          <t>Nexa Hessen (S24)</t>
        </is>
      </c>
      <c r="F2125" s="22" t="inlineStr">
        <is>
          <t>Đức</t>
        </is>
      </c>
      <c r="G2125" s="22" t="inlineStr">
        <is>
          <t>POS</t>
        </is>
      </c>
      <c r="H2125" s="31" t="n">
        <v>8820.860000000001</v>
      </c>
      <c r="I2125" s="31" t="n">
        <v>0</v>
      </c>
      <c r="J2125" s="31" t="n">
        <v>8820.860000000001</v>
      </c>
      <c r="K2125" s="31" t="n">
        <v>0</v>
      </c>
      <c r="L2125" s="32" t="n">
        <v>3</v>
      </c>
      <c r="M2125" s="32" t="n">
        <v>30</v>
      </c>
      <c r="N2125" s="31" t="n">
        <v>8820.860000000001</v>
      </c>
      <c r="O2125" s="31" t="n">
        <v>8820.860000000001</v>
      </c>
      <c r="P2125" s="22" t="n">
        <v>1</v>
      </c>
      <c r="Q2125" s="22" t="n">
        <v>0</v>
      </c>
      <c r="R2125" s="22" t="n">
        <v>0</v>
      </c>
    </row>
    <row r="2126">
      <c r="A2126" s="22" t="n">
        <v>201909</v>
      </c>
      <c r="B2126" s="22" t="inlineStr">
        <is>
          <t>09/2019</t>
        </is>
      </c>
      <c r="C2126" s="22" t="n">
        <v>26</v>
      </c>
      <c r="D2126" s="22" t="inlineStr">
        <is>
          <t>S26</t>
        </is>
      </c>
      <c r="E2126" s="22" t="inlineStr">
        <is>
          <t>Nexa Saarland (S26)</t>
        </is>
      </c>
      <c r="F2126" s="22" t="inlineStr">
        <is>
          <t>Đức</t>
        </is>
      </c>
      <c r="G2126" s="22" t="inlineStr">
        <is>
          <t>POS</t>
        </is>
      </c>
      <c r="H2126" s="31" t="n">
        <v>17852.59</v>
      </c>
      <c r="I2126" s="31" t="n">
        <v>1613.05</v>
      </c>
      <c r="J2126" s="31" t="n">
        <v>16239.54</v>
      </c>
      <c r="K2126" s="31" t="n">
        <v>252</v>
      </c>
      <c r="L2126" s="32" t="n">
        <v>6</v>
      </c>
      <c r="M2126" s="32" t="n">
        <v>34</v>
      </c>
      <c r="N2126" s="31" t="n">
        <v>15987.54</v>
      </c>
      <c r="O2126" s="31" t="n">
        <v>16239.54</v>
      </c>
      <c r="P2126" s="22" t="n">
        <v>0</v>
      </c>
      <c r="Q2126" s="22" t="n">
        <v>0</v>
      </c>
      <c r="R2126" s="22" t="n">
        <v>0</v>
      </c>
    </row>
    <row r="2127">
      <c r="A2127" s="22" t="n">
        <v>201909</v>
      </c>
      <c r="B2127" s="22" t="inlineStr">
        <is>
          <t>09/2019</t>
        </is>
      </c>
      <c r="C2127" s="22" t="n">
        <v>27</v>
      </c>
      <c r="D2127" s="22" t="inlineStr">
        <is>
          <t>S27</t>
        </is>
      </c>
      <c r="E2127" s="22" t="inlineStr">
        <is>
          <t>Nexa Sachsen-Anhalt (S27)</t>
        </is>
      </c>
      <c r="F2127" s="22" t="inlineStr">
        <is>
          <t>Đức</t>
        </is>
      </c>
      <c r="G2127" s="22" t="inlineStr">
        <is>
          <t>POS</t>
        </is>
      </c>
      <c r="H2127" s="31" t="n">
        <v>8198.07</v>
      </c>
      <c r="I2127" s="31" t="n">
        <v>27.7</v>
      </c>
      <c r="J2127" s="31" t="n">
        <v>8170.37</v>
      </c>
      <c r="K2127" s="31" t="n">
        <v>0</v>
      </c>
      <c r="L2127" s="32" t="n">
        <v>5</v>
      </c>
      <c r="M2127" s="32" t="n">
        <v>32</v>
      </c>
      <c r="N2127" s="31" t="n">
        <v>8170.37</v>
      </c>
      <c r="O2127" s="31" t="n">
        <v>8170.37</v>
      </c>
      <c r="P2127" s="22" t="n">
        <v>0</v>
      </c>
      <c r="Q2127" s="22" t="n">
        <v>0</v>
      </c>
      <c r="R2127" s="22" t="n">
        <v>0</v>
      </c>
    </row>
    <row r="2128">
      <c r="A2128" s="22" t="n">
        <v>201909</v>
      </c>
      <c r="B2128" s="22" t="inlineStr">
        <is>
          <t>09/2019</t>
        </is>
      </c>
      <c r="C2128" s="22" t="n">
        <v>29</v>
      </c>
      <c r="D2128" s="22" t="inlineStr">
        <is>
          <t>S29</t>
        </is>
      </c>
      <c r="E2128" s="22" t="inlineStr">
        <is>
          <t>Nexa Enna (S29)</t>
        </is>
      </c>
      <c r="F2128" s="22" t="inlineStr">
        <is>
          <t>Ý</t>
        </is>
      </c>
      <c r="G2128" s="22" t="inlineStr">
        <is>
          <t>POS</t>
        </is>
      </c>
      <c r="H2128" s="31" t="n">
        <v>20667.99</v>
      </c>
      <c r="I2128" s="31" t="n">
        <v>378.25</v>
      </c>
      <c r="J2128" s="31" t="n">
        <v>20289.74</v>
      </c>
      <c r="K2128" s="31" t="n">
        <v>363.1</v>
      </c>
      <c r="L2128" s="32" t="n">
        <v>12</v>
      </c>
      <c r="M2128" s="32" t="n">
        <v>81</v>
      </c>
      <c r="N2128" s="31" t="n">
        <v>19926.64</v>
      </c>
      <c r="O2128" s="31" t="n">
        <v>20289.74</v>
      </c>
      <c r="P2128" s="22" t="n">
        <v>1</v>
      </c>
      <c r="Q2128" s="22" t="n">
        <v>0</v>
      </c>
      <c r="R2128" s="22" t="n">
        <v>0</v>
      </c>
    </row>
    <row r="2129">
      <c r="A2129" s="22" t="n">
        <v>201909</v>
      </c>
      <c r="B2129" s="22" t="inlineStr">
        <is>
          <t>09/2019</t>
        </is>
      </c>
      <c r="C2129" s="22" t="n">
        <v>30</v>
      </c>
      <c r="D2129" s="22" t="inlineStr">
        <is>
          <t>S30</t>
        </is>
      </c>
      <c r="E2129" s="22" t="inlineStr">
        <is>
          <t>Nexa Pesaro (S30)</t>
        </is>
      </c>
      <c r="F2129" s="22" t="inlineStr">
        <is>
          <t>Ý</t>
        </is>
      </c>
      <c r="G2129" s="22" t="inlineStr">
        <is>
          <t>POS</t>
        </is>
      </c>
      <c r="H2129" s="31" t="n">
        <v>31315.6</v>
      </c>
      <c r="I2129" s="31" t="n">
        <v>249.01</v>
      </c>
      <c r="J2129" s="31" t="n">
        <v>31066.59</v>
      </c>
      <c r="K2129" s="31" t="n">
        <v>2408.14</v>
      </c>
      <c r="L2129" s="32" t="n">
        <v>12</v>
      </c>
      <c r="M2129" s="32" t="n">
        <v>161</v>
      </c>
      <c r="N2129" s="31" t="n">
        <v>28658.45</v>
      </c>
      <c r="O2129" s="31" t="n">
        <v>31066.59</v>
      </c>
      <c r="P2129" s="22" t="n">
        <v>0</v>
      </c>
      <c r="Q2129" s="22" t="n">
        <v>0</v>
      </c>
      <c r="R2129" s="22" t="n">
        <v>0</v>
      </c>
    </row>
    <row r="2130">
      <c r="A2130" s="22" t="n">
        <v>201909</v>
      </c>
      <c r="B2130" s="22" t="inlineStr">
        <is>
          <t>09/2019</t>
        </is>
      </c>
      <c r="C2130" s="22" t="n">
        <v>31</v>
      </c>
      <c r="D2130" s="22" t="inlineStr">
        <is>
          <t>S31</t>
        </is>
      </c>
      <c r="E2130" s="22" t="inlineStr">
        <is>
          <t>Nexa Drenthe (S31)</t>
        </is>
      </c>
      <c r="F2130" s="22" t="inlineStr">
        <is>
          <t>Hà Lan</t>
        </is>
      </c>
      <c r="G2130" s="22" t="inlineStr">
        <is>
          <t>POS</t>
        </is>
      </c>
      <c r="H2130" s="31" t="n">
        <v>4995.78</v>
      </c>
      <c r="I2130" s="31" t="n">
        <v>82.09999999999999</v>
      </c>
      <c r="J2130" s="31" t="n">
        <v>4913.68</v>
      </c>
      <c r="K2130" s="31" t="n">
        <v>0</v>
      </c>
      <c r="L2130" s="32" t="n">
        <v>5</v>
      </c>
      <c r="M2130" s="32" t="n">
        <v>26</v>
      </c>
      <c r="N2130" s="31" t="n">
        <v>4913.68</v>
      </c>
      <c r="O2130" s="31" t="n">
        <v>4913.68</v>
      </c>
      <c r="P2130" s="22" t="n">
        <v>0</v>
      </c>
      <c r="Q2130" s="22" t="n">
        <v>0</v>
      </c>
      <c r="R2130" s="22" t="n">
        <v>0</v>
      </c>
    </row>
    <row r="2131">
      <c r="A2131" s="22" t="n">
        <v>201909</v>
      </c>
      <c r="B2131" s="22" t="inlineStr">
        <is>
          <t>09/2019</t>
        </is>
      </c>
      <c r="C2131" s="22" t="n">
        <v>32</v>
      </c>
      <c r="D2131" s="22" t="inlineStr">
        <is>
          <t>S32</t>
        </is>
      </c>
      <c r="E2131" s="22" t="inlineStr">
        <is>
          <t>Nexa Flevoland (S32)</t>
        </is>
      </c>
      <c r="F2131" s="22" t="inlineStr">
        <is>
          <t>Hà Lan</t>
        </is>
      </c>
      <c r="G2131" s="22" t="inlineStr">
        <is>
          <t>POS</t>
        </is>
      </c>
      <c r="H2131" s="31" t="n">
        <v>1512.07</v>
      </c>
      <c r="I2131" s="31" t="n">
        <v>0</v>
      </c>
      <c r="J2131" s="31" t="n">
        <v>1512.07</v>
      </c>
      <c r="K2131" s="31" t="n">
        <v>0</v>
      </c>
      <c r="L2131" s="32" t="n">
        <v>4</v>
      </c>
      <c r="M2131" s="32" t="n">
        <v>21</v>
      </c>
      <c r="N2131" s="31" t="n">
        <v>1512.07</v>
      </c>
      <c r="O2131" s="31" t="n">
        <v>1512.07</v>
      </c>
      <c r="P2131" s="22" t="n">
        <v>0</v>
      </c>
      <c r="Q2131" s="22" t="n">
        <v>0</v>
      </c>
      <c r="R2131" s="22" t="n">
        <v>0</v>
      </c>
    </row>
    <row r="2132">
      <c r="A2132" s="22" t="n">
        <v>201909</v>
      </c>
      <c r="B2132" s="22" t="inlineStr">
        <is>
          <t>09/2019</t>
        </is>
      </c>
      <c r="C2132" s="22" t="n">
        <v>33</v>
      </c>
      <c r="D2132" s="22" t="inlineStr">
        <is>
          <t>S33</t>
        </is>
      </c>
      <c r="E2132" s="22" t="inlineStr">
        <is>
          <t>Nexa Friesland (S33)</t>
        </is>
      </c>
      <c r="F2132" s="22" t="inlineStr">
        <is>
          <t>Hà Lan</t>
        </is>
      </c>
      <c r="G2132" s="22" t="inlineStr">
        <is>
          <t>POS</t>
        </is>
      </c>
      <c r="H2132" s="31" t="n">
        <v>8777.870000000001</v>
      </c>
      <c r="I2132" s="31" t="n">
        <v>246.23</v>
      </c>
      <c r="J2132" s="31" t="n">
        <v>8531.639999999999</v>
      </c>
      <c r="K2132" s="31" t="n">
        <v>0</v>
      </c>
      <c r="L2132" s="32" t="n">
        <v>8</v>
      </c>
      <c r="M2132" s="32" t="n">
        <v>55</v>
      </c>
      <c r="N2132" s="31" t="n">
        <v>8531.639999999999</v>
      </c>
      <c r="O2132" s="31" t="n">
        <v>8531.639999999999</v>
      </c>
      <c r="P2132" s="22" t="n">
        <v>1</v>
      </c>
      <c r="Q2132" s="22" t="n">
        <v>0</v>
      </c>
      <c r="R2132" s="22" t="n">
        <v>0</v>
      </c>
    </row>
    <row r="2133">
      <c r="A2133" s="22" t="n">
        <v>201909</v>
      </c>
      <c r="B2133" s="22" t="inlineStr">
        <is>
          <t>09/2019</t>
        </is>
      </c>
      <c r="C2133" s="22" t="n">
        <v>34</v>
      </c>
      <c r="D2133" s="22" t="inlineStr">
        <is>
          <t>S34</t>
        </is>
      </c>
      <c r="E2133" s="22" t="inlineStr">
        <is>
          <t>Nexa Groningen (S34)</t>
        </is>
      </c>
      <c r="F2133" s="22" t="inlineStr">
        <is>
          <t>Hà Lan</t>
        </is>
      </c>
      <c r="G2133" s="22" t="inlineStr">
        <is>
          <t>POS</t>
        </is>
      </c>
      <c r="H2133" s="31" t="n">
        <v>5288.36</v>
      </c>
      <c r="I2133" s="31" t="n">
        <v>0</v>
      </c>
      <c r="J2133" s="31" t="n">
        <v>5288.36</v>
      </c>
      <c r="K2133" s="31" t="n">
        <v>0</v>
      </c>
      <c r="L2133" s="32" t="n">
        <v>6</v>
      </c>
      <c r="M2133" s="32" t="n">
        <v>54</v>
      </c>
      <c r="N2133" s="31" t="n">
        <v>5288.36</v>
      </c>
      <c r="O2133" s="31" t="n">
        <v>5288.36</v>
      </c>
      <c r="P2133" s="22" t="n">
        <v>0</v>
      </c>
      <c r="Q2133" s="22" t="n">
        <v>0</v>
      </c>
      <c r="R2133" s="22" t="n">
        <v>0</v>
      </c>
    </row>
    <row r="2134">
      <c r="A2134" s="22" t="n">
        <v>201909</v>
      </c>
      <c r="B2134" s="22" t="inlineStr">
        <is>
          <t>09/2019</t>
        </is>
      </c>
      <c r="C2134" s="22" t="n">
        <v>36</v>
      </c>
      <c r="D2134" s="22" t="inlineStr">
        <is>
          <t>S36</t>
        </is>
      </c>
      <c r="E2134" s="22" t="inlineStr">
        <is>
          <t>Nexa Armagh (S36)</t>
        </is>
      </c>
      <c r="F2134" s="22" t="inlineStr">
        <is>
          <t>Anh</t>
        </is>
      </c>
      <c r="G2134" s="22" t="inlineStr">
        <is>
          <t>POS</t>
        </is>
      </c>
      <c r="H2134" s="31" t="n">
        <v>18964.77</v>
      </c>
      <c r="I2134" s="31" t="n">
        <v>339.5</v>
      </c>
      <c r="J2134" s="31" t="n">
        <v>18625.27</v>
      </c>
      <c r="K2134" s="31" t="n">
        <v>0</v>
      </c>
      <c r="L2134" s="32" t="n">
        <v>13</v>
      </c>
      <c r="M2134" s="32" t="n">
        <v>104</v>
      </c>
      <c r="N2134" s="31" t="n">
        <v>18625.27</v>
      </c>
      <c r="O2134" s="31" t="n">
        <v>18625.27</v>
      </c>
      <c r="P2134" s="22" t="n">
        <v>0</v>
      </c>
      <c r="Q2134" s="22" t="n">
        <v>0</v>
      </c>
      <c r="R2134" s="22" t="n">
        <v>0</v>
      </c>
    </row>
    <row r="2135">
      <c r="A2135" s="22" t="n">
        <v>201909</v>
      </c>
      <c r="B2135" s="22" t="inlineStr">
        <is>
          <t>09/2019</t>
        </is>
      </c>
      <c r="C2135" s="22" t="n">
        <v>37</v>
      </c>
      <c r="D2135" s="22" t="inlineStr">
        <is>
          <t>S37</t>
        </is>
      </c>
      <c r="E2135" s="22" t="inlineStr">
        <is>
          <t>Nexa Ayrshire (S37)</t>
        </is>
      </c>
      <c r="F2135" s="22" t="inlineStr">
        <is>
          <t>Anh</t>
        </is>
      </c>
      <c r="G2135" s="22" t="inlineStr">
        <is>
          <t>POS</t>
        </is>
      </c>
      <c r="H2135" s="31" t="n">
        <v>17918.27</v>
      </c>
      <c r="I2135" s="31" t="n">
        <v>127.2</v>
      </c>
      <c r="J2135" s="31" t="n">
        <v>17791.07</v>
      </c>
      <c r="K2135" s="31" t="n">
        <v>0</v>
      </c>
      <c r="L2135" s="32" t="n">
        <v>12</v>
      </c>
      <c r="M2135" s="32" t="n">
        <v>68</v>
      </c>
      <c r="N2135" s="31" t="n">
        <v>17791.07</v>
      </c>
      <c r="O2135" s="31" t="n">
        <v>17791.07</v>
      </c>
      <c r="P2135" s="22" t="n">
        <v>0</v>
      </c>
      <c r="Q2135" s="22" t="n">
        <v>0</v>
      </c>
      <c r="R2135" s="22" t="n">
        <v>0</v>
      </c>
    </row>
    <row r="2136">
      <c r="A2136" s="22" t="n">
        <v>201909</v>
      </c>
      <c r="B2136" s="22" t="inlineStr">
        <is>
          <t>09/2019</t>
        </is>
      </c>
      <c r="C2136" s="22" t="n">
        <v>38</v>
      </c>
      <c r="D2136" s="22" t="inlineStr">
        <is>
          <t>S38</t>
        </is>
      </c>
      <c r="E2136" s="22" t="inlineStr">
        <is>
          <t>Nexa Belfast (S38)</t>
        </is>
      </c>
      <c r="F2136" s="22" t="inlineStr">
        <is>
          <t>Anh</t>
        </is>
      </c>
      <c r="G2136" s="22" t="inlineStr">
        <is>
          <t>POS</t>
        </is>
      </c>
      <c r="H2136" s="31" t="n">
        <v>31777.64</v>
      </c>
      <c r="I2136" s="31" t="n">
        <v>271.13</v>
      </c>
      <c r="J2136" s="31" t="n">
        <v>31506.51</v>
      </c>
      <c r="K2136" s="31" t="n">
        <v>5900</v>
      </c>
      <c r="L2136" s="32" t="n">
        <v>11</v>
      </c>
      <c r="M2136" s="32" t="n">
        <v>78</v>
      </c>
      <c r="N2136" s="31" t="n">
        <v>25506.52</v>
      </c>
      <c r="O2136" s="31" t="n">
        <v>31506.51</v>
      </c>
      <c r="P2136" s="22" t="n">
        <v>0</v>
      </c>
      <c r="Q2136" s="22" t="n">
        <v>0</v>
      </c>
      <c r="R2136" s="22" t="n">
        <v>0</v>
      </c>
    </row>
    <row r="2137">
      <c r="A2137" s="22" t="n">
        <v>201909</v>
      </c>
      <c r="B2137" s="22" t="inlineStr">
        <is>
          <t>09/2019</t>
        </is>
      </c>
      <c r="C2137" s="22" t="n">
        <v>39</v>
      </c>
      <c r="D2137" s="22" t="inlineStr">
        <is>
          <t>S39</t>
        </is>
      </c>
      <c r="E2137" s="22" t="inlineStr">
        <is>
          <t>Nexa Blaenau Gwent (S39)</t>
        </is>
      </c>
      <c r="F2137" s="22" t="inlineStr">
        <is>
          <t>Anh</t>
        </is>
      </c>
      <c r="G2137" s="22" t="inlineStr">
        <is>
          <t>POS</t>
        </is>
      </c>
      <c r="H2137" s="31" t="n">
        <v>10866.24</v>
      </c>
      <c r="I2137" s="31" t="n">
        <v>153.08</v>
      </c>
      <c r="J2137" s="31" t="n">
        <v>10713.16</v>
      </c>
      <c r="K2137" s="31" t="n">
        <v>0</v>
      </c>
      <c r="L2137" s="32" t="n">
        <v>7</v>
      </c>
      <c r="M2137" s="32" t="n">
        <v>50</v>
      </c>
      <c r="N2137" s="31" t="n">
        <v>12600.46</v>
      </c>
      <c r="O2137" s="31" t="n">
        <v>10713.16</v>
      </c>
      <c r="P2137" s="22" t="n">
        <v>2</v>
      </c>
      <c r="Q2137" s="22" t="n">
        <v>0</v>
      </c>
      <c r="R2137" s="22" t="n">
        <v>0</v>
      </c>
    </row>
    <row r="2138">
      <c r="A2138" s="22" t="n">
        <v>201909</v>
      </c>
      <c r="B2138" s="22" t="inlineStr">
        <is>
          <t>09/2019</t>
        </is>
      </c>
      <c r="C2138" s="22" t="n">
        <v>40</v>
      </c>
      <c r="D2138" s="22" t="inlineStr">
        <is>
          <t>S40</t>
        </is>
      </c>
      <c r="E2138" s="22" t="inlineStr">
        <is>
          <t>Nexa Dungannon and South Tyrone (S40)</t>
        </is>
      </c>
      <c r="F2138" s="22" t="inlineStr">
        <is>
          <t>Anh</t>
        </is>
      </c>
      <c r="G2138" s="22" t="inlineStr">
        <is>
          <t>POS</t>
        </is>
      </c>
      <c r="H2138" s="31" t="n">
        <v>23501.5</v>
      </c>
      <c r="I2138" s="31" t="n">
        <v>880.78</v>
      </c>
      <c r="J2138" s="31" t="n">
        <v>22620.72</v>
      </c>
      <c r="K2138" s="31" t="n">
        <v>0</v>
      </c>
      <c r="L2138" s="32" t="n">
        <v>13</v>
      </c>
      <c r="M2138" s="32" t="n">
        <v>89</v>
      </c>
      <c r="N2138" s="31" t="n">
        <v>22685.5</v>
      </c>
      <c r="O2138" s="31" t="n">
        <v>22620.72</v>
      </c>
      <c r="P2138" s="22" t="n">
        <v>1</v>
      </c>
      <c r="Q2138" s="22" t="n">
        <v>0</v>
      </c>
      <c r="R2138" s="22" t="n">
        <v>0</v>
      </c>
    </row>
    <row r="2139">
      <c r="A2139" s="22" t="n">
        <v>201909</v>
      </c>
      <c r="B2139" s="22" t="inlineStr">
        <is>
          <t>09/2019</t>
        </is>
      </c>
      <c r="C2139" s="22" t="n">
        <v>42</v>
      </c>
      <c r="D2139" s="22" t="inlineStr">
        <is>
          <t>S42</t>
        </is>
      </c>
      <c r="E2139" s="22" t="inlineStr">
        <is>
          <t>Nexa North Down (S42)</t>
        </is>
      </c>
      <c r="F2139" s="22" t="inlineStr">
        <is>
          <t>Anh</t>
        </is>
      </c>
      <c r="G2139" s="22" t="inlineStr">
        <is>
          <t>POS</t>
        </is>
      </c>
      <c r="H2139" s="31" t="n">
        <v>14549.61</v>
      </c>
      <c r="I2139" s="31" t="n">
        <v>581.23</v>
      </c>
      <c r="J2139" s="31" t="n">
        <v>13968.38</v>
      </c>
      <c r="K2139" s="31" t="n">
        <v>463.5</v>
      </c>
      <c r="L2139" s="32" t="n">
        <v>9</v>
      </c>
      <c r="M2139" s="32" t="n">
        <v>66</v>
      </c>
      <c r="N2139" s="31" t="n">
        <v>13504.88</v>
      </c>
      <c r="O2139" s="31" t="n">
        <v>13968.38</v>
      </c>
      <c r="P2139" s="22" t="n">
        <v>0</v>
      </c>
      <c r="Q2139" s="22" t="n">
        <v>0</v>
      </c>
      <c r="R2139" s="22" t="n">
        <v>0</v>
      </c>
    </row>
    <row r="2140">
      <c r="A2140" s="22" t="n">
        <v>201909</v>
      </c>
      <c r="B2140" s="22" t="inlineStr">
        <is>
          <t>09/2019</t>
        </is>
      </c>
      <c r="C2140" s="22" t="n">
        <v>43</v>
      </c>
      <c r="D2140" s="22" t="inlineStr">
        <is>
          <t>S43</t>
        </is>
      </c>
      <c r="E2140" s="22" t="inlineStr">
        <is>
          <t>Nexa Alaska (S43)</t>
        </is>
      </c>
      <c r="F2140" s="22" t="inlineStr">
        <is>
          <t>Mỹ</t>
        </is>
      </c>
      <c r="G2140" s="22" t="inlineStr">
        <is>
          <t>POS</t>
        </is>
      </c>
      <c r="H2140" s="31" t="n">
        <v>55580.56</v>
      </c>
      <c r="I2140" s="31" t="n">
        <v>1293.74</v>
      </c>
      <c r="J2140" s="31" t="n">
        <v>54286.82</v>
      </c>
      <c r="K2140" s="31" t="n">
        <v>357.9</v>
      </c>
      <c r="L2140" s="32" t="n">
        <v>19</v>
      </c>
      <c r="M2140" s="32" t="n">
        <v>139</v>
      </c>
      <c r="N2140" s="31" t="n">
        <v>53928.92</v>
      </c>
      <c r="O2140" s="31" t="n">
        <v>54286.82</v>
      </c>
      <c r="P2140" s="22" t="n">
        <v>2</v>
      </c>
      <c r="Q2140" s="22" t="n">
        <v>0</v>
      </c>
      <c r="R2140" s="22" t="n">
        <v>0</v>
      </c>
    </row>
    <row r="2141">
      <c r="A2141" s="22" t="n">
        <v>201909</v>
      </c>
      <c r="B2141" s="22" t="inlineStr">
        <is>
          <t>09/2019</t>
        </is>
      </c>
      <c r="C2141" s="22" t="n">
        <v>44</v>
      </c>
      <c r="D2141" s="22" t="inlineStr">
        <is>
          <t>S44</t>
        </is>
      </c>
      <c r="E2141" s="22" t="inlineStr">
        <is>
          <t>Nexa Arkansas (S44)</t>
        </is>
      </c>
      <c r="F2141" s="22" t="inlineStr">
        <is>
          <t>Mỹ</t>
        </is>
      </c>
      <c r="G2141" s="22" t="inlineStr">
        <is>
          <t>POS</t>
        </is>
      </c>
      <c r="H2141" s="31" t="n">
        <v>59029.29</v>
      </c>
      <c r="I2141" s="31" t="n">
        <v>1981.27</v>
      </c>
      <c r="J2141" s="31" t="n">
        <v>57048.02</v>
      </c>
      <c r="K2141" s="31" t="n">
        <v>1709.2</v>
      </c>
      <c r="L2141" s="32" t="n">
        <v>24</v>
      </c>
      <c r="M2141" s="32" t="n">
        <v>179</v>
      </c>
      <c r="N2141" s="31" t="n">
        <v>55338.82</v>
      </c>
      <c r="O2141" s="31" t="n">
        <v>57048.02</v>
      </c>
      <c r="P2141" s="22" t="n">
        <v>1</v>
      </c>
      <c r="Q2141" s="22" t="n">
        <v>0</v>
      </c>
      <c r="R2141" s="22" t="n">
        <v>0</v>
      </c>
    </row>
    <row r="2142">
      <c r="A2142" s="22" t="n">
        <v>201909</v>
      </c>
      <c r="B2142" s="22" t="inlineStr">
        <is>
          <t>09/2019</t>
        </is>
      </c>
      <c r="C2142" s="22" t="n">
        <v>45</v>
      </c>
      <c r="D2142" s="22" t="inlineStr">
        <is>
          <t>S45</t>
        </is>
      </c>
      <c r="E2142" s="22" t="inlineStr">
        <is>
          <t>Nexa Connecticut (S45)</t>
        </is>
      </c>
      <c r="F2142" s="22" t="inlineStr">
        <is>
          <t>Mỹ</t>
        </is>
      </c>
      <c r="G2142" s="22" t="inlineStr">
        <is>
          <t>POS</t>
        </is>
      </c>
      <c r="H2142" s="31" t="n">
        <v>46927.83</v>
      </c>
      <c r="I2142" s="31" t="n">
        <v>1117.89</v>
      </c>
      <c r="J2142" s="31" t="n">
        <v>45809.94</v>
      </c>
      <c r="K2142" s="31" t="n">
        <v>9.99</v>
      </c>
      <c r="L2142" s="32" t="n">
        <v>25</v>
      </c>
      <c r="M2142" s="32" t="n">
        <v>161</v>
      </c>
      <c r="N2142" s="31" t="n">
        <v>45799.95</v>
      </c>
      <c r="O2142" s="31" t="n">
        <v>45809.94</v>
      </c>
      <c r="P2142" s="22" t="n">
        <v>0</v>
      </c>
      <c r="Q2142" s="22" t="n">
        <v>0</v>
      </c>
      <c r="R2142" s="22" t="n">
        <v>0</v>
      </c>
    </row>
    <row r="2143">
      <c r="A2143" s="22" t="n">
        <v>201909</v>
      </c>
      <c r="B2143" s="22" t="inlineStr">
        <is>
          <t>09/2019</t>
        </is>
      </c>
      <c r="C2143" s="22" t="n">
        <v>47</v>
      </c>
      <c r="D2143" s="22" t="inlineStr">
        <is>
          <t>S47</t>
        </is>
      </c>
      <c r="E2143" s="22" t="inlineStr">
        <is>
          <t>Nexa Hawaii (S47)</t>
        </is>
      </c>
      <c r="F2143" s="22" t="inlineStr">
        <is>
          <t>Mỹ</t>
        </is>
      </c>
      <c r="G2143" s="22" t="inlineStr">
        <is>
          <t>POS</t>
        </is>
      </c>
      <c r="H2143" s="31" t="n">
        <v>65594.48</v>
      </c>
      <c r="I2143" s="31" t="n">
        <v>2894.15</v>
      </c>
      <c r="J2143" s="31" t="n">
        <v>62700.33</v>
      </c>
      <c r="K2143" s="31" t="n">
        <v>1461.77</v>
      </c>
      <c r="L2143" s="32" t="n">
        <v>20</v>
      </c>
      <c r="M2143" s="32" t="n">
        <v>202</v>
      </c>
      <c r="N2143" s="31" t="n">
        <v>62318.2</v>
      </c>
      <c r="O2143" s="31" t="n">
        <v>62700.33</v>
      </c>
      <c r="P2143" s="22" t="n">
        <v>0</v>
      </c>
      <c r="Q2143" s="22" t="n">
        <v>0</v>
      </c>
      <c r="R2143" s="22" t="n">
        <v>0</v>
      </c>
    </row>
    <row r="2144">
      <c r="A2144" s="22" t="n">
        <v>201909</v>
      </c>
      <c r="B2144" s="22" t="inlineStr">
        <is>
          <t>09/2019</t>
        </is>
      </c>
      <c r="C2144" s="22" t="n">
        <v>48</v>
      </c>
      <c r="D2144" s="22" t="inlineStr">
        <is>
          <t>S48</t>
        </is>
      </c>
      <c r="E2144" s="22" t="inlineStr">
        <is>
          <t>Nexa Idaho (S48)</t>
        </is>
      </c>
      <c r="F2144" s="22" t="inlineStr">
        <is>
          <t>Mỹ</t>
        </is>
      </c>
      <c r="G2144" s="22" t="inlineStr">
        <is>
          <t>POS</t>
        </is>
      </c>
      <c r="H2144" s="31" t="n">
        <v>29201.18</v>
      </c>
      <c r="I2144" s="31" t="n">
        <v>409.95</v>
      </c>
      <c r="J2144" s="31" t="n">
        <v>28791.23</v>
      </c>
      <c r="K2144" s="31" t="n">
        <v>0</v>
      </c>
      <c r="L2144" s="32" t="n">
        <v>16</v>
      </c>
      <c r="M2144" s="32" t="n">
        <v>142</v>
      </c>
      <c r="N2144" s="31" t="n">
        <v>28791.23</v>
      </c>
      <c r="O2144" s="31" t="n">
        <v>28791.23</v>
      </c>
      <c r="P2144" s="22" t="n">
        <v>1</v>
      </c>
      <c r="Q2144" s="22" t="n">
        <v>0</v>
      </c>
      <c r="R2144" s="22" t="n">
        <v>0</v>
      </c>
    </row>
    <row r="2145">
      <c r="A2145" s="22" t="n">
        <v>201909</v>
      </c>
      <c r="B2145" s="22" t="inlineStr">
        <is>
          <t>09/2019</t>
        </is>
      </c>
      <c r="C2145" s="22" t="n">
        <v>49</v>
      </c>
      <c r="D2145" s="22" t="inlineStr">
        <is>
          <t>S49</t>
        </is>
      </c>
      <c r="E2145" s="22" t="inlineStr">
        <is>
          <t>Nexa Iowa (S49)</t>
        </is>
      </c>
      <c r="F2145" s="22" t="inlineStr">
        <is>
          <t>Mỹ</t>
        </is>
      </c>
      <c r="G2145" s="22" t="inlineStr">
        <is>
          <t>POS</t>
        </is>
      </c>
      <c r="H2145" s="31" t="n">
        <v>65895.32000000001</v>
      </c>
      <c r="I2145" s="31" t="n">
        <v>789.22</v>
      </c>
      <c r="J2145" s="31" t="n">
        <v>65106.1</v>
      </c>
      <c r="K2145" s="31" t="n">
        <v>0</v>
      </c>
      <c r="L2145" s="32" t="n">
        <v>16</v>
      </c>
      <c r="M2145" s="32" t="n">
        <v>170</v>
      </c>
      <c r="N2145" s="31" t="n">
        <v>65106.1</v>
      </c>
      <c r="O2145" s="31" t="n">
        <v>65106.1</v>
      </c>
      <c r="P2145" s="22" t="n">
        <v>0</v>
      </c>
      <c r="Q2145" s="22" t="n">
        <v>0</v>
      </c>
      <c r="R2145" s="22" t="n">
        <v>0</v>
      </c>
    </row>
    <row r="2146">
      <c r="A2146" s="22" t="n">
        <v>201909</v>
      </c>
      <c r="B2146" s="22" t="inlineStr">
        <is>
          <t>09/2019</t>
        </is>
      </c>
      <c r="C2146" s="22" t="n">
        <v>50</v>
      </c>
      <c r="D2146" s="22" t="inlineStr">
        <is>
          <t>S50</t>
        </is>
      </c>
      <c r="E2146" s="22" t="inlineStr">
        <is>
          <t>Nexa Kansas (S50)</t>
        </is>
      </c>
      <c r="F2146" s="22" t="inlineStr">
        <is>
          <t>Mỹ</t>
        </is>
      </c>
      <c r="G2146" s="22" t="inlineStr">
        <is>
          <t>POS</t>
        </is>
      </c>
      <c r="H2146" s="31" t="n">
        <v>41291.34</v>
      </c>
      <c r="I2146" s="31" t="n">
        <v>1097.24</v>
      </c>
      <c r="J2146" s="31" t="n">
        <v>40194.1</v>
      </c>
      <c r="K2146" s="31" t="n">
        <v>1784.4</v>
      </c>
      <c r="L2146" s="32" t="n">
        <v>19</v>
      </c>
      <c r="M2146" s="32" t="n">
        <v>157</v>
      </c>
      <c r="N2146" s="31" t="n">
        <v>38409.7</v>
      </c>
      <c r="O2146" s="31" t="n">
        <v>40194.1</v>
      </c>
      <c r="P2146" s="22" t="n">
        <v>2</v>
      </c>
      <c r="Q2146" s="22" t="n">
        <v>0</v>
      </c>
      <c r="R2146" s="22" t="n">
        <v>0</v>
      </c>
    </row>
    <row r="2147">
      <c r="A2147" s="22" t="n">
        <v>201909</v>
      </c>
      <c r="B2147" s="22" t="inlineStr">
        <is>
          <t>09/2019</t>
        </is>
      </c>
      <c r="C2147" s="22" t="n">
        <v>51</v>
      </c>
      <c r="D2147" s="22" t="inlineStr">
        <is>
          <t>S51</t>
        </is>
      </c>
      <c r="E2147" s="22" t="inlineStr">
        <is>
          <t>Nexa Maine (S51)</t>
        </is>
      </c>
      <c r="F2147" s="22" t="inlineStr">
        <is>
          <t>Mỹ</t>
        </is>
      </c>
      <c r="G2147" s="22" t="inlineStr">
        <is>
          <t>POS</t>
        </is>
      </c>
      <c r="H2147" s="31" t="n">
        <v>22384.65</v>
      </c>
      <c r="I2147" s="31" t="n">
        <v>534.88</v>
      </c>
      <c r="J2147" s="31" t="n">
        <v>21849.77</v>
      </c>
      <c r="K2147" s="31" t="n">
        <v>23.9</v>
      </c>
      <c r="L2147" s="32" t="n">
        <v>12</v>
      </c>
      <c r="M2147" s="32" t="n">
        <v>97</v>
      </c>
      <c r="N2147" s="31" t="n">
        <v>21825.87</v>
      </c>
      <c r="O2147" s="31" t="n">
        <v>21849.77</v>
      </c>
      <c r="P2147" s="22" t="n">
        <v>0</v>
      </c>
      <c r="Q2147" s="22" t="n">
        <v>0</v>
      </c>
      <c r="R2147" s="22" t="n">
        <v>0</v>
      </c>
    </row>
    <row r="2148">
      <c r="A2148" s="22" t="n">
        <v>201909</v>
      </c>
      <c r="B2148" s="22" t="inlineStr">
        <is>
          <t>09/2019</t>
        </is>
      </c>
      <c r="C2148" s="22" t="n">
        <v>53</v>
      </c>
      <c r="D2148" s="22" t="inlineStr">
        <is>
          <t>S53</t>
        </is>
      </c>
      <c r="E2148" s="22" t="inlineStr">
        <is>
          <t>Nexa Montana (S53)</t>
        </is>
      </c>
      <c r="F2148" s="22" t="inlineStr">
        <is>
          <t>Mỹ</t>
        </is>
      </c>
      <c r="G2148" s="22" t="inlineStr">
        <is>
          <t>POS</t>
        </is>
      </c>
      <c r="H2148" s="31" t="n">
        <v>39170.42</v>
      </c>
      <c r="I2148" s="31" t="n">
        <v>650.77</v>
      </c>
      <c r="J2148" s="31" t="n">
        <v>38519.65</v>
      </c>
      <c r="K2148" s="31" t="n">
        <v>0</v>
      </c>
      <c r="L2148" s="32" t="n">
        <v>18</v>
      </c>
      <c r="M2148" s="32" t="n">
        <v>121</v>
      </c>
      <c r="N2148" s="31" t="n">
        <v>38519.65</v>
      </c>
      <c r="O2148" s="31" t="n">
        <v>38519.65</v>
      </c>
      <c r="P2148" s="22" t="n">
        <v>0</v>
      </c>
      <c r="Q2148" s="22" t="n">
        <v>0</v>
      </c>
      <c r="R2148" s="22" t="n">
        <v>0</v>
      </c>
    </row>
    <row r="2149">
      <c r="A2149" s="22" t="n">
        <v>201909</v>
      </c>
      <c r="B2149" s="22" t="inlineStr">
        <is>
          <t>09/2019</t>
        </is>
      </c>
      <c r="C2149" s="22" t="n">
        <v>54</v>
      </c>
      <c r="D2149" s="22" t="inlineStr">
        <is>
          <t>S54</t>
        </is>
      </c>
      <c r="E2149" s="22" t="inlineStr">
        <is>
          <t>Nexa Nebraska (S54)</t>
        </is>
      </c>
      <c r="F2149" s="22" t="inlineStr">
        <is>
          <t>Mỹ</t>
        </is>
      </c>
      <c r="G2149" s="22" t="inlineStr">
        <is>
          <t>POS</t>
        </is>
      </c>
      <c r="H2149" s="31" t="n">
        <v>41580.39</v>
      </c>
      <c r="I2149" s="31" t="n">
        <v>1632.3</v>
      </c>
      <c r="J2149" s="31" t="n">
        <v>39948.09</v>
      </c>
      <c r="K2149" s="31" t="n">
        <v>0</v>
      </c>
      <c r="L2149" s="32" t="n">
        <v>19</v>
      </c>
      <c r="M2149" s="32" t="n">
        <v>142</v>
      </c>
      <c r="N2149" s="31" t="n">
        <v>39948.09</v>
      </c>
      <c r="O2149" s="31" t="n">
        <v>39948.09</v>
      </c>
      <c r="P2149" s="22" t="n">
        <v>3</v>
      </c>
      <c r="Q2149" s="22" t="n">
        <v>0</v>
      </c>
      <c r="R2149" s="22" t="n">
        <v>0</v>
      </c>
    </row>
    <row r="2150">
      <c r="A2150" s="22" t="n">
        <v>201909</v>
      </c>
      <c r="B2150" s="22" t="inlineStr">
        <is>
          <t>09/2019</t>
        </is>
      </c>
      <c r="C2150" s="22" t="n">
        <v>55</v>
      </c>
      <c r="D2150" s="22" t="inlineStr">
        <is>
          <t>S55</t>
        </is>
      </c>
      <c r="E2150" s="22" t="inlineStr">
        <is>
          <t>Nexa Nevada (S55)</t>
        </is>
      </c>
      <c r="F2150" s="22" t="inlineStr">
        <is>
          <t>Mỹ</t>
        </is>
      </c>
      <c r="G2150" s="22" t="inlineStr">
        <is>
          <t>POS</t>
        </is>
      </c>
      <c r="H2150" s="31" t="n">
        <v>21475.75</v>
      </c>
      <c r="I2150" s="31" t="n">
        <v>75.40000000000001</v>
      </c>
      <c r="J2150" s="31" t="n">
        <v>21400.35</v>
      </c>
      <c r="K2150" s="31" t="n">
        <v>298.29</v>
      </c>
      <c r="L2150" s="32" t="n">
        <v>11</v>
      </c>
      <c r="M2150" s="32" t="n">
        <v>93</v>
      </c>
      <c r="N2150" s="31" t="n">
        <v>21102.06</v>
      </c>
      <c r="O2150" s="31" t="n">
        <v>21400.35</v>
      </c>
      <c r="P2150" s="22" t="n">
        <v>0</v>
      </c>
      <c r="Q2150" s="22" t="n">
        <v>0</v>
      </c>
      <c r="R2150" s="22" t="n">
        <v>0</v>
      </c>
    </row>
    <row r="2151">
      <c r="A2151" s="22" t="n">
        <v>201909</v>
      </c>
      <c r="B2151" s="22" t="inlineStr">
        <is>
          <t>09/2019</t>
        </is>
      </c>
      <c r="C2151" s="22" t="n">
        <v>56</v>
      </c>
      <c r="D2151" s="22" t="inlineStr">
        <is>
          <t>S56</t>
        </is>
      </c>
      <c r="E2151" s="22" t="inlineStr">
        <is>
          <t>Nexa New Hampshire (S56)</t>
        </is>
      </c>
      <c r="F2151" s="22" t="inlineStr">
        <is>
          <t>Mỹ</t>
        </is>
      </c>
      <c r="G2151" s="22" t="inlineStr">
        <is>
          <t>POS</t>
        </is>
      </c>
      <c r="H2151" s="31" t="n">
        <v>20862.44</v>
      </c>
      <c r="I2151" s="31" t="n">
        <v>647.2</v>
      </c>
      <c r="J2151" s="31" t="n">
        <v>20215.24</v>
      </c>
      <c r="K2151" s="31" t="n">
        <v>559.96</v>
      </c>
      <c r="L2151" s="32" t="n">
        <v>12</v>
      </c>
      <c r="M2151" s="32" t="n">
        <v>99</v>
      </c>
      <c r="N2151" s="31" t="n">
        <v>19655.28</v>
      </c>
      <c r="O2151" s="31" t="n">
        <v>20215.24</v>
      </c>
      <c r="P2151" s="22" t="n">
        <v>1</v>
      </c>
      <c r="Q2151" s="22" t="n">
        <v>0</v>
      </c>
      <c r="R2151" s="22" t="n">
        <v>0</v>
      </c>
    </row>
    <row r="2152">
      <c r="A2152" s="22" t="n">
        <v>201909</v>
      </c>
      <c r="B2152" s="22" t="inlineStr">
        <is>
          <t>09/2019</t>
        </is>
      </c>
      <c r="C2152" s="22" t="n">
        <v>57</v>
      </c>
      <c r="D2152" s="22" t="inlineStr">
        <is>
          <t>S57</t>
        </is>
      </c>
      <c r="E2152" s="22" t="inlineStr">
        <is>
          <t>Nexa New Mexico (S57)</t>
        </is>
      </c>
      <c r="F2152" s="22" t="inlineStr">
        <is>
          <t>Mỹ</t>
        </is>
      </c>
      <c r="G2152" s="22" t="inlineStr">
        <is>
          <t>POS</t>
        </is>
      </c>
      <c r="H2152" s="31" t="n">
        <v>19381.91</v>
      </c>
      <c r="I2152" s="31" t="n">
        <v>725.97</v>
      </c>
      <c r="J2152" s="31" t="n">
        <v>18655.94</v>
      </c>
      <c r="K2152" s="31" t="n">
        <v>532.8</v>
      </c>
      <c r="L2152" s="32" t="n">
        <v>20</v>
      </c>
      <c r="M2152" s="32" t="n">
        <v>108</v>
      </c>
      <c r="N2152" s="31" t="n">
        <v>18123.14</v>
      </c>
      <c r="O2152" s="31" t="n">
        <v>18655.94</v>
      </c>
      <c r="P2152" s="22" t="n">
        <v>2</v>
      </c>
      <c r="Q2152" s="22" t="n">
        <v>0</v>
      </c>
      <c r="R2152" s="22" t="n">
        <v>0</v>
      </c>
    </row>
    <row r="2153">
      <c r="A2153" s="22" t="n">
        <v>201909</v>
      </c>
      <c r="B2153" s="22" t="inlineStr">
        <is>
          <t>09/2019</t>
        </is>
      </c>
      <c r="C2153" s="22" t="n">
        <v>59</v>
      </c>
      <c r="D2153" s="22" t="inlineStr">
        <is>
          <t>S59</t>
        </is>
      </c>
      <c r="E2153" s="22" t="inlineStr">
        <is>
          <t>Nexa Oregon (S59)</t>
        </is>
      </c>
      <c r="F2153" s="22" t="inlineStr">
        <is>
          <t>Mỹ</t>
        </is>
      </c>
      <c r="G2153" s="22" t="inlineStr">
        <is>
          <t>POS</t>
        </is>
      </c>
      <c r="H2153" s="31" t="n">
        <v>15349.56</v>
      </c>
      <c r="I2153" s="31" t="n">
        <v>317.9</v>
      </c>
      <c r="J2153" s="31" t="n">
        <v>15031.66</v>
      </c>
      <c r="K2153" s="31" t="n">
        <v>1102.39</v>
      </c>
      <c r="L2153" s="32" t="n">
        <v>13</v>
      </c>
      <c r="M2153" s="32" t="n">
        <v>101</v>
      </c>
      <c r="N2153" s="31" t="n">
        <v>13929.27</v>
      </c>
      <c r="O2153" s="31" t="n">
        <v>15031.66</v>
      </c>
      <c r="P2153" s="22" t="n">
        <v>1</v>
      </c>
      <c r="Q2153" s="22" t="n">
        <v>0</v>
      </c>
      <c r="R2153" s="22" t="n">
        <v>0</v>
      </c>
    </row>
    <row r="2154">
      <c r="A2154" s="22" t="n">
        <v>201909</v>
      </c>
      <c r="B2154" s="22" t="inlineStr">
        <is>
          <t>09/2019</t>
        </is>
      </c>
      <c r="C2154" s="22" t="n">
        <v>61</v>
      </c>
      <c r="D2154" s="22" t="inlineStr">
        <is>
          <t>S61</t>
        </is>
      </c>
      <c r="E2154" s="22" t="inlineStr">
        <is>
          <t>Nexa South Carolina (S61)</t>
        </is>
      </c>
      <c r="F2154" s="22" t="inlineStr">
        <is>
          <t>Mỹ</t>
        </is>
      </c>
      <c r="G2154" s="22" t="inlineStr">
        <is>
          <t>POS</t>
        </is>
      </c>
      <c r="H2154" s="31" t="n">
        <v>25860.24</v>
      </c>
      <c r="I2154" s="31" t="n">
        <v>141.75</v>
      </c>
      <c r="J2154" s="31" t="n">
        <v>25718.49</v>
      </c>
      <c r="K2154" s="31" t="n">
        <v>629.1</v>
      </c>
      <c r="L2154" s="32" t="n">
        <v>11</v>
      </c>
      <c r="M2154" s="32" t="n">
        <v>94</v>
      </c>
      <c r="N2154" s="31" t="n">
        <v>25089.39</v>
      </c>
      <c r="O2154" s="31" t="n">
        <v>25718.49</v>
      </c>
      <c r="P2154" s="22" t="n">
        <v>0</v>
      </c>
      <c r="Q2154" s="22" t="n">
        <v>0</v>
      </c>
      <c r="R2154" s="22" t="n">
        <v>0</v>
      </c>
    </row>
    <row r="2155">
      <c r="A2155" s="22" t="n">
        <v>201909</v>
      </c>
      <c r="B2155" s="22" t="inlineStr">
        <is>
          <t>09/2019</t>
        </is>
      </c>
      <c r="C2155" s="22" t="n">
        <v>62</v>
      </c>
      <c r="D2155" s="22" t="inlineStr">
        <is>
          <t>S62</t>
        </is>
      </c>
      <c r="E2155" s="22" t="inlineStr">
        <is>
          <t>Nexa South Dakota (S62)</t>
        </is>
      </c>
      <c r="F2155" s="22" t="inlineStr">
        <is>
          <t>Mỹ</t>
        </is>
      </c>
      <c r="G2155" s="22" t="inlineStr">
        <is>
          <t>POS</t>
        </is>
      </c>
      <c r="H2155" s="31" t="n">
        <v>24059.16</v>
      </c>
      <c r="I2155" s="31" t="n">
        <v>178.35</v>
      </c>
      <c r="J2155" s="31" t="n">
        <v>23880.81</v>
      </c>
      <c r="K2155" s="31" t="n">
        <v>0</v>
      </c>
      <c r="L2155" s="32" t="n">
        <v>12</v>
      </c>
      <c r="M2155" s="32" t="n">
        <v>91</v>
      </c>
      <c r="N2155" s="31" t="n">
        <v>23880.81</v>
      </c>
      <c r="O2155" s="31" t="n">
        <v>23880.81</v>
      </c>
      <c r="P2155" s="22" t="n">
        <v>0</v>
      </c>
      <c r="Q2155" s="22" t="n">
        <v>0</v>
      </c>
      <c r="R2155" s="22" t="n">
        <v>1</v>
      </c>
    </row>
    <row r="2156">
      <c r="A2156" s="22" t="n">
        <v>201909</v>
      </c>
      <c r="B2156" s="22" t="inlineStr">
        <is>
          <t>09/2019</t>
        </is>
      </c>
      <c r="C2156" s="22" t="n">
        <v>63</v>
      </c>
      <c r="D2156" s="22" t="inlineStr">
        <is>
          <t>S63</t>
        </is>
      </c>
      <c r="E2156" s="22" t="inlineStr">
        <is>
          <t>Nexa Utah (S63)</t>
        </is>
      </c>
      <c r="F2156" s="22" t="inlineStr">
        <is>
          <t>Mỹ</t>
        </is>
      </c>
      <c r="G2156" s="22" t="inlineStr">
        <is>
          <t>POS</t>
        </is>
      </c>
      <c r="H2156" s="31" t="n">
        <v>25126.59</v>
      </c>
      <c r="I2156" s="31" t="n">
        <v>730.8200000000001</v>
      </c>
      <c r="J2156" s="31" t="n">
        <v>24395.77</v>
      </c>
      <c r="K2156" s="31" t="n">
        <v>350.01</v>
      </c>
      <c r="L2156" s="32" t="n">
        <v>18</v>
      </c>
      <c r="M2156" s="32" t="n">
        <v>118</v>
      </c>
      <c r="N2156" s="31" t="n">
        <v>24045.76</v>
      </c>
      <c r="O2156" s="31" t="n">
        <v>24395.77</v>
      </c>
      <c r="P2156" s="22" t="n">
        <v>0</v>
      </c>
      <c r="Q2156" s="22" t="n">
        <v>0</v>
      </c>
      <c r="R2156" s="22" t="n">
        <v>0</v>
      </c>
    </row>
    <row r="2157">
      <c r="A2157" s="22" t="n">
        <v>201909</v>
      </c>
      <c r="B2157" s="22" t="inlineStr">
        <is>
          <t>09/2019</t>
        </is>
      </c>
      <c r="C2157" s="22" t="n">
        <v>64</v>
      </c>
      <c r="D2157" s="22" t="inlineStr">
        <is>
          <t>S64</t>
        </is>
      </c>
      <c r="E2157" s="22" t="inlineStr">
        <is>
          <t>Nexa Washington DC (S64)</t>
        </is>
      </c>
      <c r="F2157" s="22" t="inlineStr">
        <is>
          <t>Mỹ</t>
        </is>
      </c>
      <c r="G2157" s="22" t="inlineStr">
        <is>
          <t>POS</t>
        </is>
      </c>
      <c r="H2157" s="31" t="n">
        <v>63654.5</v>
      </c>
      <c r="I2157" s="31" t="n">
        <v>126.69</v>
      </c>
      <c r="J2157" s="31" t="n">
        <v>63527.81</v>
      </c>
      <c r="K2157" s="31" t="n">
        <v>71.08</v>
      </c>
      <c r="L2157" s="32" t="n">
        <v>16</v>
      </c>
      <c r="M2157" s="32" t="n">
        <v>191</v>
      </c>
      <c r="N2157" s="31" t="n">
        <v>63456.73</v>
      </c>
      <c r="O2157" s="31" t="n">
        <v>63527.81</v>
      </c>
      <c r="P2157" s="22" t="n">
        <v>0</v>
      </c>
      <c r="Q2157" s="22" t="n">
        <v>0</v>
      </c>
      <c r="R2157" s="22" t="n">
        <v>0</v>
      </c>
    </row>
    <row r="2158">
      <c r="A2158" s="22" t="n">
        <v>201909</v>
      </c>
      <c r="B2158" s="22" t="inlineStr">
        <is>
          <t>09/2019</t>
        </is>
      </c>
      <c r="C2158" s="22" t="n">
        <v>65</v>
      </c>
      <c r="D2158" s="22" t="inlineStr">
        <is>
          <t>S65</t>
        </is>
      </c>
      <c r="E2158" s="22" t="inlineStr">
        <is>
          <t>Nexa West Virginia (S65)</t>
        </is>
      </c>
      <c r="F2158" s="22" t="inlineStr">
        <is>
          <t>Mỹ</t>
        </is>
      </c>
      <c r="G2158" s="22" t="inlineStr">
        <is>
          <t>POS</t>
        </is>
      </c>
      <c r="H2158" s="31" t="n">
        <v>31528.18</v>
      </c>
      <c r="I2158" s="31" t="n">
        <v>1662.22</v>
      </c>
      <c r="J2158" s="31" t="n">
        <v>29865.96</v>
      </c>
      <c r="K2158" s="31" t="n">
        <v>1019.95</v>
      </c>
      <c r="L2158" s="32" t="n">
        <v>15</v>
      </c>
      <c r="M2158" s="32" t="n">
        <v>144</v>
      </c>
      <c r="N2158" s="31" t="n">
        <v>28846.01</v>
      </c>
      <c r="O2158" s="31" t="n">
        <v>29865.96</v>
      </c>
      <c r="P2158" s="22" t="n">
        <v>0</v>
      </c>
      <c r="Q2158" s="22" t="n">
        <v>0</v>
      </c>
      <c r="R2158" s="22" t="n">
        <v>0</v>
      </c>
    </row>
    <row r="2159">
      <c r="A2159" s="22" t="n">
        <v>201909</v>
      </c>
      <c r="B2159" s="22" t="inlineStr">
        <is>
          <t>09/2019</t>
        </is>
      </c>
      <c r="C2159" s="22" t="n">
        <v>66</v>
      </c>
      <c r="D2159" s="22" t="inlineStr">
        <is>
          <t>S66</t>
        </is>
      </c>
      <c r="E2159" s="22" t="inlineStr">
        <is>
          <t>Nexa Wyoming (S66)</t>
        </is>
      </c>
      <c r="F2159" s="22" t="inlineStr">
        <is>
          <t>Mỹ</t>
        </is>
      </c>
      <c r="G2159" s="22" t="inlineStr">
        <is>
          <t>POS</t>
        </is>
      </c>
      <c r="H2159" s="31" t="n">
        <v>27986.66</v>
      </c>
      <c r="I2159" s="31" t="n">
        <v>733.37</v>
      </c>
      <c r="J2159" s="31" t="n">
        <v>27253.29</v>
      </c>
      <c r="K2159" s="31" t="n">
        <v>3316.47</v>
      </c>
      <c r="L2159" s="32" t="n">
        <v>18</v>
      </c>
      <c r="M2159" s="32" t="n">
        <v>108</v>
      </c>
      <c r="N2159" s="31" t="n">
        <v>23936.82</v>
      </c>
      <c r="O2159" s="31" t="n">
        <v>27253.29</v>
      </c>
      <c r="P2159" s="22" t="n">
        <v>1</v>
      </c>
      <c r="Q2159" s="22" t="n">
        <v>0</v>
      </c>
      <c r="R2159" s="22" t="n">
        <v>0</v>
      </c>
    </row>
    <row r="2160">
      <c r="A2160" s="22" t="n">
        <v>201910</v>
      </c>
      <c r="B2160" s="22" t="inlineStr">
        <is>
          <t>10/2019</t>
        </is>
      </c>
      <c r="C2160" s="22" t="n">
        <v>0</v>
      </c>
      <c r="D2160" s="22" t="inlineStr">
        <is>
          <t>ONL</t>
        </is>
      </c>
      <c r="E2160" s="22" t="inlineStr">
        <is>
          <t>Nexa Online (website/app)</t>
        </is>
      </c>
      <c r="F2160" s="22" t="inlineStr">
        <is>
          <t>Online</t>
        </is>
      </c>
      <c r="G2160" s="22" t="inlineStr">
        <is>
          <t>ONLINE</t>
        </is>
      </c>
      <c r="H2160" s="31" t="n">
        <v>308797.53</v>
      </c>
      <c r="I2160" s="31" t="n">
        <v>7578.01</v>
      </c>
      <c r="J2160" s="31" t="n">
        <v>301219.52</v>
      </c>
      <c r="K2160" s="31" t="n">
        <v>9406.58</v>
      </c>
      <c r="L2160" s="32" t="n">
        <v>171</v>
      </c>
      <c r="M2160" s="32" t="n">
        <v>1248</v>
      </c>
      <c r="N2160" s="31" t="n">
        <v>284107.8</v>
      </c>
      <c r="O2160" s="31" t="n">
        <v>293351.48</v>
      </c>
      <c r="P2160" s="22" t="n">
        <v>6</v>
      </c>
      <c r="Q2160" s="22" t="n">
        <v>0</v>
      </c>
      <c r="R2160" s="22" t="n">
        <v>1</v>
      </c>
    </row>
    <row r="2161">
      <c r="A2161" s="22" t="n">
        <v>201910</v>
      </c>
      <c r="B2161" s="22" t="inlineStr">
        <is>
          <t>10/2019</t>
        </is>
      </c>
      <c r="C2161" s="22" t="n">
        <v>1</v>
      </c>
      <c r="D2161" s="22" t="inlineStr">
        <is>
          <t>S01</t>
        </is>
      </c>
      <c r="E2161" s="22" t="inlineStr">
        <is>
          <t>Nexa Australian Capital Territory (S01)</t>
        </is>
      </c>
      <c r="F2161" s="22" t="inlineStr">
        <is>
          <t>Úc</t>
        </is>
      </c>
      <c r="G2161" s="22" t="inlineStr">
        <is>
          <t>POS</t>
        </is>
      </c>
      <c r="H2161" s="31" t="n">
        <v>14851.62</v>
      </c>
      <c r="I2161" s="31" t="n">
        <v>0</v>
      </c>
      <c r="J2161" s="31" t="n">
        <v>14851.62</v>
      </c>
      <c r="K2161" s="31" t="n">
        <v>266</v>
      </c>
      <c r="L2161" s="32" t="n">
        <v>4</v>
      </c>
      <c r="M2161" s="32" t="n">
        <v>53</v>
      </c>
      <c r="N2161" s="31" t="n">
        <v>14585.62</v>
      </c>
      <c r="O2161" s="31" t="n">
        <v>14851.62</v>
      </c>
      <c r="P2161" s="22" t="n">
        <v>0</v>
      </c>
      <c r="Q2161" s="22" t="n">
        <v>0</v>
      </c>
      <c r="R2161" s="22" t="n">
        <v>0</v>
      </c>
    </row>
    <row r="2162">
      <c r="A2162" s="22" t="n">
        <v>201910</v>
      </c>
      <c r="B2162" s="22" t="inlineStr">
        <is>
          <t>10/2019</t>
        </is>
      </c>
      <c r="C2162" s="22" t="n">
        <v>4</v>
      </c>
      <c r="D2162" s="22" t="inlineStr">
        <is>
          <t>S04</t>
        </is>
      </c>
      <c r="E2162" s="22" t="inlineStr">
        <is>
          <t>Nexa Tasmania (S04)</t>
        </is>
      </c>
      <c r="F2162" s="22" t="inlineStr">
        <is>
          <t>Úc</t>
        </is>
      </c>
      <c r="G2162" s="22" t="inlineStr">
        <is>
          <t>POS</t>
        </is>
      </c>
      <c r="H2162" s="31" t="n">
        <v>4704.79</v>
      </c>
      <c r="I2162" s="31" t="n">
        <v>0</v>
      </c>
      <c r="J2162" s="31" t="n">
        <v>4704.79</v>
      </c>
      <c r="K2162" s="31" t="n">
        <v>0</v>
      </c>
      <c r="L2162" s="32" t="n">
        <v>7</v>
      </c>
      <c r="M2162" s="32" t="n">
        <v>23</v>
      </c>
      <c r="N2162" s="31" t="n">
        <v>4704.79</v>
      </c>
      <c r="O2162" s="31" t="n">
        <v>4704.79</v>
      </c>
      <c r="P2162" s="22" t="n">
        <v>0</v>
      </c>
      <c r="Q2162" s="22" t="n">
        <v>0</v>
      </c>
      <c r="R2162" s="22" t="n">
        <v>0</v>
      </c>
    </row>
    <row r="2163">
      <c r="A2163" s="22" t="n">
        <v>201910</v>
      </c>
      <c r="B2163" s="22" t="inlineStr">
        <is>
          <t>10/2019</t>
        </is>
      </c>
      <c r="C2163" s="22" t="n">
        <v>5</v>
      </c>
      <c r="D2163" s="22" t="inlineStr">
        <is>
          <t>S05</t>
        </is>
      </c>
      <c r="E2163" s="22" t="inlineStr">
        <is>
          <t>Nexa Victoria (S05)</t>
        </is>
      </c>
      <c r="F2163" s="22" t="inlineStr">
        <is>
          <t>Úc</t>
        </is>
      </c>
      <c r="G2163" s="22" t="inlineStr">
        <is>
          <t>POS</t>
        </is>
      </c>
      <c r="H2163" s="31" t="n">
        <v>9939.85</v>
      </c>
      <c r="I2163" s="31" t="n">
        <v>0</v>
      </c>
      <c r="J2163" s="31" t="n">
        <v>9939.85</v>
      </c>
      <c r="K2163" s="31" t="n">
        <v>969</v>
      </c>
      <c r="L2163" s="32" t="n">
        <v>12</v>
      </c>
      <c r="M2163" s="32" t="n">
        <v>65</v>
      </c>
      <c r="N2163" s="31" t="n">
        <v>8970.85</v>
      </c>
      <c r="O2163" s="31" t="n">
        <v>9939.85</v>
      </c>
      <c r="P2163" s="22" t="n">
        <v>0</v>
      </c>
      <c r="Q2163" s="22" t="n">
        <v>0</v>
      </c>
      <c r="R2163" s="22" t="n">
        <v>0</v>
      </c>
    </row>
    <row r="2164">
      <c r="A2164" s="22" t="n">
        <v>201910</v>
      </c>
      <c r="B2164" s="22" t="inlineStr">
        <is>
          <t>10/2019</t>
        </is>
      </c>
      <c r="C2164" s="22" t="n">
        <v>6</v>
      </c>
      <c r="D2164" s="22" t="inlineStr">
        <is>
          <t>S06</t>
        </is>
      </c>
      <c r="E2164" s="22" t="inlineStr">
        <is>
          <t>Nexa Western Australia (S06)</t>
        </is>
      </c>
      <c r="F2164" s="22" t="inlineStr">
        <is>
          <t>Úc</t>
        </is>
      </c>
      <c r="G2164" s="22" t="inlineStr">
        <is>
          <t>POS</t>
        </is>
      </c>
      <c r="H2164" s="31" t="n">
        <v>5901.7</v>
      </c>
      <c r="I2164" s="31" t="n">
        <v>0</v>
      </c>
      <c r="J2164" s="31" t="n">
        <v>5901.7</v>
      </c>
      <c r="K2164" s="31" t="n">
        <v>230</v>
      </c>
      <c r="L2164" s="32" t="n">
        <v>6</v>
      </c>
      <c r="M2164" s="32" t="n">
        <v>27</v>
      </c>
      <c r="N2164" s="31" t="n">
        <v>5671.7</v>
      </c>
      <c r="O2164" s="31" t="n">
        <v>5901.7</v>
      </c>
      <c r="P2164" s="22" t="n">
        <v>0</v>
      </c>
      <c r="Q2164" s="22" t="n">
        <v>0</v>
      </c>
      <c r="R2164" s="22" t="n">
        <v>0</v>
      </c>
    </row>
    <row r="2165">
      <c r="A2165" s="22" t="n">
        <v>201910</v>
      </c>
      <c r="B2165" s="22" t="inlineStr">
        <is>
          <t>10/2019</t>
        </is>
      </c>
      <c r="C2165" s="22" t="n">
        <v>8</v>
      </c>
      <c r="D2165" s="22" t="inlineStr">
        <is>
          <t>S08</t>
        </is>
      </c>
      <c r="E2165" s="22" t="inlineStr">
        <is>
          <t>Nexa Newfoundland and Labrador (S08)</t>
        </is>
      </c>
      <c r="F2165" s="22" t="inlineStr">
        <is>
          <t>Canada</t>
        </is>
      </c>
      <c r="G2165" s="22" t="inlineStr">
        <is>
          <t>POS</t>
        </is>
      </c>
      <c r="H2165" s="31" t="n">
        <v>14250.97</v>
      </c>
      <c r="I2165" s="31" t="n">
        <v>0</v>
      </c>
      <c r="J2165" s="31" t="n">
        <v>14250.97</v>
      </c>
      <c r="K2165" s="31" t="n">
        <v>2796</v>
      </c>
      <c r="L2165" s="32" t="n">
        <v>13</v>
      </c>
      <c r="M2165" s="32" t="n">
        <v>62</v>
      </c>
      <c r="N2165" s="31" t="n">
        <v>11454.97</v>
      </c>
      <c r="O2165" s="31" t="n">
        <v>14250.97</v>
      </c>
      <c r="P2165" s="22" t="n">
        <v>0</v>
      </c>
      <c r="Q2165" s="22" t="n">
        <v>0</v>
      </c>
      <c r="R2165" s="22" t="n">
        <v>0</v>
      </c>
    </row>
    <row r="2166">
      <c r="A2166" s="22" t="n">
        <v>201910</v>
      </c>
      <c r="B2166" s="22" t="inlineStr">
        <is>
          <t>10/2019</t>
        </is>
      </c>
      <c r="C2166" s="22" t="n">
        <v>9</v>
      </c>
      <c r="D2166" s="22" t="inlineStr">
        <is>
          <t>S09</t>
        </is>
      </c>
      <c r="E2166" s="22" t="inlineStr">
        <is>
          <t>Nexa Northwest Territories (S09)</t>
        </is>
      </c>
      <c r="F2166" s="22" t="inlineStr">
        <is>
          <t>Canada</t>
        </is>
      </c>
      <c r="G2166" s="22" t="inlineStr">
        <is>
          <t>POS</t>
        </is>
      </c>
      <c r="H2166" s="31" t="n">
        <v>35390.58</v>
      </c>
      <c r="I2166" s="31" t="n">
        <v>0</v>
      </c>
      <c r="J2166" s="31" t="n">
        <v>35390.58</v>
      </c>
      <c r="K2166" s="31" t="n">
        <v>479.98</v>
      </c>
      <c r="L2166" s="32" t="n">
        <v>17</v>
      </c>
      <c r="M2166" s="32" t="n">
        <v>129</v>
      </c>
      <c r="N2166" s="31" t="n">
        <v>34910.6</v>
      </c>
      <c r="O2166" s="31" t="n">
        <v>35390.58</v>
      </c>
      <c r="P2166" s="22" t="n">
        <v>0</v>
      </c>
      <c r="Q2166" s="22" t="n">
        <v>0</v>
      </c>
      <c r="R2166" s="22" t="n">
        <v>0</v>
      </c>
    </row>
    <row r="2167">
      <c r="A2167" s="22" t="n">
        <v>201910</v>
      </c>
      <c r="B2167" s="22" t="inlineStr">
        <is>
          <t>10/2019</t>
        </is>
      </c>
      <c r="C2167" s="22" t="n">
        <v>10</v>
      </c>
      <c r="D2167" s="22" t="inlineStr">
        <is>
          <t>S10</t>
        </is>
      </c>
      <c r="E2167" s="22" t="inlineStr">
        <is>
          <t>Nexa Nunavut (S10)</t>
        </is>
      </c>
      <c r="F2167" s="22" t="inlineStr">
        <is>
          <t>Canada</t>
        </is>
      </c>
      <c r="G2167" s="22" t="inlineStr">
        <is>
          <t>POS</t>
        </is>
      </c>
      <c r="H2167" s="31" t="n">
        <v>21269.37</v>
      </c>
      <c r="I2167" s="31" t="n">
        <v>0</v>
      </c>
      <c r="J2167" s="31" t="n">
        <v>21269.37</v>
      </c>
      <c r="K2167" s="31" t="n">
        <v>2188</v>
      </c>
      <c r="L2167" s="32" t="n">
        <v>9</v>
      </c>
      <c r="M2167" s="32" t="n">
        <v>89</v>
      </c>
      <c r="N2167" s="31" t="n">
        <v>19081.37</v>
      </c>
      <c r="O2167" s="31" t="n">
        <v>21269.37</v>
      </c>
      <c r="P2167" s="22" t="n">
        <v>1</v>
      </c>
      <c r="Q2167" s="22" t="n">
        <v>0</v>
      </c>
      <c r="R2167" s="22" t="n">
        <v>0</v>
      </c>
    </row>
    <row r="2168">
      <c r="A2168" s="22" t="n">
        <v>201910</v>
      </c>
      <c r="B2168" s="22" t="inlineStr">
        <is>
          <t>10/2019</t>
        </is>
      </c>
      <c r="C2168" s="22" t="n">
        <v>12</v>
      </c>
      <c r="D2168" s="22" t="inlineStr">
        <is>
          <t>S12</t>
        </is>
      </c>
      <c r="E2168" s="22" t="inlineStr">
        <is>
          <t>Nexa Basse-Normandie (S12)</t>
        </is>
      </c>
      <c r="F2168" s="22" t="inlineStr">
        <is>
          <t>Pháp</t>
        </is>
      </c>
      <c r="G2168" s="22" t="inlineStr">
        <is>
          <t>POS</t>
        </is>
      </c>
      <c r="H2168" s="31" t="n">
        <v>5564.15</v>
      </c>
      <c r="I2168" s="31" t="n">
        <v>0</v>
      </c>
      <c r="J2168" s="31" t="n">
        <v>5564.15</v>
      </c>
      <c r="K2168" s="31" t="n">
        <v>0</v>
      </c>
      <c r="L2168" s="32" t="n">
        <v>2</v>
      </c>
      <c r="M2168" s="32" t="n">
        <v>38</v>
      </c>
      <c r="N2168" s="31" t="n">
        <v>5564.15</v>
      </c>
      <c r="O2168" s="31" t="n">
        <v>5564.15</v>
      </c>
      <c r="P2168" s="22" t="n">
        <v>0</v>
      </c>
      <c r="Q2168" s="22" t="n">
        <v>0</v>
      </c>
      <c r="R2168" s="22" t="n">
        <v>0</v>
      </c>
    </row>
    <row r="2169">
      <c r="A2169" s="22" t="n">
        <v>201910</v>
      </c>
      <c r="B2169" s="22" t="inlineStr">
        <is>
          <t>10/2019</t>
        </is>
      </c>
      <c r="C2169" s="22" t="n">
        <v>13</v>
      </c>
      <c r="D2169" s="22" t="inlineStr">
        <is>
          <t>S13</t>
        </is>
      </c>
      <c r="E2169" s="22" t="inlineStr">
        <is>
          <t>Nexa Corse (S13)</t>
        </is>
      </c>
      <c r="F2169" s="22" t="inlineStr">
        <is>
          <t>Pháp</t>
        </is>
      </c>
      <c r="G2169" s="22" t="inlineStr">
        <is>
          <t>POS</t>
        </is>
      </c>
      <c r="H2169" s="31" t="n">
        <v>3645.91</v>
      </c>
      <c r="I2169" s="31" t="n">
        <v>0</v>
      </c>
      <c r="J2169" s="31" t="n">
        <v>3645.91</v>
      </c>
      <c r="K2169" s="31" t="n">
        <v>0</v>
      </c>
      <c r="L2169" s="32" t="n">
        <v>4</v>
      </c>
      <c r="M2169" s="32" t="n">
        <v>20</v>
      </c>
      <c r="N2169" s="31" t="n">
        <v>3645.91</v>
      </c>
      <c r="O2169" s="31" t="n">
        <v>3645.91</v>
      </c>
      <c r="P2169" s="22" t="n">
        <v>0</v>
      </c>
      <c r="Q2169" s="22" t="n">
        <v>0</v>
      </c>
      <c r="R2169" s="22" t="n">
        <v>0</v>
      </c>
    </row>
    <row r="2170">
      <c r="A2170" s="22" t="n">
        <v>201910</v>
      </c>
      <c r="B2170" s="22" t="inlineStr">
        <is>
          <t>10/2019</t>
        </is>
      </c>
      <c r="C2170" s="22" t="n">
        <v>14</v>
      </c>
      <c r="D2170" s="22" t="inlineStr">
        <is>
          <t>S14</t>
        </is>
      </c>
      <c r="E2170" s="22" t="inlineStr">
        <is>
          <t>Nexa Franche-Comté (S14)</t>
        </is>
      </c>
      <c r="F2170" s="22" t="inlineStr">
        <is>
          <t>Pháp</t>
        </is>
      </c>
      <c r="G2170" s="22" t="inlineStr">
        <is>
          <t>POS</t>
        </is>
      </c>
      <c r="H2170" s="31" t="n">
        <v>2514</v>
      </c>
      <c r="I2170" s="31" t="n">
        <v>0</v>
      </c>
      <c r="J2170" s="31" t="n">
        <v>2514</v>
      </c>
      <c r="K2170" s="31" t="n">
        <v>0</v>
      </c>
      <c r="L2170" s="32" t="n">
        <v>1</v>
      </c>
      <c r="M2170" s="32" t="n">
        <v>3</v>
      </c>
      <c r="N2170" s="31" t="n">
        <v>2514</v>
      </c>
      <c r="O2170" s="31" t="n">
        <v>2514</v>
      </c>
      <c r="P2170" s="22" t="n">
        <v>0</v>
      </c>
      <c r="Q2170" s="22" t="n">
        <v>0</v>
      </c>
      <c r="R2170" s="22" t="n">
        <v>0</v>
      </c>
    </row>
    <row r="2171">
      <c r="A2171" s="22" t="n">
        <v>201910</v>
      </c>
      <c r="B2171" s="22" t="inlineStr">
        <is>
          <t>10/2019</t>
        </is>
      </c>
      <c r="C2171" s="22" t="n">
        <v>15</v>
      </c>
      <c r="D2171" s="22" t="inlineStr">
        <is>
          <t>S15</t>
        </is>
      </c>
      <c r="E2171" s="22" t="inlineStr">
        <is>
          <t>Nexa La Réunion (S15)</t>
        </is>
      </c>
      <c r="F2171" s="22" t="inlineStr">
        <is>
          <t>Pháp</t>
        </is>
      </c>
      <c r="G2171" s="22" t="inlineStr">
        <is>
          <t>POS</t>
        </is>
      </c>
      <c r="H2171" s="31" t="n">
        <v>9755.309999999999</v>
      </c>
      <c r="I2171" s="31" t="n">
        <v>0</v>
      </c>
      <c r="J2171" s="31" t="n">
        <v>9755.309999999999</v>
      </c>
      <c r="K2171" s="31" t="n">
        <v>265.98</v>
      </c>
      <c r="L2171" s="32" t="n">
        <v>4</v>
      </c>
      <c r="M2171" s="32" t="n">
        <v>36</v>
      </c>
      <c r="N2171" s="31" t="n">
        <v>9489.33</v>
      </c>
      <c r="O2171" s="31" t="n">
        <v>9755.309999999999</v>
      </c>
      <c r="P2171" s="22" t="n">
        <v>1</v>
      </c>
      <c r="Q2171" s="22" t="n">
        <v>0</v>
      </c>
      <c r="R2171" s="22" t="n">
        <v>0</v>
      </c>
    </row>
    <row r="2172">
      <c r="A2172" s="22" t="n">
        <v>201910</v>
      </c>
      <c r="B2172" s="22" t="inlineStr">
        <is>
          <t>10/2019</t>
        </is>
      </c>
      <c r="C2172" s="22" t="n">
        <v>16</v>
      </c>
      <c r="D2172" s="22" t="inlineStr">
        <is>
          <t>S16</t>
        </is>
      </c>
      <c r="E2172" s="22" t="inlineStr">
        <is>
          <t>Nexa Limousin (S16)</t>
        </is>
      </c>
      <c r="F2172" s="22" t="inlineStr">
        <is>
          <t>Pháp</t>
        </is>
      </c>
      <c r="G2172" s="22" t="inlineStr">
        <is>
          <t>POS</t>
        </is>
      </c>
      <c r="H2172" s="31" t="n">
        <v>2021.95</v>
      </c>
      <c r="I2172" s="31" t="n">
        <v>0</v>
      </c>
      <c r="J2172" s="31" t="n">
        <v>2021.95</v>
      </c>
      <c r="K2172" s="31" t="n">
        <v>0</v>
      </c>
      <c r="L2172" s="32" t="n">
        <v>1</v>
      </c>
      <c r="M2172" s="32" t="n">
        <v>12</v>
      </c>
      <c r="N2172" s="31" t="n">
        <v>2021.95</v>
      </c>
      <c r="O2172" s="31" t="n">
        <v>2021.95</v>
      </c>
      <c r="P2172" s="22" t="n">
        <v>0</v>
      </c>
      <c r="Q2172" s="22" t="n">
        <v>0</v>
      </c>
      <c r="R2172" s="22" t="n">
        <v>0</v>
      </c>
    </row>
    <row r="2173">
      <c r="A2173" s="22" t="n">
        <v>201910</v>
      </c>
      <c r="B2173" s="22" t="inlineStr">
        <is>
          <t>10/2019</t>
        </is>
      </c>
      <c r="C2173" s="22" t="n">
        <v>17</v>
      </c>
      <c r="D2173" s="22" t="inlineStr">
        <is>
          <t>S17</t>
        </is>
      </c>
      <c r="E2173" s="22" t="inlineStr">
        <is>
          <t>Nexa Martinique (S17)</t>
        </is>
      </c>
      <c r="F2173" s="22" t="inlineStr">
        <is>
          <t>Pháp</t>
        </is>
      </c>
      <c r="G2173" s="22" t="inlineStr">
        <is>
          <t>POS</t>
        </is>
      </c>
      <c r="H2173" s="31" t="n">
        <v>1118.67</v>
      </c>
      <c r="I2173" s="31" t="n">
        <v>0</v>
      </c>
      <c r="J2173" s="31" t="n">
        <v>1118.67</v>
      </c>
      <c r="K2173" s="31" t="n">
        <v>0</v>
      </c>
      <c r="L2173" s="32" t="n">
        <v>1</v>
      </c>
      <c r="M2173" s="32" t="n">
        <v>8</v>
      </c>
      <c r="N2173" s="31" t="n">
        <v>1118.67</v>
      </c>
      <c r="O2173" s="31" t="n">
        <v>1118.67</v>
      </c>
      <c r="P2173" s="22" t="n">
        <v>0</v>
      </c>
      <c r="Q2173" s="22" t="n">
        <v>0</v>
      </c>
      <c r="R2173" s="22" t="n">
        <v>0</v>
      </c>
    </row>
    <row r="2174">
      <c r="A2174" s="22" t="n">
        <v>201910</v>
      </c>
      <c r="B2174" s="22" t="inlineStr">
        <is>
          <t>10/2019</t>
        </is>
      </c>
      <c r="C2174" s="22" t="n">
        <v>18</v>
      </c>
      <c r="D2174" s="22" t="inlineStr">
        <is>
          <t>S18</t>
        </is>
      </c>
      <c r="E2174" s="22" t="inlineStr">
        <is>
          <t>Nexa Mayotte (S18)</t>
        </is>
      </c>
      <c r="F2174" s="22" t="inlineStr">
        <is>
          <t>Pháp</t>
        </is>
      </c>
      <c r="G2174" s="22" t="inlineStr">
        <is>
          <t>POS</t>
        </is>
      </c>
      <c r="H2174" s="31" t="n">
        <v>13776.45</v>
      </c>
      <c r="I2174" s="31" t="n">
        <v>0</v>
      </c>
      <c r="J2174" s="31" t="n">
        <v>13776.45</v>
      </c>
      <c r="K2174" s="31" t="n">
        <v>0</v>
      </c>
      <c r="L2174" s="32" t="n">
        <v>3</v>
      </c>
      <c r="M2174" s="32" t="n">
        <v>41</v>
      </c>
      <c r="N2174" s="31" t="n">
        <v>13776.45</v>
      </c>
      <c r="O2174" s="31" t="n">
        <v>13776.45</v>
      </c>
      <c r="P2174" s="22" t="n">
        <v>0</v>
      </c>
      <c r="Q2174" s="22" t="n">
        <v>0</v>
      </c>
      <c r="R2174" s="22" t="n">
        <v>0</v>
      </c>
    </row>
    <row r="2175">
      <c r="A2175" s="22" t="n">
        <v>201910</v>
      </c>
      <c r="B2175" s="22" t="inlineStr">
        <is>
          <t>10/2019</t>
        </is>
      </c>
      <c r="C2175" s="22" t="n">
        <v>19</v>
      </c>
      <c r="D2175" s="22" t="inlineStr">
        <is>
          <t>S19</t>
        </is>
      </c>
      <c r="E2175" s="22" t="inlineStr">
        <is>
          <t>Nexa Berlin (S19)</t>
        </is>
      </c>
      <c r="F2175" s="22" t="inlineStr">
        <is>
          <t>Đức</t>
        </is>
      </c>
      <c r="G2175" s="22" t="inlineStr">
        <is>
          <t>POS</t>
        </is>
      </c>
      <c r="H2175" s="31" t="n">
        <v>20819.15</v>
      </c>
      <c r="I2175" s="31" t="n">
        <v>0</v>
      </c>
      <c r="J2175" s="31" t="n">
        <v>20819.15</v>
      </c>
      <c r="K2175" s="31" t="n">
        <v>0</v>
      </c>
      <c r="L2175" s="32" t="n">
        <v>10</v>
      </c>
      <c r="M2175" s="32" t="n">
        <v>102</v>
      </c>
      <c r="N2175" s="31" t="n">
        <v>20819.15</v>
      </c>
      <c r="O2175" s="31" t="n">
        <v>20819.15</v>
      </c>
      <c r="P2175" s="22" t="n">
        <v>0</v>
      </c>
      <c r="Q2175" s="22" t="n">
        <v>0</v>
      </c>
      <c r="R2175" s="22" t="n">
        <v>0</v>
      </c>
    </row>
    <row r="2176">
      <c r="A2176" s="22" t="n">
        <v>201910</v>
      </c>
      <c r="B2176" s="22" t="inlineStr">
        <is>
          <t>10/2019</t>
        </is>
      </c>
      <c r="C2176" s="22" t="n">
        <v>21</v>
      </c>
      <c r="D2176" s="22" t="inlineStr">
        <is>
          <t>S21</t>
        </is>
      </c>
      <c r="E2176" s="22" t="inlineStr">
        <is>
          <t>Nexa Freie Hansestadt Bremen (S21)</t>
        </is>
      </c>
      <c r="F2176" s="22" t="inlineStr">
        <is>
          <t>Đức</t>
        </is>
      </c>
      <c r="G2176" s="22" t="inlineStr">
        <is>
          <t>POS</t>
        </is>
      </c>
      <c r="H2176" s="31" t="n">
        <v>7237.98</v>
      </c>
      <c r="I2176" s="31" t="n">
        <v>0</v>
      </c>
      <c r="J2176" s="31" t="n">
        <v>7237.98</v>
      </c>
      <c r="K2176" s="31" t="n">
        <v>1948.1</v>
      </c>
      <c r="L2176" s="32" t="n">
        <v>5</v>
      </c>
      <c r="M2176" s="32" t="n">
        <v>34</v>
      </c>
      <c r="N2176" s="31" t="n">
        <v>5289.88</v>
      </c>
      <c r="O2176" s="31" t="n">
        <v>7237.98</v>
      </c>
      <c r="P2176" s="22" t="n">
        <v>0</v>
      </c>
      <c r="Q2176" s="22" t="n">
        <v>0</v>
      </c>
      <c r="R2176" s="22" t="n">
        <v>0</v>
      </c>
    </row>
    <row r="2177">
      <c r="A2177" s="22" t="n">
        <v>201910</v>
      </c>
      <c r="B2177" s="22" t="inlineStr">
        <is>
          <t>10/2019</t>
        </is>
      </c>
      <c r="C2177" s="22" t="n">
        <v>22</v>
      </c>
      <c r="D2177" s="22" t="inlineStr">
        <is>
          <t>S22</t>
        </is>
      </c>
      <c r="E2177" s="22" t="inlineStr">
        <is>
          <t>Nexa Freistaat Thüringen (S22)</t>
        </is>
      </c>
      <c r="F2177" s="22" t="inlineStr">
        <is>
          <t>Đức</t>
        </is>
      </c>
      <c r="G2177" s="22" t="inlineStr">
        <is>
          <t>POS</t>
        </is>
      </c>
      <c r="H2177" s="31" t="n">
        <v>15670.7</v>
      </c>
      <c r="I2177" s="31" t="n">
        <v>0</v>
      </c>
      <c r="J2177" s="31" t="n">
        <v>15670.7</v>
      </c>
      <c r="K2177" s="31" t="n">
        <v>317.5</v>
      </c>
      <c r="L2177" s="32" t="n">
        <v>12</v>
      </c>
      <c r="M2177" s="32" t="n">
        <v>88</v>
      </c>
      <c r="N2177" s="31" t="n">
        <v>15353.2</v>
      </c>
      <c r="O2177" s="31" t="n">
        <v>15670.7</v>
      </c>
      <c r="P2177" s="22" t="n">
        <v>0</v>
      </c>
      <c r="Q2177" s="22" t="n">
        <v>0</v>
      </c>
      <c r="R2177" s="22" t="n">
        <v>0</v>
      </c>
    </row>
    <row r="2178">
      <c r="A2178" s="22" t="n">
        <v>201910</v>
      </c>
      <c r="B2178" s="22" t="inlineStr">
        <is>
          <t>10/2019</t>
        </is>
      </c>
      <c r="C2178" s="22" t="n">
        <v>23</v>
      </c>
      <c r="D2178" s="22" t="inlineStr">
        <is>
          <t>S23</t>
        </is>
      </c>
      <c r="E2178" s="22" t="inlineStr">
        <is>
          <t>Nexa Hamburg (S23)</t>
        </is>
      </c>
      <c r="F2178" s="22" t="inlineStr">
        <is>
          <t>Đức</t>
        </is>
      </c>
      <c r="G2178" s="22" t="inlineStr">
        <is>
          <t>POS</t>
        </is>
      </c>
      <c r="H2178" s="31" t="n">
        <v>18986.2</v>
      </c>
      <c r="I2178" s="31" t="n">
        <v>0</v>
      </c>
      <c r="J2178" s="31" t="n">
        <v>18986.2</v>
      </c>
      <c r="K2178" s="31" t="n">
        <v>0</v>
      </c>
      <c r="L2178" s="32" t="n">
        <v>6</v>
      </c>
      <c r="M2178" s="32" t="n">
        <v>62</v>
      </c>
      <c r="N2178" s="31" t="n">
        <v>18982.55</v>
      </c>
      <c r="O2178" s="31" t="n">
        <v>18986.2</v>
      </c>
      <c r="P2178" s="22" t="n">
        <v>0</v>
      </c>
      <c r="Q2178" s="22" t="n">
        <v>0</v>
      </c>
      <c r="R2178" s="22" t="n">
        <v>0</v>
      </c>
    </row>
    <row r="2179">
      <c r="A2179" s="22" t="n">
        <v>201910</v>
      </c>
      <c r="B2179" s="22" t="inlineStr">
        <is>
          <t>10/2019</t>
        </is>
      </c>
      <c r="C2179" s="22" t="n">
        <v>24</v>
      </c>
      <c r="D2179" s="22" t="inlineStr">
        <is>
          <t>S24</t>
        </is>
      </c>
      <c r="E2179" s="22" t="inlineStr">
        <is>
          <t>Nexa Hessen (S24)</t>
        </is>
      </c>
      <c r="F2179" s="22" t="inlineStr">
        <is>
          <t>Đức</t>
        </is>
      </c>
      <c r="G2179" s="22" t="inlineStr">
        <is>
          <t>POS</t>
        </is>
      </c>
      <c r="H2179" s="31" t="n">
        <v>22046.92</v>
      </c>
      <c r="I2179" s="31" t="n">
        <v>0</v>
      </c>
      <c r="J2179" s="31" t="n">
        <v>22046.92</v>
      </c>
      <c r="K2179" s="31" t="n">
        <v>0</v>
      </c>
      <c r="L2179" s="32" t="n">
        <v>10</v>
      </c>
      <c r="M2179" s="32" t="n">
        <v>89</v>
      </c>
      <c r="N2179" s="31" t="n">
        <v>22046.92</v>
      </c>
      <c r="O2179" s="31" t="n">
        <v>22046.92</v>
      </c>
      <c r="P2179" s="22" t="n">
        <v>0</v>
      </c>
      <c r="Q2179" s="22" t="n">
        <v>0</v>
      </c>
      <c r="R2179" s="22" t="n">
        <v>0</v>
      </c>
    </row>
    <row r="2180">
      <c r="A2180" s="22" t="n">
        <v>201910</v>
      </c>
      <c r="B2180" s="22" t="inlineStr">
        <is>
          <t>10/2019</t>
        </is>
      </c>
      <c r="C2180" s="22" t="n">
        <v>26</v>
      </c>
      <c r="D2180" s="22" t="inlineStr">
        <is>
          <t>S26</t>
        </is>
      </c>
      <c r="E2180" s="22" t="inlineStr">
        <is>
          <t>Nexa Saarland (S26)</t>
        </is>
      </c>
      <c r="F2180" s="22" t="inlineStr">
        <is>
          <t>Đức</t>
        </is>
      </c>
      <c r="G2180" s="22" t="inlineStr">
        <is>
          <t>POS</t>
        </is>
      </c>
      <c r="H2180" s="31" t="n">
        <v>18507.79</v>
      </c>
      <c r="I2180" s="31" t="n">
        <v>0</v>
      </c>
      <c r="J2180" s="31" t="n">
        <v>18507.79</v>
      </c>
      <c r="K2180" s="31" t="n">
        <v>0</v>
      </c>
      <c r="L2180" s="32" t="n">
        <v>9</v>
      </c>
      <c r="M2180" s="32" t="n">
        <v>63</v>
      </c>
      <c r="N2180" s="31" t="n">
        <v>18507.79</v>
      </c>
      <c r="O2180" s="31" t="n">
        <v>18507.79</v>
      </c>
      <c r="P2180" s="22" t="n">
        <v>0</v>
      </c>
      <c r="Q2180" s="22" t="n">
        <v>0</v>
      </c>
      <c r="R2180" s="22" t="n">
        <v>0</v>
      </c>
    </row>
    <row r="2181">
      <c r="A2181" s="22" t="n">
        <v>201910</v>
      </c>
      <c r="B2181" s="22" t="inlineStr">
        <is>
          <t>10/2019</t>
        </is>
      </c>
      <c r="C2181" s="22" t="n">
        <v>27</v>
      </c>
      <c r="D2181" s="22" t="inlineStr">
        <is>
          <t>S27</t>
        </is>
      </c>
      <c r="E2181" s="22" t="inlineStr">
        <is>
          <t>Nexa Sachsen-Anhalt (S27)</t>
        </is>
      </c>
      <c r="F2181" s="22" t="inlineStr">
        <is>
          <t>Đức</t>
        </is>
      </c>
      <c r="G2181" s="22" t="inlineStr">
        <is>
          <t>POS</t>
        </is>
      </c>
      <c r="H2181" s="31" t="n">
        <v>9387.370000000001</v>
      </c>
      <c r="I2181" s="31" t="n">
        <v>0</v>
      </c>
      <c r="J2181" s="31" t="n">
        <v>9387.370000000001</v>
      </c>
      <c r="K2181" s="31" t="n">
        <v>879.4</v>
      </c>
      <c r="L2181" s="32" t="n">
        <v>8</v>
      </c>
      <c r="M2181" s="32" t="n">
        <v>62</v>
      </c>
      <c r="N2181" s="31" t="n">
        <v>8507.969999999999</v>
      </c>
      <c r="O2181" s="31" t="n">
        <v>9387.370000000001</v>
      </c>
      <c r="P2181" s="22" t="n">
        <v>1</v>
      </c>
      <c r="Q2181" s="22" t="n">
        <v>0</v>
      </c>
      <c r="R2181" s="22" t="n">
        <v>0</v>
      </c>
    </row>
    <row r="2182">
      <c r="A2182" s="22" t="n">
        <v>201910</v>
      </c>
      <c r="B2182" s="22" t="inlineStr">
        <is>
          <t>10/2019</t>
        </is>
      </c>
      <c r="C2182" s="22" t="n">
        <v>29</v>
      </c>
      <c r="D2182" s="22" t="inlineStr">
        <is>
          <t>S29</t>
        </is>
      </c>
      <c r="E2182" s="22" t="inlineStr">
        <is>
          <t>Nexa Enna (S29)</t>
        </is>
      </c>
      <c r="F2182" s="22" t="inlineStr">
        <is>
          <t>Ý</t>
        </is>
      </c>
      <c r="G2182" s="22" t="inlineStr">
        <is>
          <t>POS</t>
        </is>
      </c>
      <c r="H2182" s="31" t="n">
        <v>37008.81</v>
      </c>
      <c r="I2182" s="31" t="n">
        <v>0</v>
      </c>
      <c r="J2182" s="31" t="n">
        <v>37008.81</v>
      </c>
      <c r="K2182" s="31" t="n">
        <v>1434</v>
      </c>
      <c r="L2182" s="32" t="n">
        <v>18</v>
      </c>
      <c r="M2182" s="32" t="n">
        <v>138</v>
      </c>
      <c r="N2182" s="31" t="n">
        <v>35574.81</v>
      </c>
      <c r="O2182" s="31" t="n">
        <v>37008.81</v>
      </c>
      <c r="P2182" s="22" t="n">
        <v>0</v>
      </c>
      <c r="Q2182" s="22" t="n">
        <v>0</v>
      </c>
      <c r="R2182" s="22" t="n">
        <v>0</v>
      </c>
    </row>
    <row r="2183">
      <c r="A2183" s="22" t="n">
        <v>201910</v>
      </c>
      <c r="B2183" s="22" t="inlineStr">
        <is>
          <t>10/2019</t>
        </is>
      </c>
      <c r="C2183" s="22" t="n">
        <v>30</v>
      </c>
      <c r="D2183" s="22" t="inlineStr">
        <is>
          <t>S30</t>
        </is>
      </c>
      <c r="E2183" s="22" t="inlineStr">
        <is>
          <t>Nexa Pesaro (S30)</t>
        </is>
      </c>
      <c r="F2183" s="22" t="inlineStr">
        <is>
          <t>Ý</t>
        </is>
      </c>
      <c r="G2183" s="22" t="inlineStr">
        <is>
          <t>POS</t>
        </is>
      </c>
      <c r="H2183" s="31" t="n">
        <v>30024.74</v>
      </c>
      <c r="I2183" s="31" t="n">
        <v>0</v>
      </c>
      <c r="J2183" s="31" t="n">
        <v>30024.74</v>
      </c>
      <c r="K2183" s="31" t="n">
        <v>0</v>
      </c>
      <c r="L2183" s="32" t="n">
        <v>14</v>
      </c>
      <c r="M2183" s="32" t="n">
        <v>123</v>
      </c>
      <c r="N2183" s="31" t="n">
        <v>30024.74</v>
      </c>
      <c r="O2183" s="31" t="n">
        <v>30024.74</v>
      </c>
      <c r="P2183" s="22" t="n">
        <v>0</v>
      </c>
      <c r="Q2183" s="22" t="n">
        <v>0</v>
      </c>
      <c r="R2183" s="22" t="n">
        <v>0</v>
      </c>
    </row>
    <row r="2184">
      <c r="A2184" s="22" t="n">
        <v>201910</v>
      </c>
      <c r="B2184" s="22" t="inlineStr">
        <is>
          <t>10/2019</t>
        </is>
      </c>
      <c r="C2184" s="22" t="n">
        <v>31</v>
      </c>
      <c r="D2184" s="22" t="inlineStr">
        <is>
          <t>S31</t>
        </is>
      </c>
      <c r="E2184" s="22" t="inlineStr">
        <is>
          <t>Nexa Drenthe (S31)</t>
        </is>
      </c>
      <c r="F2184" s="22" t="inlineStr">
        <is>
          <t>Hà Lan</t>
        </is>
      </c>
      <c r="G2184" s="22" t="inlineStr">
        <is>
          <t>POS</t>
        </is>
      </c>
      <c r="H2184" s="31" t="n">
        <v>11563.59</v>
      </c>
      <c r="I2184" s="31" t="n">
        <v>0</v>
      </c>
      <c r="J2184" s="31" t="n">
        <v>11563.59</v>
      </c>
      <c r="K2184" s="31" t="n">
        <v>0</v>
      </c>
      <c r="L2184" s="32" t="n">
        <v>6</v>
      </c>
      <c r="M2184" s="32" t="n">
        <v>69</v>
      </c>
      <c r="N2184" s="31" t="n">
        <v>11563.59</v>
      </c>
      <c r="O2184" s="31" t="n">
        <v>11563.59</v>
      </c>
      <c r="P2184" s="22" t="n">
        <v>0</v>
      </c>
      <c r="Q2184" s="22" t="n">
        <v>0</v>
      </c>
      <c r="R2184" s="22" t="n">
        <v>0</v>
      </c>
    </row>
    <row r="2185">
      <c r="A2185" s="22" t="n">
        <v>201910</v>
      </c>
      <c r="B2185" s="22" t="inlineStr">
        <is>
          <t>10/2019</t>
        </is>
      </c>
      <c r="C2185" s="22" t="n">
        <v>32</v>
      </c>
      <c r="D2185" s="22" t="inlineStr">
        <is>
          <t>S32</t>
        </is>
      </c>
      <c r="E2185" s="22" t="inlineStr">
        <is>
          <t>Nexa Flevoland (S32)</t>
        </is>
      </c>
      <c r="F2185" s="22" t="inlineStr">
        <is>
          <t>Hà Lan</t>
        </is>
      </c>
      <c r="G2185" s="22" t="inlineStr">
        <is>
          <t>POS</t>
        </is>
      </c>
      <c r="H2185" s="31" t="n">
        <v>2933.93</v>
      </c>
      <c r="I2185" s="31" t="n">
        <v>0</v>
      </c>
      <c r="J2185" s="31" t="n">
        <v>2933.93</v>
      </c>
      <c r="K2185" s="31" t="n">
        <v>0</v>
      </c>
      <c r="L2185" s="32" t="n">
        <v>2</v>
      </c>
      <c r="M2185" s="32" t="n">
        <v>10</v>
      </c>
      <c r="N2185" s="31" t="n">
        <v>2933.93</v>
      </c>
      <c r="O2185" s="31" t="n">
        <v>2933.93</v>
      </c>
      <c r="P2185" s="22" t="n">
        <v>0</v>
      </c>
      <c r="Q2185" s="22" t="n">
        <v>0</v>
      </c>
      <c r="R2185" s="22" t="n">
        <v>0</v>
      </c>
    </row>
    <row r="2186">
      <c r="A2186" s="22" t="n">
        <v>201910</v>
      </c>
      <c r="B2186" s="22" t="inlineStr">
        <is>
          <t>10/2019</t>
        </is>
      </c>
      <c r="C2186" s="22" t="n">
        <v>33</v>
      </c>
      <c r="D2186" s="22" t="inlineStr">
        <is>
          <t>S33</t>
        </is>
      </c>
      <c r="E2186" s="22" t="inlineStr">
        <is>
          <t>Nexa Friesland (S33)</t>
        </is>
      </c>
      <c r="F2186" s="22" t="inlineStr">
        <is>
          <t>Hà Lan</t>
        </is>
      </c>
      <c r="G2186" s="22" t="inlineStr">
        <is>
          <t>POS</t>
        </is>
      </c>
      <c r="H2186" s="31" t="n">
        <v>6884.84</v>
      </c>
      <c r="I2186" s="31" t="n">
        <v>0</v>
      </c>
      <c r="J2186" s="31" t="n">
        <v>6884.84</v>
      </c>
      <c r="K2186" s="31" t="n">
        <v>259.8</v>
      </c>
      <c r="L2186" s="32" t="n">
        <v>7</v>
      </c>
      <c r="M2186" s="32" t="n">
        <v>43</v>
      </c>
      <c r="N2186" s="31" t="n">
        <v>6625.04</v>
      </c>
      <c r="O2186" s="31" t="n">
        <v>6884.84</v>
      </c>
      <c r="P2186" s="22" t="n">
        <v>1</v>
      </c>
      <c r="Q2186" s="22" t="n">
        <v>0</v>
      </c>
      <c r="R2186" s="22" t="n">
        <v>0</v>
      </c>
    </row>
    <row r="2187">
      <c r="A2187" s="22" t="n">
        <v>201910</v>
      </c>
      <c r="B2187" s="22" t="inlineStr">
        <is>
          <t>10/2019</t>
        </is>
      </c>
      <c r="C2187" s="22" t="n">
        <v>36</v>
      </c>
      <c r="D2187" s="22" t="inlineStr">
        <is>
          <t>S36</t>
        </is>
      </c>
      <c r="E2187" s="22" t="inlineStr">
        <is>
          <t>Nexa Armagh (S36)</t>
        </is>
      </c>
      <c r="F2187" s="22" t="inlineStr">
        <is>
          <t>Anh</t>
        </is>
      </c>
      <c r="G2187" s="22" t="inlineStr">
        <is>
          <t>POS</t>
        </is>
      </c>
      <c r="H2187" s="31" t="n">
        <v>23320.24</v>
      </c>
      <c r="I2187" s="31" t="n">
        <v>0</v>
      </c>
      <c r="J2187" s="31" t="n">
        <v>23320.24</v>
      </c>
      <c r="K2187" s="31" t="n">
        <v>269.95</v>
      </c>
      <c r="L2187" s="32" t="n">
        <v>14</v>
      </c>
      <c r="M2187" s="32" t="n">
        <v>75</v>
      </c>
      <c r="N2187" s="31" t="n">
        <v>23050.29</v>
      </c>
      <c r="O2187" s="31" t="n">
        <v>23320.24</v>
      </c>
      <c r="P2187" s="22" t="n">
        <v>0</v>
      </c>
      <c r="Q2187" s="22" t="n">
        <v>0</v>
      </c>
      <c r="R2187" s="22" t="n">
        <v>0</v>
      </c>
    </row>
    <row r="2188">
      <c r="A2188" s="22" t="n">
        <v>201910</v>
      </c>
      <c r="B2188" s="22" t="inlineStr">
        <is>
          <t>10/2019</t>
        </is>
      </c>
      <c r="C2188" s="22" t="n">
        <v>37</v>
      </c>
      <c r="D2188" s="22" t="inlineStr">
        <is>
          <t>S37</t>
        </is>
      </c>
      <c r="E2188" s="22" t="inlineStr">
        <is>
          <t>Nexa Ayrshire (S37)</t>
        </is>
      </c>
      <c r="F2188" s="22" t="inlineStr">
        <is>
          <t>Anh</t>
        </is>
      </c>
      <c r="G2188" s="22" t="inlineStr">
        <is>
          <t>POS</t>
        </is>
      </c>
      <c r="H2188" s="31" t="n">
        <v>12930.72</v>
      </c>
      <c r="I2188" s="31" t="n">
        <v>0</v>
      </c>
      <c r="J2188" s="31" t="n">
        <v>12930.72</v>
      </c>
      <c r="K2188" s="31" t="n">
        <v>259.99</v>
      </c>
      <c r="L2188" s="32" t="n">
        <v>10</v>
      </c>
      <c r="M2188" s="32" t="n">
        <v>87</v>
      </c>
      <c r="N2188" s="31" t="n">
        <v>12670.73</v>
      </c>
      <c r="O2188" s="31" t="n">
        <v>12930.72</v>
      </c>
      <c r="P2188" s="22" t="n">
        <v>0</v>
      </c>
      <c r="Q2188" s="22" t="n">
        <v>0</v>
      </c>
      <c r="R2188" s="22" t="n">
        <v>0</v>
      </c>
    </row>
    <row r="2189">
      <c r="A2189" s="22" t="n">
        <v>201910</v>
      </c>
      <c r="B2189" s="22" t="inlineStr">
        <is>
          <t>10/2019</t>
        </is>
      </c>
      <c r="C2189" s="22" t="n">
        <v>38</v>
      </c>
      <c r="D2189" s="22" t="inlineStr">
        <is>
          <t>S38</t>
        </is>
      </c>
      <c r="E2189" s="22" t="inlineStr">
        <is>
          <t>Nexa Belfast (S38)</t>
        </is>
      </c>
      <c r="F2189" s="22" t="inlineStr">
        <is>
          <t>Anh</t>
        </is>
      </c>
      <c r="G2189" s="22" t="inlineStr">
        <is>
          <t>POS</t>
        </is>
      </c>
      <c r="H2189" s="31" t="n">
        <v>22711.35</v>
      </c>
      <c r="I2189" s="31" t="n">
        <v>0</v>
      </c>
      <c r="J2189" s="31" t="n">
        <v>22711.35</v>
      </c>
      <c r="K2189" s="31" t="n">
        <v>0</v>
      </c>
      <c r="L2189" s="32" t="n">
        <v>14</v>
      </c>
      <c r="M2189" s="32" t="n">
        <v>100</v>
      </c>
      <c r="N2189" s="31" t="n">
        <v>22711.35</v>
      </c>
      <c r="O2189" s="31" t="n">
        <v>22711.35</v>
      </c>
      <c r="P2189" s="22" t="n">
        <v>1</v>
      </c>
      <c r="Q2189" s="22" t="n">
        <v>0</v>
      </c>
      <c r="R2189" s="22" t="n">
        <v>0</v>
      </c>
    </row>
    <row r="2190">
      <c r="A2190" s="22" t="n">
        <v>201910</v>
      </c>
      <c r="B2190" s="22" t="inlineStr">
        <is>
          <t>10/2019</t>
        </is>
      </c>
      <c r="C2190" s="22" t="n">
        <v>39</v>
      </c>
      <c r="D2190" s="22" t="inlineStr">
        <is>
          <t>S39</t>
        </is>
      </c>
      <c r="E2190" s="22" t="inlineStr">
        <is>
          <t>Nexa Blaenau Gwent (S39)</t>
        </is>
      </c>
      <c r="F2190" s="22" t="inlineStr">
        <is>
          <t>Anh</t>
        </is>
      </c>
      <c r="G2190" s="22" t="inlineStr">
        <is>
          <t>POS</t>
        </is>
      </c>
      <c r="H2190" s="31" t="n">
        <v>20757.56</v>
      </c>
      <c r="I2190" s="31" t="n">
        <v>0</v>
      </c>
      <c r="J2190" s="31" t="n">
        <v>20757.56</v>
      </c>
      <c r="K2190" s="31" t="n">
        <v>0</v>
      </c>
      <c r="L2190" s="32" t="n">
        <v>11</v>
      </c>
      <c r="M2190" s="32" t="n">
        <v>98</v>
      </c>
      <c r="N2190" s="31" t="n">
        <v>20757.56</v>
      </c>
      <c r="O2190" s="31" t="n">
        <v>20757.56</v>
      </c>
      <c r="P2190" s="22" t="n">
        <v>0</v>
      </c>
      <c r="Q2190" s="22" t="n">
        <v>0</v>
      </c>
      <c r="R2190" s="22" t="n">
        <v>0</v>
      </c>
    </row>
    <row r="2191">
      <c r="A2191" s="22" t="n">
        <v>201910</v>
      </c>
      <c r="B2191" s="22" t="inlineStr">
        <is>
          <t>10/2019</t>
        </is>
      </c>
      <c r="C2191" s="22" t="n">
        <v>40</v>
      </c>
      <c r="D2191" s="22" t="inlineStr">
        <is>
          <t>S40</t>
        </is>
      </c>
      <c r="E2191" s="22" t="inlineStr">
        <is>
          <t>Nexa Dungannon and South Tyrone (S40)</t>
        </is>
      </c>
      <c r="F2191" s="22" t="inlineStr">
        <is>
          <t>Anh</t>
        </is>
      </c>
      <c r="G2191" s="22" t="inlineStr">
        <is>
          <t>POS</t>
        </is>
      </c>
      <c r="H2191" s="31" t="n">
        <v>21895.83</v>
      </c>
      <c r="I2191" s="31" t="n">
        <v>0</v>
      </c>
      <c r="J2191" s="31" t="n">
        <v>21895.83</v>
      </c>
      <c r="K2191" s="31" t="n">
        <v>13.76</v>
      </c>
      <c r="L2191" s="32" t="n">
        <v>14</v>
      </c>
      <c r="M2191" s="32" t="n">
        <v>91</v>
      </c>
      <c r="N2191" s="31" t="n">
        <v>21882.07</v>
      </c>
      <c r="O2191" s="31" t="n">
        <v>21895.83</v>
      </c>
      <c r="P2191" s="22" t="n">
        <v>0</v>
      </c>
      <c r="Q2191" s="22" t="n">
        <v>0</v>
      </c>
      <c r="R2191" s="22" t="n">
        <v>0</v>
      </c>
    </row>
    <row r="2192">
      <c r="A2192" s="22" t="n">
        <v>201910</v>
      </c>
      <c r="B2192" s="22" t="inlineStr">
        <is>
          <t>10/2019</t>
        </is>
      </c>
      <c r="C2192" s="22" t="n">
        <v>42</v>
      </c>
      <c r="D2192" s="22" t="inlineStr">
        <is>
          <t>S42</t>
        </is>
      </c>
      <c r="E2192" s="22" t="inlineStr">
        <is>
          <t>Nexa North Down (S42)</t>
        </is>
      </c>
      <c r="F2192" s="22" t="inlineStr">
        <is>
          <t>Anh</t>
        </is>
      </c>
      <c r="G2192" s="22" t="inlineStr">
        <is>
          <t>POS</t>
        </is>
      </c>
      <c r="H2192" s="31" t="n">
        <v>15243.27</v>
      </c>
      <c r="I2192" s="31" t="n">
        <v>0</v>
      </c>
      <c r="J2192" s="31" t="n">
        <v>15243.27</v>
      </c>
      <c r="K2192" s="31" t="n">
        <v>52.09</v>
      </c>
      <c r="L2192" s="32" t="n">
        <v>8</v>
      </c>
      <c r="M2192" s="32" t="n">
        <v>55</v>
      </c>
      <c r="N2192" s="31" t="n">
        <v>15191.18</v>
      </c>
      <c r="O2192" s="31" t="n">
        <v>15243.27</v>
      </c>
      <c r="P2192" s="22" t="n">
        <v>1</v>
      </c>
      <c r="Q2192" s="22" t="n">
        <v>0</v>
      </c>
      <c r="R2192" s="22" t="n">
        <v>0</v>
      </c>
    </row>
    <row r="2193">
      <c r="A2193" s="22" t="n">
        <v>201910</v>
      </c>
      <c r="B2193" s="22" t="inlineStr">
        <is>
          <t>10/2019</t>
        </is>
      </c>
      <c r="C2193" s="22" t="n">
        <v>43</v>
      </c>
      <c r="D2193" s="22" t="inlineStr">
        <is>
          <t>S43</t>
        </is>
      </c>
      <c r="E2193" s="22" t="inlineStr">
        <is>
          <t>Nexa Alaska (S43)</t>
        </is>
      </c>
      <c r="F2193" s="22" t="inlineStr">
        <is>
          <t>Mỹ</t>
        </is>
      </c>
      <c r="G2193" s="22" t="inlineStr">
        <is>
          <t>POS</t>
        </is>
      </c>
      <c r="H2193" s="31" t="n">
        <v>48128.03</v>
      </c>
      <c r="I2193" s="31" t="n">
        <v>0</v>
      </c>
      <c r="J2193" s="31" t="n">
        <v>48128.03</v>
      </c>
      <c r="K2193" s="31" t="n">
        <v>0</v>
      </c>
      <c r="L2193" s="32" t="n">
        <v>17</v>
      </c>
      <c r="M2193" s="32" t="n">
        <v>149</v>
      </c>
      <c r="N2193" s="31" t="n">
        <v>48128.03</v>
      </c>
      <c r="O2193" s="31" t="n">
        <v>48128.03</v>
      </c>
      <c r="P2193" s="22" t="n">
        <v>0</v>
      </c>
      <c r="Q2193" s="22" t="n">
        <v>0</v>
      </c>
      <c r="R2193" s="22" t="n">
        <v>0</v>
      </c>
    </row>
    <row r="2194">
      <c r="A2194" s="22" t="n">
        <v>201910</v>
      </c>
      <c r="B2194" s="22" t="inlineStr">
        <is>
          <t>10/2019</t>
        </is>
      </c>
      <c r="C2194" s="22" t="n">
        <v>44</v>
      </c>
      <c r="D2194" s="22" t="inlineStr">
        <is>
          <t>S44</t>
        </is>
      </c>
      <c r="E2194" s="22" t="inlineStr">
        <is>
          <t>Nexa Arkansas (S44)</t>
        </is>
      </c>
      <c r="F2194" s="22" t="inlineStr">
        <is>
          <t>Mỹ</t>
        </is>
      </c>
      <c r="G2194" s="22" t="inlineStr">
        <is>
          <t>POS</t>
        </is>
      </c>
      <c r="H2194" s="31" t="n">
        <v>18916.35</v>
      </c>
      <c r="I2194" s="31" t="n">
        <v>0</v>
      </c>
      <c r="J2194" s="31" t="n">
        <v>18916.35</v>
      </c>
      <c r="K2194" s="31" t="n">
        <v>0</v>
      </c>
      <c r="L2194" s="32" t="n">
        <v>23</v>
      </c>
      <c r="M2194" s="32" t="n">
        <v>116</v>
      </c>
      <c r="N2194" s="31" t="n">
        <v>18916.35</v>
      </c>
      <c r="O2194" s="31" t="n">
        <v>18916.35</v>
      </c>
      <c r="P2194" s="22" t="n">
        <v>0</v>
      </c>
      <c r="Q2194" s="22" t="n">
        <v>0</v>
      </c>
      <c r="R2194" s="22" t="n">
        <v>0</v>
      </c>
    </row>
    <row r="2195">
      <c r="A2195" s="22" t="n">
        <v>201910</v>
      </c>
      <c r="B2195" s="22" t="inlineStr">
        <is>
          <t>10/2019</t>
        </is>
      </c>
      <c r="C2195" s="22" t="n">
        <v>45</v>
      </c>
      <c r="D2195" s="22" t="inlineStr">
        <is>
          <t>S45</t>
        </is>
      </c>
      <c r="E2195" s="22" t="inlineStr">
        <is>
          <t>Nexa Connecticut (S45)</t>
        </is>
      </c>
      <c r="F2195" s="22" t="inlineStr">
        <is>
          <t>Mỹ</t>
        </is>
      </c>
      <c r="G2195" s="22" t="inlineStr">
        <is>
          <t>POS</t>
        </is>
      </c>
      <c r="H2195" s="31" t="n">
        <v>31386.31</v>
      </c>
      <c r="I2195" s="31" t="n">
        <v>0</v>
      </c>
      <c r="J2195" s="31" t="n">
        <v>31386.31</v>
      </c>
      <c r="K2195" s="31" t="n">
        <v>33.98</v>
      </c>
      <c r="L2195" s="32" t="n">
        <v>22</v>
      </c>
      <c r="M2195" s="32" t="n">
        <v>150</v>
      </c>
      <c r="N2195" s="31" t="n">
        <v>31352.33</v>
      </c>
      <c r="O2195" s="31" t="n">
        <v>31386.31</v>
      </c>
      <c r="P2195" s="22" t="n">
        <v>0</v>
      </c>
      <c r="Q2195" s="22" t="n">
        <v>0</v>
      </c>
      <c r="R2195" s="22" t="n">
        <v>0</v>
      </c>
    </row>
    <row r="2196">
      <c r="A2196" s="22" t="n">
        <v>201910</v>
      </c>
      <c r="B2196" s="22" t="inlineStr">
        <is>
          <t>10/2019</t>
        </is>
      </c>
      <c r="C2196" s="22" t="n">
        <v>47</v>
      </c>
      <c r="D2196" s="22" t="inlineStr">
        <is>
          <t>S47</t>
        </is>
      </c>
      <c r="E2196" s="22" t="inlineStr">
        <is>
          <t>Nexa Hawaii (S47)</t>
        </is>
      </c>
      <c r="F2196" s="22" t="inlineStr">
        <is>
          <t>Mỹ</t>
        </is>
      </c>
      <c r="G2196" s="22" t="inlineStr">
        <is>
          <t>POS</t>
        </is>
      </c>
      <c r="H2196" s="31" t="n">
        <v>84616.17</v>
      </c>
      <c r="I2196" s="31" t="n">
        <v>0</v>
      </c>
      <c r="J2196" s="31" t="n">
        <v>84616.17</v>
      </c>
      <c r="K2196" s="31" t="n">
        <v>753.38</v>
      </c>
      <c r="L2196" s="32" t="n">
        <v>23</v>
      </c>
      <c r="M2196" s="32" t="n">
        <v>184</v>
      </c>
      <c r="N2196" s="31" t="n">
        <v>82783.14999999999</v>
      </c>
      <c r="O2196" s="31" t="n">
        <v>84616.17</v>
      </c>
      <c r="P2196" s="22" t="n">
        <v>0</v>
      </c>
      <c r="Q2196" s="22" t="n">
        <v>0</v>
      </c>
      <c r="R2196" s="22" t="n">
        <v>0</v>
      </c>
    </row>
    <row r="2197">
      <c r="A2197" s="22" t="n">
        <v>201910</v>
      </c>
      <c r="B2197" s="22" t="inlineStr">
        <is>
          <t>10/2019</t>
        </is>
      </c>
      <c r="C2197" s="22" t="n">
        <v>48</v>
      </c>
      <c r="D2197" s="22" t="inlineStr">
        <is>
          <t>S48</t>
        </is>
      </c>
      <c r="E2197" s="22" t="inlineStr">
        <is>
          <t>Nexa Idaho (S48)</t>
        </is>
      </c>
      <c r="F2197" s="22" t="inlineStr">
        <is>
          <t>Mỹ</t>
        </is>
      </c>
      <c r="G2197" s="22" t="inlineStr">
        <is>
          <t>POS</t>
        </is>
      </c>
      <c r="H2197" s="31" t="n">
        <v>36343.8</v>
      </c>
      <c r="I2197" s="31" t="n">
        <v>0</v>
      </c>
      <c r="J2197" s="31" t="n">
        <v>36343.8</v>
      </c>
      <c r="K2197" s="31" t="n">
        <v>826.96</v>
      </c>
      <c r="L2197" s="32" t="n">
        <v>14</v>
      </c>
      <c r="M2197" s="32" t="n">
        <v>139</v>
      </c>
      <c r="N2197" s="31" t="n">
        <v>39299.54</v>
      </c>
      <c r="O2197" s="31" t="n">
        <v>36343.8</v>
      </c>
      <c r="P2197" s="22" t="n">
        <v>2</v>
      </c>
      <c r="Q2197" s="22" t="n">
        <v>0</v>
      </c>
      <c r="R2197" s="22" t="n">
        <v>0</v>
      </c>
    </row>
    <row r="2198">
      <c r="A2198" s="22" t="n">
        <v>201910</v>
      </c>
      <c r="B2198" s="22" t="inlineStr">
        <is>
          <t>10/2019</t>
        </is>
      </c>
      <c r="C2198" s="22" t="n">
        <v>49</v>
      </c>
      <c r="D2198" s="22" t="inlineStr">
        <is>
          <t>S49</t>
        </is>
      </c>
      <c r="E2198" s="22" t="inlineStr">
        <is>
          <t>Nexa Iowa (S49)</t>
        </is>
      </c>
      <c r="F2198" s="22" t="inlineStr">
        <is>
          <t>Mỹ</t>
        </is>
      </c>
      <c r="G2198" s="22" t="inlineStr">
        <is>
          <t>POS</t>
        </is>
      </c>
      <c r="H2198" s="31" t="n">
        <v>32740.58</v>
      </c>
      <c r="I2198" s="31" t="n">
        <v>0</v>
      </c>
      <c r="J2198" s="31" t="n">
        <v>32740.58</v>
      </c>
      <c r="K2198" s="31" t="n">
        <v>589.84</v>
      </c>
      <c r="L2198" s="32" t="n">
        <v>19</v>
      </c>
      <c r="M2198" s="32" t="n">
        <v>123</v>
      </c>
      <c r="N2198" s="31" t="n">
        <v>32150.74</v>
      </c>
      <c r="O2198" s="31" t="n">
        <v>32740.58</v>
      </c>
      <c r="P2198" s="22" t="n">
        <v>0</v>
      </c>
      <c r="Q2198" s="22" t="n">
        <v>0</v>
      </c>
      <c r="R2198" s="22" t="n">
        <v>0</v>
      </c>
    </row>
    <row r="2199">
      <c r="A2199" s="22" t="n">
        <v>201910</v>
      </c>
      <c r="B2199" s="22" t="inlineStr">
        <is>
          <t>10/2019</t>
        </is>
      </c>
      <c r="C2199" s="22" t="n">
        <v>50</v>
      </c>
      <c r="D2199" s="22" t="inlineStr">
        <is>
          <t>S50</t>
        </is>
      </c>
      <c r="E2199" s="22" t="inlineStr">
        <is>
          <t>Nexa Kansas (S50)</t>
        </is>
      </c>
      <c r="F2199" s="22" t="inlineStr">
        <is>
          <t>Mỹ</t>
        </is>
      </c>
      <c r="G2199" s="22" t="inlineStr">
        <is>
          <t>POS</t>
        </is>
      </c>
      <c r="H2199" s="31" t="n">
        <v>42999.53</v>
      </c>
      <c r="I2199" s="31" t="n">
        <v>0</v>
      </c>
      <c r="J2199" s="31" t="n">
        <v>42999.53</v>
      </c>
      <c r="K2199" s="31" t="n">
        <v>568</v>
      </c>
      <c r="L2199" s="32" t="n">
        <v>15</v>
      </c>
      <c r="M2199" s="32" t="n">
        <v>111</v>
      </c>
      <c r="N2199" s="31" t="n">
        <v>42431.53</v>
      </c>
      <c r="O2199" s="31" t="n">
        <v>42999.53</v>
      </c>
      <c r="P2199" s="22" t="n">
        <v>0</v>
      </c>
      <c r="Q2199" s="22" t="n">
        <v>0</v>
      </c>
      <c r="R2199" s="22" t="n">
        <v>0</v>
      </c>
    </row>
    <row r="2200">
      <c r="A2200" s="22" t="n">
        <v>201910</v>
      </c>
      <c r="B2200" s="22" t="inlineStr">
        <is>
          <t>10/2019</t>
        </is>
      </c>
      <c r="C2200" s="22" t="n">
        <v>51</v>
      </c>
      <c r="D2200" s="22" t="inlineStr">
        <is>
          <t>S51</t>
        </is>
      </c>
      <c r="E2200" s="22" t="inlineStr">
        <is>
          <t>Nexa Maine (S51)</t>
        </is>
      </c>
      <c r="F2200" s="22" t="inlineStr">
        <is>
          <t>Mỹ</t>
        </is>
      </c>
      <c r="G2200" s="22" t="inlineStr">
        <is>
          <t>POS</t>
        </is>
      </c>
      <c r="H2200" s="31" t="n">
        <v>26548.06</v>
      </c>
      <c r="I2200" s="31" t="n">
        <v>0</v>
      </c>
      <c r="J2200" s="31" t="n">
        <v>26548.06</v>
      </c>
      <c r="K2200" s="31" t="n">
        <v>269.95</v>
      </c>
      <c r="L2200" s="32" t="n">
        <v>13</v>
      </c>
      <c r="M2200" s="32" t="n">
        <v>85</v>
      </c>
      <c r="N2200" s="31" t="n">
        <v>26278.11</v>
      </c>
      <c r="O2200" s="31" t="n">
        <v>26548.06</v>
      </c>
      <c r="P2200" s="22" t="n">
        <v>1</v>
      </c>
      <c r="Q2200" s="22" t="n">
        <v>0</v>
      </c>
      <c r="R2200" s="22" t="n">
        <v>0</v>
      </c>
    </row>
    <row r="2201">
      <c r="A2201" s="22" t="n">
        <v>201910</v>
      </c>
      <c r="B2201" s="22" t="inlineStr">
        <is>
          <t>10/2019</t>
        </is>
      </c>
      <c r="C2201" s="22" t="n">
        <v>53</v>
      </c>
      <c r="D2201" s="22" t="inlineStr">
        <is>
          <t>S53</t>
        </is>
      </c>
      <c r="E2201" s="22" t="inlineStr">
        <is>
          <t>Nexa Montana (S53)</t>
        </is>
      </c>
      <c r="F2201" s="22" t="inlineStr">
        <is>
          <t>Mỹ</t>
        </is>
      </c>
      <c r="G2201" s="22" t="inlineStr">
        <is>
          <t>POS</t>
        </is>
      </c>
      <c r="H2201" s="31" t="n">
        <v>37840.39</v>
      </c>
      <c r="I2201" s="31" t="n">
        <v>0</v>
      </c>
      <c r="J2201" s="31" t="n">
        <v>37840.39</v>
      </c>
      <c r="K2201" s="31" t="n">
        <v>1680</v>
      </c>
      <c r="L2201" s="32" t="n">
        <v>21</v>
      </c>
      <c r="M2201" s="32" t="n">
        <v>188</v>
      </c>
      <c r="N2201" s="31" t="n">
        <v>36160.39</v>
      </c>
      <c r="O2201" s="31" t="n">
        <v>37840.39</v>
      </c>
      <c r="P2201" s="22" t="n">
        <v>0</v>
      </c>
      <c r="Q2201" s="22" t="n">
        <v>0</v>
      </c>
      <c r="R2201" s="22" t="n">
        <v>0</v>
      </c>
    </row>
    <row r="2202">
      <c r="A2202" s="22" t="n">
        <v>201910</v>
      </c>
      <c r="B2202" s="22" t="inlineStr">
        <is>
          <t>10/2019</t>
        </is>
      </c>
      <c r="C2202" s="22" t="n">
        <v>54</v>
      </c>
      <c r="D2202" s="22" t="inlineStr">
        <is>
          <t>S54</t>
        </is>
      </c>
      <c r="E2202" s="22" t="inlineStr">
        <is>
          <t>Nexa Nebraska (S54)</t>
        </is>
      </c>
      <c r="F2202" s="22" t="inlineStr">
        <is>
          <t>Mỹ</t>
        </is>
      </c>
      <c r="G2202" s="22" t="inlineStr">
        <is>
          <t>POS</t>
        </is>
      </c>
      <c r="H2202" s="31" t="n">
        <v>35963.07</v>
      </c>
      <c r="I2202" s="31" t="n">
        <v>0</v>
      </c>
      <c r="J2202" s="31" t="n">
        <v>35963.07</v>
      </c>
      <c r="K2202" s="31" t="n">
        <v>352</v>
      </c>
      <c r="L2202" s="32" t="n">
        <v>21</v>
      </c>
      <c r="M2202" s="32" t="n">
        <v>155</v>
      </c>
      <c r="N2202" s="31" t="n">
        <v>35611.07</v>
      </c>
      <c r="O2202" s="31" t="n">
        <v>35963.07</v>
      </c>
      <c r="P2202" s="22" t="n">
        <v>0</v>
      </c>
      <c r="Q2202" s="22" t="n">
        <v>0</v>
      </c>
      <c r="R2202" s="22" t="n">
        <v>0</v>
      </c>
    </row>
    <row r="2203">
      <c r="A2203" s="22" t="n">
        <v>201910</v>
      </c>
      <c r="B2203" s="22" t="inlineStr">
        <is>
          <t>10/2019</t>
        </is>
      </c>
      <c r="C2203" s="22" t="n">
        <v>55</v>
      </c>
      <c r="D2203" s="22" t="inlineStr">
        <is>
          <t>S55</t>
        </is>
      </c>
      <c r="E2203" s="22" t="inlineStr">
        <is>
          <t>Nexa Nevada (S55)</t>
        </is>
      </c>
      <c r="F2203" s="22" t="inlineStr">
        <is>
          <t>Mỹ</t>
        </is>
      </c>
      <c r="G2203" s="22" t="inlineStr">
        <is>
          <t>POS</t>
        </is>
      </c>
      <c r="H2203" s="31" t="n">
        <v>21554.04</v>
      </c>
      <c r="I2203" s="31" t="n">
        <v>0</v>
      </c>
      <c r="J2203" s="31" t="n">
        <v>21554.04</v>
      </c>
      <c r="K2203" s="31" t="n">
        <v>77.94</v>
      </c>
      <c r="L2203" s="32" t="n">
        <v>22</v>
      </c>
      <c r="M2203" s="32" t="n">
        <v>140</v>
      </c>
      <c r="N2203" s="31" t="n">
        <v>21476.1</v>
      </c>
      <c r="O2203" s="31" t="n">
        <v>21554.04</v>
      </c>
      <c r="P2203" s="22" t="n">
        <v>1</v>
      </c>
      <c r="Q2203" s="22" t="n">
        <v>0</v>
      </c>
      <c r="R2203" s="22" t="n">
        <v>0</v>
      </c>
    </row>
    <row r="2204">
      <c r="A2204" s="22" t="n">
        <v>201910</v>
      </c>
      <c r="B2204" s="22" t="inlineStr">
        <is>
          <t>10/2019</t>
        </is>
      </c>
      <c r="C2204" s="22" t="n">
        <v>56</v>
      </c>
      <c r="D2204" s="22" t="inlineStr">
        <is>
          <t>S56</t>
        </is>
      </c>
      <c r="E2204" s="22" t="inlineStr">
        <is>
          <t>Nexa New Hampshire (S56)</t>
        </is>
      </c>
      <c r="F2204" s="22" t="inlineStr">
        <is>
          <t>Mỹ</t>
        </is>
      </c>
      <c r="G2204" s="22" t="inlineStr">
        <is>
          <t>POS</t>
        </is>
      </c>
      <c r="H2204" s="31" t="n">
        <v>27905.13</v>
      </c>
      <c r="I2204" s="31" t="n">
        <v>0</v>
      </c>
      <c r="J2204" s="31" t="n">
        <v>27905.13</v>
      </c>
      <c r="K2204" s="31" t="n">
        <v>2437.6</v>
      </c>
      <c r="L2204" s="32" t="n">
        <v>20</v>
      </c>
      <c r="M2204" s="32" t="n">
        <v>152</v>
      </c>
      <c r="N2204" s="31" t="n">
        <v>25467.53</v>
      </c>
      <c r="O2204" s="31" t="n">
        <v>27905.13</v>
      </c>
      <c r="P2204" s="22" t="n">
        <v>1</v>
      </c>
      <c r="Q2204" s="22" t="n">
        <v>0</v>
      </c>
      <c r="R2204" s="22" t="n">
        <v>0</v>
      </c>
    </row>
    <row r="2205">
      <c r="A2205" s="22" t="n">
        <v>201910</v>
      </c>
      <c r="B2205" s="22" t="inlineStr">
        <is>
          <t>10/2019</t>
        </is>
      </c>
      <c r="C2205" s="22" t="n">
        <v>57</v>
      </c>
      <c r="D2205" s="22" t="inlineStr">
        <is>
          <t>S57</t>
        </is>
      </c>
      <c r="E2205" s="22" t="inlineStr">
        <is>
          <t>Nexa New Mexico (S57)</t>
        </is>
      </c>
      <c r="F2205" s="22" t="inlineStr">
        <is>
          <t>Mỹ</t>
        </is>
      </c>
      <c r="G2205" s="22" t="inlineStr">
        <is>
          <t>POS</t>
        </is>
      </c>
      <c r="H2205" s="31" t="n">
        <v>44214.85</v>
      </c>
      <c r="I2205" s="31" t="n">
        <v>0</v>
      </c>
      <c r="J2205" s="31" t="n">
        <v>44214.85</v>
      </c>
      <c r="K2205" s="31" t="n">
        <v>347.87</v>
      </c>
      <c r="L2205" s="32" t="n">
        <v>29</v>
      </c>
      <c r="M2205" s="32" t="n">
        <v>185</v>
      </c>
      <c r="N2205" s="31" t="n">
        <v>43866.98</v>
      </c>
      <c r="O2205" s="31" t="n">
        <v>44214.85</v>
      </c>
      <c r="P2205" s="22" t="n">
        <v>1</v>
      </c>
      <c r="Q2205" s="22" t="n">
        <v>0</v>
      </c>
      <c r="R2205" s="22" t="n">
        <v>0</v>
      </c>
    </row>
    <row r="2206">
      <c r="A2206" s="22" t="n">
        <v>201910</v>
      </c>
      <c r="B2206" s="22" t="inlineStr">
        <is>
          <t>10/2019</t>
        </is>
      </c>
      <c r="C2206" s="22" t="n">
        <v>59</v>
      </c>
      <c r="D2206" s="22" t="inlineStr">
        <is>
          <t>S59</t>
        </is>
      </c>
      <c r="E2206" s="22" t="inlineStr">
        <is>
          <t>Nexa Oregon (S59)</t>
        </is>
      </c>
      <c r="F2206" s="22" t="inlineStr">
        <is>
          <t>Mỹ</t>
        </is>
      </c>
      <c r="G2206" s="22" t="inlineStr">
        <is>
          <t>POS</t>
        </is>
      </c>
      <c r="H2206" s="31" t="n">
        <v>58232.27</v>
      </c>
      <c r="I2206" s="31" t="n">
        <v>0</v>
      </c>
      <c r="J2206" s="31" t="n">
        <v>58232.27</v>
      </c>
      <c r="K2206" s="31" t="n">
        <v>3418.13</v>
      </c>
      <c r="L2206" s="32" t="n">
        <v>24</v>
      </c>
      <c r="M2206" s="32" t="n">
        <v>231</v>
      </c>
      <c r="N2206" s="31" t="n">
        <v>54814.14</v>
      </c>
      <c r="O2206" s="31" t="n">
        <v>58232.27</v>
      </c>
      <c r="P2206" s="22" t="n">
        <v>1</v>
      </c>
      <c r="Q2206" s="22" t="n">
        <v>0</v>
      </c>
      <c r="R2206" s="22" t="n">
        <v>0</v>
      </c>
    </row>
    <row r="2207">
      <c r="A2207" s="22" t="n">
        <v>201910</v>
      </c>
      <c r="B2207" s="22" t="inlineStr">
        <is>
          <t>10/2019</t>
        </is>
      </c>
      <c r="C2207" s="22" t="n">
        <v>61</v>
      </c>
      <c r="D2207" s="22" t="inlineStr">
        <is>
          <t>S61</t>
        </is>
      </c>
      <c r="E2207" s="22" t="inlineStr">
        <is>
          <t>Nexa South Carolina (S61)</t>
        </is>
      </c>
      <c r="F2207" s="22" t="inlineStr">
        <is>
          <t>Mỹ</t>
        </is>
      </c>
      <c r="G2207" s="22" t="inlineStr">
        <is>
          <t>POS</t>
        </is>
      </c>
      <c r="H2207" s="31" t="n">
        <v>51651.44</v>
      </c>
      <c r="I2207" s="31" t="n">
        <v>0</v>
      </c>
      <c r="J2207" s="31" t="n">
        <v>51651.44</v>
      </c>
      <c r="K2207" s="31" t="n">
        <v>1386.74</v>
      </c>
      <c r="L2207" s="32" t="n">
        <v>26</v>
      </c>
      <c r="M2207" s="32" t="n">
        <v>196</v>
      </c>
      <c r="N2207" s="31" t="n">
        <v>50264.7</v>
      </c>
      <c r="O2207" s="31" t="n">
        <v>51651.44</v>
      </c>
      <c r="P2207" s="22" t="n">
        <v>0</v>
      </c>
      <c r="Q2207" s="22" t="n">
        <v>0</v>
      </c>
      <c r="R2207" s="22" t="n">
        <v>1</v>
      </c>
    </row>
    <row r="2208">
      <c r="A2208" s="22" t="n">
        <v>201910</v>
      </c>
      <c r="B2208" s="22" t="inlineStr">
        <is>
          <t>10/2019</t>
        </is>
      </c>
      <c r="C2208" s="22" t="n">
        <v>62</v>
      </c>
      <c r="D2208" s="22" t="inlineStr">
        <is>
          <t>S62</t>
        </is>
      </c>
      <c r="E2208" s="22" t="inlineStr">
        <is>
          <t>Nexa South Dakota (S62)</t>
        </is>
      </c>
      <c r="F2208" s="22" t="inlineStr">
        <is>
          <t>Mỹ</t>
        </is>
      </c>
      <c r="G2208" s="22" t="inlineStr">
        <is>
          <t>POS</t>
        </is>
      </c>
      <c r="H2208" s="31" t="n">
        <v>29654.39</v>
      </c>
      <c r="I2208" s="31" t="n">
        <v>0</v>
      </c>
      <c r="J2208" s="31" t="n">
        <v>29654.39</v>
      </c>
      <c r="K2208" s="31" t="n">
        <v>17.99</v>
      </c>
      <c r="L2208" s="32" t="n">
        <v>13</v>
      </c>
      <c r="M2208" s="32" t="n">
        <v>126</v>
      </c>
      <c r="N2208" s="31" t="n">
        <v>29636.4</v>
      </c>
      <c r="O2208" s="31" t="n">
        <v>29654.39</v>
      </c>
      <c r="P2208" s="22" t="n">
        <v>0</v>
      </c>
      <c r="Q2208" s="22" t="n">
        <v>0</v>
      </c>
      <c r="R2208" s="22" t="n">
        <v>0</v>
      </c>
    </row>
    <row r="2209">
      <c r="A2209" s="22" t="n">
        <v>201910</v>
      </c>
      <c r="B2209" s="22" t="inlineStr">
        <is>
          <t>10/2019</t>
        </is>
      </c>
      <c r="C2209" s="22" t="n">
        <v>63</v>
      </c>
      <c r="D2209" s="22" t="inlineStr">
        <is>
          <t>S63</t>
        </is>
      </c>
      <c r="E2209" s="22" t="inlineStr">
        <is>
          <t>Nexa Utah (S63)</t>
        </is>
      </c>
      <c r="F2209" s="22" t="inlineStr">
        <is>
          <t>Mỹ</t>
        </is>
      </c>
      <c r="G2209" s="22" t="inlineStr">
        <is>
          <t>POS</t>
        </is>
      </c>
      <c r="H2209" s="31" t="n">
        <v>22345.72</v>
      </c>
      <c r="I2209" s="31" t="n">
        <v>0</v>
      </c>
      <c r="J2209" s="31" t="n">
        <v>22345.72</v>
      </c>
      <c r="K2209" s="31" t="n">
        <v>698</v>
      </c>
      <c r="L2209" s="32" t="n">
        <v>17</v>
      </c>
      <c r="M2209" s="32" t="n">
        <v>95</v>
      </c>
      <c r="N2209" s="31" t="n">
        <v>21647.72</v>
      </c>
      <c r="O2209" s="31" t="n">
        <v>22345.72</v>
      </c>
      <c r="P2209" s="22" t="n">
        <v>1</v>
      </c>
      <c r="Q2209" s="22" t="n">
        <v>0</v>
      </c>
      <c r="R2209" s="22" t="n">
        <v>0</v>
      </c>
    </row>
    <row r="2210">
      <c r="A2210" s="22" t="n">
        <v>201910</v>
      </c>
      <c r="B2210" s="22" t="inlineStr">
        <is>
          <t>10/2019</t>
        </is>
      </c>
      <c r="C2210" s="22" t="n">
        <v>64</v>
      </c>
      <c r="D2210" s="22" t="inlineStr">
        <is>
          <t>S64</t>
        </is>
      </c>
      <c r="E2210" s="22" t="inlineStr">
        <is>
          <t>Nexa Washington DC (S64)</t>
        </is>
      </c>
      <c r="F2210" s="22" t="inlineStr">
        <is>
          <t>Mỹ</t>
        </is>
      </c>
      <c r="G2210" s="22" t="inlineStr">
        <is>
          <t>POS</t>
        </is>
      </c>
      <c r="H2210" s="31" t="n">
        <v>38246.74</v>
      </c>
      <c r="I2210" s="31" t="n">
        <v>0</v>
      </c>
      <c r="J2210" s="31" t="n">
        <v>38246.74</v>
      </c>
      <c r="K2210" s="31" t="n">
        <v>166.87</v>
      </c>
      <c r="L2210" s="32" t="n">
        <v>14</v>
      </c>
      <c r="M2210" s="32" t="n">
        <v>174</v>
      </c>
      <c r="N2210" s="31" t="n">
        <v>38079.87</v>
      </c>
      <c r="O2210" s="31" t="n">
        <v>38246.74</v>
      </c>
      <c r="P2210" s="22" t="n">
        <v>2</v>
      </c>
      <c r="Q2210" s="22" t="n">
        <v>0</v>
      </c>
      <c r="R2210" s="22" t="n">
        <v>0</v>
      </c>
    </row>
    <row r="2211">
      <c r="A2211" s="22" t="n">
        <v>201910</v>
      </c>
      <c r="B2211" s="22" t="inlineStr">
        <is>
          <t>10/2019</t>
        </is>
      </c>
      <c r="C2211" s="22" t="n">
        <v>65</v>
      </c>
      <c r="D2211" s="22" t="inlineStr">
        <is>
          <t>S65</t>
        </is>
      </c>
      <c r="E2211" s="22" t="inlineStr">
        <is>
          <t>Nexa West Virginia (S65)</t>
        </is>
      </c>
      <c r="F2211" s="22" t="inlineStr">
        <is>
          <t>Mỹ</t>
        </is>
      </c>
      <c r="G2211" s="22" t="inlineStr">
        <is>
          <t>POS</t>
        </is>
      </c>
      <c r="H2211" s="31" t="n">
        <v>41079.93</v>
      </c>
      <c r="I2211" s="31" t="n">
        <v>0</v>
      </c>
      <c r="J2211" s="31" t="n">
        <v>41079.93</v>
      </c>
      <c r="K2211" s="31" t="n">
        <v>299</v>
      </c>
      <c r="L2211" s="32" t="n">
        <v>16</v>
      </c>
      <c r="M2211" s="32" t="n">
        <v>166</v>
      </c>
      <c r="N2211" s="31" t="n">
        <v>40780.93</v>
      </c>
      <c r="O2211" s="31" t="n">
        <v>41079.93</v>
      </c>
      <c r="P2211" s="22" t="n">
        <v>2</v>
      </c>
      <c r="Q2211" s="22" t="n">
        <v>0</v>
      </c>
      <c r="R2211" s="22" t="n">
        <v>0</v>
      </c>
    </row>
    <row r="2212">
      <c r="A2212" s="22" t="n">
        <v>201910</v>
      </c>
      <c r="B2212" s="22" t="inlineStr">
        <is>
          <t>10/2019</t>
        </is>
      </c>
      <c r="C2212" s="22" t="n">
        <v>66</v>
      </c>
      <c r="D2212" s="22" t="inlineStr">
        <is>
          <t>S66</t>
        </is>
      </c>
      <c r="E2212" s="22" t="inlineStr">
        <is>
          <t>Nexa Wyoming (S66)</t>
        </is>
      </c>
      <c r="F2212" s="22" t="inlineStr">
        <is>
          <t>Mỹ</t>
        </is>
      </c>
      <c r="G2212" s="22" t="inlineStr">
        <is>
          <t>POS</t>
        </is>
      </c>
      <c r="H2212" s="31" t="n">
        <v>30043.62</v>
      </c>
      <c r="I2212" s="31" t="n">
        <v>0</v>
      </c>
      <c r="J2212" s="31" t="n">
        <v>30043.62</v>
      </c>
      <c r="K2212" s="31" t="n">
        <v>0</v>
      </c>
      <c r="L2212" s="32" t="n">
        <v>16</v>
      </c>
      <c r="M2212" s="32" t="n">
        <v>108</v>
      </c>
      <c r="N2212" s="31" t="n">
        <v>30043.62</v>
      </c>
      <c r="O2212" s="31" t="n">
        <v>30043.62</v>
      </c>
      <c r="P2212" s="22" t="n">
        <v>0</v>
      </c>
      <c r="Q2212" s="22" t="n">
        <v>0</v>
      </c>
      <c r="R2212" s="22" t="n">
        <v>0</v>
      </c>
    </row>
    <row r="2213">
      <c r="A2213" s="22" t="n">
        <v>201911</v>
      </c>
      <c r="B2213" s="22" t="inlineStr">
        <is>
          <t>11/2019</t>
        </is>
      </c>
      <c r="C2213" s="22" t="n">
        <v>0</v>
      </c>
      <c r="D2213" s="22" t="inlineStr">
        <is>
          <t>ONL</t>
        </is>
      </c>
      <c r="E2213" s="22" t="inlineStr">
        <is>
          <t>Nexa Online (website/app)</t>
        </is>
      </c>
      <c r="F2213" s="22" t="inlineStr">
        <is>
          <t>Online</t>
        </is>
      </c>
      <c r="G2213" s="22" t="inlineStr">
        <is>
          <t>ONLINE</t>
        </is>
      </c>
      <c r="H2213" s="31" t="n">
        <v>436201.3</v>
      </c>
      <c r="I2213" s="31" t="n">
        <v>22604.62</v>
      </c>
      <c r="J2213" s="31" t="n">
        <v>413596.68</v>
      </c>
      <c r="K2213" s="31" t="n">
        <v>7799.7</v>
      </c>
      <c r="L2213" s="32" t="n">
        <v>185</v>
      </c>
      <c r="M2213" s="32" t="n">
        <v>1445</v>
      </c>
      <c r="N2213" s="31" t="n">
        <v>385931.98</v>
      </c>
      <c r="O2213" s="31" t="n">
        <v>393894.58</v>
      </c>
      <c r="P2213" s="22" t="n">
        <v>1</v>
      </c>
      <c r="Q2213" s="22" t="n">
        <v>0</v>
      </c>
      <c r="R2213" s="22" t="n">
        <v>3</v>
      </c>
    </row>
    <row r="2214">
      <c r="A2214" s="22" t="n">
        <v>201911</v>
      </c>
      <c r="B2214" s="22" t="inlineStr">
        <is>
          <t>11/2019</t>
        </is>
      </c>
      <c r="C2214" s="22" t="n">
        <v>1</v>
      </c>
      <c r="D2214" s="22" t="inlineStr">
        <is>
          <t>S01</t>
        </is>
      </c>
      <c r="E2214" s="22" t="inlineStr">
        <is>
          <t>Nexa Australian Capital Territory (S01)</t>
        </is>
      </c>
      <c r="F2214" s="22" t="inlineStr">
        <is>
          <t>Úc</t>
        </is>
      </c>
      <c r="G2214" s="22" t="inlineStr">
        <is>
          <t>POS</t>
        </is>
      </c>
      <c r="H2214" s="31" t="n">
        <v>9073.620000000001</v>
      </c>
      <c r="I2214" s="31" t="n">
        <v>1135.45</v>
      </c>
      <c r="J2214" s="31" t="n">
        <v>7938.17</v>
      </c>
      <c r="K2214" s="31" t="n">
        <v>0</v>
      </c>
      <c r="L2214" s="32" t="n">
        <v>3</v>
      </c>
      <c r="M2214" s="32" t="n">
        <v>22</v>
      </c>
      <c r="N2214" s="31" t="n">
        <v>7938.17</v>
      </c>
      <c r="O2214" s="31" t="n">
        <v>7938.17</v>
      </c>
      <c r="P2214" s="22" t="n">
        <v>0</v>
      </c>
      <c r="Q2214" s="22" t="n">
        <v>0</v>
      </c>
      <c r="R2214" s="22" t="n">
        <v>0</v>
      </c>
    </row>
    <row r="2215">
      <c r="A2215" s="22" t="n">
        <v>201911</v>
      </c>
      <c r="B2215" s="22" t="inlineStr">
        <is>
          <t>11/2019</t>
        </is>
      </c>
      <c r="C2215" s="22" t="n">
        <v>4</v>
      </c>
      <c r="D2215" s="22" t="inlineStr">
        <is>
          <t>S04</t>
        </is>
      </c>
      <c r="E2215" s="22" t="inlineStr">
        <is>
          <t>Nexa Tasmania (S04)</t>
        </is>
      </c>
      <c r="F2215" s="22" t="inlineStr">
        <is>
          <t>Úc</t>
        </is>
      </c>
      <c r="G2215" s="22" t="inlineStr">
        <is>
          <t>POS</t>
        </is>
      </c>
      <c r="H2215" s="31" t="n">
        <v>24960.8</v>
      </c>
      <c r="I2215" s="31" t="n">
        <v>0</v>
      </c>
      <c r="J2215" s="31" t="n">
        <v>24960.8</v>
      </c>
      <c r="K2215" s="31" t="n">
        <v>0</v>
      </c>
      <c r="L2215" s="32" t="n">
        <v>5</v>
      </c>
      <c r="M2215" s="32" t="n">
        <v>41</v>
      </c>
      <c r="N2215" s="31" t="n">
        <v>24960.8</v>
      </c>
      <c r="O2215" s="31" t="n">
        <v>24960.8</v>
      </c>
      <c r="P2215" s="22" t="n">
        <v>0</v>
      </c>
      <c r="Q2215" s="22" t="n">
        <v>0</v>
      </c>
      <c r="R2215" s="22" t="n">
        <v>0</v>
      </c>
    </row>
    <row r="2216">
      <c r="A2216" s="22" t="n">
        <v>201911</v>
      </c>
      <c r="B2216" s="22" t="inlineStr">
        <is>
          <t>11/2019</t>
        </is>
      </c>
      <c r="C2216" s="22" t="n">
        <v>5</v>
      </c>
      <c r="D2216" s="22" t="inlineStr">
        <is>
          <t>S05</t>
        </is>
      </c>
      <c r="E2216" s="22" t="inlineStr">
        <is>
          <t>Nexa Victoria (S05)</t>
        </is>
      </c>
      <c r="F2216" s="22" t="inlineStr">
        <is>
          <t>Úc</t>
        </is>
      </c>
      <c r="G2216" s="22" t="inlineStr">
        <is>
          <t>POS</t>
        </is>
      </c>
      <c r="H2216" s="31" t="n">
        <v>19006.04</v>
      </c>
      <c r="I2216" s="31" t="n">
        <v>896.9299999999999</v>
      </c>
      <c r="J2216" s="31" t="n">
        <v>18109.11</v>
      </c>
      <c r="K2216" s="31" t="n">
        <v>19.98</v>
      </c>
      <c r="L2216" s="32" t="n">
        <v>13</v>
      </c>
      <c r="M2216" s="32" t="n">
        <v>113</v>
      </c>
      <c r="N2216" s="31" t="n">
        <v>18089.13</v>
      </c>
      <c r="O2216" s="31" t="n">
        <v>18109.11</v>
      </c>
      <c r="P2216" s="22" t="n">
        <v>0</v>
      </c>
      <c r="Q2216" s="22" t="n">
        <v>0</v>
      </c>
      <c r="R2216" s="22" t="n">
        <v>0</v>
      </c>
    </row>
    <row r="2217">
      <c r="A2217" s="22" t="n">
        <v>201911</v>
      </c>
      <c r="B2217" s="22" t="inlineStr">
        <is>
          <t>11/2019</t>
        </is>
      </c>
      <c r="C2217" s="22" t="n">
        <v>6</v>
      </c>
      <c r="D2217" s="22" t="inlineStr">
        <is>
          <t>S06</t>
        </is>
      </c>
      <c r="E2217" s="22" t="inlineStr">
        <is>
          <t>Nexa Western Australia (S06)</t>
        </is>
      </c>
      <c r="F2217" s="22" t="inlineStr">
        <is>
          <t>Úc</t>
        </is>
      </c>
      <c r="G2217" s="22" t="inlineStr">
        <is>
          <t>POS</t>
        </is>
      </c>
      <c r="H2217" s="31" t="n">
        <v>35236.71</v>
      </c>
      <c r="I2217" s="31" t="n">
        <v>1121.91</v>
      </c>
      <c r="J2217" s="31" t="n">
        <v>34114.8</v>
      </c>
      <c r="K2217" s="31" t="n">
        <v>280</v>
      </c>
      <c r="L2217" s="32" t="n">
        <v>10</v>
      </c>
      <c r="M2217" s="32" t="n">
        <v>104</v>
      </c>
      <c r="N2217" s="31" t="n">
        <v>33834.8</v>
      </c>
      <c r="O2217" s="31" t="n">
        <v>34114.8</v>
      </c>
      <c r="P2217" s="22" t="n">
        <v>1</v>
      </c>
      <c r="Q2217" s="22" t="n">
        <v>0</v>
      </c>
      <c r="R2217" s="22" t="n">
        <v>0</v>
      </c>
    </row>
    <row r="2218">
      <c r="A2218" s="22" t="n">
        <v>201911</v>
      </c>
      <c r="B2218" s="22" t="inlineStr">
        <is>
          <t>11/2019</t>
        </is>
      </c>
      <c r="C2218" s="22" t="n">
        <v>8</v>
      </c>
      <c r="D2218" s="22" t="inlineStr">
        <is>
          <t>S08</t>
        </is>
      </c>
      <c r="E2218" s="22" t="inlineStr">
        <is>
          <t>Nexa Newfoundland and Labrador (S08)</t>
        </is>
      </c>
      <c r="F2218" s="22" t="inlineStr">
        <is>
          <t>Canada</t>
        </is>
      </c>
      <c r="G2218" s="22" t="inlineStr">
        <is>
          <t>POS</t>
        </is>
      </c>
      <c r="H2218" s="31" t="n">
        <v>26930.05</v>
      </c>
      <c r="I2218" s="31" t="n">
        <v>1686.09</v>
      </c>
      <c r="J2218" s="31" t="n">
        <v>25243.96</v>
      </c>
      <c r="K2218" s="31" t="n">
        <v>8.99</v>
      </c>
      <c r="L2218" s="32" t="n">
        <v>18</v>
      </c>
      <c r="M2218" s="32" t="n">
        <v>91</v>
      </c>
      <c r="N2218" s="31" t="n">
        <v>25234.97</v>
      </c>
      <c r="O2218" s="31" t="n">
        <v>25243.96</v>
      </c>
      <c r="P2218" s="22" t="n">
        <v>2</v>
      </c>
      <c r="Q2218" s="22" t="n">
        <v>0</v>
      </c>
      <c r="R2218" s="22" t="n">
        <v>0</v>
      </c>
    </row>
    <row r="2219">
      <c r="A2219" s="22" t="n">
        <v>201911</v>
      </c>
      <c r="B2219" s="22" t="inlineStr">
        <is>
          <t>11/2019</t>
        </is>
      </c>
      <c r="C2219" s="22" t="n">
        <v>9</v>
      </c>
      <c r="D2219" s="22" t="inlineStr">
        <is>
          <t>S09</t>
        </is>
      </c>
      <c r="E2219" s="22" t="inlineStr">
        <is>
          <t>Nexa Northwest Territories (S09)</t>
        </is>
      </c>
      <c r="F2219" s="22" t="inlineStr">
        <is>
          <t>Canada</t>
        </is>
      </c>
      <c r="G2219" s="22" t="inlineStr">
        <is>
          <t>POS</t>
        </is>
      </c>
      <c r="H2219" s="31" t="n">
        <v>25998.65</v>
      </c>
      <c r="I2219" s="31" t="n">
        <v>482.98</v>
      </c>
      <c r="J2219" s="31" t="n">
        <v>25515.67</v>
      </c>
      <c r="K2219" s="31" t="n">
        <v>1690.98</v>
      </c>
      <c r="L2219" s="32" t="n">
        <v>20</v>
      </c>
      <c r="M2219" s="32" t="n">
        <v>122</v>
      </c>
      <c r="N2219" s="31" t="n">
        <v>23824.69</v>
      </c>
      <c r="O2219" s="31" t="n">
        <v>25515.67</v>
      </c>
      <c r="P2219" s="22" t="n">
        <v>1</v>
      </c>
      <c r="Q2219" s="22" t="n">
        <v>0</v>
      </c>
      <c r="R2219" s="22" t="n">
        <v>0</v>
      </c>
    </row>
    <row r="2220">
      <c r="A2220" s="22" t="n">
        <v>201911</v>
      </c>
      <c r="B2220" s="22" t="inlineStr">
        <is>
          <t>11/2019</t>
        </is>
      </c>
      <c r="C2220" s="22" t="n">
        <v>10</v>
      </c>
      <c r="D2220" s="22" t="inlineStr">
        <is>
          <t>S10</t>
        </is>
      </c>
      <c r="E2220" s="22" t="inlineStr">
        <is>
          <t>Nexa Nunavut (S10)</t>
        </is>
      </c>
      <c r="F2220" s="22" t="inlineStr">
        <is>
          <t>Canada</t>
        </is>
      </c>
      <c r="G2220" s="22" t="inlineStr">
        <is>
          <t>POS</t>
        </is>
      </c>
      <c r="H2220" s="31" t="n">
        <v>9359.65</v>
      </c>
      <c r="I2220" s="31" t="n">
        <v>225.88</v>
      </c>
      <c r="J2220" s="31" t="n">
        <v>9133.77</v>
      </c>
      <c r="K2220" s="31" t="n">
        <v>0</v>
      </c>
      <c r="L2220" s="32" t="n">
        <v>13</v>
      </c>
      <c r="M2220" s="32" t="n">
        <v>59</v>
      </c>
      <c r="N2220" s="31" t="n">
        <v>9133.77</v>
      </c>
      <c r="O2220" s="31" t="n">
        <v>9133.77</v>
      </c>
      <c r="P2220" s="22" t="n">
        <v>0</v>
      </c>
      <c r="Q2220" s="22" t="n">
        <v>0</v>
      </c>
      <c r="R2220" s="22" t="n">
        <v>0</v>
      </c>
    </row>
    <row r="2221">
      <c r="A2221" s="22" t="n">
        <v>201911</v>
      </c>
      <c r="B2221" s="22" t="inlineStr">
        <is>
          <t>11/2019</t>
        </is>
      </c>
      <c r="C2221" s="22" t="n">
        <v>12</v>
      </c>
      <c r="D2221" s="22" t="inlineStr">
        <is>
          <t>S12</t>
        </is>
      </c>
      <c r="E2221" s="22" t="inlineStr">
        <is>
          <t>Nexa Basse-Normandie (S12)</t>
        </is>
      </c>
      <c r="F2221" s="22" t="inlineStr">
        <is>
          <t>Pháp</t>
        </is>
      </c>
      <c r="G2221" s="22" t="inlineStr">
        <is>
          <t>POS</t>
        </is>
      </c>
      <c r="H2221" s="31" t="n">
        <v>1859.82</v>
      </c>
      <c r="I2221" s="31" t="n">
        <v>0</v>
      </c>
      <c r="J2221" s="31" t="n">
        <v>1859.82</v>
      </c>
      <c r="K2221" s="31" t="n">
        <v>0</v>
      </c>
      <c r="L2221" s="32" t="n">
        <v>2</v>
      </c>
      <c r="M2221" s="32" t="n">
        <v>11</v>
      </c>
      <c r="N2221" s="31" t="n">
        <v>1859.82</v>
      </c>
      <c r="O2221" s="31" t="n">
        <v>1859.82</v>
      </c>
      <c r="P2221" s="22" t="n">
        <v>0</v>
      </c>
      <c r="Q2221" s="22" t="n">
        <v>0</v>
      </c>
      <c r="R2221" s="22" t="n">
        <v>0</v>
      </c>
    </row>
    <row r="2222">
      <c r="A2222" s="22" t="n">
        <v>201911</v>
      </c>
      <c r="B2222" s="22" t="inlineStr">
        <is>
          <t>11/2019</t>
        </is>
      </c>
      <c r="C2222" s="22" t="n">
        <v>13</v>
      </c>
      <c r="D2222" s="22" t="inlineStr">
        <is>
          <t>S13</t>
        </is>
      </c>
      <c r="E2222" s="22" t="inlineStr">
        <is>
          <t>Nexa Corse (S13)</t>
        </is>
      </c>
      <c r="F2222" s="22" t="inlineStr">
        <is>
          <t>Pháp</t>
        </is>
      </c>
      <c r="G2222" s="22" t="inlineStr">
        <is>
          <t>POS</t>
        </is>
      </c>
      <c r="H2222" s="31" t="n">
        <v>2176.16</v>
      </c>
      <c r="I2222" s="31" t="n">
        <v>223.88</v>
      </c>
      <c r="J2222" s="31" t="n">
        <v>1952.28</v>
      </c>
      <c r="K2222" s="31" t="n">
        <v>0</v>
      </c>
      <c r="L2222" s="32" t="n">
        <v>3</v>
      </c>
      <c r="M2222" s="32" t="n">
        <v>17</v>
      </c>
      <c r="N2222" s="31" t="n">
        <v>1952.28</v>
      </c>
      <c r="O2222" s="31" t="n">
        <v>1952.28</v>
      </c>
      <c r="P2222" s="22" t="n">
        <v>0</v>
      </c>
      <c r="Q2222" s="22" t="n">
        <v>0</v>
      </c>
      <c r="R2222" s="22" t="n">
        <v>0</v>
      </c>
    </row>
    <row r="2223">
      <c r="A2223" s="22" t="n">
        <v>201911</v>
      </c>
      <c r="B2223" s="22" t="inlineStr">
        <is>
          <t>11/2019</t>
        </is>
      </c>
      <c r="C2223" s="22" t="n">
        <v>14</v>
      </c>
      <c r="D2223" s="22" t="inlineStr">
        <is>
          <t>S14</t>
        </is>
      </c>
      <c r="E2223" s="22" t="inlineStr">
        <is>
          <t>Nexa Franche-Comté (S14)</t>
        </is>
      </c>
      <c r="F2223" s="22" t="inlineStr">
        <is>
          <t>Pháp</t>
        </is>
      </c>
      <c r="G2223" s="22" t="inlineStr">
        <is>
          <t>POS</t>
        </is>
      </c>
      <c r="H2223" s="31" t="n">
        <v>7313.64</v>
      </c>
      <c r="I2223" s="31" t="n">
        <v>80.40000000000001</v>
      </c>
      <c r="J2223" s="31" t="n">
        <v>7233.24</v>
      </c>
      <c r="K2223" s="31" t="n">
        <v>0</v>
      </c>
      <c r="L2223" s="32" t="n">
        <v>5</v>
      </c>
      <c r="M2223" s="32" t="n">
        <v>20</v>
      </c>
      <c r="N2223" s="31" t="n">
        <v>7233.24</v>
      </c>
      <c r="O2223" s="31" t="n">
        <v>7233.24</v>
      </c>
      <c r="P2223" s="22" t="n">
        <v>0</v>
      </c>
      <c r="Q2223" s="22" t="n">
        <v>0</v>
      </c>
      <c r="R2223" s="22" t="n">
        <v>0</v>
      </c>
    </row>
    <row r="2224">
      <c r="A2224" s="22" t="n">
        <v>201911</v>
      </c>
      <c r="B2224" s="22" t="inlineStr">
        <is>
          <t>11/2019</t>
        </is>
      </c>
      <c r="C2224" s="22" t="n">
        <v>15</v>
      </c>
      <c r="D2224" s="22" t="inlineStr">
        <is>
          <t>S15</t>
        </is>
      </c>
      <c r="E2224" s="22" t="inlineStr">
        <is>
          <t>Nexa La Réunion (S15)</t>
        </is>
      </c>
      <c r="F2224" s="22" t="inlineStr">
        <is>
          <t>Pháp</t>
        </is>
      </c>
      <c r="G2224" s="22" t="inlineStr">
        <is>
          <t>POS</t>
        </is>
      </c>
      <c r="H2224" s="31" t="n">
        <v>5328.22</v>
      </c>
      <c r="I2224" s="31" t="n">
        <v>0</v>
      </c>
      <c r="J2224" s="31" t="n">
        <v>5328.22</v>
      </c>
      <c r="K2224" s="31" t="n">
        <v>0</v>
      </c>
      <c r="L2224" s="32" t="n">
        <v>3</v>
      </c>
      <c r="M2224" s="32" t="n">
        <v>28</v>
      </c>
      <c r="N2224" s="31" t="n">
        <v>5328.22</v>
      </c>
      <c r="O2224" s="31" t="n">
        <v>5328.22</v>
      </c>
      <c r="P2224" s="22" t="n">
        <v>0</v>
      </c>
      <c r="Q2224" s="22" t="n">
        <v>0</v>
      </c>
      <c r="R2224" s="22" t="n">
        <v>0</v>
      </c>
    </row>
    <row r="2225">
      <c r="A2225" s="22" t="n">
        <v>201911</v>
      </c>
      <c r="B2225" s="22" t="inlineStr">
        <is>
          <t>11/2019</t>
        </is>
      </c>
      <c r="C2225" s="22" t="n">
        <v>16</v>
      </c>
      <c r="D2225" s="22" t="inlineStr">
        <is>
          <t>S16</t>
        </is>
      </c>
      <c r="E2225" s="22" t="inlineStr">
        <is>
          <t>Nexa Limousin (S16)</t>
        </is>
      </c>
      <c r="F2225" s="22" t="inlineStr">
        <is>
          <t>Pháp</t>
        </is>
      </c>
      <c r="G2225" s="22" t="inlineStr">
        <is>
          <t>POS</t>
        </is>
      </c>
      <c r="H2225" s="31" t="n">
        <v>10810.87</v>
      </c>
      <c r="I2225" s="31" t="n">
        <v>0</v>
      </c>
      <c r="J2225" s="31" t="n">
        <v>10810.87</v>
      </c>
      <c r="K2225" s="31" t="n">
        <v>699</v>
      </c>
      <c r="L2225" s="32" t="n">
        <v>5</v>
      </c>
      <c r="M2225" s="32" t="n">
        <v>25</v>
      </c>
      <c r="N2225" s="31" t="n">
        <v>10111.87</v>
      </c>
      <c r="O2225" s="31" t="n">
        <v>10810.87</v>
      </c>
      <c r="P2225" s="22" t="n">
        <v>0</v>
      </c>
      <c r="Q2225" s="22" t="n">
        <v>0</v>
      </c>
      <c r="R2225" s="22" t="n">
        <v>0</v>
      </c>
    </row>
    <row r="2226">
      <c r="A2226" s="22" t="n">
        <v>201911</v>
      </c>
      <c r="B2226" s="22" t="inlineStr">
        <is>
          <t>11/2019</t>
        </is>
      </c>
      <c r="C2226" s="22" t="n">
        <v>17</v>
      </c>
      <c r="D2226" s="22" t="inlineStr">
        <is>
          <t>S17</t>
        </is>
      </c>
      <c r="E2226" s="22" t="inlineStr">
        <is>
          <t>Nexa Martinique (S17)</t>
        </is>
      </c>
      <c r="F2226" s="22" t="inlineStr">
        <is>
          <t>Pháp</t>
        </is>
      </c>
      <c r="G2226" s="22" t="inlineStr">
        <is>
          <t>POS</t>
        </is>
      </c>
      <c r="H2226" s="31" t="n">
        <v>1530.23</v>
      </c>
      <c r="I2226" s="31" t="n">
        <v>0</v>
      </c>
      <c r="J2226" s="31" t="n">
        <v>1530.23</v>
      </c>
      <c r="K2226" s="31" t="n">
        <v>809.85</v>
      </c>
      <c r="L2226" s="32" t="n">
        <v>2</v>
      </c>
      <c r="M2226" s="32" t="n">
        <v>9</v>
      </c>
      <c r="N2226" s="31" t="n">
        <v>720.38</v>
      </c>
      <c r="O2226" s="31" t="n">
        <v>1530.23</v>
      </c>
      <c r="P2226" s="22" t="n">
        <v>0</v>
      </c>
      <c r="Q2226" s="22" t="n">
        <v>0</v>
      </c>
      <c r="R2226" s="22" t="n">
        <v>0</v>
      </c>
    </row>
    <row r="2227">
      <c r="A2227" s="22" t="n">
        <v>201911</v>
      </c>
      <c r="B2227" s="22" t="inlineStr">
        <is>
          <t>11/2019</t>
        </is>
      </c>
      <c r="C2227" s="22" t="n">
        <v>18</v>
      </c>
      <c r="D2227" s="22" t="inlineStr">
        <is>
          <t>S18</t>
        </is>
      </c>
      <c r="E2227" s="22" t="inlineStr">
        <is>
          <t>Nexa Mayotte (S18)</t>
        </is>
      </c>
      <c r="F2227" s="22" t="inlineStr">
        <is>
          <t>Pháp</t>
        </is>
      </c>
      <c r="G2227" s="22" t="inlineStr">
        <is>
          <t>POS</t>
        </is>
      </c>
      <c r="H2227" s="31" t="n">
        <v>2365.85</v>
      </c>
      <c r="I2227" s="31" t="n">
        <v>0</v>
      </c>
      <c r="J2227" s="31" t="n">
        <v>2365.85</v>
      </c>
      <c r="K2227" s="31" t="n">
        <v>0</v>
      </c>
      <c r="L2227" s="32" t="n">
        <v>2</v>
      </c>
      <c r="M2227" s="32" t="n">
        <v>15</v>
      </c>
      <c r="N2227" s="31" t="n">
        <v>2365.85</v>
      </c>
      <c r="O2227" s="31" t="n">
        <v>2365.85</v>
      </c>
      <c r="P2227" s="22" t="n">
        <v>0</v>
      </c>
      <c r="Q2227" s="22" t="n">
        <v>0</v>
      </c>
      <c r="R2227" s="22" t="n">
        <v>0</v>
      </c>
    </row>
    <row r="2228">
      <c r="A2228" s="22" t="n">
        <v>201911</v>
      </c>
      <c r="B2228" s="22" t="inlineStr">
        <is>
          <t>11/2019</t>
        </is>
      </c>
      <c r="C2228" s="22" t="n">
        <v>19</v>
      </c>
      <c r="D2228" s="22" t="inlineStr">
        <is>
          <t>S19</t>
        </is>
      </c>
      <c r="E2228" s="22" t="inlineStr">
        <is>
          <t>Nexa Berlin (S19)</t>
        </is>
      </c>
      <c r="F2228" s="22" t="inlineStr">
        <is>
          <t>Đức</t>
        </is>
      </c>
      <c r="G2228" s="22" t="inlineStr">
        <is>
          <t>POS</t>
        </is>
      </c>
      <c r="H2228" s="31" t="n">
        <v>42401.4</v>
      </c>
      <c r="I2228" s="31" t="n">
        <v>3651.8</v>
      </c>
      <c r="J2228" s="31" t="n">
        <v>38749.6</v>
      </c>
      <c r="K2228" s="31" t="n">
        <v>5.85</v>
      </c>
      <c r="L2228" s="32" t="n">
        <v>12</v>
      </c>
      <c r="M2228" s="32" t="n">
        <v>89</v>
      </c>
      <c r="N2228" s="31" t="n">
        <v>38743.75</v>
      </c>
      <c r="O2228" s="31" t="n">
        <v>38749.6</v>
      </c>
      <c r="P2228" s="22" t="n">
        <v>0</v>
      </c>
      <c r="Q2228" s="22" t="n">
        <v>0</v>
      </c>
      <c r="R2228" s="22" t="n">
        <v>0</v>
      </c>
    </row>
    <row r="2229">
      <c r="A2229" s="22" t="n">
        <v>201911</v>
      </c>
      <c r="B2229" s="22" t="inlineStr">
        <is>
          <t>11/2019</t>
        </is>
      </c>
      <c r="C2229" s="22" t="n">
        <v>21</v>
      </c>
      <c r="D2229" s="22" t="inlineStr">
        <is>
          <t>S21</t>
        </is>
      </c>
      <c r="E2229" s="22" t="inlineStr">
        <is>
          <t>Nexa Freie Hansestadt Bremen (S21)</t>
        </is>
      </c>
      <c r="F2229" s="22" t="inlineStr">
        <is>
          <t>Đức</t>
        </is>
      </c>
      <c r="G2229" s="22" t="inlineStr">
        <is>
          <t>POS</t>
        </is>
      </c>
      <c r="H2229" s="31" t="n">
        <v>26724.96</v>
      </c>
      <c r="I2229" s="31" t="n">
        <v>1262.23</v>
      </c>
      <c r="J2229" s="31" t="n">
        <v>25462.73</v>
      </c>
      <c r="K2229" s="31" t="n">
        <v>199.95</v>
      </c>
      <c r="L2229" s="32" t="n">
        <v>8</v>
      </c>
      <c r="M2229" s="32" t="n">
        <v>71</v>
      </c>
      <c r="N2229" s="31" t="n">
        <v>25262.78</v>
      </c>
      <c r="O2229" s="31" t="n">
        <v>25462.73</v>
      </c>
      <c r="P2229" s="22" t="n">
        <v>1</v>
      </c>
      <c r="Q2229" s="22" t="n">
        <v>0</v>
      </c>
      <c r="R2229" s="22" t="n">
        <v>0</v>
      </c>
    </row>
    <row r="2230">
      <c r="A2230" s="22" t="n">
        <v>201911</v>
      </c>
      <c r="B2230" s="22" t="inlineStr">
        <is>
          <t>11/2019</t>
        </is>
      </c>
      <c r="C2230" s="22" t="n">
        <v>22</v>
      </c>
      <c r="D2230" s="22" t="inlineStr">
        <is>
          <t>S22</t>
        </is>
      </c>
      <c r="E2230" s="22" t="inlineStr">
        <is>
          <t>Nexa Freistaat Thüringen (S22)</t>
        </is>
      </c>
      <c r="F2230" s="22" t="inlineStr">
        <is>
          <t>Đức</t>
        </is>
      </c>
      <c r="G2230" s="22" t="inlineStr">
        <is>
          <t>POS</t>
        </is>
      </c>
      <c r="H2230" s="31" t="n">
        <v>14584.87</v>
      </c>
      <c r="I2230" s="31" t="n">
        <v>623.7</v>
      </c>
      <c r="J2230" s="31" t="n">
        <v>13961.17</v>
      </c>
      <c r="K2230" s="31" t="n">
        <v>0</v>
      </c>
      <c r="L2230" s="32" t="n">
        <v>11</v>
      </c>
      <c r="M2230" s="32" t="n">
        <v>69</v>
      </c>
      <c r="N2230" s="31" t="n">
        <v>13961.17</v>
      </c>
      <c r="O2230" s="31" t="n">
        <v>13961.17</v>
      </c>
      <c r="P2230" s="22" t="n">
        <v>0</v>
      </c>
      <c r="Q2230" s="22" t="n">
        <v>0</v>
      </c>
      <c r="R2230" s="22" t="n">
        <v>0</v>
      </c>
    </row>
    <row r="2231">
      <c r="A2231" s="22" t="n">
        <v>201911</v>
      </c>
      <c r="B2231" s="22" t="inlineStr">
        <is>
          <t>11/2019</t>
        </is>
      </c>
      <c r="C2231" s="22" t="n">
        <v>23</v>
      </c>
      <c r="D2231" s="22" t="inlineStr">
        <is>
          <t>S23</t>
        </is>
      </c>
      <c r="E2231" s="22" t="inlineStr">
        <is>
          <t>Nexa Hamburg (S23)</t>
        </is>
      </c>
      <c r="F2231" s="22" t="inlineStr">
        <is>
          <t>Đức</t>
        </is>
      </c>
      <c r="G2231" s="22" t="inlineStr">
        <is>
          <t>POS</t>
        </is>
      </c>
      <c r="H2231" s="31" t="n">
        <v>5239.67</v>
      </c>
      <c r="I2231" s="31" t="n">
        <v>537.25</v>
      </c>
      <c r="J2231" s="31" t="n">
        <v>4702.42</v>
      </c>
      <c r="K2231" s="31" t="n">
        <v>0</v>
      </c>
      <c r="L2231" s="32" t="n">
        <v>4</v>
      </c>
      <c r="M2231" s="32" t="n">
        <v>25</v>
      </c>
      <c r="N2231" s="31" t="n">
        <v>4702.42</v>
      </c>
      <c r="O2231" s="31" t="n">
        <v>4702.42</v>
      </c>
      <c r="P2231" s="22" t="n">
        <v>0</v>
      </c>
      <c r="Q2231" s="22" t="n">
        <v>0</v>
      </c>
      <c r="R2231" s="22" t="n">
        <v>0</v>
      </c>
    </row>
    <row r="2232">
      <c r="A2232" s="22" t="n">
        <v>201911</v>
      </c>
      <c r="B2232" s="22" t="inlineStr">
        <is>
          <t>11/2019</t>
        </is>
      </c>
      <c r="C2232" s="22" t="n">
        <v>24</v>
      </c>
      <c r="D2232" s="22" t="inlineStr">
        <is>
          <t>S24</t>
        </is>
      </c>
      <c r="E2232" s="22" t="inlineStr">
        <is>
          <t>Nexa Hessen (S24)</t>
        </is>
      </c>
      <c r="F2232" s="22" t="inlineStr">
        <is>
          <t>Đức</t>
        </is>
      </c>
      <c r="G2232" s="22" t="inlineStr">
        <is>
          <t>POS</t>
        </is>
      </c>
      <c r="H2232" s="31" t="n">
        <v>26249.73</v>
      </c>
      <c r="I2232" s="31" t="n">
        <v>1587.27</v>
      </c>
      <c r="J2232" s="31" t="n">
        <v>24662.46</v>
      </c>
      <c r="K2232" s="31" t="n">
        <v>269.95</v>
      </c>
      <c r="L2232" s="32" t="n">
        <v>11</v>
      </c>
      <c r="M2232" s="32" t="n">
        <v>100</v>
      </c>
      <c r="N2232" s="31" t="n">
        <v>24392.51</v>
      </c>
      <c r="O2232" s="31" t="n">
        <v>24662.46</v>
      </c>
      <c r="P2232" s="22" t="n">
        <v>0</v>
      </c>
      <c r="Q2232" s="22" t="n">
        <v>0</v>
      </c>
      <c r="R2232" s="22" t="n">
        <v>0</v>
      </c>
    </row>
    <row r="2233">
      <c r="A2233" s="22" t="n">
        <v>201911</v>
      </c>
      <c r="B2233" s="22" t="inlineStr">
        <is>
          <t>11/2019</t>
        </is>
      </c>
      <c r="C2233" s="22" t="n">
        <v>26</v>
      </c>
      <c r="D2233" s="22" t="inlineStr">
        <is>
          <t>S26</t>
        </is>
      </c>
      <c r="E2233" s="22" t="inlineStr">
        <is>
          <t>Nexa Saarland (S26)</t>
        </is>
      </c>
      <c r="F2233" s="22" t="inlineStr">
        <is>
          <t>Đức</t>
        </is>
      </c>
      <c r="G2233" s="22" t="inlineStr">
        <is>
          <t>POS</t>
        </is>
      </c>
      <c r="H2233" s="31" t="n">
        <v>27143.4</v>
      </c>
      <c r="I2233" s="31" t="n">
        <v>1068.26</v>
      </c>
      <c r="J2233" s="31" t="n">
        <v>26075.14</v>
      </c>
      <c r="K2233" s="31" t="n">
        <v>309.38</v>
      </c>
      <c r="L2233" s="32" t="n">
        <v>10</v>
      </c>
      <c r="M2233" s="32" t="n">
        <v>108</v>
      </c>
      <c r="N2233" s="31" t="n">
        <v>25765.76</v>
      </c>
      <c r="O2233" s="31" t="n">
        <v>26075.14</v>
      </c>
      <c r="P2233" s="22" t="n">
        <v>0</v>
      </c>
      <c r="Q2233" s="22" t="n">
        <v>0</v>
      </c>
      <c r="R2233" s="22" t="n">
        <v>0</v>
      </c>
    </row>
    <row r="2234">
      <c r="A2234" s="22" t="n">
        <v>201911</v>
      </c>
      <c r="B2234" s="22" t="inlineStr">
        <is>
          <t>11/2019</t>
        </is>
      </c>
      <c r="C2234" s="22" t="n">
        <v>27</v>
      </c>
      <c r="D2234" s="22" t="inlineStr">
        <is>
          <t>S27</t>
        </is>
      </c>
      <c r="E2234" s="22" t="inlineStr">
        <is>
          <t>Nexa Sachsen-Anhalt (S27)</t>
        </is>
      </c>
      <c r="F2234" s="22" t="inlineStr">
        <is>
          <t>Đức</t>
        </is>
      </c>
      <c r="G2234" s="22" t="inlineStr">
        <is>
          <t>POS</t>
        </is>
      </c>
      <c r="H2234" s="31" t="n">
        <v>11948.37</v>
      </c>
      <c r="I2234" s="31" t="n">
        <v>88.8</v>
      </c>
      <c r="J2234" s="31" t="n">
        <v>11859.57</v>
      </c>
      <c r="K2234" s="31" t="n">
        <v>208.55</v>
      </c>
      <c r="L2234" s="32" t="n">
        <v>7</v>
      </c>
      <c r="M2234" s="32" t="n">
        <v>64</v>
      </c>
      <c r="N2234" s="31" t="n">
        <v>11651.02</v>
      </c>
      <c r="O2234" s="31" t="n">
        <v>11859.57</v>
      </c>
      <c r="P2234" s="22" t="n">
        <v>0</v>
      </c>
      <c r="Q2234" s="22" t="n">
        <v>0</v>
      </c>
      <c r="R2234" s="22" t="n">
        <v>0</v>
      </c>
    </row>
    <row r="2235">
      <c r="A2235" s="22" t="n">
        <v>201911</v>
      </c>
      <c r="B2235" s="22" t="inlineStr">
        <is>
          <t>11/2019</t>
        </is>
      </c>
      <c r="C2235" s="22" t="n">
        <v>29</v>
      </c>
      <c r="D2235" s="22" t="inlineStr">
        <is>
          <t>S29</t>
        </is>
      </c>
      <c r="E2235" s="22" t="inlineStr">
        <is>
          <t>Nexa Enna (S29)</t>
        </is>
      </c>
      <c r="F2235" s="22" t="inlineStr">
        <is>
          <t>Ý</t>
        </is>
      </c>
      <c r="G2235" s="22" t="inlineStr">
        <is>
          <t>POS</t>
        </is>
      </c>
      <c r="H2235" s="31" t="n">
        <v>8093.12</v>
      </c>
      <c r="I2235" s="31" t="n">
        <v>439.16</v>
      </c>
      <c r="J2235" s="31" t="n">
        <v>7653.96</v>
      </c>
      <c r="K2235" s="31" t="n">
        <v>0</v>
      </c>
      <c r="L2235" s="32" t="n">
        <v>10</v>
      </c>
      <c r="M2235" s="32" t="n">
        <v>66</v>
      </c>
      <c r="N2235" s="31" t="n">
        <v>7653.96</v>
      </c>
      <c r="O2235" s="31" t="n">
        <v>7653.96</v>
      </c>
      <c r="P2235" s="22" t="n">
        <v>0</v>
      </c>
      <c r="Q2235" s="22" t="n">
        <v>0</v>
      </c>
      <c r="R2235" s="22" t="n">
        <v>0</v>
      </c>
    </row>
    <row r="2236">
      <c r="A2236" s="22" t="n">
        <v>201911</v>
      </c>
      <c r="B2236" s="22" t="inlineStr">
        <is>
          <t>11/2019</t>
        </is>
      </c>
      <c r="C2236" s="22" t="n">
        <v>30</v>
      </c>
      <c r="D2236" s="22" t="inlineStr">
        <is>
          <t>S30</t>
        </is>
      </c>
      <c r="E2236" s="22" t="inlineStr">
        <is>
          <t>Nexa Pesaro (S30)</t>
        </is>
      </c>
      <c r="F2236" s="22" t="inlineStr">
        <is>
          <t>Ý</t>
        </is>
      </c>
      <c r="G2236" s="22" t="inlineStr">
        <is>
          <t>POS</t>
        </is>
      </c>
      <c r="H2236" s="31" t="n">
        <v>32492.36</v>
      </c>
      <c r="I2236" s="31" t="n">
        <v>1914.54</v>
      </c>
      <c r="J2236" s="31" t="n">
        <v>30577.82</v>
      </c>
      <c r="K2236" s="31" t="n">
        <v>3634.72</v>
      </c>
      <c r="L2236" s="32" t="n">
        <v>15</v>
      </c>
      <c r="M2236" s="32" t="n">
        <v>119</v>
      </c>
      <c r="N2236" s="31" t="n">
        <v>26943.1</v>
      </c>
      <c r="O2236" s="31" t="n">
        <v>30577.82</v>
      </c>
      <c r="P2236" s="22" t="n">
        <v>0</v>
      </c>
      <c r="Q2236" s="22" t="n">
        <v>0</v>
      </c>
      <c r="R2236" s="22" t="n">
        <v>0</v>
      </c>
    </row>
    <row r="2237">
      <c r="A2237" s="22" t="n">
        <v>201911</v>
      </c>
      <c r="B2237" s="22" t="inlineStr">
        <is>
          <t>11/2019</t>
        </is>
      </c>
      <c r="C2237" s="22" t="n">
        <v>31</v>
      </c>
      <c r="D2237" s="22" t="inlineStr">
        <is>
          <t>S31</t>
        </is>
      </c>
      <c r="E2237" s="22" t="inlineStr">
        <is>
          <t>Nexa Drenthe (S31)</t>
        </is>
      </c>
      <c r="F2237" s="22" t="inlineStr">
        <is>
          <t>Hà Lan</t>
        </is>
      </c>
      <c r="G2237" s="22" t="inlineStr">
        <is>
          <t>POS</t>
        </is>
      </c>
      <c r="H2237" s="31" t="n">
        <v>3160.17</v>
      </c>
      <c r="I2237" s="31" t="n">
        <v>0</v>
      </c>
      <c r="J2237" s="31" t="n">
        <v>3160.17</v>
      </c>
      <c r="K2237" s="31" t="n">
        <v>0</v>
      </c>
      <c r="L2237" s="32" t="n">
        <v>2</v>
      </c>
      <c r="M2237" s="32" t="n">
        <v>17</v>
      </c>
      <c r="N2237" s="31" t="n">
        <v>3160.17</v>
      </c>
      <c r="O2237" s="31" t="n">
        <v>3160.17</v>
      </c>
      <c r="P2237" s="22" t="n">
        <v>0</v>
      </c>
      <c r="Q2237" s="22" t="n">
        <v>0</v>
      </c>
      <c r="R2237" s="22" t="n">
        <v>0</v>
      </c>
    </row>
    <row r="2238">
      <c r="A2238" s="22" t="n">
        <v>201911</v>
      </c>
      <c r="B2238" s="22" t="inlineStr">
        <is>
          <t>11/2019</t>
        </is>
      </c>
      <c r="C2238" s="22" t="n">
        <v>32</v>
      </c>
      <c r="D2238" s="22" t="inlineStr">
        <is>
          <t>S32</t>
        </is>
      </c>
      <c r="E2238" s="22" t="inlineStr">
        <is>
          <t>Nexa Flevoland (S32)</t>
        </is>
      </c>
      <c r="F2238" s="22" t="inlineStr">
        <is>
          <t>Hà Lan</t>
        </is>
      </c>
      <c r="G2238" s="22" t="inlineStr">
        <is>
          <t>POS</t>
        </is>
      </c>
      <c r="H2238" s="31" t="n">
        <v>19027.09</v>
      </c>
      <c r="I2238" s="31" t="n">
        <v>2342.81</v>
      </c>
      <c r="J2238" s="31" t="n">
        <v>16684.28</v>
      </c>
      <c r="K2238" s="31" t="n">
        <v>0</v>
      </c>
      <c r="L2238" s="32" t="n">
        <v>6</v>
      </c>
      <c r="M2238" s="32" t="n">
        <v>57</v>
      </c>
      <c r="N2238" s="31" t="n">
        <v>16684.28</v>
      </c>
      <c r="O2238" s="31" t="n">
        <v>16684.28</v>
      </c>
      <c r="P2238" s="22" t="n">
        <v>0</v>
      </c>
      <c r="Q2238" s="22" t="n">
        <v>0</v>
      </c>
      <c r="R2238" s="22" t="n">
        <v>0</v>
      </c>
    </row>
    <row r="2239">
      <c r="A2239" s="22" t="n">
        <v>201911</v>
      </c>
      <c r="B2239" s="22" t="inlineStr">
        <is>
          <t>11/2019</t>
        </is>
      </c>
      <c r="C2239" s="22" t="n">
        <v>33</v>
      </c>
      <c r="D2239" s="22" t="inlineStr">
        <is>
          <t>S33</t>
        </is>
      </c>
      <c r="E2239" s="22" t="inlineStr">
        <is>
          <t>Nexa Friesland (S33)</t>
        </is>
      </c>
      <c r="F2239" s="22" t="inlineStr">
        <is>
          <t>Hà Lan</t>
        </is>
      </c>
      <c r="G2239" s="22" t="inlineStr">
        <is>
          <t>POS</t>
        </is>
      </c>
      <c r="H2239" s="31" t="n">
        <v>25004.02</v>
      </c>
      <c r="I2239" s="31" t="n">
        <v>0</v>
      </c>
      <c r="J2239" s="31" t="n">
        <v>25004.02</v>
      </c>
      <c r="K2239" s="31" t="n">
        <v>4599.96</v>
      </c>
      <c r="L2239" s="32" t="n">
        <v>4</v>
      </c>
      <c r="M2239" s="32" t="n">
        <v>35</v>
      </c>
      <c r="N2239" s="31" t="n">
        <v>20404.06</v>
      </c>
      <c r="O2239" s="31" t="n">
        <v>25004.02</v>
      </c>
      <c r="P2239" s="22" t="n">
        <v>1</v>
      </c>
      <c r="Q2239" s="22" t="n">
        <v>0</v>
      </c>
      <c r="R2239" s="22" t="n">
        <v>0</v>
      </c>
    </row>
    <row r="2240">
      <c r="A2240" s="22" t="n">
        <v>201911</v>
      </c>
      <c r="B2240" s="22" t="inlineStr">
        <is>
          <t>11/2019</t>
        </is>
      </c>
      <c r="C2240" s="22" t="n">
        <v>34</v>
      </c>
      <c r="D2240" s="22" t="inlineStr">
        <is>
          <t>S34</t>
        </is>
      </c>
      <c r="E2240" s="22" t="inlineStr">
        <is>
          <t>Nexa Groningen (S34)</t>
        </is>
      </c>
      <c r="F2240" s="22" t="inlineStr">
        <is>
          <t>Hà Lan</t>
        </is>
      </c>
      <c r="G2240" s="22" t="inlineStr">
        <is>
          <t>POS</t>
        </is>
      </c>
      <c r="H2240" s="31" t="n">
        <v>16685.41</v>
      </c>
      <c r="I2240" s="31" t="n">
        <v>613.45</v>
      </c>
      <c r="J2240" s="31" t="n">
        <v>16071.96</v>
      </c>
      <c r="K2240" s="31" t="n">
        <v>0</v>
      </c>
      <c r="L2240" s="32" t="n">
        <v>8</v>
      </c>
      <c r="M2240" s="32" t="n">
        <v>60</v>
      </c>
      <c r="N2240" s="31" t="n">
        <v>16071.96</v>
      </c>
      <c r="O2240" s="31" t="n">
        <v>16071.96</v>
      </c>
      <c r="P2240" s="22" t="n">
        <v>0</v>
      </c>
      <c r="Q2240" s="22" t="n">
        <v>0</v>
      </c>
      <c r="R2240" s="22" t="n">
        <v>0</v>
      </c>
    </row>
    <row r="2241">
      <c r="A2241" s="22" t="n">
        <v>201911</v>
      </c>
      <c r="B2241" s="22" t="inlineStr">
        <is>
          <t>11/2019</t>
        </is>
      </c>
      <c r="C2241" s="22" t="n">
        <v>36</v>
      </c>
      <c r="D2241" s="22" t="inlineStr">
        <is>
          <t>S36</t>
        </is>
      </c>
      <c r="E2241" s="22" t="inlineStr">
        <is>
          <t>Nexa Armagh (S36)</t>
        </is>
      </c>
      <c r="F2241" s="22" t="inlineStr">
        <is>
          <t>Anh</t>
        </is>
      </c>
      <c r="G2241" s="22" t="inlineStr">
        <is>
          <t>POS</t>
        </is>
      </c>
      <c r="H2241" s="31" t="n">
        <v>20219.29</v>
      </c>
      <c r="I2241" s="31" t="n">
        <v>859.5</v>
      </c>
      <c r="J2241" s="31" t="n">
        <v>19359.79</v>
      </c>
      <c r="K2241" s="31" t="n">
        <v>0</v>
      </c>
      <c r="L2241" s="32" t="n">
        <v>11</v>
      </c>
      <c r="M2241" s="32" t="n">
        <v>88</v>
      </c>
      <c r="N2241" s="31" t="n">
        <v>19359.79</v>
      </c>
      <c r="O2241" s="31" t="n">
        <v>19359.79</v>
      </c>
      <c r="P2241" s="22" t="n">
        <v>0</v>
      </c>
      <c r="Q2241" s="22" t="n">
        <v>0</v>
      </c>
      <c r="R2241" s="22" t="n">
        <v>0</v>
      </c>
    </row>
    <row r="2242">
      <c r="A2242" s="22" t="n">
        <v>201911</v>
      </c>
      <c r="B2242" s="22" t="inlineStr">
        <is>
          <t>11/2019</t>
        </is>
      </c>
      <c r="C2242" s="22" t="n">
        <v>37</v>
      </c>
      <c r="D2242" s="22" t="inlineStr">
        <is>
          <t>S37</t>
        </is>
      </c>
      <c r="E2242" s="22" t="inlineStr">
        <is>
          <t>Nexa Ayrshire (S37)</t>
        </is>
      </c>
      <c r="F2242" s="22" t="inlineStr">
        <is>
          <t>Anh</t>
        </is>
      </c>
      <c r="G2242" s="22" t="inlineStr">
        <is>
          <t>POS</t>
        </is>
      </c>
      <c r="H2242" s="31" t="n">
        <v>27569.12</v>
      </c>
      <c r="I2242" s="31" t="n">
        <v>1828.91</v>
      </c>
      <c r="J2242" s="31" t="n">
        <v>25740.21</v>
      </c>
      <c r="K2242" s="31" t="n">
        <v>1461</v>
      </c>
      <c r="L2242" s="32" t="n">
        <v>16</v>
      </c>
      <c r="M2242" s="32" t="n">
        <v>107</v>
      </c>
      <c r="N2242" s="31" t="n">
        <v>24279.21</v>
      </c>
      <c r="O2242" s="31" t="n">
        <v>25740.21</v>
      </c>
      <c r="P2242" s="22" t="n">
        <v>0</v>
      </c>
      <c r="Q2242" s="22" t="n">
        <v>0</v>
      </c>
      <c r="R2242" s="22" t="n">
        <v>0</v>
      </c>
    </row>
    <row r="2243">
      <c r="A2243" s="22" t="n">
        <v>201911</v>
      </c>
      <c r="B2243" s="22" t="inlineStr">
        <is>
          <t>11/2019</t>
        </is>
      </c>
      <c r="C2243" s="22" t="n">
        <v>38</v>
      </c>
      <c r="D2243" s="22" t="inlineStr">
        <is>
          <t>S38</t>
        </is>
      </c>
      <c r="E2243" s="22" t="inlineStr">
        <is>
          <t>Nexa Belfast (S38)</t>
        </is>
      </c>
      <c r="F2243" s="22" t="inlineStr">
        <is>
          <t>Anh</t>
        </is>
      </c>
      <c r="G2243" s="22" t="inlineStr">
        <is>
          <t>POS</t>
        </is>
      </c>
      <c r="H2243" s="31" t="n">
        <v>12005</v>
      </c>
      <c r="I2243" s="31" t="n">
        <v>799.99</v>
      </c>
      <c r="J2243" s="31" t="n">
        <v>11205.01</v>
      </c>
      <c r="K2243" s="31" t="n">
        <v>68.97</v>
      </c>
      <c r="L2243" s="32" t="n">
        <v>13</v>
      </c>
      <c r="M2243" s="32" t="n">
        <v>69</v>
      </c>
      <c r="N2243" s="31" t="n">
        <v>11136.04</v>
      </c>
      <c r="O2243" s="31" t="n">
        <v>11205.01</v>
      </c>
      <c r="P2243" s="22" t="n">
        <v>0</v>
      </c>
      <c r="Q2243" s="22" t="n">
        <v>0</v>
      </c>
      <c r="R2243" s="22" t="n">
        <v>0</v>
      </c>
    </row>
    <row r="2244">
      <c r="A2244" s="22" t="n">
        <v>201911</v>
      </c>
      <c r="B2244" s="22" t="inlineStr">
        <is>
          <t>11/2019</t>
        </is>
      </c>
      <c r="C2244" s="22" t="n">
        <v>39</v>
      </c>
      <c r="D2244" s="22" t="inlineStr">
        <is>
          <t>S39</t>
        </is>
      </c>
      <c r="E2244" s="22" t="inlineStr">
        <is>
          <t>Nexa Blaenau Gwent (S39)</t>
        </is>
      </c>
      <c r="F2244" s="22" t="inlineStr">
        <is>
          <t>Anh</t>
        </is>
      </c>
      <c r="G2244" s="22" t="inlineStr">
        <is>
          <t>POS</t>
        </is>
      </c>
      <c r="H2244" s="31" t="n">
        <v>48621.03</v>
      </c>
      <c r="I2244" s="31" t="n">
        <v>1898.76</v>
      </c>
      <c r="J2244" s="31" t="n">
        <v>46722.27</v>
      </c>
      <c r="K2244" s="31" t="n">
        <v>0</v>
      </c>
      <c r="L2244" s="32" t="n">
        <v>8</v>
      </c>
      <c r="M2244" s="32" t="n">
        <v>109</v>
      </c>
      <c r="N2244" s="31" t="n">
        <v>46722.27</v>
      </c>
      <c r="O2244" s="31" t="n">
        <v>46722.27</v>
      </c>
      <c r="P2244" s="22" t="n">
        <v>0</v>
      </c>
      <c r="Q2244" s="22" t="n">
        <v>0</v>
      </c>
      <c r="R2244" s="22" t="n">
        <v>0</v>
      </c>
    </row>
    <row r="2245">
      <c r="A2245" s="22" t="n">
        <v>201911</v>
      </c>
      <c r="B2245" s="22" t="inlineStr">
        <is>
          <t>11/2019</t>
        </is>
      </c>
      <c r="C2245" s="22" t="n">
        <v>40</v>
      </c>
      <c r="D2245" s="22" t="inlineStr">
        <is>
          <t>S40</t>
        </is>
      </c>
      <c r="E2245" s="22" t="inlineStr">
        <is>
          <t>Nexa Dungannon and South Tyrone (S40)</t>
        </is>
      </c>
      <c r="F2245" s="22" t="inlineStr">
        <is>
          <t>Anh</t>
        </is>
      </c>
      <c r="G2245" s="22" t="inlineStr">
        <is>
          <t>POS</t>
        </is>
      </c>
      <c r="H2245" s="31" t="n">
        <v>4977.02</v>
      </c>
      <c r="I2245" s="31" t="n">
        <v>0</v>
      </c>
      <c r="J2245" s="31" t="n">
        <v>4977.02</v>
      </c>
      <c r="K2245" s="31" t="n">
        <v>129.65</v>
      </c>
      <c r="L2245" s="32" t="n">
        <v>7</v>
      </c>
      <c r="M2245" s="32" t="n">
        <v>44</v>
      </c>
      <c r="N2245" s="31" t="n">
        <v>4847.37</v>
      </c>
      <c r="O2245" s="31" t="n">
        <v>4977.02</v>
      </c>
      <c r="P2245" s="22" t="n">
        <v>0</v>
      </c>
      <c r="Q2245" s="22" t="n">
        <v>0</v>
      </c>
      <c r="R2245" s="22" t="n">
        <v>0</v>
      </c>
    </row>
    <row r="2246">
      <c r="A2246" s="22" t="n">
        <v>201911</v>
      </c>
      <c r="B2246" s="22" t="inlineStr">
        <is>
          <t>11/2019</t>
        </is>
      </c>
      <c r="C2246" s="22" t="n">
        <v>42</v>
      </c>
      <c r="D2246" s="22" t="inlineStr">
        <is>
          <t>S42</t>
        </is>
      </c>
      <c r="E2246" s="22" t="inlineStr">
        <is>
          <t>Nexa North Down (S42)</t>
        </is>
      </c>
      <c r="F2246" s="22" t="inlineStr">
        <is>
          <t>Anh</t>
        </is>
      </c>
      <c r="G2246" s="22" t="inlineStr">
        <is>
          <t>POS</t>
        </is>
      </c>
      <c r="H2246" s="31" t="n">
        <v>35562.83</v>
      </c>
      <c r="I2246" s="31" t="n">
        <v>467.1</v>
      </c>
      <c r="J2246" s="31" t="n">
        <v>35095.73</v>
      </c>
      <c r="K2246" s="31" t="n">
        <v>132.99</v>
      </c>
      <c r="L2246" s="32" t="n">
        <v>12</v>
      </c>
      <c r="M2246" s="32" t="n">
        <v>105</v>
      </c>
      <c r="N2246" s="31" t="n">
        <v>34962.74</v>
      </c>
      <c r="O2246" s="31" t="n">
        <v>35095.73</v>
      </c>
      <c r="P2246" s="22" t="n">
        <v>0</v>
      </c>
      <c r="Q2246" s="22" t="n">
        <v>0</v>
      </c>
      <c r="R2246" s="22" t="n">
        <v>0</v>
      </c>
    </row>
    <row r="2247">
      <c r="A2247" s="22" t="n">
        <v>201911</v>
      </c>
      <c r="B2247" s="22" t="inlineStr">
        <is>
          <t>11/2019</t>
        </is>
      </c>
      <c r="C2247" s="22" t="n">
        <v>43</v>
      </c>
      <c r="D2247" s="22" t="inlineStr">
        <is>
          <t>S43</t>
        </is>
      </c>
      <c r="E2247" s="22" t="inlineStr">
        <is>
          <t>Nexa Alaska (S43)</t>
        </is>
      </c>
      <c r="F2247" s="22" t="inlineStr">
        <is>
          <t>Mỹ</t>
        </is>
      </c>
      <c r="G2247" s="22" t="inlineStr">
        <is>
          <t>POS</t>
        </is>
      </c>
      <c r="H2247" s="31" t="n">
        <v>24184.86</v>
      </c>
      <c r="I2247" s="31" t="n">
        <v>1520.74</v>
      </c>
      <c r="J2247" s="31" t="n">
        <v>22664.12</v>
      </c>
      <c r="K2247" s="31" t="n">
        <v>1398.79</v>
      </c>
      <c r="L2247" s="32" t="n">
        <v>14</v>
      </c>
      <c r="M2247" s="32" t="n">
        <v>107</v>
      </c>
      <c r="N2247" s="31" t="n">
        <v>21265.33</v>
      </c>
      <c r="O2247" s="31" t="n">
        <v>22664.12</v>
      </c>
      <c r="P2247" s="22" t="n">
        <v>0</v>
      </c>
      <c r="Q2247" s="22" t="n">
        <v>0</v>
      </c>
      <c r="R2247" s="22" t="n">
        <v>0</v>
      </c>
    </row>
    <row r="2248">
      <c r="A2248" s="22" t="n">
        <v>201911</v>
      </c>
      <c r="B2248" s="22" t="inlineStr">
        <is>
          <t>11/2019</t>
        </is>
      </c>
      <c r="C2248" s="22" t="n">
        <v>44</v>
      </c>
      <c r="D2248" s="22" t="inlineStr">
        <is>
          <t>S44</t>
        </is>
      </c>
      <c r="E2248" s="22" t="inlineStr">
        <is>
          <t>Nexa Arkansas (S44)</t>
        </is>
      </c>
      <c r="F2248" s="22" t="inlineStr">
        <is>
          <t>Mỹ</t>
        </is>
      </c>
      <c r="G2248" s="22" t="inlineStr">
        <is>
          <t>POS</t>
        </is>
      </c>
      <c r="H2248" s="31" t="n">
        <v>44472.69</v>
      </c>
      <c r="I2248" s="31" t="n">
        <v>2615.61</v>
      </c>
      <c r="J2248" s="31" t="n">
        <v>41857.08</v>
      </c>
      <c r="K2248" s="31" t="n">
        <v>2715.8</v>
      </c>
      <c r="L2248" s="32" t="n">
        <v>19</v>
      </c>
      <c r="M2248" s="32" t="n">
        <v>151</v>
      </c>
      <c r="N2248" s="31" t="n">
        <v>39141.28</v>
      </c>
      <c r="O2248" s="31" t="n">
        <v>41857.08</v>
      </c>
      <c r="P2248" s="22" t="n">
        <v>2</v>
      </c>
      <c r="Q2248" s="22" t="n">
        <v>0</v>
      </c>
      <c r="R2248" s="22" t="n">
        <v>0</v>
      </c>
    </row>
    <row r="2249">
      <c r="A2249" s="22" t="n">
        <v>201911</v>
      </c>
      <c r="B2249" s="22" t="inlineStr">
        <is>
          <t>11/2019</t>
        </is>
      </c>
      <c r="C2249" s="22" t="n">
        <v>45</v>
      </c>
      <c r="D2249" s="22" t="inlineStr">
        <is>
          <t>S45</t>
        </is>
      </c>
      <c r="E2249" s="22" t="inlineStr">
        <is>
          <t>Nexa Connecticut (S45)</t>
        </is>
      </c>
      <c r="F2249" s="22" t="inlineStr">
        <is>
          <t>Mỹ</t>
        </is>
      </c>
      <c r="G2249" s="22" t="inlineStr">
        <is>
          <t>POS</t>
        </is>
      </c>
      <c r="H2249" s="31" t="n">
        <v>20243.51</v>
      </c>
      <c r="I2249" s="31" t="n">
        <v>512.9299999999999</v>
      </c>
      <c r="J2249" s="31" t="n">
        <v>19730.58</v>
      </c>
      <c r="K2249" s="31" t="n">
        <v>1335</v>
      </c>
      <c r="L2249" s="32" t="n">
        <v>11</v>
      </c>
      <c r="M2249" s="32" t="n">
        <v>80</v>
      </c>
      <c r="N2249" s="31" t="n">
        <v>18395.58</v>
      </c>
      <c r="O2249" s="31" t="n">
        <v>19730.58</v>
      </c>
      <c r="P2249" s="22" t="n">
        <v>1</v>
      </c>
      <c r="Q2249" s="22" t="n">
        <v>0</v>
      </c>
      <c r="R2249" s="22" t="n">
        <v>0</v>
      </c>
    </row>
    <row r="2250">
      <c r="A2250" s="22" t="n">
        <v>201911</v>
      </c>
      <c r="B2250" s="22" t="inlineStr">
        <is>
          <t>11/2019</t>
        </is>
      </c>
      <c r="C2250" s="22" t="n">
        <v>47</v>
      </c>
      <c r="D2250" s="22" t="inlineStr">
        <is>
          <t>S47</t>
        </is>
      </c>
      <c r="E2250" s="22" t="inlineStr">
        <is>
          <t>Nexa Hawaii (S47)</t>
        </is>
      </c>
      <c r="F2250" s="22" t="inlineStr">
        <is>
          <t>Mỹ</t>
        </is>
      </c>
      <c r="G2250" s="22" t="inlineStr">
        <is>
          <t>POS</t>
        </is>
      </c>
      <c r="H2250" s="31" t="n">
        <v>45258.28</v>
      </c>
      <c r="I2250" s="31" t="n">
        <v>2447.07</v>
      </c>
      <c r="J2250" s="31" t="n">
        <v>42811.21</v>
      </c>
      <c r="K2250" s="31" t="n">
        <v>56.99</v>
      </c>
      <c r="L2250" s="32" t="n">
        <v>20</v>
      </c>
      <c r="M2250" s="32" t="n">
        <v>161</v>
      </c>
      <c r="N2250" s="31" t="n">
        <v>42754.22</v>
      </c>
      <c r="O2250" s="31" t="n">
        <v>42811.21</v>
      </c>
      <c r="P2250" s="22" t="n">
        <v>0</v>
      </c>
      <c r="Q2250" s="22" t="n">
        <v>0</v>
      </c>
      <c r="R2250" s="22" t="n">
        <v>0</v>
      </c>
    </row>
    <row r="2251">
      <c r="A2251" s="22" t="n">
        <v>201911</v>
      </c>
      <c r="B2251" s="22" t="inlineStr">
        <is>
          <t>11/2019</t>
        </is>
      </c>
      <c r="C2251" s="22" t="n">
        <v>48</v>
      </c>
      <c r="D2251" s="22" t="inlineStr">
        <is>
          <t>S48</t>
        </is>
      </c>
      <c r="E2251" s="22" t="inlineStr">
        <is>
          <t>Nexa Idaho (S48)</t>
        </is>
      </c>
      <c r="F2251" s="22" t="inlineStr">
        <is>
          <t>Mỹ</t>
        </is>
      </c>
      <c r="G2251" s="22" t="inlineStr">
        <is>
          <t>POS</t>
        </is>
      </c>
      <c r="H2251" s="31" t="n">
        <v>44265.59</v>
      </c>
      <c r="I2251" s="31" t="n">
        <v>1629.31</v>
      </c>
      <c r="J2251" s="31" t="n">
        <v>42636.28</v>
      </c>
      <c r="K2251" s="31" t="n">
        <v>4136.67</v>
      </c>
      <c r="L2251" s="32" t="n">
        <v>18</v>
      </c>
      <c r="M2251" s="32" t="n">
        <v>142</v>
      </c>
      <c r="N2251" s="31" t="n">
        <v>38499.61</v>
      </c>
      <c r="O2251" s="31" t="n">
        <v>42636.28</v>
      </c>
      <c r="P2251" s="22" t="n">
        <v>1</v>
      </c>
      <c r="Q2251" s="22" t="n">
        <v>0</v>
      </c>
      <c r="R2251" s="22" t="n">
        <v>0</v>
      </c>
    </row>
    <row r="2252">
      <c r="A2252" s="22" t="n">
        <v>201911</v>
      </c>
      <c r="B2252" s="22" t="inlineStr">
        <is>
          <t>11/2019</t>
        </is>
      </c>
      <c r="C2252" s="22" t="n">
        <v>49</v>
      </c>
      <c r="D2252" s="22" t="inlineStr">
        <is>
          <t>S49</t>
        </is>
      </c>
      <c r="E2252" s="22" t="inlineStr">
        <is>
          <t>Nexa Iowa (S49)</t>
        </is>
      </c>
      <c r="F2252" s="22" t="inlineStr">
        <is>
          <t>Mỹ</t>
        </is>
      </c>
      <c r="G2252" s="22" t="inlineStr">
        <is>
          <t>POS</t>
        </is>
      </c>
      <c r="H2252" s="31" t="n">
        <v>30582.89</v>
      </c>
      <c r="I2252" s="31" t="n">
        <v>2002.23</v>
      </c>
      <c r="J2252" s="31" t="n">
        <v>28580.66</v>
      </c>
      <c r="K2252" s="31" t="n">
        <v>0</v>
      </c>
      <c r="L2252" s="32" t="n">
        <v>14</v>
      </c>
      <c r="M2252" s="32" t="n">
        <v>91</v>
      </c>
      <c r="N2252" s="31" t="n">
        <v>28580.66</v>
      </c>
      <c r="O2252" s="31" t="n">
        <v>28580.66</v>
      </c>
      <c r="P2252" s="22" t="n">
        <v>0</v>
      </c>
      <c r="Q2252" s="22" t="n">
        <v>0</v>
      </c>
      <c r="R2252" s="22" t="n">
        <v>0</v>
      </c>
    </row>
    <row r="2253">
      <c r="A2253" s="22" t="n">
        <v>201911</v>
      </c>
      <c r="B2253" s="22" t="inlineStr">
        <is>
          <t>11/2019</t>
        </is>
      </c>
      <c r="C2253" s="22" t="n">
        <v>50</v>
      </c>
      <c r="D2253" s="22" t="inlineStr">
        <is>
          <t>S50</t>
        </is>
      </c>
      <c r="E2253" s="22" t="inlineStr">
        <is>
          <t>Nexa Kansas (S50)</t>
        </is>
      </c>
      <c r="F2253" s="22" t="inlineStr">
        <is>
          <t>Mỹ</t>
        </is>
      </c>
      <c r="G2253" s="22" t="inlineStr">
        <is>
          <t>POS</t>
        </is>
      </c>
      <c r="H2253" s="31" t="n">
        <v>48989.78</v>
      </c>
      <c r="I2253" s="31" t="n">
        <v>904.0599999999999</v>
      </c>
      <c r="J2253" s="31" t="n">
        <v>48085.72</v>
      </c>
      <c r="K2253" s="31" t="n">
        <v>1009</v>
      </c>
      <c r="L2253" s="32" t="n">
        <v>20</v>
      </c>
      <c r="M2253" s="32" t="n">
        <v>142</v>
      </c>
      <c r="N2253" s="31" t="n">
        <v>47076.72</v>
      </c>
      <c r="O2253" s="31" t="n">
        <v>48085.72</v>
      </c>
      <c r="P2253" s="22" t="n">
        <v>0</v>
      </c>
      <c r="Q2253" s="22" t="n">
        <v>0</v>
      </c>
      <c r="R2253" s="22" t="n">
        <v>0</v>
      </c>
    </row>
    <row r="2254">
      <c r="A2254" s="22" t="n">
        <v>201911</v>
      </c>
      <c r="B2254" s="22" t="inlineStr">
        <is>
          <t>11/2019</t>
        </is>
      </c>
      <c r="C2254" s="22" t="n">
        <v>51</v>
      </c>
      <c r="D2254" s="22" t="inlineStr">
        <is>
          <t>S51</t>
        </is>
      </c>
      <c r="E2254" s="22" t="inlineStr">
        <is>
          <t>Nexa Maine (S51)</t>
        </is>
      </c>
      <c r="F2254" s="22" t="inlineStr">
        <is>
          <t>Mỹ</t>
        </is>
      </c>
      <c r="G2254" s="22" t="inlineStr">
        <is>
          <t>POS</t>
        </is>
      </c>
      <c r="H2254" s="31" t="n">
        <v>18848.57</v>
      </c>
      <c r="I2254" s="31" t="n">
        <v>553.3099999999999</v>
      </c>
      <c r="J2254" s="31" t="n">
        <v>18295.26</v>
      </c>
      <c r="K2254" s="31" t="n">
        <v>1466.82</v>
      </c>
      <c r="L2254" s="32" t="n">
        <v>12</v>
      </c>
      <c r="M2254" s="32" t="n">
        <v>62</v>
      </c>
      <c r="N2254" s="31" t="n">
        <v>16828.44</v>
      </c>
      <c r="O2254" s="31" t="n">
        <v>18295.26</v>
      </c>
      <c r="P2254" s="22" t="n">
        <v>1</v>
      </c>
      <c r="Q2254" s="22" t="n">
        <v>0</v>
      </c>
      <c r="R2254" s="22" t="n">
        <v>0</v>
      </c>
    </row>
    <row r="2255">
      <c r="A2255" s="22" t="n">
        <v>201911</v>
      </c>
      <c r="B2255" s="22" t="inlineStr">
        <is>
          <t>11/2019</t>
        </is>
      </c>
      <c r="C2255" s="22" t="n">
        <v>53</v>
      </c>
      <c r="D2255" s="22" t="inlineStr">
        <is>
          <t>S53</t>
        </is>
      </c>
      <c r="E2255" s="22" t="inlineStr">
        <is>
          <t>Nexa Montana (S53)</t>
        </is>
      </c>
      <c r="F2255" s="22" t="inlineStr">
        <is>
          <t>Mỹ</t>
        </is>
      </c>
      <c r="G2255" s="22" t="inlineStr">
        <is>
          <t>POS</t>
        </is>
      </c>
      <c r="H2255" s="31" t="n">
        <v>22169.19</v>
      </c>
      <c r="I2255" s="31" t="n">
        <v>519.26</v>
      </c>
      <c r="J2255" s="31" t="n">
        <v>21649.93</v>
      </c>
      <c r="K2255" s="31" t="n">
        <v>109.99</v>
      </c>
      <c r="L2255" s="32" t="n">
        <v>19</v>
      </c>
      <c r="M2255" s="32" t="n">
        <v>132</v>
      </c>
      <c r="N2255" s="31" t="n">
        <v>21539.94</v>
      </c>
      <c r="O2255" s="31" t="n">
        <v>21649.93</v>
      </c>
      <c r="P2255" s="22" t="n">
        <v>0</v>
      </c>
      <c r="Q2255" s="22" t="n">
        <v>0</v>
      </c>
      <c r="R2255" s="22" t="n">
        <v>0</v>
      </c>
    </row>
    <row r="2256">
      <c r="A2256" s="22" t="n">
        <v>201911</v>
      </c>
      <c r="B2256" s="22" t="inlineStr">
        <is>
          <t>11/2019</t>
        </is>
      </c>
      <c r="C2256" s="22" t="n">
        <v>54</v>
      </c>
      <c r="D2256" s="22" t="inlineStr">
        <is>
          <t>S54</t>
        </is>
      </c>
      <c r="E2256" s="22" t="inlineStr">
        <is>
          <t>Nexa Nebraska (S54)</t>
        </is>
      </c>
      <c r="F2256" s="22" t="inlineStr">
        <is>
          <t>Mỹ</t>
        </is>
      </c>
      <c r="G2256" s="22" t="inlineStr">
        <is>
          <t>POS</t>
        </is>
      </c>
      <c r="H2256" s="31" t="n">
        <v>15319.53</v>
      </c>
      <c r="I2256" s="31" t="n">
        <v>278.66</v>
      </c>
      <c r="J2256" s="31" t="n">
        <v>15040.87</v>
      </c>
      <c r="K2256" s="31" t="n">
        <v>0</v>
      </c>
      <c r="L2256" s="32" t="n">
        <v>16</v>
      </c>
      <c r="M2256" s="32" t="n">
        <v>84</v>
      </c>
      <c r="N2256" s="31" t="n">
        <v>15040.87</v>
      </c>
      <c r="O2256" s="31" t="n">
        <v>15040.87</v>
      </c>
      <c r="P2256" s="22" t="n">
        <v>1</v>
      </c>
      <c r="Q2256" s="22" t="n">
        <v>0</v>
      </c>
      <c r="R2256" s="22" t="n">
        <v>0</v>
      </c>
    </row>
    <row r="2257">
      <c r="A2257" s="22" t="n">
        <v>201911</v>
      </c>
      <c r="B2257" s="22" t="inlineStr">
        <is>
          <t>11/2019</t>
        </is>
      </c>
      <c r="C2257" s="22" t="n">
        <v>55</v>
      </c>
      <c r="D2257" s="22" t="inlineStr">
        <is>
          <t>S55</t>
        </is>
      </c>
      <c r="E2257" s="22" t="inlineStr">
        <is>
          <t>Nexa Nevada (S55)</t>
        </is>
      </c>
      <c r="F2257" s="22" t="inlineStr">
        <is>
          <t>Mỹ</t>
        </is>
      </c>
      <c r="G2257" s="22" t="inlineStr">
        <is>
          <t>POS</t>
        </is>
      </c>
      <c r="H2257" s="31" t="n">
        <v>27608.89</v>
      </c>
      <c r="I2257" s="31" t="n">
        <v>1358.21</v>
      </c>
      <c r="J2257" s="31" t="n">
        <v>26250.68</v>
      </c>
      <c r="K2257" s="31" t="n">
        <v>16.17</v>
      </c>
      <c r="L2257" s="32" t="n">
        <v>19</v>
      </c>
      <c r="M2257" s="32" t="n">
        <v>113</v>
      </c>
      <c r="N2257" s="31" t="n">
        <v>26234.51</v>
      </c>
      <c r="O2257" s="31" t="n">
        <v>26250.68</v>
      </c>
      <c r="P2257" s="22" t="n">
        <v>0</v>
      </c>
      <c r="Q2257" s="22" t="n">
        <v>0</v>
      </c>
      <c r="R2257" s="22" t="n">
        <v>0</v>
      </c>
    </row>
    <row r="2258">
      <c r="A2258" s="22" t="n">
        <v>201911</v>
      </c>
      <c r="B2258" s="22" t="inlineStr">
        <is>
          <t>11/2019</t>
        </is>
      </c>
      <c r="C2258" s="22" t="n">
        <v>56</v>
      </c>
      <c r="D2258" s="22" t="inlineStr">
        <is>
          <t>S56</t>
        </is>
      </c>
      <c r="E2258" s="22" t="inlineStr">
        <is>
          <t>Nexa New Hampshire (S56)</t>
        </is>
      </c>
      <c r="F2258" s="22" t="inlineStr">
        <is>
          <t>Mỹ</t>
        </is>
      </c>
      <c r="G2258" s="22" t="inlineStr">
        <is>
          <t>POS</t>
        </is>
      </c>
      <c r="H2258" s="31" t="n">
        <v>34811.62</v>
      </c>
      <c r="I2258" s="31" t="n">
        <v>1209.04</v>
      </c>
      <c r="J2258" s="31" t="n">
        <v>33602.58</v>
      </c>
      <c r="K2258" s="31" t="n">
        <v>236.3</v>
      </c>
      <c r="L2258" s="32" t="n">
        <v>18</v>
      </c>
      <c r="M2258" s="32" t="n">
        <v>165</v>
      </c>
      <c r="N2258" s="31" t="n">
        <v>33366.28</v>
      </c>
      <c r="O2258" s="31" t="n">
        <v>33602.58</v>
      </c>
      <c r="P2258" s="22" t="n">
        <v>0</v>
      </c>
      <c r="Q2258" s="22" t="n">
        <v>0</v>
      </c>
      <c r="R2258" s="22" t="n">
        <v>0</v>
      </c>
    </row>
    <row r="2259">
      <c r="A2259" s="22" t="n">
        <v>201911</v>
      </c>
      <c r="B2259" s="22" t="inlineStr">
        <is>
          <t>11/2019</t>
        </is>
      </c>
      <c r="C2259" s="22" t="n">
        <v>57</v>
      </c>
      <c r="D2259" s="22" t="inlineStr">
        <is>
          <t>S57</t>
        </is>
      </c>
      <c r="E2259" s="22" t="inlineStr">
        <is>
          <t>Nexa New Mexico (S57)</t>
        </is>
      </c>
      <c r="F2259" s="22" t="inlineStr">
        <is>
          <t>Mỹ</t>
        </is>
      </c>
      <c r="G2259" s="22" t="inlineStr">
        <is>
          <t>POS</t>
        </is>
      </c>
      <c r="H2259" s="31" t="n">
        <v>36114.87</v>
      </c>
      <c r="I2259" s="31" t="n">
        <v>1037.95</v>
      </c>
      <c r="J2259" s="31" t="n">
        <v>35076.92</v>
      </c>
      <c r="K2259" s="31" t="n">
        <v>132.99</v>
      </c>
      <c r="L2259" s="32" t="n">
        <v>15</v>
      </c>
      <c r="M2259" s="32" t="n">
        <v>149</v>
      </c>
      <c r="N2259" s="31" t="n">
        <v>34943.93</v>
      </c>
      <c r="O2259" s="31" t="n">
        <v>35076.92</v>
      </c>
      <c r="P2259" s="22" t="n">
        <v>0</v>
      </c>
      <c r="Q2259" s="22" t="n">
        <v>0</v>
      </c>
      <c r="R2259" s="22" t="n">
        <v>1</v>
      </c>
    </row>
    <row r="2260">
      <c r="A2260" s="22" t="n">
        <v>201911</v>
      </c>
      <c r="B2260" s="22" t="inlineStr">
        <is>
          <t>11/2019</t>
        </is>
      </c>
      <c r="C2260" s="22" t="n">
        <v>59</v>
      </c>
      <c r="D2260" s="22" t="inlineStr">
        <is>
          <t>S59</t>
        </is>
      </c>
      <c r="E2260" s="22" t="inlineStr">
        <is>
          <t>Nexa Oregon (S59)</t>
        </is>
      </c>
      <c r="F2260" s="22" t="inlineStr">
        <is>
          <t>Mỹ</t>
        </is>
      </c>
      <c r="G2260" s="22" t="inlineStr">
        <is>
          <t>POS</t>
        </is>
      </c>
      <c r="H2260" s="31" t="n">
        <v>40050.55</v>
      </c>
      <c r="I2260" s="31" t="n">
        <v>1054.78</v>
      </c>
      <c r="J2260" s="31" t="n">
        <v>38995.77</v>
      </c>
      <c r="K2260" s="31" t="n">
        <v>1288</v>
      </c>
      <c r="L2260" s="32" t="n">
        <v>18</v>
      </c>
      <c r="M2260" s="32" t="n">
        <v>135</v>
      </c>
      <c r="N2260" s="31" t="n">
        <v>37707.77</v>
      </c>
      <c r="O2260" s="31" t="n">
        <v>38995.77</v>
      </c>
      <c r="P2260" s="22" t="n">
        <v>0</v>
      </c>
      <c r="Q2260" s="22" t="n">
        <v>0</v>
      </c>
      <c r="R2260" s="22" t="n">
        <v>0</v>
      </c>
    </row>
    <row r="2261">
      <c r="A2261" s="22" t="n">
        <v>201911</v>
      </c>
      <c r="B2261" s="22" t="inlineStr">
        <is>
          <t>11/2019</t>
        </is>
      </c>
      <c r="C2261" s="22" t="n">
        <v>61</v>
      </c>
      <c r="D2261" s="22" t="inlineStr">
        <is>
          <t>S61</t>
        </is>
      </c>
      <c r="E2261" s="22" t="inlineStr">
        <is>
          <t>Nexa South Carolina (S61)</t>
        </is>
      </c>
      <c r="F2261" s="22" t="inlineStr">
        <is>
          <t>Mỹ</t>
        </is>
      </c>
      <c r="G2261" s="22" t="inlineStr">
        <is>
          <t>POS</t>
        </is>
      </c>
      <c r="H2261" s="31" t="n">
        <v>24223.46</v>
      </c>
      <c r="I2261" s="31" t="n">
        <v>1015.75</v>
      </c>
      <c r="J2261" s="31" t="n">
        <v>23207.71</v>
      </c>
      <c r="K2261" s="31" t="n">
        <v>0</v>
      </c>
      <c r="L2261" s="32" t="n">
        <v>8</v>
      </c>
      <c r="M2261" s="32" t="n">
        <v>96</v>
      </c>
      <c r="N2261" s="31" t="n">
        <v>23207.71</v>
      </c>
      <c r="O2261" s="31" t="n">
        <v>23207.71</v>
      </c>
      <c r="P2261" s="22" t="n">
        <v>1</v>
      </c>
      <c r="Q2261" s="22" t="n">
        <v>0</v>
      </c>
      <c r="R2261" s="22" t="n">
        <v>0</v>
      </c>
    </row>
    <row r="2262">
      <c r="A2262" s="22" t="n">
        <v>201911</v>
      </c>
      <c r="B2262" s="22" t="inlineStr">
        <is>
          <t>11/2019</t>
        </is>
      </c>
      <c r="C2262" s="22" t="n">
        <v>62</v>
      </c>
      <c r="D2262" s="22" t="inlineStr">
        <is>
          <t>S62</t>
        </is>
      </c>
      <c r="E2262" s="22" t="inlineStr">
        <is>
          <t>Nexa South Dakota (S62)</t>
        </is>
      </c>
      <c r="F2262" s="22" t="inlineStr">
        <is>
          <t>Mỹ</t>
        </is>
      </c>
      <c r="G2262" s="22" t="inlineStr">
        <is>
          <t>POS</t>
        </is>
      </c>
      <c r="H2262" s="31" t="n">
        <v>25573.14</v>
      </c>
      <c r="I2262" s="31" t="n">
        <v>176.67</v>
      </c>
      <c r="J2262" s="31" t="n">
        <v>25396.47</v>
      </c>
      <c r="K2262" s="31" t="n">
        <v>0</v>
      </c>
      <c r="L2262" s="32" t="n">
        <v>14</v>
      </c>
      <c r="M2262" s="32" t="n">
        <v>81</v>
      </c>
      <c r="N2262" s="31" t="n">
        <v>25396.47</v>
      </c>
      <c r="O2262" s="31" t="n">
        <v>25396.47</v>
      </c>
      <c r="P2262" s="22" t="n">
        <v>1</v>
      </c>
      <c r="Q2262" s="22" t="n">
        <v>0</v>
      </c>
      <c r="R2262" s="22" t="n">
        <v>0</v>
      </c>
    </row>
    <row r="2263">
      <c r="A2263" s="22" t="n">
        <v>201911</v>
      </c>
      <c r="B2263" s="22" t="inlineStr">
        <is>
          <t>11/2019</t>
        </is>
      </c>
      <c r="C2263" s="22" t="n">
        <v>63</v>
      </c>
      <c r="D2263" s="22" t="inlineStr">
        <is>
          <t>S63</t>
        </is>
      </c>
      <c r="E2263" s="22" t="inlineStr">
        <is>
          <t>Nexa Utah (S63)</t>
        </is>
      </c>
      <c r="F2263" s="22" t="inlineStr">
        <is>
          <t>Mỹ</t>
        </is>
      </c>
      <c r="G2263" s="22" t="inlineStr">
        <is>
          <t>POS</t>
        </is>
      </c>
      <c r="H2263" s="31" t="n">
        <v>2074.92</v>
      </c>
      <c r="I2263" s="31" t="n">
        <v>0</v>
      </c>
      <c r="J2263" s="31" t="n">
        <v>2074.92</v>
      </c>
      <c r="K2263" s="31" t="n">
        <v>20.97</v>
      </c>
      <c r="L2263" s="32" t="n">
        <v>1</v>
      </c>
      <c r="M2263" s="32" t="n">
        <v>12</v>
      </c>
      <c r="N2263" s="31" t="n">
        <v>2053.95</v>
      </c>
      <c r="O2263" s="31" t="n">
        <v>2074.92</v>
      </c>
      <c r="P2263" s="22" t="n">
        <v>0</v>
      </c>
      <c r="Q2263" s="22" t="n">
        <v>0</v>
      </c>
      <c r="R2263" s="22" t="n">
        <v>0</v>
      </c>
    </row>
    <row r="2264">
      <c r="A2264" s="22" t="n">
        <v>201911</v>
      </c>
      <c r="B2264" s="22" t="inlineStr">
        <is>
          <t>11/2019</t>
        </is>
      </c>
      <c r="C2264" s="22" t="n">
        <v>64</v>
      </c>
      <c r="D2264" s="22" t="inlineStr">
        <is>
          <t>S64</t>
        </is>
      </c>
      <c r="E2264" s="22" t="inlineStr">
        <is>
          <t>Nexa Washington DC (S64)</t>
        </is>
      </c>
      <c r="F2264" s="22" t="inlineStr">
        <is>
          <t>Mỹ</t>
        </is>
      </c>
      <c r="G2264" s="22" t="inlineStr">
        <is>
          <t>POS</t>
        </is>
      </c>
      <c r="H2264" s="31" t="n">
        <v>44682.43</v>
      </c>
      <c r="I2264" s="31" t="n">
        <v>625.84</v>
      </c>
      <c r="J2264" s="31" t="n">
        <v>44056.59</v>
      </c>
      <c r="K2264" s="31" t="n">
        <v>1587.97</v>
      </c>
      <c r="L2264" s="32" t="n">
        <v>28</v>
      </c>
      <c r="M2264" s="32" t="n">
        <v>205</v>
      </c>
      <c r="N2264" s="31" t="n">
        <v>42468.62</v>
      </c>
      <c r="O2264" s="31" t="n">
        <v>44056.59</v>
      </c>
      <c r="P2264" s="22" t="n">
        <v>0</v>
      </c>
      <c r="Q2264" s="22" t="n">
        <v>0</v>
      </c>
      <c r="R2264" s="22" t="n">
        <v>0</v>
      </c>
    </row>
    <row r="2265">
      <c r="A2265" s="22" t="n">
        <v>201911</v>
      </c>
      <c r="B2265" s="22" t="inlineStr">
        <is>
          <t>11/2019</t>
        </is>
      </c>
      <c r="C2265" s="22" t="n">
        <v>65</v>
      </c>
      <c r="D2265" s="22" t="inlineStr">
        <is>
          <t>S65</t>
        </is>
      </c>
      <c r="E2265" s="22" t="inlineStr">
        <is>
          <t>Nexa West Virginia (S65)</t>
        </is>
      </c>
      <c r="F2265" s="22" t="inlineStr">
        <is>
          <t>Mỹ</t>
        </is>
      </c>
      <c r="G2265" s="22" t="inlineStr">
        <is>
          <t>POS</t>
        </is>
      </c>
      <c r="H2265" s="31" t="n">
        <v>31634.27</v>
      </c>
      <c r="I2265" s="31" t="n">
        <v>438.05</v>
      </c>
      <c r="J2265" s="31" t="n">
        <v>31196.22</v>
      </c>
      <c r="K2265" s="31" t="n">
        <v>0</v>
      </c>
      <c r="L2265" s="32" t="n">
        <v>16</v>
      </c>
      <c r="M2265" s="32" t="n">
        <v>144</v>
      </c>
      <c r="N2265" s="31" t="n">
        <v>31196.22</v>
      </c>
      <c r="O2265" s="31" t="n">
        <v>31196.22</v>
      </c>
      <c r="P2265" s="22" t="n">
        <v>0</v>
      </c>
      <c r="Q2265" s="22" t="n">
        <v>0</v>
      </c>
      <c r="R2265" s="22" t="n">
        <v>0</v>
      </c>
    </row>
    <row r="2266">
      <c r="A2266" s="22" t="n">
        <v>201911</v>
      </c>
      <c r="B2266" s="22" t="inlineStr">
        <is>
          <t>11/2019</t>
        </is>
      </c>
      <c r="C2266" s="22" t="n">
        <v>66</v>
      </c>
      <c r="D2266" s="22" t="inlineStr">
        <is>
          <t>S66</t>
        </is>
      </c>
      <c r="E2266" s="22" t="inlineStr">
        <is>
          <t>Nexa Wyoming (S66)</t>
        </is>
      </c>
      <c r="F2266" s="22" t="inlineStr">
        <is>
          <t>Mỹ</t>
        </is>
      </c>
      <c r="G2266" s="22" t="inlineStr">
        <is>
          <t>POS</t>
        </is>
      </c>
      <c r="H2266" s="31" t="n">
        <v>64007.32</v>
      </c>
      <c r="I2266" s="31" t="n">
        <v>1384.93</v>
      </c>
      <c r="J2266" s="31" t="n">
        <v>62622.39</v>
      </c>
      <c r="K2266" s="31" t="n">
        <v>29.97</v>
      </c>
      <c r="L2266" s="32" t="n">
        <v>22</v>
      </c>
      <c r="M2266" s="32" t="n">
        <v>150</v>
      </c>
      <c r="N2266" s="31" t="n">
        <v>62592.42</v>
      </c>
      <c r="O2266" s="31" t="n">
        <v>62622.39</v>
      </c>
      <c r="P2266" s="22" t="n">
        <v>0</v>
      </c>
      <c r="Q2266" s="22" t="n">
        <v>0</v>
      </c>
      <c r="R2266" s="22" t="n">
        <v>0</v>
      </c>
    </row>
    <row r="2267">
      <c r="A2267" s="22" t="n">
        <v>201912</v>
      </c>
      <c r="B2267" s="22" t="inlineStr">
        <is>
          <t>12/2019</t>
        </is>
      </c>
      <c r="C2267" s="22" t="n">
        <v>0</v>
      </c>
      <c r="D2267" s="22" t="inlineStr">
        <is>
          <t>ONL</t>
        </is>
      </c>
      <c r="E2267" s="22" t="inlineStr">
        <is>
          <t>Nexa Online (website/app)</t>
        </is>
      </c>
      <c r="F2267" s="22" t="inlineStr">
        <is>
          <t>Online</t>
        </is>
      </c>
      <c r="G2267" s="22" t="inlineStr">
        <is>
          <t>ONLINE</t>
        </is>
      </c>
      <c r="H2267" s="31" t="n">
        <v>456028.56</v>
      </c>
      <c r="I2267" s="31" t="n">
        <v>18641.74</v>
      </c>
      <c r="J2267" s="31" t="n">
        <v>437386.82</v>
      </c>
      <c r="K2267" s="31" t="n">
        <v>7839.77</v>
      </c>
      <c r="L2267" s="32" t="n">
        <v>266</v>
      </c>
      <c r="M2267" s="32" t="n">
        <v>2024</v>
      </c>
      <c r="N2267" s="31" t="n">
        <v>406956.76</v>
      </c>
      <c r="O2267" s="31" t="n">
        <v>414796.53</v>
      </c>
      <c r="P2267" s="22" t="n">
        <v>4</v>
      </c>
      <c r="Q2267" s="22" t="n">
        <v>0</v>
      </c>
      <c r="R2267" s="22" t="n">
        <v>0</v>
      </c>
    </row>
    <row r="2268">
      <c r="A2268" s="22" t="n">
        <v>201912</v>
      </c>
      <c r="B2268" s="22" t="inlineStr">
        <is>
          <t>12/2019</t>
        </is>
      </c>
      <c r="C2268" s="22" t="n">
        <v>1</v>
      </c>
      <c r="D2268" s="22" t="inlineStr">
        <is>
          <t>S01</t>
        </is>
      </c>
      <c r="E2268" s="22" t="inlineStr">
        <is>
          <t>Nexa Australian Capital Territory (S01)</t>
        </is>
      </c>
      <c r="F2268" s="22" t="inlineStr">
        <is>
          <t>Úc</t>
        </is>
      </c>
      <c r="G2268" s="22" t="inlineStr">
        <is>
          <t>POS</t>
        </is>
      </c>
      <c r="H2268" s="31" t="n">
        <v>2210.39</v>
      </c>
      <c r="I2268" s="31" t="n">
        <v>0</v>
      </c>
      <c r="J2268" s="31" t="n">
        <v>2210.39</v>
      </c>
      <c r="K2268" s="31" t="n">
        <v>0</v>
      </c>
      <c r="L2268" s="32" t="n">
        <v>6</v>
      </c>
      <c r="M2268" s="32" t="n">
        <v>34</v>
      </c>
      <c r="N2268" s="31" t="n">
        <v>2210.39</v>
      </c>
      <c r="O2268" s="31" t="n">
        <v>2210.39</v>
      </c>
      <c r="P2268" s="22" t="n">
        <v>0</v>
      </c>
      <c r="Q2268" s="22" t="n">
        <v>0</v>
      </c>
      <c r="R2268" s="22" t="n">
        <v>0</v>
      </c>
    </row>
    <row r="2269">
      <c r="A2269" s="22" t="n">
        <v>201912</v>
      </c>
      <c r="B2269" s="22" t="inlineStr">
        <is>
          <t>12/2019</t>
        </is>
      </c>
      <c r="C2269" s="22" t="n">
        <v>4</v>
      </c>
      <c r="D2269" s="22" t="inlineStr">
        <is>
          <t>S04</t>
        </is>
      </c>
      <c r="E2269" s="22" t="inlineStr">
        <is>
          <t>Nexa Tasmania (S04)</t>
        </is>
      </c>
      <c r="F2269" s="22" t="inlineStr">
        <is>
          <t>Úc</t>
        </is>
      </c>
      <c r="G2269" s="22" t="inlineStr">
        <is>
          <t>POS</t>
        </is>
      </c>
      <c r="H2269" s="31" t="n">
        <v>11010.76</v>
      </c>
      <c r="I2269" s="31" t="n">
        <v>52.06</v>
      </c>
      <c r="J2269" s="31" t="n">
        <v>10958.7</v>
      </c>
      <c r="K2269" s="31" t="n">
        <v>0</v>
      </c>
      <c r="L2269" s="32" t="n">
        <v>7</v>
      </c>
      <c r="M2269" s="32" t="n">
        <v>33</v>
      </c>
      <c r="N2269" s="31" t="n">
        <v>10958.7</v>
      </c>
      <c r="O2269" s="31" t="n">
        <v>10958.7</v>
      </c>
      <c r="P2269" s="22" t="n">
        <v>0</v>
      </c>
      <c r="Q2269" s="22" t="n">
        <v>0</v>
      </c>
      <c r="R2269" s="22" t="n">
        <v>0</v>
      </c>
    </row>
    <row r="2270">
      <c r="A2270" s="22" t="n">
        <v>201912</v>
      </c>
      <c r="B2270" s="22" t="inlineStr">
        <is>
          <t>12/2019</t>
        </is>
      </c>
      <c r="C2270" s="22" t="n">
        <v>5</v>
      </c>
      <c r="D2270" s="22" t="inlineStr">
        <is>
          <t>S05</t>
        </is>
      </c>
      <c r="E2270" s="22" t="inlineStr">
        <is>
          <t>Nexa Victoria (S05)</t>
        </is>
      </c>
      <c r="F2270" s="22" t="inlineStr">
        <is>
          <t>Úc</t>
        </is>
      </c>
      <c r="G2270" s="22" t="inlineStr">
        <is>
          <t>POS</t>
        </is>
      </c>
      <c r="H2270" s="31" t="n">
        <v>31298.13</v>
      </c>
      <c r="I2270" s="31" t="n">
        <v>826.3099999999999</v>
      </c>
      <c r="J2270" s="31" t="n">
        <v>30471.82</v>
      </c>
      <c r="K2270" s="31" t="n">
        <v>0</v>
      </c>
      <c r="L2270" s="32" t="n">
        <v>19</v>
      </c>
      <c r="M2270" s="32" t="n">
        <v>161</v>
      </c>
      <c r="N2270" s="31" t="n">
        <v>30471.82</v>
      </c>
      <c r="O2270" s="31" t="n">
        <v>30471.82</v>
      </c>
      <c r="P2270" s="22" t="n">
        <v>0</v>
      </c>
      <c r="Q2270" s="22" t="n">
        <v>0</v>
      </c>
      <c r="R2270" s="22" t="n">
        <v>0</v>
      </c>
    </row>
    <row r="2271">
      <c r="A2271" s="22" t="n">
        <v>201912</v>
      </c>
      <c r="B2271" s="22" t="inlineStr">
        <is>
          <t>12/2019</t>
        </is>
      </c>
      <c r="C2271" s="22" t="n">
        <v>6</v>
      </c>
      <c r="D2271" s="22" t="inlineStr">
        <is>
          <t>S06</t>
        </is>
      </c>
      <c r="E2271" s="22" t="inlineStr">
        <is>
          <t>Nexa Western Australia (S06)</t>
        </is>
      </c>
      <c r="F2271" s="22" t="inlineStr">
        <is>
          <t>Úc</t>
        </is>
      </c>
      <c r="G2271" s="22" t="inlineStr">
        <is>
          <t>POS</t>
        </is>
      </c>
      <c r="H2271" s="31" t="n">
        <v>29025.58</v>
      </c>
      <c r="I2271" s="31" t="n">
        <v>472.48</v>
      </c>
      <c r="J2271" s="31" t="n">
        <v>28553.1</v>
      </c>
      <c r="K2271" s="31" t="n">
        <v>64</v>
      </c>
      <c r="L2271" s="32" t="n">
        <v>15</v>
      </c>
      <c r="M2271" s="32" t="n">
        <v>110</v>
      </c>
      <c r="N2271" s="31" t="n">
        <v>28489.1</v>
      </c>
      <c r="O2271" s="31" t="n">
        <v>28553.1</v>
      </c>
      <c r="P2271" s="22" t="n">
        <v>0</v>
      </c>
      <c r="Q2271" s="22" t="n">
        <v>0</v>
      </c>
      <c r="R2271" s="22" t="n">
        <v>0</v>
      </c>
    </row>
    <row r="2272">
      <c r="A2272" s="22" t="n">
        <v>201912</v>
      </c>
      <c r="B2272" s="22" t="inlineStr">
        <is>
          <t>12/2019</t>
        </is>
      </c>
      <c r="C2272" s="22" t="n">
        <v>8</v>
      </c>
      <c r="D2272" s="22" t="inlineStr">
        <is>
          <t>S08</t>
        </is>
      </c>
      <c r="E2272" s="22" t="inlineStr">
        <is>
          <t>Nexa Newfoundland and Labrador (S08)</t>
        </is>
      </c>
      <c r="F2272" s="22" t="inlineStr">
        <is>
          <t>Canada</t>
        </is>
      </c>
      <c r="G2272" s="22" t="inlineStr">
        <is>
          <t>POS</t>
        </is>
      </c>
      <c r="H2272" s="31" t="n">
        <v>40152.51</v>
      </c>
      <c r="I2272" s="31" t="n">
        <v>866.45</v>
      </c>
      <c r="J2272" s="31" t="n">
        <v>39286.06</v>
      </c>
      <c r="K2272" s="31" t="n">
        <v>766.86</v>
      </c>
      <c r="L2272" s="32" t="n">
        <v>29</v>
      </c>
      <c r="M2272" s="32" t="n">
        <v>173</v>
      </c>
      <c r="N2272" s="31" t="n">
        <v>38519.2</v>
      </c>
      <c r="O2272" s="31" t="n">
        <v>39286.06</v>
      </c>
      <c r="P2272" s="22" t="n">
        <v>0</v>
      </c>
      <c r="Q2272" s="22" t="n">
        <v>0</v>
      </c>
      <c r="R2272" s="22" t="n">
        <v>0</v>
      </c>
    </row>
    <row r="2273">
      <c r="A2273" s="22" t="n">
        <v>201912</v>
      </c>
      <c r="B2273" s="22" t="inlineStr">
        <is>
          <t>12/2019</t>
        </is>
      </c>
      <c r="C2273" s="22" t="n">
        <v>9</v>
      </c>
      <c r="D2273" s="22" t="inlineStr">
        <is>
          <t>S09</t>
        </is>
      </c>
      <c r="E2273" s="22" t="inlineStr">
        <is>
          <t>Nexa Northwest Territories (S09)</t>
        </is>
      </c>
      <c r="F2273" s="22" t="inlineStr">
        <is>
          <t>Canada</t>
        </is>
      </c>
      <c r="G2273" s="22" t="inlineStr">
        <is>
          <t>POS</t>
        </is>
      </c>
      <c r="H2273" s="31" t="n">
        <v>83414.28</v>
      </c>
      <c r="I2273" s="31" t="n">
        <v>2907.05</v>
      </c>
      <c r="J2273" s="31" t="n">
        <v>80507.23</v>
      </c>
      <c r="K2273" s="31" t="n">
        <v>938</v>
      </c>
      <c r="L2273" s="32" t="n">
        <v>37</v>
      </c>
      <c r="M2273" s="32" t="n">
        <v>278</v>
      </c>
      <c r="N2273" s="31" t="n">
        <v>79569.23</v>
      </c>
      <c r="O2273" s="31" t="n">
        <v>80507.23</v>
      </c>
      <c r="P2273" s="22" t="n">
        <v>1</v>
      </c>
      <c r="Q2273" s="22" t="n">
        <v>0</v>
      </c>
      <c r="R2273" s="22" t="n">
        <v>0</v>
      </c>
    </row>
    <row r="2274">
      <c r="A2274" s="22" t="n">
        <v>201912</v>
      </c>
      <c r="B2274" s="22" t="inlineStr">
        <is>
          <t>12/2019</t>
        </is>
      </c>
      <c r="C2274" s="22" t="n">
        <v>10</v>
      </c>
      <c r="D2274" s="22" t="inlineStr">
        <is>
          <t>S10</t>
        </is>
      </c>
      <c r="E2274" s="22" t="inlineStr">
        <is>
          <t>Nexa Nunavut (S10)</t>
        </is>
      </c>
      <c r="F2274" s="22" t="inlineStr">
        <is>
          <t>Canada</t>
        </is>
      </c>
      <c r="G2274" s="22" t="inlineStr">
        <is>
          <t>POS</t>
        </is>
      </c>
      <c r="H2274" s="31" t="n">
        <v>88321.12</v>
      </c>
      <c r="I2274" s="31" t="n">
        <v>5174.64</v>
      </c>
      <c r="J2274" s="31" t="n">
        <v>83146.48</v>
      </c>
      <c r="K2274" s="31" t="n">
        <v>0</v>
      </c>
      <c r="L2274" s="32" t="n">
        <v>29</v>
      </c>
      <c r="M2274" s="32" t="n">
        <v>264</v>
      </c>
      <c r="N2274" s="31" t="n">
        <v>83146.48</v>
      </c>
      <c r="O2274" s="31" t="n">
        <v>83146.48</v>
      </c>
      <c r="P2274" s="22" t="n">
        <v>0</v>
      </c>
      <c r="Q2274" s="22" t="n">
        <v>0</v>
      </c>
      <c r="R2274" s="22" t="n">
        <v>0</v>
      </c>
    </row>
    <row r="2275">
      <c r="A2275" s="22" t="n">
        <v>201912</v>
      </c>
      <c r="B2275" s="22" t="inlineStr">
        <is>
          <t>12/2019</t>
        </is>
      </c>
      <c r="C2275" s="22" t="n">
        <v>12</v>
      </c>
      <c r="D2275" s="22" t="inlineStr">
        <is>
          <t>S12</t>
        </is>
      </c>
      <c r="E2275" s="22" t="inlineStr">
        <is>
          <t>Nexa Basse-Normandie (S12)</t>
        </is>
      </c>
      <c r="F2275" s="22" t="inlineStr">
        <is>
          <t>Pháp</t>
        </is>
      </c>
      <c r="G2275" s="22" t="inlineStr">
        <is>
          <t>POS</t>
        </is>
      </c>
      <c r="H2275" s="31" t="n">
        <v>11891.43</v>
      </c>
      <c r="I2275" s="31" t="n">
        <v>1189.14</v>
      </c>
      <c r="J2275" s="31" t="n">
        <v>10702.29</v>
      </c>
      <c r="K2275" s="31" t="n">
        <v>872.1</v>
      </c>
      <c r="L2275" s="32" t="n">
        <v>1</v>
      </c>
      <c r="M2275" s="32" t="n">
        <v>24</v>
      </c>
      <c r="N2275" s="31" t="n">
        <v>9830.190000000001</v>
      </c>
      <c r="O2275" s="31" t="n">
        <v>10702.29</v>
      </c>
      <c r="P2275" s="22" t="n">
        <v>0</v>
      </c>
      <c r="Q2275" s="22" t="n">
        <v>0</v>
      </c>
      <c r="R2275" s="22" t="n">
        <v>0</v>
      </c>
    </row>
    <row r="2276">
      <c r="A2276" s="22" t="n">
        <v>201912</v>
      </c>
      <c r="B2276" s="22" t="inlineStr">
        <is>
          <t>12/2019</t>
        </is>
      </c>
      <c r="C2276" s="22" t="n">
        <v>13</v>
      </c>
      <c r="D2276" s="22" t="inlineStr">
        <is>
          <t>S13</t>
        </is>
      </c>
      <c r="E2276" s="22" t="inlineStr">
        <is>
          <t>Nexa Corse (S13)</t>
        </is>
      </c>
      <c r="F2276" s="22" t="inlineStr">
        <is>
          <t>Pháp</t>
        </is>
      </c>
      <c r="G2276" s="22" t="inlineStr">
        <is>
          <t>POS</t>
        </is>
      </c>
      <c r="H2276" s="31" t="n">
        <v>11560.02</v>
      </c>
      <c r="I2276" s="31" t="n">
        <v>632.91</v>
      </c>
      <c r="J2276" s="31" t="n">
        <v>10927.11</v>
      </c>
      <c r="K2276" s="31" t="n">
        <v>459</v>
      </c>
      <c r="L2276" s="32" t="n">
        <v>3</v>
      </c>
      <c r="M2276" s="32" t="n">
        <v>52</v>
      </c>
      <c r="N2276" s="31" t="n">
        <v>10468.11</v>
      </c>
      <c r="O2276" s="31" t="n">
        <v>10927.11</v>
      </c>
      <c r="P2276" s="22" t="n">
        <v>0</v>
      </c>
      <c r="Q2276" s="22" t="n">
        <v>0</v>
      </c>
      <c r="R2276" s="22" t="n">
        <v>0</v>
      </c>
    </row>
    <row r="2277">
      <c r="A2277" s="22" t="n">
        <v>201912</v>
      </c>
      <c r="B2277" s="22" t="inlineStr">
        <is>
          <t>12/2019</t>
        </is>
      </c>
      <c r="C2277" s="22" t="n">
        <v>14</v>
      </c>
      <c r="D2277" s="22" t="inlineStr">
        <is>
          <t>S14</t>
        </is>
      </c>
      <c r="E2277" s="22" t="inlineStr">
        <is>
          <t>Nexa Franche-Comté (S14)</t>
        </is>
      </c>
      <c r="F2277" s="22" t="inlineStr">
        <is>
          <t>Pháp</t>
        </is>
      </c>
      <c r="G2277" s="22" t="inlineStr">
        <is>
          <t>POS</t>
        </is>
      </c>
      <c r="H2277" s="31" t="n">
        <v>2027.56</v>
      </c>
      <c r="I2277" s="31" t="n">
        <v>202.76</v>
      </c>
      <c r="J2277" s="31" t="n">
        <v>1824.8</v>
      </c>
      <c r="K2277" s="31" t="n">
        <v>0</v>
      </c>
      <c r="L2277" s="32" t="n">
        <v>2</v>
      </c>
      <c r="M2277" s="32" t="n">
        <v>13</v>
      </c>
      <c r="N2277" s="31" t="n">
        <v>1824.8</v>
      </c>
      <c r="O2277" s="31" t="n">
        <v>1824.8</v>
      </c>
      <c r="P2277" s="22" t="n">
        <v>0</v>
      </c>
      <c r="Q2277" s="22" t="n">
        <v>0</v>
      </c>
      <c r="R2277" s="22" t="n">
        <v>0</v>
      </c>
    </row>
    <row r="2278">
      <c r="A2278" s="22" t="n">
        <v>201912</v>
      </c>
      <c r="B2278" s="22" t="inlineStr">
        <is>
          <t>12/2019</t>
        </is>
      </c>
      <c r="C2278" s="22" t="n">
        <v>15</v>
      </c>
      <c r="D2278" s="22" t="inlineStr">
        <is>
          <t>S15</t>
        </is>
      </c>
      <c r="E2278" s="22" t="inlineStr">
        <is>
          <t>Nexa La Réunion (S15)</t>
        </is>
      </c>
      <c r="F2278" s="22" t="inlineStr">
        <is>
          <t>Pháp</t>
        </is>
      </c>
      <c r="G2278" s="22" t="inlineStr">
        <is>
          <t>POS</t>
        </is>
      </c>
      <c r="H2278" s="31" t="n">
        <v>10834.93</v>
      </c>
      <c r="I2278" s="31" t="n">
        <v>131.6</v>
      </c>
      <c r="J2278" s="31" t="n">
        <v>10703.33</v>
      </c>
      <c r="K2278" s="31" t="n">
        <v>0</v>
      </c>
      <c r="L2278" s="32" t="n">
        <v>2</v>
      </c>
      <c r="M2278" s="32" t="n">
        <v>27</v>
      </c>
      <c r="N2278" s="31" t="n">
        <v>10703.33</v>
      </c>
      <c r="O2278" s="31" t="n">
        <v>10703.33</v>
      </c>
      <c r="P2278" s="22" t="n">
        <v>0</v>
      </c>
      <c r="Q2278" s="22" t="n">
        <v>0</v>
      </c>
      <c r="R2278" s="22" t="n">
        <v>0</v>
      </c>
    </row>
    <row r="2279">
      <c r="A2279" s="22" t="n">
        <v>201912</v>
      </c>
      <c r="B2279" s="22" t="inlineStr">
        <is>
          <t>12/2019</t>
        </is>
      </c>
      <c r="C2279" s="22" t="n">
        <v>16</v>
      </c>
      <c r="D2279" s="22" t="inlineStr">
        <is>
          <t>S16</t>
        </is>
      </c>
      <c r="E2279" s="22" t="inlineStr">
        <is>
          <t>Nexa Limousin (S16)</t>
        </is>
      </c>
      <c r="F2279" s="22" t="inlineStr">
        <is>
          <t>Pháp</t>
        </is>
      </c>
      <c r="G2279" s="22" t="inlineStr">
        <is>
          <t>POS</t>
        </is>
      </c>
      <c r="H2279" s="31" t="n">
        <v>8270.08</v>
      </c>
      <c r="I2279" s="31" t="n">
        <v>410.7</v>
      </c>
      <c r="J2279" s="31" t="n">
        <v>7859.38</v>
      </c>
      <c r="K2279" s="31" t="n">
        <v>0</v>
      </c>
      <c r="L2279" s="32" t="n">
        <v>5</v>
      </c>
      <c r="M2279" s="32" t="n">
        <v>23</v>
      </c>
      <c r="N2279" s="31" t="n">
        <v>7859.38</v>
      </c>
      <c r="O2279" s="31" t="n">
        <v>7859.38</v>
      </c>
      <c r="P2279" s="22" t="n">
        <v>0</v>
      </c>
      <c r="Q2279" s="22" t="n">
        <v>0</v>
      </c>
      <c r="R2279" s="22" t="n">
        <v>0</v>
      </c>
    </row>
    <row r="2280">
      <c r="A2280" s="22" t="n">
        <v>201912</v>
      </c>
      <c r="B2280" s="22" t="inlineStr">
        <is>
          <t>12/2019</t>
        </is>
      </c>
      <c r="C2280" s="22" t="n">
        <v>17</v>
      </c>
      <c r="D2280" s="22" t="inlineStr">
        <is>
          <t>S17</t>
        </is>
      </c>
      <c r="E2280" s="22" t="inlineStr">
        <is>
          <t>Nexa Martinique (S17)</t>
        </is>
      </c>
      <c r="F2280" s="22" t="inlineStr">
        <is>
          <t>Pháp</t>
        </is>
      </c>
      <c r="G2280" s="22" t="inlineStr">
        <is>
          <t>POS</t>
        </is>
      </c>
      <c r="H2280" s="31" t="n">
        <v>6560</v>
      </c>
      <c r="I2280" s="31" t="n">
        <v>258.9</v>
      </c>
      <c r="J2280" s="31" t="n">
        <v>6301.1</v>
      </c>
      <c r="K2280" s="31" t="n">
        <v>0</v>
      </c>
      <c r="L2280" s="32" t="n">
        <v>5</v>
      </c>
      <c r="M2280" s="32" t="n">
        <v>40</v>
      </c>
      <c r="N2280" s="31" t="n">
        <v>6301.1</v>
      </c>
      <c r="O2280" s="31" t="n">
        <v>6301.1</v>
      </c>
      <c r="P2280" s="22" t="n">
        <v>0</v>
      </c>
      <c r="Q2280" s="22" t="n">
        <v>0</v>
      </c>
      <c r="R2280" s="22" t="n">
        <v>0</v>
      </c>
    </row>
    <row r="2281">
      <c r="A2281" s="22" t="n">
        <v>201912</v>
      </c>
      <c r="B2281" s="22" t="inlineStr">
        <is>
          <t>12/2019</t>
        </is>
      </c>
      <c r="C2281" s="22" t="n">
        <v>18</v>
      </c>
      <c r="D2281" s="22" t="inlineStr">
        <is>
          <t>S18</t>
        </is>
      </c>
      <c r="E2281" s="22" t="inlineStr">
        <is>
          <t>Nexa Mayotte (S18)</t>
        </is>
      </c>
      <c r="F2281" s="22" t="inlineStr">
        <is>
          <t>Pháp</t>
        </is>
      </c>
      <c r="G2281" s="22" t="inlineStr">
        <is>
          <t>POS</t>
        </is>
      </c>
      <c r="H2281" s="31" t="n">
        <v>3738.56</v>
      </c>
      <c r="I2281" s="31" t="n">
        <v>154.5</v>
      </c>
      <c r="J2281" s="31" t="n">
        <v>3584.06</v>
      </c>
      <c r="K2281" s="31" t="n">
        <v>0</v>
      </c>
      <c r="L2281" s="32" t="n">
        <v>4</v>
      </c>
      <c r="M2281" s="32" t="n">
        <v>17</v>
      </c>
      <c r="N2281" s="31" t="n">
        <v>3584.06</v>
      </c>
      <c r="O2281" s="31" t="n">
        <v>3584.06</v>
      </c>
      <c r="P2281" s="22" t="n">
        <v>0</v>
      </c>
      <c r="Q2281" s="22" t="n">
        <v>0</v>
      </c>
      <c r="R2281" s="22" t="n">
        <v>0</v>
      </c>
    </row>
    <row r="2282">
      <c r="A2282" s="22" t="n">
        <v>201912</v>
      </c>
      <c r="B2282" s="22" t="inlineStr">
        <is>
          <t>12/2019</t>
        </is>
      </c>
      <c r="C2282" s="22" t="n">
        <v>19</v>
      </c>
      <c r="D2282" s="22" t="inlineStr">
        <is>
          <t>S19</t>
        </is>
      </c>
      <c r="E2282" s="22" t="inlineStr">
        <is>
          <t>Nexa Berlin (S19)</t>
        </is>
      </c>
      <c r="F2282" s="22" t="inlineStr">
        <is>
          <t>Đức</t>
        </is>
      </c>
      <c r="G2282" s="22" t="inlineStr">
        <is>
          <t>POS</t>
        </is>
      </c>
      <c r="H2282" s="31" t="n">
        <v>25469.55</v>
      </c>
      <c r="I2282" s="31" t="n">
        <v>857.5</v>
      </c>
      <c r="J2282" s="31" t="n">
        <v>24612.05</v>
      </c>
      <c r="K2282" s="31" t="n">
        <v>1048.16</v>
      </c>
      <c r="L2282" s="32" t="n">
        <v>14</v>
      </c>
      <c r="M2282" s="32" t="n">
        <v>91</v>
      </c>
      <c r="N2282" s="31" t="n">
        <v>23563.89</v>
      </c>
      <c r="O2282" s="31" t="n">
        <v>24612.05</v>
      </c>
      <c r="P2282" s="22" t="n">
        <v>0</v>
      </c>
      <c r="Q2282" s="22" t="n">
        <v>0</v>
      </c>
      <c r="R2282" s="22" t="n">
        <v>0</v>
      </c>
    </row>
    <row r="2283">
      <c r="A2283" s="22" t="n">
        <v>201912</v>
      </c>
      <c r="B2283" s="22" t="inlineStr">
        <is>
          <t>12/2019</t>
        </is>
      </c>
      <c r="C2283" s="22" t="n">
        <v>21</v>
      </c>
      <c r="D2283" s="22" t="inlineStr">
        <is>
          <t>S21</t>
        </is>
      </c>
      <c r="E2283" s="22" t="inlineStr">
        <is>
          <t>Nexa Freie Hansestadt Bremen (S21)</t>
        </is>
      </c>
      <c r="F2283" s="22" t="inlineStr">
        <is>
          <t>Đức</t>
        </is>
      </c>
      <c r="G2283" s="22" t="inlineStr">
        <is>
          <t>POS</t>
        </is>
      </c>
      <c r="H2283" s="31" t="n">
        <v>42130.27</v>
      </c>
      <c r="I2283" s="31" t="n">
        <v>1907.34</v>
      </c>
      <c r="J2283" s="31" t="n">
        <v>40222.93</v>
      </c>
      <c r="K2283" s="31" t="n">
        <v>657</v>
      </c>
      <c r="L2283" s="32" t="n">
        <v>15</v>
      </c>
      <c r="M2283" s="32" t="n">
        <v>149</v>
      </c>
      <c r="N2283" s="31" t="n">
        <v>39565.93</v>
      </c>
      <c r="O2283" s="31" t="n">
        <v>40222.93</v>
      </c>
      <c r="P2283" s="22" t="n">
        <v>0</v>
      </c>
      <c r="Q2283" s="22" t="n">
        <v>0</v>
      </c>
      <c r="R2283" s="22" t="n">
        <v>0</v>
      </c>
    </row>
    <row r="2284">
      <c r="A2284" s="22" t="n">
        <v>201912</v>
      </c>
      <c r="B2284" s="22" t="inlineStr">
        <is>
          <t>12/2019</t>
        </is>
      </c>
      <c r="C2284" s="22" t="n">
        <v>22</v>
      </c>
      <c r="D2284" s="22" t="inlineStr">
        <is>
          <t>S22</t>
        </is>
      </c>
      <c r="E2284" s="22" t="inlineStr">
        <is>
          <t>Nexa Freistaat Thüringen (S22)</t>
        </is>
      </c>
      <c r="F2284" s="22" t="inlineStr">
        <is>
          <t>Đức</t>
        </is>
      </c>
      <c r="G2284" s="22" t="inlineStr">
        <is>
          <t>POS</t>
        </is>
      </c>
      <c r="H2284" s="31" t="n">
        <v>33515.49</v>
      </c>
      <c r="I2284" s="31" t="n">
        <v>1353.83</v>
      </c>
      <c r="J2284" s="31" t="n">
        <v>32161.66</v>
      </c>
      <c r="K2284" s="31" t="n">
        <v>296</v>
      </c>
      <c r="L2284" s="32" t="n">
        <v>16</v>
      </c>
      <c r="M2284" s="32" t="n">
        <v>117</v>
      </c>
      <c r="N2284" s="31" t="n">
        <v>31865.66</v>
      </c>
      <c r="O2284" s="31" t="n">
        <v>32161.66</v>
      </c>
      <c r="P2284" s="22" t="n">
        <v>1</v>
      </c>
      <c r="Q2284" s="22" t="n">
        <v>0</v>
      </c>
      <c r="R2284" s="22" t="n">
        <v>0</v>
      </c>
    </row>
    <row r="2285">
      <c r="A2285" s="22" t="n">
        <v>201912</v>
      </c>
      <c r="B2285" s="22" t="inlineStr">
        <is>
          <t>12/2019</t>
        </is>
      </c>
      <c r="C2285" s="22" t="n">
        <v>23</v>
      </c>
      <c r="D2285" s="22" t="inlineStr">
        <is>
          <t>S23</t>
        </is>
      </c>
      <c r="E2285" s="22" t="inlineStr">
        <is>
          <t>Nexa Hamburg (S23)</t>
        </is>
      </c>
      <c r="F2285" s="22" t="inlineStr">
        <is>
          <t>Đức</t>
        </is>
      </c>
      <c r="G2285" s="22" t="inlineStr">
        <is>
          <t>POS</t>
        </is>
      </c>
      <c r="H2285" s="31" t="n">
        <v>14978.58</v>
      </c>
      <c r="I2285" s="31" t="n">
        <v>340.86</v>
      </c>
      <c r="J2285" s="31" t="n">
        <v>14637.72</v>
      </c>
      <c r="K2285" s="31" t="n">
        <v>362</v>
      </c>
      <c r="L2285" s="32" t="n">
        <v>13</v>
      </c>
      <c r="M2285" s="32" t="n">
        <v>70</v>
      </c>
      <c r="N2285" s="31" t="n">
        <v>14275.72</v>
      </c>
      <c r="O2285" s="31" t="n">
        <v>14637.72</v>
      </c>
      <c r="P2285" s="22" t="n">
        <v>0</v>
      </c>
      <c r="Q2285" s="22" t="n">
        <v>0</v>
      </c>
      <c r="R2285" s="22" t="n">
        <v>0</v>
      </c>
    </row>
    <row r="2286">
      <c r="A2286" s="22" t="n">
        <v>201912</v>
      </c>
      <c r="B2286" s="22" t="inlineStr">
        <is>
          <t>12/2019</t>
        </is>
      </c>
      <c r="C2286" s="22" t="n">
        <v>24</v>
      </c>
      <c r="D2286" s="22" t="inlineStr">
        <is>
          <t>S24</t>
        </is>
      </c>
      <c r="E2286" s="22" t="inlineStr">
        <is>
          <t>Nexa Hessen (S24)</t>
        </is>
      </c>
      <c r="F2286" s="22" t="inlineStr">
        <is>
          <t>Đức</t>
        </is>
      </c>
      <c r="G2286" s="22" t="inlineStr">
        <is>
          <t>POS</t>
        </is>
      </c>
      <c r="H2286" s="31" t="n">
        <v>22487.9</v>
      </c>
      <c r="I2286" s="31" t="n">
        <v>401.46</v>
      </c>
      <c r="J2286" s="31" t="n">
        <v>22086.44</v>
      </c>
      <c r="K2286" s="31" t="n">
        <v>0</v>
      </c>
      <c r="L2286" s="32" t="n">
        <v>13</v>
      </c>
      <c r="M2286" s="32" t="n">
        <v>96</v>
      </c>
      <c r="N2286" s="31" t="n">
        <v>22086.44</v>
      </c>
      <c r="O2286" s="31" t="n">
        <v>22086.44</v>
      </c>
      <c r="P2286" s="22" t="n">
        <v>1</v>
      </c>
      <c r="Q2286" s="22" t="n">
        <v>0</v>
      </c>
      <c r="R2286" s="22" t="n">
        <v>0</v>
      </c>
    </row>
    <row r="2287">
      <c r="A2287" s="22" t="n">
        <v>201912</v>
      </c>
      <c r="B2287" s="22" t="inlineStr">
        <is>
          <t>12/2019</t>
        </is>
      </c>
      <c r="C2287" s="22" t="n">
        <v>26</v>
      </c>
      <c r="D2287" s="22" t="inlineStr">
        <is>
          <t>S26</t>
        </is>
      </c>
      <c r="E2287" s="22" t="inlineStr">
        <is>
          <t>Nexa Saarland (S26)</t>
        </is>
      </c>
      <c r="F2287" s="22" t="inlineStr">
        <is>
          <t>Đức</t>
        </is>
      </c>
      <c r="G2287" s="22" t="inlineStr">
        <is>
          <t>POS</t>
        </is>
      </c>
      <c r="H2287" s="31" t="n">
        <v>41097.13</v>
      </c>
      <c r="I2287" s="31" t="n">
        <v>2875.51</v>
      </c>
      <c r="J2287" s="31" t="n">
        <v>38221.62</v>
      </c>
      <c r="K2287" s="31" t="n">
        <v>2483.58</v>
      </c>
      <c r="L2287" s="32" t="n">
        <v>12</v>
      </c>
      <c r="M2287" s="32" t="n">
        <v>126</v>
      </c>
      <c r="N2287" s="31" t="n">
        <v>35738.04</v>
      </c>
      <c r="O2287" s="31" t="n">
        <v>38221.62</v>
      </c>
      <c r="P2287" s="22" t="n">
        <v>0</v>
      </c>
      <c r="Q2287" s="22" t="n">
        <v>0</v>
      </c>
      <c r="R2287" s="22" t="n">
        <v>0</v>
      </c>
    </row>
    <row r="2288">
      <c r="A2288" s="22" t="n">
        <v>201912</v>
      </c>
      <c r="B2288" s="22" t="inlineStr">
        <is>
          <t>12/2019</t>
        </is>
      </c>
      <c r="C2288" s="22" t="n">
        <v>27</v>
      </c>
      <c r="D2288" s="22" t="inlineStr">
        <is>
          <t>S27</t>
        </is>
      </c>
      <c r="E2288" s="22" t="inlineStr">
        <is>
          <t>Nexa Sachsen-Anhalt (S27)</t>
        </is>
      </c>
      <c r="F2288" s="22" t="inlineStr">
        <is>
          <t>Đức</t>
        </is>
      </c>
      <c r="G2288" s="22" t="inlineStr">
        <is>
          <t>POS</t>
        </is>
      </c>
      <c r="H2288" s="31" t="n">
        <v>20903.97</v>
      </c>
      <c r="I2288" s="31" t="n">
        <v>593.49</v>
      </c>
      <c r="J2288" s="31" t="n">
        <v>20310.48</v>
      </c>
      <c r="K2288" s="31" t="n">
        <v>0</v>
      </c>
      <c r="L2288" s="32" t="n">
        <v>15</v>
      </c>
      <c r="M2288" s="32" t="n">
        <v>89</v>
      </c>
      <c r="N2288" s="31" t="n">
        <v>20310.48</v>
      </c>
      <c r="O2288" s="31" t="n">
        <v>20310.48</v>
      </c>
      <c r="P2288" s="22" t="n">
        <v>1</v>
      </c>
      <c r="Q2288" s="22" t="n">
        <v>0</v>
      </c>
      <c r="R2288" s="22" t="n">
        <v>0</v>
      </c>
    </row>
    <row r="2289">
      <c r="A2289" s="22" t="n">
        <v>201912</v>
      </c>
      <c r="B2289" s="22" t="inlineStr">
        <is>
          <t>12/2019</t>
        </is>
      </c>
      <c r="C2289" s="22" t="n">
        <v>29</v>
      </c>
      <c r="D2289" s="22" t="inlineStr">
        <is>
          <t>S29</t>
        </is>
      </c>
      <c r="E2289" s="22" t="inlineStr">
        <is>
          <t>Nexa Enna (S29)</t>
        </is>
      </c>
      <c r="F2289" s="22" t="inlineStr">
        <is>
          <t>Ý</t>
        </is>
      </c>
      <c r="G2289" s="22" t="inlineStr">
        <is>
          <t>POS</t>
        </is>
      </c>
      <c r="H2289" s="31" t="n">
        <v>24835.81</v>
      </c>
      <c r="I2289" s="31" t="n">
        <v>582.62</v>
      </c>
      <c r="J2289" s="31" t="n">
        <v>24253.19</v>
      </c>
      <c r="K2289" s="31" t="n">
        <v>493</v>
      </c>
      <c r="L2289" s="32" t="n">
        <v>21</v>
      </c>
      <c r="M2289" s="32" t="n">
        <v>125</v>
      </c>
      <c r="N2289" s="31" t="n">
        <v>23760.19</v>
      </c>
      <c r="O2289" s="31" t="n">
        <v>24253.19</v>
      </c>
      <c r="P2289" s="22" t="n">
        <v>0</v>
      </c>
      <c r="Q2289" s="22" t="n">
        <v>0</v>
      </c>
      <c r="R2289" s="22" t="n">
        <v>0</v>
      </c>
    </row>
    <row r="2290">
      <c r="A2290" s="22" t="n">
        <v>201912</v>
      </c>
      <c r="B2290" s="22" t="inlineStr">
        <is>
          <t>12/2019</t>
        </is>
      </c>
      <c r="C2290" s="22" t="n">
        <v>30</v>
      </c>
      <c r="D2290" s="22" t="inlineStr">
        <is>
          <t>S30</t>
        </is>
      </c>
      <c r="E2290" s="22" t="inlineStr">
        <is>
          <t>Nexa Pesaro (S30)</t>
        </is>
      </c>
      <c r="F2290" s="22" t="inlineStr">
        <is>
          <t>Ý</t>
        </is>
      </c>
      <c r="G2290" s="22" t="inlineStr">
        <is>
          <t>POS</t>
        </is>
      </c>
      <c r="H2290" s="31" t="n">
        <v>52406.78</v>
      </c>
      <c r="I2290" s="31" t="n">
        <v>783.98</v>
      </c>
      <c r="J2290" s="31" t="n">
        <v>51622.8</v>
      </c>
      <c r="K2290" s="31" t="n">
        <v>129.99</v>
      </c>
      <c r="L2290" s="32" t="n">
        <v>21</v>
      </c>
      <c r="M2290" s="32" t="n">
        <v>135</v>
      </c>
      <c r="N2290" s="31" t="n">
        <v>51492.81</v>
      </c>
      <c r="O2290" s="31" t="n">
        <v>51622.8</v>
      </c>
      <c r="P2290" s="22" t="n">
        <v>2</v>
      </c>
      <c r="Q2290" s="22" t="n">
        <v>0</v>
      </c>
      <c r="R2290" s="22" t="n">
        <v>0</v>
      </c>
    </row>
    <row r="2291">
      <c r="A2291" s="22" t="n">
        <v>201912</v>
      </c>
      <c r="B2291" s="22" t="inlineStr">
        <is>
          <t>12/2019</t>
        </is>
      </c>
      <c r="C2291" s="22" t="n">
        <v>31</v>
      </c>
      <c r="D2291" s="22" t="inlineStr">
        <is>
          <t>S31</t>
        </is>
      </c>
      <c r="E2291" s="22" t="inlineStr">
        <is>
          <t>Nexa Drenthe (S31)</t>
        </is>
      </c>
      <c r="F2291" s="22" t="inlineStr">
        <is>
          <t>Hà Lan</t>
        </is>
      </c>
      <c r="G2291" s="22" t="inlineStr">
        <is>
          <t>POS</t>
        </is>
      </c>
      <c r="H2291" s="31" t="n">
        <v>8745.309999999999</v>
      </c>
      <c r="I2291" s="31" t="n">
        <v>3.99</v>
      </c>
      <c r="J2291" s="31" t="n">
        <v>8741.32</v>
      </c>
      <c r="K2291" s="31" t="n">
        <v>0</v>
      </c>
      <c r="L2291" s="32" t="n">
        <v>8</v>
      </c>
      <c r="M2291" s="32" t="n">
        <v>54</v>
      </c>
      <c r="N2291" s="31" t="n">
        <v>8741.32</v>
      </c>
      <c r="O2291" s="31" t="n">
        <v>8741.32</v>
      </c>
      <c r="P2291" s="22" t="n">
        <v>0</v>
      </c>
      <c r="Q2291" s="22" t="n">
        <v>0</v>
      </c>
      <c r="R2291" s="22" t="n">
        <v>0</v>
      </c>
    </row>
    <row r="2292">
      <c r="A2292" s="22" t="n">
        <v>201912</v>
      </c>
      <c r="B2292" s="22" t="inlineStr">
        <is>
          <t>12/2019</t>
        </is>
      </c>
      <c r="C2292" s="22" t="n">
        <v>32</v>
      </c>
      <c r="D2292" s="22" t="inlineStr">
        <is>
          <t>S32</t>
        </is>
      </c>
      <c r="E2292" s="22" t="inlineStr">
        <is>
          <t>Nexa Flevoland (S32)</t>
        </is>
      </c>
      <c r="F2292" s="22" t="inlineStr">
        <is>
          <t>Hà Lan</t>
        </is>
      </c>
      <c r="G2292" s="22" t="inlineStr">
        <is>
          <t>POS</t>
        </is>
      </c>
      <c r="H2292" s="31" t="n">
        <v>30632.53</v>
      </c>
      <c r="I2292" s="31" t="n">
        <v>1916.36</v>
      </c>
      <c r="J2292" s="31" t="n">
        <v>28716.17</v>
      </c>
      <c r="K2292" s="31" t="n">
        <v>25.46</v>
      </c>
      <c r="L2292" s="32" t="n">
        <v>11</v>
      </c>
      <c r="M2292" s="32" t="n">
        <v>109</v>
      </c>
      <c r="N2292" s="31" t="n">
        <v>28690.71</v>
      </c>
      <c r="O2292" s="31" t="n">
        <v>28716.17</v>
      </c>
      <c r="P2292" s="22" t="n">
        <v>0</v>
      </c>
      <c r="Q2292" s="22" t="n">
        <v>0</v>
      </c>
      <c r="R2292" s="22" t="n">
        <v>0</v>
      </c>
    </row>
    <row r="2293">
      <c r="A2293" s="22" t="n">
        <v>201912</v>
      </c>
      <c r="B2293" s="22" t="inlineStr">
        <is>
          <t>12/2019</t>
        </is>
      </c>
      <c r="C2293" s="22" t="n">
        <v>33</v>
      </c>
      <c r="D2293" s="22" t="inlineStr">
        <is>
          <t>S33</t>
        </is>
      </c>
      <c r="E2293" s="22" t="inlineStr">
        <is>
          <t>Nexa Friesland (S33)</t>
        </is>
      </c>
      <c r="F2293" s="22" t="inlineStr">
        <is>
          <t>Hà Lan</t>
        </is>
      </c>
      <c r="G2293" s="22" t="inlineStr">
        <is>
          <t>POS</t>
        </is>
      </c>
      <c r="H2293" s="31" t="n">
        <v>21416.15</v>
      </c>
      <c r="I2293" s="31" t="n">
        <v>0</v>
      </c>
      <c r="J2293" s="31" t="n">
        <v>21416.15</v>
      </c>
      <c r="K2293" s="31" t="n">
        <v>656</v>
      </c>
      <c r="L2293" s="32" t="n">
        <v>8</v>
      </c>
      <c r="M2293" s="32" t="n">
        <v>65</v>
      </c>
      <c r="N2293" s="31" t="n">
        <v>20760.15</v>
      </c>
      <c r="O2293" s="31" t="n">
        <v>21416.15</v>
      </c>
      <c r="P2293" s="22" t="n">
        <v>0</v>
      </c>
      <c r="Q2293" s="22" t="n">
        <v>0</v>
      </c>
      <c r="R2293" s="22" t="n">
        <v>0</v>
      </c>
    </row>
    <row r="2294">
      <c r="A2294" s="22" t="n">
        <v>201912</v>
      </c>
      <c r="B2294" s="22" t="inlineStr">
        <is>
          <t>12/2019</t>
        </is>
      </c>
      <c r="C2294" s="22" t="n">
        <v>34</v>
      </c>
      <c r="D2294" s="22" t="inlineStr">
        <is>
          <t>S34</t>
        </is>
      </c>
      <c r="E2294" s="22" t="inlineStr">
        <is>
          <t>Nexa Groningen (S34)</t>
        </is>
      </c>
      <c r="F2294" s="22" t="inlineStr">
        <is>
          <t>Hà Lan</t>
        </is>
      </c>
      <c r="G2294" s="22" t="inlineStr">
        <is>
          <t>POS</t>
        </is>
      </c>
      <c r="H2294" s="31" t="n">
        <v>12978.76</v>
      </c>
      <c r="I2294" s="31" t="n">
        <v>0</v>
      </c>
      <c r="J2294" s="31" t="n">
        <v>12978.76</v>
      </c>
      <c r="K2294" s="31" t="n">
        <v>0</v>
      </c>
      <c r="L2294" s="32" t="n">
        <v>6</v>
      </c>
      <c r="M2294" s="32" t="n">
        <v>37</v>
      </c>
      <c r="N2294" s="31" t="n">
        <v>12978.76</v>
      </c>
      <c r="O2294" s="31" t="n">
        <v>12978.76</v>
      </c>
      <c r="P2294" s="22" t="n">
        <v>0</v>
      </c>
      <c r="Q2294" s="22" t="n">
        <v>0</v>
      </c>
      <c r="R2294" s="22" t="n">
        <v>0</v>
      </c>
    </row>
    <row r="2295">
      <c r="A2295" s="22" t="n">
        <v>201912</v>
      </c>
      <c r="B2295" s="22" t="inlineStr">
        <is>
          <t>12/2019</t>
        </is>
      </c>
      <c r="C2295" s="22" t="n">
        <v>36</v>
      </c>
      <c r="D2295" s="22" t="inlineStr">
        <is>
          <t>S36</t>
        </is>
      </c>
      <c r="E2295" s="22" t="inlineStr">
        <is>
          <t>Nexa Armagh (S36)</t>
        </is>
      </c>
      <c r="F2295" s="22" t="inlineStr">
        <is>
          <t>Anh</t>
        </is>
      </c>
      <c r="G2295" s="22" t="inlineStr">
        <is>
          <t>POS</t>
        </is>
      </c>
      <c r="H2295" s="31" t="n">
        <v>58639.71</v>
      </c>
      <c r="I2295" s="31" t="n">
        <v>1657.55</v>
      </c>
      <c r="J2295" s="31" t="n">
        <v>56982.16</v>
      </c>
      <c r="K2295" s="31" t="n">
        <v>36.96</v>
      </c>
      <c r="L2295" s="32" t="n">
        <v>26</v>
      </c>
      <c r="M2295" s="32" t="n">
        <v>224</v>
      </c>
      <c r="N2295" s="31" t="n">
        <v>56945.2</v>
      </c>
      <c r="O2295" s="31" t="n">
        <v>56982.16</v>
      </c>
      <c r="P2295" s="22" t="n">
        <v>0</v>
      </c>
      <c r="Q2295" s="22" t="n">
        <v>0</v>
      </c>
      <c r="R2295" s="22" t="n">
        <v>0</v>
      </c>
    </row>
    <row r="2296">
      <c r="A2296" s="22" t="n">
        <v>201912</v>
      </c>
      <c r="B2296" s="22" t="inlineStr">
        <is>
          <t>12/2019</t>
        </is>
      </c>
      <c r="C2296" s="22" t="n">
        <v>37</v>
      </c>
      <c r="D2296" s="22" t="inlineStr">
        <is>
          <t>S37</t>
        </is>
      </c>
      <c r="E2296" s="22" t="inlineStr">
        <is>
          <t>Nexa Ayrshire (S37)</t>
        </is>
      </c>
      <c r="F2296" s="22" t="inlineStr">
        <is>
          <t>Anh</t>
        </is>
      </c>
      <c r="G2296" s="22" t="inlineStr">
        <is>
          <t>POS</t>
        </is>
      </c>
      <c r="H2296" s="31" t="n">
        <v>30229.06</v>
      </c>
      <c r="I2296" s="31" t="n">
        <v>1950.84</v>
      </c>
      <c r="J2296" s="31" t="n">
        <v>28278.22</v>
      </c>
      <c r="K2296" s="31" t="n">
        <v>3.35</v>
      </c>
      <c r="L2296" s="32" t="n">
        <v>11</v>
      </c>
      <c r="M2296" s="32" t="n">
        <v>146</v>
      </c>
      <c r="N2296" s="31" t="n">
        <v>28274.87</v>
      </c>
      <c r="O2296" s="31" t="n">
        <v>28278.22</v>
      </c>
      <c r="P2296" s="22" t="n">
        <v>0</v>
      </c>
      <c r="Q2296" s="22" t="n">
        <v>0</v>
      </c>
      <c r="R2296" s="22" t="n">
        <v>0</v>
      </c>
    </row>
    <row r="2297">
      <c r="A2297" s="22" t="n">
        <v>201912</v>
      </c>
      <c r="B2297" s="22" t="inlineStr">
        <is>
          <t>12/2019</t>
        </is>
      </c>
      <c r="C2297" s="22" t="n">
        <v>38</v>
      </c>
      <c r="D2297" s="22" t="inlineStr">
        <is>
          <t>S38</t>
        </is>
      </c>
      <c r="E2297" s="22" t="inlineStr">
        <is>
          <t>Nexa Belfast (S38)</t>
        </is>
      </c>
      <c r="F2297" s="22" t="inlineStr">
        <is>
          <t>Anh</t>
        </is>
      </c>
      <c r="G2297" s="22" t="inlineStr">
        <is>
          <t>POS</t>
        </is>
      </c>
      <c r="H2297" s="31" t="n">
        <v>42853.83</v>
      </c>
      <c r="I2297" s="31" t="n">
        <v>1935.68</v>
      </c>
      <c r="J2297" s="31" t="n">
        <v>40918.15</v>
      </c>
      <c r="K2297" s="31" t="n">
        <v>1026.2</v>
      </c>
      <c r="L2297" s="32" t="n">
        <v>16</v>
      </c>
      <c r="M2297" s="32" t="n">
        <v>104</v>
      </c>
      <c r="N2297" s="31" t="n">
        <v>39891.95</v>
      </c>
      <c r="O2297" s="31" t="n">
        <v>40918.15</v>
      </c>
      <c r="P2297" s="22" t="n">
        <v>0</v>
      </c>
      <c r="Q2297" s="22" t="n">
        <v>0</v>
      </c>
      <c r="R2297" s="22" t="n">
        <v>0</v>
      </c>
    </row>
    <row r="2298">
      <c r="A2298" s="22" t="n">
        <v>201912</v>
      </c>
      <c r="B2298" s="22" t="inlineStr">
        <is>
          <t>12/2019</t>
        </is>
      </c>
      <c r="C2298" s="22" t="n">
        <v>39</v>
      </c>
      <c r="D2298" s="22" t="inlineStr">
        <is>
          <t>S39</t>
        </is>
      </c>
      <c r="E2298" s="22" t="inlineStr">
        <is>
          <t>Nexa Blaenau Gwent (S39)</t>
        </is>
      </c>
      <c r="F2298" s="22" t="inlineStr">
        <is>
          <t>Anh</t>
        </is>
      </c>
      <c r="G2298" s="22" t="inlineStr">
        <is>
          <t>POS</t>
        </is>
      </c>
      <c r="H2298" s="31" t="n">
        <v>47903.86</v>
      </c>
      <c r="I2298" s="31" t="n">
        <v>1454.02</v>
      </c>
      <c r="J2298" s="31" t="n">
        <v>46449.84</v>
      </c>
      <c r="K2298" s="31" t="n">
        <v>7616.31</v>
      </c>
      <c r="L2298" s="32" t="n">
        <v>26</v>
      </c>
      <c r="M2298" s="32" t="n">
        <v>190</v>
      </c>
      <c r="N2298" s="31" t="n">
        <v>38833.53</v>
      </c>
      <c r="O2298" s="31" t="n">
        <v>46449.84</v>
      </c>
      <c r="P2298" s="22" t="n">
        <v>1</v>
      </c>
      <c r="Q2298" s="22" t="n">
        <v>0</v>
      </c>
      <c r="R2298" s="22" t="n">
        <v>0</v>
      </c>
    </row>
    <row r="2299">
      <c r="A2299" s="22" t="n">
        <v>201912</v>
      </c>
      <c r="B2299" s="22" t="inlineStr">
        <is>
          <t>12/2019</t>
        </is>
      </c>
      <c r="C2299" s="22" t="n">
        <v>40</v>
      </c>
      <c r="D2299" s="22" t="inlineStr">
        <is>
          <t>S40</t>
        </is>
      </c>
      <c r="E2299" s="22" t="inlineStr">
        <is>
          <t>Nexa Dungannon and South Tyrone (S40)</t>
        </is>
      </c>
      <c r="F2299" s="22" t="inlineStr">
        <is>
          <t>Anh</t>
        </is>
      </c>
      <c r="G2299" s="22" t="inlineStr">
        <is>
          <t>POS</t>
        </is>
      </c>
      <c r="H2299" s="31" t="n">
        <v>26931.9</v>
      </c>
      <c r="I2299" s="31" t="n">
        <v>333.61</v>
      </c>
      <c r="J2299" s="31" t="n">
        <v>26598.29</v>
      </c>
      <c r="K2299" s="31" t="n">
        <v>0</v>
      </c>
      <c r="L2299" s="32" t="n">
        <v>13</v>
      </c>
      <c r="M2299" s="32" t="n">
        <v>86</v>
      </c>
      <c r="N2299" s="31" t="n">
        <v>26598.29</v>
      </c>
      <c r="O2299" s="31" t="n">
        <v>26598.29</v>
      </c>
      <c r="P2299" s="22" t="n">
        <v>0</v>
      </c>
      <c r="Q2299" s="22" t="n">
        <v>0</v>
      </c>
      <c r="R2299" s="22" t="n">
        <v>0</v>
      </c>
    </row>
    <row r="2300">
      <c r="A2300" s="22" t="n">
        <v>201912</v>
      </c>
      <c r="B2300" s="22" t="inlineStr">
        <is>
          <t>12/2019</t>
        </is>
      </c>
      <c r="C2300" s="22" t="n">
        <v>42</v>
      </c>
      <c r="D2300" s="22" t="inlineStr">
        <is>
          <t>S42</t>
        </is>
      </c>
      <c r="E2300" s="22" t="inlineStr">
        <is>
          <t>Nexa North Down (S42)</t>
        </is>
      </c>
      <c r="F2300" s="22" t="inlineStr">
        <is>
          <t>Anh</t>
        </is>
      </c>
      <c r="G2300" s="22" t="inlineStr">
        <is>
          <t>POS</t>
        </is>
      </c>
      <c r="H2300" s="31" t="n">
        <v>42733.79</v>
      </c>
      <c r="I2300" s="31" t="n">
        <v>909.5</v>
      </c>
      <c r="J2300" s="31" t="n">
        <v>41824.29</v>
      </c>
      <c r="K2300" s="31" t="n">
        <v>7001.99</v>
      </c>
      <c r="L2300" s="32" t="n">
        <v>13</v>
      </c>
      <c r="M2300" s="32" t="n">
        <v>66</v>
      </c>
      <c r="N2300" s="31" t="n">
        <v>34822.3</v>
      </c>
      <c r="O2300" s="31" t="n">
        <v>41824.29</v>
      </c>
      <c r="P2300" s="22" t="n">
        <v>2</v>
      </c>
      <c r="Q2300" s="22" t="n">
        <v>0</v>
      </c>
      <c r="R2300" s="22" t="n">
        <v>0</v>
      </c>
    </row>
    <row r="2301">
      <c r="A2301" s="22" t="n">
        <v>201912</v>
      </c>
      <c r="B2301" s="22" t="inlineStr">
        <is>
          <t>12/2019</t>
        </is>
      </c>
      <c r="C2301" s="22" t="n">
        <v>43</v>
      </c>
      <c r="D2301" s="22" t="inlineStr">
        <is>
          <t>S43</t>
        </is>
      </c>
      <c r="E2301" s="22" t="inlineStr">
        <is>
          <t>Nexa Alaska (S43)</t>
        </is>
      </c>
      <c r="F2301" s="22" t="inlineStr">
        <is>
          <t>Mỹ</t>
        </is>
      </c>
      <c r="G2301" s="22" t="inlineStr">
        <is>
          <t>POS</t>
        </is>
      </c>
      <c r="H2301" s="31" t="n">
        <v>50082.95</v>
      </c>
      <c r="I2301" s="31" t="n">
        <v>781.1</v>
      </c>
      <c r="J2301" s="31" t="n">
        <v>49301.85</v>
      </c>
      <c r="K2301" s="31" t="n">
        <v>1668</v>
      </c>
      <c r="L2301" s="32" t="n">
        <v>29</v>
      </c>
      <c r="M2301" s="32" t="n">
        <v>189</v>
      </c>
      <c r="N2301" s="31" t="n">
        <v>47633.85</v>
      </c>
      <c r="O2301" s="31" t="n">
        <v>49301.85</v>
      </c>
      <c r="P2301" s="22" t="n">
        <v>0</v>
      </c>
      <c r="Q2301" s="22" t="n">
        <v>0</v>
      </c>
      <c r="R2301" s="22" t="n">
        <v>0</v>
      </c>
    </row>
    <row r="2302">
      <c r="A2302" s="22" t="n">
        <v>201912</v>
      </c>
      <c r="B2302" s="22" t="inlineStr">
        <is>
          <t>12/2019</t>
        </is>
      </c>
      <c r="C2302" s="22" t="n">
        <v>44</v>
      </c>
      <c r="D2302" s="22" t="inlineStr">
        <is>
          <t>S44</t>
        </is>
      </c>
      <c r="E2302" s="22" t="inlineStr">
        <is>
          <t>Nexa Arkansas (S44)</t>
        </is>
      </c>
      <c r="F2302" s="22" t="inlineStr">
        <is>
          <t>Mỹ</t>
        </is>
      </c>
      <c r="G2302" s="22" t="inlineStr">
        <is>
          <t>POS</t>
        </is>
      </c>
      <c r="H2302" s="31" t="n">
        <v>42483.12</v>
      </c>
      <c r="I2302" s="31" t="n">
        <v>1532.66</v>
      </c>
      <c r="J2302" s="31" t="n">
        <v>40950.46</v>
      </c>
      <c r="K2302" s="31" t="n">
        <v>712.26</v>
      </c>
      <c r="L2302" s="32" t="n">
        <v>27</v>
      </c>
      <c r="M2302" s="32" t="n">
        <v>174</v>
      </c>
      <c r="N2302" s="31" t="n">
        <v>40238.2</v>
      </c>
      <c r="O2302" s="31" t="n">
        <v>40950.46</v>
      </c>
      <c r="P2302" s="22" t="n">
        <v>1</v>
      </c>
      <c r="Q2302" s="22" t="n">
        <v>0</v>
      </c>
      <c r="R2302" s="22" t="n">
        <v>0</v>
      </c>
    </row>
    <row r="2303">
      <c r="A2303" s="22" t="n">
        <v>201912</v>
      </c>
      <c r="B2303" s="22" t="inlineStr">
        <is>
          <t>12/2019</t>
        </is>
      </c>
      <c r="C2303" s="22" t="n">
        <v>45</v>
      </c>
      <c r="D2303" s="22" t="inlineStr">
        <is>
          <t>S45</t>
        </is>
      </c>
      <c r="E2303" s="22" t="inlineStr">
        <is>
          <t>Nexa Connecticut (S45)</t>
        </is>
      </c>
      <c r="F2303" s="22" t="inlineStr">
        <is>
          <t>Mỹ</t>
        </is>
      </c>
      <c r="G2303" s="22" t="inlineStr">
        <is>
          <t>POS</t>
        </is>
      </c>
      <c r="H2303" s="31" t="n">
        <v>54001.32</v>
      </c>
      <c r="I2303" s="31" t="n">
        <v>1808.08</v>
      </c>
      <c r="J2303" s="31" t="n">
        <v>52193.24</v>
      </c>
      <c r="K2303" s="31" t="n">
        <v>17.98</v>
      </c>
      <c r="L2303" s="32" t="n">
        <v>29</v>
      </c>
      <c r="M2303" s="32" t="n">
        <v>209</v>
      </c>
      <c r="N2303" s="31" t="n">
        <v>52175.26</v>
      </c>
      <c r="O2303" s="31" t="n">
        <v>52193.24</v>
      </c>
      <c r="P2303" s="22" t="n">
        <v>1</v>
      </c>
      <c r="Q2303" s="22" t="n">
        <v>0</v>
      </c>
      <c r="R2303" s="22" t="n">
        <v>0</v>
      </c>
    </row>
    <row r="2304">
      <c r="A2304" s="22" t="n">
        <v>201912</v>
      </c>
      <c r="B2304" s="22" t="inlineStr">
        <is>
          <t>12/2019</t>
        </is>
      </c>
      <c r="C2304" s="22" t="n">
        <v>47</v>
      </c>
      <c r="D2304" s="22" t="inlineStr">
        <is>
          <t>S47</t>
        </is>
      </c>
      <c r="E2304" s="22" t="inlineStr">
        <is>
          <t>Nexa Hawaii (S47)</t>
        </is>
      </c>
      <c r="F2304" s="22" t="inlineStr">
        <is>
          <t>Mỹ</t>
        </is>
      </c>
      <c r="G2304" s="22" t="inlineStr">
        <is>
          <t>POS</t>
        </is>
      </c>
      <c r="H2304" s="31" t="n">
        <v>50699.01</v>
      </c>
      <c r="I2304" s="31" t="n">
        <v>2141.99</v>
      </c>
      <c r="J2304" s="31" t="n">
        <v>48557.02</v>
      </c>
      <c r="K2304" s="31" t="n">
        <v>774.46</v>
      </c>
      <c r="L2304" s="32" t="n">
        <v>26</v>
      </c>
      <c r="M2304" s="32" t="n">
        <v>191</v>
      </c>
      <c r="N2304" s="31" t="n">
        <v>47782.56</v>
      </c>
      <c r="O2304" s="31" t="n">
        <v>48557.02</v>
      </c>
      <c r="P2304" s="22" t="n">
        <v>0</v>
      </c>
      <c r="Q2304" s="22" t="n">
        <v>0</v>
      </c>
      <c r="R2304" s="22" t="n">
        <v>0</v>
      </c>
    </row>
    <row r="2305">
      <c r="A2305" s="22" t="n">
        <v>201912</v>
      </c>
      <c r="B2305" s="22" t="inlineStr">
        <is>
          <t>12/2019</t>
        </is>
      </c>
      <c r="C2305" s="22" t="n">
        <v>48</v>
      </c>
      <c r="D2305" s="22" t="inlineStr">
        <is>
          <t>S48</t>
        </is>
      </c>
      <c r="E2305" s="22" t="inlineStr">
        <is>
          <t>Nexa Idaho (S48)</t>
        </is>
      </c>
      <c r="F2305" s="22" t="inlineStr">
        <is>
          <t>Mỹ</t>
        </is>
      </c>
      <c r="G2305" s="22" t="inlineStr">
        <is>
          <t>POS</t>
        </is>
      </c>
      <c r="H2305" s="31" t="n">
        <v>33553.9</v>
      </c>
      <c r="I2305" s="31" t="n">
        <v>1164.29</v>
      </c>
      <c r="J2305" s="31" t="n">
        <v>32389.61</v>
      </c>
      <c r="K2305" s="31" t="n">
        <v>1522.07</v>
      </c>
      <c r="L2305" s="32" t="n">
        <v>21</v>
      </c>
      <c r="M2305" s="32" t="n">
        <v>167</v>
      </c>
      <c r="N2305" s="31" t="n">
        <v>30867.54</v>
      </c>
      <c r="O2305" s="31" t="n">
        <v>32389.61</v>
      </c>
      <c r="P2305" s="22" t="n">
        <v>0</v>
      </c>
      <c r="Q2305" s="22" t="n">
        <v>0</v>
      </c>
      <c r="R2305" s="22" t="n">
        <v>0</v>
      </c>
    </row>
    <row r="2306">
      <c r="A2306" s="22" t="n">
        <v>201912</v>
      </c>
      <c r="B2306" s="22" t="inlineStr">
        <is>
          <t>12/2019</t>
        </is>
      </c>
      <c r="C2306" s="22" t="n">
        <v>49</v>
      </c>
      <c r="D2306" s="22" t="inlineStr">
        <is>
          <t>S49</t>
        </is>
      </c>
      <c r="E2306" s="22" t="inlineStr">
        <is>
          <t>Nexa Iowa (S49)</t>
        </is>
      </c>
      <c r="F2306" s="22" t="inlineStr">
        <is>
          <t>Mỹ</t>
        </is>
      </c>
      <c r="G2306" s="22" t="inlineStr">
        <is>
          <t>POS</t>
        </is>
      </c>
      <c r="H2306" s="31" t="n">
        <v>61299.78</v>
      </c>
      <c r="I2306" s="31" t="n">
        <v>1257.72</v>
      </c>
      <c r="J2306" s="31" t="n">
        <v>60042.06</v>
      </c>
      <c r="K2306" s="31" t="n">
        <v>527.65</v>
      </c>
      <c r="L2306" s="32" t="n">
        <v>27</v>
      </c>
      <c r="M2306" s="32" t="n">
        <v>233</v>
      </c>
      <c r="N2306" s="31" t="n">
        <v>59514.41</v>
      </c>
      <c r="O2306" s="31" t="n">
        <v>60042.06</v>
      </c>
      <c r="P2306" s="22" t="n">
        <v>5</v>
      </c>
      <c r="Q2306" s="22" t="n">
        <v>0</v>
      </c>
      <c r="R2306" s="22" t="n">
        <v>0</v>
      </c>
    </row>
    <row r="2307">
      <c r="A2307" s="22" t="n">
        <v>201912</v>
      </c>
      <c r="B2307" s="22" t="inlineStr">
        <is>
          <t>12/2019</t>
        </is>
      </c>
      <c r="C2307" s="22" t="n">
        <v>50</v>
      </c>
      <c r="D2307" s="22" t="inlineStr">
        <is>
          <t>S50</t>
        </is>
      </c>
      <c r="E2307" s="22" t="inlineStr">
        <is>
          <t>Nexa Kansas (S50)</t>
        </is>
      </c>
      <c r="F2307" s="22" t="inlineStr">
        <is>
          <t>Mỹ</t>
        </is>
      </c>
      <c r="G2307" s="22" t="inlineStr">
        <is>
          <t>POS</t>
        </is>
      </c>
      <c r="H2307" s="31" t="n">
        <v>32848.7</v>
      </c>
      <c r="I2307" s="31" t="n">
        <v>901.88</v>
      </c>
      <c r="J2307" s="31" t="n">
        <v>31946.82</v>
      </c>
      <c r="K2307" s="31" t="n">
        <v>257.5</v>
      </c>
      <c r="L2307" s="32" t="n">
        <v>28</v>
      </c>
      <c r="M2307" s="32" t="n">
        <v>171</v>
      </c>
      <c r="N2307" s="31" t="n">
        <v>31689.32</v>
      </c>
      <c r="O2307" s="31" t="n">
        <v>31946.82</v>
      </c>
      <c r="P2307" s="22" t="n">
        <v>2</v>
      </c>
      <c r="Q2307" s="22" t="n">
        <v>0</v>
      </c>
      <c r="R2307" s="22" t="n">
        <v>0</v>
      </c>
    </row>
    <row r="2308">
      <c r="A2308" s="22" t="n">
        <v>201912</v>
      </c>
      <c r="B2308" s="22" t="inlineStr">
        <is>
          <t>12/2019</t>
        </is>
      </c>
      <c r="C2308" s="22" t="n">
        <v>51</v>
      </c>
      <c r="D2308" s="22" t="inlineStr">
        <is>
          <t>S51</t>
        </is>
      </c>
      <c r="E2308" s="22" t="inlineStr">
        <is>
          <t>Nexa Maine (S51)</t>
        </is>
      </c>
      <c r="F2308" s="22" t="inlineStr">
        <is>
          <t>Mỹ</t>
        </is>
      </c>
      <c r="G2308" s="22" t="inlineStr">
        <is>
          <t>POS</t>
        </is>
      </c>
      <c r="H2308" s="31" t="n">
        <v>58482.89</v>
      </c>
      <c r="I2308" s="31" t="n">
        <v>2859.32</v>
      </c>
      <c r="J2308" s="31" t="n">
        <v>55623.57</v>
      </c>
      <c r="K2308" s="31" t="n">
        <v>844.2</v>
      </c>
      <c r="L2308" s="32" t="n">
        <v>28</v>
      </c>
      <c r="M2308" s="32" t="n">
        <v>189</v>
      </c>
      <c r="N2308" s="31" t="n">
        <v>54779.37</v>
      </c>
      <c r="O2308" s="31" t="n">
        <v>55623.57</v>
      </c>
      <c r="P2308" s="22" t="n">
        <v>0</v>
      </c>
      <c r="Q2308" s="22" t="n">
        <v>0</v>
      </c>
      <c r="R2308" s="22" t="n">
        <v>0</v>
      </c>
    </row>
    <row r="2309">
      <c r="A2309" s="22" t="n">
        <v>201912</v>
      </c>
      <c r="B2309" s="22" t="inlineStr">
        <is>
          <t>12/2019</t>
        </is>
      </c>
      <c r="C2309" s="22" t="n">
        <v>53</v>
      </c>
      <c r="D2309" s="22" t="inlineStr">
        <is>
          <t>S53</t>
        </is>
      </c>
      <c r="E2309" s="22" t="inlineStr">
        <is>
          <t>Nexa Montana (S53)</t>
        </is>
      </c>
      <c r="F2309" s="22" t="inlineStr">
        <is>
          <t>Mỹ</t>
        </is>
      </c>
      <c r="G2309" s="22" t="inlineStr">
        <is>
          <t>POS</t>
        </is>
      </c>
      <c r="H2309" s="31" t="n">
        <v>28271.43</v>
      </c>
      <c r="I2309" s="31" t="n">
        <v>1685.62</v>
      </c>
      <c r="J2309" s="31" t="n">
        <v>26585.81</v>
      </c>
      <c r="K2309" s="31" t="n">
        <v>389</v>
      </c>
      <c r="L2309" s="32" t="n">
        <v>27</v>
      </c>
      <c r="M2309" s="32" t="n">
        <v>155</v>
      </c>
      <c r="N2309" s="31" t="n">
        <v>26196.81</v>
      </c>
      <c r="O2309" s="31" t="n">
        <v>26585.81</v>
      </c>
      <c r="P2309" s="22" t="n">
        <v>0</v>
      </c>
      <c r="Q2309" s="22" t="n">
        <v>0</v>
      </c>
      <c r="R2309" s="22" t="n">
        <v>0</v>
      </c>
    </row>
    <row r="2310">
      <c r="A2310" s="22" t="n">
        <v>201912</v>
      </c>
      <c r="B2310" s="22" t="inlineStr">
        <is>
          <t>12/2019</t>
        </is>
      </c>
      <c r="C2310" s="22" t="n">
        <v>54</v>
      </c>
      <c r="D2310" s="22" t="inlineStr">
        <is>
          <t>S54</t>
        </is>
      </c>
      <c r="E2310" s="22" t="inlineStr">
        <is>
          <t>Nexa Nebraska (S54)</t>
        </is>
      </c>
      <c r="F2310" s="22" t="inlineStr">
        <is>
          <t>Mỹ</t>
        </is>
      </c>
      <c r="G2310" s="22" t="inlineStr">
        <is>
          <t>POS</t>
        </is>
      </c>
      <c r="H2310" s="31" t="n">
        <v>67769.39999999999</v>
      </c>
      <c r="I2310" s="31" t="n">
        <v>1764.64</v>
      </c>
      <c r="J2310" s="31" t="n">
        <v>66004.75999999999</v>
      </c>
      <c r="K2310" s="31" t="n">
        <v>505.95</v>
      </c>
      <c r="L2310" s="32" t="n">
        <v>32</v>
      </c>
      <c r="M2310" s="32" t="n">
        <v>217</v>
      </c>
      <c r="N2310" s="31" t="n">
        <v>65498.81</v>
      </c>
      <c r="O2310" s="31" t="n">
        <v>66004.75999999999</v>
      </c>
      <c r="P2310" s="22" t="n">
        <v>1</v>
      </c>
      <c r="Q2310" s="22" t="n">
        <v>0</v>
      </c>
      <c r="R2310" s="22" t="n">
        <v>0</v>
      </c>
    </row>
    <row r="2311">
      <c r="A2311" s="22" t="n">
        <v>201912</v>
      </c>
      <c r="B2311" s="22" t="inlineStr">
        <is>
          <t>12/2019</t>
        </is>
      </c>
      <c r="C2311" s="22" t="n">
        <v>55</v>
      </c>
      <c r="D2311" s="22" t="inlineStr">
        <is>
          <t>S55</t>
        </is>
      </c>
      <c r="E2311" s="22" t="inlineStr">
        <is>
          <t>Nexa Nevada (S55)</t>
        </is>
      </c>
      <c r="F2311" s="22" t="inlineStr">
        <is>
          <t>Mỹ</t>
        </is>
      </c>
      <c r="G2311" s="22" t="inlineStr">
        <is>
          <t>POS</t>
        </is>
      </c>
      <c r="H2311" s="31" t="n">
        <v>51790.24</v>
      </c>
      <c r="I2311" s="31" t="n">
        <v>1176.63</v>
      </c>
      <c r="J2311" s="31" t="n">
        <v>50613.61</v>
      </c>
      <c r="K2311" s="31" t="n">
        <v>0</v>
      </c>
      <c r="L2311" s="32" t="n">
        <v>24</v>
      </c>
      <c r="M2311" s="32" t="n">
        <v>228</v>
      </c>
      <c r="N2311" s="31" t="n">
        <v>50613.61</v>
      </c>
      <c r="O2311" s="31" t="n">
        <v>50613.61</v>
      </c>
      <c r="P2311" s="22" t="n">
        <v>0</v>
      </c>
      <c r="Q2311" s="22" t="n">
        <v>0</v>
      </c>
      <c r="R2311" s="22" t="n">
        <v>1</v>
      </c>
    </row>
    <row r="2312">
      <c r="A2312" s="22" t="n">
        <v>201912</v>
      </c>
      <c r="B2312" s="22" t="inlineStr">
        <is>
          <t>12/2019</t>
        </is>
      </c>
      <c r="C2312" s="22" t="n">
        <v>56</v>
      </c>
      <c r="D2312" s="22" t="inlineStr">
        <is>
          <t>S56</t>
        </is>
      </c>
      <c r="E2312" s="22" t="inlineStr">
        <is>
          <t>Nexa New Hampshire (S56)</t>
        </is>
      </c>
      <c r="F2312" s="22" t="inlineStr">
        <is>
          <t>Mỹ</t>
        </is>
      </c>
      <c r="G2312" s="22" t="inlineStr">
        <is>
          <t>POS</t>
        </is>
      </c>
      <c r="H2312" s="31" t="n">
        <v>42857.68</v>
      </c>
      <c r="I2312" s="31" t="n">
        <v>2012.71</v>
      </c>
      <c r="J2312" s="31" t="n">
        <v>40844.97</v>
      </c>
      <c r="K2312" s="31" t="n">
        <v>286.62</v>
      </c>
      <c r="L2312" s="32" t="n">
        <v>18</v>
      </c>
      <c r="M2312" s="32" t="n">
        <v>150</v>
      </c>
      <c r="N2312" s="31" t="n">
        <v>40558.35</v>
      </c>
      <c r="O2312" s="31" t="n">
        <v>40844.97</v>
      </c>
      <c r="P2312" s="22" t="n">
        <v>1</v>
      </c>
      <c r="Q2312" s="22" t="n">
        <v>0</v>
      </c>
      <c r="R2312" s="22" t="n">
        <v>0</v>
      </c>
    </row>
    <row r="2313">
      <c r="A2313" s="22" t="n">
        <v>201912</v>
      </c>
      <c r="B2313" s="22" t="inlineStr">
        <is>
          <t>12/2019</t>
        </is>
      </c>
      <c r="C2313" s="22" t="n">
        <v>57</v>
      </c>
      <c r="D2313" s="22" t="inlineStr">
        <is>
          <t>S57</t>
        </is>
      </c>
      <c r="E2313" s="22" t="inlineStr">
        <is>
          <t>Nexa New Mexico (S57)</t>
        </is>
      </c>
      <c r="F2313" s="22" t="inlineStr">
        <is>
          <t>Mỹ</t>
        </is>
      </c>
      <c r="G2313" s="22" t="inlineStr">
        <is>
          <t>POS</t>
        </is>
      </c>
      <c r="H2313" s="31" t="n">
        <v>75937.37</v>
      </c>
      <c r="I2313" s="31" t="n">
        <v>2916.88</v>
      </c>
      <c r="J2313" s="31" t="n">
        <v>73020.49000000001</v>
      </c>
      <c r="K2313" s="31" t="n">
        <v>2907</v>
      </c>
      <c r="L2313" s="32" t="n">
        <v>29</v>
      </c>
      <c r="M2313" s="32" t="n">
        <v>197</v>
      </c>
      <c r="N2313" s="31" t="n">
        <v>73020.49000000001</v>
      </c>
      <c r="O2313" s="31" t="n">
        <v>73020.49000000001</v>
      </c>
      <c r="P2313" s="22" t="n">
        <v>0</v>
      </c>
      <c r="Q2313" s="22" t="n">
        <v>0</v>
      </c>
      <c r="R2313" s="22" t="n">
        <v>0</v>
      </c>
    </row>
    <row r="2314">
      <c r="A2314" s="22" t="n">
        <v>201912</v>
      </c>
      <c r="B2314" s="22" t="inlineStr">
        <is>
          <t>12/2019</t>
        </is>
      </c>
      <c r="C2314" s="22" t="n">
        <v>59</v>
      </c>
      <c r="D2314" s="22" t="inlineStr">
        <is>
          <t>S59</t>
        </is>
      </c>
      <c r="E2314" s="22" t="inlineStr">
        <is>
          <t>Nexa Oregon (S59)</t>
        </is>
      </c>
      <c r="F2314" s="22" t="inlineStr">
        <is>
          <t>Mỹ</t>
        </is>
      </c>
      <c r="G2314" s="22" t="inlineStr">
        <is>
          <t>POS</t>
        </is>
      </c>
      <c r="H2314" s="31" t="n">
        <v>60477.34</v>
      </c>
      <c r="I2314" s="31" t="n">
        <v>1578.09</v>
      </c>
      <c r="J2314" s="31" t="n">
        <v>58899.25</v>
      </c>
      <c r="K2314" s="31" t="n">
        <v>6715.89</v>
      </c>
      <c r="L2314" s="32" t="n">
        <v>33</v>
      </c>
      <c r="M2314" s="32" t="n">
        <v>229</v>
      </c>
      <c r="N2314" s="31" t="n">
        <v>52183.36</v>
      </c>
      <c r="O2314" s="31" t="n">
        <v>58899.25</v>
      </c>
      <c r="P2314" s="22" t="n">
        <v>0</v>
      </c>
      <c r="Q2314" s="22" t="n">
        <v>0</v>
      </c>
      <c r="R2314" s="22" t="n">
        <v>0</v>
      </c>
    </row>
    <row r="2315">
      <c r="A2315" s="22" t="n">
        <v>201912</v>
      </c>
      <c r="B2315" s="22" t="inlineStr">
        <is>
          <t>12/2019</t>
        </is>
      </c>
      <c r="C2315" s="22" t="n">
        <v>61</v>
      </c>
      <c r="D2315" s="22" t="inlineStr">
        <is>
          <t>S61</t>
        </is>
      </c>
      <c r="E2315" s="22" t="inlineStr">
        <is>
          <t>Nexa South Carolina (S61)</t>
        </is>
      </c>
      <c r="F2315" s="22" t="inlineStr">
        <is>
          <t>Mỹ</t>
        </is>
      </c>
      <c r="G2315" s="22" t="inlineStr">
        <is>
          <t>POS</t>
        </is>
      </c>
      <c r="H2315" s="31" t="n">
        <v>80717.63</v>
      </c>
      <c r="I2315" s="31" t="n">
        <v>4576.83</v>
      </c>
      <c r="J2315" s="31" t="n">
        <v>76140.8</v>
      </c>
      <c r="K2315" s="31" t="n">
        <v>137.68</v>
      </c>
      <c r="L2315" s="32" t="n">
        <v>36</v>
      </c>
      <c r="M2315" s="32" t="n">
        <v>293</v>
      </c>
      <c r="N2315" s="31" t="n">
        <v>76003.12</v>
      </c>
      <c r="O2315" s="31" t="n">
        <v>76140.8</v>
      </c>
      <c r="P2315" s="22" t="n">
        <v>1</v>
      </c>
      <c r="Q2315" s="22" t="n">
        <v>0</v>
      </c>
      <c r="R2315" s="22" t="n">
        <v>1</v>
      </c>
    </row>
    <row r="2316">
      <c r="A2316" s="22" t="n">
        <v>201912</v>
      </c>
      <c r="B2316" s="22" t="inlineStr">
        <is>
          <t>12/2019</t>
        </is>
      </c>
      <c r="C2316" s="22" t="n">
        <v>62</v>
      </c>
      <c r="D2316" s="22" t="inlineStr">
        <is>
          <t>S62</t>
        </is>
      </c>
      <c r="E2316" s="22" t="inlineStr">
        <is>
          <t>Nexa South Dakota (S62)</t>
        </is>
      </c>
      <c r="F2316" s="22" t="inlineStr">
        <is>
          <t>Mỹ</t>
        </is>
      </c>
      <c r="G2316" s="22" t="inlineStr">
        <is>
          <t>POS</t>
        </is>
      </c>
      <c r="H2316" s="31" t="n">
        <v>48917.74</v>
      </c>
      <c r="I2316" s="31" t="n">
        <v>912.36</v>
      </c>
      <c r="J2316" s="31" t="n">
        <v>48005.38</v>
      </c>
      <c r="K2316" s="31" t="n">
        <v>608.99</v>
      </c>
      <c r="L2316" s="32" t="n">
        <v>26</v>
      </c>
      <c r="M2316" s="32" t="n">
        <v>179</v>
      </c>
      <c r="N2316" s="31" t="n">
        <v>47396.39</v>
      </c>
      <c r="O2316" s="31" t="n">
        <v>48005.38</v>
      </c>
      <c r="P2316" s="22" t="n">
        <v>0</v>
      </c>
      <c r="Q2316" s="22" t="n">
        <v>0</v>
      </c>
      <c r="R2316" s="22" t="n">
        <v>0</v>
      </c>
    </row>
    <row r="2317">
      <c r="A2317" s="22" t="n">
        <v>201912</v>
      </c>
      <c r="B2317" s="22" t="inlineStr">
        <is>
          <t>12/2019</t>
        </is>
      </c>
      <c r="C2317" s="22" t="n">
        <v>64</v>
      </c>
      <c r="D2317" s="22" t="inlineStr">
        <is>
          <t>S64</t>
        </is>
      </c>
      <c r="E2317" s="22" t="inlineStr">
        <is>
          <t>Nexa Washington DC (S64)</t>
        </is>
      </c>
      <c r="F2317" s="22" t="inlineStr">
        <is>
          <t>Mỹ</t>
        </is>
      </c>
      <c r="G2317" s="22" t="inlineStr">
        <is>
          <t>POS</t>
        </is>
      </c>
      <c r="H2317" s="31" t="n">
        <v>43235.55</v>
      </c>
      <c r="I2317" s="31" t="n">
        <v>521.24</v>
      </c>
      <c r="J2317" s="31" t="n">
        <v>42714.31</v>
      </c>
      <c r="K2317" s="31" t="n">
        <v>1094.59</v>
      </c>
      <c r="L2317" s="32" t="n">
        <v>21</v>
      </c>
      <c r="M2317" s="32" t="n">
        <v>130</v>
      </c>
      <c r="N2317" s="31" t="n">
        <v>41697.71</v>
      </c>
      <c r="O2317" s="31" t="n">
        <v>42714.31</v>
      </c>
      <c r="P2317" s="22" t="n">
        <v>0</v>
      </c>
      <c r="Q2317" s="22" t="n">
        <v>0</v>
      </c>
      <c r="R2317" s="22" t="n">
        <v>0</v>
      </c>
    </row>
    <row r="2318">
      <c r="A2318" s="22" t="n">
        <v>201912</v>
      </c>
      <c r="B2318" s="22" t="inlineStr">
        <is>
          <t>12/2019</t>
        </is>
      </c>
      <c r="C2318" s="22" t="n">
        <v>65</v>
      </c>
      <c r="D2318" s="22" t="inlineStr">
        <is>
          <t>S65</t>
        </is>
      </c>
      <c r="E2318" s="22" t="inlineStr">
        <is>
          <t>Nexa West Virginia (S65)</t>
        </is>
      </c>
      <c r="F2318" s="22" t="inlineStr">
        <is>
          <t>Mỹ</t>
        </is>
      </c>
      <c r="G2318" s="22" t="inlineStr">
        <is>
          <t>POS</t>
        </is>
      </c>
      <c r="H2318" s="31" t="n">
        <v>42748.41</v>
      </c>
      <c r="I2318" s="31" t="n">
        <v>811.3</v>
      </c>
      <c r="J2318" s="31" t="n">
        <v>41937.11</v>
      </c>
      <c r="K2318" s="31" t="n">
        <v>0</v>
      </c>
      <c r="L2318" s="32" t="n">
        <v>26</v>
      </c>
      <c r="M2318" s="32" t="n">
        <v>212</v>
      </c>
      <c r="N2318" s="31" t="n">
        <v>43316.81</v>
      </c>
      <c r="O2318" s="31" t="n">
        <v>41937.11</v>
      </c>
      <c r="P2318" s="22" t="n">
        <v>1</v>
      </c>
      <c r="Q2318" s="22" t="n">
        <v>0</v>
      </c>
      <c r="R2318" s="22" t="n">
        <v>0</v>
      </c>
    </row>
    <row r="2319">
      <c r="A2319" s="22" t="n">
        <v>201912</v>
      </c>
      <c r="B2319" s="22" t="inlineStr">
        <is>
          <t>12/2019</t>
        </is>
      </c>
      <c r="C2319" s="22" t="n">
        <v>66</v>
      </c>
      <c r="D2319" s="22" t="inlineStr">
        <is>
          <t>S66</t>
        </is>
      </c>
      <c r="E2319" s="22" t="inlineStr">
        <is>
          <t>Nexa Wyoming (S66)</t>
        </is>
      </c>
      <c r="F2319" s="22" t="inlineStr">
        <is>
          <t>Mỹ</t>
        </is>
      </c>
      <c r="G2319" s="22" t="inlineStr">
        <is>
          <t>POS</t>
        </is>
      </c>
      <c r="H2319" s="31" t="n">
        <v>76903.73</v>
      </c>
      <c r="I2319" s="31" t="n">
        <v>1698.16</v>
      </c>
      <c r="J2319" s="31" t="n">
        <v>75205.57000000001</v>
      </c>
      <c r="K2319" s="31" t="n">
        <v>1271.06</v>
      </c>
      <c r="L2319" s="32" t="n">
        <v>28</v>
      </c>
      <c r="M2319" s="32" t="n">
        <v>258</v>
      </c>
      <c r="N2319" s="31" t="n">
        <v>73934.50999999999</v>
      </c>
      <c r="O2319" s="31" t="n">
        <v>75205.57000000001</v>
      </c>
      <c r="P2319" s="22" t="n">
        <v>1</v>
      </c>
      <c r="Q2319" s="22" t="n">
        <v>0</v>
      </c>
      <c r="R2319" s="22" t="n">
        <v>0</v>
      </c>
    </row>
    <row r="2320">
      <c r="A2320" s="22" t="n">
        <v>202001</v>
      </c>
      <c r="B2320" s="22" t="inlineStr">
        <is>
          <t>01/2020</t>
        </is>
      </c>
      <c r="C2320" s="22" t="n">
        <v>0</v>
      </c>
      <c r="D2320" s="22" t="inlineStr">
        <is>
          <t>ONL</t>
        </is>
      </c>
      <c r="E2320" s="22" t="inlineStr">
        <is>
          <t>Nexa Online (website/app)</t>
        </is>
      </c>
      <c r="F2320" s="22" t="inlineStr">
        <is>
          <t>Online</t>
        </is>
      </c>
      <c r="G2320" s="22" t="inlineStr">
        <is>
          <t>ONLINE</t>
        </is>
      </c>
      <c r="H2320" s="31" t="n">
        <v>406051.95</v>
      </c>
      <c r="I2320" s="31" t="n">
        <v>14141.15</v>
      </c>
      <c r="J2320" s="31" t="n">
        <v>391910.8</v>
      </c>
      <c r="K2320" s="31" t="n">
        <v>10313.44</v>
      </c>
      <c r="L2320" s="32" t="n">
        <v>227</v>
      </c>
      <c r="M2320" s="32" t="n">
        <v>1536</v>
      </c>
      <c r="N2320" s="31" t="n">
        <v>422718.18</v>
      </c>
      <c r="O2320" s="31" t="n">
        <v>433006.62</v>
      </c>
      <c r="P2320" s="22" t="n">
        <v>3</v>
      </c>
      <c r="Q2320" s="22" t="n">
        <v>0</v>
      </c>
      <c r="R2320" s="22" t="n">
        <v>1</v>
      </c>
    </row>
    <row r="2321">
      <c r="A2321" s="22" t="n">
        <v>202001</v>
      </c>
      <c r="B2321" s="22" t="inlineStr">
        <is>
          <t>01/2020</t>
        </is>
      </c>
      <c r="C2321" s="22" t="n">
        <v>1</v>
      </c>
      <c r="D2321" s="22" t="inlineStr">
        <is>
          <t>S01</t>
        </is>
      </c>
      <c r="E2321" s="22" t="inlineStr">
        <is>
          <t>Nexa Australian Capital Territory (S01)</t>
        </is>
      </c>
      <c r="F2321" s="22" t="inlineStr">
        <is>
          <t>Úc</t>
        </is>
      </c>
      <c r="G2321" s="22" t="inlineStr">
        <is>
          <t>POS</t>
        </is>
      </c>
      <c r="H2321" s="31" t="n">
        <v>16879.91</v>
      </c>
      <c r="I2321" s="31" t="n">
        <v>184.1</v>
      </c>
      <c r="J2321" s="31" t="n">
        <v>16695.81</v>
      </c>
      <c r="K2321" s="31" t="n">
        <v>330</v>
      </c>
      <c r="L2321" s="32" t="n">
        <v>7</v>
      </c>
      <c r="M2321" s="32" t="n">
        <v>63</v>
      </c>
      <c r="N2321" s="31" t="n">
        <v>16365.81</v>
      </c>
      <c r="O2321" s="31" t="n">
        <v>16695.81</v>
      </c>
      <c r="P2321" s="22" t="n">
        <v>0</v>
      </c>
      <c r="Q2321" s="22" t="n">
        <v>0</v>
      </c>
      <c r="R2321" s="22" t="n">
        <v>0</v>
      </c>
    </row>
    <row r="2322">
      <c r="A2322" s="22" t="n">
        <v>202001</v>
      </c>
      <c r="B2322" s="22" t="inlineStr">
        <is>
          <t>01/2020</t>
        </is>
      </c>
      <c r="C2322" s="22" t="n">
        <v>4</v>
      </c>
      <c r="D2322" s="22" t="inlineStr">
        <is>
          <t>S04</t>
        </is>
      </c>
      <c r="E2322" s="22" t="inlineStr">
        <is>
          <t>Nexa Tasmania (S04)</t>
        </is>
      </c>
      <c r="F2322" s="22" t="inlineStr">
        <is>
          <t>Úc</t>
        </is>
      </c>
      <c r="G2322" s="22" t="inlineStr">
        <is>
          <t>POS</t>
        </is>
      </c>
      <c r="H2322" s="31" t="n">
        <v>15412.86</v>
      </c>
      <c r="I2322" s="31" t="n">
        <v>14.49</v>
      </c>
      <c r="J2322" s="31" t="n">
        <v>15398.37</v>
      </c>
      <c r="K2322" s="31" t="n">
        <v>0</v>
      </c>
      <c r="L2322" s="32" t="n">
        <v>6</v>
      </c>
      <c r="M2322" s="32" t="n">
        <v>42</v>
      </c>
      <c r="N2322" s="31" t="n">
        <v>15398.37</v>
      </c>
      <c r="O2322" s="31" t="n">
        <v>15398.37</v>
      </c>
      <c r="P2322" s="22" t="n">
        <v>0</v>
      </c>
      <c r="Q2322" s="22" t="n">
        <v>0</v>
      </c>
      <c r="R2322" s="22" t="n">
        <v>0</v>
      </c>
    </row>
    <row r="2323">
      <c r="A2323" s="22" t="n">
        <v>202001</v>
      </c>
      <c r="B2323" s="22" t="inlineStr">
        <is>
          <t>01/2020</t>
        </is>
      </c>
      <c r="C2323" s="22" t="n">
        <v>5</v>
      </c>
      <c r="D2323" s="22" t="inlineStr">
        <is>
          <t>S05</t>
        </is>
      </c>
      <c r="E2323" s="22" t="inlineStr">
        <is>
          <t>Nexa Victoria (S05)</t>
        </is>
      </c>
      <c r="F2323" s="22" t="inlineStr">
        <is>
          <t>Úc</t>
        </is>
      </c>
      <c r="G2323" s="22" t="inlineStr">
        <is>
          <t>POS</t>
        </is>
      </c>
      <c r="H2323" s="31" t="n">
        <v>13781.45</v>
      </c>
      <c r="I2323" s="31" t="n">
        <v>236.54</v>
      </c>
      <c r="J2323" s="31" t="n">
        <v>13544.91</v>
      </c>
      <c r="K2323" s="31" t="n">
        <v>40.55</v>
      </c>
      <c r="L2323" s="32" t="n">
        <v>11</v>
      </c>
      <c r="M2323" s="32" t="n">
        <v>74</v>
      </c>
      <c r="N2323" s="31" t="n">
        <v>13504.36</v>
      </c>
      <c r="O2323" s="31" t="n">
        <v>13544.91</v>
      </c>
      <c r="P2323" s="22" t="n">
        <v>0</v>
      </c>
      <c r="Q2323" s="22" t="n">
        <v>0</v>
      </c>
      <c r="R2323" s="22" t="n">
        <v>0</v>
      </c>
    </row>
    <row r="2324">
      <c r="A2324" s="22" t="n">
        <v>202001</v>
      </c>
      <c r="B2324" s="22" t="inlineStr">
        <is>
          <t>01/2020</t>
        </is>
      </c>
      <c r="C2324" s="22" t="n">
        <v>6</v>
      </c>
      <c r="D2324" s="22" t="inlineStr">
        <is>
          <t>S06</t>
        </is>
      </c>
      <c r="E2324" s="22" t="inlineStr">
        <is>
          <t>Nexa Western Australia (S06)</t>
        </is>
      </c>
      <c r="F2324" s="22" t="inlineStr">
        <is>
          <t>Úc</t>
        </is>
      </c>
      <c r="G2324" s="22" t="inlineStr">
        <is>
          <t>POS</t>
        </is>
      </c>
      <c r="H2324" s="31" t="n">
        <v>22977.4</v>
      </c>
      <c r="I2324" s="31" t="n">
        <v>234.38</v>
      </c>
      <c r="J2324" s="31" t="n">
        <v>22743.02</v>
      </c>
      <c r="K2324" s="31" t="n">
        <v>48.81</v>
      </c>
      <c r="L2324" s="32" t="n">
        <v>5</v>
      </c>
      <c r="M2324" s="32" t="n">
        <v>71</v>
      </c>
      <c r="N2324" s="31" t="n">
        <v>22694.21</v>
      </c>
      <c r="O2324" s="31" t="n">
        <v>22743.02</v>
      </c>
      <c r="P2324" s="22" t="n">
        <v>0</v>
      </c>
      <c r="Q2324" s="22" t="n">
        <v>0</v>
      </c>
      <c r="R2324" s="22" t="n">
        <v>0</v>
      </c>
    </row>
    <row r="2325">
      <c r="A2325" s="22" t="n">
        <v>202001</v>
      </c>
      <c r="B2325" s="22" t="inlineStr">
        <is>
          <t>01/2020</t>
        </is>
      </c>
      <c r="C2325" s="22" t="n">
        <v>8</v>
      </c>
      <c r="D2325" s="22" t="inlineStr">
        <is>
          <t>S08</t>
        </is>
      </c>
      <c r="E2325" s="22" t="inlineStr">
        <is>
          <t>Nexa Newfoundland and Labrador (S08)</t>
        </is>
      </c>
      <c r="F2325" s="22" t="inlineStr">
        <is>
          <t>Canada</t>
        </is>
      </c>
      <c r="G2325" s="22" t="inlineStr">
        <is>
          <t>POS</t>
        </is>
      </c>
      <c r="H2325" s="31" t="n">
        <v>21504.36</v>
      </c>
      <c r="I2325" s="31" t="n">
        <v>14.84</v>
      </c>
      <c r="J2325" s="31" t="n">
        <v>21489.52</v>
      </c>
      <c r="K2325" s="31" t="n">
        <v>1161.2</v>
      </c>
      <c r="L2325" s="32" t="n">
        <v>16</v>
      </c>
      <c r="M2325" s="32" t="n">
        <v>83</v>
      </c>
      <c r="N2325" s="31" t="n">
        <v>20328.32</v>
      </c>
      <c r="O2325" s="31" t="n">
        <v>21489.52</v>
      </c>
      <c r="P2325" s="22" t="n">
        <v>0</v>
      </c>
      <c r="Q2325" s="22" t="n">
        <v>0</v>
      </c>
      <c r="R2325" s="22" t="n">
        <v>0</v>
      </c>
    </row>
    <row r="2326">
      <c r="A2326" s="22" t="n">
        <v>202001</v>
      </c>
      <c r="B2326" s="22" t="inlineStr">
        <is>
          <t>01/2020</t>
        </is>
      </c>
      <c r="C2326" s="22" t="n">
        <v>9</v>
      </c>
      <c r="D2326" s="22" t="inlineStr">
        <is>
          <t>S09</t>
        </is>
      </c>
      <c r="E2326" s="22" t="inlineStr">
        <is>
          <t>Nexa Northwest Territories (S09)</t>
        </is>
      </c>
      <c r="F2326" s="22" t="inlineStr">
        <is>
          <t>Canada</t>
        </is>
      </c>
      <c r="G2326" s="22" t="inlineStr">
        <is>
          <t>POS</t>
        </is>
      </c>
      <c r="H2326" s="31" t="n">
        <v>28854.98</v>
      </c>
      <c r="I2326" s="31" t="n">
        <v>330.38</v>
      </c>
      <c r="J2326" s="31" t="n">
        <v>28524.6</v>
      </c>
      <c r="K2326" s="31" t="n">
        <v>26.96</v>
      </c>
      <c r="L2326" s="32" t="n">
        <v>20</v>
      </c>
      <c r="M2326" s="32" t="n">
        <v>149</v>
      </c>
      <c r="N2326" s="31" t="n">
        <v>28497.64</v>
      </c>
      <c r="O2326" s="31" t="n">
        <v>28524.6</v>
      </c>
      <c r="P2326" s="22" t="n">
        <v>3</v>
      </c>
      <c r="Q2326" s="22" t="n">
        <v>0</v>
      </c>
      <c r="R2326" s="22" t="n">
        <v>0</v>
      </c>
    </row>
    <row r="2327">
      <c r="A2327" s="22" t="n">
        <v>202001</v>
      </c>
      <c r="B2327" s="22" t="inlineStr">
        <is>
          <t>01/2020</t>
        </is>
      </c>
      <c r="C2327" s="22" t="n">
        <v>10</v>
      </c>
      <c r="D2327" s="22" t="inlineStr">
        <is>
          <t>S10</t>
        </is>
      </c>
      <c r="E2327" s="22" t="inlineStr">
        <is>
          <t>Nexa Nunavut (S10)</t>
        </is>
      </c>
      <c r="F2327" s="22" t="inlineStr">
        <is>
          <t>Canada</t>
        </is>
      </c>
      <c r="G2327" s="22" t="inlineStr">
        <is>
          <t>POS</t>
        </is>
      </c>
      <c r="H2327" s="31" t="n">
        <v>17651.75</v>
      </c>
      <c r="I2327" s="31" t="n">
        <v>106.54</v>
      </c>
      <c r="J2327" s="31" t="n">
        <v>17545.21</v>
      </c>
      <c r="K2327" s="31" t="n">
        <v>412.58</v>
      </c>
      <c r="L2327" s="32" t="n">
        <v>18</v>
      </c>
      <c r="M2327" s="32" t="n">
        <v>108</v>
      </c>
      <c r="N2327" s="31" t="n">
        <v>17132.63</v>
      </c>
      <c r="O2327" s="31" t="n">
        <v>17545.21</v>
      </c>
      <c r="P2327" s="22" t="n">
        <v>1</v>
      </c>
      <c r="Q2327" s="22" t="n">
        <v>0</v>
      </c>
      <c r="R2327" s="22" t="n">
        <v>0</v>
      </c>
    </row>
    <row r="2328">
      <c r="A2328" s="22" t="n">
        <v>202001</v>
      </c>
      <c r="B2328" s="22" t="inlineStr">
        <is>
          <t>01/2020</t>
        </is>
      </c>
      <c r="C2328" s="22" t="n">
        <v>12</v>
      </c>
      <c r="D2328" s="22" t="inlineStr">
        <is>
          <t>S12</t>
        </is>
      </c>
      <c r="E2328" s="22" t="inlineStr">
        <is>
          <t>Nexa Basse-Normandie (S12)</t>
        </is>
      </c>
      <c r="F2328" s="22" t="inlineStr">
        <is>
          <t>Pháp</t>
        </is>
      </c>
      <c r="G2328" s="22" t="inlineStr">
        <is>
          <t>POS</t>
        </is>
      </c>
      <c r="H2328" s="31" t="n">
        <v>6094.96</v>
      </c>
      <c r="I2328" s="31" t="n">
        <v>0</v>
      </c>
      <c r="J2328" s="31" t="n">
        <v>6094.96</v>
      </c>
      <c r="K2328" s="31" t="n">
        <v>0</v>
      </c>
      <c r="L2328" s="32" t="n">
        <v>2</v>
      </c>
      <c r="M2328" s="32" t="n">
        <v>18</v>
      </c>
      <c r="N2328" s="31" t="n">
        <v>6094.96</v>
      </c>
      <c r="O2328" s="31" t="n">
        <v>6094.96</v>
      </c>
      <c r="P2328" s="22" t="n">
        <v>0</v>
      </c>
      <c r="Q2328" s="22" t="n">
        <v>0</v>
      </c>
      <c r="R2328" s="22" t="n">
        <v>0</v>
      </c>
    </row>
    <row r="2329">
      <c r="A2329" s="22" t="n">
        <v>202001</v>
      </c>
      <c r="B2329" s="22" t="inlineStr">
        <is>
          <t>01/2020</t>
        </is>
      </c>
      <c r="C2329" s="22" t="n">
        <v>13</v>
      </c>
      <c r="D2329" s="22" t="inlineStr">
        <is>
          <t>S13</t>
        </is>
      </c>
      <c r="E2329" s="22" t="inlineStr">
        <is>
          <t>Nexa Corse (S13)</t>
        </is>
      </c>
      <c r="F2329" s="22" t="inlineStr">
        <is>
          <t>Pháp</t>
        </is>
      </c>
      <c r="G2329" s="22" t="inlineStr">
        <is>
          <t>POS</t>
        </is>
      </c>
      <c r="H2329" s="31" t="n">
        <v>6235.06</v>
      </c>
      <c r="I2329" s="31" t="n">
        <v>0</v>
      </c>
      <c r="J2329" s="31" t="n">
        <v>6235.06</v>
      </c>
      <c r="K2329" s="31" t="n">
        <v>0</v>
      </c>
      <c r="L2329" s="32" t="n">
        <v>2</v>
      </c>
      <c r="M2329" s="32" t="n">
        <v>25</v>
      </c>
      <c r="N2329" s="31" t="n">
        <v>6235.06</v>
      </c>
      <c r="O2329" s="31" t="n">
        <v>6235.06</v>
      </c>
      <c r="P2329" s="22" t="n">
        <v>0</v>
      </c>
      <c r="Q2329" s="22" t="n">
        <v>0</v>
      </c>
      <c r="R2329" s="22" t="n">
        <v>0</v>
      </c>
    </row>
    <row r="2330">
      <c r="A2330" s="22" t="n">
        <v>202001</v>
      </c>
      <c r="B2330" s="22" t="inlineStr">
        <is>
          <t>01/2020</t>
        </is>
      </c>
      <c r="C2330" s="22" t="n">
        <v>14</v>
      </c>
      <c r="D2330" s="22" t="inlineStr">
        <is>
          <t>S14</t>
        </is>
      </c>
      <c r="E2330" s="22" t="inlineStr">
        <is>
          <t>Nexa Franche-Comté (S14)</t>
        </is>
      </c>
      <c r="F2330" s="22" t="inlineStr">
        <is>
          <t>Pháp</t>
        </is>
      </c>
      <c r="G2330" s="22" t="inlineStr">
        <is>
          <t>POS</t>
        </is>
      </c>
      <c r="H2330" s="31" t="n">
        <v>12903.78</v>
      </c>
      <c r="I2330" s="31" t="n">
        <v>209.05</v>
      </c>
      <c r="J2330" s="31" t="n">
        <v>12694.73</v>
      </c>
      <c r="K2330" s="31" t="n">
        <v>0</v>
      </c>
      <c r="L2330" s="32" t="n">
        <v>4</v>
      </c>
      <c r="M2330" s="32" t="n">
        <v>24</v>
      </c>
      <c r="N2330" s="31" t="n">
        <v>12694.73</v>
      </c>
      <c r="O2330" s="31" t="n">
        <v>12694.73</v>
      </c>
      <c r="P2330" s="22" t="n">
        <v>0</v>
      </c>
      <c r="Q2330" s="22" t="n">
        <v>0</v>
      </c>
      <c r="R2330" s="22" t="n">
        <v>0</v>
      </c>
    </row>
    <row r="2331">
      <c r="A2331" s="22" t="n">
        <v>202001</v>
      </c>
      <c r="B2331" s="22" t="inlineStr">
        <is>
          <t>01/2020</t>
        </is>
      </c>
      <c r="C2331" s="22" t="n">
        <v>15</v>
      </c>
      <c r="D2331" s="22" t="inlineStr">
        <is>
          <t>S15</t>
        </is>
      </c>
      <c r="E2331" s="22" t="inlineStr">
        <is>
          <t>Nexa La Réunion (S15)</t>
        </is>
      </c>
      <c r="F2331" s="22" t="inlineStr">
        <is>
          <t>Pháp</t>
        </is>
      </c>
      <c r="G2331" s="22" t="inlineStr">
        <is>
          <t>POS</t>
        </is>
      </c>
      <c r="H2331" s="31" t="n">
        <v>8531.58</v>
      </c>
      <c r="I2331" s="31" t="n">
        <v>108.33</v>
      </c>
      <c r="J2331" s="31" t="n">
        <v>8423.25</v>
      </c>
      <c r="K2331" s="31" t="n">
        <v>104.38</v>
      </c>
      <c r="L2331" s="32" t="n">
        <v>3</v>
      </c>
      <c r="M2331" s="32" t="n">
        <v>19</v>
      </c>
      <c r="N2331" s="31" t="n">
        <v>8318.870000000001</v>
      </c>
      <c r="O2331" s="31" t="n">
        <v>8423.25</v>
      </c>
      <c r="P2331" s="22" t="n">
        <v>0</v>
      </c>
      <c r="Q2331" s="22" t="n">
        <v>0</v>
      </c>
      <c r="R2331" s="22" t="n">
        <v>0</v>
      </c>
    </row>
    <row r="2332">
      <c r="A2332" s="22" t="n">
        <v>202001</v>
      </c>
      <c r="B2332" s="22" t="inlineStr">
        <is>
          <t>01/2020</t>
        </is>
      </c>
      <c r="C2332" s="22" t="n">
        <v>16</v>
      </c>
      <c r="D2332" s="22" t="inlineStr">
        <is>
          <t>S16</t>
        </is>
      </c>
      <c r="E2332" s="22" t="inlineStr">
        <is>
          <t>Nexa Limousin (S16)</t>
        </is>
      </c>
      <c r="F2332" s="22" t="inlineStr">
        <is>
          <t>Pháp</t>
        </is>
      </c>
      <c r="G2332" s="22" t="inlineStr">
        <is>
          <t>POS</t>
        </is>
      </c>
      <c r="H2332" s="31" t="n">
        <v>8496.610000000001</v>
      </c>
      <c r="I2332" s="31" t="n">
        <v>379.6</v>
      </c>
      <c r="J2332" s="31" t="n">
        <v>8117.01</v>
      </c>
      <c r="K2332" s="31" t="n">
        <v>481.65</v>
      </c>
      <c r="L2332" s="32" t="n">
        <v>5</v>
      </c>
      <c r="M2332" s="32" t="n">
        <v>44</v>
      </c>
      <c r="N2332" s="31" t="n">
        <v>8117.01</v>
      </c>
      <c r="O2332" s="31" t="n">
        <v>8117.01</v>
      </c>
      <c r="P2332" s="22" t="n">
        <v>0</v>
      </c>
      <c r="Q2332" s="22" t="n">
        <v>0</v>
      </c>
      <c r="R2332" s="22" t="n">
        <v>0</v>
      </c>
    </row>
    <row r="2333">
      <c r="A2333" s="22" t="n">
        <v>202001</v>
      </c>
      <c r="B2333" s="22" t="inlineStr">
        <is>
          <t>01/2020</t>
        </is>
      </c>
      <c r="C2333" s="22" t="n">
        <v>17</v>
      </c>
      <c r="D2333" s="22" t="inlineStr">
        <is>
          <t>S17</t>
        </is>
      </c>
      <c r="E2333" s="22" t="inlineStr">
        <is>
          <t>Nexa Martinique (S17)</t>
        </is>
      </c>
      <c r="F2333" s="22" t="inlineStr">
        <is>
          <t>Pháp</t>
        </is>
      </c>
      <c r="G2333" s="22" t="inlineStr">
        <is>
          <t>POS</t>
        </is>
      </c>
      <c r="H2333" s="31" t="n">
        <v>10036.87</v>
      </c>
      <c r="I2333" s="31" t="n">
        <v>355.95</v>
      </c>
      <c r="J2333" s="31" t="n">
        <v>9680.92</v>
      </c>
      <c r="K2333" s="31" t="n">
        <v>0</v>
      </c>
      <c r="L2333" s="32" t="n">
        <v>4</v>
      </c>
      <c r="M2333" s="32" t="n">
        <v>25</v>
      </c>
      <c r="N2333" s="31" t="n">
        <v>9680.92</v>
      </c>
      <c r="O2333" s="31" t="n">
        <v>9680.92</v>
      </c>
      <c r="P2333" s="22" t="n">
        <v>0</v>
      </c>
      <c r="Q2333" s="22" t="n">
        <v>0</v>
      </c>
      <c r="R2333" s="22" t="n">
        <v>0</v>
      </c>
    </row>
    <row r="2334">
      <c r="A2334" s="22" t="n">
        <v>202001</v>
      </c>
      <c r="B2334" s="22" t="inlineStr">
        <is>
          <t>01/2020</t>
        </is>
      </c>
      <c r="C2334" s="22" t="n">
        <v>18</v>
      </c>
      <c r="D2334" s="22" t="inlineStr">
        <is>
          <t>S18</t>
        </is>
      </c>
      <c r="E2334" s="22" t="inlineStr">
        <is>
          <t>Nexa Mayotte (S18)</t>
        </is>
      </c>
      <c r="F2334" s="22" t="inlineStr">
        <is>
          <t>Pháp</t>
        </is>
      </c>
      <c r="G2334" s="22" t="inlineStr">
        <is>
          <t>POS</t>
        </is>
      </c>
      <c r="H2334" s="31" t="n">
        <v>2032.39</v>
      </c>
      <c r="I2334" s="31" t="n">
        <v>58.05</v>
      </c>
      <c r="J2334" s="31" t="n">
        <v>1974.34</v>
      </c>
      <c r="K2334" s="31" t="n">
        <v>0</v>
      </c>
      <c r="L2334" s="32" t="n">
        <v>4</v>
      </c>
      <c r="M2334" s="32" t="n">
        <v>19</v>
      </c>
      <c r="N2334" s="31" t="n">
        <v>1974.34</v>
      </c>
      <c r="O2334" s="31" t="n">
        <v>1974.34</v>
      </c>
      <c r="P2334" s="22" t="n">
        <v>0</v>
      </c>
      <c r="Q2334" s="22" t="n">
        <v>0</v>
      </c>
      <c r="R2334" s="22" t="n">
        <v>0</v>
      </c>
    </row>
    <row r="2335">
      <c r="A2335" s="22" t="n">
        <v>202001</v>
      </c>
      <c r="B2335" s="22" t="inlineStr">
        <is>
          <t>01/2020</t>
        </is>
      </c>
      <c r="C2335" s="22" t="n">
        <v>19</v>
      </c>
      <c r="D2335" s="22" t="inlineStr">
        <is>
          <t>S19</t>
        </is>
      </c>
      <c r="E2335" s="22" t="inlineStr">
        <is>
          <t>Nexa Berlin (S19)</t>
        </is>
      </c>
      <c r="F2335" s="22" t="inlineStr">
        <is>
          <t>Đức</t>
        </is>
      </c>
      <c r="G2335" s="22" t="inlineStr">
        <is>
          <t>POS</t>
        </is>
      </c>
      <c r="H2335" s="31" t="n">
        <v>13261.86</v>
      </c>
      <c r="I2335" s="31" t="n">
        <v>0</v>
      </c>
      <c r="J2335" s="31" t="n">
        <v>13261.86</v>
      </c>
      <c r="K2335" s="31" t="n">
        <v>6.88</v>
      </c>
      <c r="L2335" s="32" t="n">
        <v>7</v>
      </c>
      <c r="M2335" s="32" t="n">
        <v>56</v>
      </c>
      <c r="N2335" s="31" t="n">
        <v>13261.86</v>
      </c>
      <c r="O2335" s="31" t="n">
        <v>13261.86</v>
      </c>
      <c r="P2335" s="22" t="n">
        <v>0</v>
      </c>
      <c r="Q2335" s="22" t="n">
        <v>0</v>
      </c>
      <c r="R2335" s="22" t="n">
        <v>0</v>
      </c>
    </row>
    <row r="2336">
      <c r="A2336" s="22" t="n">
        <v>202001</v>
      </c>
      <c r="B2336" s="22" t="inlineStr">
        <is>
          <t>01/2020</t>
        </is>
      </c>
      <c r="C2336" s="22" t="n">
        <v>21</v>
      </c>
      <c r="D2336" s="22" t="inlineStr">
        <is>
          <t>S21</t>
        </is>
      </c>
      <c r="E2336" s="22" t="inlineStr">
        <is>
          <t>Nexa Freie Hansestadt Bremen (S21)</t>
        </is>
      </c>
      <c r="F2336" s="22" t="inlineStr">
        <is>
          <t>Đức</t>
        </is>
      </c>
      <c r="G2336" s="22" t="inlineStr">
        <is>
          <t>POS</t>
        </is>
      </c>
      <c r="H2336" s="31" t="n">
        <v>12941.57</v>
      </c>
      <c r="I2336" s="31" t="n">
        <v>126.75</v>
      </c>
      <c r="J2336" s="31" t="n">
        <v>12814.82</v>
      </c>
      <c r="K2336" s="31" t="n">
        <v>0</v>
      </c>
      <c r="L2336" s="32" t="n">
        <v>11</v>
      </c>
      <c r="M2336" s="32" t="n">
        <v>56</v>
      </c>
      <c r="N2336" s="31" t="n">
        <v>12814.82</v>
      </c>
      <c r="O2336" s="31" t="n">
        <v>12814.82</v>
      </c>
      <c r="P2336" s="22" t="n">
        <v>2</v>
      </c>
      <c r="Q2336" s="22" t="n">
        <v>0</v>
      </c>
      <c r="R2336" s="22" t="n">
        <v>0</v>
      </c>
    </row>
    <row r="2337">
      <c r="A2337" s="22" t="n">
        <v>202001</v>
      </c>
      <c r="B2337" s="22" t="inlineStr">
        <is>
          <t>01/2020</t>
        </is>
      </c>
      <c r="C2337" s="22" t="n">
        <v>22</v>
      </c>
      <c r="D2337" s="22" t="inlineStr">
        <is>
          <t>S22</t>
        </is>
      </c>
      <c r="E2337" s="22" t="inlineStr">
        <is>
          <t>Nexa Freistaat Thüringen (S22)</t>
        </is>
      </c>
      <c r="F2337" s="22" t="inlineStr">
        <is>
          <t>Đức</t>
        </is>
      </c>
      <c r="G2337" s="22" t="inlineStr">
        <is>
          <t>POS</t>
        </is>
      </c>
      <c r="H2337" s="31" t="n">
        <v>20305.18</v>
      </c>
      <c r="I2337" s="31" t="n">
        <v>367.95</v>
      </c>
      <c r="J2337" s="31" t="n">
        <v>19937.23</v>
      </c>
      <c r="K2337" s="31" t="n">
        <v>1136.2</v>
      </c>
      <c r="L2337" s="32" t="n">
        <v>11</v>
      </c>
      <c r="M2337" s="32" t="n">
        <v>79</v>
      </c>
      <c r="N2337" s="31" t="n">
        <v>18801.03</v>
      </c>
      <c r="O2337" s="31" t="n">
        <v>19937.23</v>
      </c>
      <c r="P2337" s="22" t="n">
        <v>0</v>
      </c>
      <c r="Q2337" s="22" t="n">
        <v>0</v>
      </c>
      <c r="R2337" s="22" t="n">
        <v>0</v>
      </c>
    </row>
    <row r="2338">
      <c r="A2338" s="22" t="n">
        <v>202001</v>
      </c>
      <c r="B2338" s="22" t="inlineStr">
        <is>
          <t>01/2020</t>
        </is>
      </c>
      <c r="C2338" s="22" t="n">
        <v>23</v>
      </c>
      <c r="D2338" s="22" t="inlineStr">
        <is>
          <t>S23</t>
        </is>
      </c>
      <c r="E2338" s="22" t="inlineStr">
        <is>
          <t>Nexa Hamburg (S23)</t>
        </is>
      </c>
      <c r="F2338" s="22" t="inlineStr">
        <is>
          <t>Đức</t>
        </is>
      </c>
      <c r="G2338" s="22" t="inlineStr">
        <is>
          <t>POS</t>
        </is>
      </c>
      <c r="H2338" s="31" t="n">
        <v>37017.6</v>
      </c>
      <c r="I2338" s="31" t="n">
        <v>869.89</v>
      </c>
      <c r="J2338" s="31" t="n">
        <v>36147.71</v>
      </c>
      <c r="K2338" s="31" t="n">
        <v>533.9</v>
      </c>
      <c r="L2338" s="32" t="n">
        <v>11</v>
      </c>
      <c r="M2338" s="32" t="n">
        <v>120</v>
      </c>
      <c r="N2338" s="31" t="n">
        <v>35613.81</v>
      </c>
      <c r="O2338" s="31" t="n">
        <v>36147.71</v>
      </c>
      <c r="P2338" s="22" t="n">
        <v>0</v>
      </c>
      <c r="Q2338" s="22" t="n">
        <v>0</v>
      </c>
      <c r="R2338" s="22" t="n">
        <v>0</v>
      </c>
    </row>
    <row r="2339">
      <c r="A2339" s="22" t="n">
        <v>202001</v>
      </c>
      <c r="B2339" s="22" t="inlineStr">
        <is>
          <t>01/2020</t>
        </is>
      </c>
      <c r="C2339" s="22" t="n">
        <v>24</v>
      </c>
      <c r="D2339" s="22" t="inlineStr">
        <is>
          <t>S24</t>
        </is>
      </c>
      <c r="E2339" s="22" t="inlineStr">
        <is>
          <t>Nexa Hessen (S24)</t>
        </is>
      </c>
      <c r="F2339" s="22" t="inlineStr">
        <is>
          <t>Đức</t>
        </is>
      </c>
      <c r="G2339" s="22" t="inlineStr">
        <is>
          <t>POS</t>
        </is>
      </c>
      <c r="H2339" s="31" t="n">
        <v>3994.35</v>
      </c>
      <c r="I2339" s="31" t="n">
        <v>0</v>
      </c>
      <c r="J2339" s="31" t="n">
        <v>3994.35</v>
      </c>
      <c r="K2339" s="31" t="n">
        <v>0</v>
      </c>
      <c r="L2339" s="32" t="n">
        <v>4</v>
      </c>
      <c r="M2339" s="32" t="n">
        <v>14</v>
      </c>
      <c r="N2339" s="31" t="n">
        <v>3994.35</v>
      </c>
      <c r="O2339" s="31" t="n">
        <v>3994.35</v>
      </c>
      <c r="P2339" s="22" t="n">
        <v>1</v>
      </c>
      <c r="Q2339" s="22" t="n">
        <v>0</v>
      </c>
      <c r="R2339" s="22" t="n">
        <v>0</v>
      </c>
    </row>
    <row r="2340">
      <c r="A2340" s="22" t="n">
        <v>202001</v>
      </c>
      <c r="B2340" s="22" t="inlineStr">
        <is>
          <t>01/2020</t>
        </is>
      </c>
      <c r="C2340" s="22" t="n">
        <v>26</v>
      </c>
      <c r="D2340" s="22" t="inlineStr">
        <is>
          <t>S26</t>
        </is>
      </c>
      <c r="E2340" s="22" t="inlineStr">
        <is>
          <t>Nexa Saarland (S26)</t>
        </is>
      </c>
      <c r="F2340" s="22" t="inlineStr">
        <is>
          <t>Đức</t>
        </is>
      </c>
      <c r="G2340" s="22" t="inlineStr">
        <is>
          <t>POS</t>
        </is>
      </c>
      <c r="H2340" s="31" t="n">
        <v>24266.28</v>
      </c>
      <c r="I2340" s="31" t="n">
        <v>1052.52</v>
      </c>
      <c r="J2340" s="31" t="n">
        <v>23213.76</v>
      </c>
      <c r="K2340" s="31" t="n">
        <v>218.4</v>
      </c>
      <c r="L2340" s="32" t="n">
        <v>8</v>
      </c>
      <c r="M2340" s="32" t="n">
        <v>59</v>
      </c>
      <c r="N2340" s="31" t="n">
        <v>22995.36</v>
      </c>
      <c r="O2340" s="31" t="n">
        <v>23213.76</v>
      </c>
      <c r="P2340" s="22" t="n">
        <v>0</v>
      </c>
      <c r="Q2340" s="22" t="n">
        <v>0</v>
      </c>
      <c r="R2340" s="22" t="n">
        <v>0</v>
      </c>
    </row>
    <row r="2341">
      <c r="A2341" s="22" t="n">
        <v>202001</v>
      </c>
      <c r="B2341" s="22" t="inlineStr">
        <is>
          <t>01/2020</t>
        </is>
      </c>
      <c r="C2341" s="22" t="n">
        <v>27</v>
      </c>
      <c r="D2341" s="22" t="inlineStr">
        <is>
          <t>S27</t>
        </is>
      </c>
      <c r="E2341" s="22" t="inlineStr">
        <is>
          <t>Nexa Sachsen-Anhalt (S27)</t>
        </is>
      </c>
      <c r="F2341" s="22" t="inlineStr">
        <is>
          <t>Đức</t>
        </is>
      </c>
      <c r="G2341" s="22" t="inlineStr">
        <is>
          <t>POS</t>
        </is>
      </c>
      <c r="H2341" s="31" t="n">
        <v>11688.47</v>
      </c>
      <c r="I2341" s="31" t="n">
        <v>123.73</v>
      </c>
      <c r="J2341" s="31" t="n">
        <v>11564.74</v>
      </c>
      <c r="K2341" s="31" t="n">
        <v>5428.95</v>
      </c>
      <c r="L2341" s="32" t="n">
        <v>10</v>
      </c>
      <c r="M2341" s="32" t="n">
        <v>53</v>
      </c>
      <c r="N2341" s="31" t="n">
        <v>6135.79</v>
      </c>
      <c r="O2341" s="31" t="n">
        <v>11564.74</v>
      </c>
      <c r="P2341" s="22" t="n">
        <v>1</v>
      </c>
      <c r="Q2341" s="22" t="n">
        <v>0</v>
      </c>
      <c r="R2341" s="22" t="n">
        <v>0</v>
      </c>
    </row>
    <row r="2342">
      <c r="A2342" s="22" t="n">
        <v>202001</v>
      </c>
      <c r="B2342" s="22" t="inlineStr">
        <is>
          <t>01/2020</t>
        </is>
      </c>
      <c r="C2342" s="22" t="n">
        <v>29</v>
      </c>
      <c r="D2342" s="22" t="inlineStr">
        <is>
          <t>S29</t>
        </is>
      </c>
      <c r="E2342" s="22" t="inlineStr">
        <is>
          <t>Nexa Enna (S29)</t>
        </is>
      </c>
      <c r="F2342" s="22" t="inlineStr">
        <is>
          <t>Ý</t>
        </is>
      </c>
      <c r="G2342" s="22" t="inlineStr">
        <is>
          <t>POS</t>
        </is>
      </c>
      <c r="H2342" s="31" t="n">
        <v>59093.24</v>
      </c>
      <c r="I2342" s="31" t="n">
        <v>1386.31</v>
      </c>
      <c r="J2342" s="31" t="n">
        <v>57706.93</v>
      </c>
      <c r="K2342" s="31" t="n">
        <v>1934.15</v>
      </c>
      <c r="L2342" s="32" t="n">
        <v>17</v>
      </c>
      <c r="M2342" s="32" t="n">
        <v>169</v>
      </c>
      <c r="N2342" s="31" t="n">
        <v>55772.78</v>
      </c>
      <c r="O2342" s="31" t="n">
        <v>57706.93</v>
      </c>
      <c r="P2342" s="22" t="n">
        <v>2</v>
      </c>
      <c r="Q2342" s="22" t="n">
        <v>0</v>
      </c>
      <c r="R2342" s="22" t="n">
        <v>0</v>
      </c>
    </row>
    <row r="2343">
      <c r="A2343" s="22" t="n">
        <v>202001</v>
      </c>
      <c r="B2343" s="22" t="inlineStr">
        <is>
          <t>01/2020</t>
        </is>
      </c>
      <c r="C2343" s="22" t="n">
        <v>30</v>
      </c>
      <c r="D2343" s="22" t="inlineStr">
        <is>
          <t>S30</t>
        </is>
      </c>
      <c r="E2343" s="22" t="inlineStr">
        <is>
          <t>Nexa Pesaro (S30)</t>
        </is>
      </c>
      <c r="F2343" s="22" t="inlineStr">
        <is>
          <t>Ý</t>
        </is>
      </c>
      <c r="G2343" s="22" t="inlineStr">
        <is>
          <t>POS</t>
        </is>
      </c>
      <c r="H2343" s="31" t="n">
        <v>47839.12</v>
      </c>
      <c r="I2343" s="31" t="n">
        <v>570.72</v>
      </c>
      <c r="J2343" s="31" t="n">
        <v>47268.4</v>
      </c>
      <c r="K2343" s="31" t="n">
        <v>1004.04</v>
      </c>
      <c r="L2343" s="32" t="n">
        <v>17</v>
      </c>
      <c r="M2343" s="32" t="n">
        <v>146</v>
      </c>
      <c r="N2343" s="31" t="n">
        <v>46264.36</v>
      </c>
      <c r="O2343" s="31" t="n">
        <v>47268.4</v>
      </c>
      <c r="P2343" s="22" t="n">
        <v>0</v>
      </c>
      <c r="Q2343" s="22" t="n">
        <v>0</v>
      </c>
      <c r="R2343" s="22" t="n">
        <v>0</v>
      </c>
    </row>
    <row r="2344">
      <c r="A2344" s="22" t="n">
        <v>202001</v>
      </c>
      <c r="B2344" s="22" t="inlineStr">
        <is>
          <t>01/2020</t>
        </is>
      </c>
      <c r="C2344" s="22" t="n">
        <v>31</v>
      </c>
      <c r="D2344" s="22" t="inlineStr">
        <is>
          <t>S31</t>
        </is>
      </c>
      <c r="E2344" s="22" t="inlineStr">
        <is>
          <t>Nexa Drenthe (S31)</t>
        </is>
      </c>
      <c r="F2344" s="22" t="inlineStr">
        <is>
          <t>Hà Lan</t>
        </is>
      </c>
      <c r="G2344" s="22" t="inlineStr">
        <is>
          <t>POS</t>
        </is>
      </c>
      <c r="H2344" s="31" t="n">
        <v>20466.56</v>
      </c>
      <c r="I2344" s="31" t="n">
        <v>1008.63</v>
      </c>
      <c r="J2344" s="31" t="n">
        <v>19457.93</v>
      </c>
      <c r="K2344" s="31" t="n">
        <v>4365.25</v>
      </c>
      <c r="L2344" s="32" t="n">
        <v>9</v>
      </c>
      <c r="M2344" s="32" t="n">
        <v>79</v>
      </c>
      <c r="N2344" s="31" t="n">
        <v>15092.68</v>
      </c>
      <c r="O2344" s="31" t="n">
        <v>19457.93</v>
      </c>
      <c r="P2344" s="22" t="n">
        <v>0</v>
      </c>
      <c r="Q2344" s="22" t="n">
        <v>0</v>
      </c>
      <c r="R2344" s="22" t="n">
        <v>1</v>
      </c>
    </row>
    <row r="2345">
      <c r="A2345" s="22" t="n">
        <v>202001</v>
      </c>
      <c r="B2345" s="22" t="inlineStr">
        <is>
          <t>01/2020</t>
        </is>
      </c>
      <c r="C2345" s="22" t="n">
        <v>32</v>
      </c>
      <c r="D2345" s="22" t="inlineStr">
        <is>
          <t>S32</t>
        </is>
      </c>
      <c r="E2345" s="22" t="inlineStr">
        <is>
          <t>Nexa Flevoland (S32)</t>
        </is>
      </c>
      <c r="F2345" s="22" t="inlineStr">
        <is>
          <t>Hà Lan</t>
        </is>
      </c>
      <c r="G2345" s="22" t="inlineStr">
        <is>
          <t>POS</t>
        </is>
      </c>
      <c r="H2345" s="31" t="n">
        <v>10155.9</v>
      </c>
      <c r="I2345" s="31" t="n">
        <v>255.3</v>
      </c>
      <c r="J2345" s="31" t="n">
        <v>9900.6</v>
      </c>
      <c r="K2345" s="31" t="n">
        <v>0</v>
      </c>
      <c r="L2345" s="32" t="n">
        <v>6</v>
      </c>
      <c r="M2345" s="32" t="n">
        <v>40</v>
      </c>
      <c r="N2345" s="31" t="n">
        <v>9900.6</v>
      </c>
      <c r="O2345" s="31" t="n">
        <v>9900.6</v>
      </c>
      <c r="P2345" s="22" t="n">
        <v>0</v>
      </c>
      <c r="Q2345" s="22" t="n">
        <v>0</v>
      </c>
      <c r="R2345" s="22" t="n">
        <v>0</v>
      </c>
    </row>
    <row r="2346">
      <c r="A2346" s="22" t="n">
        <v>202001</v>
      </c>
      <c r="B2346" s="22" t="inlineStr">
        <is>
          <t>01/2020</t>
        </is>
      </c>
      <c r="C2346" s="22" t="n">
        <v>33</v>
      </c>
      <c r="D2346" s="22" t="inlineStr">
        <is>
          <t>S33</t>
        </is>
      </c>
      <c r="E2346" s="22" t="inlineStr">
        <is>
          <t>Nexa Friesland (S33)</t>
        </is>
      </c>
      <c r="F2346" s="22" t="inlineStr">
        <is>
          <t>Hà Lan</t>
        </is>
      </c>
      <c r="G2346" s="22" t="inlineStr">
        <is>
          <t>POS</t>
        </is>
      </c>
      <c r="H2346" s="31" t="n">
        <v>49085.46</v>
      </c>
      <c r="I2346" s="31" t="n">
        <v>1071.13</v>
      </c>
      <c r="J2346" s="31" t="n">
        <v>48014.33</v>
      </c>
      <c r="K2346" s="31" t="n">
        <v>2945</v>
      </c>
      <c r="L2346" s="32" t="n">
        <v>10</v>
      </c>
      <c r="M2346" s="32" t="n">
        <v>155</v>
      </c>
      <c r="N2346" s="31" t="n">
        <v>45069.33</v>
      </c>
      <c r="O2346" s="31" t="n">
        <v>48014.33</v>
      </c>
      <c r="P2346" s="22" t="n">
        <v>0</v>
      </c>
      <c r="Q2346" s="22" t="n">
        <v>0</v>
      </c>
      <c r="R2346" s="22" t="n">
        <v>0</v>
      </c>
    </row>
    <row r="2347">
      <c r="A2347" s="22" t="n">
        <v>202001</v>
      </c>
      <c r="B2347" s="22" t="inlineStr">
        <is>
          <t>01/2020</t>
        </is>
      </c>
      <c r="C2347" s="22" t="n">
        <v>34</v>
      </c>
      <c r="D2347" s="22" t="inlineStr">
        <is>
          <t>S34</t>
        </is>
      </c>
      <c r="E2347" s="22" t="inlineStr">
        <is>
          <t>Nexa Groningen (S34)</t>
        </is>
      </c>
      <c r="F2347" s="22" t="inlineStr">
        <is>
          <t>Hà Lan</t>
        </is>
      </c>
      <c r="G2347" s="22" t="inlineStr">
        <is>
          <t>POS</t>
        </is>
      </c>
      <c r="H2347" s="31" t="n">
        <v>11539.84</v>
      </c>
      <c r="I2347" s="31" t="n">
        <v>146.25</v>
      </c>
      <c r="J2347" s="31" t="n">
        <v>11393.59</v>
      </c>
      <c r="K2347" s="31" t="n">
        <v>0</v>
      </c>
      <c r="L2347" s="32" t="n">
        <v>5</v>
      </c>
      <c r="M2347" s="32" t="n">
        <v>38</v>
      </c>
      <c r="N2347" s="31" t="n">
        <v>11393.59</v>
      </c>
      <c r="O2347" s="31" t="n">
        <v>11393.59</v>
      </c>
      <c r="P2347" s="22" t="n">
        <v>0</v>
      </c>
      <c r="Q2347" s="22" t="n">
        <v>0</v>
      </c>
      <c r="R2347" s="22" t="n">
        <v>0</v>
      </c>
    </row>
    <row r="2348">
      <c r="A2348" s="22" t="n">
        <v>202001</v>
      </c>
      <c r="B2348" s="22" t="inlineStr">
        <is>
          <t>01/2020</t>
        </is>
      </c>
      <c r="C2348" s="22" t="n">
        <v>36</v>
      </c>
      <c r="D2348" s="22" t="inlineStr">
        <is>
          <t>S36</t>
        </is>
      </c>
      <c r="E2348" s="22" t="inlineStr">
        <is>
          <t>Nexa Armagh (S36)</t>
        </is>
      </c>
      <c r="F2348" s="22" t="inlineStr">
        <is>
          <t>Anh</t>
        </is>
      </c>
      <c r="G2348" s="22" t="inlineStr">
        <is>
          <t>POS</t>
        </is>
      </c>
      <c r="H2348" s="31" t="n">
        <v>39357.77</v>
      </c>
      <c r="I2348" s="31" t="n">
        <v>935.01</v>
      </c>
      <c r="J2348" s="31" t="n">
        <v>38422.76</v>
      </c>
      <c r="K2348" s="31" t="n">
        <v>3235.48</v>
      </c>
      <c r="L2348" s="32" t="n">
        <v>18</v>
      </c>
      <c r="M2348" s="32" t="n">
        <v>162</v>
      </c>
      <c r="N2348" s="31" t="n">
        <v>35187.28</v>
      </c>
      <c r="O2348" s="31" t="n">
        <v>38422.76</v>
      </c>
      <c r="P2348" s="22" t="n">
        <v>0</v>
      </c>
      <c r="Q2348" s="22" t="n">
        <v>0</v>
      </c>
      <c r="R2348" s="22" t="n">
        <v>0</v>
      </c>
    </row>
    <row r="2349">
      <c r="A2349" s="22" t="n">
        <v>202001</v>
      </c>
      <c r="B2349" s="22" t="inlineStr">
        <is>
          <t>01/2020</t>
        </is>
      </c>
      <c r="C2349" s="22" t="n">
        <v>37</v>
      </c>
      <c r="D2349" s="22" t="inlineStr">
        <is>
          <t>S37</t>
        </is>
      </c>
      <c r="E2349" s="22" t="inlineStr">
        <is>
          <t>Nexa Ayrshire (S37)</t>
        </is>
      </c>
      <c r="F2349" s="22" t="inlineStr">
        <is>
          <t>Anh</t>
        </is>
      </c>
      <c r="G2349" s="22" t="inlineStr">
        <is>
          <t>POS</t>
        </is>
      </c>
      <c r="H2349" s="31" t="n">
        <v>28403.85</v>
      </c>
      <c r="I2349" s="31" t="n">
        <v>828.17</v>
      </c>
      <c r="J2349" s="31" t="n">
        <v>27575.68</v>
      </c>
      <c r="K2349" s="31" t="n">
        <v>1184.97</v>
      </c>
      <c r="L2349" s="32" t="n">
        <v>11</v>
      </c>
      <c r="M2349" s="32" t="n">
        <v>91</v>
      </c>
      <c r="N2349" s="31" t="n">
        <v>26390.71</v>
      </c>
      <c r="O2349" s="31" t="n">
        <v>27575.68</v>
      </c>
      <c r="P2349" s="22" t="n">
        <v>0</v>
      </c>
      <c r="Q2349" s="22" t="n">
        <v>0</v>
      </c>
      <c r="R2349" s="22" t="n">
        <v>0</v>
      </c>
    </row>
    <row r="2350">
      <c r="A2350" s="22" t="n">
        <v>202001</v>
      </c>
      <c r="B2350" s="22" t="inlineStr">
        <is>
          <t>01/2020</t>
        </is>
      </c>
      <c r="C2350" s="22" t="n">
        <v>38</v>
      </c>
      <c r="D2350" s="22" t="inlineStr">
        <is>
          <t>S38</t>
        </is>
      </c>
      <c r="E2350" s="22" t="inlineStr">
        <is>
          <t>Nexa Belfast (S38)</t>
        </is>
      </c>
      <c r="F2350" s="22" t="inlineStr">
        <is>
          <t>Anh</t>
        </is>
      </c>
      <c r="G2350" s="22" t="inlineStr">
        <is>
          <t>POS</t>
        </is>
      </c>
      <c r="H2350" s="31" t="n">
        <v>8792.040000000001</v>
      </c>
      <c r="I2350" s="31" t="n">
        <v>327.37</v>
      </c>
      <c r="J2350" s="31" t="n">
        <v>8464.67</v>
      </c>
      <c r="K2350" s="31" t="n">
        <v>897.14</v>
      </c>
      <c r="L2350" s="32" t="n">
        <v>8</v>
      </c>
      <c r="M2350" s="32" t="n">
        <v>39</v>
      </c>
      <c r="N2350" s="31" t="n">
        <v>7567.53</v>
      </c>
      <c r="O2350" s="31" t="n">
        <v>8464.67</v>
      </c>
      <c r="P2350" s="22" t="n">
        <v>0</v>
      </c>
      <c r="Q2350" s="22" t="n">
        <v>0</v>
      </c>
      <c r="R2350" s="22" t="n">
        <v>0</v>
      </c>
    </row>
    <row r="2351">
      <c r="A2351" s="22" t="n">
        <v>202001</v>
      </c>
      <c r="B2351" s="22" t="inlineStr">
        <is>
          <t>01/2020</t>
        </is>
      </c>
      <c r="C2351" s="22" t="n">
        <v>39</v>
      </c>
      <c r="D2351" s="22" t="inlineStr">
        <is>
          <t>S39</t>
        </is>
      </c>
      <c r="E2351" s="22" t="inlineStr">
        <is>
          <t>Nexa Blaenau Gwent (S39)</t>
        </is>
      </c>
      <c r="F2351" s="22" t="inlineStr">
        <is>
          <t>Anh</t>
        </is>
      </c>
      <c r="G2351" s="22" t="inlineStr">
        <is>
          <t>POS</t>
        </is>
      </c>
      <c r="H2351" s="31" t="n">
        <v>23627.35</v>
      </c>
      <c r="I2351" s="31" t="n">
        <v>106.5</v>
      </c>
      <c r="J2351" s="31" t="n">
        <v>23520.85</v>
      </c>
      <c r="K2351" s="31" t="n">
        <v>2236.18</v>
      </c>
      <c r="L2351" s="32" t="n">
        <v>14</v>
      </c>
      <c r="M2351" s="32" t="n">
        <v>93</v>
      </c>
      <c r="N2351" s="31" t="n">
        <v>21284.67</v>
      </c>
      <c r="O2351" s="31" t="n">
        <v>23520.85</v>
      </c>
      <c r="P2351" s="22" t="n">
        <v>1</v>
      </c>
      <c r="Q2351" s="22" t="n">
        <v>0</v>
      </c>
      <c r="R2351" s="22" t="n">
        <v>0</v>
      </c>
    </row>
    <row r="2352">
      <c r="A2352" s="22" t="n">
        <v>202001</v>
      </c>
      <c r="B2352" s="22" t="inlineStr">
        <is>
          <t>01/2020</t>
        </is>
      </c>
      <c r="C2352" s="22" t="n">
        <v>40</v>
      </c>
      <c r="D2352" s="22" t="inlineStr">
        <is>
          <t>S40</t>
        </is>
      </c>
      <c r="E2352" s="22" t="inlineStr">
        <is>
          <t>Nexa Dungannon and South Tyrone (S40)</t>
        </is>
      </c>
      <c r="F2352" s="22" t="inlineStr">
        <is>
          <t>Anh</t>
        </is>
      </c>
      <c r="G2352" s="22" t="inlineStr">
        <is>
          <t>POS</t>
        </is>
      </c>
      <c r="H2352" s="31" t="n">
        <v>23683.77</v>
      </c>
      <c r="I2352" s="31" t="n">
        <v>579.12</v>
      </c>
      <c r="J2352" s="31" t="n">
        <v>23104.65</v>
      </c>
      <c r="K2352" s="31" t="n">
        <v>0</v>
      </c>
      <c r="L2352" s="32" t="n">
        <v>18</v>
      </c>
      <c r="M2352" s="32" t="n">
        <v>113</v>
      </c>
      <c r="N2352" s="31" t="n">
        <v>23104.65</v>
      </c>
      <c r="O2352" s="31" t="n">
        <v>23104.65</v>
      </c>
      <c r="P2352" s="22" t="n">
        <v>2</v>
      </c>
      <c r="Q2352" s="22" t="n">
        <v>0</v>
      </c>
      <c r="R2352" s="22" t="n">
        <v>0</v>
      </c>
    </row>
    <row r="2353">
      <c r="A2353" s="22" t="n">
        <v>202001</v>
      </c>
      <c r="B2353" s="22" t="inlineStr">
        <is>
          <t>01/2020</t>
        </is>
      </c>
      <c r="C2353" s="22" t="n">
        <v>42</v>
      </c>
      <c r="D2353" s="22" t="inlineStr">
        <is>
          <t>S42</t>
        </is>
      </c>
      <c r="E2353" s="22" t="inlineStr">
        <is>
          <t>Nexa North Down (S42)</t>
        </is>
      </c>
      <c r="F2353" s="22" t="inlineStr">
        <is>
          <t>Anh</t>
        </is>
      </c>
      <c r="G2353" s="22" t="inlineStr">
        <is>
          <t>POS</t>
        </is>
      </c>
      <c r="H2353" s="31" t="n">
        <v>42608.37</v>
      </c>
      <c r="I2353" s="31" t="n">
        <v>264.8</v>
      </c>
      <c r="J2353" s="31" t="n">
        <v>42343.57</v>
      </c>
      <c r="K2353" s="31" t="n">
        <v>1854</v>
      </c>
      <c r="L2353" s="32" t="n">
        <v>13</v>
      </c>
      <c r="M2353" s="32" t="n">
        <v>138</v>
      </c>
      <c r="N2353" s="31" t="n">
        <v>40489.57</v>
      </c>
      <c r="O2353" s="31" t="n">
        <v>42343.57</v>
      </c>
      <c r="P2353" s="22" t="n">
        <v>2</v>
      </c>
      <c r="Q2353" s="22" t="n">
        <v>0</v>
      </c>
      <c r="R2353" s="22" t="n">
        <v>0</v>
      </c>
    </row>
    <row r="2354">
      <c r="A2354" s="22" t="n">
        <v>202001</v>
      </c>
      <c r="B2354" s="22" t="inlineStr">
        <is>
          <t>01/2020</t>
        </is>
      </c>
      <c r="C2354" s="22" t="n">
        <v>43</v>
      </c>
      <c r="D2354" s="22" t="inlineStr">
        <is>
          <t>S43</t>
        </is>
      </c>
      <c r="E2354" s="22" t="inlineStr">
        <is>
          <t>Nexa Alaska (S43)</t>
        </is>
      </c>
      <c r="F2354" s="22" t="inlineStr">
        <is>
          <t>Mỹ</t>
        </is>
      </c>
      <c r="G2354" s="22" t="inlineStr">
        <is>
          <t>POS</t>
        </is>
      </c>
      <c r="H2354" s="31" t="n">
        <v>74711.10000000001</v>
      </c>
      <c r="I2354" s="31" t="n">
        <v>750.97</v>
      </c>
      <c r="J2354" s="31" t="n">
        <v>73960.13</v>
      </c>
      <c r="K2354" s="31" t="n">
        <v>2034.54</v>
      </c>
      <c r="L2354" s="32" t="n">
        <v>27</v>
      </c>
      <c r="M2354" s="32" t="n">
        <v>254</v>
      </c>
      <c r="N2354" s="31" t="n">
        <v>71925.59</v>
      </c>
      <c r="O2354" s="31" t="n">
        <v>73960.13</v>
      </c>
      <c r="P2354" s="22" t="n">
        <v>0</v>
      </c>
      <c r="Q2354" s="22" t="n">
        <v>0</v>
      </c>
      <c r="R2354" s="22" t="n">
        <v>0</v>
      </c>
    </row>
    <row r="2355">
      <c r="A2355" s="22" t="n">
        <v>202001</v>
      </c>
      <c r="B2355" s="22" t="inlineStr">
        <is>
          <t>01/2020</t>
        </is>
      </c>
      <c r="C2355" s="22" t="n">
        <v>44</v>
      </c>
      <c r="D2355" s="22" t="inlineStr">
        <is>
          <t>S44</t>
        </is>
      </c>
      <c r="E2355" s="22" t="inlineStr">
        <is>
          <t>Nexa Arkansas (S44)</t>
        </is>
      </c>
      <c r="F2355" s="22" t="inlineStr">
        <is>
          <t>Mỹ</t>
        </is>
      </c>
      <c r="G2355" s="22" t="inlineStr">
        <is>
          <t>POS</t>
        </is>
      </c>
      <c r="H2355" s="31" t="n">
        <v>44995.62</v>
      </c>
      <c r="I2355" s="31" t="n">
        <v>1470.21</v>
      </c>
      <c r="J2355" s="31" t="n">
        <v>43525.41</v>
      </c>
      <c r="K2355" s="31" t="n">
        <v>208.99</v>
      </c>
      <c r="L2355" s="32" t="n">
        <v>21</v>
      </c>
      <c r="M2355" s="32" t="n">
        <v>119</v>
      </c>
      <c r="N2355" s="31" t="n">
        <v>43316.42</v>
      </c>
      <c r="O2355" s="31" t="n">
        <v>43525.41</v>
      </c>
      <c r="P2355" s="22" t="n">
        <v>0</v>
      </c>
      <c r="Q2355" s="22" t="n">
        <v>0</v>
      </c>
      <c r="R2355" s="22" t="n">
        <v>0</v>
      </c>
    </row>
    <row r="2356">
      <c r="A2356" s="22" t="n">
        <v>202001</v>
      </c>
      <c r="B2356" s="22" t="inlineStr">
        <is>
          <t>01/2020</t>
        </is>
      </c>
      <c r="C2356" s="22" t="n">
        <v>45</v>
      </c>
      <c r="D2356" s="22" t="inlineStr">
        <is>
          <t>S45</t>
        </is>
      </c>
      <c r="E2356" s="22" t="inlineStr">
        <is>
          <t>Nexa Connecticut (S45)</t>
        </is>
      </c>
      <c r="F2356" s="22" t="inlineStr">
        <is>
          <t>Mỹ</t>
        </is>
      </c>
      <c r="G2356" s="22" t="inlineStr">
        <is>
          <t>POS</t>
        </is>
      </c>
      <c r="H2356" s="31" t="n">
        <v>61616.28</v>
      </c>
      <c r="I2356" s="31" t="n">
        <v>308.77</v>
      </c>
      <c r="J2356" s="31" t="n">
        <v>61307.51</v>
      </c>
      <c r="K2356" s="31" t="n">
        <v>1407.7</v>
      </c>
      <c r="L2356" s="32" t="n">
        <v>29</v>
      </c>
      <c r="M2356" s="32" t="n">
        <v>221</v>
      </c>
      <c r="N2356" s="31" t="n">
        <v>59899.81</v>
      </c>
      <c r="O2356" s="31" t="n">
        <v>61307.51</v>
      </c>
      <c r="P2356" s="22" t="n">
        <v>2</v>
      </c>
      <c r="Q2356" s="22" t="n">
        <v>0</v>
      </c>
      <c r="R2356" s="22" t="n">
        <v>0</v>
      </c>
    </row>
    <row r="2357">
      <c r="A2357" s="22" t="n">
        <v>202001</v>
      </c>
      <c r="B2357" s="22" t="inlineStr">
        <is>
          <t>01/2020</t>
        </is>
      </c>
      <c r="C2357" s="22" t="n">
        <v>47</v>
      </c>
      <c r="D2357" s="22" t="inlineStr">
        <is>
          <t>S47</t>
        </is>
      </c>
      <c r="E2357" s="22" t="inlineStr">
        <is>
          <t>Nexa Hawaii (S47)</t>
        </is>
      </c>
      <c r="F2357" s="22" t="inlineStr">
        <is>
          <t>Mỹ</t>
        </is>
      </c>
      <c r="G2357" s="22" t="inlineStr">
        <is>
          <t>POS</t>
        </is>
      </c>
      <c r="H2357" s="31" t="n">
        <v>25327.89</v>
      </c>
      <c r="I2357" s="31" t="n">
        <v>191.46</v>
      </c>
      <c r="J2357" s="31" t="n">
        <v>25136.43</v>
      </c>
      <c r="K2357" s="31" t="n">
        <v>803.89</v>
      </c>
      <c r="L2357" s="32" t="n">
        <v>19</v>
      </c>
      <c r="M2357" s="32" t="n">
        <v>132</v>
      </c>
      <c r="N2357" s="31" t="n">
        <v>24332.54</v>
      </c>
      <c r="O2357" s="31" t="n">
        <v>25136.43</v>
      </c>
      <c r="P2357" s="22" t="n">
        <v>0</v>
      </c>
      <c r="Q2357" s="22" t="n">
        <v>0</v>
      </c>
      <c r="R2357" s="22" t="n">
        <v>0</v>
      </c>
    </row>
    <row r="2358">
      <c r="A2358" s="22" t="n">
        <v>202001</v>
      </c>
      <c r="B2358" s="22" t="inlineStr">
        <is>
          <t>01/2020</t>
        </is>
      </c>
      <c r="C2358" s="22" t="n">
        <v>48</v>
      </c>
      <c r="D2358" s="22" t="inlineStr">
        <is>
          <t>S48</t>
        </is>
      </c>
      <c r="E2358" s="22" t="inlineStr">
        <is>
          <t>Nexa Idaho (S48)</t>
        </is>
      </c>
      <c r="F2358" s="22" t="inlineStr">
        <is>
          <t>Mỹ</t>
        </is>
      </c>
      <c r="G2358" s="22" t="inlineStr">
        <is>
          <t>POS</t>
        </is>
      </c>
      <c r="H2358" s="31" t="n">
        <v>41256.76</v>
      </c>
      <c r="I2358" s="31" t="n">
        <v>786.61</v>
      </c>
      <c r="J2358" s="31" t="n">
        <v>40470.15</v>
      </c>
      <c r="K2358" s="31" t="n">
        <v>627.55</v>
      </c>
      <c r="L2358" s="32" t="n">
        <v>20</v>
      </c>
      <c r="M2358" s="32" t="n">
        <v>218</v>
      </c>
      <c r="N2358" s="31" t="n">
        <v>39842.6</v>
      </c>
      <c r="O2358" s="31" t="n">
        <v>40470.15</v>
      </c>
      <c r="P2358" s="22" t="n">
        <v>0</v>
      </c>
      <c r="Q2358" s="22" t="n">
        <v>0</v>
      </c>
      <c r="R2358" s="22" t="n">
        <v>0</v>
      </c>
    </row>
    <row r="2359">
      <c r="A2359" s="22" t="n">
        <v>202001</v>
      </c>
      <c r="B2359" s="22" t="inlineStr">
        <is>
          <t>01/2020</t>
        </is>
      </c>
      <c r="C2359" s="22" t="n">
        <v>49</v>
      </c>
      <c r="D2359" s="22" t="inlineStr">
        <is>
          <t>S49</t>
        </is>
      </c>
      <c r="E2359" s="22" t="inlineStr">
        <is>
          <t>Nexa Iowa (S49)</t>
        </is>
      </c>
      <c r="F2359" s="22" t="inlineStr">
        <is>
          <t>Mỹ</t>
        </is>
      </c>
      <c r="G2359" s="22" t="inlineStr">
        <is>
          <t>POS</t>
        </is>
      </c>
      <c r="H2359" s="31" t="n">
        <v>45460.47</v>
      </c>
      <c r="I2359" s="31" t="n">
        <v>529.46</v>
      </c>
      <c r="J2359" s="31" t="n">
        <v>44931.01</v>
      </c>
      <c r="K2359" s="31" t="n">
        <v>305.99</v>
      </c>
      <c r="L2359" s="32" t="n">
        <v>34</v>
      </c>
      <c r="M2359" s="32" t="n">
        <v>217</v>
      </c>
      <c r="N2359" s="31" t="n">
        <v>44625.02</v>
      </c>
      <c r="O2359" s="31" t="n">
        <v>44931.01</v>
      </c>
      <c r="P2359" s="22" t="n">
        <v>0</v>
      </c>
      <c r="Q2359" s="22" t="n">
        <v>0</v>
      </c>
      <c r="R2359" s="22" t="n">
        <v>1</v>
      </c>
    </row>
    <row r="2360">
      <c r="A2360" s="22" t="n">
        <v>202001</v>
      </c>
      <c r="B2360" s="22" t="inlineStr">
        <is>
          <t>01/2020</t>
        </is>
      </c>
      <c r="C2360" s="22" t="n">
        <v>50</v>
      </c>
      <c r="D2360" s="22" t="inlineStr">
        <is>
          <t>S50</t>
        </is>
      </c>
      <c r="E2360" s="22" t="inlineStr">
        <is>
          <t>Nexa Kansas (S50)</t>
        </is>
      </c>
      <c r="F2360" s="22" t="inlineStr">
        <is>
          <t>Mỹ</t>
        </is>
      </c>
      <c r="G2360" s="22" t="inlineStr">
        <is>
          <t>POS</t>
        </is>
      </c>
      <c r="H2360" s="31" t="n">
        <v>64928.69</v>
      </c>
      <c r="I2360" s="31" t="n">
        <v>1226.99</v>
      </c>
      <c r="J2360" s="31" t="n">
        <v>63701.7</v>
      </c>
      <c r="K2360" s="31" t="n">
        <v>1342.55</v>
      </c>
      <c r="L2360" s="32" t="n">
        <v>28</v>
      </c>
      <c r="M2360" s="32" t="n">
        <v>190</v>
      </c>
      <c r="N2360" s="31" t="n">
        <v>62359.15</v>
      </c>
      <c r="O2360" s="31" t="n">
        <v>63701.7</v>
      </c>
      <c r="P2360" s="22" t="n">
        <v>0</v>
      </c>
      <c r="Q2360" s="22" t="n">
        <v>0</v>
      </c>
      <c r="R2360" s="22" t="n">
        <v>0</v>
      </c>
    </row>
    <row r="2361">
      <c r="A2361" s="22" t="n">
        <v>202001</v>
      </c>
      <c r="B2361" s="22" t="inlineStr">
        <is>
          <t>01/2020</t>
        </is>
      </c>
      <c r="C2361" s="22" t="n">
        <v>51</v>
      </c>
      <c r="D2361" s="22" t="inlineStr">
        <is>
          <t>S51</t>
        </is>
      </c>
      <c r="E2361" s="22" t="inlineStr">
        <is>
          <t>Nexa Maine (S51)</t>
        </is>
      </c>
      <c r="F2361" s="22" t="inlineStr">
        <is>
          <t>Mỹ</t>
        </is>
      </c>
      <c r="G2361" s="22" t="inlineStr">
        <is>
          <t>POS</t>
        </is>
      </c>
      <c r="H2361" s="31" t="n">
        <v>48281.04</v>
      </c>
      <c r="I2361" s="31" t="n">
        <v>763.29</v>
      </c>
      <c r="J2361" s="31" t="n">
        <v>47517.75</v>
      </c>
      <c r="K2361" s="31" t="n">
        <v>793.45</v>
      </c>
      <c r="L2361" s="32" t="n">
        <v>29</v>
      </c>
      <c r="M2361" s="32" t="n">
        <v>185</v>
      </c>
      <c r="N2361" s="31" t="n">
        <v>46724.3</v>
      </c>
      <c r="O2361" s="31" t="n">
        <v>47517.75</v>
      </c>
      <c r="P2361" s="22" t="n">
        <v>0</v>
      </c>
      <c r="Q2361" s="22" t="n">
        <v>0</v>
      </c>
      <c r="R2361" s="22" t="n">
        <v>0</v>
      </c>
    </row>
    <row r="2362">
      <c r="A2362" s="22" t="n">
        <v>202001</v>
      </c>
      <c r="B2362" s="22" t="inlineStr">
        <is>
          <t>01/2020</t>
        </is>
      </c>
      <c r="C2362" s="22" t="n">
        <v>53</v>
      </c>
      <c r="D2362" s="22" t="inlineStr">
        <is>
          <t>S53</t>
        </is>
      </c>
      <c r="E2362" s="22" t="inlineStr">
        <is>
          <t>Nexa Montana (S53)</t>
        </is>
      </c>
      <c r="F2362" s="22" t="inlineStr">
        <is>
          <t>Mỹ</t>
        </is>
      </c>
      <c r="G2362" s="22" t="inlineStr">
        <is>
          <t>POS</t>
        </is>
      </c>
      <c r="H2362" s="31" t="n">
        <v>57871.17</v>
      </c>
      <c r="I2362" s="31" t="n">
        <v>1483.63</v>
      </c>
      <c r="J2362" s="31" t="n">
        <v>56387.54</v>
      </c>
      <c r="K2362" s="31" t="n">
        <v>199.95</v>
      </c>
      <c r="L2362" s="32" t="n">
        <v>23</v>
      </c>
      <c r="M2362" s="32" t="n">
        <v>203</v>
      </c>
      <c r="N2362" s="31" t="n">
        <v>56187.59</v>
      </c>
      <c r="O2362" s="31" t="n">
        <v>56387.54</v>
      </c>
      <c r="P2362" s="22" t="n">
        <v>0</v>
      </c>
      <c r="Q2362" s="22" t="n">
        <v>0</v>
      </c>
      <c r="R2362" s="22" t="n">
        <v>0</v>
      </c>
    </row>
    <row r="2363">
      <c r="A2363" s="22" t="n">
        <v>202001</v>
      </c>
      <c r="B2363" s="22" t="inlineStr">
        <is>
          <t>01/2020</t>
        </is>
      </c>
      <c r="C2363" s="22" t="n">
        <v>54</v>
      </c>
      <c r="D2363" s="22" t="inlineStr">
        <is>
          <t>S54</t>
        </is>
      </c>
      <c r="E2363" s="22" t="inlineStr">
        <is>
          <t>Nexa Nebraska (S54)</t>
        </is>
      </c>
      <c r="F2363" s="22" t="inlineStr">
        <is>
          <t>Mỹ</t>
        </is>
      </c>
      <c r="G2363" s="22" t="inlineStr">
        <is>
          <t>POS</t>
        </is>
      </c>
      <c r="H2363" s="31" t="n">
        <v>27134.54</v>
      </c>
      <c r="I2363" s="31" t="n">
        <v>622.6799999999999</v>
      </c>
      <c r="J2363" s="31" t="n">
        <v>26511.86</v>
      </c>
      <c r="K2363" s="31" t="n">
        <v>263.67</v>
      </c>
      <c r="L2363" s="32" t="n">
        <v>17</v>
      </c>
      <c r="M2363" s="32" t="n">
        <v>98</v>
      </c>
      <c r="N2363" s="31" t="n">
        <v>26248.19</v>
      </c>
      <c r="O2363" s="31" t="n">
        <v>26511.86</v>
      </c>
      <c r="P2363" s="22" t="n">
        <v>0</v>
      </c>
      <c r="Q2363" s="22" t="n">
        <v>0</v>
      </c>
      <c r="R2363" s="22" t="n">
        <v>1</v>
      </c>
    </row>
    <row r="2364">
      <c r="A2364" s="22" t="n">
        <v>202001</v>
      </c>
      <c r="B2364" s="22" t="inlineStr">
        <is>
          <t>01/2020</t>
        </is>
      </c>
      <c r="C2364" s="22" t="n">
        <v>55</v>
      </c>
      <c r="D2364" s="22" t="inlineStr">
        <is>
          <t>S55</t>
        </is>
      </c>
      <c r="E2364" s="22" t="inlineStr">
        <is>
          <t>Nexa Nevada (S55)</t>
        </is>
      </c>
      <c r="F2364" s="22" t="inlineStr">
        <is>
          <t>Mỹ</t>
        </is>
      </c>
      <c r="G2364" s="22" t="inlineStr">
        <is>
          <t>POS</t>
        </is>
      </c>
      <c r="H2364" s="31" t="n">
        <v>47570.83</v>
      </c>
      <c r="I2364" s="31" t="n">
        <v>1229.67</v>
      </c>
      <c r="J2364" s="31" t="n">
        <v>46341.16</v>
      </c>
      <c r="K2364" s="31" t="n">
        <v>249.07</v>
      </c>
      <c r="L2364" s="32" t="n">
        <v>25</v>
      </c>
      <c r="M2364" s="32" t="n">
        <v>207</v>
      </c>
      <c r="N2364" s="31" t="n">
        <v>46092.09</v>
      </c>
      <c r="O2364" s="31" t="n">
        <v>46341.16</v>
      </c>
      <c r="P2364" s="22" t="n">
        <v>0</v>
      </c>
      <c r="Q2364" s="22" t="n">
        <v>0</v>
      </c>
      <c r="R2364" s="22" t="n">
        <v>1</v>
      </c>
    </row>
    <row r="2365">
      <c r="A2365" s="22" t="n">
        <v>202001</v>
      </c>
      <c r="B2365" s="22" t="inlineStr">
        <is>
          <t>01/2020</t>
        </is>
      </c>
      <c r="C2365" s="22" t="n">
        <v>56</v>
      </c>
      <c r="D2365" s="22" t="inlineStr">
        <is>
          <t>S56</t>
        </is>
      </c>
      <c r="E2365" s="22" t="inlineStr">
        <is>
          <t>Nexa New Hampshire (S56)</t>
        </is>
      </c>
      <c r="F2365" s="22" t="inlineStr">
        <is>
          <t>Mỹ</t>
        </is>
      </c>
      <c r="G2365" s="22" t="inlineStr">
        <is>
          <t>POS</t>
        </is>
      </c>
      <c r="H2365" s="31" t="n">
        <v>50762.99</v>
      </c>
      <c r="I2365" s="31" t="n">
        <v>1269.72</v>
      </c>
      <c r="J2365" s="31" t="n">
        <v>49493.27</v>
      </c>
      <c r="K2365" s="31" t="n">
        <v>290.92</v>
      </c>
      <c r="L2365" s="32" t="n">
        <v>20</v>
      </c>
      <c r="M2365" s="32" t="n">
        <v>197</v>
      </c>
      <c r="N2365" s="31" t="n">
        <v>49202.35</v>
      </c>
      <c r="O2365" s="31" t="n">
        <v>49493.27</v>
      </c>
      <c r="P2365" s="22" t="n">
        <v>0</v>
      </c>
      <c r="Q2365" s="22" t="n">
        <v>0</v>
      </c>
      <c r="R2365" s="22" t="n">
        <v>1</v>
      </c>
    </row>
    <row r="2366">
      <c r="A2366" s="22" t="n">
        <v>202001</v>
      </c>
      <c r="B2366" s="22" t="inlineStr">
        <is>
          <t>01/2020</t>
        </is>
      </c>
      <c r="C2366" s="22" t="n">
        <v>57</v>
      </c>
      <c r="D2366" s="22" t="inlineStr">
        <is>
          <t>S57</t>
        </is>
      </c>
      <c r="E2366" s="22" t="inlineStr">
        <is>
          <t>Nexa New Mexico (S57)</t>
        </is>
      </c>
      <c r="F2366" s="22" t="inlineStr">
        <is>
          <t>Mỹ</t>
        </is>
      </c>
      <c r="G2366" s="22" t="inlineStr">
        <is>
          <t>POS</t>
        </is>
      </c>
      <c r="H2366" s="31" t="n">
        <v>39421.53</v>
      </c>
      <c r="I2366" s="31" t="n">
        <v>1473.68</v>
      </c>
      <c r="J2366" s="31" t="n">
        <v>37947.85</v>
      </c>
      <c r="K2366" s="31" t="n">
        <v>1007.13</v>
      </c>
      <c r="L2366" s="32" t="n">
        <v>14</v>
      </c>
      <c r="M2366" s="32" t="n">
        <v>104</v>
      </c>
      <c r="N2366" s="31" t="n">
        <v>34033.72</v>
      </c>
      <c r="O2366" s="31" t="n">
        <v>37947.85</v>
      </c>
      <c r="P2366" s="22" t="n">
        <v>0</v>
      </c>
      <c r="Q2366" s="22" t="n">
        <v>0</v>
      </c>
      <c r="R2366" s="22" t="n">
        <v>0</v>
      </c>
    </row>
    <row r="2367">
      <c r="A2367" s="22" t="n">
        <v>202001</v>
      </c>
      <c r="B2367" s="22" t="inlineStr">
        <is>
          <t>01/2020</t>
        </is>
      </c>
      <c r="C2367" s="22" t="n">
        <v>59</v>
      </c>
      <c r="D2367" s="22" t="inlineStr">
        <is>
          <t>S59</t>
        </is>
      </c>
      <c r="E2367" s="22" t="inlineStr">
        <is>
          <t>Nexa Oregon (S59)</t>
        </is>
      </c>
      <c r="F2367" s="22" t="inlineStr">
        <is>
          <t>Mỹ</t>
        </is>
      </c>
      <c r="G2367" s="22" t="inlineStr">
        <is>
          <t>POS</t>
        </is>
      </c>
      <c r="H2367" s="31" t="n">
        <v>54490.87</v>
      </c>
      <c r="I2367" s="31" t="n">
        <v>1079.38</v>
      </c>
      <c r="J2367" s="31" t="n">
        <v>53411.49</v>
      </c>
      <c r="K2367" s="31" t="n">
        <v>1279.54</v>
      </c>
      <c r="L2367" s="32" t="n">
        <v>30</v>
      </c>
      <c r="M2367" s="32" t="n">
        <v>207</v>
      </c>
      <c r="N2367" s="31" t="n">
        <v>52606.85</v>
      </c>
      <c r="O2367" s="31" t="n">
        <v>53411.49</v>
      </c>
      <c r="P2367" s="22" t="n">
        <v>0</v>
      </c>
      <c r="Q2367" s="22" t="n">
        <v>0</v>
      </c>
      <c r="R2367" s="22" t="n">
        <v>0</v>
      </c>
    </row>
    <row r="2368">
      <c r="A2368" s="22" t="n">
        <v>202001</v>
      </c>
      <c r="B2368" s="22" t="inlineStr">
        <is>
          <t>01/2020</t>
        </is>
      </c>
      <c r="C2368" s="22" t="n">
        <v>61</v>
      </c>
      <c r="D2368" s="22" t="inlineStr">
        <is>
          <t>S61</t>
        </is>
      </c>
      <c r="E2368" s="22" t="inlineStr">
        <is>
          <t>Nexa South Carolina (S61)</t>
        </is>
      </c>
      <c r="F2368" s="22" t="inlineStr">
        <is>
          <t>Mỹ</t>
        </is>
      </c>
      <c r="G2368" s="22" t="inlineStr">
        <is>
          <t>POS</t>
        </is>
      </c>
      <c r="H2368" s="31" t="n">
        <v>57545.13</v>
      </c>
      <c r="I2368" s="31" t="n">
        <v>993.01</v>
      </c>
      <c r="J2368" s="31" t="n">
        <v>56552.12</v>
      </c>
      <c r="K2368" s="31" t="n">
        <v>1090.46</v>
      </c>
      <c r="L2368" s="32" t="n">
        <v>27</v>
      </c>
      <c r="M2368" s="32" t="n">
        <v>221</v>
      </c>
      <c r="N2368" s="31" t="n">
        <v>55461.66</v>
      </c>
      <c r="O2368" s="31" t="n">
        <v>56552.12</v>
      </c>
      <c r="P2368" s="22" t="n">
        <v>0</v>
      </c>
      <c r="Q2368" s="22" t="n">
        <v>0</v>
      </c>
      <c r="R2368" s="22" t="n">
        <v>1</v>
      </c>
    </row>
    <row r="2369">
      <c r="A2369" s="22" t="n">
        <v>202001</v>
      </c>
      <c r="B2369" s="22" t="inlineStr">
        <is>
          <t>01/2020</t>
        </is>
      </c>
      <c r="C2369" s="22" t="n">
        <v>62</v>
      </c>
      <c r="D2369" s="22" t="inlineStr">
        <is>
          <t>S62</t>
        </is>
      </c>
      <c r="E2369" s="22" t="inlineStr">
        <is>
          <t>Nexa South Dakota (S62)</t>
        </is>
      </c>
      <c r="F2369" s="22" t="inlineStr">
        <is>
          <t>Mỹ</t>
        </is>
      </c>
      <c r="G2369" s="22" t="inlineStr">
        <is>
          <t>POS</t>
        </is>
      </c>
      <c r="H2369" s="31" t="n">
        <v>44250.22</v>
      </c>
      <c r="I2369" s="31" t="n">
        <v>370.41</v>
      </c>
      <c r="J2369" s="31" t="n">
        <v>43879.81</v>
      </c>
      <c r="K2369" s="31" t="n">
        <v>1220.37</v>
      </c>
      <c r="L2369" s="32" t="n">
        <v>30</v>
      </c>
      <c r="M2369" s="32" t="n">
        <v>175</v>
      </c>
      <c r="N2369" s="31" t="n">
        <v>42659.44</v>
      </c>
      <c r="O2369" s="31" t="n">
        <v>43879.81</v>
      </c>
      <c r="P2369" s="22" t="n">
        <v>1</v>
      </c>
      <c r="Q2369" s="22" t="n">
        <v>0</v>
      </c>
      <c r="R2369" s="22" t="n">
        <v>0</v>
      </c>
    </row>
    <row r="2370">
      <c r="A2370" s="22" t="n">
        <v>202001</v>
      </c>
      <c r="B2370" s="22" t="inlineStr">
        <is>
          <t>01/2020</t>
        </is>
      </c>
      <c r="C2370" s="22" t="n">
        <v>64</v>
      </c>
      <c r="D2370" s="22" t="inlineStr">
        <is>
          <t>S64</t>
        </is>
      </c>
      <c r="E2370" s="22" t="inlineStr">
        <is>
          <t>Nexa Washington DC (S64)</t>
        </is>
      </c>
      <c r="F2370" s="22" t="inlineStr">
        <is>
          <t>Mỹ</t>
        </is>
      </c>
      <c r="G2370" s="22" t="inlineStr">
        <is>
          <t>POS</t>
        </is>
      </c>
      <c r="H2370" s="31" t="n">
        <v>32153.27</v>
      </c>
      <c r="I2370" s="31" t="n">
        <v>305.81</v>
      </c>
      <c r="J2370" s="31" t="n">
        <v>31847.46</v>
      </c>
      <c r="K2370" s="31" t="n">
        <v>219.95</v>
      </c>
      <c r="L2370" s="32" t="n">
        <v>25</v>
      </c>
      <c r="M2370" s="32" t="n">
        <v>170</v>
      </c>
      <c r="N2370" s="31" t="n">
        <v>31549.52</v>
      </c>
      <c r="O2370" s="31" t="n">
        <v>31847.46</v>
      </c>
      <c r="P2370" s="22" t="n">
        <v>2</v>
      </c>
      <c r="Q2370" s="22" t="n">
        <v>0</v>
      </c>
      <c r="R2370" s="22" t="n">
        <v>0</v>
      </c>
    </row>
    <row r="2371">
      <c r="A2371" s="22" t="n">
        <v>202001</v>
      </c>
      <c r="B2371" s="22" t="inlineStr">
        <is>
          <t>01/2020</t>
        </is>
      </c>
      <c r="C2371" s="22" t="n">
        <v>65</v>
      </c>
      <c r="D2371" s="22" t="inlineStr">
        <is>
          <t>S65</t>
        </is>
      </c>
      <c r="E2371" s="22" t="inlineStr">
        <is>
          <t>Nexa West Virginia (S65)</t>
        </is>
      </c>
      <c r="F2371" s="22" t="inlineStr">
        <is>
          <t>Mỹ</t>
        </is>
      </c>
      <c r="G2371" s="22" t="inlineStr">
        <is>
          <t>POS</t>
        </is>
      </c>
      <c r="H2371" s="31" t="n">
        <v>54974.5</v>
      </c>
      <c r="I2371" s="31" t="n">
        <v>666.6</v>
      </c>
      <c r="J2371" s="31" t="n">
        <v>54307.9</v>
      </c>
      <c r="K2371" s="31" t="n">
        <v>616</v>
      </c>
      <c r="L2371" s="32" t="n">
        <v>21</v>
      </c>
      <c r="M2371" s="32" t="n">
        <v>171</v>
      </c>
      <c r="N2371" s="31" t="n">
        <v>53691.9</v>
      </c>
      <c r="O2371" s="31" t="n">
        <v>54307.9</v>
      </c>
      <c r="P2371" s="22" t="n">
        <v>0</v>
      </c>
      <c r="Q2371" s="22" t="n">
        <v>0</v>
      </c>
      <c r="R2371" s="22" t="n">
        <v>1</v>
      </c>
    </row>
    <row r="2372">
      <c r="A2372" s="22" t="n">
        <v>202001</v>
      </c>
      <c r="B2372" s="22" t="inlineStr">
        <is>
          <t>01/2020</t>
        </is>
      </c>
      <c r="C2372" s="22" t="n">
        <v>66</v>
      </c>
      <c r="D2372" s="22" t="inlineStr">
        <is>
          <t>S66</t>
        </is>
      </c>
      <c r="E2372" s="22" t="inlineStr">
        <is>
          <t>Nexa Wyoming (S66)</t>
        </is>
      </c>
      <c r="F2372" s="22" t="inlineStr">
        <is>
          <t>Mỹ</t>
        </is>
      </c>
      <c r="G2372" s="22" t="inlineStr">
        <is>
          <t>POS</t>
        </is>
      </c>
      <c r="H2372" s="31" t="n">
        <v>49720.13</v>
      </c>
      <c r="I2372" s="31" t="n">
        <v>887.04</v>
      </c>
      <c r="J2372" s="31" t="n">
        <v>48833.09</v>
      </c>
      <c r="K2372" s="31" t="n">
        <v>47.83</v>
      </c>
      <c r="L2372" s="32" t="n">
        <v>22</v>
      </c>
      <c r="M2372" s="32" t="n">
        <v>200</v>
      </c>
      <c r="N2372" s="31" t="n">
        <v>50035.22</v>
      </c>
      <c r="O2372" s="31" t="n">
        <v>48833.09</v>
      </c>
      <c r="P2372" s="22" t="n">
        <v>1</v>
      </c>
      <c r="Q2372" s="22" t="n">
        <v>0</v>
      </c>
      <c r="R2372" s="22" t="n">
        <v>0</v>
      </c>
    </row>
    <row r="2373">
      <c r="A2373" s="22" t="n">
        <v>202002</v>
      </c>
      <c r="B2373" s="22" t="inlineStr">
        <is>
          <t>02/2020</t>
        </is>
      </c>
      <c r="C2373" s="22" t="n">
        <v>0</v>
      </c>
      <c r="D2373" s="22" t="inlineStr">
        <is>
          <t>ONL</t>
        </is>
      </c>
      <c r="E2373" s="22" t="inlineStr">
        <is>
          <t>Nexa Online (website/app)</t>
        </is>
      </c>
      <c r="F2373" s="22" t="inlineStr">
        <is>
          <t>Online</t>
        </is>
      </c>
      <c r="G2373" s="22" t="inlineStr">
        <is>
          <t>ONLINE</t>
        </is>
      </c>
      <c r="H2373" s="31" t="n">
        <v>426767.58</v>
      </c>
      <c r="I2373" s="31" t="n">
        <v>7622.78</v>
      </c>
      <c r="J2373" s="31" t="n">
        <v>419144.8</v>
      </c>
      <c r="K2373" s="31" t="n">
        <v>3438.07</v>
      </c>
      <c r="L2373" s="32" t="n">
        <v>242</v>
      </c>
      <c r="M2373" s="32" t="n">
        <v>1686</v>
      </c>
      <c r="N2373" s="31" t="n">
        <v>398218.44</v>
      </c>
      <c r="O2373" s="31" t="n">
        <v>401681.51</v>
      </c>
      <c r="P2373" s="22" t="n">
        <v>3</v>
      </c>
      <c r="Q2373" s="22" t="n">
        <v>0</v>
      </c>
      <c r="R2373" s="22" t="n">
        <v>3</v>
      </c>
    </row>
    <row r="2374">
      <c r="A2374" s="22" t="n">
        <v>202002</v>
      </c>
      <c r="B2374" s="22" t="inlineStr">
        <is>
          <t>02/2020</t>
        </is>
      </c>
      <c r="C2374" s="22" t="n">
        <v>1</v>
      </c>
      <c r="D2374" s="22" t="inlineStr">
        <is>
          <t>S01</t>
        </is>
      </c>
      <c r="E2374" s="22" t="inlineStr">
        <is>
          <t>Nexa Australian Capital Territory (S01)</t>
        </is>
      </c>
      <c r="F2374" s="22" t="inlineStr">
        <is>
          <t>Úc</t>
        </is>
      </c>
      <c r="G2374" s="22" t="inlineStr">
        <is>
          <t>POS</t>
        </is>
      </c>
      <c r="H2374" s="31" t="n">
        <v>16552.39</v>
      </c>
      <c r="I2374" s="31" t="n">
        <v>0</v>
      </c>
      <c r="J2374" s="31" t="n">
        <v>16552.39</v>
      </c>
      <c r="K2374" s="31" t="n">
        <v>22</v>
      </c>
      <c r="L2374" s="32" t="n">
        <v>5</v>
      </c>
      <c r="M2374" s="32" t="n">
        <v>51</v>
      </c>
      <c r="N2374" s="31" t="n">
        <v>16530.39</v>
      </c>
      <c r="O2374" s="31" t="n">
        <v>16552.39</v>
      </c>
      <c r="P2374" s="22" t="n">
        <v>0</v>
      </c>
      <c r="Q2374" s="22" t="n">
        <v>0</v>
      </c>
      <c r="R2374" s="22" t="n">
        <v>0</v>
      </c>
    </row>
    <row r="2375">
      <c r="A2375" s="22" t="n">
        <v>202002</v>
      </c>
      <c r="B2375" s="22" t="inlineStr">
        <is>
          <t>02/2020</t>
        </is>
      </c>
      <c r="C2375" s="22" t="n">
        <v>4</v>
      </c>
      <c r="D2375" s="22" t="inlineStr">
        <is>
          <t>S04</t>
        </is>
      </c>
      <c r="E2375" s="22" t="inlineStr">
        <is>
          <t>Nexa Tasmania (S04)</t>
        </is>
      </c>
      <c r="F2375" s="22" t="inlineStr">
        <is>
          <t>Úc</t>
        </is>
      </c>
      <c r="G2375" s="22" t="inlineStr">
        <is>
          <t>POS</t>
        </is>
      </c>
      <c r="H2375" s="31" t="n">
        <v>6138.49</v>
      </c>
      <c r="I2375" s="31" t="n">
        <v>0</v>
      </c>
      <c r="J2375" s="31" t="n">
        <v>6138.49</v>
      </c>
      <c r="K2375" s="31" t="n">
        <v>0</v>
      </c>
      <c r="L2375" s="32" t="n">
        <v>4</v>
      </c>
      <c r="M2375" s="32" t="n">
        <v>22</v>
      </c>
      <c r="N2375" s="31" t="n">
        <v>6138.49</v>
      </c>
      <c r="O2375" s="31" t="n">
        <v>6138.49</v>
      </c>
      <c r="P2375" s="22" t="n">
        <v>0</v>
      </c>
      <c r="Q2375" s="22" t="n">
        <v>0</v>
      </c>
      <c r="R2375" s="22" t="n">
        <v>0</v>
      </c>
    </row>
    <row r="2376">
      <c r="A2376" s="22" t="n">
        <v>202002</v>
      </c>
      <c r="B2376" s="22" t="inlineStr">
        <is>
          <t>02/2020</t>
        </is>
      </c>
      <c r="C2376" s="22" t="n">
        <v>5</v>
      </c>
      <c r="D2376" s="22" t="inlineStr">
        <is>
          <t>S05</t>
        </is>
      </c>
      <c r="E2376" s="22" t="inlineStr">
        <is>
          <t>Nexa Victoria (S05)</t>
        </is>
      </c>
      <c r="F2376" s="22" t="inlineStr">
        <is>
          <t>Úc</t>
        </is>
      </c>
      <c r="G2376" s="22" t="inlineStr">
        <is>
          <t>POS</t>
        </is>
      </c>
      <c r="H2376" s="31" t="n">
        <v>49016.85</v>
      </c>
      <c r="I2376" s="31" t="n">
        <v>0</v>
      </c>
      <c r="J2376" s="31" t="n">
        <v>49016.85</v>
      </c>
      <c r="K2376" s="31" t="n">
        <v>0</v>
      </c>
      <c r="L2376" s="32" t="n">
        <v>18</v>
      </c>
      <c r="M2376" s="32" t="n">
        <v>138</v>
      </c>
      <c r="N2376" s="31" t="n">
        <v>49016.85</v>
      </c>
      <c r="O2376" s="31" t="n">
        <v>49016.85</v>
      </c>
      <c r="P2376" s="22" t="n">
        <v>1</v>
      </c>
      <c r="Q2376" s="22" t="n">
        <v>0</v>
      </c>
      <c r="R2376" s="22" t="n">
        <v>0</v>
      </c>
    </row>
    <row r="2377">
      <c r="A2377" s="22" t="n">
        <v>202002</v>
      </c>
      <c r="B2377" s="22" t="inlineStr">
        <is>
          <t>02/2020</t>
        </is>
      </c>
      <c r="C2377" s="22" t="n">
        <v>6</v>
      </c>
      <c r="D2377" s="22" t="inlineStr">
        <is>
          <t>S06</t>
        </is>
      </c>
      <c r="E2377" s="22" t="inlineStr">
        <is>
          <t>Nexa Western Australia (S06)</t>
        </is>
      </c>
      <c r="F2377" s="22" t="inlineStr">
        <is>
          <t>Úc</t>
        </is>
      </c>
      <c r="G2377" s="22" t="inlineStr">
        <is>
          <t>POS</t>
        </is>
      </c>
      <c r="H2377" s="31" t="n">
        <v>26996.68</v>
      </c>
      <c r="I2377" s="31" t="n">
        <v>0</v>
      </c>
      <c r="J2377" s="31" t="n">
        <v>26996.68</v>
      </c>
      <c r="K2377" s="31" t="n">
        <v>274.45</v>
      </c>
      <c r="L2377" s="32" t="n">
        <v>10</v>
      </c>
      <c r="M2377" s="32" t="n">
        <v>71</v>
      </c>
      <c r="N2377" s="31" t="n">
        <v>26752.2</v>
      </c>
      <c r="O2377" s="31" t="n">
        <v>26996.68</v>
      </c>
      <c r="P2377" s="22" t="n">
        <v>0</v>
      </c>
      <c r="Q2377" s="22" t="n">
        <v>0</v>
      </c>
      <c r="R2377" s="22" t="n">
        <v>0</v>
      </c>
    </row>
    <row r="2378">
      <c r="A2378" s="22" t="n">
        <v>202002</v>
      </c>
      <c r="B2378" s="22" t="inlineStr">
        <is>
          <t>02/2020</t>
        </is>
      </c>
      <c r="C2378" s="22" t="n">
        <v>8</v>
      </c>
      <c r="D2378" s="22" t="inlineStr">
        <is>
          <t>S08</t>
        </is>
      </c>
      <c r="E2378" s="22" t="inlineStr">
        <is>
          <t>Nexa Newfoundland and Labrador (S08)</t>
        </is>
      </c>
      <c r="F2378" s="22" t="inlineStr">
        <is>
          <t>Canada</t>
        </is>
      </c>
      <c r="G2378" s="22" t="inlineStr">
        <is>
          <t>POS</t>
        </is>
      </c>
      <c r="H2378" s="31" t="n">
        <v>22383.67</v>
      </c>
      <c r="I2378" s="31" t="n">
        <v>0</v>
      </c>
      <c r="J2378" s="31" t="n">
        <v>22383.67</v>
      </c>
      <c r="K2378" s="31" t="n">
        <v>499.9</v>
      </c>
      <c r="L2378" s="32" t="n">
        <v>16</v>
      </c>
      <c r="M2378" s="32" t="n">
        <v>126</v>
      </c>
      <c r="N2378" s="31" t="n">
        <v>22561.64</v>
      </c>
      <c r="O2378" s="31" t="n">
        <v>22383.67</v>
      </c>
      <c r="P2378" s="22" t="n">
        <v>1</v>
      </c>
      <c r="Q2378" s="22" t="n">
        <v>0</v>
      </c>
      <c r="R2378" s="22" t="n">
        <v>0</v>
      </c>
    </row>
    <row r="2379">
      <c r="A2379" s="22" t="n">
        <v>202002</v>
      </c>
      <c r="B2379" s="22" t="inlineStr">
        <is>
          <t>02/2020</t>
        </is>
      </c>
      <c r="C2379" s="22" t="n">
        <v>9</v>
      </c>
      <c r="D2379" s="22" t="inlineStr">
        <is>
          <t>S09</t>
        </is>
      </c>
      <c r="E2379" s="22" t="inlineStr">
        <is>
          <t>Nexa Northwest Territories (S09)</t>
        </is>
      </c>
      <c r="F2379" s="22" t="inlineStr">
        <is>
          <t>Canada</t>
        </is>
      </c>
      <c r="G2379" s="22" t="inlineStr">
        <is>
          <t>POS</t>
        </is>
      </c>
      <c r="H2379" s="31" t="n">
        <v>60720.09</v>
      </c>
      <c r="I2379" s="31" t="n">
        <v>0</v>
      </c>
      <c r="J2379" s="31" t="n">
        <v>60720.09</v>
      </c>
      <c r="K2379" s="31" t="n">
        <v>215</v>
      </c>
      <c r="L2379" s="32" t="n">
        <v>23</v>
      </c>
      <c r="M2379" s="32" t="n">
        <v>158</v>
      </c>
      <c r="N2379" s="31" t="n">
        <v>60505.09</v>
      </c>
      <c r="O2379" s="31" t="n">
        <v>60720.09</v>
      </c>
      <c r="P2379" s="22" t="n">
        <v>2</v>
      </c>
      <c r="Q2379" s="22" t="n">
        <v>0</v>
      </c>
      <c r="R2379" s="22" t="n">
        <v>0</v>
      </c>
    </row>
    <row r="2380">
      <c r="A2380" s="22" t="n">
        <v>202002</v>
      </c>
      <c r="B2380" s="22" t="inlineStr">
        <is>
          <t>02/2020</t>
        </is>
      </c>
      <c r="C2380" s="22" t="n">
        <v>10</v>
      </c>
      <c r="D2380" s="22" t="inlineStr">
        <is>
          <t>S10</t>
        </is>
      </c>
      <c r="E2380" s="22" t="inlineStr">
        <is>
          <t>Nexa Nunavut (S10)</t>
        </is>
      </c>
      <c r="F2380" s="22" t="inlineStr">
        <is>
          <t>Canada</t>
        </is>
      </c>
      <c r="G2380" s="22" t="inlineStr">
        <is>
          <t>POS</t>
        </is>
      </c>
      <c r="H2380" s="31" t="n">
        <v>61467</v>
      </c>
      <c r="I2380" s="31" t="n">
        <v>0</v>
      </c>
      <c r="J2380" s="31" t="n">
        <v>61467</v>
      </c>
      <c r="K2380" s="31" t="n">
        <v>665.9400000000001</v>
      </c>
      <c r="L2380" s="32" t="n">
        <v>34</v>
      </c>
      <c r="M2380" s="32" t="n">
        <v>234</v>
      </c>
      <c r="N2380" s="31" t="n">
        <v>60801.06</v>
      </c>
      <c r="O2380" s="31" t="n">
        <v>61467</v>
      </c>
      <c r="P2380" s="22" t="n">
        <v>1</v>
      </c>
      <c r="Q2380" s="22" t="n">
        <v>0</v>
      </c>
      <c r="R2380" s="22" t="n">
        <v>0</v>
      </c>
    </row>
    <row r="2381">
      <c r="A2381" s="22" t="n">
        <v>202002</v>
      </c>
      <c r="B2381" s="22" t="inlineStr">
        <is>
          <t>02/2020</t>
        </is>
      </c>
      <c r="C2381" s="22" t="n">
        <v>12</v>
      </c>
      <c r="D2381" s="22" t="inlineStr">
        <is>
          <t>S12</t>
        </is>
      </c>
      <c r="E2381" s="22" t="inlineStr">
        <is>
          <t>Nexa Basse-Normandie (S12)</t>
        </is>
      </c>
      <c r="F2381" s="22" t="inlineStr">
        <is>
          <t>Pháp</t>
        </is>
      </c>
      <c r="G2381" s="22" t="inlineStr">
        <is>
          <t>POS</t>
        </is>
      </c>
      <c r="H2381" s="31" t="n">
        <v>14602.28</v>
      </c>
      <c r="I2381" s="31" t="n">
        <v>0</v>
      </c>
      <c r="J2381" s="31" t="n">
        <v>14602.28</v>
      </c>
      <c r="K2381" s="31" t="n">
        <v>0</v>
      </c>
      <c r="L2381" s="32" t="n">
        <v>7</v>
      </c>
      <c r="M2381" s="32" t="n">
        <v>46</v>
      </c>
      <c r="N2381" s="31" t="n">
        <v>14602.28</v>
      </c>
      <c r="O2381" s="31" t="n">
        <v>14602.28</v>
      </c>
      <c r="P2381" s="22" t="n">
        <v>0</v>
      </c>
      <c r="Q2381" s="22" t="n">
        <v>0</v>
      </c>
      <c r="R2381" s="22" t="n">
        <v>0</v>
      </c>
    </row>
    <row r="2382">
      <c r="A2382" s="22" t="n">
        <v>202002</v>
      </c>
      <c r="B2382" s="22" t="inlineStr">
        <is>
          <t>02/2020</t>
        </is>
      </c>
      <c r="C2382" s="22" t="n">
        <v>13</v>
      </c>
      <c r="D2382" s="22" t="inlineStr">
        <is>
          <t>S13</t>
        </is>
      </c>
      <c r="E2382" s="22" t="inlineStr">
        <is>
          <t>Nexa Corse (S13)</t>
        </is>
      </c>
      <c r="F2382" s="22" t="inlineStr">
        <is>
          <t>Pháp</t>
        </is>
      </c>
      <c r="G2382" s="22" t="inlineStr">
        <is>
          <t>POS</t>
        </is>
      </c>
      <c r="H2382" s="31" t="n">
        <v>8052.86</v>
      </c>
      <c r="I2382" s="31" t="n">
        <v>0</v>
      </c>
      <c r="J2382" s="31" t="n">
        <v>8052.86</v>
      </c>
      <c r="K2382" s="31" t="n">
        <v>0</v>
      </c>
      <c r="L2382" s="32" t="n">
        <v>4</v>
      </c>
      <c r="M2382" s="32" t="n">
        <v>16</v>
      </c>
      <c r="N2382" s="31" t="n">
        <v>8052.86</v>
      </c>
      <c r="O2382" s="31" t="n">
        <v>8052.86</v>
      </c>
      <c r="P2382" s="22" t="n">
        <v>1</v>
      </c>
      <c r="Q2382" s="22" t="n">
        <v>0</v>
      </c>
      <c r="R2382" s="22" t="n">
        <v>0</v>
      </c>
    </row>
    <row r="2383">
      <c r="A2383" s="22" t="n">
        <v>202002</v>
      </c>
      <c r="B2383" s="22" t="inlineStr">
        <is>
          <t>02/2020</t>
        </is>
      </c>
      <c r="C2383" s="22" t="n">
        <v>14</v>
      </c>
      <c r="D2383" s="22" t="inlineStr">
        <is>
          <t>S14</t>
        </is>
      </c>
      <c r="E2383" s="22" t="inlineStr">
        <is>
          <t>Nexa Franche-Comté (S14)</t>
        </is>
      </c>
      <c r="F2383" s="22" t="inlineStr">
        <is>
          <t>Pháp</t>
        </is>
      </c>
      <c r="G2383" s="22" t="inlineStr">
        <is>
          <t>POS</t>
        </is>
      </c>
      <c r="H2383" s="31" t="n">
        <v>650.85</v>
      </c>
      <c r="I2383" s="31" t="n">
        <v>0</v>
      </c>
      <c r="J2383" s="31" t="n">
        <v>650.85</v>
      </c>
      <c r="K2383" s="31" t="n">
        <v>0</v>
      </c>
      <c r="L2383" s="32" t="n">
        <v>2</v>
      </c>
      <c r="M2383" s="32" t="n">
        <v>7</v>
      </c>
      <c r="N2383" s="31" t="n">
        <v>650.85</v>
      </c>
      <c r="O2383" s="31" t="n">
        <v>650.85</v>
      </c>
      <c r="P2383" s="22" t="n">
        <v>0</v>
      </c>
      <c r="Q2383" s="22" t="n">
        <v>0</v>
      </c>
      <c r="R2383" s="22" t="n">
        <v>0</v>
      </c>
    </row>
    <row r="2384">
      <c r="A2384" s="22" t="n">
        <v>202002</v>
      </c>
      <c r="B2384" s="22" t="inlineStr">
        <is>
          <t>02/2020</t>
        </is>
      </c>
      <c r="C2384" s="22" t="n">
        <v>15</v>
      </c>
      <c r="D2384" s="22" t="inlineStr">
        <is>
          <t>S15</t>
        </is>
      </c>
      <c r="E2384" s="22" t="inlineStr">
        <is>
          <t>Nexa La Réunion (S15)</t>
        </is>
      </c>
      <c r="F2384" s="22" t="inlineStr">
        <is>
          <t>Pháp</t>
        </is>
      </c>
      <c r="G2384" s="22" t="inlineStr">
        <is>
          <t>POS</t>
        </is>
      </c>
      <c r="H2384" s="31" t="n">
        <v>12794.62</v>
      </c>
      <c r="I2384" s="31" t="n">
        <v>0</v>
      </c>
      <c r="J2384" s="31" t="n">
        <v>12794.62</v>
      </c>
      <c r="K2384" s="31" t="n">
        <v>0</v>
      </c>
      <c r="L2384" s="32" t="n">
        <v>4</v>
      </c>
      <c r="M2384" s="32" t="n">
        <v>41</v>
      </c>
      <c r="N2384" s="31" t="n">
        <v>12794.62</v>
      </c>
      <c r="O2384" s="31" t="n">
        <v>12794.62</v>
      </c>
      <c r="P2384" s="22" t="n">
        <v>0</v>
      </c>
      <c r="Q2384" s="22" t="n">
        <v>0</v>
      </c>
      <c r="R2384" s="22" t="n">
        <v>0</v>
      </c>
    </row>
    <row r="2385">
      <c r="A2385" s="22" t="n">
        <v>202002</v>
      </c>
      <c r="B2385" s="22" t="inlineStr">
        <is>
          <t>02/2020</t>
        </is>
      </c>
      <c r="C2385" s="22" t="n">
        <v>16</v>
      </c>
      <c r="D2385" s="22" t="inlineStr">
        <is>
          <t>S16</t>
        </is>
      </c>
      <c r="E2385" s="22" t="inlineStr">
        <is>
          <t>Nexa Limousin (S16)</t>
        </is>
      </c>
      <c r="F2385" s="22" t="inlineStr">
        <is>
          <t>Pháp</t>
        </is>
      </c>
      <c r="G2385" s="22" t="inlineStr">
        <is>
          <t>POS</t>
        </is>
      </c>
      <c r="H2385" s="31" t="n">
        <v>25355.81</v>
      </c>
      <c r="I2385" s="31" t="n">
        <v>0</v>
      </c>
      <c r="J2385" s="31" t="n">
        <v>25355.81</v>
      </c>
      <c r="K2385" s="31" t="n">
        <v>2398</v>
      </c>
      <c r="L2385" s="32" t="n">
        <v>4</v>
      </c>
      <c r="M2385" s="32" t="n">
        <v>37</v>
      </c>
      <c r="N2385" s="31" t="n">
        <v>22476.16</v>
      </c>
      <c r="O2385" s="31" t="n">
        <v>25355.81</v>
      </c>
      <c r="P2385" s="22" t="n">
        <v>0</v>
      </c>
      <c r="Q2385" s="22" t="n">
        <v>0</v>
      </c>
      <c r="R2385" s="22" t="n">
        <v>0</v>
      </c>
    </row>
    <row r="2386">
      <c r="A2386" s="22" t="n">
        <v>202002</v>
      </c>
      <c r="B2386" s="22" t="inlineStr">
        <is>
          <t>02/2020</t>
        </is>
      </c>
      <c r="C2386" s="22" t="n">
        <v>17</v>
      </c>
      <c r="D2386" s="22" t="inlineStr">
        <is>
          <t>S17</t>
        </is>
      </c>
      <c r="E2386" s="22" t="inlineStr">
        <is>
          <t>Nexa Martinique (S17)</t>
        </is>
      </c>
      <c r="F2386" s="22" t="inlineStr">
        <is>
          <t>Pháp</t>
        </is>
      </c>
      <c r="G2386" s="22" t="inlineStr">
        <is>
          <t>POS</t>
        </is>
      </c>
      <c r="H2386" s="31" t="n">
        <v>4027.65</v>
      </c>
      <c r="I2386" s="31" t="n">
        <v>0</v>
      </c>
      <c r="J2386" s="31" t="n">
        <v>4027.65</v>
      </c>
      <c r="K2386" s="31" t="n">
        <v>0</v>
      </c>
      <c r="L2386" s="32" t="n">
        <v>2</v>
      </c>
      <c r="M2386" s="32" t="n">
        <v>19</v>
      </c>
      <c r="N2386" s="31" t="n">
        <v>4027.65</v>
      </c>
      <c r="O2386" s="31" t="n">
        <v>4027.65</v>
      </c>
      <c r="P2386" s="22" t="n">
        <v>0</v>
      </c>
      <c r="Q2386" s="22" t="n">
        <v>0</v>
      </c>
      <c r="R2386" s="22" t="n">
        <v>0</v>
      </c>
    </row>
    <row r="2387">
      <c r="A2387" s="22" t="n">
        <v>202002</v>
      </c>
      <c r="B2387" s="22" t="inlineStr">
        <is>
          <t>02/2020</t>
        </is>
      </c>
      <c r="C2387" s="22" t="n">
        <v>18</v>
      </c>
      <c r="D2387" s="22" t="inlineStr">
        <is>
          <t>S18</t>
        </is>
      </c>
      <c r="E2387" s="22" t="inlineStr">
        <is>
          <t>Nexa Mayotte (S18)</t>
        </is>
      </c>
      <c r="F2387" s="22" t="inlineStr">
        <is>
          <t>Pháp</t>
        </is>
      </c>
      <c r="G2387" s="22" t="inlineStr">
        <is>
          <t>POS</t>
        </is>
      </c>
      <c r="H2387" s="31" t="n">
        <v>4211.48</v>
      </c>
      <c r="I2387" s="31" t="n">
        <v>0</v>
      </c>
      <c r="J2387" s="31" t="n">
        <v>4211.48</v>
      </c>
      <c r="K2387" s="31" t="n">
        <v>0</v>
      </c>
      <c r="L2387" s="32" t="n">
        <v>3</v>
      </c>
      <c r="M2387" s="32" t="n">
        <v>8</v>
      </c>
      <c r="N2387" s="31" t="n">
        <v>4211.48</v>
      </c>
      <c r="O2387" s="31" t="n">
        <v>4211.48</v>
      </c>
      <c r="P2387" s="22" t="n">
        <v>0</v>
      </c>
      <c r="Q2387" s="22" t="n">
        <v>0</v>
      </c>
      <c r="R2387" s="22" t="n">
        <v>0</v>
      </c>
    </row>
    <row r="2388">
      <c r="A2388" s="22" t="n">
        <v>202002</v>
      </c>
      <c r="B2388" s="22" t="inlineStr">
        <is>
          <t>02/2020</t>
        </is>
      </c>
      <c r="C2388" s="22" t="n">
        <v>19</v>
      </c>
      <c r="D2388" s="22" t="inlineStr">
        <is>
          <t>S19</t>
        </is>
      </c>
      <c r="E2388" s="22" t="inlineStr">
        <is>
          <t>Nexa Berlin (S19)</t>
        </is>
      </c>
      <c r="F2388" s="22" t="inlineStr">
        <is>
          <t>Đức</t>
        </is>
      </c>
      <c r="G2388" s="22" t="inlineStr">
        <is>
          <t>POS</t>
        </is>
      </c>
      <c r="H2388" s="31" t="n">
        <v>11803.27</v>
      </c>
      <c r="I2388" s="31" t="n">
        <v>0</v>
      </c>
      <c r="J2388" s="31" t="n">
        <v>11803.27</v>
      </c>
      <c r="K2388" s="31" t="n">
        <v>0</v>
      </c>
      <c r="L2388" s="32" t="n">
        <v>6</v>
      </c>
      <c r="M2388" s="32" t="n">
        <v>40</v>
      </c>
      <c r="N2388" s="31" t="n">
        <v>11796.39</v>
      </c>
      <c r="O2388" s="31" t="n">
        <v>11803.27</v>
      </c>
      <c r="P2388" s="22" t="n">
        <v>0</v>
      </c>
      <c r="Q2388" s="22" t="n">
        <v>0</v>
      </c>
      <c r="R2388" s="22" t="n">
        <v>0</v>
      </c>
    </row>
    <row r="2389">
      <c r="A2389" s="22" t="n">
        <v>202002</v>
      </c>
      <c r="B2389" s="22" t="inlineStr">
        <is>
          <t>02/2020</t>
        </is>
      </c>
      <c r="C2389" s="22" t="n">
        <v>21</v>
      </c>
      <c r="D2389" s="22" t="inlineStr">
        <is>
          <t>S21</t>
        </is>
      </c>
      <c r="E2389" s="22" t="inlineStr">
        <is>
          <t>Nexa Freie Hansestadt Bremen (S21)</t>
        </is>
      </c>
      <c r="F2389" s="22" t="inlineStr">
        <is>
          <t>Đức</t>
        </is>
      </c>
      <c r="G2389" s="22" t="inlineStr">
        <is>
          <t>POS</t>
        </is>
      </c>
      <c r="H2389" s="31" t="n">
        <v>26591.94</v>
      </c>
      <c r="I2389" s="31" t="n">
        <v>0</v>
      </c>
      <c r="J2389" s="31" t="n">
        <v>26591.94</v>
      </c>
      <c r="K2389" s="31" t="n">
        <v>499.55</v>
      </c>
      <c r="L2389" s="32" t="n">
        <v>10</v>
      </c>
      <c r="M2389" s="32" t="n">
        <v>107</v>
      </c>
      <c r="N2389" s="31" t="n">
        <v>26092.39</v>
      </c>
      <c r="O2389" s="31" t="n">
        <v>26591.94</v>
      </c>
      <c r="P2389" s="22" t="n">
        <v>0</v>
      </c>
      <c r="Q2389" s="22" t="n">
        <v>0</v>
      </c>
      <c r="R2389" s="22" t="n">
        <v>0</v>
      </c>
    </row>
    <row r="2390">
      <c r="A2390" s="22" t="n">
        <v>202002</v>
      </c>
      <c r="B2390" s="22" t="inlineStr">
        <is>
          <t>02/2020</t>
        </is>
      </c>
      <c r="C2390" s="22" t="n">
        <v>22</v>
      </c>
      <c r="D2390" s="22" t="inlineStr">
        <is>
          <t>S22</t>
        </is>
      </c>
      <c r="E2390" s="22" t="inlineStr">
        <is>
          <t>Nexa Freistaat Thüringen (S22)</t>
        </is>
      </c>
      <c r="F2390" s="22" t="inlineStr">
        <is>
          <t>Đức</t>
        </is>
      </c>
      <c r="G2390" s="22" t="inlineStr">
        <is>
          <t>POS</t>
        </is>
      </c>
      <c r="H2390" s="31" t="n">
        <v>21435.11</v>
      </c>
      <c r="I2390" s="31" t="n">
        <v>0</v>
      </c>
      <c r="J2390" s="31" t="n">
        <v>21435.11</v>
      </c>
      <c r="K2390" s="31" t="n">
        <v>0</v>
      </c>
      <c r="L2390" s="32" t="n">
        <v>11</v>
      </c>
      <c r="M2390" s="32" t="n">
        <v>112</v>
      </c>
      <c r="N2390" s="31" t="n">
        <v>21435.11</v>
      </c>
      <c r="O2390" s="31" t="n">
        <v>21435.11</v>
      </c>
      <c r="P2390" s="22" t="n">
        <v>1</v>
      </c>
      <c r="Q2390" s="22" t="n">
        <v>0</v>
      </c>
      <c r="R2390" s="22" t="n">
        <v>0</v>
      </c>
    </row>
    <row r="2391">
      <c r="A2391" s="22" t="n">
        <v>202002</v>
      </c>
      <c r="B2391" s="22" t="inlineStr">
        <is>
          <t>02/2020</t>
        </is>
      </c>
      <c r="C2391" s="22" t="n">
        <v>23</v>
      </c>
      <c r="D2391" s="22" t="inlineStr">
        <is>
          <t>S23</t>
        </is>
      </c>
      <c r="E2391" s="22" t="inlineStr">
        <is>
          <t>Nexa Hamburg (S23)</t>
        </is>
      </c>
      <c r="F2391" s="22" t="inlineStr">
        <is>
          <t>Đức</t>
        </is>
      </c>
      <c r="G2391" s="22" t="inlineStr">
        <is>
          <t>POS</t>
        </is>
      </c>
      <c r="H2391" s="31" t="n">
        <v>11868.1</v>
      </c>
      <c r="I2391" s="31" t="n">
        <v>0</v>
      </c>
      <c r="J2391" s="31" t="n">
        <v>11868.1</v>
      </c>
      <c r="K2391" s="31" t="n">
        <v>0</v>
      </c>
      <c r="L2391" s="32" t="n">
        <v>7</v>
      </c>
      <c r="M2391" s="32" t="n">
        <v>76</v>
      </c>
      <c r="N2391" s="31" t="n">
        <v>11868.1</v>
      </c>
      <c r="O2391" s="31" t="n">
        <v>11868.1</v>
      </c>
      <c r="P2391" s="22" t="n">
        <v>0</v>
      </c>
      <c r="Q2391" s="22" t="n">
        <v>0</v>
      </c>
      <c r="R2391" s="22" t="n">
        <v>0</v>
      </c>
    </row>
    <row r="2392">
      <c r="A2392" s="22" t="n">
        <v>202002</v>
      </c>
      <c r="B2392" s="22" t="inlineStr">
        <is>
          <t>02/2020</t>
        </is>
      </c>
      <c r="C2392" s="22" t="n">
        <v>24</v>
      </c>
      <c r="D2392" s="22" t="inlineStr">
        <is>
          <t>S24</t>
        </is>
      </c>
      <c r="E2392" s="22" t="inlineStr">
        <is>
          <t>Nexa Hessen (S24)</t>
        </is>
      </c>
      <c r="F2392" s="22" t="inlineStr">
        <is>
          <t>Đức</t>
        </is>
      </c>
      <c r="G2392" s="22" t="inlineStr">
        <is>
          <t>POS</t>
        </is>
      </c>
      <c r="H2392" s="31" t="n">
        <v>40184.98</v>
      </c>
      <c r="I2392" s="31" t="n">
        <v>0</v>
      </c>
      <c r="J2392" s="31" t="n">
        <v>40184.98</v>
      </c>
      <c r="K2392" s="31" t="n">
        <v>0</v>
      </c>
      <c r="L2392" s="32" t="n">
        <v>12</v>
      </c>
      <c r="M2392" s="32" t="n">
        <v>150</v>
      </c>
      <c r="N2392" s="31" t="n">
        <v>18016.07</v>
      </c>
      <c r="O2392" s="31" t="n">
        <v>40184.98</v>
      </c>
      <c r="P2392" s="22" t="n">
        <v>2</v>
      </c>
      <c r="Q2392" s="22" t="n">
        <v>0</v>
      </c>
      <c r="R2392" s="22" t="n">
        <v>0</v>
      </c>
    </row>
    <row r="2393">
      <c r="A2393" s="22" t="n">
        <v>202002</v>
      </c>
      <c r="B2393" s="22" t="inlineStr">
        <is>
          <t>02/2020</t>
        </is>
      </c>
      <c r="C2393" s="22" t="n">
        <v>26</v>
      </c>
      <c r="D2393" s="22" t="inlineStr">
        <is>
          <t>S26</t>
        </is>
      </c>
      <c r="E2393" s="22" t="inlineStr">
        <is>
          <t>Nexa Saarland (S26)</t>
        </is>
      </c>
      <c r="F2393" s="22" t="inlineStr">
        <is>
          <t>Đức</t>
        </is>
      </c>
      <c r="G2393" s="22" t="inlineStr">
        <is>
          <t>POS</t>
        </is>
      </c>
      <c r="H2393" s="31" t="n">
        <v>21491.44</v>
      </c>
      <c r="I2393" s="31" t="n">
        <v>0</v>
      </c>
      <c r="J2393" s="31" t="n">
        <v>21491.44</v>
      </c>
      <c r="K2393" s="31" t="n">
        <v>115</v>
      </c>
      <c r="L2393" s="32" t="n">
        <v>7</v>
      </c>
      <c r="M2393" s="32" t="n">
        <v>88</v>
      </c>
      <c r="N2393" s="31" t="n">
        <v>21376.44</v>
      </c>
      <c r="O2393" s="31" t="n">
        <v>21491.44</v>
      </c>
      <c r="P2393" s="22" t="n">
        <v>0</v>
      </c>
      <c r="Q2393" s="22" t="n">
        <v>0</v>
      </c>
      <c r="R2393" s="22" t="n">
        <v>0</v>
      </c>
    </row>
    <row r="2394">
      <c r="A2394" s="22" t="n">
        <v>202002</v>
      </c>
      <c r="B2394" s="22" t="inlineStr">
        <is>
          <t>02/2020</t>
        </is>
      </c>
      <c r="C2394" s="22" t="n">
        <v>27</v>
      </c>
      <c r="D2394" s="22" t="inlineStr">
        <is>
          <t>S27</t>
        </is>
      </c>
      <c r="E2394" s="22" t="inlineStr">
        <is>
          <t>Nexa Sachsen-Anhalt (S27)</t>
        </is>
      </c>
      <c r="F2394" s="22" t="inlineStr">
        <is>
          <t>Đức</t>
        </is>
      </c>
      <c r="G2394" s="22" t="inlineStr">
        <is>
          <t>POS</t>
        </is>
      </c>
      <c r="H2394" s="31" t="n">
        <v>19377.93</v>
      </c>
      <c r="I2394" s="31" t="n">
        <v>0</v>
      </c>
      <c r="J2394" s="31" t="n">
        <v>19377.93</v>
      </c>
      <c r="K2394" s="31" t="n">
        <v>0</v>
      </c>
      <c r="L2394" s="32" t="n">
        <v>13</v>
      </c>
      <c r="M2394" s="32" t="n">
        <v>85</v>
      </c>
      <c r="N2394" s="31" t="n">
        <v>19377.93</v>
      </c>
      <c r="O2394" s="31" t="n">
        <v>19377.93</v>
      </c>
      <c r="P2394" s="22" t="n">
        <v>0</v>
      </c>
      <c r="Q2394" s="22" t="n">
        <v>0</v>
      </c>
      <c r="R2394" s="22" t="n">
        <v>0</v>
      </c>
    </row>
    <row r="2395">
      <c r="A2395" s="22" t="n">
        <v>202002</v>
      </c>
      <c r="B2395" s="22" t="inlineStr">
        <is>
          <t>02/2020</t>
        </is>
      </c>
      <c r="C2395" s="22" t="n">
        <v>29</v>
      </c>
      <c r="D2395" s="22" t="inlineStr">
        <is>
          <t>S29</t>
        </is>
      </c>
      <c r="E2395" s="22" t="inlineStr">
        <is>
          <t>Nexa Enna (S29)</t>
        </is>
      </c>
      <c r="F2395" s="22" t="inlineStr">
        <is>
          <t>Ý</t>
        </is>
      </c>
      <c r="G2395" s="22" t="inlineStr">
        <is>
          <t>POS</t>
        </is>
      </c>
      <c r="H2395" s="31" t="n">
        <v>27010.58</v>
      </c>
      <c r="I2395" s="31" t="n">
        <v>0</v>
      </c>
      <c r="J2395" s="31" t="n">
        <v>27010.58</v>
      </c>
      <c r="K2395" s="31" t="n">
        <v>19.63</v>
      </c>
      <c r="L2395" s="32" t="n">
        <v>16</v>
      </c>
      <c r="M2395" s="32" t="n">
        <v>142</v>
      </c>
      <c r="N2395" s="31" t="n">
        <v>26990.95</v>
      </c>
      <c r="O2395" s="31" t="n">
        <v>27010.58</v>
      </c>
      <c r="P2395" s="22" t="n">
        <v>0</v>
      </c>
      <c r="Q2395" s="22" t="n">
        <v>0</v>
      </c>
      <c r="R2395" s="22" t="n">
        <v>0</v>
      </c>
    </row>
    <row r="2396">
      <c r="A2396" s="22" t="n">
        <v>202002</v>
      </c>
      <c r="B2396" s="22" t="inlineStr">
        <is>
          <t>02/2020</t>
        </is>
      </c>
      <c r="C2396" s="22" t="n">
        <v>30</v>
      </c>
      <c r="D2396" s="22" t="inlineStr">
        <is>
          <t>S30</t>
        </is>
      </c>
      <c r="E2396" s="22" t="inlineStr">
        <is>
          <t>Nexa Pesaro (S30)</t>
        </is>
      </c>
      <c r="F2396" s="22" t="inlineStr">
        <is>
          <t>Ý</t>
        </is>
      </c>
      <c r="G2396" s="22" t="inlineStr">
        <is>
          <t>POS</t>
        </is>
      </c>
      <c r="H2396" s="31" t="n">
        <v>28045.57</v>
      </c>
      <c r="I2396" s="31" t="n">
        <v>0</v>
      </c>
      <c r="J2396" s="31" t="n">
        <v>28045.57</v>
      </c>
      <c r="K2396" s="31" t="n">
        <v>809.83</v>
      </c>
      <c r="L2396" s="32" t="n">
        <v>13</v>
      </c>
      <c r="M2396" s="32" t="n">
        <v>108</v>
      </c>
      <c r="N2396" s="31" t="n">
        <v>27235.74</v>
      </c>
      <c r="O2396" s="31" t="n">
        <v>28045.57</v>
      </c>
      <c r="P2396" s="22" t="n">
        <v>0</v>
      </c>
      <c r="Q2396" s="22" t="n">
        <v>0</v>
      </c>
      <c r="R2396" s="22" t="n">
        <v>0</v>
      </c>
    </row>
    <row r="2397">
      <c r="A2397" s="22" t="n">
        <v>202002</v>
      </c>
      <c r="B2397" s="22" t="inlineStr">
        <is>
          <t>02/2020</t>
        </is>
      </c>
      <c r="C2397" s="22" t="n">
        <v>31</v>
      </c>
      <c r="D2397" s="22" t="inlineStr">
        <is>
          <t>S31</t>
        </is>
      </c>
      <c r="E2397" s="22" t="inlineStr">
        <is>
          <t>Nexa Drenthe (S31)</t>
        </is>
      </c>
      <c r="F2397" s="22" t="inlineStr">
        <is>
          <t>Hà Lan</t>
        </is>
      </c>
      <c r="G2397" s="22" t="inlineStr">
        <is>
          <t>POS</t>
        </is>
      </c>
      <c r="H2397" s="31" t="n">
        <v>9472.9</v>
      </c>
      <c r="I2397" s="31" t="n">
        <v>0</v>
      </c>
      <c r="J2397" s="31" t="n">
        <v>9472.9</v>
      </c>
      <c r="K2397" s="31" t="n">
        <v>0</v>
      </c>
      <c r="L2397" s="32" t="n">
        <v>7</v>
      </c>
      <c r="M2397" s="32" t="n">
        <v>27</v>
      </c>
      <c r="N2397" s="31" t="n">
        <v>9472.9</v>
      </c>
      <c r="O2397" s="31" t="n">
        <v>9472.9</v>
      </c>
      <c r="P2397" s="22" t="n">
        <v>1</v>
      </c>
      <c r="Q2397" s="22" t="n">
        <v>0</v>
      </c>
      <c r="R2397" s="22" t="n">
        <v>0</v>
      </c>
    </row>
    <row r="2398">
      <c r="A2398" s="22" t="n">
        <v>202002</v>
      </c>
      <c r="B2398" s="22" t="inlineStr">
        <is>
          <t>02/2020</t>
        </is>
      </c>
      <c r="C2398" s="22" t="n">
        <v>32</v>
      </c>
      <c r="D2398" s="22" t="inlineStr">
        <is>
          <t>S32</t>
        </is>
      </c>
      <c r="E2398" s="22" t="inlineStr">
        <is>
          <t>Nexa Flevoland (S32)</t>
        </is>
      </c>
      <c r="F2398" s="22" t="inlineStr">
        <is>
          <t>Hà Lan</t>
        </is>
      </c>
      <c r="G2398" s="22" t="inlineStr">
        <is>
          <t>POS</t>
        </is>
      </c>
      <c r="H2398" s="31" t="n">
        <v>13073.73</v>
      </c>
      <c r="I2398" s="31" t="n">
        <v>0</v>
      </c>
      <c r="J2398" s="31" t="n">
        <v>13073.73</v>
      </c>
      <c r="K2398" s="31" t="n">
        <v>0</v>
      </c>
      <c r="L2398" s="32" t="n">
        <v>12</v>
      </c>
      <c r="M2398" s="32" t="n">
        <v>88</v>
      </c>
      <c r="N2398" s="31" t="n">
        <v>13073.73</v>
      </c>
      <c r="O2398" s="31" t="n">
        <v>13073.73</v>
      </c>
      <c r="P2398" s="22" t="n">
        <v>2</v>
      </c>
      <c r="Q2398" s="22" t="n">
        <v>0</v>
      </c>
      <c r="R2398" s="22" t="n">
        <v>0</v>
      </c>
    </row>
    <row r="2399">
      <c r="A2399" s="22" t="n">
        <v>202002</v>
      </c>
      <c r="B2399" s="22" t="inlineStr">
        <is>
          <t>02/2020</t>
        </is>
      </c>
      <c r="C2399" s="22" t="n">
        <v>33</v>
      </c>
      <c r="D2399" s="22" t="inlineStr">
        <is>
          <t>S33</t>
        </is>
      </c>
      <c r="E2399" s="22" t="inlineStr">
        <is>
          <t>Nexa Friesland (S33)</t>
        </is>
      </c>
      <c r="F2399" s="22" t="inlineStr">
        <is>
          <t>Hà Lan</t>
        </is>
      </c>
      <c r="G2399" s="22" t="inlineStr">
        <is>
          <t>POS</t>
        </is>
      </c>
      <c r="H2399" s="31" t="n">
        <v>5151.53</v>
      </c>
      <c r="I2399" s="31" t="n">
        <v>0</v>
      </c>
      <c r="J2399" s="31" t="n">
        <v>5151.53</v>
      </c>
      <c r="K2399" s="31" t="n">
        <v>224</v>
      </c>
      <c r="L2399" s="32" t="n">
        <v>5</v>
      </c>
      <c r="M2399" s="32" t="n">
        <v>29</v>
      </c>
      <c r="N2399" s="31" t="n">
        <v>5229.18</v>
      </c>
      <c r="O2399" s="31" t="n">
        <v>5151.53</v>
      </c>
      <c r="P2399" s="22" t="n">
        <v>1</v>
      </c>
      <c r="Q2399" s="22" t="n">
        <v>0</v>
      </c>
      <c r="R2399" s="22" t="n">
        <v>0</v>
      </c>
    </row>
    <row r="2400">
      <c r="A2400" s="22" t="n">
        <v>202002</v>
      </c>
      <c r="B2400" s="22" t="inlineStr">
        <is>
          <t>02/2020</t>
        </is>
      </c>
      <c r="C2400" s="22" t="n">
        <v>34</v>
      </c>
      <c r="D2400" s="22" t="inlineStr">
        <is>
          <t>S34</t>
        </is>
      </c>
      <c r="E2400" s="22" t="inlineStr">
        <is>
          <t>Nexa Groningen (S34)</t>
        </is>
      </c>
      <c r="F2400" s="22" t="inlineStr">
        <is>
          <t>Hà Lan</t>
        </is>
      </c>
      <c r="G2400" s="22" t="inlineStr">
        <is>
          <t>POS</t>
        </is>
      </c>
      <c r="H2400" s="31" t="n">
        <v>11296.85</v>
      </c>
      <c r="I2400" s="31" t="n">
        <v>0</v>
      </c>
      <c r="J2400" s="31" t="n">
        <v>11296.85</v>
      </c>
      <c r="K2400" s="31" t="n">
        <v>1058</v>
      </c>
      <c r="L2400" s="32" t="n">
        <v>7</v>
      </c>
      <c r="M2400" s="32" t="n">
        <v>41</v>
      </c>
      <c r="N2400" s="31" t="n">
        <v>10238.85</v>
      </c>
      <c r="O2400" s="31" t="n">
        <v>11296.85</v>
      </c>
      <c r="P2400" s="22" t="n">
        <v>0</v>
      </c>
      <c r="Q2400" s="22" t="n">
        <v>0</v>
      </c>
      <c r="R2400" s="22" t="n">
        <v>0</v>
      </c>
    </row>
    <row r="2401">
      <c r="A2401" s="22" t="n">
        <v>202002</v>
      </c>
      <c r="B2401" s="22" t="inlineStr">
        <is>
          <t>02/2020</t>
        </is>
      </c>
      <c r="C2401" s="22" t="n">
        <v>36</v>
      </c>
      <c r="D2401" s="22" t="inlineStr">
        <is>
          <t>S36</t>
        </is>
      </c>
      <c r="E2401" s="22" t="inlineStr">
        <is>
          <t>Nexa Armagh (S36)</t>
        </is>
      </c>
      <c r="F2401" s="22" t="inlineStr">
        <is>
          <t>Anh</t>
        </is>
      </c>
      <c r="G2401" s="22" t="inlineStr">
        <is>
          <t>POS</t>
        </is>
      </c>
      <c r="H2401" s="31" t="n">
        <v>47650.98</v>
      </c>
      <c r="I2401" s="31" t="n">
        <v>0</v>
      </c>
      <c r="J2401" s="31" t="n">
        <v>47650.98</v>
      </c>
      <c r="K2401" s="31" t="n">
        <v>112.4</v>
      </c>
      <c r="L2401" s="32" t="n">
        <v>20</v>
      </c>
      <c r="M2401" s="32" t="n">
        <v>149</v>
      </c>
      <c r="N2401" s="31" t="n">
        <v>47538.58</v>
      </c>
      <c r="O2401" s="31" t="n">
        <v>47650.98</v>
      </c>
      <c r="P2401" s="22" t="n">
        <v>0</v>
      </c>
      <c r="Q2401" s="22" t="n">
        <v>0</v>
      </c>
      <c r="R2401" s="22" t="n">
        <v>0</v>
      </c>
    </row>
    <row r="2402">
      <c r="A2402" s="22" t="n">
        <v>202002</v>
      </c>
      <c r="B2402" s="22" t="inlineStr">
        <is>
          <t>02/2020</t>
        </is>
      </c>
      <c r="C2402" s="22" t="n">
        <v>37</v>
      </c>
      <c r="D2402" s="22" t="inlineStr">
        <is>
          <t>S37</t>
        </is>
      </c>
      <c r="E2402" s="22" t="inlineStr">
        <is>
          <t>Nexa Ayrshire (S37)</t>
        </is>
      </c>
      <c r="F2402" s="22" t="inlineStr">
        <is>
          <t>Anh</t>
        </is>
      </c>
      <c r="G2402" s="22" t="inlineStr">
        <is>
          <t>POS</t>
        </is>
      </c>
      <c r="H2402" s="31" t="n">
        <v>30933.34</v>
      </c>
      <c r="I2402" s="31" t="n">
        <v>0</v>
      </c>
      <c r="J2402" s="31" t="n">
        <v>30933.34</v>
      </c>
      <c r="K2402" s="31" t="n">
        <v>559</v>
      </c>
      <c r="L2402" s="32" t="n">
        <v>18</v>
      </c>
      <c r="M2402" s="32" t="n">
        <v>146</v>
      </c>
      <c r="N2402" s="31" t="n">
        <v>30374.34</v>
      </c>
      <c r="O2402" s="31" t="n">
        <v>30933.34</v>
      </c>
      <c r="P2402" s="22" t="n">
        <v>0</v>
      </c>
      <c r="Q2402" s="22" t="n">
        <v>0</v>
      </c>
      <c r="R2402" s="22" t="n">
        <v>0</v>
      </c>
    </row>
    <row r="2403">
      <c r="A2403" s="22" t="n">
        <v>202002</v>
      </c>
      <c r="B2403" s="22" t="inlineStr">
        <is>
          <t>02/2020</t>
        </is>
      </c>
      <c r="C2403" s="22" t="n">
        <v>38</v>
      </c>
      <c r="D2403" s="22" t="inlineStr">
        <is>
          <t>S38</t>
        </is>
      </c>
      <c r="E2403" s="22" t="inlineStr">
        <is>
          <t>Nexa Belfast (S38)</t>
        </is>
      </c>
      <c r="F2403" s="22" t="inlineStr">
        <is>
          <t>Anh</t>
        </is>
      </c>
      <c r="G2403" s="22" t="inlineStr">
        <is>
          <t>POS</t>
        </is>
      </c>
      <c r="H2403" s="31" t="n">
        <v>40017.07</v>
      </c>
      <c r="I2403" s="31" t="n">
        <v>0</v>
      </c>
      <c r="J2403" s="31" t="n">
        <v>40017.07</v>
      </c>
      <c r="K2403" s="31" t="n">
        <v>438</v>
      </c>
      <c r="L2403" s="32" t="n">
        <v>20</v>
      </c>
      <c r="M2403" s="32" t="n">
        <v>139</v>
      </c>
      <c r="N2403" s="31" t="n">
        <v>41054.07</v>
      </c>
      <c r="O2403" s="31" t="n">
        <v>40017.07</v>
      </c>
      <c r="P2403" s="22" t="n">
        <v>1</v>
      </c>
      <c r="Q2403" s="22" t="n">
        <v>0</v>
      </c>
      <c r="R2403" s="22" t="n">
        <v>0</v>
      </c>
    </row>
    <row r="2404">
      <c r="A2404" s="22" t="n">
        <v>202002</v>
      </c>
      <c r="B2404" s="22" t="inlineStr">
        <is>
          <t>02/2020</t>
        </is>
      </c>
      <c r="C2404" s="22" t="n">
        <v>39</v>
      </c>
      <c r="D2404" s="22" t="inlineStr">
        <is>
          <t>S39</t>
        </is>
      </c>
      <c r="E2404" s="22" t="inlineStr">
        <is>
          <t>Nexa Blaenau Gwent (S39)</t>
        </is>
      </c>
      <c r="F2404" s="22" t="inlineStr">
        <is>
          <t>Anh</t>
        </is>
      </c>
      <c r="G2404" s="22" t="inlineStr">
        <is>
          <t>POS</t>
        </is>
      </c>
      <c r="H2404" s="31" t="n">
        <v>36300.42</v>
      </c>
      <c r="I2404" s="31" t="n">
        <v>0</v>
      </c>
      <c r="J2404" s="31" t="n">
        <v>36300.42</v>
      </c>
      <c r="K2404" s="31" t="n">
        <v>699</v>
      </c>
      <c r="L2404" s="32" t="n">
        <v>20</v>
      </c>
      <c r="M2404" s="32" t="n">
        <v>140</v>
      </c>
      <c r="N2404" s="31" t="n">
        <v>35601.42</v>
      </c>
      <c r="O2404" s="31" t="n">
        <v>36300.42</v>
      </c>
      <c r="P2404" s="22" t="n">
        <v>1</v>
      </c>
      <c r="Q2404" s="22" t="n">
        <v>0</v>
      </c>
      <c r="R2404" s="22" t="n">
        <v>0</v>
      </c>
    </row>
    <row r="2405">
      <c r="A2405" s="22" t="n">
        <v>202002</v>
      </c>
      <c r="B2405" s="22" t="inlineStr">
        <is>
          <t>02/2020</t>
        </is>
      </c>
      <c r="C2405" s="22" t="n">
        <v>40</v>
      </c>
      <c r="D2405" s="22" t="inlineStr">
        <is>
          <t>S40</t>
        </is>
      </c>
      <c r="E2405" s="22" t="inlineStr">
        <is>
          <t>Nexa Dungannon and South Tyrone (S40)</t>
        </is>
      </c>
      <c r="F2405" s="22" t="inlineStr">
        <is>
          <t>Anh</t>
        </is>
      </c>
      <c r="G2405" s="22" t="inlineStr">
        <is>
          <t>POS</t>
        </is>
      </c>
      <c r="H2405" s="31" t="n">
        <v>46301.12</v>
      </c>
      <c r="I2405" s="31" t="n">
        <v>0</v>
      </c>
      <c r="J2405" s="31" t="n">
        <v>46301.12</v>
      </c>
      <c r="K2405" s="31" t="n">
        <v>568</v>
      </c>
      <c r="L2405" s="32" t="n">
        <v>13</v>
      </c>
      <c r="M2405" s="32" t="n">
        <v>131</v>
      </c>
      <c r="N2405" s="31" t="n">
        <v>46301.12</v>
      </c>
      <c r="O2405" s="31" t="n">
        <v>46301.12</v>
      </c>
      <c r="P2405" s="22" t="n">
        <v>0</v>
      </c>
      <c r="Q2405" s="22" t="n">
        <v>0</v>
      </c>
      <c r="R2405" s="22" t="n">
        <v>0</v>
      </c>
    </row>
    <row r="2406">
      <c r="A2406" s="22" t="n">
        <v>202002</v>
      </c>
      <c r="B2406" s="22" t="inlineStr">
        <is>
          <t>02/2020</t>
        </is>
      </c>
      <c r="C2406" s="22" t="n">
        <v>42</v>
      </c>
      <c r="D2406" s="22" t="inlineStr">
        <is>
          <t>S42</t>
        </is>
      </c>
      <c r="E2406" s="22" t="inlineStr">
        <is>
          <t>Nexa North Down (S42)</t>
        </is>
      </c>
      <c r="F2406" s="22" t="inlineStr">
        <is>
          <t>Anh</t>
        </is>
      </c>
      <c r="G2406" s="22" t="inlineStr">
        <is>
          <t>POS</t>
        </is>
      </c>
      <c r="H2406" s="31" t="n">
        <v>30464.15</v>
      </c>
      <c r="I2406" s="31" t="n">
        <v>0</v>
      </c>
      <c r="J2406" s="31" t="n">
        <v>30464.15</v>
      </c>
      <c r="K2406" s="31" t="n">
        <v>0</v>
      </c>
      <c r="L2406" s="32" t="n">
        <v>19</v>
      </c>
      <c r="M2406" s="32" t="n">
        <v>150</v>
      </c>
      <c r="N2406" s="31" t="n">
        <v>30464.15</v>
      </c>
      <c r="O2406" s="31" t="n">
        <v>30464.15</v>
      </c>
      <c r="P2406" s="22" t="n">
        <v>0</v>
      </c>
      <c r="Q2406" s="22" t="n">
        <v>0</v>
      </c>
      <c r="R2406" s="22" t="n">
        <v>0</v>
      </c>
    </row>
    <row r="2407">
      <c r="A2407" s="22" t="n">
        <v>202002</v>
      </c>
      <c r="B2407" s="22" t="inlineStr">
        <is>
          <t>02/2020</t>
        </is>
      </c>
      <c r="C2407" s="22" t="n">
        <v>43</v>
      </c>
      <c r="D2407" s="22" t="inlineStr">
        <is>
          <t>S43</t>
        </is>
      </c>
      <c r="E2407" s="22" t="inlineStr">
        <is>
          <t>Nexa Alaska (S43)</t>
        </is>
      </c>
      <c r="F2407" s="22" t="inlineStr">
        <is>
          <t>Mỹ</t>
        </is>
      </c>
      <c r="G2407" s="22" t="inlineStr">
        <is>
          <t>POS</t>
        </is>
      </c>
      <c r="H2407" s="31" t="n">
        <v>69793.53</v>
      </c>
      <c r="I2407" s="31" t="n">
        <v>0</v>
      </c>
      <c r="J2407" s="31" t="n">
        <v>69793.53</v>
      </c>
      <c r="K2407" s="31" t="n">
        <v>329.97</v>
      </c>
      <c r="L2407" s="32" t="n">
        <v>25</v>
      </c>
      <c r="M2407" s="32" t="n">
        <v>180</v>
      </c>
      <c r="N2407" s="31" t="n">
        <v>74561.53</v>
      </c>
      <c r="O2407" s="31" t="n">
        <v>69793.53</v>
      </c>
      <c r="P2407" s="22" t="n">
        <v>1</v>
      </c>
      <c r="Q2407" s="22" t="n">
        <v>0</v>
      </c>
      <c r="R2407" s="22" t="n">
        <v>0</v>
      </c>
    </row>
    <row r="2408">
      <c r="A2408" s="22" t="n">
        <v>202002</v>
      </c>
      <c r="B2408" s="22" t="inlineStr">
        <is>
          <t>02/2020</t>
        </is>
      </c>
      <c r="C2408" s="22" t="n">
        <v>44</v>
      </c>
      <c r="D2408" s="22" t="inlineStr">
        <is>
          <t>S44</t>
        </is>
      </c>
      <c r="E2408" s="22" t="inlineStr">
        <is>
          <t>Nexa Arkansas (S44)</t>
        </is>
      </c>
      <c r="F2408" s="22" t="inlineStr">
        <is>
          <t>Mỹ</t>
        </is>
      </c>
      <c r="G2408" s="22" t="inlineStr">
        <is>
          <t>POS</t>
        </is>
      </c>
      <c r="H2408" s="31" t="n">
        <v>54825.94</v>
      </c>
      <c r="I2408" s="31" t="n">
        <v>0</v>
      </c>
      <c r="J2408" s="31" t="n">
        <v>54825.94</v>
      </c>
      <c r="K2408" s="31" t="n">
        <v>791</v>
      </c>
      <c r="L2408" s="32" t="n">
        <v>29</v>
      </c>
      <c r="M2408" s="32" t="n">
        <v>248</v>
      </c>
      <c r="N2408" s="31" t="n">
        <v>54034.94</v>
      </c>
      <c r="O2408" s="31" t="n">
        <v>54825.94</v>
      </c>
      <c r="P2408" s="22" t="n">
        <v>0</v>
      </c>
      <c r="Q2408" s="22" t="n">
        <v>0</v>
      </c>
      <c r="R2408" s="22" t="n">
        <v>0</v>
      </c>
    </row>
    <row r="2409">
      <c r="A2409" s="22" t="n">
        <v>202002</v>
      </c>
      <c r="B2409" s="22" t="inlineStr">
        <is>
          <t>02/2020</t>
        </is>
      </c>
      <c r="C2409" s="22" t="n">
        <v>45</v>
      </c>
      <c r="D2409" s="22" t="inlineStr">
        <is>
          <t>S45</t>
        </is>
      </c>
      <c r="E2409" s="22" t="inlineStr">
        <is>
          <t>Nexa Connecticut (S45)</t>
        </is>
      </c>
      <c r="F2409" s="22" t="inlineStr">
        <is>
          <t>Mỹ</t>
        </is>
      </c>
      <c r="G2409" s="22" t="inlineStr">
        <is>
          <t>POS</t>
        </is>
      </c>
      <c r="H2409" s="31" t="n">
        <v>52675.33</v>
      </c>
      <c r="I2409" s="31" t="n">
        <v>0</v>
      </c>
      <c r="J2409" s="31" t="n">
        <v>52675.33</v>
      </c>
      <c r="K2409" s="31" t="n">
        <v>0</v>
      </c>
      <c r="L2409" s="32" t="n">
        <v>17</v>
      </c>
      <c r="M2409" s="32" t="n">
        <v>172</v>
      </c>
      <c r="N2409" s="31" t="n">
        <v>52675.33</v>
      </c>
      <c r="O2409" s="31" t="n">
        <v>52675.33</v>
      </c>
      <c r="P2409" s="22" t="n">
        <v>1</v>
      </c>
      <c r="Q2409" s="22" t="n">
        <v>0</v>
      </c>
      <c r="R2409" s="22" t="n">
        <v>0</v>
      </c>
    </row>
    <row r="2410">
      <c r="A2410" s="22" t="n">
        <v>202002</v>
      </c>
      <c r="B2410" s="22" t="inlineStr">
        <is>
          <t>02/2020</t>
        </is>
      </c>
      <c r="C2410" s="22" t="n">
        <v>47</v>
      </c>
      <c r="D2410" s="22" t="inlineStr">
        <is>
          <t>S47</t>
        </is>
      </c>
      <c r="E2410" s="22" t="inlineStr">
        <is>
          <t>Nexa Hawaii (S47)</t>
        </is>
      </c>
      <c r="F2410" s="22" t="inlineStr">
        <is>
          <t>Mỹ</t>
        </is>
      </c>
      <c r="G2410" s="22" t="inlineStr">
        <is>
          <t>POS</t>
        </is>
      </c>
      <c r="H2410" s="31" t="n">
        <v>62040.71</v>
      </c>
      <c r="I2410" s="31" t="n">
        <v>0</v>
      </c>
      <c r="J2410" s="31" t="n">
        <v>62040.71</v>
      </c>
      <c r="K2410" s="31" t="n">
        <v>758</v>
      </c>
      <c r="L2410" s="32" t="n">
        <v>35</v>
      </c>
      <c r="M2410" s="32" t="n">
        <v>226</v>
      </c>
      <c r="N2410" s="31" t="n">
        <v>61282.71</v>
      </c>
      <c r="O2410" s="31" t="n">
        <v>62040.71</v>
      </c>
      <c r="P2410" s="22" t="n">
        <v>0</v>
      </c>
      <c r="Q2410" s="22" t="n">
        <v>0</v>
      </c>
      <c r="R2410" s="22" t="n">
        <v>1</v>
      </c>
    </row>
    <row r="2411">
      <c r="A2411" s="22" t="n">
        <v>202002</v>
      </c>
      <c r="B2411" s="22" t="inlineStr">
        <is>
          <t>02/2020</t>
        </is>
      </c>
      <c r="C2411" s="22" t="n">
        <v>48</v>
      </c>
      <c r="D2411" s="22" t="inlineStr">
        <is>
          <t>S48</t>
        </is>
      </c>
      <c r="E2411" s="22" t="inlineStr">
        <is>
          <t>Nexa Idaho (S48)</t>
        </is>
      </c>
      <c r="F2411" s="22" t="inlineStr">
        <is>
          <t>Mỹ</t>
        </is>
      </c>
      <c r="G2411" s="22" t="inlineStr">
        <is>
          <t>POS</t>
        </is>
      </c>
      <c r="H2411" s="31" t="n">
        <v>33229.04</v>
      </c>
      <c r="I2411" s="31" t="n">
        <v>0</v>
      </c>
      <c r="J2411" s="31" t="n">
        <v>33229.04</v>
      </c>
      <c r="K2411" s="31" t="n">
        <v>933.96</v>
      </c>
      <c r="L2411" s="32" t="n">
        <v>23</v>
      </c>
      <c r="M2411" s="32" t="n">
        <v>146</v>
      </c>
      <c r="N2411" s="31" t="n">
        <v>34034.74</v>
      </c>
      <c r="O2411" s="31" t="n">
        <v>33229.04</v>
      </c>
      <c r="P2411" s="22" t="n">
        <v>1</v>
      </c>
      <c r="Q2411" s="22" t="n">
        <v>0</v>
      </c>
      <c r="R2411" s="22" t="n">
        <v>0</v>
      </c>
    </row>
    <row r="2412">
      <c r="A2412" s="22" t="n">
        <v>202002</v>
      </c>
      <c r="B2412" s="22" t="inlineStr">
        <is>
          <t>02/2020</t>
        </is>
      </c>
      <c r="C2412" s="22" t="n">
        <v>49</v>
      </c>
      <c r="D2412" s="22" t="inlineStr">
        <is>
          <t>S49</t>
        </is>
      </c>
      <c r="E2412" s="22" t="inlineStr">
        <is>
          <t>Nexa Iowa (S49)</t>
        </is>
      </c>
      <c r="F2412" s="22" t="inlineStr">
        <is>
          <t>Mỹ</t>
        </is>
      </c>
      <c r="G2412" s="22" t="inlineStr">
        <is>
          <t>POS</t>
        </is>
      </c>
      <c r="H2412" s="31" t="n">
        <v>32134.85</v>
      </c>
      <c r="I2412" s="31" t="n">
        <v>0</v>
      </c>
      <c r="J2412" s="31" t="n">
        <v>32134.85</v>
      </c>
      <c r="K2412" s="31" t="n">
        <v>556.1900000000001</v>
      </c>
      <c r="L2412" s="32" t="n">
        <v>19</v>
      </c>
      <c r="M2412" s="32" t="n">
        <v>146</v>
      </c>
      <c r="N2412" s="31" t="n">
        <v>31828.65</v>
      </c>
      <c r="O2412" s="31" t="n">
        <v>32134.85</v>
      </c>
      <c r="P2412" s="22" t="n">
        <v>0</v>
      </c>
      <c r="Q2412" s="22" t="n">
        <v>0</v>
      </c>
      <c r="R2412" s="22" t="n">
        <v>0</v>
      </c>
    </row>
    <row r="2413">
      <c r="A2413" s="22" t="n">
        <v>202002</v>
      </c>
      <c r="B2413" s="22" t="inlineStr">
        <is>
          <t>02/2020</t>
        </is>
      </c>
      <c r="C2413" s="22" t="n">
        <v>50</v>
      </c>
      <c r="D2413" s="22" t="inlineStr">
        <is>
          <t>S50</t>
        </is>
      </c>
      <c r="E2413" s="22" t="inlineStr">
        <is>
          <t>Nexa Kansas (S50)</t>
        </is>
      </c>
      <c r="F2413" s="22" t="inlineStr">
        <is>
          <t>Mỹ</t>
        </is>
      </c>
      <c r="G2413" s="22" t="inlineStr">
        <is>
          <t>POS</t>
        </is>
      </c>
      <c r="H2413" s="31" t="n">
        <v>51153.91</v>
      </c>
      <c r="I2413" s="31" t="n">
        <v>0</v>
      </c>
      <c r="J2413" s="31" t="n">
        <v>51153.91</v>
      </c>
      <c r="K2413" s="31" t="n">
        <v>63.74</v>
      </c>
      <c r="L2413" s="32" t="n">
        <v>23</v>
      </c>
      <c r="M2413" s="32" t="n">
        <v>167</v>
      </c>
      <c r="N2413" s="31" t="n">
        <v>51090.17</v>
      </c>
      <c r="O2413" s="31" t="n">
        <v>51153.91</v>
      </c>
      <c r="P2413" s="22" t="n">
        <v>0</v>
      </c>
      <c r="Q2413" s="22" t="n">
        <v>0</v>
      </c>
      <c r="R2413" s="22" t="n">
        <v>0</v>
      </c>
    </row>
    <row r="2414">
      <c r="A2414" s="22" t="n">
        <v>202002</v>
      </c>
      <c r="B2414" s="22" t="inlineStr">
        <is>
          <t>02/2020</t>
        </is>
      </c>
      <c r="C2414" s="22" t="n">
        <v>51</v>
      </c>
      <c r="D2414" s="22" t="inlineStr">
        <is>
          <t>S51</t>
        </is>
      </c>
      <c r="E2414" s="22" t="inlineStr">
        <is>
          <t>Nexa Maine (S51)</t>
        </is>
      </c>
      <c r="F2414" s="22" t="inlineStr">
        <is>
          <t>Mỹ</t>
        </is>
      </c>
      <c r="G2414" s="22" t="inlineStr">
        <is>
          <t>POS</t>
        </is>
      </c>
      <c r="H2414" s="31" t="n">
        <v>52277.6</v>
      </c>
      <c r="I2414" s="31" t="n">
        <v>0</v>
      </c>
      <c r="J2414" s="31" t="n">
        <v>52277.6</v>
      </c>
      <c r="K2414" s="31" t="n">
        <v>57.32</v>
      </c>
      <c r="L2414" s="32" t="n">
        <v>29</v>
      </c>
      <c r="M2414" s="32" t="n">
        <v>248</v>
      </c>
      <c r="N2414" s="31" t="n">
        <v>52220.28</v>
      </c>
      <c r="O2414" s="31" t="n">
        <v>52277.6</v>
      </c>
      <c r="P2414" s="22" t="n">
        <v>0</v>
      </c>
      <c r="Q2414" s="22" t="n">
        <v>0</v>
      </c>
      <c r="R2414" s="22" t="n">
        <v>0</v>
      </c>
    </row>
    <row r="2415">
      <c r="A2415" s="22" t="n">
        <v>202002</v>
      </c>
      <c r="B2415" s="22" t="inlineStr">
        <is>
          <t>02/2020</t>
        </is>
      </c>
      <c r="C2415" s="22" t="n">
        <v>53</v>
      </c>
      <c r="D2415" s="22" t="inlineStr">
        <is>
          <t>S53</t>
        </is>
      </c>
      <c r="E2415" s="22" t="inlineStr">
        <is>
          <t>Nexa Montana (S53)</t>
        </is>
      </c>
      <c r="F2415" s="22" t="inlineStr">
        <is>
          <t>Mỹ</t>
        </is>
      </c>
      <c r="G2415" s="22" t="inlineStr">
        <is>
          <t>POS</t>
        </is>
      </c>
      <c r="H2415" s="31" t="n">
        <v>45986.26</v>
      </c>
      <c r="I2415" s="31" t="n">
        <v>0</v>
      </c>
      <c r="J2415" s="31" t="n">
        <v>45986.26</v>
      </c>
      <c r="K2415" s="31" t="n">
        <v>0</v>
      </c>
      <c r="L2415" s="32" t="n">
        <v>19</v>
      </c>
      <c r="M2415" s="32" t="n">
        <v>161</v>
      </c>
      <c r="N2415" s="31" t="n">
        <v>47270.96</v>
      </c>
      <c r="O2415" s="31" t="n">
        <v>45986.26</v>
      </c>
      <c r="P2415" s="22" t="n">
        <v>1</v>
      </c>
      <c r="Q2415" s="22" t="n">
        <v>0</v>
      </c>
      <c r="R2415" s="22" t="n">
        <v>0</v>
      </c>
    </row>
    <row r="2416">
      <c r="A2416" s="22" t="n">
        <v>202002</v>
      </c>
      <c r="B2416" s="22" t="inlineStr">
        <is>
          <t>02/2020</t>
        </is>
      </c>
      <c r="C2416" s="22" t="n">
        <v>54</v>
      </c>
      <c r="D2416" s="22" t="inlineStr">
        <is>
          <t>S54</t>
        </is>
      </c>
      <c r="E2416" s="22" t="inlineStr">
        <is>
          <t>Nexa Nebraska (S54)</t>
        </is>
      </c>
      <c r="F2416" s="22" t="inlineStr">
        <is>
          <t>Mỹ</t>
        </is>
      </c>
      <c r="G2416" s="22" t="inlineStr">
        <is>
          <t>POS</t>
        </is>
      </c>
      <c r="H2416" s="31" t="n">
        <v>40888.26</v>
      </c>
      <c r="I2416" s="31" t="n">
        <v>0</v>
      </c>
      <c r="J2416" s="31" t="n">
        <v>40888.26</v>
      </c>
      <c r="K2416" s="31" t="n">
        <v>553.9</v>
      </c>
      <c r="L2416" s="32" t="n">
        <v>20</v>
      </c>
      <c r="M2416" s="32" t="n">
        <v>181</v>
      </c>
      <c r="N2416" s="31" t="n">
        <v>40473.36</v>
      </c>
      <c r="O2416" s="31" t="n">
        <v>40888.26</v>
      </c>
      <c r="P2416" s="22" t="n">
        <v>0</v>
      </c>
      <c r="Q2416" s="22" t="n">
        <v>0</v>
      </c>
      <c r="R2416" s="22" t="n">
        <v>0</v>
      </c>
    </row>
    <row r="2417">
      <c r="A2417" s="22" t="n">
        <v>202002</v>
      </c>
      <c r="B2417" s="22" t="inlineStr">
        <is>
          <t>02/2020</t>
        </is>
      </c>
      <c r="C2417" s="22" t="n">
        <v>55</v>
      </c>
      <c r="D2417" s="22" t="inlineStr">
        <is>
          <t>S55</t>
        </is>
      </c>
      <c r="E2417" s="22" t="inlineStr">
        <is>
          <t>Nexa Nevada (S55)</t>
        </is>
      </c>
      <c r="F2417" s="22" t="inlineStr">
        <is>
          <t>Mỹ</t>
        </is>
      </c>
      <c r="G2417" s="22" t="inlineStr">
        <is>
          <t>POS</t>
        </is>
      </c>
      <c r="H2417" s="31" t="n">
        <v>59311.85</v>
      </c>
      <c r="I2417" s="31" t="n">
        <v>0</v>
      </c>
      <c r="J2417" s="31" t="n">
        <v>59311.85</v>
      </c>
      <c r="K2417" s="31" t="n">
        <v>1063.47</v>
      </c>
      <c r="L2417" s="32" t="n">
        <v>32</v>
      </c>
      <c r="M2417" s="32" t="n">
        <v>253</v>
      </c>
      <c r="N2417" s="31" t="n">
        <v>58498.37</v>
      </c>
      <c r="O2417" s="31" t="n">
        <v>59311.85</v>
      </c>
      <c r="P2417" s="22" t="n">
        <v>0</v>
      </c>
      <c r="Q2417" s="22" t="n">
        <v>0</v>
      </c>
      <c r="R2417" s="22" t="n">
        <v>0</v>
      </c>
    </row>
    <row r="2418">
      <c r="A2418" s="22" t="n">
        <v>202002</v>
      </c>
      <c r="B2418" s="22" t="inlineStr">
        <is>
          <t>02/2020</t>
        </is>
      </c>
      <c r="C2418" s="22" t="n">
        <v>56</v>
      </c>
      <c r="D2418" s="22" t="inlineStr">
        <is>
          <t>S56</t>
        </is>
      </c>
      <c r="E2418" s="22" t="inlineStr">
        <is>
          <t>Nexa New Hampshire (S56)</t>
        </is>
      </c>
      <c r="F2418" s="22" t="inlineStr">
        <is>
          <t>Mỹ</t>
        </is>
      </c>
      <c r="G2418" s="22" t="inlineStr">
        <is>
          <t>POS</t>
        </is>
      </c>
      <c r="H2418" s="31" t="n">
        <v>52974.93</v>
      </c>
      <c r="I2418" s="31" t="n">
        <v>0</v>
      </c>
      <c r="J2418" s="31" t="n">
        <v>52974.93</v>
      </c>
      <c r="K2418" s="31" t="n">
        <v>985.45</v>
      </c>
      <c r="L2418" s="32" t="n">
        <v>25</v>
      </c>
      <c r="M2418" s="32" t="n">
        <v>204</v>
      </c>
      <c r="N2418" s="31" t="n">
        <v>51989.48</v>
      </c>
      <c r="O2418" s="31" t="n">
        <v>52974.93</v>
      </c>
      <c r="P2418" s="22" t="n">
        <v>0</v>
      </c>
      <c r="Q2418" s="22" t="n">
        <v>0</v>
      </c>
      <c r="R2418" s="22" t="n">
        <v>0</v>
      </c>
    </row>
    <row r="2419">
      <c r="A2419" s="22" t="n">
        <v>202002</v>
      </c>
      <c r="B2419" s="22" t="inlineStr">
        <is>
          <t>02/2020</t>
        </is>
      </c>
      <c r="C2419" s="22" t="n">
        <v>57</v>
      </c>
      <c r="D2419" s="22" t="inlineStr">
        <is>
          <t>S57</t>
        </is>
      </c>
      <c r="E2419" s="22" t="inlineStr">
        <is>
          <t>Nexa New Mexico (S57)</t>
        </is>
      </c>
      <c r="F2419" s="22" t="inlineStr">
        <is>
          <t>Mỹ</t>
        </is>
      </c>
      <c r="G2419" s="22" t="inlineStr">
        <is>
          <t>POS</t>
        </is>
      </c>
      <c r="H2419" s="31" t="n">
        <v>90907.75</v>
      </c>
      <c r="I2419" s="31" t="n">
        <v>0</v>
      </c>
      <c r="J2419" s="31" t="n">
        <v>90907.75</v>
      </c>
      <c r="K2419" s="31" t="n">
        <v>0</v>
      </c>
      <c r="L2419" s="32" t="n">
        <v>34</v>
      </c>
      <c r="M2419" s="32" t="n">
        <v>217</v>
      </c>
      <c r="N2419" s="31" t="n">
        <v>90907.75</v>
      </c>
      <c r="O2419" s="31" t="n">
        <v>90907.75</v>
      </c>
      <c r="P2419" s="22" t="n">
        <v>0</v>
      </c>
      <c r="Q2419" s="22" t="n">
        <v>0</v>
      </c>
      <c r="R2419" s="22" t="n">
        <v>0</v>
      </c>
    </row>
    <row r="2420">
      <c r="A2420" s="22" t="n">
        <v>202002</v>
      </c>
      <c r="B2420" s="22" t="inlineStr">
        <is>
          <t>02/2020</t>
        </is>
      </c>
      <c r="C2420" s="22" t="n">
        <v>59</v>
      </c>
      <c r="D2420" s="22" t="inlineStr">
        <is>
          <t>S59</t>
        </is>
      </c>
      <c r="E2420" s="22" t="inlineStr">
        <is>
          <t>Nexa Oregon (S59)</t>
        </is>
      </c>
      <c r="F2420" s="22" t="inlineStr">
        <is>
          <t>Mỹ</t>
        </is>
      </c>
      <c r="G2420" s="22" t="inlineStr">
        <is>
          <t>POS</t>
        </is>
      </c>
      <c r="H2420" s="31" t="n">
        <v>42544.24</v>
      </c>
      <c r="I2420" s="31" t="n">
        <v>0</v>
      </c>
      <c r="J2420" s="31" t="n">
        <v>42544.24</v>
      </c>
      <c r="K2420" s="31" t="n">
        <v>560.99</v>
      </c>
      <c r="L2420" s="32" t="n">
        <v>31</v>
      </c>
      <c r="M2420" s="32" t="n">
        <v>238</v>
      </c>
      <c r="N2420" s="31" t="n">
        <v>41508.35</v>
      </c>
      <c r="O2420" s="31" t="n">
        <v>42544.24</v>
      </c>
      <c r="P2420" s="22" t="n">
        <v>1</v>
      </c>
      <c r="Q2420" s="22" t="n">
        <v>0</v>
      </c>
      <c r="R2420" s="22" t="n">
        <v>0</v>
      </c>
    </row>
    <row r="2421">
      <c r="A2421" s="22" t="n">
        <v>202002</v>
      </c>
      <c r="B2421" s="22" t="inlineStr">
        <is>
          <t>02/2020</t>
        </is>
      </c>
      <c r="C2421" s="22" t="n">
        <v>61</v>
      </c>
      <c r="D2421" s="22" t="inlineStr">
        <is>
          <t>S61</t>
        </is>
      </c>
      <c r="E2421" s="22" t="inlineStr">
        <is>
          <t>Nexa South Carolina (S61)</t>
        </is>
      </c>
      <c r="F2421" s="22" t="inlineStr">
        <is>
          <t>Mỹ</t>
        </is>
      </c>
      <c r="G2421" s="22" t="inlineStr">
        <is>
          <t>POS</t>
        </is>
      </c>
      <c r="H2421" s="31" t="n">
        <v>52347.61</v>
      </c>
      <c r="I2421" s="31" t="n">
        <v>0</v>
      </c>
      <c r="J2421" s="31" t="n">
        <v>52347.61</v>
      </c>
      <c r="K2421" s="31" t="n">
        <v>1704</v>
      </c>
      <c r="L2421" s="32" t="n">
        <v>32</v>
      </c>
      <c r="M2421" s="32" t="n">
        <v>258</v>
      </c>
      <c r="N2421" s="31" t="n">
        <v>50643.61</v>
      </c>
      <c r="O2421" s="31" t="n">
        <v>52347.61</v>
      </c>
      <c r="P2421" s="22" t="n">
        <v>0</v>
      </c>
      <c r="Q2421" s="22" t="n">
        <v>0</v>
      </c>
      <c r="R2421" s="22" t="n">
        <v>0</v>
      </c>
    </row>
    <row r="2422">
      <c r="A2422" s="22" t="n">
        <v>202002</v>
      </c>
      <c r="B2422" s="22" t="inlineStr">
        <is>
          <t>02/2020</t>
        </is>
      </c>
      <c r="C2422" s="22" t="n">
        <v>62</v>
      </c>
      <c r="D2422" s="22" t="inlineStr">
        <is>
          <t>S62</t>
        </is>
      </c>
      <c r="E2422" s="22" t="inlineStr">
        <is>
          <t>Nexa South Dakota (S62)</t>
        </is>
      </c>
      <c r="F2422" s="22" t="inlineStr">
        <is>
          <t>Mỹ</t>
        </is>
      </c>
      <c r="G2422" s="22" t="inlineStr">
        <is>
          <t>POS</t>
        </is>
      </c>
      <c r="H2422" s="31" t="n">
        <v>24291.49</v>
      </c>
      <c r="I2422" s="31" t="n">
        <v>0</v>
      </c>
      <c r="J2422" s="31" t="n">
        <v>24291.49</v>
      </c>
      <c r="K2422" s="31" t="n">
        <v>1774.99</v>
      </c>
      <c r="L2422" s="32" t="n">
        <v>19</v>
      </c>
      <c r="M2422" s="32" t="n">
        <v>121</v>
      </c>
      <c r="N2422" s="31" t="n">
        <v>22516.5</v>
      </c>
      <c r="O2422" s="31" t="n">
        <v>24291.49</v>
      </c>
      <c r="P2422" s="22" t="n">
        <v>0</v>
      </c>
      <c r="Q2422" s="22" t="n">
        <v>0</v>
      </c>
      <c r="R2422" s="22" t="n">
        <v>0</v>
      </c>
    </row>
    <row r="2423">
      <c r="A2423" s="22" t="n">
        <v>202002</v>
      </c>
      <c r="B2423" s="22" t="inlineStr">
        <is>
          <t>02/2020</t>
        </is>
      </c>
      <c r="C2423" s="22" t="n">
        <v>64</v>
      </c>
      <c r="D2423" s="22" t="inlineStr">
        <is>
          <t>S64</t>
        </is>
      </c>
      <c r="E2423" s="22" t="inlineStr">
        <is>
          <t>Nexa Washington DC (S64)</t>
        </is>
      </c>
      <c r="F2423" s="22" t="inlineStr">
        <is>
          <t>Mỹ</t>
        </is>
      </c>
      <c r="G2423" s="22" t="inlineStr">
        <is>
          <t>POS</t>
        </is>
      </c>
      <c r="H2423" s="31" t="n">
        <v>82409.88</v>
      </c>
      <c r="I2423" s="31" t="n">
        <v>0</v>
      </c>
      <c r="J2423" s="31" t="n">
        <v>82409.88</v>
      </c>
      <c r="K2423" s="31" t="n">
        <v>1220.33</v>
      </c>
      <c r="L2423" s="32" t="n">
        <v>29</v>
      </c>
      <c r="M2423" s="32" t="n">
        <v>183</v>
      </c>
      <c r="N2423" s="31" t="n">
        <v>81189.55</v>
      </c>
      <c r="O2423" s="31" t="n">
        <v>82409.88</v>
      </c>
      <c r="P2423" s="22" t="n">
        <v>0</v>
      </c>
      <c r="Q2423" s="22" t="n">
        <v>0</v>
      </c>
      <c r="R2423" s="22" t="n">
        <v>0</v>
      </c>
    </row>
    <row r="2424">
      <c r="A2424" s="22" t="n">
        <v>202002</v>
      </c>
      <c r="B2424" s="22" t="inlineStr">
        <is>
          <t>02/2020</t>
        </is>
      </c>
      <c r="C2424" s="22" t="n">
        <v>65</v>
      </c>
      <c r="D2424" s="22" t="inlineStr">
        <is>
          <t>S65</t>
        </is>
      </c>
      <c r="E2424" s="22" t="inlineStr">
        <is>
          <t>Nexa West Virginia (S65)</t>
        </is>
      </c>
      <c r="F2424" s="22" t="inlineStr">
        <is>
          <t>Mỹ</t>
        </is>
      </c>
      <c r="G2424" s="22" t="inlineStr">
        <is>
          <t>POS</t>
        </is>
      </c>
      <c r="H2424" s="31" t="n">
        <v>29831.43</v>
      </c>
      <c r="I2424" s="31" t="n">
        <v>0</v>
      </c>
      <c r="J2424" s="31" t="n">
        <v>29831.43</v>
      </c>
      <c r="K2424" s="31" t="n">
        <v>666.27</v>
      </c>
      <c r="L2424" s="32" t="n">
        <v>21</v>
      </c>
      <c r="M2424" s="32" t="n">
        <v>127</v>
      </c>
      <c r="N2424" s="31" t="n">
        <v>29165.16</v>
      </c>
      <c r="O2424" s="31" t="n">
        <v>29831.43</v>
      </c>
      <c r="P2424" s="22" t="n">
        <v>0</v>
      </c>
      <c r="Q2424" s="22" t="n">
        <v>0</v>
      </c>
      <c r="R2424" s="22" t="n">
        <v>1</v>
      </c>
    </row>
    <row r="2425">
      <c r="A2425" s="22" t="n">
        <v>202002</v>
      </c>
      <c r="B2425" s="22" t="inlineStr">
        <is>
          <t>02/2020</t>
        </is>
      </c>
      <c r="C2425" s="22" t="n">
        <v>66</v>
      </c>
      <c r="D2425" s="22" t="inlineStr">
        <is>
          <t>S66</t>
        </is>
      </c>
      <c r="E2425" s="22" t="inlineStr">
        <is>
          <t>Nexa Wyoming (S66)</t>
        </is>
      </c>
      <c r="F2425" s="22" t="inlineStr">
        <is>
          <t>Mỹ</t>
        </is>
      </c>
      <c r="G2425" s="22" t="inlineStr">
        <is>
          <t>POS</t>
        </is>
      </c>
      <c r="H2425" s="31" t="n">
        <v>42686.39</v>
      </c>
      <c r="I2425" s="31" t="n">
        <v>0</v>
      </c>
      <c r="J2425" s="31" t="n">
        <v>42686.39</v>
      </c>
      <c r="K2425" s="31" t="n">
        <v>0</v>
      </c>
      <c r="L2425" s="32" t="n">
        <v>24</v>
      </c>
      <c r="M2425" s="32" t="n">
        <v>147</v>
      </c>
      <c r="N2425" s="31" t="n">
        <v>42686.39</v>
      </c>
      <c r="O2425" s="31" t="n">
        <v>42686.39</v>
      </c>
      <c r="P2425" s="22" t="n">
        <v>1</v>
      </c>
      <c r="Q2425" s="22" t="n">
        <v>0</v>
      </c>
      <c r="R2425" s="22" t="n">
        <v>0</v>
      </c>
    </row>
    <row r="2426">
      <c r="A2426" s="22" t="n">
        <v>202003</v>
      </c>
      <c r="B2426" s="22" t="inlineStr">
        <is>
          <t>03/2020</t>
        </is>
      </c>
      <c r="C2426" s="22" t="n">
        <v>0</v>
      </c>
      <c r="D2426" s="22" t="inlineStr">
        <is>
          <t>ONL</t>
        </is>
      </c>
      <c r="E2426" s="22" t="inlineStr">
        <is>
          <t>Nexa Online (website/app)</t>
        </is>
      </c>
      <c r="F2426" s="22" t="inlineStr">
        <is>
          <t>Online</t>
        </is>
      </c>
      <c r="G2426" s="22" t="inlineStr">
        <is>
          <t>ONLINE</t>
        </is>
      </c>
      <c r="H2426" s="31" t="n">
        <v>176377</v>
      </c>
      <c r="I2426" s="31" t="n">
        <v>2364.48</v>
      </c>
      <c r="J2426" s="31" t="n">
        <v>174012.52</v>
      </c>
      <c r="K2426" s="31" t="n">
        <v>10038.7</v>
      </c>
      <c r="L2426" s="32" t="n">
        <v>83</v>
      </c>
      <c r="M2426" s="32" t="n">
        <v>687</v>
      </c>
      <c r="N2426" s="31" t="n">
        <v>231091.81</v>
      </c>
      <c r="O2426" s="31" t="n">
        <v>240260.51</v>
      </c>
      <c r="P2426" s="22" t="n">
        <v>2</v>
      </c>
      <c r="Q2426" s="22" t="n">
        <v>0</v>
      </c>
      <c r="R2426" s="22" t="n">
        <v>1</v>
      </c>
    </row>
    <row r="2427">
      <c r="A2427" s="22" t="n">
        <v>202003</v>
      </c>
      <c r="B2427" s="22" t="inlineStr">
        <is>
          <t>03/2020</t>
        </is>
      </c>
      <c r="C2427" s="22" t="n">
        <v>1</v>
      </c>
      <c r="D2427" s="22" t="inlineStr">
        <is>
          <t>S01</t>
        </is>
      </c>
      <c r="E2427" s="22" t="inlineStr">
        <is>
          <t>Nexa Australian Capital Territory (S01)</t>
        </is>
      </c>
      <c r="F2427" s="22" t="inlineStr">
        <is>
          <t>Úc</t>
        </is>
      </c>
      <c r="G2427" s="22" t="inlineStr">
        <is>
          <t>POS</t>
        </is>
      </c>
      <c r="H2427" s="31" t="n">
        <v>1719.97</v>
      </c>
      <c r="I2427" s="31" t="n">
        <v>0</v>
      </c>
      <c r="J2427" s="31" t="n">
        <v>1719.97</v>
      </c>
      <c r="K2427" s="31" t="n">
        <v>0</v>
      </c>
      <c r="L2427" s="32" t="n">
        <v>1</v>
      </c>
      <c r="M2427" s="32" t="n">
        <v>8</v>
      </c>
      <c r="N2427" s="31" t="n">
        <v>1719.97</v>
      </c>
      <c r="O2427" s="31" t="n">
        <v>1719.97</v>
      </c>
      <c r="P2427" s="22" t="n">
        <v>0</v>
      </c>
      <c r="Q2427" s="22" t="n">
        <v>0</v>
      </c>
      <c r="R2427" s="22" t="n">
        <v>0</v>
      </c>
    </row>
    <row r="2428">
      <c r="A2428" s="22" t="n">
        <v>202003</v>
      </c>
      <c r="B2428" s="22" t="inlineStr">
        <is>
          <t>03/2020</t>
        </is>
      </c>
      <c r="C2428" s="22" t="n">
        <v>4</v>
      </c>
      <c r="D2428" s="22" t="inlineStr">
        <is>
          <t>S04</t>
        </is>
      </c>
      <c r="E2428" s="22" t="inlineStr">
        <is>
          <t>Nexa Tasmania (S04)</t>
        </is>
      </c>
      <c r="F2428" s="22" t="inlineStr">
        <is>
          <t>Úc</t>
        </is>
      </c>
      <c r="G2428" s="22" t="inlineStr">
        <is>
          <t>POS</t>
        </is>
      </c>
      <c r="H2428" s="31" t="n">
        <v>319.96</v>
      </c>
      <c r="I2428" s="31" t="n">
        <v>11</v>
      </c>
      <c r="J2428" s="31" t="n">
        <v>308.96</v>
      </c>
      <c r="K2428" s="31" t="n">
        <v>0</v>
      </c>
      <c r="L2428" s="32" t="n">
        <v>2</v>
      </c>
      <c r="M2428" s="32" t="n">
        <v>4</v>
      </c>
      <c r="N2428" s="31" t="n">
        <v>308.96</v>
      </c>
      <c r="O2428" s="31" t="n">
        <v>308.96</v>
      </c>
      <c r="P2428" s="22" t="n">
        <v>1</v>
      </c>
      <c r="Q2428" s="22" t="n">
        <v>0</v>
      </c>
      <c r="R2428" s="22" t="n">
        <v>0</v>
      </c>
    </row>
    <row r="2429">
      <c r="A2429" s="22" t="n">
        <v>202003</v>
      </c>
      <c r="B2429" s="22" t="inlineStr">
        <is>
          <t>03/2020</t>
        </is>
      </c>
      <c r="C2429" s="22" t="n">
        <v>5</v>
      </c>
      <c r="D2429" s="22" t="inlineStr">
        <is>
          <t>S05</t>
        </is>
      </c>
      <c r="E2429" s="22" t="inlineStr">
        <is>
          <t>Nexa Victoria (S05)</t>
        </is>
      </c>
      <c r="F2429" s="22" t="inlineStr">
        <is>
          <t>Úc</t>
        </is>
      </c>
      <c r="G2429" s="22" t="inlineStr">
        <is>
          <t>POS</t>
        </is>
      </c>
      <c r="H2429" s="31" t="n">
        <v>2820.92</v>
      </c>
      <c r="I2429" s="31" t="n">
        <v>0</v>
      </c>
      <c r="J2429" s="31" t="n">
        <v>2820.92</v>
      </c>
      <c r="K2429" s="31" t="n">
        <v>4604.82</v>
      </c>
      <c r="L2429" s="32" t="n">
        <v>3</v>
      </c>
      <c r="M2429" s="32" t="n">
        <v>9</v>
      </c>
      <c r="N2429" s="31" t="n">
        <v>-1783.9</v>
      </c>
      <c r="O2429" s="31" t="n">
        <v>2820.92</v>
      </c>
      <c r="P2429" s="22" t="n">
        <v>0</v>
      </c>
      <c r="Q2429" s="22" t="n">
        <v>0</v>
      </c>
      <c r="R2429" s="22" t="n">
        <v>0</v>
      </c>
    </row>
    <row r="2430">
      <c r="A2430" s="22" t="n">
        <v>202003</v>
      </c>
      <c r="B2430" s="22" t="inlineStr">
        <is>
          <t>03/2020</t>
        </is>
      </c>
      <c r="C2430" s="22" t="n">
        <v>6</v>
      </c>
      <c r="D2430" s="22" t="inlineStr">
        <is>
          <t>S06</t>
        </is>
      </c>
      <c r="E2430" s="22" t="inlineStr">
        <is>
          <t>Nexa Western Australia (S06)</t>
        </is>
      </c>
      <c r="F2430" s="22" t="inlineStr">
        <is>
          <t>Úc</t>
        </is>
      </c>
      <c r="G2430" s="22" t="inlineStr">
        <is>
          <t>POS</t>
        </is>
      </c>
      <c r="H2430" s="31" t="n">
        <v>0</v>
      </c>
      <c r="I2430" s="31" t="n">
        <v>0</v>
      </c>
      <c r="J2430" s="31" t="n">
        <v>0</v>
      </c>
      <c r="K2430" s="31" t="n">
        <v>0</v>
      </c>
      <c r="L2430" s="32" t="n">
        <v>0</v>
      </c>
      <c r="M2430" s="32" t="n">
        <v>0</v>
      </c>
      <c r="N2430" s="31" t="n">
        <v>-29.97</v>
      </c>
      <c r="O2430" s="31" t="n">
        <v>0</v>
      </c>
      <c r="P2430" s="22" t="n">
        <v>0</v>
      </c>
      <c r="Q2430" s="22" t="n">
        <v>0</v>
      </c>
      <c r="R2430" s="22" t="n">
        <v>0</v>
      </c>
    </row>
    <row r="2431">
      <c r="A2431" s="22" t="n">
        <v>202003</v>
      </c>
      <c r="B2431" s="22" t="inlineStr">
        <is>
          <t>03/2020</t>
        </is>
      </c>
      <c r="C2431" s="22" t="n">
        <v>8</v>
      </c>
      <c r="D2431" s="22" t="inlineStr">
        <is>
          <t>S08</t>
        </is>
      </c>
      <c r="E2431" s="22" t="inlineStr">
        <is>
          <t>Nexa Newfoundland and Labrador (S08)</t>
        </is>
      </c>
      <c r="F2431" s="22" t="inlineStr">
        <is>
          <t>Canada</t>
        </is>
      </c>
      <c r="G2431" s="22" t="inlineStr">
        <is>
          <t>POS</t>
        </is>
      </c>
      <c r="H2431" s="31" t="n">
        <v>21421.43</v>
      </c>
      <c r="I2431" s="31" t="n">
        <v>11.5</v>
      </c>
      <c r="J2431" s="31" t="n">
        <v>21409.93</v>
      </c>
      <c r="K2431" s="31" t="n">
        <v>262.48</v>
      </c>
      <c r="L2431" s="32" t="n">
        <v>7</v>
      </c>
      <c r="M2431" s="32" t="n">
        <v>49</v>
      </c>
      <c r="N2431" s="31" t="n">
        <v>21147.45</v>
      </c>
      <c r="O2431" s="31" t="n">
        <v>21409.93</v>
      </c>
      <c r="P2431" s="22" t="n">
        <v>0</v>
      </c>
      <c r="Q2431" s="22" t="n">
        <v>0</v>
      </c>
      <c r="R2431" s="22" t="n">
        <v>0</v>
      </c>
    </row>
    <row r="2432">
      <c r="A2432" s="22" t="n">
        <v>202003</v>
      </c>
      <c r="B2432" s="22" t="inlineStr">
        <is>
          <t>03/2020</t>
        </is>
      </c>
      <c r="C2432" s="22" t="n">
        <v>9</v>
      </c>
      <c r="D2432" s="22" t="inlineStr">
        <is>
          <t>S09</t>
        </is>
      </c>
      <c r="E2432" s="22" t="inlineStr">
        <is>
          <t>Nexa Northwest Territories (S09)</t>
        </is>
      </c>
      <c r="F2432" s="22" t="inlineStr">
        <is>
          <t>Canada</t>
        </is>
      </c>
      <c r="G2432" s="22" t="inlineStr">
        <is>
          <t>POS</t>
        </is>
      </c>
      <c r="H2432" s="31" t="n">
        <v>10684.99</v>
      </c>
      <c r="I2432" s="31" t="n">
        <v>0</v>
      </c>
      <c r="J2432" s="31" t="n">
        <v>10684.99</v>
      </c>
      <c r="K2432" s="31" t="n">
        <v>2598</v>
      </c>
      <c r="L2432" s="32" t="n">
        <v>8</v>
      </c>
      <c r="M2432" s="32" t="n">
        <v>45</v>
      </c>
      <c r="N2432" s="31" t="n">
        <v>8086.99</v>
      </c>
      <c r="O2432" s="31" t="n">
        <v>10684.99</v>
      </c>
      <c r="P2432" s="22" t="n">
        <v>0</v>
      </c>
      <c r="Q2432" s="22" t="n">
        <v>0</v>
      </c>
      <c r="R2432" s="22" t="n">
        <v>0</v>
      </c>
    </row>
    <row r="2433">
      <c r="A2433" s="22" t="n">
        <v>202003</v>
      </c>
      <c r="B2433" s="22" t="inlineStr">
        <is>
          <t>03/2020</t>
        </is>
      </c>
      <c r="C2433" s="22" t="n">
        <v>10</v>
      </c>
      <c r="D2433" s="22" t="inlineStr">
        <is>
          <t>S10</t>
        </is>
      </c>
      <c r="E2433" s="22" t="inlineStr">
        <is>
          <t>Nexa Nunavut (S10)</t>
        </is>
      </c>
      <c r="F2433" s="22" t="inlineStr">
        <is>
          <t>Canada</t>
        </is>
      </c>
      <c r="G2433" s="22" t="inlineStr">
        <is>
          <t>POS</t>
        </is>
      </c>
      <c r="H2433" s="31" t="n">
        <v>18798.08</v>
      </c>
      <c r="I2433" s="31" t="n">
        <v>0</v>
      </c>
      <c r="J2433" s="31" t="n">
        <v>18798.08</v>
      </c>
      <c r="K2433" s="31" t="n">
        <v>2014</v>
      </c>
      <c r="L2433" s="32" t="n">
        <v>9</v>
      </c>
      <c r="M2433" s="32" t="n">
        <v>91</v>
      </c>
      <c r="N2433" s="31" t="n">
        <v>16784.08</v>
      </c>
      <c r="O2433" s="31" t="n">
        <v>18798.08</v>
      </c>
      <c r="P2433" s="22" t="n">
        <v>0</v>
      </c>
      <c r="Q2433" s="22" t="n">
        <v>0</v>
      </c>
      <c r="R2433" s="22" t="n">
        <v>0</v>
      </c>
    </row>
    <row r="2434">
      <c r="A2434" s="22" t="n">
        <v>202003</v>
      </c>
      <c r="B2434" s="22" t="inlineStr">
        <is>
          <t>03/2020</t>
        </is>
      </c>
      <c r="C2434" s="22" t="n">
        <v>12</v>
      </c>
      <c r="D2434" s="22" t="inlineStr">
        <is>
          <t>S12</t>
        </is>
      </c>
      <c r="E2434" s="22" t="inlineStr">
        <is>
          <t>Nexa Basse-Normandie (S12)</t>
        </is>
      </c>
      <c r="F2434" s="22" t="inlineStr">
        <is>
          <t>Pháp</t>
        </is>
      </c>
      <c r="G2434" s="22" t="inlineStr">
        <is>
          <t>POS</t>
        </is>
      </c>
      <c r="H2434" s="31" t="n">
        <v>369</v>
      </c>
      <c r="I2434" s="31" t="n">
        <v>0</v>
      </c>
      <c r="J2434" s="31" t="n">
        <v>369</v>
      </c>
      <c r="K2434" s="31" t="n">
        <v>921.89</v>
      </c>
      <c r="L2434" s="32" t="n">
        <v>1</v>
      </c>
      <c r="M2434" s="32" t="n">
        <v>1</v>
      </c>
      <c r="N2434" s="31" t="n">
        <v>-552.89</v>
      </c>
      <c r="O2434" s="31" t="n">
        <v>369</v>
      </c>
      <c r="P2434" s="22" t="n">
        <v>0</v>
      </c>
      <c r="Q2434" s="22" t="n">
        <v>0</v>
      </c>
      <c r="R2434" s="22" t="n">
        <v>0</v>
      </c>
    </row>
    <row r="2435">
      <c r="A2435" s="22" t="n">
        <v>202003</v>
      </c>
      <c r="B2435" s="22" t="inlineStr">
        <is>
          <t>03/2020</t>
        </is>
      </c>
      <c r="C2435" s="22" t="n">
        <v>13</v>
      </c>
      <c r="D2435" s="22" t="inlineStr">
        <is>
          <t>S13</t>
        </is>
      </c>
      <c r="E2435" s="22" t="inlineStr">
        <is>
          <t>Nexa Corse (S13)</t>
        </is>
      </c>
      <c r="F2435" s="22" t="inlineStr">
        <is>
          <t>Pháp</t>
        </is>
      </c>
      <c r="G2435" s="22" t="inlineStr">
        <is>
          <t>POS</t>
        </is>
      </c>
      <c r="H2435" s="31" t="n">
        <v>3052.98</v>
      </c>
      <c r="I2435" s="31" t="n">
        <v>0</v>
      </c>
      <c r="J2435" s="31" t="n">
        <v>3052.98</v>
      </c>
      <c r="K2435" s="31" t="n">
        <v>0</v>
      </c>
      <c r="L2435" s="32" t="n">
        <v>2</v>
      </c>
      <c r="M2435" s="32" t="n">
        <v>7</v>
      </c>
      <c r="N2435" s="31" t="n">
        <v>3052.98</v>
      </c>
      <c r="O2435" s="31" t="n">
        <v>3052.98</v>
      </c>
      <c r="P2435" s="22" t="n">
        <v>0</v>
      </c>
      <c r="Q2435" s="22" t="n">
        <v>0</v>
      </c>
      <c r="R2435" s="22" t="n">
        <v>0</v>
      </c>
    </row>
    <row r="2436">
      <c r="A2436" s="22" t="n">
        <v>202003</v>
      </c>
      <c r="B2436" s="22" t="inlineStr">
        <is>
          <t>03/2020</t>
        </is>
      </c>
      <c r="C2436" s="22" t="n">
        <v>15</v>
      </c>
      <c r="D2436" s="22" t="inlineStr">
        <is>
          <t>S15</t>
        </is>
      </c>
      <c r="E2436" s="22" t="inlineStr">
        <is>
          <t>Nexa La Réunion (S15)</t>
        </is>
      </c>
      <c r="F2436" s="22" t="inlineStr">
        <is>
          <t>Pháp</t>
        </is>
      </c>
      <c r="G2436" s="22" t="inlineStr">
        <is>
          <t>POS</t>
        </is>
      </c>
      <c r="H2436" s="31" t="n">
        <v>4065.94</v>
      </c>
      <c r="I2436" s="31" t="n">
        <v>0</v>
      </c>
      <c r="J2436" s="31" t="n">
        <v>4065.94</v>
      </c>
      <c r="K2436" s="31" t="n">
        <v>0</v>
      </c>
      <c r="L2436" s="32" t="n">
        <v>2</v>
      </c>
      <c r="M2436" s="32" t="n">
        <v>14</v>
      </c>
      <c r="N2436" s="31" t="n">
        <v>4065.94</v>
      </c>
      <c r="O2436" s="31" t="n">
        <v>4065.94</v>
      </c>
      <c r="P2436" s="22" t="n">
        <v>0</v>
      </c>
      <c r="Q2436" s="22" t="n">
        <v>0</v>
      </c>
      <c r="R2436" s="22" t="n">
        <v>0</v>
      </c>
    </row>
    <row r="2437">
      <c r="A2437" s="22" t="n">
        <v>202003</v>
      </c>
      <c r="B2437" s="22" t="inlineStr">
        <is>
          <t>03/2020</t>
        </is>
      </c>
      <c r="C2437" s="22" t="n">
        <v>17</v>
      </c>
      <c r="D2437" s="22" t="inlineStr">
        <is>
          <t>S17</t>
        </is>
      </c>
      <c r="E2437" s="22" t="inlineStr">
        <is>
          <t>Nexa Martinique (S17)</t>
        </is>
      </c>
      <c r="F2437" s="22" t="inlineStr">
        <is>
          <t>Pháp</t>
        </is>
      </c>
      <c r="G2437" s="22" t="inlineStr">
        <is>
          <t>POS</t>
        </is>
      </c>
      <c r="H2437" s="31" t="n">
        <v>1629.9</v>
      </c>
      <c r="I2437" s="31" t="n">
        <v>0</v>
      </c>
      <c r="J2437" s="31" t="n">
        <v>1629.9</v>
      </c>
      <c r="K2437" s="31" t="n">
        <v>0</v>
      </c>
      <c r="L2437" s="32" t="n">
        <v>1</v>
      </c>
      <c r="M2437" s="32" t="n">
        <v>5</v>
      </c>
      <c r="N2437" s="31" t="n">
        <v>1629.9</v>
      </c>
      <c r="O2437" s="31" t="n">
        <v>1629.9</v>
      </c>
      <c r="P2437" s="22" t="n">
        <v>0</v>
      </c>
      <c r="Q2437" s="22" t="n">
        <v>0</v>
      </c>
      <c r="R2437" s="22" t="n">
        <v>0</v>
      </c>
    </row>
    <row r="2438">
      <c r="A2438" s="22" t="n">
        <v>202003</v>
      </c>
      <c r="B2438" s="22" t="inlineStr">
        <is>
          <t>03/2020</t>
        </is>
      </c>
      <c r="C2438" s="22" t="n">
        <v>18</v>
      </c>
      <c r="D2438" s="22" t="inlineStr">
        <is>
          <t>S18</t>
        </is>
      </c>
      <c r="E2438" s="22" t="inlineStr">
        <is>
          <t>Nexa Mayotte (S18)</t>
        </is>
      </c>
      <c r="F2438" s="22" t="inlineStr">
        <is>
          <t>Pháp</t>
        </is>
      </c>
      <c r="G2438" s="22" t="inlineStr">
        <is>
          <t>POS</t>
        </is>
      </c>
      <c r="H2438" s="31" t="n">
        <v>1608.76</v>
      </c>
      <c r="I2438" s="31" t="n">
        <v>0</v>
      </c>
      <c r="J2438" s="31" t="n">
        <v>1608.76</v>
      </c>
      <c r="K2438" s="31" t="n">
        <v>979.6900000000001</v>
      </c>
      <c r="L2438" s="32" t="n">
        <v>1</v>
      </c>
      <c r="M2438" s="32" t="n">
        <v>9</v>
      </c>
      <c r="N2438" s="31" t="n">
        <v>629.0700000000001</v>
      </c>
      <c r="O2438" s="31" t="n">
        <v>1608.76</v>
      </c>
      <c r="P2438" s="22" t="n">
        <v>0</v>
      </c>
      <c r="Q2438" s="22" t="n">
        <v>0</v>
      </c>
      <c r="R2438" s="22" t="n">
        <v>0</v>
      </c>
    </row>
    <row r="2439">
      <c r="A2439" s="22" t="n">
        <v>202003</v>
      </c>
      <c r="B2439" s="22" t="inlineStr">
        <is>
          <t>03/2020</t>
        </is>
      </c>
      <c r="C2439" s="22" t="n">
        <v>19</v>
      </c>
      <c r="D2439" s="22" t="inlineStr">
        <is>
          <t>S19</t>
        </is>
      </c>
      <c r="E2439" s="22" t="inlineStr">
        <is>
          <t>Nexa Berlin (S19)</t>
        </is>
      </c>
      <c r="F2439" s="22" t="inlineStr">
        <is>
          <t>Đức</t>
        </is>
      </c>
      <c r="G2439" s="22" t="inlineStr">
        <is>
          <t>POS</t>
        </is>
      </c>
      <c r="H2439" s="31" t="n">
        <v>699.95</v>
      </c>
      <c r="I2439" s="31" t="n">
        <v>0</v>
      </c>
      <c r="J2439" s="31" t="n">
        <v>699.95</v>
      </c>
      <c r="K2439" s="31" t="n">
        <v>290</v>
      </c>
      <c r="L2439" s="32" t="n">
        <v>2</v>
      </c>
      <c r="M2439" s="32" t="n">
        <v>6</v>
      </c>
      <c r="N2439" s="31" t="n">
        <v>409.95</v>
      </c>
      <c r="O2439" s="31" t="n">
        <v>699.95</v>
      </c>
      <c r="P2439" s="22" t="n">
        <v>0</v>
      </c>
      <c r="Q2439" s="22" t="n">
        <v>0</v>
      </c>
      <c r="R2439" s="22" t="n">
        <v>0</v>
      </c>
    </row>
    <row r="2440">
      <c r="A2440" s="22" t="n">
        <v>202003</v>
      </c>
      <c r="B2440" s="22" t="inlineStr">
        <is>
          <t>03/2020</t>
        </is>
      </c>
      <c r="C2440" s="22" t="n">
        <v>21</v>
      </c>
      <c r="D2440" s="22" t="inlineStr">
        <is>
          <t>S21</t>
        </is>
      </c>
      <c r="E2440" s="22" t="inlineStr">
        <is>
          <t>Nexa Freie Hansestadt Bremen (S21)</t>
        </is>
      </c>
      <c r="F2440" s="22" t="inlineStr">
        <is>
          <t>Đức</t>
        </is>
      </c>
      <c r="G2440" s="22" t="inlineStr">
        <is>
          <t>POS</t>
        </is>
      </c>
      <c r="H2440" s="31" t="n">
        <v>2631.86</v>
      </c>
      <c r="I2440" s="31" t="n">
        <v>0</v>
      </c>
      <c r="J2440" s="31" t="n">
        <v>2631.86</v>
      </c>
      <c r="K2440" s="31" t="n">
        <v>469.93</v>
      </c>
      <c r="L2440" s="32" t="n">
        <v>3</v>
      </c>
      <c r="M2440" s="32" t="n">
        <v>17</v>
      </c>
      <c r="N2440" s="31" t="n">
        <v>2161.93</v>
      </c>
      <c r="O2440" s="31" t="n">
        <v>2631.86</v>
      </c>
      <c r="P2440" s="22" t="n">
        <v>0</v>
      </c>
      <c r="Q2440" s="22" t="n">
        <v>0</v>
      </c>
      <c r="R2440" s="22" t="n">
        <v>0</v>
      </c>
    </row>
    <row r="2441">
      <c r="A2441" s="22" t="n">
        <v>202003</v>
      </c>
      <c r="B2441" s="22" t="inlineStr">
        <is>
          <t>03/2020</t>
        </is>
      </c>
      <c r="C2441" s="22" t="n">
        <v>22</v>
      </c>
      <c r="D2441" s="22" t="inlineStr">
        <is>
          <t>S22</t>
        </is>
      </c>
      <c r="E2441" s="22" t="inlineStr">
        <is>
          <t>Nexa Freistaat Thüringen (S22)</t>
        </is>
      </c>
      <c r="F2441" s="22" t="inlineStr">
        <is>
          <t>Đức</t>
        </is>
      </c>
      <c r="G2441" s="22" t="inlineStr">
        <is>
          <t>POS</t>
        </is>
      </c>
      <c r="H2441" s="31" t="n">
        <v>4228.27</v>
      </c>
      <c r="I2441" s="31" t="n">
        <v>0</v>
      </c>
      <c r="J2441" s="31" t="n">
        <v>4228.27</v>
      </c>
      <c r="K2441" s="31" t="n">
        <v>814</v>
      </c>
      <c r="L2441" s="32" t="n">
        <v>5</v>
      </c>
      <c r="M2441" s="32" t="n">
        <v>23</v>
      </c>
      <c r="N2441" s="31" t="n">
        <v>3414.27</v>
      </c>
      <c r="O2441" s="31" t="n">
        <v>4228.27</v>
      </c>
      <c r="P2441" s="22" t="n">
        <v>0</v>
      </c>
      <c r="Q2441" s="22" t="n">
        <v>0</v>
      </c>
      <c r="R2441" s="22" t="n">
        <v>0</v>
      </c>
    </row>
    <row r="2442">
      <c r="A2442" s="22" t="n">
        <v>202003</v>
      </c>
      <c r="B2442" s="22" t="inlineStr">
        <is>
          <t>03/2020</t>
        </is>
      </c>
      <c r="C2442" s="22" t="n">
        <v>23</v>
      </c>
      <c r="D2442" s="22" t="inlineStr">
        <is>
          <t>S23</t>
        </is>
      </c>
      <c r="E2442" s="22" t="inlineStr">
        <is>
          <t>Nexa Hamburg (S23)</t>
        </is>
      </c>
      <c r="F2442" s="22" t="inlineStr">
        <is>
          <t>Đức</t>
        </is>
      </c>
      <c r="G2442" s="22" t="inlineStr">
        <is>
          <t>POS</t>
        </is>
      </c>
      <c r="H2442" s="31" t="n">
        <v>4189.1</v>
      </c>
      <c r="I2442" s="31" t="n">
        <v>0</v>
      </c>
      <c r="J2442" s="31" t="n">
        <v>4189.1</v>
      </c>
      <c r="K2442" s="31" t="n">
        <v>112</v>
      </c>
      <c r="L2442" s="32" t="n">
        <v>4</v>
      </c>
      <c r="M2442" s="32" t="n">
        <v>19</v>
      </c>
      <c r="N2442" s="31" t="n">
        <v>4077.1</v>
      </c>
      <c r="O2442" s="31" t="n">
        <v>4189.1</v>
      </c>
      <c r="P2442" s="22" t="n">
        <v>0</v>
      </c>
      <c r="Q2442" s="22" t="n">
        <v>0</v>
      </c>
      <c r="R2442" s="22" t="n">
        <v>0</v>
      </c>
    </row>
    <row r="2443">
      <c r="A2443" s="22" t="n">
        <v>202003</v>
      </c>
      <c r="B2443" s="22" t="inlineStr">
        <is>
          <t>03/2020</t>
        </is>
      </c>
      <c r="C2443" s="22" t="n">
        <v>24</v>
      </c>
      <c r="D2443" s="22" t="inlineStr">
        <is>
          <t>S24</t>
        </is>
      </c>
      <c r="E2443" s="22" t="inlineStr">
        <is>
          <t>Nexa Hessen (S24)</t>
        </is>
      </c>
      <c r="F2443" s="22" t="inlineStr">
        <is>
          <t>Đức</t>
        </is>
      </c>
      <c r="G2443" s="22" t="inlineStr">
        <is>
          <t>POS</t>
        </is>
      </c>
      <c r="H2443" s="31" t="n">
        <v>2495.8</v>
      </c>
      <c r="I2443" s="31" t="n">
        <v>0</v>
      </c>
      <c r="J2443" s="31" t="n">
        <v>2495.8</v>
      </c>
      <c r="K2443" s="31" t="n">
        <v>267</v>
      </c>
      <c r="L2443" s="32" t="n">
        <v>4</v>
      </c>
      <c r="M2443" s="32" t="n">
        <v>19</v>
      </c>
      <c r="N2443" s="31" t="n">
        <v>2228.8</v>
      </c>
      <c r="O2443" s="31" t="n">
        <v>2495.8</v>
      </c>
      <c r="P2443" s="22" t="n">
        <v>0</v>
      </c>
      <c r="Q2443" s="22" t="n">
        <v>0</v>
      </c>
      <c r="R2443" s="22" t="n">
        <v>0</v>
      </c>
    </row>
    <row r="2444">
      <c r="A2444" s="22" t="n">
        <v>202003</v>
      </c>
      <c r="B2444" s="22" t="inlineStr">
        <is>
          <t>03/2020</t>
        </is>
      </c>
      <c r="C2444" s="22" t="n">
        <v>26</v>
      </c>
      <c r="D2444" s="22" t="inlineStr">
        <is>
          <t>S26</t>
        </is>
      </c>
      <c r="E2444" s="22" t="inlineStr">
        <is>
          <t>Nexa Saarland (S26)</t>
        </is>
      </c>
      <c r="F2444" s="22" t="inlineStr">
        <is>
          <t>Đức</t>
        </is>
      </c>
      <c r="G2444" s="22" t="inlineStr">
        <is>
          <t>POS</t>
        </is>
      </c>
      <c r="H2444" s="31" t="n">
        <v>0</v>
      </c>
      <c r="I2444" s="31" t="n">
        <v>0</v>
      </c>
      <c r="J2444" s="31" t="n">
        <v>0</v>
      </c>
      <c r="K2444" s="31" t="n">
        <v>345</v>
      </c>
      <c r="L2444" s="32" t="n">
        <v>0</v>
      </c>
      <c r="M2444" s="32" t="n">
        <v>0</v>
      </c>
      <c r="N2444" s="31" t="n">
        <v>-345</v>
      </c>
      <c r="O2444" s="31" t="n">
        <v>0</v>
      </c>
      <c r="P2444" s="22" t="n">
        <v>0</v>
      </c>
      <c r="Q2444" s="22" t="n">
        <v>0</v>
      </c>
      <c r="R2444" s="22" t="n">
        <v>0</v>
      </c>
    </row>
    <row r="2445">
      <c r="A2445" s="22" t="n">
        <v>202003</v>
      </c>
      <c r="B2445" s="22" t="inlineStr">
        <is>
          <t>03/2020</t>
        </is>
      </c>
      <c r="C2445" s="22" t="n">
        <v>27</v>
      </c>
      <c r="D2445" s="22" t="inlineStr">
        <is>
          <t>S27</t>
        </is>
      </c>
      <c r="E2445" s="22" t="inlineStr">
        <is>
          <t>Nexa Sachsen-Anhalt (S27)</t>
        </is>
      </c>
      <c r="F2445" s="22" t="inlineStr">
        <is>
          <t>Đức</t>
        </is>
      </c>
      <c r="G2445" s="22" t="inlineStr">
        <is>
          <t>POS</t>
        </is>
      </c>
      <c r="H2445" s="31" t="n">
        <v>8995.110000000001</v>
      </c>
      <c r="I2445" s="31" t="n">
        <v>0</v>
      </c>
      <c r="J2445" s="31" t="n">
        <v>8995.110000000001</v>
      </c>
      <c r="K2445" s="31" t="n">
        <v>0</v>
      </c>
      <c r="L2445" s="32" t="n">
        <v>3</v>
      </c>
      <c r="M2445" s="32" t="n">
        <v>34</v>
      </c>
      <c r="N2445" s="31" t="n">
        <v>8995.110000000001</v>
      </c>
      <c r="O2445" s="31" t="n">
        <v>8995.110000000001</v>
      </c>
      <c r="P2445" s="22" t="n">
        <v>0</v>
      </c>
      <c r="Q2445" s="22" t="n">
        <v>0</v>
      </c>
      <c r="R2445" s="22" t="n">
        <v>0</v>
      </c>
    </row>
    <row r="2446">
      <c r="A2446" s="22" t="n">
        <v>202003</v>
      </c>
      <c r="B2446" s="22" t="inlineStr">
        <is>
          <t>03/2020</t>
        </is>
      </c>
      <c r="C2446" s="22" t="n">
        <v>29</v>
      </c>
      <c r="D2446" s="22" t="inlineStr">
        <is>
          <t>S29</t>
        </is>
      </c>
      <c r="E2446" s="22" t="inlineStr">
        <is>
          <t>Nexa Enna (S29)</t>
        </is>
      </c>
      <c r="F2446" s="22" t="inlineStr">
        <is>
          <t>Ý</t>
        </is>
      </c>
      <c r="G2446" s="22" t="inlineStr">
        <is>
          <t>POS</t>
        </is>
      </c>
      <c r="H2446" s="31" t="n">
        <v>11507.42</v>
      </c>
      <c r="I2446" s="31" t="n">
        <v>141.91</v>
      </c>
      <c r="J2446" s="31" t="n">
        <v>11365.51</v>
      </c>
      <c r="K2446" s="31" t="n">
        <v>218</v>
      </c>
      <c r="L2446" s="32" t="n">
        <v>6</v>
      </c>
      <c r="M2446" s="32" t="n">
        <v>47</v>
      </c>
      <c r="N2446" s="31" t="n">
        <v>11147.51</v>
      </c>
      <c r="O2446" s="31" t="n">
        <v>11365.51</v>
      </c>
      <c r="P2446" s="22" t="n">
        <v>0</v>
      </c>
      <c r="Q2446" s="22" t="n">
        <v>0</v>
      </c>
      <c r="R2446" s="22" t="n">
        <v>0</v>
      </c>
    </row>
    <row r="2447">
      <c r="A2447" s="22" t="n">
        <v>202003</v>
      </c>
      <c r="B2447" s="22" t="inlineStr">
        <is>
          <t>03/2020</t>
        </is>
      </c>
      <c r="C2447" s="22" t="n">
        <v>30</v>
      </c>
      <c r="D2447" s="22" t="inlineStr">
        <is>
          <t>S30</t>
        </is>
      </c>
      <c r="E2447" s="22" t="inlineStr">
        <is>
          <t>Nexa Pesaro (S30)</t>
        </is>
      </c>
      <c r="F2447" s="22" t="inlineStr">
        <is>
          <t>Ý</t>
        </is>
      </c>
      <c r="G2447" s="22" t="inlineStr">
        <is>
          <t>POS</t>
        </is>
      </c>
      <c r="H2447" s="31" t="n">
        <v>2592.5</v>
      </c>
      <c r="I2447" s="31" t="n">
        <v>0</v>
      </c>
      <c r="J2447" s="31" t="n">
        <v>2592.5</v>
      </c>
      <c r="K2447" s="31" t="n">
        <v>268</v>
      </c>
      <c r="L2447" s="32" t="n">
        <v>4</v>
      </c>
      <c r="M2447" s="32" t="n">
        <v>15</v>
      </c>
      <c r="N2447" s="31" t="n">
        <v>2324.5</v>
      </c>
      <c r="O2447" s="31" t="n">
        <v>2592.5</v>
      </c>
      <c r="P2447" s="22" t="n">
        <v>0</v>
      </c>
      <c r="Q2447" s="22" t="n">
        <v>0</v>
      </c>
      <c r="R2447" s="22" t="n">
        <v>0</v>
      </c>
    </row>
    <row r="2448">
      <c r="A2448" s="22" t="n">
        <v>202003</v>
      </c>
      <c r="B2448" s="22" t="inlineStr">
        <is>
          <t>03/2020</t>
        </is>
      </c>
      <c r="C2448" s="22" t="n">
        <v>31</v>
      </c>
      <c r="D2448" s="22" t="inlineStr">
        <is>
          <t>S31</t>
        </is>
      </c>
      <c r="E2448" s="22" t="inlineStr">
        <is>
          <t>Nexa Drenthe (S31)</t>
        </is>
      </c>
      <c r="F2448" s="22" t="inlineStr">
        <is>
          <t>Hà Lan</t>
        </is>
      </c>
      <c r="G2448" s="22" t="inlineStr">
        <is>
          <t>POS</t>
        </is>
      </c>
      <c r="H2448" s="31" t="n">
        <v>17.99</v>
      </c>
      <c r="I2448" s="31" t="n">
        <v>0</v>
      </c>
      <c r="J2448" s="31" t="n">
        <v>17.99</v>
      </c>
      <c r="K2448" s="31" t="n">
        <v>0</v>
      </c>
      <c r="L2448" s="32" t="n">
        <v>1</v>
      </c>
      <c r="M2448" s="32" t="n">
        <v>1</v>
      </c>
      <c r="N2448" s="31" t="n">
        <v>17.99</v>
      </c>
      <c r="O2448" s="31" t="n">
        <v>17.99</v>
      </c>
      <c r="P2448" s="22" t="n">
        <v>0</v>
      </c>
      <c r="Q2448" s="22" t="n">
        <v>0</v>
      </c>
      <c r="R2448" s="22" t="n">
        <v>0</v>
      </c>
    </row>
    <row r="2449">
      <c r="A2449" s="22" t="n">
        <v>202003</v>
      </c>
      <c r="B2449" s="22" t="inlineStr">
        <is>
          <t>03/2020</t>
        </is>
      </c>
      <c r="C2449" s="22" t="n">
        <v>32</v>
      </c>
      <c r="D2449" s="22" t="inlineStr">
        <is>
          <t>S32</t>
        </is>
      </c>
      <c r="E2449" s="22" t="inlineStr">
        <is>
          <t>Nexa Flevoland (S32)</t>
        </is>
      </c>
      <c r="F2449" s="22" t="inlineStr">
        <is>
          <t>Hà Lan</t>
        </is>
      </c>
      <c r="G2449" s="22" t="inlineStr">
        <is>
          <t>POS</t>
        </is>
      </c>
      <c r="H2449" s="31" t="n">
        <v>9533.91</v>
      </c>
      <c r="I2449" s="31" t="n">
        <v>0</v>
      </c>
      <c r="J2449" s="31" t="n">
        <v>9533.91</v>
      </c>
      <c r="K2449" s="31" t="n">
        <v>0</v>
      </c>
      <c r="L2449" s="32" t="n">
        <v>4</v>
      </c>
      <c r="M2449" s="32" t="n">
        <v>27</v>
      </c>
      <c r="N2449" s="31" t="n">
        <v>9533.91</v>
      </c>
      <c r="O2449" s="31" t="n">
        <v>9533.91</v>
      </c>
      <c r="P2449" s="22" t="n">
        <v>0</v>
      </c>
      <c r="Q2449" s="22" t="n">
        <v>0</v>
      </c>
      <c r="R2449" s="22" t="n">
        <v>0</v>
      </c>
    </row>
    <row r="2450">
      <c r="A2450" s="22" t="n">
        <v>202003</v>
      </c>
      <c r="B2450" s="22" t="inlineStr">
        <is>
          <t>03/2020</t>
        </is>
      </c>
      <c r="C2450" s="22" t="n">
        <v>33</v>
      </c>
      <c r="D2450" s="22" t="inlineStr">
        <is>
          <t>S33</t>
        </is>
      </c>
      <c r="E2450" s="22" t="inlineStr">
        <is>
          <t>Nexa Friesland (S33)</t>
        </is>
      </c>
      <c r="F2450" s="22" t="inlineStr">
        <is>
          <t>Hà Lan</t>
        </is>
      </c>
      <c r="G2450" s="22" t="inlineStr">
        <is>
          <t>POS</t>
        </is>
      </c>
      <c r="H2450" s="31" t="n">
        <v>699.84</v>
      </c>
      <c r="I2450" s="31" t="n">
        <v>0</v>
      </c>
      <c r="J2450" s="31" t="n">
        <v>699.84</v>
      </c>
      <c r="K2450" s="31" t="n">
        <v>0</v>
      </c>
      <c r="L2450" s="32" t="n">
        <v>3</v>
      </c>
      <c r="M2450" s="32" t="n">
        <v>8</v>
      </c>
      <c r="N2450" s="31" t="n">
        <v>699.84</v>
      </c>
      <c r="O2450" s="31" t="n">
        <v>699.84</v>
      </c>
      <c r="P2450" s="22" t="n">
        <v>0</v>
      </c>
      <c r="Q2450" s="22" t="n">
        <v>0</v>
      </c>
      <c r="R2450" s="22" t="n">
        <v>0</v>
      </c>
    </row>
    <row r="2451">
      <c r="A2451" s="22" t="n">
        <v>202003</v>
      </c>
      <c r="B2451" s="22" t="inlineStr">
        <is>
          <t>03/2020</t>
        </is>
      </c>
      <c r="C2451" s="22" t="n">
        <v>34</v>
      </c>
      <c r="D2451" s="22" t="inlineStr">
        <is>
          <t>S34</t>
        </is>
      </c>
      <c r="E2451" s="22" t="inlineStr">
        <is>
          <t>Nexa Groningen (S34)</t>
        </is>
      </c>
      <c r="F2451" s="22" t="inlineStr">
        <is>
          <t>Hà Lan</t>
        </is>
      </c>
      <c r="G2451" s="22" t="inlineStr">
        <is>
          <t>POS</t>
        </is>
      </c>
      <c r="H2451" s="31" t="n">
        <v>1140.3</v>
      </c>
      <c r="I2451" s="31" t="n">
        <v>0</v>
      </c>
      <c r="J2451" s="31" t="n">
        <v>1140.3</v>
      </c>
      <c r="K2451" s="31" t="n">
        <v>815.9</v>
      </c>
      <c r="L2451" s="32" t="n">
        <v>2</v>
      </c>
      <c r="M2451" s="32" t="n">
        <v>14</v>
      </c>
      <c r="N2451" s="31" t="n">
        <v>324.4</v>
      </c>
      <c r="O2451" s="31" t="n">
        <v>1140.3</v>
      </c>
      <c r="P2451" s="22" t="n">
        <v>0</v>
      </c>
      <c r="Q2451" s="22" t="n">
        <v>0</v>
      </c>
      <c r="R2451" s="22" t="n">
        <v>0</v>
      </c>
    </row>
    <row r="2452">
      <c r="A2452" s="22" t="n">
        <v>202003</v>
      </c>
      <c r="B2452" s="22" t="inlineStr">
        <is>
          <t>03/2020</t>
        </is>
      </c>
      <c r="C2452" s="22" t="n">
        <v>36</v>
      </c>
      <c r="D2452" s="22" t="inlineStr">
        <is>
          <t>S36</t>
        </is>
      </c>
      <c r="E2452" s="22" t="inlineStr">
        <is>
          <t>Nexa Armagh (S36)</t>
        </is>
      </c>
      <c r="F2452" s="22" t="inlineStr">
        <is>
          <t>Anh</t>
        </is>
      </c>
      <c r="G2452" s="22" t="inlineStr">
        <is>
          <t>POS</t>
        </is>
      </c>
      <c r="H2452" s="31" t="n">
        <v>7340.73</v>
      </c>
      <c r="I2452" s="31" t="n">
        <v>0</v>
      </c>
      <c r="J2452" s="31" t="n">
        <v>7340.73</v>
      </c>
      <c r="K2452" s="31" t="n">
        <v>312.19</v>
      </c>
      <c r="L2452" s="32" t="n">
        <v>5</v>
      </c>
      <c r="M2452" s="32" t="n">
        <v>45</v>
      </c>
      <c r="N2452" s="31" t="n">
        <v>7028.54</v>
      </c>
      <c r="O2452" s="31" t="n">
        <v>7340.73</v>
      </c>
      <c r="P2452" s="22" t="n">
        <v>0</v>
      </c>
      <c r="Q2452" s="22" t="n">
        <v>0</v>
      </c>
      <c r="R2452" s="22" t="n">
        <v>0</v>
      </c>
    </row>
    <row r="2453">
      <c r="A2453" s="22" t="n">
        <v>202003</v>
      </c>
      <c r="B2453" s="22" t="inlineStr">
        <is>
          <t>03/2020</t>
        </is>
      </c>
      <c r="C2453" s="22" t="n">
        <v>37</v>
      </c>
      <c r="D2453" s="22" t="inlineStr">
        <is>
          <t>S37</t>
        </is>
      </c>
      <c r="E2453" s="22" t="inlineStr">
        <is>
          <t>Nexa Ayrshire (S37)</t>
        </is>
      </c>
      <c r="F2453" s="22" t="inlineStr">
        <is>
          <t>Anh</t>
        </is>
      </c>
      <c r="G2453" s="22" t="inlineStr">
        <is>
          <t>POS</t>
        </is>
      </c>
      <c r="H2453" s="31" t="n">
        <v>23378.91</v>
      </c>
      <c r="I2453" s="31" t="n">
        <v>0</v>
      </c>
      <c r="J2453" s="31" t="n">
        <v>23378.91</v>
      </c>
      <c r="K2453" s="31" t="n">
        <v>716</v>
      </c>
      <c r="L2453" s="32" t="n">
        <v>5</v>
      </c>
      <c r="M2453" s="32" t="n">
        <v>66</v>
      </c>
      <c r="N2453" s="31" t="n">
        <v>22662.91</v>
      </c>
      <c r="O2453" s="31" t="n">
        <v>23378.91</v>
      </c>
      <c r="P2453" s="22" t="n">
        <v>0</v>
      </c>
      <c r="Q2453" s="22" t="n">
        <v>0</v>
      </c>
      <c r="R2453" s="22" t="n">
        <v>0</v>
      </c>
    </row>
    <row r="2454">
      <c r="A2454" s="22" t="n">
        <v>202003</v>
      </c>
      <c r="B2454" s="22" t="inlineStr">
        <is>
          <t>03/2020</t>
        </is>
      </c>
      <c r="C2454" s="22" t="n">
        <v>38</v>
      </c>
      <c r="D2454" s="22" t="inlineStr">
        <is>
          <t>S38</t>
        </is>
      </c>
      <c r="E2454" s="22" t="inlineStr">
        <is>
          <t>Nexa Belfast (S38)</t>
        </is>
      </c>
      <c r="F2454" s="22" t="inlineStr">
        <is>
          <t>Anh</t>
        </is>
      </c>
      <c r="G2454" s="22" t="inlineStr">
        <is>
          <t>POS</t>
        </is>
      </c>
      <c r="H2454" s="31" t="n">
        <v>30250.23</v>
      </c>
      <c r="I2454" s="31" t="n">
        <v>0</v>
      </c>
      <c r="J2454" s="31" t="n">
        <v>30250.23</v>
      </c>
      <c r="K2454" s="31" t="n">
        <v>3086.97</v>
      </c>
      <c r="L2454" s="32" t="n">
        <v>9</v>
      </c>
      <c r="M2454" s="32" t="n">
        <v>94</v>
      </c>
      <c r="N2454" s="31" t="n">
        <v>27163.26</v>
      </c>
      <c r="O2454" s="31" t="n">
        <v>30250.23</v>
      </c>
      <c r="P2454" s="22" t="n">
        <v>0</v>
      </c>
      <c r="Q2454" s="22" t="n">
        <v>0</v>
      </c>
      <c r="R2454" s="22" t="n">
        <v>0</v>
      </c>
    </row>
    <row r="2455">
      <c r="A2455" s="22" t="n">
        <v>202003</v>
      </c>
      <c r="B2455" s="22" t="inlineStr">
        <is>
          <t>03/2020</t>
        </is>
      </c>
      <c r="C2455" s="22" t="n">
        <v>39</v>
      </c>
      <c r="D2455" s="22" t="inlineStr">
        <is>
          <t>S39</t>
        </is>
      </c>
      <c r="E2455" s="22" t="inlineStr">
        <is>
          <t>Nexa Blaenau Gwent (S39)</t>
        </is>
      </c>
      <c r="F2455" s="22" t="inlineStr">
        <is>
          <t>Anh</t>
        </is>
      </c>
      <c r="G2455" s="22" t="inlineStr">
        <is>
          <t>POS</t>
        </is>
      </c>
      <c r="H2455" s="31" t="n">
        <v>8342.25</v>
      </c>
      <c r="I2455" s="31" t="n">
        <v>0</v>
      </c>
      <c r="J2455" s="31" t="n">
        <v>8342.25</v>
      </c>
      <c r="K2455" s="31" t="n">
        <v>69</v>
      </c>
      <c r="L2455" s="32" t="n">
        <v>4</v>
      </c>
      <c r="M2455" s="32" t="n">
        <v>20</v>
      </c>
      <c r="N2455" s="31" t="n">
        <v>8273.25</v>
      </c>
      <c r="O2455" s="31" t="n">
        <v>8342.25</v>
      </c>
      <c r="P2455" s="22" t="n">
        <v>0</v>
      </c>
      <c r="Q2455" s="22" t="n">
        <v>0</v>
      </c>
      <c r="R2455" s="22" t="n">
        <v>0</v>
      </c>
    </row>
    <row r="2456">
      <c r="A2456" s="22" t="n">
        <v>202003</v>
      </c>
      <c r="B2456" s="22" t="inlineStr">
        <is>
          <t>03/2020</t>
        </is>
      </c>
      <c r="C2456" s="22" t="n">
        <v>40</v>
      </c>
      <c r="D2456" s="22" t="inlineStr">
        <is>
          <t>S40</t>
        </is>
      </c>
      <c r="E2456" s="22" t="inlineStr">
        <is>
          <t>Nexa Dungannon and South Tyrone (S40)</t>
        </is>
      </c>
      <c r="F2456" s="22" t="inlineStr">
        <is>
          <t>Anh</t>
        </is>
      </c>
      <c r="G2456" s="22" t="inlineStr">
        <is>
          <t>POS</t>
        </is>
      </c>
      <c r="H2456" s="31" t="n">
        <v>6612.95</v>
      </c>
      <c r="I2456" s="31" t="n">
        <v>0</v>
      </c>
      <c r="J2456" s="31" t="n">
        <v>6612.95</v>
      </c>
      <c r="K2456" s="31" t="n">
        <v>81.09999999999999</v>
      </c>
      <c r="L2456" s="32" t="n">
        <v>3</v>
      </c>
      <c r="M2456" s="32" t="n">
        <v>25</v>
      </c>
      <c r="N2456" s="31" t="n">
        <v>5963.85</v>
      </c>
      <c r="O2456" s="31" t="n">
        <v>6612.95</v>
      </c>
      <c r="P2456" s="22" t="n">
        <v>0</v>
      </c>
      <c r="Q2456" s="22" t="n">
        <v>0</v>
      </c>
      <c r="R2456" s="22" t="n">
        <v>0</v>
      </c>
    </row>
    <row r="2457">
      <c r="A2457" s="22" t="n">
        <v>202003</v>
      </c>
      <c r="B2457" s="22" t="inlineStr">
        <is>
          <t>03/2020</t>
        </is>
      </c>
      <c r="C2457" s="22" t="n">
        <v>42</v>
      </c>
      <c r="D2457" s="22" t="inlineStr">
        <is>
          <t>S42</t>
        </is>
      </c>
      <c r="E2457" s="22" t="inlineStr">
        <is>
          <t>Nexa North Down (S42)</t>
        </is>
      </c>
      <c r="F2457" s="22" t="inlineStr">
        <is>
          <t>Anh</t>
        </is>
      </c>
      <c r="G2457" s="22" t="inlineStr">
        <is>
          <t>POS</t>
        </is>
      </c>
      <c r="H2457" s="31" t="n">
        <v>16322.76</v>
      </c>
      <c r="I2457" s="31" t="n">
        <v>26.99</v>
      </c>
      <c r="J2457" s="31" t="n">
        <v>16295.77</v>
      </c>
      <c r="K2457" s="31" t="n">
        <v>0</v>
      </c>
      <c r="L2457" s="32" t="n">
        <v>4</v>
      </c>
      <c r="M2457" s="32" t="n">
        <v>14</v>
      </c>
      <c r="N2457" s="31" t="n">
        <v>16295.77</v>
      </c>
      <c r="O2457" s="31" t="n">
        <v>16295.77</v>
      </c>
      <c r="P2457" s="22" t="n">
        <v>0</v>
      </c>
      <c r="Q2457" s="22" t="n">
        <v>0</v>
      </c>
      <c r="R2457" s="22" t="n">
        <v>0</v>
      </c>
    </row>
    <row r="2458">
      <c r="A2458" s="22" t="n">
        <v>202003</v>
      </c>
      <c r="B2458" s="22" t="inlineStr">
        <is>
          <t>03/2020</t>
        </is>
      </c>
      <c r="C2458" s="22" t="n">
        <v>43</v>
      </c>
      <c r="D2458" s="22" t="inlineStr">
        <is>
          <t>S43</t>
        </is>
      </c>
      <c r="E2458" s="22" t="inlineStr">
        <is>
          <t>Nexa Alaska (S43)</t>
        </is>
      </c>
      <c r="F2458" s="22" t="inlineStr">
        <is>
          <t>Mỹ</t>
        </is>
      </c>
      <c r="G2458" s="22" t="inlineStr">
        <is>
          <t>POS</t>
        </is>
      </c>
      <c r="H2458" s="31" t="n">
        <v>20945.43</v>
      </c>
      <c r="I2458" s="31" t="n">
        <v>0</v>
      </c>
      <c r="J2458" s="31" t="n">
        <v>20945.43</v>
      </c>
      <c r="K2458" s="31" t="n">
        <v>0</v>
      </c>
      <c r="L2458" s="32" t="n">
        <v>10</v>
      </c>
      <c r="M2458" s="32" t="n">
        <v>89</v>
      </c>
      <c r="N2458" s="31" t="n">
        <v>20945.43</v>
      </c>
      <c r="O2458" s="31" t="n">
        <v>20945.43</v>
      </c>
      <c r="P2458" s="22" t="n">
        <v>0</v>
      </c>
      <c r="Q2458" s="22" t="n">
        <v>0</v>
      </c>
      <c r="R2458" s="22" t="n">
        <v>0</v>
      </c>
    </row>
    <row r="2459">
      <c r="A2459" s="22" t="n">
        <v>202003</v>
      </c>
      <c r="B2459" s="22" t="inlineStr">
        <is>
          <t>03/2020</t>
        </is>
      </c>
      <c r="C2459" s="22" t="n">
        <v>44</v>
      </c>
      <c r="D2459" s="22" t="inlineStr">
        <is>
          <t>S44</t>
        </is>
      </c>
      <c r="E2459" s="22" t="inlineStr">
        <is>
          <t>Nexa Arkansas (S44)</t>
        </is>
      </c>
      <c r="F2459" s="22" t="inlineStr">
        <is>
          <t>Mỹ</t>
        </is>
      </c>
      <c r="G2459" s="22" t="inlineStr">
        <is>
          <t>POS</t>
        </is>
      </c>
      <c r="H2459" s="31" t="n">
        <v>9467.73</v>
      </c>
      <c r="I2459" s="31" t="n">
        <v>0</v>
      </c>
      <c r="J2459" s="31" t="n">
        <v>9467.73</v>
      </c>
      <c r="K2459" s="31" t="n">
        <v>296.96</v>
      </c>
      <c r="L2459" s="32" t="n">
        <v>5</v>
      </c>
      <c r="M2459" s="32" t="n">
        <v>44</v>
      </c>
      <c r="N2459" s="31" t="n">
        <v>9170.77</v>
      </c>
      <c r="O2459" s="31" t="n">
        <v>9467.73</v>
      </c>
      <c r="P2459" s="22" t="n">
        <v>1</v>
      </c>
      <c r="Q2459" s="22" t="n">
        <v>0</v>
      </c>
      <c r="R2459" s="22" t="n">
        <v>0</v>
      </c>
    </row>
    <row r="2460">
      <c r="A2460" s="22" t="n">
        <v>202003</v>
      </c>
      <c r="B2460" s="22" t="inlineStr">
        <is>
          <t>03/2020</t>
        </is>
      </c>
      <c r="C2460" s="22" t="n">
        <v>45</v>
      </c>
      <c r="D2460" s="22" t="inlineStr">
        <is>
          <t>S45</t>
        </is>
      </c>
      <c r="E2460" s="22" t="inlineStr">
        <is>
          <t>Nexa Connecticut (S45)</t>
        </is>
      </c>
      <c r="F2460" s="22" t="inlineStr">
        <is>
          <t>Mỹ</t>
        </is>
      </c>
      <c r="G2460" s="22" t="inlineStr">
        <is>
          <t>POS</t>
        </is>
      </c>
      <c r="H2460" s="31" t="n">
        <v>13525.74</v>
      </c>
      <c r="I2460" s="31" t="n">
        <v>0</v>
      </c>
      <c r="J2460" s="31" t="n">
        <v>13525.74</v>
      </c>
      <c r="K2460" s="31" t="n">
        <v>0</v>
      </c>
      <c r="L2460" s="32" t="n">
        <v>9</v>
      </c>
      <c r="M2460" s="32" t="n">
        <v>48</v>
      </c>
      <c r="N2460" s="31" t="n">
        <v>13525.74</v>
      </c>
      <c r="O2460" s="31" t="n">
        <v>13525.74</v>
      </c>
      <c r="P2460" s="22" t="n">
        <v>0</v>
      </c>
      <c r="Q2460" s="22" t="n">
        <v>0</v>
      </c>
      <c r="R2460" s="22" t="n">
        <v>0</v>
      </c>
    </row>
    <row r="2461">
      <c r="A2461" s="22" t="n">
        <v>202003</v>
      </c>
      <c r="B2461" s="22" t="inlineStr">
        <is>
          <t>03/2020</t>
        </is>
      </c>
      <c r="C2461" s="22" t="n">
        <v>47</v>
      </c>
      <c r="D2461" s="22" t="inlineStr">
        <is>
          <t>S47</t>
        </is>
      </c>
      <c r="E2461" s="22" t="inlineStr">
        <is>
          <t>Nexa Hawaii (S47)</t>
        </is>
      </c>
      <c r="F2461" s="22" t="inlineStr">
        <is>
          <t>Mỹ</t>
        </is>
      </c>
      <c r="G2461" s="22" t="inlineStr">
        <is>
          <t>POS</t>
        </is>
      </c>
      <c r="H2461" s="31" t="n">
        <v>14729.71</v>
      </c>
      <c r="I2461" s="31" t="n">
        <v>0</v>
      </c>
      <c r="J2461" s="31" t="n">
        <v>14729.71</v>
      </c>
      <c r="K2461" s="31" t="n">
        <v>0</v>
      </c>
      <c r="L2461" s="32" t="n">
        <v>9</v>
      </c>
      <c r="M2461" s="32" t="n">
        <v>52</v>
      </c>
      <c r="N2461" s="31" t="n">
        <v>14729.71</v>
      </c>
      <c r="O2461" s="31" t="n">
        <v>14729.71</v>
      </c>
      <c r="P2461" s="22" t="n">
        <v>0</v>
      </c>
      <c r="Q2461" s="22" t="n">
        <v>0</v>
      </c>
      <c r="R2461" s="22" t="n">
        <v>0</v>
      </c>
    </row>
    <row r="2462">
      <c r="A2462" s="22" t="n">
        <v>202003</v>
      </c>
      <c r="B2462" s="22" t="inlineStr">
        <is>
          <t>03/2020</t>
        </is>
      </c>
      <c r="C2462" s="22" t="n">
        <v>48</v>
      </c>
      <c r="D2462" s="22" t="inlineStr">
        <is>
          <t>S48</t>
        </is>
      </c>
      <c r="E2462" s="22" t="inlineStr">
        <is>
          <t>Nexa Idaho (S48)</t>
        </is>
      </c>
      <c r="F2462" s="22" t="inlineStr">
        <is>
          <t>Mỹ</t>
        </is>
      </c>
      <c r="G2462" s="22" t="inlineStr">
        <is>
          <t>POS</t>
        </is>
      </c>
      <c r="H2462" s="31" t="n">
        <v>14530.29</v>
      </c>
      <c r="I2462" s="31" t="n">
        <v>0</v>
      </c>
      <c r="J2462" s="31" t="n">
        <v>14530.29</v>
      </c>
      <c r="K2462" s="31" t="n">
        <v>665.78</v>
      </c>
      <c r="L2462" s="32" t="n">
        <v>7</v>
      </c>
      <c r="M2462" s="32" t="n">
        <v>57</v>
      </c>
      <c r="N2462" s="31" t="n">
        <v>13864.51</v>
      </c>
      <c r="O2462" s="31" t="n">
        <v>14530.29</v>
      </c>
      <c r="P2462" s="22" t="n">
        <v>2</v>
      </c>
      <c r="Q2462" s="22" t="n">
        <v>0</v>
      </c>
      <c r="R2462" s="22" t="n">
        <v>1</v>
      </c>
    </row>
    <row r="2463">
      <c r="A2463" s="22" t="n">
        <v>202003</v>
      </c>
      <c r="B2463" s="22" t="inlineStr">
        <is>
          <t>03/2020</t>
        </is>
      </c>
      <c r="C2463" s="22" t="n">
        <v>49</v>
      </c>
      <c r="D2463" s="22" t="inlineStr">
        <is>
          <t>S49</t>
        </is>
      </c>
      <c r="E2463" s="22" t="inlineStr">
        <is>
          <t>Nexa Iowa (S49)</t>
        </is>
      </c>
      <c r="F2463" s="22" t="inlineStr">
        <is>
          <t>Mỹ</t>
        </is>
      </c>
      <c r="G2463" s="22" t="inlineStr">
        <is>
          <t>POS</t>
        </is>
      </c>
      <c r="H2463" s="31" t="n">
        <v>14523.79</v>
      </c>
      <c r="I2463" s="31" t="n">
        <v>0</v>
      </c>
      <c r="J2463" s="31" t="n">
        <v>14523.79</v>
      </c>
      <c r="K2463" s="31" t="n">
        <v>993.2</v>
      </c>
      <c r="L2463" s="32" t="n">
        <v>7</v>
      </c>
      <c r="M2463" s="32" t="n">
        <v>41</v>
      </c>
      <c r="N2463" s="31" t="n">
        <v>13280.6</v>
      </c>
      <c r="O2463" s="31" t="n">
        <v>14523.79</v>
      </c>
      <c r="P2463" s="22" t="n">
        <v>0</v>
      </c>
      <c r="Q2463" s="22" t="n">
        <v>0</v>
      </c>
      <c r="R2463" s="22" t="n">
        <v>0</v>
      </c>
    </row>
    <row r="2464">
      <c r="A2464" s="22" t="n">
        <v>202003</v>
      </c>
      <c r="B2464" s="22" t="inlineStr">
        <is>
          <t>03/2020</t>
        </is>
      </c>
      <c r="C2464" s="22" t="n">
        <v>50</v>
      </c>
      <c r="D2464" s="22" t="inlineStr">
        <is>
          <t>S50</t>
        </is>
      </c>
      <c r="E2464" s="22" t="inlineStr">
        <is>
          <t>Nexa Kansas (S50)</t>
        </is>
      </c>
      <c r="F2464" s="22" t="inlineStr">
        <is>
          <t>Mỹ</t>
        </is>
      </c>
      <c r="G2464" s="22" t="inlineStr">
        <is>
          <t>POS</t>
        </is>
      </c>
      <c r="H2464" s="31" t="n">
        <v>14058.37</v>
      </c>
      <c r="I2464" s="31" t="n">
        <v>0</v>
      </c>
      <c r="J2464" s="31" t="n">
        <v>14058.37</v>
      </c>
      <c r="K2464" s="31" t="n">
        <v>664</v>
      </c>
      <c r="L2464" s="32" t="n">
        <v>6</v>
      </c>
      <c r="M2464" s="32" t="n">
        <v>55</v>
      </c>
      <c r="N2464" s="31" t="n">
        <v>13394.37</v>
      </c>
      <c r="O2464" s="31" t="n">
        <v>14058.37</v>
      </c>
      <c r="P2464" s="22" t="n">
        <v>0</v>
      </c>
      <c r="Q2464" s="22" t="n">
        <v>0</v>
      </c>
      <c r="R2464" s="22" t="n">
        <v>0</v>
      </c>
    </row>
    <row r="2465">
      <c r="A2465" s="22" t="n">
        <v>202003</v>
      </c>
      <c r="B2465" s="22" t="inlineStr">
        <is>
          <t>03/2020</t>
        </is>
      </c>
      <c r="C2465" s="22" t="n">
        <v>51</v>
      </c>
      <c r="D2465" s="22" t="inlineStr">
        <is>
          <t>S51</t>
        </is>
      </c>
      <c r="E2465" s="22" t="inlineStr">
        <is>
          <t>Nexa Maine (S51)</t>
        </is>
      </c>
      <c r="F2465" s="22" t="inlineStr">
        <is>
          <t>Mỹ</t>
        </is>
      </c>
      <c r="G2465" s="22" t="inlineStr">
        <is>
          <t>POS</t>
        </is>
      </c>
      <c r="H2465" s="31" t="n">
        <v>8239.110000000001</v>
      </c>
      <c r="I2465" s="31" t="n">
        <v>0</v>
      </c>
      <c r="J2465" s="31" t="n">
        <v>8239.110000000001</v>
      </c>
      <c r="K2465" s="31" t="n">
        <v>454.92</v>
      </c>
      <c r="L2465" s="32" t="n">
        <v>4</v>
      </c>
      <c r="M2465" s="32" t="n">
        <v>36</v>
      </c>
      <c r="N2465" s="31" t="n">
        <v>7784.19</v>
      </c>
      <c r="O2465" s="31" t="n">
        <v>8239.110000000001</v>
      </c>
      <c r="P2465" s="22" t="n">
        <v>0</v>
      </c>
      <c r="Q2465" s="22" t="n">
        <v>0</v>
      </c>
      <c r="R2465" s="22" t="n">
        <v>0</v>
      </c>
    </row>
    <row r="2466">
      <c r="A2466" s="22" t="n">
        <v>202003</v>
      </c>
      <c r="B2466" s="22" t="inlineStr">
        <is>
          <t>03/2020</t>
        </is>
      </c>
      <c r="C2466" s="22" t="n">
        <v>53</v>
      </c>
      <c r="D2466" s="22" t="inlineStr">
        <is>
          <t>S53</t>
        </is>
      </c>
      <c r="E2466" s="22" t="inlineStr">
        <is>
          <t>Nexa Montana (S53)</t>
        </is>
      </c>
      <c r="F2466" s="22" t="inlineStr">
        <is>
          <t>Mỹ</t>
        </is>
      </c>
      <c r="G2466" s="22" t="inlineStr">
        <is>
          <t>POS</t>
        </is>
      </c>
      <c r="H2466" s="31" t="n">
        <v>4715.85</v>
      </c>
      <c r="I2466" s="31" t="n">
        <v>3.15</v>
      </c>
      <c r="J2466" s="31" t="n">
        <v>4712.7</v>
      </c>
      <c r="K2466" s="31" t="n">
        <v>101.94</v>
      </c>
      <c r="L2466" s="32" t="n">
        <v>8</v>
      </c>
      <c r="M2466" s="32" t="n">
        <v>39</v>
      </c>
      <c r="N2466" s="31" t="n">
        <v>4610.76</v>
      </c>
      <c r="O2466" s="31" t="n">
        <v>4712.7</v>
      </c>
      <c r="P2466" s="22" t="n">
        <v>1</v>
      </c>
      <c r="Q2466" s="22" t="n">
        <v>0</v>
      </c>
      <c r="R2466" s="22" t="n">
        <v>0</v>
      </c>
    </row>
    <row r="2467">
      <c r="A2467" s="22" t="n">
        <v>202003</v>
      </c>
      <c r="B2467" s="22" t="inlineStr">
        <is>
          <t>03/2020</t>
        </is>
      </c>
      <c r="C2467" s="22" t="n">
        <v>54</v>
      </c>
      <c r="D2467" s="22" t="inlineStr">
        <is>
          <t>S54</t>
        </is>
      </c>
      <c r="E2467" s="22" t="inlineStr">
        <is>
          <t>Nexa Nebraska (S54)</t>
        </is>
      </c>
      <c r="F2467" s="22" t="inlineStr">
        <is>
          <t>Mỹ</t>
        </is>
      </c>
      <c r="G2467" s="22" t="inlineStr">
        <is>
          <t>POS</t>
        </is>
      </c>
      <c r="H2467" s="31" t="n">
        <v>30256.33</v>
      </c>
      <c r="I2467" s="31" t="n">
        <v>0</v>
      </c>
      <c r="J2467" s="31" t="n">
        <v>30256.33</v>
      </c>
      <c r="K2467" s="31" t="n">
        <v>1011.99</v>
      </c>
      <c r="L2467" s="32" t="n">
        <v>11</v>
      </c>
      <c r="M2467" s="32" t="n">
        <v>90</v>
      </c>
      <c r="N2467" s="31" t="n">
        <v>29105.34</v>
      </c>
      <c r="O2467" s="31" t="n">
        <v>30256.33</v>
      </c>
      <c r="P2467" s="22" t="n">
        <v>0</v>
      </c>
      <c r="Q2467" s="22" t="n">
        <v>0</v>
      </c>
      <c r="R2467" s="22" t="n">
        <v>0</v>
      </c>
    </row>
    <row r="2468">
      <c r="A2468" s="22" t="n">
        <v>202003</v>
      </c>
      <c r="B2468" s="22" t="inlineStr">
        <is>
          <t>03/2020</t>
        </is>
      </c>
      <c r="C2468" s="22" t="n">
        <v>55</v>
      </c>
      <c r="D2468" s="22" t="inlineStr">
        <is>
          <t>S55</t>
        </is>
      </c>
      <c r="E2468" s="22" t="inlineStr">
        <is>
          <t>Nexa Nevada (S55)</t>
        </is>
      </c>
      <c r="F2468" s="22" t="inlineStr">
        <is>
          <t>Mỹ</t>
        </is>
      </c>
      <c r="G2468" s="22" t="inlineStr">
        <is>
          <t>POS</t>
        </is>
      </c>
      <c r="H2468" s="31" t="n">
        <v>3638.89</v>
      </c>
      <c r="I2468" s="31" t="n">
        <v>0</v>
      </c>
      <c r="J2468" s="31" t="n">
        <v>3638.89</v>
      </c>
      <c r="K2468" s="31" t="n">
        <v>398.97</v>
      </c>
      <c r="L2468" s="32" t="n">
        <v>7</v>
      </c>
      <c r="M2468" s="32" t="n">
        <v>26</v>
      </c>
      <c r="N2468" s="31" t="n">
        <v>2989.93</v>
      </c>
      <c r="O2468" s="31" t="n">
        <v>3638.89</v>
      </c>
      <c r="P2468" s="22" t="n">
        <v>0</v>
      </c>
      <c r="Q2468" s="22" t="n">
        <v>0</v>
      </c>
      <c r="R2468" s="22" t="n">
        <v>0</v>
      </c>
    </row>
    <row r="2469">
      <c r="A2469" s="22" t="n">
        <v>202003</v>
      </c>
      <c r="B2469" s="22" t="inlineStr">
        <is>
          <t>03/2020</t>
        </is>
      </c>
      <c r="C2469" s="22" t="n">
        <v>56</v>
      </c>
      <c r="D2469" s="22" t="inlineStr">
        <is>
          <t>S56</t>
        </is>
      </c>
      <c r="E2469" s="22" t="inlineStr">
        <is>
          <t>Nexa New Hampshire (S56)</t>
        </is>
      </c>
      <c r="F2469" s="22" t="inlineStr">
        <is>
          <t>Mỹ</t>
        </is>
      </c>
      <c r="G2469" s="22" t="inlineStr">
        <is>
          <t>POS</t>
        </is>
      </c>
      <c r="H2469" s="31" t="n">
        <v>25297.3</v>
      </c>
      <c r="I2469" s="31" t="n">
        <v>0</v>
      </c>
      <c r="J2469" s="31" t="n">
        <v>25297.3</v>
      </c>
      <c r="K2469" s="31" t="n">
        <v>53.7</v>
      </c>
      <c r="L2469" s="32" t="n">
        <v>5</v>
      </c>
      <c r="M2469" s="32" t="n">
        <v>44</v>
      </c>
      <c r="N2469" s="31" t="n">
        <v>25243.6</v>
      </c>
      <c r="O2469" s="31" t="n">
        <v>25297.3</v>
      </c>
      <c r="P2469" s="22" t="n">
        <v>0</v>
      </c>
      <c r="Q2469" s="22" t="n">
        <v>0</v>
      </c>
      <c r="R2469" s="22" t="n">
        <v>0</v>
      </c>
    </row>
    <row r="2470">
      <c r="A2470" s="22" t="n">
        <v>202003</v>
      </c>
      <c r="B2470" s="22" t="inlineStr">
        <is>
          <t>03/2020</t>
        </is>
      </c>
      <c r="C2470" s="22" t="n">
        <v>57</v>
      </c>
      <c r="D2470" s="22" t="inlineStr">
        <is>
          <t>S57</t>
        </is>
      </c>
      <c r="E2470" s="22" t="inlineStr">
        <is>
          <t>Nexa New Mexico (S57)</t>
        </is>
      </c>
      <c r="F2470" s="22" t="inlineStr">
        <is>
          <t>Mỹ</t>
        </is>
      </c>
      <c r="G2470" s="22" t="inlineStr">
        <is>
          <t>POS</t>
        </is>
      </c>
      <c r="H2470" s="31" t="n">
        <v>9287.889999999999</v>
      </c>
      <c r="I2470" s="31" t="n">
        <v>0</v>
      </c>
      <c r="J2470" s="31" t="n">
        <v>9287.889999999999</v>
      </c>
      <c r="K2470" s="31" t="n">
        <v>2358.94</v>
      </c>
      <c r="L2470" s="32" t="n">
        <v>3</v>
      </c>
      <c r="M2470" s="32" t="n">
        <v>24</v>
      </c>
      <c r="N2470" s="31" t="n">
        <v>6928.95</v>
      </c>
      <c r="O2470" s="31" t="n">
        <v>9287.889999999999</v>
      </c>
      <c r="P2470" s="22" t="n">
        <v>0</v>
      </c>
      <c r="Q2470" s="22" t="n">
        <v>0</v>
      </c>
      <c r="R2470" s="22" t="n">
        <v>0</v>
      </c>
    </row>
    <row r="2471">
      <c r="A2471" s="22" t="n">
        <v>202003</v>
      </c>
      <c r="B2471" s="22" t="inlineStr">
        <is>
          <t>03/2020</t>
        </is>
      </c>
      <c r="C2471" s="22" t="n">
        <v>59</v>
      </c>
      <c r="D2471" s="22" t="inlineStr">
        <is>
          <t>S59</t>
        </is>
      </c>
      <c r="E2471" s="22" t="inlineStr">
        <is>
          <t>Nexa Oregon (S59)</t>
        </is>
      </c>
      <c r="F2471" s="22" t="inlineStr">
        <is>
          <t>Mỹ</t>
        </is>
      </c>
      <c r="G2471" s="22" t="inlineStr">
        <is>
          <t>POS</t>
        </is>
      </c>
      <c r="H2471" s="31" t="n">
        <v>2944.92</v>
      </c>
      <c r="I2471" s="31" t="n">
        <v>0</v>
      </c>
      <c r="J2471" s="31" t="n">
        <v>2944.92</v>
      </c>
      <c r="K2471" s="31" t="n">
        <v>1799.94</v>
      </c>
      <c r="L2471" s="32" t="n">
        <v>3</v>
      </c>
      <c r="M2471" s="32" t="n">
        <v>13</v>
      </c>
      <c r="N2471" s="31" t="n">
        <v>1144.98</v>
      </c>
      <c r="O2471" s="31" t="n">
        <v>2944.92</v>
      </c>
      <c r="P2471" s="22" t="n">
        <v>0</v>
      </c>
      <c r="Q2471" s="22" t="n">
        <v>0</v>
      </c>
      <c r="R2471" s="22" t="n">
        <v>0</v>
      </c>
    </row>
    <row r="2472">
      <c r="A2472" s="22" t="n">
        <v>202003</v>
      </c>
      <c r="B2472" s="22" t="inlineStr">
        <is>
          <t>03/2020</t>
        </is>
      </c>
      <c r="C2472" s="22" t="n">
        <v>61</v>
      </c>
      <c r="D2472" s="22" t="inlineStr">
        <is>
          <t>S61</t>
        </is>
      </c>
      <c r="E2472" s="22" t="inlineStr">
        <is>
          <t>Nexa South Carolina (S61)</t>
        </is>
      </c>
      <c r="F2472" s="22" t="inlineStr">
        <is>
          <t>Mỹ</t>
        </is>
      </c>
      <c r="G2472" s="22" t="inlineStr">
        <is>
          <t>POS</t>
        </is>
      </c>
      <c r="H2472" s="31" t="n">
        <v>10841.12</v>
      </c>
      <c r="I2472" s="31" t="n">
        <v>0</v>
      </c>
      <c r="J2472" s="31" t="n">
        <v>10841.12</v>
      </c>
      <c r="K2472" s="31" t="n">
        <v>56.99</v>
      </c>
      <c r="L2472" s="32" t="n">
        <v>10</v>
      </c>
      <c r="M2472" s="32" t="n">
        <v>56</v>
      </c>
      <c r="N2472" s="31" t="n">
        <v>10784.13</v>
      </c>
      <c r="O2472" s="31" t="n">
        <v>10841.12</v>
      </c>
      <c r="P2472" s="22" t="n">
        <v>0</v>
      </c>
      <c r="Q2472" s="22" t="n">
        <v>0</v>
      </c>
      <c r="R2472" s="22" t="n">
        <v>0</v>
      </c>
    </row>
    <row r="2473">
      <c r="A2473" s="22" t="n">
        <v>202003</v>
      </c>
      <c r="B2473" s="22" t="inlineStr">
        <is>
          <t>03/2020</t>
        </is>
      </c>
      <c r="C2473" s="22" t="n">
        <v>62</v>
      </c>
      <c r="D2473" s="22" t="inlineStr">
        <is>
          <t>S62</t>
        </is>
      </c>
      <c r="E2473" s="22" t="inlineStr">
        <is>
          <t>Nexa South Dakota (S62)</t>
        </is>
      </c>
      <c r="F2473" s="22" t="inlineStr">
        <is>
          <t>Mỹ</t>
        </is>
      </c>
      <c r="G2473" s="22" t="inlineStr">
        <is>
          <t>POS</t>
        </is>
      </c>
      <c r="H2473" s="31" t="n">
        <v>8545.18</v>
      </c>
      <c r="I2473" s="31" t="n">
        <v>6.45</v>
      </c>
      <c r="J2473" s="31" t="n">
        <v>8538.73</v>
      </c>
      <c r="K2473" s="31" t="n">
        <v>582.89</v>
      </c>
      <c r="L2473" s="32" t="n">
        <v>10</v>
      </c>
      <c r="M2473" s="32" t="n">
        <v>35</v>
      </c>
      <c r="N2473" s="31" t="n">
        <v>7955.84</v>
      </c>
      <c r="O2473" s="31" t="n">
        <v>8538.73</v>
      </c>
      <c r="P2473" s="22" t="n">
        <v>0</v>
      </c>
      <c r="Q2473" s="22" t="n">
        <v>0</v>
      </c>
      <c r="R2473" s="22" t="n">
        <v>0</v>
      </c>
    </row>
    <row r="2474">
      <c r="A2474" s="22" t="n">
        <v>202003</v>
      </c>
      <c r="B2474" s="22" t="inlineStr">
        <is>
          <t>03/2020</t>
        </is>
      </c>
      <c r="C2474" s="22" t="n">
        <v>64</v>
      </c>
      <c r="D2474" s="22" t="inlineStr">
        <is>
          <t>S64</t>
        </is>
      </c>
      <c r="E2474" s="22" t="inlineStr">
        <is>
          <t>Nexa Washington DC (S64)</t>
        </is>
      </c>
      <c r="F2474" s="22" t="inlineStr">
        <is>
          <t>Mỹ</t>
        </is>
      </c>
      <c r="G2474" s="22" t="inlineStr">
        <is>
          <t>POS</t>
        </is>
      </c>
      <c r="H2474" s="31" t="n">
        <v>21217.66</v>
      </c>
      <c r="I2474" s="31" t="n">
        <v>0</v>
      </c>
      <c r="J2474" s="31" t="n">
        <v>21217.66</v>
      </c>
      <c r="K2474" s="31" t="n">
        <v>272.78</v>
      </c>
      <c r="L2474" s="32" t="n">
        <v>6</v>
      </c>
      <c r="M2474" s="32" t="n">
        <v>44</v>
      </c>
      <c r="N2474" s="31" t="n">
        <v>20944.88</v>
      </c>
      <c r="O2474" s="31" t="n">
        <v>21217.66</v>
      </c>
      <c r="P2474" s="22" t="n">
        <v>0</v>
      </c>
      <c r="Q2474" s="22" t="n">
        <v>0</v>
      </c>
      <c r="R2474" s="22" t="n">
        <v>0</v>
      </c>
    </row>
    <row r="2475">
      <c r="A2475" s="22" t="n">
        <v>202003</v>
      </c>
      <c r="B2475" s="22" t="inlineStr">
        <is>
          <t>03/2020</t>
        </is>
      </c>
      <c r="C2475" s="22" t="n">
        <v>65</v>
      </c>
      <c r="D2475" s="22" t="inlineStr">
        <is>
          <t>S65</t>
        </is>
      </c>
      <c r="E2475" s="22" t="inlineStr">
        <is>
          <t>Nexa West Virginia (S65)</t>
        </is>
      </c>
      <c r="F2475" s="22" t="inlineStr">
        <is>
          <t>Mỹ</t>
        </is>
      </c>
      <c r="G2475" s="22" t="inlineStr">
        <is>
          <t>POS</t>
        </is>
      </c>
      <c r="H2475" s="31" t="n">
        <v>36350.06</v>
      </c>
      <c r="I2475" s="31" t="n">
        <v>0</v>
      </c>
      <c r="J2475" s="31" t="n">
        <v>36350.06</v>
      </c>
      <c r="K2475" s="31" t="n">
        <v>230</v>
      </c>
      <c r="L2475" s="32" t="n">
        <v>10</v>
      </c>
      <c r="M2475" s="32" t="n">
        <v>100</v>
      </c>
      <c r="N2475" s="31" t="n">
        <v>36120.06</v>
      </c>
      <c r="O2475" s="31" t="n">
        <v>36350.06</v>
      </c>
      <c r="P2475" s="22" t="n">
        <v>0</v>
      </c>
      <c r="Q2475" s="22" t="n">
        <v>0</v>
      </c>
      <c r="R2475" s="22" t="n">
        <v>0</v>
      </c>
    </row>
    <row r="2476">
      <c r="A2476" s="22" t="n">
        <v>202003</v>
      </c>
      <c r="B2476" s="22" t="inlineStr">
        <is>
          <t>03/2020</t>
        </is>
      </c>
      <c r="C2476" s="22" t="n">
        <v>66</v>
      </c>
      <c r="D2476" s="22" t="inlineStr">
        <is>
          <t>S66</t>
        </is>
      </c>
      <c r="E2476" s="22" t="inlineStr">
        <is>
          <t>Nexa Wyoming (S66)</t>
        </is>
      </c>
      <c r="F2476" s="22" t="inlineStr">
        <is>
          <t>Mỹ</t>
        </is>
      </c>
      <c r="G2476" s="22" t="inlineStr">
        <is>
          <t>POS</t>
        </is>
      </c>
      <c r="H2476" s="31" t="n">
        <v>9020.08</v>
      </c>
      <c r="I2476" s="31" t="n">
        <v>45.9</v>
      </c>
      <c r="J2476" s="31" t="n">
        <v>8974.18</v>
      </c>
      <c r="K2476" s="31" t="n">
        <v>0</v>
      </c>
      <c r="L2476" s="32" t="n">
        <v>4</v>
      </c>
      <c r="M2476" s="32" t="n">
        <v>26</v>
      </c>
      <c r="N2476" s="31" t="n">
        <v>8974.18</v>
      </c>
      <c r="O2476" s="31" t="n">
        <v>8974.18</v>
      </c>
      <c r="P2476" s="22" t="n">
        <v>0</v>
      </c>
      <c r="Q2476" s="22" t="n">
        <v>0</v>
      </c>
      <c r="R2476" s="22" t="n">
        <v>0</v>
      </c>
    </row>
    <row r="2477">
      <c r="A2477" s="22" t="n">
        <v>202004</v>
      </c>
      <c r="B2477" s="22" t="inlineStr">
        <is>
          <t>04/2020</t>
        </is>
      </c>
      <c r="C2477" s="22" t="n">
        <v>0</v>
      </c>
      <c r="D2477" s="22" t="inlineStr">
        <is>
          <t>ONL</t>
        </is>
      </c>
      <c r="E2477" s="22" t="inlineStr">
        <is>
          <t>Nexa Online (website/app)</t>
        </is>
      </c>
      <c r="F2477" s="22" t="inlineStr">
        <is>
          <t>Online</t>
        </is>
      </c>
      <c r="G2477" s="22" t="inlineStr">
        <is>
          <t>ONLINE</t>
        </is>
      </c>
      <c r="H2477" s="31" t="n">
        <v>66139.74000000001</v>
      </c>
      <c r="I2477" s="31" t="n">
        <v>685.23</v>
      </c>
      <c r="J2477" s="31" t="n">
        <v>65454.51</v>
      </c>
      <c r="K2477" s="31" t="n">
        <v>718.99</v>
      </c>
      <c r="L2477" s="32" t="n">
        <v>22</v>
      </c>
      <c r="M2477" s="32" t="n">
        <v>191</v>
      </c>
      <c r="N2477" s="31" t="n">
        <v>17807.74</v>
      </c>
      <c r="O2477" s="31" t="n">
        <v>19396.73</v>
      </c>
      <c r="P2477" s="22" t="n">
        <v>1</v>
      </c>
      <c r="Q2477" s="22" t="n">
        <v>0</v>
      </c>
      <c r="R2477" s="22" t="n">
        <v>0</v>
      </c>
    </row>
    <row r="2478">
      <c r="A2478" s="22" t="n">
        <v>202004</v>
      </c>
      <c r="B2478" s="22" t="inlineStr">
        <is>
          <t>04/2020</t>
        </is>
      </c>
      <c r="C2478" s="22" t="n">
        <v>5</v>
      </c>
      <c r="D2478" s="22" t="inlineStr">
        <is>
          <t>S05</t>
        </is>
      </c>
      <c r="E2478" s="22" t="inlineStr">
        <is>
          <t>Nexa Victoria (S05)</t>
        </is>
      </c>
      <c r="F2478" s="22" t="inlineStr">
        <is>
          <t>Úc</t>
        </is>
      </c>
      <c r="G2478" s="22" t="inlineStr">
        <is>
          <t>POS</t>
        </is>
      </c>
      <c r="H2478" s="31" t="n">
        <v>3472.99</v>
      </c>
      <c r="I2478" s="31" t="n">
        <v>0</v>
      </c>
      <c r="J2478" s="31" t="n">
        <v>3472.99</v>
      </c>
      <c r="K2478" s="31" t="n">
        <v>0</v>
      </c>
      <c r="L2478" s="32" t="n">
        <v>2</v>
      </c>
      <c r="M2478" s="32" t="n">
        <v>6</v>
      </c>
      <c r="N2478" s="31" t="n">
        <v>3472.99</v>
      </c>
      <c r="O2478" s="31" t="n">
        <v>3472.99</v>
      </c>
      <c r="P2478" s="22" t="n">
        <v>0</v>
      </c>
      <c r="Q2478" s="22" t="n">
        <v>0</v>
      </c>
      <c r="R2478" s="22" t="n">
        <v>0</v>
      </c>
    </row>
    <row r="2479">
      <c r="A2479" s="22" t="n">
        <v>202004</v>
      </c>
      <c r="B2479" s="22" t="inlineStr">
        <is>
          <t>04/2020</t>
        </is>
      </c>
      <c r="C2479" s="22" t="n">
        <v>6</v>
      </c>
      <c r="D2479" s="22" t="inlineStr">
        <is>
          <t>S06</t>
        </is>
      </c>
      <c r="E2479" s="22" t="inlineStr">
        <is>
          <t>Nexa Western Australia (S06)</t>
        </is>
      </c>
      <c r="F2479" s="22" t="inlineStr">
        <is>
          <t>Úc</t>
        </is>
      </c>
      <c r="G2479" s="22" t="inlineStr">
        <is>
          <t>POS</t>
        </is>
      </c>
      <c r="H2479" s="31" t="n">
        <v>6758.35</v>
      </c>
      <c r="I2479" s="31" t="n">
        <v>0</v>
      </c>
      <c r="J2479" s="31" t="n">
        <v>6758.35</v>
      </c>
      <c r="K2479" s="31" t="n">
        <v>0</v>
      </c>
      <c r="L2479" s="32" t="n">
        <v>1</v>
      </c>
      <c r="M2479" s="32" t="n">
        <v>24</v>
      </c>
      <c r="N2479" s="31" t="n">
        <v>6758.35</v>
      </c>
      <c r="O2479" s="31" t="n">
        <v>6758.35</v>
      </c>
      <c r="P2479" s="22" t="n">
        <v>0</v>
      </c>
      <c r="Q2479" s="22" t="n">
        <v>0</v>
      </c>
      <c r="R2479" s="22" t="n">
        <v>0</v>
      </c>
    </row>
    <row r="2480">
      <c r="A2480" s="22" t="n">
        <v>202004</v>
      </c>
      <c r="B2480" s="22" t="inlineStr">
        <is>
          <t>04/2020</t>
        </is>
      </c>
      <c r="C2480" s="22" t="n">
        <v>8</v>
      </c>
      <c r="D2480" s="22" t="inlineStr">
        <is>
          <t>S08</t>
        </is>
      </c>
      <c r="E2480" s="22" t="inlineStr">
        <is>
          <t>Nexa Newfoundland and Labrador (S08)</t>
        </is>
      </c>
      <c r="F2480" s="22" t="inlineStr">
        <is>
          <t>Canada</t>
        </is>
      </c>
      <c r="G2480" s="22" t="inlineStr">
        <is>
          <t>POS</t>
        </is>
      </c>
      <c r="H2480" s="31" t="n">
        <v>16600.92</v>
      </c>
      <c r="I2480" s="31" t="n">
        <v>0</v>
      </c>
      <c r="J2480" s="31" t="n">
        <v>16600.92</v>
      </c>
      <c r="K2480" s="31" t="n">
        <v>0</v>
      </c>
      <c r="L2480" s="32" t="n">
        <v>2</v>
      </c>
      <c r="M2480" s="32" t="n">
        <v>32</v>
      </c>
      <c r="N2480" s="31" t="n">
        <v>16600.92</v>
      </c>
      <c r="O2480" s="31" t="n">
        <v>16600.92</v>
      </c>
      <c r="P2480" s="22" t="n">
        <v>0</v>
      </c>
      <c r="Q2480" s="22" t="n">
        <v>0</v>
      </c>
      <c r="R2480" s="22" t="n">
        <v>0</v>
      </c>
    </row>
    <row r="2481">
      <c r="A2481" s="22" t="n">
        <v>202004</v>
      </c>
      <c r="B2481" s="22" t="inlineStr">
        <is>
          <t>04/2020</t>
        </is>
      </c>
      <c r="C2481" s="22" t="n">
        <v>9</v>
      </c>
      <c r="D2481" s="22" t="inlineStr">
        <is>
          <t>S09</t>
        </is>
      </c>
      <c r="E2481" s="22" t="inlineStr">
        <is>
          <t>Nexa Northwest Territories (S09)</t>
        </is>
      </c>
      <c r="F2481" s="22" t="inlineStr">
        <is>
          <t>Canada</t>
        </is>
      </c>
      <c r="G2481" s="22" t="inlineStr">
        <is>
          <t>POS</t>
        </is>
      </c>
      <c r="H2481" s="31" t="n">
        <v>10548.87</v>
      </c>
      <c r="I2481" s="31" t="n">
        <v>0</v>
      </c>
      <c r="J2481" s="31" t="n">
        <v>10548.87</v>
      </c>
      <c r="K2481" s="31" t="n">
        <v>0</v>
      </c>
      <c r="L2481" s="32" t="n">
        <v>3</v>
      </c>
      <c r="M2481" s="32" t="n">
        <v>32</v>
      </c>
      <c r="N2481" s="31" t="n">
        <v>10548.87</v>
      </c>
      <c r="O2481" s="31" t="n">
        <v>10548.87</v>
      </c>
      <c r="P2481" s="22" t="n">
        <v>0</v>
      </c>
      <c r="Q2481" s="22" t="n">
        <v>0</v>
      </c>
      <c r="R2481" s="22" t="n">
        <v>0</v>
      </c>
    </row>
    <row r="2482">
      <c r="A2482" s="22" t="n">
        <v>202004</v>
      </c>
      <c r="B2482" s="22" t="inlineStr">
        <is>
          <t>04/2020</t>
        </is>
      </c>
      <c r="C2482" s="22" t="n">
        <v>10</v>
      </c>
      <c r="D2482" s="22" t="inlineStr">
        <is>
          <t>S10</t>
        </is>
      </c>
      <c r="E2482" s="22" t="inlineStr">
        <is>
          <t>Nexa Nunavut (S10)</t>
        </is>
      </c>
      <c r="F2482" s="22" t="inlineStr">
        <is>
          <t>Canada</t>
        </is>
      </c>
      <c r="G2482" s="22" t="inlineStr">
        <is>
          <t>POS</t>
        </is>
      </c>
      <c r="H2482" s="31" t="n">
        <v>0</v>
      </c>
      <c r="I2482" s="31" t="n">
        <v>0</v>
      </c>
      <c r="J2482" s="31" t="n">
        <v>0</v>
      </c>
      <c r="K2482" s="31" t="n">
        <v>192</v>
      </c>
      <c r="L2482" s="32" t="n">
        <v>0</v>
      </c>
      <c r="M2482" s="32" t="n">
        <v>0</v>
      </c>
      <c r="N2482" s="31" t="n">
        <v>-192</v>
      </c>
      <c r="O2482" s="31" t="n">
        <v>0</v>
      </c>
      <c r="P2482" s="22" t="n">
        <v>0</v>
      </c>
      <c r="Q2482" s="22" t="n">
        <v>0</v>
      </c>
      <c r="R2482" s="22" t="n">
        <v>0</v>
      </c>
    </row>
    <row r="2483">
      <c r="A2483" s="22" t="n">
        <v>202004</v>
      </c>
      <c r="B2483" s="22" t="inlineStr">
        <is>
          <t>04/2020</t>
        </is>
      </c>
      <c r="C2483" s="22" t="n">
        <v>13</v>
      </c>
      <c r="D2483" s="22" t="inlineStr">
        <is>
          <t>S13</t>
        </is>
      </c>
      <c r="E2483" s="22" t="inlineStr">
        <is>
          <t>Nexa Corse (S13)</t>
        </is>
      </c>
      <c r="F2483" s="22" t="inlineStr">
        <is>
          <t>Pháp</t>
        </is>
      </c>
      <c r="G2483" s="22" t="inlineStr">
        <is>
          <t>POS</t>
        </is>
      </c>
      <c r="H2483" s="31" t="n">
        <v>733.78</v>
      </c>
      <c r="I2483" s="31" t="n">
        <v>0</v>
      </c>
      <c r="J2483" s="31" t="n">
        <v>733.78</v>
      </c>
      <c r="K2483" s="31" t="n">
        <v>0</v>
      </c>
      <c r="L2483" s="32" t="n">
        <v>1</v>
      </c>
      <c r="M2483" s="32" t="n">
        <v>4</v>
      </c>
      <c r="N2483" s="31" t="n">
        <v>733.78</v>
      </c>
      <c r="O2483" s="31" t="n">
        <v>733.78</v>
      </c>
      <c r="P2483" s="22" t="n">
        <v>0</v>
      </c>
      <c r="Q2483" s="22" t="n">
        <v>0</v>
      </c>
      <c r="R2483" s="22" t="n">
        <v>1</v>
      </c>
    </row>
    <row r="2484">
      <c r="A2484" s="22" t="n">
        <v>202004</v>
      </c>
      <c r="B2484" s="22" t="inlineStr">
        <is>
          <t>04/2020</t>
        </is>
      </c>
      <c r="C2484" s="22" t="n">
        <v>14</v>
      </c>
      <c r="D2484" s="22" t="inlineStr">
        <is>
          <t>S14</t>
        </is>
      </c>
      <c r="E2484" s="22" t="inlineStr">
        <is>
          <t>Nexa Franche-Comté (S14)</t>
        </is>
      </c>
      <c r="F2484" s="22" t="inlineStr">
        <is>
          <t>Pháp</t>
        </is>
      </c>
      <c r="G2484" s="22" t="inlineStr">
        <is>
          <t>POS</t>
        </is>
      </c>
      <c r="H2484" s="31" t="n">
        <v>595.78</v>
      </c>
      <c r="I2484" s="31" t="n">
        <v>0</v>
      </c>
      <c r="J2484" s="31" t="n">
        <v>595.78</v>
      </c>
      <c r="K2484" s="31" t="n">
        <v>0</v>
      </c>
      <c r="L2484" s="32" t="n">
        <v>1</v>
      </c>
      <c r="M2484" s="32" t="n">
        <v>4</v>
      </c>
      <c r="N2484" s="31" t="n">
        <v>595.78</v>
      </c>
      <c r="O2484" s="31" t="n">
        <v>595.78</v>
      </c>
      <c r="P2484" s="22" t="n">
        <v>0</v>
      </c>
      <c r="Q2484" s="22" t="n">
        <v>0</v>
      </c>
      <c r="R2484" s="22" t="n">
        <v>0</v>
      </c>
    </row>
    <row r="2485">
      <c r="A2485" s="22" t="n">
        <v>202004</v>
      </c>
      <c r="B2485" s="22" t="inlineStr">
        <is>
          <t>04/2020</t>
        </is>
      </c>
      <c r="C2485" s="22" t="n">
        <v>21</v>
      </c>
      <c r="D2485" s="22" t="inlineStr">
        <is>
          <t>S21</t>
        </is>
      </c>
      <c r="E2485" s="22" t="inlineStr">
        <is>
          <t>Nexa Freie Hansestadt Bremen (S21)</t>
        </is>
      </c>
      <c r="F2485" s="22" t="inlineStr">
        <is>
          <t>Đức</t>
        </is>
      </c>
      <c r="G2485" s="22" t="inlineStr">
        <is>
          <t>POS</t>
        </is>
      </c>
      <c r="H2485" s="31" t="n">
        <v>1196</v>
      </c>
      <c r="I2485" s="31" t="n">
        <v>0</v>
      </c>
      <c r="J2485" s="31" t="n">
        <v>1196</v>
      </c>
      <c r="K2485" s="31" t="n">
        <v>0</v>
      </c>
      <c r="L2485" s="32" t="n">
        <v>1</v>
      </c>
      <c r="M2485" s="32" t="n">
        <v>4</v>
      </c>
      <c r="N2485" s="31" t="n">
        <v>1196</v>
      </c>
      <c r="O2485" s="31" t="n">
        <v>1196</v>
      </c>
      <c r="P2485" s="22" t="n">
        <v>0</v>
      </c>
      <c r="Q2485" s="22" t="n">
        <v>0</v>
      </c>
      <c r="R2485" s="22" t="n">
        <v>0</v>
      </c>
    </row>
    <row r="2486">
      <c r="A2486" s="22" t="n">
        <v>202004</v>
      </c>
      <c r="B2486" s="22" t="inlineStr">
        <is>
          <t>04/2020</t>
        </is>
      </c>
      <c r="C2486" s="22" t="n">
        <v>22</v>
      </c>
      <c r="D2486" s="22" t="inlineStr">
        <is>
          <t>S22</t>
        </is>
      </c>
      <c r="E2486" s="22" t="inlineStr">
        <is>
          <t>Nexa Freistaat Thüringen (S22)</t>
        </is>
      </c>
      <c r="F2486" s="22" t="inlineStr">
        <is>
          <t>Đức</t>
        </is>
      </c>
      <c r="G2486" s="22" t="inlineStr">
        <is>
          <t>POS</t>
        </is>
      </c>
      <c r="H2486" s="31" t="n">
        <v>3.35</v>
      </c>
      <c r="I2486" s="31" t="n">
        <v>0</v>
      </c>
      <c r="J2486" s="31" t="n">
        <v>3.35</v>
      </c>
      <c r="K2486" s="31" t="n">
        <v>0</v>
      </c>
      <c r="L2486" s="32" t="n">
        <v>1</v>
      </c>
      <c r="M2486" s="32" t="n">
        <v>1</v>
      </c>
      <c r="N2486" s="31" t="n">
        <v>3.35</v>
      </c>
      <c r="O2486" s="31" t="n">
        <v>3.35</v>
      </c>
      <c r="P2486" s="22" t="n">
        <v>0</v>
      </c>
      <c r="Q2486" s="22" t="n">
        <v>0</v>
      </c>
      <c r="R2486" s="22" t="n">
        <v>0</v>
      </c>
    </row>
    <row r="2487">
      <c r="A2487" s="22" t="n">
        <v>202004</v>
      </c>
      <c r="B2487" s="22" t="inlineStr">
        <is>
          <t>04/2020</t>
        </is>
      </c>
      <c r="C2487" s="22" t="n">
        <v>24</v>
      </c>
      <c r="D2487" s="22" t="inlineStr">
        <is>
          <t>S24</t>
        </is>
      </c>
      <c r="E2487" s="22" t="inlineStr">
        <is>
          <t>Nexa Hessen (S24)</t>
        </is>
      </c>
      <c r="F2487" s="22" t="inlineStr">
        <is>
          <t>Đức</t>
        </is>
      </c>
      <c r="G2487" s="22" t="inlineStr">
        <is>
          <t>POS</t>
        </is>
      </c>
      <c r="H2487" s="31" t="n">
        <v>7680.13</v>
      </c>
      <c r="I2487" s="31" t="n">
        <v>0</v>
      </c>
      <c r="J2487" s="31" t="n">
        <v>7680.13</v>
      </c>
      <c r="K2487" s="31" t="n">
        <v>0</v>
      </c>
      <c r="L2487" s="32" t="n">
        <v>2</v>
      </c>
      <c r="M2487" s="32" t="n">
        <v>27</v>
      </c>
      <c r="N2487" s="31" t="n">
        <v>7680.13</v>
      </c>
      <c r="O2487" s="31" t="n">
        <v>7680.13</v>
      </c>
      <c r="P2487" s="22" t="n">
        <v>0</v>
      </c>
      <c r="Q2487" s="22" t="n">
        <v>0</v>
      </c>
      <c r="R2487" s="22" t="n">
        <v>0</v>
      </c>
    </row>
    <row r="2488">
      <c r="A2488" s="22" t="n">
        <v>202004</v>
      </c>
      <c r="B2488" s="22" t="inlineStr">
        <is>
          <t>04/2020</t>
        </is>
      </c>
      <c r="C2488" s="22" t="n">
        <v>26</v>
      </c>
      <c r="D2488" s="22" t="inlineStr">
        <is>
          <t>S26</t>
        </is>
      </c>
      <c r="E2488" s="22" t="inlineStr">
        <is>
          <t>Nexa Saarland (S26)</t>
        </is>
      </c>
      <c r="F2488" s="22" t="inlineStr">
        <is>
          <t>Đức</t>
        </is>
      </c>
      <c r="G2488" s="22" t="inlineStr">
        <is>
          <t>POS</t>
        </is>
      </c>
      <c r="H2488" s="31" t="n">
        <v>1908.54</v>
      </c>
      <c r="I2488" s="31" t="n">
        <v>0</v>
      </c>
      <c r="J2488" s="31" t="n">
        <v>1908.54</v>
      </c>
      <c r="K2488" s="31" t="n">
        <v>0</v>
      </c>
      <c r="L2488" s="32" t="n">
        <v>1</v>
      </c>
      <c r="M2488" s="32" t="n">
        <v>16</v>
      </c>
      <c r="N2488" s="31" t="n">
        <v>1908.54</v>
      </c>
      <c r="O2488" s="31" t="n">
        <v>1908.54</v>
      </c>
      <c r="P2488" s="22" t="n">
        <v>0</v>
      </c>
      <c r="Q2488" s="22" t="n">
        <v>0</v>
      </c>
      <c r="R2488" s="22" t="n">
        <v>0</v>
      </c>
    </row>
    <row r="2489">
      <c r="A2489" s="22" t="n">
        <v>202004</v>
      </c>
      <c r="B2489" s="22" t="inlineStr">
        <is>
          <t>04/2020</t>
        </is>
      </c>
      <c r="C2489" s="22" t="n">
        <v>36</v>
      </c>
      <c r="D2489" s="22" t="inlineStr">
        <is>
          <t>S36</t>
        </is>
      </c>
      <c r="E2489" s="22" t="inlineStr">
        <is>
          <t>Nexa Armagh (S36)</t>
        </is>
      </c>
      <c r="F2489" s="22" t="inlineStr">
        <is>
          <t>Anh</t>
        </is>
      </c>
      <c r="G2489" s="22" t="inlineStr">
        <is>
          <t>POS</t>
        </is>
      </c>
      <c r="H2489" s="31" t="n">
        <v>1553.83</v>
      </c>
      <c r="I2489" s="31" t="n">
        <v>0</v>
      </c>
      <c r="J2489" s="31" t="n">
        <v>1553.83</v>
      </c>
      <c r="K2489" s="31" t="n">
        <v>0</v>
      </c>
      <c r="L2489" s="32" t="n">
        <v>2</v>
      </c>
      <c r="M2489" s="32" t="n">
        <v>22</v>
      </c>
      <c r="N2489" s="31" t="n">
        <v>1553.83</v>
      </c>
      <c r="O2489" s="31" t="n">
        <v>1553.83</v>
      </c>
      <c r="P2489" s="22" t="n">
        <v>0</v>
      </c>
      <c r="Q2489" s="22" t="n">
        <v>0</v>
      </c>
      <c r="R2489" s="22" t="n">
        <v>0</v>
      </c>
    </row>
    <row r="2490">
      <c r="A2490" s="22" t="n">
        <v>202004</v>
      </c>
      <c r="B2490" s="22" t="inlineStr">
        <is>
          <t>04/2020</t>
        </is>
      </c>
      <c r="C2490" s="22" t="n">
        <v>37</v>
      </c>
      <c r="D2490" s="22" t="inlineStr">
        <is>
          <t>S37</t>
        </is>
      </c>
      <c r="E2490" s="22" t="inlineStr">
        <is>
          <t>Nexa Ayrshire (S37)</t>
        </is>
      </c>
      <c r="F2490" s="22" t="inlineStr">
        <is>
          <t>Anh</t>
        </is>
      </c>
      <c r="G2490" s="22" t="inlineStr">
        <is>
          <t>POS</t>
        </is>
      </c>
      <c r="H2490" s="31" t="n">
        <v>2412</v>
      </c>
      <c r="I2490" s="31" t="n">
        <v>0</v>
      </c>
      <c r="J2490" s="31" t="n">
        <v>2412</v>
      </c>
      <c r="K2490" s="31" t="n">
        <v>0</v>
      </c>
      <c r="L2490" s="32" t="n">
        <v>1</v>
      </c>
      <c r="M2490" s="32" t="n">
        <v>9</v>
      </c>
      <c r="N2490" s="31" t="n">
        <v>2412</v>
      </c>
      <c r="O2490" s="31" t="n">
        <v>2412</v>
      </c>
      <c r="P2490" s="22" t="n">
        <v>0</v>
      </c>
      <c r="Q2490" s="22" t="n">
        <v>0</v>
      </c>
      <c r="R2490" s="22" t="n">
        <v>0</v>
      </c>
    </row>
    <row r="2491">
      <c r="A2491" s="22" t="n">
        <v>202004</v>
      </c>
      <c r="B2491" s="22" t="inlineStr">
        <is>
          <t>04/2020</t>
        </is>
      </c>
      <c r="C2491" s="22" t="n">
        <v>38</v>
      </c>
      <c r="D2491" s="22" t="inlineStr">
        <is>
          <t>S38</t>
        </is>
      </c>
      <c r="E2491" s="22" t="inlineStr">
        <is>
          <t>Nexa Belfast (S38)</t>
        </is>
      </c>
      <c r="F2491" s="22" t="inlineStr">
        <is>
          <t>Anh</t>
        </is>
      </c>
      <c r="G2491" s="22" t="inlineStr">
        <is>
          <t>POS</t>
        </is>
      </c>
      <c r="H2491" s="31" t="n">
        <v>7409.38</v>
      </c>
      <c r="I2491" s="31" t="n">
        <v>0</v>
      </c>
      <c r="J2491" s="31" t="n">
        <v>7409.38</v>
      </c>
      <c r="K2491" s="31" t="n">
        <v>159.99</v>
      </c>
      <c r="L2491" s="32" t="n">
        <v>2</v>
      </c>
      <c r="M2491" s="32" t="n">
        <v>8</v>
      </c>
      <c r="N2491" s="31" t="n">
        <v>7249.39</v>
      </c>
      <c r="O2491" s="31" t="n">
        <v>7409.38</v>
      </c>
      <c r="P2491" s="22" t="n">
        <v>0</v>
      </c>
      <c r="Q2491" s="22" t="n">
        <v>0</v>
      </c>
      <c r="R2491" s="22" t="n">
        <v>0</v>
      </c>
    </row>
    <row r="2492">
      <c r="A2492" s="22" t="n">
        <v>202004</v>
      </c>
      <c r="B2492" s="22" t="inlineStr">
        <is>
          <t>04/2020</t>
        </is>
      </c>
      <c r="C2492" s="22" t="n">
        <v>39</v>
      </c>
      <c r="D2492" s="22" t="inlineStr">
        <is>
          <t>S39</t>
        </is>
      </c>
      <c r="E2492" s="22" t="inlineStr">
        <is>
          <t>Nexa Blaenau Gwent (S39)</t>
        </is>
      </c>
      <c r="F2492" s="22" t="inlineStr">
        <is>
          <t>Anh</t>
        </is>
      </c>
      <c r="G2492" s="22" t="inlineStr">
        <is>
          <t>POS</t>
        </is>
      </c>
      <c r="H2492" s="31" t="n">
        <v>6952</v>
      </c>
      <c r="I2492" s="31" t="n">
        <v>0</v>
      </c>
      <c r="J2492" s="31" t="n">
        <v>6952</v>
      </c>
      <c r="K2492" s="31" t="n">
        <v>0</v>
      </c>
      <c r="L2492" s="32" t="n">
        <v>4</v>
      </c>
      <c r="M2492" s="32" t="n">
        <v>33</v>
      </c>
      <c r="N2492" s="31" t="n">
        <v>6952</v>
      </c>
      <c r="O2492" s="31" t="n">
        <v>6952</v>
      </c>
      <c r="P2492" s="22" t="n">
        <v>0</v>
      </c>
      <c r="Q2492" s="22" t="n">
        <v>0</v>
      </c>
      <c r="R2492" s="22" t="n">
        <v>0</v>
      </c>
    </row>
    <row r="2493">
      <c r="A2493" s="22" t="n">
        <v>202004</v>
      </c>
      <c r="B2493" s="22" t="inlineStr">
        <is>
          <t>04/2020</t>
        </is>
      </c>
      <c r="C2493" s="22" t="n">
        <v>40</v>
      </c>
      <c r="D2493" s="22" t="inlineStr">
        <is>
          <t>S40</t>
        </is>
      </c>
      <c r="E2493" s="22" t="inlineStr">
        <is>
          <t>Nexa Dungannon and South Tyrone (S40)</t>
        </is>
      </c>
      <c r="F2493" s="22" t="inlineStr">
        <is>
          <t>Anh</t>
        </is>
      </c>
      <c r="G2493" s="22" t="inlineStr">
        <is>
          <t>POS</t>
        </is>
      </c>
      <c r="H2493" s="31" t="n">
        <v>23.72</v>
      </c>
      <c r="I2493" s="31" t="n">
        <v>0</v>
      </c>
      <c r="J2493" s="31" t="n">
        <v>23.72</v>
      </c>
      <c r="K2493" s="31" t="n">
        <v>0</v>
      </c>
      <c r="L2493" s="32" t="n">
        <v>1</v>
      </c>
      <c r="M2493" s="32" t="n">
        <v>1</v>
      </c>
      <c r="N2493" s="31" t="n">
        <v>23.72</v>
      </c>
      <c r="O2493" s="31" t="n">
        <v>23.72</v>
      </c>
      <c r="P2493" s="22" t="n">
        <v>0</v>
      </c>
      <c r="Q2493" s="22" t="n">
        <v>0</v>
      </c>
      <c r="R2493" s="22" t="n">
        <v>0</v>
      </c>
    </row>
    <row r="2494">
      <c r="A2494" s="22" t="n">
        <v>202004</v>
      </c>
      <c r="B2494" s="22" t="inlineStr">
        <is>
          <t>04/2020</t>
        </is>
      </c>
      <c r="C2494" s="22" t="n">
        <v>42</v>
      </c>
      <c r="D2494" s="22" t="inlineStr">
        <is>
          <t>S42</t>
        </is>
      </c>
      <c r="E2494" s="22" t="inlineStr">
        <is>
          <t>Nexa North Down (S42)</t>
        </is>
      </c>
      <c r="F2494" s="22" t="inlineStr">
        <is>
          <t>Anh</t>
        </is>
      </c>
      <c r="G2494" s="22" t="inlineStr">
        <is>
          <t>POS</t>
        </is>
      </c>
      <c r="H2494" s="31" t="n">
        <v>474.26</v>
      </c>
      <c r="I2494" s="31" t="n">
        <v>0</v>
      </c>
      <c r="J2494" s="31" t="n">
        <v>474.26</v>
      </c>
      <c r="K2494" s="31" t="n">
        <v>0</v>
      </c>
      <c r="L2494" s="32" t="n">
        <v>1</v>
      </c>
      <c r="M2494" s="32" t="n">
        <v>4</v>
      </c>
      <c r="N2494" s="31" t="n">
        <v>474.26</v>
      </c>
      <c r="O2494" s="31" t="n">
        <v>474.26</v>
      </c>
      <c r="P2494" s="22" t="n">
        <v>0</v>
      </c>
      <c r="Q2494" s="22" t="n">
        <v>0</v>
      </c>
      <c r="R2494" s="22" t="n">
        <v>0</v>
      </c>
    </row>
    <row r="2495">
      <c r="A2495" s="22" t="n">
        <v>202004</v>
      </c>
      <c r="B2495" s="22" t="inlineStr">
        <is>
          <t>04/2020</t>
        </is>
      </c>
      <c r="C2495" s="22" t="n">
        <v>43</v>
      </c>
      <c r="D2495" s="22" t="inlineStr">
        <is>
          <t>S43</t>
        </is>
      </c>
      <c r="E2495" s="22" t="inlineStr">
        <is>
          <t>Nexa Alaska (S43)</t>
        </is>
      </c>
      <c r="F2495" s="22" t="inlineStr">
        <is>
          <t>Mỹ</t>
        </is>
      </c>
      <c r="G2495" s="22" t="inlineStr">
        <is>
          <t>POS</t>
        </is>
      </c>
      <c r="H2495" s="31" t="n">
        <v>2594.35</v>
      </c>
      <c r="I2495" s="31" t="n">
        <v>0</v>
      </c>
      <c r="J2495" s="31" t="n">
        <v>2594.35</v>
      </c>
      <c r="K2495" s="31" t="n">
        <v>1148</v>
      </c>
      <c r="L2495" s="32" t="n">
        <v>2</v>
      </c>
      <c r="M2495" s="32" t="n">
        <v>13</v>
      </c>
      <c r="N2495" s="31" t="n">
        <v>1446.35</v>
      </c>
      <c r="O2495" s="31" t="n">
        <v>2594.35</v>
      </c>
      <c r="P2495" s="22" t="n">
        <v>0</v>
      </c>
      <c r="Q2495" s="22" t="n">
        <v>0</v>
      </c>
      <c r="R2495" s="22" t="n">
        <v>0</v>
      </c>
    </row>
    <row r="2496">
      <c r="A2496" s="22" t="n">
        <v>202004</v>
      </c>
      <c r="B2496" s="22" t="inlineStr">
        <is>
          <t>04/2020</t>
        </is>
      </c>
      <c r="C2496" s="22" t="n">
        <v>45</v>
      </c>
      <c r="D2496" s="22" t="inlineStr">
        <is>
          <t>S45</t>
        </is>
      </c>
      <c r="E2496" s="22" t="inlineStr">
        <is>
          <t>Nexa Connecticut (S45)</t>
        </is>
      </c>
      <c r="F2496" s="22" t="inlineStr">
        <is>
          <t>Mỹ</t>
        </is>
      </c>
      <c r="G2496" s="22" t="inlineStr">
        <is>
          <t>POS</t>
        </is>
      </c>
      <c r="H2496" s="31" t="n">
        <v>4322.64</v>
      </c>
      <c r="I2496" s="31" t="n">
        <v>0</v>
      </c>
      <c r="J2496" s="31" t="n">
        <v>4322.64</v>
      </c>
      <c r="K2496" s="31" t="n">
        <v>0</v>
      </c>
      <c r="L2496" s="32" t="n">
        <v>2</v>
      </c>
      <c r="M2496" s="32" t="n">
        <v>17</v>
      </c>
      <c r="N2496" s="31" t="n">
        <v>4322.64</v>
      </c>
      <c r="O2496" s="31" t="n">
        <v>4322.64</v>
      </c>
      <c r="P2496" s="22" t="n">
        <v>0</v>
      </c>
      <c r="Q2496" s="22" t="n">
        <v>0</v>
      </c>
      <c r="R2496" s="22" t="n">
        <v>0</v>
      </c>
    </row>
    <row r="2497">
      <c r="A2497" s="22" t="n">
        <v>202004</v>
      </c>
      <c r="B2497" s="22" t="inlineStr">
        <is>
          <t>04/2020</t>
        </is>
      </c>
      <c r="C2497" s="22" t="n">
        <v>47</v>
      </c>
      <c r="D2497" s="22" t="inlineStr">
        <is>
          <t>S47</t>
        </is>
      </c>
      <c r="E2497" s="22" t="inlineStr">
        <is>
          <t>Nexa Hawaii (S47)</t>
        </is>
      </c>
      <c r="F2497" s="22" t="inlineStr">
        <is>
          <t>Mỹ</t>
        </is>
      </c>
      <c r="G2497" s="22" t="inlineStr">
        <is>
          <t>POS</t>
        </is>
      </c>
      <c r="H2497" s="31" t="n">
        <v>14503.27</v>
      </c>
      <c r="I2497" s="31" t="n">
        <v>0</v>
      </c>
      <c r="J2497" s="31" t="n">
        <v>14503.27</v>
      </c>
      <c r="K2497" s="31" t="n">
        <v>0</v>
      </c>
      <c r="L2497" s="32" t="n">
        <v>4</v>
      </c>
      <c r="M2497" s="32" t="n">
        <v>57</v>
      </c>
      <c r="N2497" s="31" t="n">
        <v>14503.27</v>
      </c>
      <c r="O2497" s="31" t="n">
        <v>14503.27</v>
      </c>
      <c r="P2497" s="22" t="n">
        <v>0</v>
      </c>
      <c r="Q2497" s="22" t="n">
        <v>0</v>
      </c>
      <c r="R2497" s="22" t="n">
        <v>0</v>
      </c>
    </row>
    <row r="2498">
      <c r="A2498" s="22" t="n">
        <v>202004</v>
      </c>
      <c r="B2498" s="22" t="inlineStr">
        <is>
          <t>04/2020</t>
        </is>
      </c>
      <c r="C2498" s="22" t="n">
        <v>49</v>
      </c>
      <c r="D2498" s="22" t="inlineStr">
        <is>
          <t>S49</t>
        </is>
      </c>
      <c r="E2498" s="22" t="inlineStr">
        <is>
          <t>Nexa Iowa (S49)</t>
        </is>
      </c>
      <c r="F2498" s="22" t="inlineStr">
        <is>
          <t>Mỹ</t>
        </is>
      </c>
      <c r="G2498" s="22" t="inlineStr">
        <is>
          <t>POS</t>
        </is>
      </c>
      <c r="H2498" s="31" t="n">
        <v>3499.5</v>
      </c>
      <c r="I2498" s="31" t="n">
        <v>0</v>
      </c>
      <c r="J2498" s="31" t="n">
        <v>3499.5</v>
      </c>
      <c r="K2498" s="31" t="n">
        <v>0</v>
      </c>
      <c r="L2498" s="32" t="n">
        <v>1</v>
      </c>
      <c r="M2498" s="32" t="n">
        <v>10</v>
      </c>
      <c r="N2498" s="31" t="n">
        <v>3499.5</v>
      </c>
      <c r="O2498" s="31" t="n">
        <v>3499.5</v>
      </c>
      <c r="P2498" s="22" t="n">
        <v>0</v>
      </c>
      <c r="Q2498" s="22" t="n">
        <v>0</v>
      </c>
      <c r="R2498" s="22" t="n">
        <v>0</v>
      </c>
    </row>
    <row r="2499">
      <c r="A2499" s="22" t="n">
        <v>202004</v>
      </c>
      <c r="B2499" s="22" t="inlineStr">
        <is>
          <t>04/2020</t>
        </is>
      </c>
      <c r="C2499" s="22" t="n">
        <v>50</v>
      </c>
      <c r="D2499" s="22" t="inlineStr">
        <is>
          <t>S50</t>
        </is>
      </c>
      <c r="E2499" s="22" t="inlineStr">
        <is>
          <t>Nexa Kansas (S50)</t>
        </is>
      </c>
      <c r="F2499" s="22" t="inlineStr">
        <is>
          <t>Mỹ</t>
        </is>
      </c>
      <c r="G2499" s="22" t="inlineStr">
        <is>
          <t>POS</t>
        </is>
      </c>
      <c r="H2499" s="31" t="n">
        <v>8850</v>
      </c>
      <c r="I2499" s="31" t="n">
        <v>0</v>
      </c>
      <c r="J2499" s="31" t="n">
        <v>8850</v>
      </c>
      <c r="K2499" s="31" t="n">
        <v>0</v>
      </c>
      <c r="L2499" s="32" t="n">
        <v>1</v>
      </c>
      <c r="M2499" s="32" t="n">
        <v>6</v>
      </c>
      <c r="N2499" s="31" t="n">
        <v>8850</v>
      </c>
      <c r="O2499" s="31" t="n">
        <v>8850</v>
      </c>
      <c r="P2499" s="22" t="n">
        <v>0</v>
      </c>
      <c r="Q2499" s="22" t="n">
        <v>0</v>
      </c>
      <c r="R2499" s="22" t="n">
        <v>0</v>
      </c>
    </row>
    <row r="2500">
      <c r="A2500" s="22" t="n">
        <v>202004</v>
      </c>
      <c r="B2500" s="22" t="inlineStr">
        <is>
          <t>04/2020</t>
        </is>
      </c>
      <c r="C2500" s="22" t="n">
        <v>51</v>
      </c>
      <c r="D2500" s="22" t="inlineStr">
        <is>
          <t>S51</t>
        </is>
      </c>
      <c r="E2500" s="22" t="inlineStr">
        <is>
          <t>Nexa Maine (S51)</t>
        </is>
      </c>
      <c r="F2500" s="22" t="inlineStr">
        <is>
          <t>Mỹ</t>
        </is>
      </c>
      <c r="G2500" s="22" t="inlineStr">
        <is>
          <t>POS</t>
        </is>
      </c>
      <c r="H2500" s="31" t="n">
        <v>1199.7</v>
      </c>
      <c r="I2500" s="31" t="n">
        <v>0</v>
      </c>
      <c r="J2500" s="31" t="n">
        <v>1199.7</v>
      </c>
      <c r="K2500" s="31" t="n">
        <v>0</v>
      </c>
      <c r="L2500" s="32" t="n">
        <v>1</v>
      </c>
      <c r="M2500" s="32" t="n">
        <v>6</v>
      </c>
      <c r="N2500" s="31" t="n">
        <v>1199.7</v>
      </c>
      <c r="O2500" s="31" t="n">
        <v>1199.7</v>
      </c>
      <c r="P2500" s="22" t="n">
        <v>0</v>
      </c>
      <c r="Q2500" s="22" t="n">
        <v>0</v>
      </c>
      <c r="R2500" s="22" t="n">
        <v>0</v>
      </c>
    </row>
    <row r="2501">
      <c r="A2501" s="22" t="n">
        <v>202004</v>
      </c>
      <c r="B2501" s="22" t="inlineStr">
        <is>
          <t>04/2020</t>
        </is>
      </c>
      <c r="C2501" s="22" t="n">
        <v>53</v>
      </c>
      <c r="D2501" s="22" t="inlineStr">
        <is>
          <t>S53</t>
        </is>
      </c>
      <c r="E2501" s="22" t="inlineStr">
        <is>
          <t>Nexa Montana (S53)</t>
        </is>
      </c>
      <c r="F2501" s="22" t="inlineStr">
        <is>
          <t>Mỹ</t>
        </is>
      </c>
      <c r="G2501" s="22" t="inlineStr">
        <is>
          <t>POS</t>
        </is>
      </c>
      <c r="H2501" s="31" t="n">
        <v>11222.07</v>
      </c>
      <c r="I2501" s="31" t="n">
        <v>0</v>
      </c>
      <c r="J2501" s="31" t="n">
        <v>11222.07</v>
      </c>
      <c r="K2501" s="31" t="n">
        <v>47.46</v>
      </c>
      <c r="L2501" s="32" t="n">
        <v>3</v>
      </c>
      <c r="M2501" s="32" t="n">
        <v>31</v>
      </c>
      <c r="N2501" s="31" t="n">
        <v>11174.61</v>
      </c>
      <c r="O2501" s="31" t="n">
        <v>11222.07</v>
      </c>
      <c r="P2501" s="22" t="n">
        <v>0</v>
      </c>
      <c r="Q2501" s="22" t="n">
        <v>0</v>
      </c>
      <c r="R2501" s="22" t="n">
        <v>0</v>
      </c>
    </row>
    <row r="2502">
      <c r="A2502" s="22" t="n">
        <v>202004</v>
      </c>
      <c r="B2502" s="22" t="inlineStr">
        <is>
          <t>04/2020</t>
        </is>
      </c>
      <c r="C2502" s="22" t="n">
        <v>54</v>
      </c>
      <c r="D2502" s="22" t="inlineStr">
        <is>
          <t>S54</t>
        </is>
      </c>
      <c r="E2502" s="22" t="inlineStr">
        <is>
          <t>Nexa Nebraska (S54)</t>
        </is>
      </c>
      <c r="F2502" s="22" t="inlineStr">
        <is>
          <t>Mỹ</t>
        </is>
      </c>
      <c r="G2502" s="22" t="inlineStr">
        <is>
          <t>POS</t>
        </is>
      </c>
      <c r="H2502" s="31" t="n">
        <v>2099</v>
      </c>
      <c r="I2502" s="31" t="n">
        <v>0</v>
      </c>
      <c r="J2502" s="31" t="n">
        <v>2099</v>
      </c>
      <c r="K2502" s="31" t="n">
        <v>0</v>
      </c>
      <c r="L2502" s="32" t="n">
        <v>1</v>
      </c>
      <c r="M2502" s="32" t="n">
        <v>7</v>
      </c>
      <c r="N2502" s="31" t="n">
        <v>2099</v>
      </c>
      <c r="O2502" s="31" t="n">
        <v>2099</v>
      </c>
      <c r="P2502" s="22" t="n">
        <v>0</v>
      </c>
      <c r="Q2502" s="22" t="n">
        <v>0</v>
      </c>
      <c r="R2502" s="22" t="n">
        <v>0</v>
      </c>
    </row>
    <row r="2503">
      <c r="A2503" s="22" t="n">
        <v>202004</v>
      </c>
      <c r="B2503" s="22" t="inlineStr">
        <is>
          <t>04/2020</t>
        </is>
      </c>
      <c r="C2503" s="22" t="n">
        <v>56</v>
      </c>
      <c r="D2503" s="22" t="inlineStr">
        <is>
          <t>S56</t>
        </is>
      </c>
      <c r="E2503" s="22" t="inlineStr">
        <is>
          <t>Nexa New Hampshire (S56)</t>
        </is>
      </c>
      <c r="F2503" s="22" t="inlineStr">
        <is>
          <t>Mỹ</t>
        </is>
      </c>
      <c r="G2503" s="22" t="inlineStr">
        <is>
          <t>POS</t>
        </is>
      </c>
      <c r="H2503" s="31" t="n">
        <v>918.97</v>
      </c>
      <c r="I2503" s="31" t="n">
        <v>0</v>
      </c>
      <c r="J2503" s="31" t="n">
        <v>918.97</v>
      </c>
      <c r="K2503" s="31" t="n">
        <v>0</v>
      </c>
      <c r="L2503" s="32" t="n">
        <v>2</v>
      </c>
      <c r="M2503" s="32" t="n">
        <v>4</v>
      </c>
      <c r="N2503" s="31" t="n">
        <v>918.97</v>
      </c>
      <c r="O2503" s="31" t="n">
        <v>918.97</v>
      </c>
      <c r="P2503" s="22" t="n">
        <v>0</v>
      </c>
      <c r="Q2503" s="22" t="n">
        <v>0</v>
      </c>
      <c r="R2503" s="22" t="n">
        <v>0</v>
      </c>
    </row>
    <row r="2504">
      <c r="A2504" s="22" t="n">
        <v>202004</v>
      </c>
      <c r="B2504" s="22" t="inlineStr">
        <is>
          <t>04/2020</t>
        </is>
      </c>
      <c r="C2504" s="22" t="n">
        <v>57</v>
      </c>
      <c r="D2504" s="22" t="inlineStr">
        <is>
          <t>S57</t>
        </is>
      </c>
      <c r="E2504" s="22" t="inlineStr">
        <is>
          <t>Nexa New Mexico (S57)</t>
        </is>
      </c>
      <c r="F2504" s="22" t="inlineStr">
        <is>
          <t>Mỹ</t>
        </is>
      </c>
      <c r="G2504" s="22" t="inlineStr">
        <is>
          <t>POS</t>
        </is>
      </c>
      <c r="H2504" s="31" t="n">
        <v>6030.96</v>
      </c>
      <c r="I2504" s="31" t="n">
        <v>0</v>
      </c>
      <c r="J2504" s="31" t="n">
        <v>6030.96</v>
      </c>
      <c r="K2504" s="31" t="n">
        <v>0</v>
      </c>
      <c r="L2504" s="32" t="n">
        <v>3</v>
      </c>
      <c r="M2504" s="32" t="n">
        <v>16</v>
      </c>
      <c r="N2504" s="31" t="n">
        <v>6030.96</v>
      </c>
      <c r="O2504" s="31" t="n">
        <v>6030.96</v>
      </c>
      <c r="P2504" s="22" t="n">
        <v>0</v>
      </c>
      <c r="Q2504" s="22" t="n">
        <v>0</v>
      </c>
      <c r="R2504" s="22" t="n">
        <v>0</v>
      </c>
    </row>
    <row r="2505">
      <c r="A2505" s="22" t="n">
        <v>202004</v>
      </c>
      <c r="B2505" s="22" t="inlineStr">
        <is>
          <t>04/2020</t>
        </is>
      </c>
      <c r="C2505" s="22" t="n">
        <v>61</v>
      </c>
      <c r="D2505" s="22" t="inlineStr">
        <is>
          <t>S61</t>
        </is>
      </c>
      <c r="E2505" s="22" t="inlineStr">
        <is>
          <t>Nexa South Carolina (S61)</t>
        </is>
      </c>
      <c r="F2505" s="22" t="inlineStr">
        <is>
          <t>Mỹ</t>
        </is>
      </c>
      <c r="G2505" s="22" t="inlineStr">
        <is>
          <t>POS</t>
        </is>
      </c>
      <c r="H2505" s="31" t="n">
        <v>4904.15</v>
      </c>
      <c r="I2505" s="31" t="n">
        <v>0</v>
      </c>
      <c r="J2505" s="31" t="n">
        <v>4904.15</v>
      </c>
      <c r="K2505" s="31" t="n">
        <v>129.99</v>
      </c>
      <c r="L2505" s="32" t="n">
        <v>4</v>
      </c>
      <c r="M2505" s="32" t="n">
        <v>25</v>
      </c>
      <c r="N2505" s="31" t="n">
        <v>4774.16</v>
      </c>
      <c r="O2505" s="31" t="n">
        <v>4904.15</v>
      </c>
      <c r="P2505" s="22" t="n">
        <v>0</v>
      </c>
      <c r="Q2505" s="22" t="n">
        <v>0</v>
      </c>
      <c r="R2505" s="22" t="n">
        <v>0</v>
      </c>
    </row>
    <row r="2506">
      <c r="A2506" s="22" t="n">
        <v>202004</v>
      </c>
      <c r="B2506" s="22" t="inlineStr">
        <is>
          <t>04/2020</t>
        </is>
      </c>
      <c r="C2506" s="22" t="n">
        <v>64</v>
      </c>
      <c r="D2506" s="22" t="inlineStr">
        <is>
          <t>S64</t>
        </is>
      </c>
      <c r="E2506" s="22" t="inlineStr">
        <is>
          <t>Nexa Washington DC (S64)</t>
        </is>
      </c>
      <c r="F2506" s="22" t="inlineStr">
        <is>
          <t>Mỹ</t>
        </is>
      </c>
      <c r="G2506" s="22" t="inlineStr">
        <is>
          <t>POS</t>
        </is>
      </c>
      <c r="H2506" s="31" t="n">
        <v>17081.91</v>
      </c>
      <c r="I2506" s="31" t="n">
        <v>0</v>
      </c>
      <c r="J2506" s="31" t="n">
        <v>17081.91</v>
      </c>
      <c r="K2506" s="31" t="n">
        <v>0</v>
      </c>
      <c r="L2506" s="32" t="n">
        <v>5</v>
      </c>
      <c r="M2506" s="32" t="n">
        <v>65</v>
      </c>
      <c r="N2506" s="31" t="n">
        <v>17081.91</v>
      </c>
      <c r="O2506" s="31" t="n">
        <v>17081.91</v>
      </c>
      <c r="P2506" s="22" t="n">
        <v>0</v>
      </c>
      <c r="Q2506" s="22" t="n">
        <v>0</v>
      </c>
      <c r="R2506" s="22" t="n">
        <v>0</v>
      </c>
    </row>
    <row r="2507">
      <c r="A2507" s="22" t="n">
        <v>202004</v>
      </c>
      <c r="B2507" s="22" t="inlineStr">
        <is>
          <t>04/2020</t>
        </is>
      </c>
      <c r="C2507" s="22" t="n">
        <v>65</v>
      </c>
      <c r="D2507" s="22" t="inlineStr">
        <is>
          <t>S65</t>
        </is>
      </c>
      <c r="E2507" s="22" t="inlineStr">
        <is>
          <t>Nexa West Virginia (S65)</t>
        </is>
      </c>
      <c r="F2507" s="22" t="inlineStr">
        <is>
          <t>Mỹ</t>
        </is>
      </c>
      <c r="G2507" s="22" t="inlineStr">
        <is>
          <t>POS</t>
        </is>
      </c>
      <c r="H2507" s="31" t="n">
        <v>0</v>
      </c>
      <c r="I2507" s="31" t="n">
        <v>0</v>
      </c>
      <c r="J2507" s="31" t="n">
        <v>0</v>
      </c>
      <c r="K2507" s="31" t="n">
        <v>7379.7</v>
      </c>
      <c r="L2507" s="32" t="n">
        <v>0</v>
      </c>
      <c r="M2507" s="32" t="n">
        <v>0</v>
      </c>
      <c r="N2507" s="31" t="n">
        <v>-7379.7</v>
      </c>
      <c r="O2507" s="31" t="n">
        <v>0</v>
      </c>
      <c r="P2507" s="22" t="n">
        <v>0</v>
      </c>
      <c r="Q2507" s="22" t="n">
        <v>0</v>
      </c>
      <c r="R2507" s="22" t="n">
        <v>0</v>
      </c>
    </row>
    <row r="2508">
      <c r="A2508" s="22" t="n">
        <v>202004</v>
      </c>
      <c r="B2508" s="22" t="inlineStr">
        <is>
          <t>04/2020</t>
        </is>
      </c>
      <c r="C2508" s="22" t="n">
        <v>66</v>
      </c>
      <c r="D2508" s="22" t="inlineStr">
        <is>
          <t>S66</t>
        </is>
      </c>
      <c r="E2508" s="22" t="inlineStr">
        <is>
          <t>Nexa Wyoming (S66)</t>
        </is>
      </c>
      <c r="F2508" s="22" t="inlineStr">
        <is>
          <t>Mỹ</t>
        </is>
      </c>
      <c r="G2508" s="22" t="inlineStr">
        <is>
          <t>POS</t>
        </is>
      </c>
      <c r="H2508" s="31" t="n">
        <v>1713.41</v>
      </c>
      <c r="I2508" s="31" t="n">
        <v>0</v>
      </c>
      <c r="J2508" s="31" t="n">
        <v>1713.41</v>
      </c>
      <c r="K2508" s="31" t="n">
        <v>0</v>
      </c>
      <c r="L2508" s="32" t="n">
        <v>2</v>
      </c>
      <c r="M2508" s="32" t="n">
        <v>9</v>
      </c>
      <c r="N2508" s="31" t="n">
        <v>1713.41</v>
      </c>
      <c r="O2508" s="31" t="n">
        <v>1713.41</v>
      </c>
      <c r="P2508" s="22" t="n">
        <v>0</v>
      </c>
      <c r="Q2508" s="22" t="n">
        <v>0</v>
      </c>
      <c r="R2508" s="22" t="n">
        <v>0</v>
      </c>
    </row>
    <row r="2509">
      <c r="A2509" s="22" t="n">
        <v>202005</v>
      </c>
      <c r="B2509" s="22" t="inlineStr">
        <is>
          <t>05/2020</t>
        </is>
      </c>
      <c r="C2509" s="22" t="n">
        <v>0</v>
      </c>
      <c r="D2509" s="22" t="inlineStr">
        <is>
          <t>ONL</t>
        </is>
      </c>
      <c r="E2509" s="22" t="inlineStr">
        <is>
          <t>Nexa Online (website/app)</t>
        </is>
      </c>
      <c r="F2509" s="22" t="inlineStr">
        <is>
          <t>Online</t>
        </is>
      </c>
      <c r="G2509" s="22" t="inlineStr">
        <is>
          <t>ONLINE</t>
        </is>
      </c>
      <c r="H2509" s="31" t="n">
        <v>204358.36</v>
      </c>
      <c r="I2509" s="31" t="n">
        <v>7248.82</v>
      </c>
      <c r="J2509" s="31" t="n">
        <v>197109.54</v>
      </c>
      <c r="K2509" s="31" t="n">
        <v>7073.08</v>
      </c>
      <c r="L2509" s="32" t="n">
        <v>96</v>
      </c>
      <c r="M2509" s="32" t="n">
        <v>721</v>
      </c>
      <c r="N2509" s="31" t="n">
        <v>217233.82</v>
      </c>
      <c r="O2509" s="31" t="n">
        <v>222602.9</v>
      </c>
      <c r="P2509" s="22" t="n">
        <v>4</v>
      </c>
      <c r="Q2509" s="22" t="n">
        <v>0</v>
      </c>
      <c r="R2509" s="22" t="n">
        <v>1</v>
      </c>
    </row>
    <row r="2510">
      <c r="A2510" s="22" t="n">
        <v>202005</v>
      </c>
      <c r="B2510" s="22" t="inlineStr">
        <is>
          <t>05/2020</t>
        </is>
      </c>
      <c r="C2510" s="22" t="n">
        <v>4</v>
      </c>
      <c r="D2510" s="22" t="inlineStr">
        <is>
          <t>S04</t>
        </is>
      </c>
      <c r="E2510" s="22" t="inlineStr">
        <is>
          <t>Nexa Tasmania (S04)</t>
        </is>
      </c>
      <c r="F2510" s="22" t="inlineStr">
        <is>
          <t>Úc</t>
        </is>
      </c>
      <c r="G2510" s="22" t="inlineStr">
        <is>
          <t>POS</t>
        </is>
      </c>
      <c r="H2510" s="31" t="n">
        <v>5522.19</v>
      </c>
      <c r="I2510" s="31" t="n">
        <v>0</v>
      </c>
      <c r="J2510" s="31" t="n">
        <v>5522.19</v>
      </c>
      <c r="K2510" s="31" t="n">
        <v>0</v>
      </c>
      <c r="L2510" s="32" t="n">
        <v>2</v>
      </c>
      <c r="M2510" s="32" t="n">
        <v>12</v>
      </c>
      <c r="N2510" s="31" t="n">
        <v>5522.19</v>
      </c>
      <c r="O2510" s="31" t="n">
        <v>5522.19</v>
      </c>
      <c r="P2510" s="22" t="n">
        <v>0</v>
      </c>
      <c r="Q2510" s="22" t="n">
        <v>0</v>
      </c>
      <c r="R2510" s="22" t="n">
        <v>0</v>
      </c>
    </row>
    <row r="2511">
      <c r="A2511" s="22" t="n">
        <v>202005</v>
      </c>
      <c r="B2511" s="22" t="inlineStr">
        <is>
          <t>05/2020</t>
        </is>
      </c>
      <c r="C2511" s="22" t="n">
        <v>5</v>
      </c>
      <c r="D2511" s="22" t="inlineStr">
        <is>
          <t>S05</t>
        </is>
      </c>
      <c r="E2511" s="22" t="inlineStr">
        <is>
          <t>Nexa Victoria (S05)</t>
        </is>
      </c>
      <c r="F2511" s="22" t="inlineStr">
        <is>
          <t>Úc</t>
        </is>
      </c>
      <c r="G2511" s="22" t="inlineStr">
        <is>
          <t>POS</t>
        </is>
      </c>
      <c r="H2511" s="31" t="n">
        <v>5084.01</v>
      </c>
      <c r="I2511" s="31" t="n">
        <v>0</v>
      </c>
      <c r="J2511" s="31" t="n">
        <v>5084.01</v>
      </c>
      <c r="K2511" s="31" t="n">
        <v>310</v>
      </c>
      <c r="L2511" s="32" t="n">
        <v>6</v>
      </c>
      <c r="M2511" s="32" t="n">
        <v>45</v>
      </c>
      <c r="N2511" s="31" t="n">
        <v>4774.01</v>
      </c>
      <c r="O2511" s="31" t="n">
        <v>5084.01</v>
      </c>
      <c r="P2511" s="22" t="n">
        <v>0</v>
      </c>
      <c r="Q2511" s="22" t="n">
        <v>0</v>
      </c>
      <c r="R2511" s="22" t="n">
        <v>0</v>
      </c>
    </row>
    <row r="2512">
      <c r="A2512" s="22" t="n">
        <v>202005</v>
      </c>
      <c r="B2512" s="22" t="inlineStr">
        <is>
          <t>05/2020</t>
        </is>
      </c>
      <c r="C2512" s="22" t="n">
        <v>6</v>
      </c>
      <c r="D2512" s="22" t="inlineStr">
        <is>
          <t>S06</t>
        </is>
      </c>
      <c r="E2512" s="22" t="inlineStr">
        <is>
          <t>Nexa Western Australia (S06)</t>
        </is>
      </c>
      <c r="F2512" s="22" t="inlineStr">
        <is>
          <t>Úc</t>
        </is>
      </c>
      <c r="G2512" s="22" t="inlineStr">
        <is>
          <t>POS</t>
        </is>
      </c>
      <c r="H2512" s="31" t="n">
        <v>2566.78</v>
      </c>
      <c r="I2512" s="31" t="n">
        <v>0</v>
      </c>
      <c r="J2512" s="31" t="n">
        <v>2566.78</v>
      </c>
      <c r="K2512" s="31" t="n">
        <v>0</v>
      </c>
      <c r="L2512" s="32" t="n">
        <v>3</v>
      </c>
      <c r="M2512" s="32" t="n">
        <v>27</v>
      </c>
      <c r="N2512" s="31" t="n">
        <v>2566.78</v>
      </c>
      <c r="O2512" s="31" t="n">
        <v>2566.78</v>
      </c>
      <c r="P2512" s="22" t="n">
        <v>0</v>
      </c>
      <c r="Q2512" s="22" t="n">
        <v>0</v>
      </c>
      <c r="R2512" s="22" t="n">
        <v>0</v>
      </c>
    </row>
    <row r="2513">
      <c r="A2513" s="22" t="n">
        <v>202005</v>
      </c>
      <c r="B2513" s="22" t="inlineStr">
        <is>
          <t>05/2020</t>
        </is>
      </c>
      <c r="C2513" s="22" t="n">
        <v>8</v>
      </c>
      <c r="D2513" s="22" t="inlineStr">
        <is>
          <t>S08</t>
        </is>
      </c>
      <c r="E2513" s="22" t="inlineStr">
        <is>
          <t>Nexa Newfoundland and Labrador (S08)</t>
        </is>
      </c>
      <c r="F2513" s="22" t="inlineStr">
        <is>
          <t>Canada</t>
        </is>
      </c>
      <c r="G2513" s="22" t="inlineStr">
        <is>
          <t>POS</t>
        </is>
      </c>
      <c r="H2513" s="31" t="n">
        <v>6961.61</v>
      </c>
      <c r="I2513" s="31" t="n">
        <v>0</v>
      </c>
      <c r="J2513" s="31" t="n">
        <v>6961.61</v>
      </c>
      <c r="K2513" s="31" t="n">
        <v>2499.95</v>
      </c>
      <c r="L2513" s="32" t="n">
        <v>9</v>
      </c>
      <c r="M2513" s="32" t="n">
        <v>59</v>
      </c>
      <c r="N2513" s="31" t="n">
        <v>4461.66</v>
      </c>
      <c r="O2513" s="31" t="n">
        <v>6961.61</v>
      </c>
      <c r="P2513" s="22" t="n">
        <v>0</v>
      </c>
      <c r="Q2513" s="22" t="n">
        <v>0</v>
      </c>
      <c r="R2513" s="22" t="n">
        <v>0</v>
      </c>
    </row>
    <row r="2514">
      <c r="A2514" s="22" t="n">
        <v>202005</v>
      </c>
      <c r="B2514" s="22" t="inlineStr">
        <is>
          <t>05/2020</t>
        </is>
      </c>
      <c r="C2514" s="22" t="n">
        <v>9</v>
      </c>
      <c r="D2514" s="22" t="inlineStr">
        <is>
          <t>S09</t>
        </is>
      </c>
      <c r="E2514" s="22" t="inlineStr">
        <is>
          <t>Nexa Northwest Territories (S09)</t>
        </is>
      </c>
      <c r="F2514" s="22" t="inlineStr">
        <is>
          <t>Canada</t>
        </is>
      </c>
      <c r="G2514" s="22" t="inlineStr">
        <is>
          <t>POS</t>
        </is>
      </c>
      <c r="H2514" s="31" t="n">
        <v>25261.65</v>
      </c>
      <c r="I2514" s="31" t="n">
        <v>0</v>
      </c>
      <c r="J2514" s="31" t="n">
        <v>25261.65</v>
      </c>
      <c r="K2514" s="31" t="n">
        <v>0</v>
      </c>
      <c r="L2514" s="32" t="n">
        <v>6</v>
      </c>
      <c r="M2514" s="32" t="n">
        <v>53</v>
      </c>
      <c r="N2514" s="31" t="n">
        <v>25261.65</v>
      </c>
      <c r="O2514" s="31" t="n">
        <v>25261.65</v>
      </c>
      <c r="P2514" s="22" t="n">
        <v>0</v>
      </c>
      <c r="Q2514" s="22" t="n">
        <v>0</v>
      </c>
      <c r="R2514" s="22" t="n">
        <v>0</v>
      </c>
    </row>
    <row r="2515">
      <c r="A2515" s="22" t="n">
        <v>202005</v>
      </c>
      <c r="B2515" s="22" t="inlineStr">
        <is>
          <t>05/2020</t>
        </is>
      </c>
      <c r="C2515" s="22" t="n">
        <v>10</v>
      </c>
      <c r="D2515" s="22" t="inlineStr">
        <is>
          <t>S10</t>
        </is>
      </c>
      <c r="E2515" s="22" t="inlineStr">
        <is>
          <t>Nexa Nunavut (S10)</t>
        </is>
      </c>
      <c r="F2515" s="22" t="inlineStr">
        <is>
          <t>Canada</t>
        </is>
      </c>
      <c r="G2515" s="22" t="inlineStr">
        <is>
          <t>POS</t>
        </is>
      </c>
      <c r="H2515" s="31" t="n">
        <v>31201.01</v>
      </c>
      <c r="I2515" s="31" t="n">
        <v>0</v>
      </c>
      <c r="J2515" s="31" t="n">
        <v>31201.01</v>
      </c>
      <c r="K2515" s="31" t="n">
        <v>115</v>
      </c>
      <c r="L2515" s="32" t="n">
        <v>10</v>
      </c>
      <c r="M2515" s="32" t="n">
        <v>98</v>
      </c>
      <c r="N2515" s="31" t="n">
        <v>31086.01</v>
      </c>
      <c r="O2515" s="31" t="n">
        <v>31201.01</v>
      </c>
      <c r="P2515" s="22" t="n">
        <v>0</v>
      </c>
      <c r="Q2515" s="22" t="n">
        <v>0</v>
      </c>
      <c r="R2515" s="22" t="n">
        <v>1</v>
      </c>
    </row>
    <row r="2516">
      <c r="A2516" s="22" t="n">
        <v>202005</v>
      </c>
      <c r="B2516" s="22" t="inlineStr">
        <is>
          <t>05/2020</t>
        </is>
      </c>
      <c r="C2516" s="22" t="n">
        <v>12</v>
      </c>
      <c r="D2516" s="22" t="inlineStr">
        <is>
          <t>S12</t>
        </is>
      </c>
      <c r="E2516" s="22" t="inlineStr">
        <is>
          <t>Nexa Basse-Normandie (S12)</t>
        </is>
      </c>
      <c r="F2516" s="22" t="inlineStr">
        <is>
          <t>Pháp</t>
        </is>
      </c>
      <c r="G2516" s="22" t="inlineStr">
        <is>
          <t>POS</t>
        </is>
      </c>
      <c r="H2516" s="31" t="n">
        <v>5690.2</v>
      </c>
      <c r="I2516" s="31" t="n">
        <v>0</v>
      </c>
      <c r="J2516" s="31" t="n">
        <v>5690.2</v>
      </c>
      <c r="K2516" s="31" t="n">
        <v>0</v>
      </c>
      <c r="L2516" s="32" t="n">
        <v>3</v>
      </c>
      <c r="M2516" s="32" t="n">
        <v>26</v>
      </c>
      <c r="N2516" s="31" t="n">
        <v>5690.2</v>
      </c>
      <c r="O2516" s="31" t="n">
        <v>5690.2</v>
      </c>
      <c r="P2516" s="22" t="n">
        <v>0</v>
      </c>
      <c r="Q2516" s="22" t="n">
        <v>0</v>
      </c>
      <c r="R2516" s="22" t="n">
        <v>0</v>
      </c>
    </row>
    <row r="2517">
      <c r="A2517" s="22" t="n">
        <v>202005</v>
      </c>
      <c r="B2517" s="22" t="inlineStr">
        <is>
          <t>05/2020</t>
        </is>
      </c>
      <c r="C2517" s="22" t="n">
        <v>13</v>
      </c>
      <c r="D2517" s="22" t="inlineStr">
        <is>
          <t>S13</t>
        </is>
      </c>
      <c r="E2517" s="22" t="inlineStr">
        <is>
          <t>Nexa Corse (S13)</t>
        </is>
      </c>
      <c r="F2517" s="22" t="inlineStr">
        <is>
          <t>Pháp</t>
        </is>
      </c>
      <c r="G2517" s="22" t="inlineStr">
        <is>
          <t>POS</t>
        </is>
      </c>
      <c r="H2517" s="31" t="n">
        <v>3731</v>
      </c>
      <c r="I2517" s="31" t="n">
        <v>0</v>
      </c>
      <c r="J2517" s="31" t="n">
        <v>3731</v>
      </c>
      <c r="K2517" s="31" t="n">
        <v>0</v>
      </c>
      <c r="L2517" s="32" t="n">
        <v>2</v>
      </c>
      <c r="M2517" s="32" t="n">
        <v>10</v>
      </c>
      <c r="N2517" s="31" t="n">
        <v>3731</v>
      </c>
      <c r="O2517" s="31" t="n">
        <v>3731</v>
      </c>
      <c r="P2517" s="22" t="n">
        <v>0</v>
      </c>
      <c r="Q2517" s="22" t="n">
        <v>0</v>
      </c>
      <c r="R2517" s="22" t="n">
        <v>0</v>
      </c>
    </row>
    <row r="2518">
      <c r="A2518" s="22" t="n">
        <v>202005</v>
      </c>
      <c r="B2518" s="22" t="inlineStr">
        <is>
          <t>05/2020</t>
        </is>
      </c>
      <c r="C2518" s="22" t="n">
        <v>14</v>
      </c>
      <c r="D2518" s="22" t="inlineStr">
        <is>
          <t>S14</t>
        </is>
      </c>
      <c r="E2518" s="22" t="inlineStr">
        <is>
          <t>Nexa Franche-Comté (S14)</t>
        </is>
      </c>
      <c r="F2518" s="22" t="inlineStr">
        <is>
          <t>Pháp</t>
        </is>
      </c>
      <c r="G2518" s="22" t="inlineStr">
        <is>
          <t>POS</t>
        </is>
      </c>
      <c r="H2518" s="31" t="n">
        <v>877.5</v>
      </c>
      <c r="I2518" s="31" t="n">
        <v>0</v>
      </c>
      <c r="J2518" s="31" t="n">
        <v>877.5</v>
      </c>
      <c r="K2518" s="31" t="n">
        <v>562</v>
      </c>
      <c r="L2518" s="32" t="n">
        <v>1</v>
      </c>
      <c r="M2518" s="32" t="n">
        <v>1</v>
      </c>
      <c r="N2518" s="31" t="n">
        <v>315.5</v>
      </c>
      <c r="O2518" s="31" t="n">
        <v>877.5</v>
      </c>
      <c r="P2518" s="22" t="n">
        <v>0</v>
      </c>
      <c r="Q2518" s="22" t="n">
        <v>0</v>
      </c>
      <c r="R2518" s="22" t="n">
        <v>0</v>
      </c>
    </row>
    <row r="2519">
      <c r="A2519" s="22" t="n">
        <v>202005</v>
      </c>
      <c r="B2519" s="22" t="inlineStr">
        <is>
          <t>05/2020</t>
        </is>
      </c>
      <c r="C2519" s="22" t="n">
        <v>16</v>
      </c>
      <c r="D2519" s="22" t="inlineStr">
        <is>
          <t>S16</t>
        </is>
      </c>
      <c r="E2519" s="22" t="inlineStr">
        <is>
          <t>Nexa Limousin (S16)</t>
        </is>
      </c>
      <c r="F2519" s="22" t="inlineStr">
        <is>
          <t>Pháp</t>
        </is>
      </c>
      <c r="G2519" s="22" t="inlineStr">
        <is>
          <t>POS</t>
        </is>
      </c>
      <c r="H2519" s="31" t="n">
        <v>5347.09</v>
      </c>
      <c r="I2519" s="31" t="n">
        <v>0</v>
      </c>
      <c r="J2519" s="31" t="n">
        <v>5347.09</v>
      </c>
      <c r="K2519" s="31" t="n">
        <v>0</v>
      </c>
      <c r="L2519" s="32" t="n">
        <v>2</v>
      </c>
      <c r="M2519" s="32" t="n">
        <v>15</v>
      </c>
      <c r="N2519" s="31" t="n">
        <v>5347.09</v>
      </c>
      <c r="O2519" s="31" t="n">
        <v>5347.09</v>
      </c>
      <c r="P2519" s="22" t="n">
        <v>0</v>
      </c>
      <c r="Q2519" s="22" t="n">
        <v>0</v>
      </c>
      <c r="R2519" s="22" t="n">
        <v>0</v>
      </c>
    </row>
    <row r="2520">
      <c r="A2520" s="22" t="n">
        <v>202005</v>
      </c>
      <c r="B2520" s="22" t="inlineStr">
        <is>
          <t>05/2020</t>
        </is>
      </c>
      <c r="C2520" s="22" t="n">
        <v>17</v>
      </c>
      <c r="D2520" s="22" t="inlineStr">
        <is>
          <t>S17</t>
        </is>
      </c>
      <c r="E2520" s="22" t="inlineStr">
        <is>
          <t>Nexa Martinique (S17)</t>
        </is>
      </c>
      <c r="F2520" s="22" t="inlineStr">
        <is>
          <t>Pháp</t>
        </is>
      </c>
      <c r="G2520" s="22" t="inlineStr">
        <is>
          <t>POS</t>
        </is>
      </c>
      <c r="H2520" s="31" t="n">
        <v>11854.09</v>
      </c>
      <c r="I2520" s="31" t="n">
        <v>0</v>
      </c>
      <c r="J2520" s="31" t="n">
        <v>11854.09</v>
      </c>
      <c r="K2520" s="31" t="n">
        <v>0</v>
      </c>
      <c r="L2520" s="32" t="n">
        <v>2</v>
      </c>
      <c r="M2520" s="32" t="n">
        <v>20</v>
      </c>
      <c r="N2520" s="31" t="n">
        <v>11854.09</v>
      </c>
      <c r="O2520" s="31" t="n">
        <v>11854.09</v>
      </c>
      <c r="P2520" s="22" t="n">
        <v>0</v>
      </c>
      <c r="Q2520" s="22" t="n">
        <v>0</v>
      </c>
      <c r="R2520" s="22" t="n">
        <v>0</v>
      </c>
    </row>
    <row r="2521">
      <c r="A2521" s="22" t="n">
        <v>202005</v>
      </c>
      <c r="B2521" s="22" t="inlineStr">
        <is>
          <t>05/2020</t>
        </is>
      </c>
      <c r="C2521" s="22" t="n">
        <v>18</v>
      </c>
      <c r="D2521" s="22" t="inlineStr">
        <is>
          <t>S18</t>
        </is>
      </c>
      <c r="E2521" s="22" t="inlineStr">
        <is>
          <t>Nexa Mayotte (S18)</t>
        </is>
      </c>
      <c r="F2521" s="22" t="inlineStr">
        <is>
          <t>Pháp</t>
        </is>
      </c>
      <c r="G2521" s="22" t="inlineStr">
        <is>
          <t>POS</t>
        </is>
      </c>
      <c r="H2521" s="31" t="n">
        <v>2779</v>
      </c>
      <c r="I2521" s="31" t="n">
        <v>0</v>
      </c>
      <c r="J2521" s="31" t="n">
        <v>2779</v>
      </c>
      <c r="K2521" s="31" t="n">
        <v>0</v>
      </c>
      <c r="L2521" s="32" t="n">
        <v>1</v>
      </c>
      <c r="M2521" s="32" t="n">
        <v>8</v>
      </c>
      <c r="N2521" s="31" t="n">
        <v>2779</v>
      </c>
      <c r="O2521" s="31" t="n">
        <v>2779</v>
      </c>
      <c r="P2521" s="22" t="n">
        <v>0</v>
      </c>
      <c r="Q2521" s="22" t="n">
        <v>0</v>
      </c>
      <c r="R2521" s="22" t="n">
        <v>0</v>
      </c>
    </row>
    <row r="2522">
      <c r="A2522" s="22" t="n">
        <v>202005</v>
      </c>
      <c r="B2522" s="22" t="inlineStr">
        <is>
          <t>05/2020</t>
        </is>
      </c>
      <c r="C2522" s="22" t="n">
        <v>19</v>
      </c>
      <c r="D2522" s="22" t="inlineStr">
        <is>
          <t>S19</t>
        </is>
      </c>
      <c r="E2522" s="22" t="inlineStr">
        <is>
          <t>Nexa Berlin (S19)</t>
        </is>
      </c>
      <c r="F2522" s="22" t="inlineStr">
        <is>
          <t>Đức</t>
        </is>
      </c>
      <c r="G2522" s="22" t="inlineStr">
        <is>
          <t>POS</t>
        </is>
      </c>
      <c r="H2522" s="31" t="n">
        <v>7238.34</v>
      </c>
      <c r="I2522" s="31" t="n">
        <v>0</v>
      </c>
      <c r="J2522" s="31" t="n">
        <v>7238.34</v>
      </c>
      <c r="K2522" s="31" t="n">
        <v>0</v>
      </c>
      <c r="L2522" s="32" t="n">
        <v>3</v>
      </c>
      <c r="M2522" s="32" t="n">
        <v>26</v>
      </c>
      <c r="N2522" s="31" t="n">
        <v>7238.34</v>
      </c>
      <c r="O2522" s="31" t="n">
        <v>7238.34</v>
      </c>
      <c r="P2522" s="22" t="n">
        <v>0</v>
      </c>
      <c r="Q2522" s="22" t="n">
        <v>0</v>
      </c>
      <c r="R2522" s="22" t="n">
        <v>0</v>
      </c>
    </row>
    <row r="2523">
      <c r="A2523" s="22" t="n">
        <v>202005</v>
      </c>
      <c r="B2523" s="22" t="inlineStr">
        <is>
          <t>05/2020</t>
        </is>
      </c>
      <c r="C2523" s="22" t="n">
        <v>21</v>
      </c>
      <c r="D2523" s="22" t="inlineStr">
        <is>
          <t>S21</t>
        </is>
      </c>
      <c r="E2523" s="22" t="inlineStr">
        <is>
          <t>Nexa Freie Hansestadt Bremen (S21)</t>
        </is>
      </c>
      <c r="F2523" s="22" t="inlineStr">
        <is>
          <t>Đức</t>
        </is>
      </c>
      <c r="G2523" s="22" t="inlineStr">
        <is>
          <t>POS</t>
        </is>
      </c>
      <c r="H2523" s="31" t="n">
        <v>14440.09</v>
      </c>
      <c r="I2523" s="31" t="n">
        <v>0</v>
      </c>
      <c r="J2523" s="31" t="n">
        <v>14440.09</v>
      </c>
      <c r="K2523" s="31" t="n">
        <v>0</v>
      </c>
      <c r="L2523" s="32" t="n">
        <v>5</v>
      </c>
      <c r="M2523" s="32" t="n">
        <v>40</v>
      </c>
      <c r="N2523" s="31" t="n">
        <v>14440.09</v>
      </c>
      <c r="O2523" s="31" t="n">
        <v>14440.09</v>
      </c>
      <c r="P2523" s="22" t="n">
        <v>0</v>
      </c>
      <c r="Q2523" s="22" t="n">
        <v>0</v>
      </c>
      <c r="R2523" s="22" t="n">
        <v>0</v>
      </c>
    </row>
    <row r="2524">
      <c r="A2524" s="22" t="n">
        <v>202005</v>
      </c>
      <c r="B2524" s="22" t="inlineStr">
        <is>
          <t>05/2020</t>
        </is>
      </c>
      <c r="C2524" s="22" t="n">
        <v>22</v>
      </c>
      <c r="D2524" s="22" t="inlineStr">
        <is>
          <t>S22</t>
        </is>
      </c>
      <c r="E2524" s="22" t="inlineStr">
        <is>
          <t>Nexa Freistaat Thüringen (S22)</t>
        </is>
      </c>
      <c r="F2524" s="22" t="inlineStr">
        <is>
          <t>Đức</t>
        </is>
      </c>
      <c r="G2524" s="22" t="inlineStr">
        <is>
          <t>POS</t>
        </is>
      </c>
      <c r="H2524" s="31" t="n">
        <v>5208.11</v>
      </c>
      <c r="I2524" s="31" t="n">
        <v>0</v>
      </c>
      <c r="J2524" s="31" t="n">
        <v>5208.11</v>
      </c>
      <c r="K2524" s="31" t="n">
        <v>4.98</v>
      </c>
      <c r="L2524" s="32" t="n">
        <v>8</v>
      </c>
      <c r="M2524" s="32" t="n">
        <v>29</v>
      </c>
      <c r="N2524" s="31" t="n">
        <v>5203.13</v>
      </c>
      <c r="O2524" s="31" t="n">
        <v>5208.11</v>
      </c>
      <c r="P2524" s="22" t="n">
        <v>0</v>
      </c>
      <c r="Q2524" s="22" t="n">
        <v>0</v>
      </c>
      <c r="R2524" s="22" t="n">
        <v>0</v>
      </c>
    </row>
    <row r="2525">
      <c r="A2525" s="22" t="n">
        <v>202005</v>
      </c>
      <c r="B2525" s="22" t="inlineStr">
        <is>
          <t>05/2020</t>
        </is>
      </c>
      <c r="C2525" s="22" t="n">
        <v>23</v>
      </c>
      <c r="D2525" s="22" t="inlineStr">
        <is>
          <t>S23</t>
        </is>
      </c>
      <c r="E2525" s="22" t="inlineStr">
        <is>
          <t>Nexa Hamburg (S23)</t>
        </is>
      </c>
      <c r="F2525" s="22" t="inlineStr">
        <is>
          <t>Đức</t>
        </is>
      </c>
      <c r="G2525" s="22" t="inlineStr">
        <is>
          <t>POS</t>
        </is>
      </c>
      <c r="H2525" s="31" t="n">
        <v>9827.9</v>
      </c>
      <c r="I2525" s="31" t="n">
        <v>0</v>
      </c>
      <c r="J2525" s="31" t="n">
        <v>9827.9</v>
      </c>
      <c r="K2525" s="31" t="n">
        <v>0</v>
      </c>
      <c r="L2525" s="32" t="n">
        <v>3</v>
      </c>
      <c r="M2525" s="32" t="n">
        <v>39</v>
      </c>
      <c r="N2525" s="31" t="n">
        <v>9827.9</v>
      </c>
      <c r="O2525" s="31" t="n">
        <v>9827.9</v>
      </c>
      <c r="P2525" s="22" t="n">
        <v>0</v>
      </c>
      <c r="Q2525" s="22" t="n">
        <v>0</v>
      </c>
      <c r="R2525" s="22" t="n">
        <v>0</v>
      </c>
    </row>
    <row r="2526">
      <c r="A2526" s="22" t="n">
        <v>202005</v>
      </c>
      <c r="B2526" s="22" t="inlineStr">
        <is>
          <t>05/2020</t>
        </is>
      </c>
      <c r="C2526" s="22" t="n">
        <v>24</v>
      </c>
      <c r="D2526" s="22" t="inlineStr">
        <is>
          <t>S24</t>
        </is>
      </c>
      <c r="E2526" s="22" t="inlineStr">
        <is>
          <t>Nexa Hessen (S24)</t>
        </is>
      </c>
      <c r="F2526" s="22" t="inlineStr">
        <is>
          <t>Đức</t>
        </is>
      </c>
      <c r="G2526" s="22" t="inlineStr">
        <is>
          <t>POS</t>
        </is>
      </c>
      <c r="H2526" s="31" t="n">
        <v>11240.28</v>
      </c>
      <c r="I2526" s="31" t="n">
        <v>0</v>
      </c>
      <c r="J2526" s="31" t="n">
        <v>11240.28</v>
      </c>
      <c r="K2526" s="31" t="n">
        <v>118.23</v>
      </c>
      <c r="L2526" s="32" t="n">
        <v>3</v>
      </c>
      <c r="M2526" s="32" t="n">
        <v>26</v>
      </c>
      <c r="N2526" s="31" t="n">
        <v>11122.05</v>
      </c>
      <c r="O2526" s="31" t="n">
        <v>11240.28</v>
      </c>
      <c r="P2526" s="22" t="n">
        <v>0</v>
      </c>
      <c r="Q2526" s="22" t="n">
        <v>0</v>
      </c>
      <c r="R2526" s="22" t="n">
        <v>0</v>
      </c>
    </row>
    <row r="2527">
      <c r="A2527" s="22" t="n">
        <v>202005</v>
      </c>
      <c r="B2527" s="22" t="inlineStr">
        <is>
          <t>05/2020</t>
        </is>
      </c>
      <c r="C2527" s="22" t="n">
        <v>26</v>
      </c>
      <c r="D2527" s="22" t="inlineStr">
        <is>
          <t>S26</t>
        </is>
      </c>
      <c r="E2527" s="22" t="inlineStr">
        <is>
          <t>Nexa Saarland (S26)</t>
        </is>
      </c>
      <c r="F2527" s="22" t="inlineStr">
        <is>
          <t>Đức</t>
        </is>
      </c>
      <c r="G2527" s="22" t="inlineStr">
        <is>
          <t>POS</t>
        </is>
      </c>
      <c r="H2527" s="31" t="n">
        <v>7921.72</v>
      </c>
      <c r="I2527" s="31" t="n">
        <v>0</v>
      </c>
      <c r="J2527" s="31" t="n">
        <v>7921.72</v>
      </c>
      <c r="K2527" s="31" t="n">
        <v>0</v>
      </c>
      <c r="L2527" s="32" t="n">
        <v>3</v>
      </c>
      <c r="M2527" s="32" t="n">
        <v>18</v>
      </c>
      <c r="N2527" s="31" t="n">
        <v>7921.72</v>
      </c>
      <c r="O2527" s="31" t="n">
        <v>7921.72</v>
      </c>
      <c r="P2527" s="22" t="n">
        <v>0</v>
      </c>
      <c r="Q2527" s="22" t="n">
        <v>0</v>
      </c>
      <c r="R2527" s="22" t="n">
        <v>0</v>
      </c>
    </row>
    <row r="2528">
      <c r="A2528" s="22" t="n">
        <v>202005</v>
      </c>
      <c r="B2528" s="22" t="inlineStr">
        <is>
          <t>05/2020</t>
        </is>
      </c>
      <c r="C2528" s="22" t="n">
        <v>27</v>
      </c>
      <c r="D2528" s="22" t="inlineStr">
        <is>
          <t>S27</t>
        </is>
      </c>
      <c r="E2528" s="22" t="inlineStr">
        <is>
          <t>Nexa Sachsen-Anhalt (S27)</t>
        </is>
      </c>
      <c r="F2528" s="22" t="inlineStr">
        <is>
          <t>Đức</t>
        </is>
      </c>
      <c r="G2528" s="22" t="inlineStr">
        <is>
          <t>POS</t>
        </is>
      </c>
      <c r="H2528" s="31" t="n">
        <v>3935.82</v>
      </c>
      <c r="I2528" s="31" t="n">
        <v>0</v>
      </c>
      <c r="J2528" s="31" t="n">
        <v>3935.82</v>
      </c>
      <c r="K2528" s="31" t="n">
        <v>0</v>
      </c>
      <c r="L2528" s="32" t="n">
        <v>2</v>
      </c>
      <c r="M2528" s="32" t="n">
        <v>18</v>
      </c>
      <c r="N2528" s="31" t="n">
        <v>3935.82</v>
      </c>
      <c r="O2528" s="31" t="n">
        <v>3935.82</v>
      </c>
      <c r="P2528" s="22" t="n">
        <v>0</v>
      </c>
      <c r="Q2528" s="22" t="n">
        <v>0</v>
      </c>
      <c r="R2528" s="22" t="n">
        <v>0</v>
      </c>
    </row>
    <row r="2529">
      <c r="A2529" s="22" t="n">
        <v>202005</v>
      </c>
      <c r="B2529" s="22" t="inlineStr">
        <is>
          <t>05/2020</t>
        </is>
      </c>
      <c r="C2529" s="22" t="n">
        <v>29</v>
      </c>
      <c r="D2529" s="22" t="inlineStr">
        <is>
          <t>S29</t>
        </is>
      </c>
      <c r="E2529" s="22" t="inlineStr">
        <is>
          <t>Nexa Enna (S29)</t>
        </is>
      </c>
      <c r="F2529" s="22" t="inlineStr">
        <is>
          <t>Ý</t>
        </is>
      </c>
      <c r="G2529" s="22" t="inlineStr">
        <is>
          <t>POS</t>
        </is>
      </c>
      <c r="H2529" s="31" t="n">
        <v>2105.02</v>
      </c>
      <c r="I2529" s="31" t="n">
        <v>0</v>
      </c>
      <c r="J2529" s="31" t="n">
        <v>2105.02</v>
      </c>
      <c r="K2529" s="31" t="n">
        <v>4.06</v>
      </c>
      <c r="L2529" s="32" t="n">
        <v>4</v>
      </c>
      <c r="M2529" s="32" t="n">
        <v>19</v>
      </c>
      <c r="N2529" s="31" t="n">
        <v>2100.96</v>
      </c>
      <c r="O2529" s="31" t="n">
        <v>2105.02</v>
      </c>
      <c r="P2529" s="22" t="n">
        <v>0</v>
      </c>
      <c r="Q2529" s="22" t="n">
        <v>0</v>
      </c>
      <c r="R2529" s="22" t="n">
        <v>0</v>
      </c>
    </row>
    <row r="2530">
      <c r="A2530" s="22" t="n">
        <v>202005</v>
      </c>
      <c r="B2530" s="22" t="inlineStr">
        <is>
          <t>05/2020</t>
        </is>
      </c>
      <c r="C2530" s="22" t="n">
        <v>30</v>
      </c>
      <c r="D2530" s="22" t="inlineStr">
        <is>
          <t>S30</t>
        </is>
      </c>
      <c r="E2530" s="22" t="inlineStr">
        <is>
          <t>Nexa Pesaro (S30)</t>
        </is>
      </c>
      <c r="F2530" s="22" t="inlineStr">
        <is>
          <t>Ý</t>
        </is>
      </c>
      <c r="G2530" s="22" t="inlineStr">
        <is>
          <t>POS</t>
        </is>
      </c>
      <c r="H2530" s="31" t="n">
        <v>26401.11</v>
      </c>
      <c r="I2530" s="31" t="n">
        <v>0</v>
      </c>
      <c r="J2530" s="31" t="n">
        <v>26401.11</v>
      </c>
      <c r="K2530" s="31" t="n">
        <v>0</v>
      </c>
      <c r="L2530" s="32" t="n">
        <v>7</v>
      </c>
      <c r="M2530" s="32" t="n">
        <v>56</v>
      </c>
      <c r="N2530" s="31" t="n">
        <v>26401.11</v>
      </c>
      <c r="O2530" s="31" t="n">
        <v>26401.11</v>
      </c>
      <c r="P2530" s="22" t="n">
        <v>0</v>
      </c>
      <c r="Q2530" s="22" t="n">
        <v>0</v>
      </c>
      <c r="R2530" s="22" t="n">
        <v>0</v>
      </c>
    </row>
    <row r="2531">
      <c r="A2531" s="22" t="n">
        <v>202005</v>
      </c>
      <c r="B2531" s="22" t="inlineStr">
        <is>
          <t>05/2020</t>
        </is>
      </c>
      <c r="C2531" s="22" t="n">
        <v>31</v>
      </c>
      <c r="D2531" s="22" t="inlineStr">
        <is>
          <t>S31</t>
        </is>
      </c>
      <c r="E2531" s="22" t="inlineStr">
        <is>
          <t>Nexa Drenthe (S31)</t>
        </is>
      </c>
      <c r="F2531" s="22" t="inlineStr">
        <is>
          <t>Hà Lan</t>
        </is>
      </c>
      <c r="G2531" s="22" t="inlineStr">
        <is>
          <t>POS</t>
        </is>
      </c>
      <c r="H2531" s="31" t="n">
        <v>2392.75</v>
      </c>
      <c r="I2531" s="31" t="n">
        <v>0</v>
      </c>
      <c r="J2531" s="31" t="n">
        <v>2392.75</v>
      </c>
      <c r="K2531" s="31" t="n">
        <v>0</v>
      </c>
      <c r="L2531" s="32" t="n">
        <v>1</v>
      </c>
      <c r="M2531" s="32" t="n">
        <v>12</v>
      </c>
      <c r="N2531" s="31" t="n">
        <v>2392.75</v>
      </c>
      <c r="O2531" s="31" t="n">
        <v>2392.75</v>
      </c>
      <c r="P2531" s="22" t="n">
        <v>0</v>
      </c>
      <c r="Q2531" s="22" t="n">
        <v>0</v>
      </c>
      <c r="R2531" s="22" t="n">
        <v>0</v>
      </c>
    </row>
    <row r="2532">
      <c r="A2532" s="22" t="n">
        <v>202005</v>
      </c>
      <c r="B2532" s="22" t="inlineStr">
        <is>
          <t>05/2020</t>
        </is>
      </c>
      <c r="C2532" s="22" t="n">
        <v>32</v>
      </c>
      <c r="D2532" s="22" t="inlineStr">
        <is>
          <t>S32</t>
        </is>
      </c>
      <c r="E2532" s="22" t="inlineStr">
        <is>
          <t>Nexa Flevoland (S32)</t>
        </is>
      </c>
      <c r="F2532" s="22" t="inlineStr">
        <is>
          <t>Hà Lan</t>
        </is>
      </c>
      <c r="G2532" s="22" t="inlineStr">
        <is>
          <t>POS</t>
        </is>
      </c>
      <c r="H2532" s="31" t="n">
        <v>6464.07</v>
      </c>
      <c r="I2532" s="31" t="n">
        <v>0</v>
      </c>
      <c r="J2532" s="31" t="n">
        <v>6464.07</v>
      </c>
      <c r="K2532" s="31" t="n">
        <v>0</v>
      </c>
      <c r="L2532" s="32" t="n">
        <v>6</v>
      </c>
      <c r="M2532" s="32" t="n">
        <v>31</v>
      </c>
      <c r="N2532" s="31" t="n">
        <v>6464.07</v>
      </c>
      <c r="O2532" s="31" t="n">
        <v>6464.07</v>
      </c>
      <c r="P2532" s="22" t="n">
        <v>0</v>
      </c>
      <c r="Q2532" s="22" t="n">
        <v>0</v>
      </c>
      <c r="R2532" s="22" t="n">
        <v>0</v>
      </c>
    </row>
    <row r="2533">
      <c r="A2533" s="22" t="n">
        <v>202005</v>
      </c>
      <c r="B2533" s="22" t="inlineStr">
        <is>
          <t>05/2020</t>
        </is>
      </c>
      <c r="C2533" s="22" t="n">
        <v>33</v>
      </c>
      <c r="D2533" s="22" t="inlineStr">
        <is>
          <t>S33</t>
        </is>
      </c>
      <c r="E2533" s="22" t="inlineStr">
        <is>
          <t>Nexa Friesland (S33)</t>
        </is>
      </c>
      <c r="F2533" s="22" t="inlineStr">
        <is>
          <t>Hà Lan</t>
        </is>
      </c>
      <c r="G2533" s="22" t="inlineStr">
        <is>
          <t>POS</t>
        </is>
      </c>
      <c r="H2533" s="31" t="n">
        <v>2504.4</v>
      </c>
      <c r="I2533" s="31" t="n">
        <v>0</v>
      </c>
      <c r="J2533" s="31" t="n">
        <v>2504.4</v>
      </c>
      <c r="K2533" s="31" t="n">
        <v>0</v>
      </c>
      <c r="L2533" s="32" t="n">
        <v>3</v>
      </c>
      <c r="M2533" s="32" t="n">
        <v>13</v>
      </c>
      <c r="N2533" s="31" t="n">
        <v>2504.4</v>
      </c>
      <c r="O2533" s="31" t="n">
        <v>2504.4</v>
      </c>
      <c r="P2533" s="22" t="n">
        <v>0</v>
      </c>
      <c r="Q2533" s="22" t="n">
        <v>0</v>
      </c>
      <c r="R2533" s="22" t="n">
        <v>0</v>
      </c>
    </row>
    <row r="2534">
      <c r="A2534" s="22" t="n">
        <v>202005</v>
      </c>
      <c r="B2534" s="22" t="inlineStr">
        <is>
          <t>05/2020</t>
        </is>
      </c>
      <c r="C2534" s="22" t="n">
        <v>34</v>
      </c>
      <c r="D2534" s="22" t="inlineStr">
        <is>
          <t>S34</t>
        </is>
      </c>
      <c r="E2534" s="22" t="inlineStr">
        <is>
          <t>Nexa Groningen (S34)</t>
        </is>
      </c>
      <c r="F2534" s="22" t="inlineStr">
        <is>
          <t>Hà Lan</t>
        </is>
      </c>
      <c r="G2534" s="22" t="inlineStr">
        <is>
          <t>POS</t>
        </is>
      </c>
      <c r="H2534" s="31" t="n">
        <v>9682.219999999999</v>
      </c>
      <c r="I2534" s="31" t="n">
        <v>0</v>
      </c>
      <c r="J2534" s="31" t="n">
        <v>9682.219999999999</v>
      </c>
      <c r="K2534" s="31" t="n">
        <v>17.99</v>
      </c>
      <c r="L2534" s="32" t="n">
        <v>4</v>
      </c>
      <c r="M2534" s="32" t="n">
        <v>31</v>
      </c>
      <c r="N2534" s="31" t="n">
        <v>9664.23</v>
      </c>
      <c r="O2534" s="31" t="n">
        <v>9682.219999999999</v>
      </c>
      <c r="P2534" s="22" t="n">
        <v>0</v>
      </c>
      <c r="Q2534" s="22" t="n">
        <v>0</v>
      </c>
      <c r="R2534" s="22" t="n">
        <v>0</v>
      </c>
    </row>
    <row r="2535">
      <c r="A2535" s="22" t="n">
        <v>202005</v>
      </c>
      <c r="B2535" s="22" t="inlineStr">
        <is>
          <t>05/2020</t>
        </is>
      </c>
      <c r="C2535" s="22" t="n">
        <v>36</v>
      </c>
      <c r="D2535" s="22" t="inlineStr">
        <is>
          <t>S36</t>
        </is>
      </c>
      <c r="E2535" s="22" t="inlineStr">
        <is>
          <t>Nexa Armagh (S36)</t>
        </is>
      </c>
      <c r="F2535" s="22" t="inlineStr">
        <is>
          <t>Anh</t>
        </is>
      </c>
      <c r="G2535" s="22" t="inlineStr">
        <is>
          <t>POS</t>
        </is>
      </c>
      <c r="H2535" s="31" t="n">
        <v>5645.93</v>
      </c>
      <c r="I2535" s="31" t="n">
        <v>0</v>
      </c>
      <c r="J2535" s="31" t="n">
        <v>5645.93</v>
      </c>
      <c r="K2535" s="31" t="n">
        <v>284.97</v>
      </c>
      <c r="L2535" s="32" t="n">
        <v>7</v>
      </c>
      <c r="M2535" s="32" t="n">
        <v>37</v>
      </c>
      <c r="N2535" s="31" t="n">
        <v>5360.96</v>
      </c>
      <c r="O2535" s="31" t="n">
        <v>5645.93</v>
      </c>
      <c r="P2535" s="22" t="n">
        <v>0</v>
      </c>
      <c r="Q2535" s="22" t="n">
        <v>0</v>
      </c>
      <c r="R2535" s="22" t="n">
        <v>0</v>
      </c>
    </row>
    <row r="2536">
      <c r="A2536" s="22" t="n">
        <v>202005</v>
      </c>
      <c r="B2536" s="22" t="inlineStr">
        <is>
          <t>05/2020</t>
        </is>
      </c>
      <c r="C2536" s="22" t="n">
        <v>37</v>
      </c>
      <c r="D2536" s="22" t="inlineStr">
        <is>
          <t>S37</t>
        </is>
      </c>
      <c r="E2536" s="22" t="inlineStr">
        <is>
          <t>Nexa Ayrshire (S37)</t>
        </is>
      </c>
      <c r="F2536" s="22" t="inlineStr">
        <is>
          <t>Anh</t>
        </is>
      </c>
      <c r="G2536" s="22" t="inlineStr">
        <is>
          <t>POS</t>
        </is>
      </c>
      <c r="H2536" s="31" t="n">
        <v>13828.98</v>
      </c>
      <c r="I2536" s="31" t="n">
        <v>0</v>
      </c>
      <c r="J2536" s="31" t="n">
        <v>13828.98</v>
      </c>
      <c r="K2536" s="31" t="n">
        <v>219</v>
      </c>
      <c r="L2536" s="32" t="n">
        <v>7</v>
      </c>
      <c r="M2536" s="32" t="n">
        <v>51</v>
      </c>
      <c r="N2536" s="31" t="n">
        <v>13609.98</v>
      </c>
      <c r="O2536" s="31" t="n">
        <v>13828.98</v>
      </c>
      <c r="P2536" s="22" t="n">
        <v>0</v>
      </c>
      <c r="Q2536" s="22" t="n">
        <v>0</v>
      </c>
      <c r="R2536" s="22" t="n">
        <v>0</v>
      </c>
    </row>
    <row r="2537">
      <c r="A2537" s="22" t="n">
        <v>202005</v>
      </c>
      <c r="B2537" s="22" t="inlineStr">
        <is>
          <t>05/2020</t>
        </is>
      </c>
      <c r="C2537" s="22" t="n">
        <v>38</v>
      </c>
      <c r="D2537" s="22" t="inlineStr">
        <is>
          <t>S38</t>
        </is>
      </c>
      <c r="E2537" s="22" t="inlineStr">
        <is>
          <t>Nexa Belfast (S38)</t>
        </is>
      </c>
      <c r="F2537" s="22" t="inlineStr">
        <is>
          <t>Anh</t>
        </is>
      </c>
      <c r="G2537" s="22" t="inlineStr">
        <is>
          <t>POS</t>
        </is>
      </c>
      <c r="H2537" s="31" t="n">
        <v>3934.13</v>
      </c>
      <c r="I2537" s="31" t="n">
        <v>0</v>
      </c>
      <c r="J2537" s="31" t="n">
        <v>3934.13</v>
      </c>
      <c r="K2537" s="31" t="n">
        <v>0</v>
      </c>
      <c r="L2537" s="32" t="n">
        <v>6</v>
      </c>
      <c r="M2537" s="32" t="n">
        <v>37</v>
      </c>
      <c r="N2537" s="31" t="n">
        <v>3934.13</v>
      </c>
      <c r="O2537" s="31" t="n">
        <v>3934.13</v>
      </c>
      <c r="P2537" s="22" t="n">
        <v>0</v>
      </c>
      <c r="Q2537" s="22" t="n">
        <v>0</v>
      </c>
      <c r="R2537" s="22" t="n">
        <v>0</v>
      </c>
    </row>
    <row r="2538">
      <c r="A2538" s="22" t="n">
        <v>202005</v>
      </c>
      <c r="B2538" s="22" t="inlineStr">
        <is>
          <t>05/2020</t>
        </is>
      </c>
      <c r="C2538" s="22" t="n">
        <v>39</v>
      </c>
      <c r="D2538" s="22" t="inlineStr">
        <is>
          <t>S39</t>
        </is>
      </c>
      <c r="E2538" s="22" t="inlineStr">
        <is>
          <t>Nexa Blaenau Gwent (S39)</t>
        </is>
      </c>
      <c r="F2538" s="22" t="inlineStr">
        <is>
          <t>Anh</t>
        </is>
      </c>
      <c r="G2538" s="22" t="inlineStr">
        <is>
          <t>POS</t>
        </is>
      </c>
      <c r="H2538" s="31" t="n">
        <v>6591.78</v>
      </c>
      <c r="I2538" s="31" t="n">
        <v>0</v>
      </c>
      <c r="J2538" s="31" t="n">
        <v>6591.78</v>
      </c>
      <c r="K2538" s="31" t="n">
        <v>0</v>
      </c>
      <c r="L2538" s="32" t="n">
        <v>5</v>
      </c>
      <c r="M2538" s="32" t="n">
        <v>24</v>
      </c>
      <c r="N2538" s="31" t="n">
        <v>6591.78</v>
      </c>
      <c r="O2538" s="31" t="n">
        <v>6591.78</v>
      </c>
      <c r="P2538" s="22" t="n">
        <v>0</v>
      </c>
      <c r="Q2538" s="22" t="n">
        <v>0</v>
      </c>
      <c r="R2538" s="22" t="n">
        <v>0</v>
      </c>
    </row>
    <row r="2539">
      <c r="A2539" s="22" t="n">
        <v>202005</v>
      </c>
      <c r="B2539" s="22" t="inlineStr">
        <is>
          <t>05/2020</t>
        </is>
      </c>
      <c r="C2539" s="22" t="n">
        <v>40</v>
      </c>
      <c r="D2539" s="22" t="inlineStr">
        <is>
          <t>S40</t>
        </is>
      </c>
      <c r="E2539" s="22" t="inlineStr">
        <is>
          <t>Nexa Dungannon and South Tyrone (S40)</t>
        </is>
      </c>
      <c r="F2539" s="22" t="inlineStr">
        <is>
          <t>Anh</t>
        </is>
      </c>
      <c r="G2539" s="22" t="inlineStr">
        <is>
          <t>POS</t>
        </is>
      </c>
      <c r="H2539" s="31" t="n">
        <v>16708.39</v>
      </c>
      <c r="I2539" s="31" t="n">
        <v>0</v>
      </c>
      <c r="J2539" s="31" t="n">
        <v>16708.39</v>
      </c>
      <c r="K2539" s="31" t="n">
        <v>0</v>
      </c>
      <c r="L2539" s="32" t="n">
        <v>5</v>
      </c>
      <c r="M2539" s="32" t="n">
        <v>35</v>
      </c>
      <c r="N2539" s="31" t="n">
        <v>16708.39</v>
      </c>
      <c r="O2539" s="31" t="n">
        <v>16708.39</v>
      </c>
      <c r="P2539" s="22" t="n">
        <v>0</v>
      </c>
      <c r="Q2539" s="22" t="n">
        <v>0</v>
      </c>
      <c r="R2539" s="22" t="n">
        <v>0</v>
      </c>
    </row>
    <row r="2540">
      <c r="A2540" s="22" t="n">
        <v>202005</v>
      </c>
      <c r="B2540" s="22" t="inlineStr">
        <is>
          <t>05/2020</t>
        </is>
      </c>
      <c r="C2540" s="22" t="n">
        <v>42</v>
      </c>
      <c r="D2540" s="22" t="inlineStr">
        <is>
          <t>S42</t>
        </is>
      </c>
      <c r="E2540" s="22" t="inlineStr">
        <is>
          <t>Nexa North Down (S42)</t>
        </is>
      </c>
      <c r="F2540" s="22" t="inlineStr">
        <is>
          <t>Anh</t>
        </is>
      </c>
      <c r="G2540" s="22" t="inlineStr">
        <is>
          <t>POS</t>
        </is>
      </c>
      <c r="H2540" s="31" t="n">
        <v>9695.530000000001</v>
      </c>
      <c r="I2540" s="31" t="n">
        <v>0</v>
      </c>
      <c r="J2540" s="31" t="n">
        <v>9695.530000000001</v>
      </c>
      <c r="K2540" s="31" t="n">
        <v>0</v>
      </c>
      <c r="L2540" s="32" t="n">
        <v>9</v>
      </c>
      <c r="M2540" s="32" t="n">
        <v>57</v>
      </c>
      <c r="N2540" s="31" t="n">
        <v>9695.530000000001</v>
      </c>
      <c r="O2540" s="31" t="n">
        <v>9695.530000000001</v>
      </c>
      <c r="P2540" s="22" t="n">
        <v>0</v>
      </c>
      <c r="Q2540" s="22" t="n">
        <v>0</v>
      </c>
      <c r="R2540" s="22" t="n">
        <v>0</v>
      </c>
    </row>
    <row r="2541">
      <c r="A2541" s="22" t="n">
        <v>202005</v>
      </c>
      <c r="B2541" s="22" t="inlineStr">
        <is>
          <t>05/2020</t>
        </is>
      </c>
      <c r="C2541" s="22" t="n">
        <v>43</v>
      </c>
      <c r="D2541" s="22" t="inlineStr">
        <is>
          <t>S43</t>
        </is>
      </c>
      <c r="E2541" s="22" t="inlineStr">
        <is>
          <t>Nexa Alaska (S43)</t>
        </is>
      </c>
      <c r="F2541" s="22" t="inlineStr">
        <is>
          <t>Mỹ</t>
        </is>
      </c>
      <c r="G2541" s="22" t="inlineStr">
        <is>
          <t>POS</t>
        </is>
      </c>
      <c r="H2541" s="31" t="n">
        <v>20735.01</v>
      </c>
      <c r="I2541" s="31" t="n">
        <v>0</v>
      </c>
      <c r="J2541" s="31" t="n">
        <v>20735.01</v>
      </c>
      <c r="K2541" s="31" t="n">
        <v>2312</v>
      </c>
      <c r="L2541" s="32" t="n">
        <v>9</v>
      </c>
      <c r="M2541" s="32" t="n">
        <v>57</v>
      </c>
      <c r="N2541" s="31" t="n">
        <v>18423.01</v>
      </c>
      <c r="O2541" s="31" t="n">
        <v>20735.01</v>
      </c>
      <c r="P2541" s="22" t="n">
        <v>0</v>
      </c>
      <c r="Q2541" s="22" t="n">
        <v>0</v>
      </c>
      <c r="R2541" s="22" t="n">
        <v>0</v>
      </c>
    </row>
    <row r="2542">
      <c r="A2542" s="22" t="n">
        <v>202005</v>
      </c>
      <c r="B2542" s="22" t="inlineStr">
        <is>
          <t>05/2020</t>
        </is>
      </c>
      <c r="C2542" s="22" t="n">
        <v>44</v>
      </c>
      <c r="D2542" s="22" t="inlineStr">
        <is>
          <t>S44</t>
        </is>
      </c>
      <c r="E2542" s="22" t="inlineStr">
        <is>
          <t>Nexa Arkansas (S44)</t>
        </is>
      </c>
      <c r="F2542" s="22" t="inlineStr">
        <is>
          <t>Mỹ</t>
        </is>
      </c>
      <c r="G2542" s="22" t="inlineStr">
        <is>
          <t>POS</t>
        </is>
      </c>
      <c r="H2542" s="31" t="n">
        <v>41046.11</v>
      </c>
      <c r="I2542" s="31" t="n">
        <v>0</v>
      </c>
      <c r="J2542" s="31" t="n">
        <v>41046.11</v>
      </c>
      <c r="K2542" s="31" t="n">
        <v>1823.64</v>
      </c>
      <c r="L2542" s="32" t="n">
        <v>13</v>
      </c>
      <c r="M2542" s="32" t="n">
        <v>87</v>
      </c>
      <c r="N2542" s="31" t="n">
        <v>39222.47</v>
      </c>
      <c r="O2542" s="31" t="n">
        <v>41046.11</v>
      </c>
      <c r="P2542" s="22" t="n">
        <v>0</v>
      </c>
      <c r="Q2542" s="22" t="n">
        <v>0</v>
      </c>
      <c r="R2542" s="22" t="n">
        <v>0</v>
      </c>
    </row>
    <row r="2543">
      <c r="A2543" s="22" t="n">
        <v>202005</v>
      </c>
      <c r="B2543" s="22" t="inlineStr">
        <is>
          <t>05/2020</t>
        </is>
      </c>
      <c r="C2543" s="22" t="n">
        <v>45</v>
      </c>
      <c r="D2543" s="22" t="inlineStr">
        <is>
          <t>S45</t>
        </is>
      </c>
      <c r="E2543" s="22" t="inlineStr">
        <is>
          <t>Nexa Connecticut (S45)</t>
        </is>
      </c>
      <c r="F2543" s="22" t="inlineStr">
        <is>
          <t>Mỹ</t>
        </is>
      </c>
      <c r="G2543" s="22" t="inlineStr">
        <is>
          <t>POS</t>
        </is>
      </c>
      <c r="H2543" s="31" t="n">
        <v>29176.82</v>
      </c>
      <c r="I2543" s="31" t="n">
        <v>0</v>
      </c>
      <c r="J2543" s="31" t="n">
        <v>29176.82</v>
      </c>
      <c r="K2543" s="31" t="n">
        <v>12.66</v>
      </c>
      <c r="L2543" s="32" t="n">
        <v>10</v>
      </c>
      <c r="M2543" s="32" t="n">
        <v>82</v>
      </c>
      <c r="N2543" s="31" t="n">
        <v>29164.16</v>
      </c>
      <c r="O2543" s="31" t="n">
        <v>29176.82</v>
      </c>
      <c r="P2543" s="22" t="n">
        <v>0</v>
      </c>
      <c r="Q2543" s="22" t="n">
        <v>0</v>
      </c>
      <c r="R2543" s="22" t="n">
        <v>0</v>
      </c>
    </row>
    <row r="2544">
      <c r="A2544" s="22" t="n">
        <v>202005</v>
      </c>
      <c r="B2544" s="22" t="inlineStr">
        <is>
          <t>05/2020</t>
        </is>
      </c>
      <c r="C2544" s="22" t="n">
        <v>47</v>
      </c>
      <c r="D2544" s="22" t="inlineStr">
        <is>
          <t>S47</t>
        </is>
      </c>
      <c r="E2544" s="22" t="inlineStr">
        <is>
          <t>Nexa Hawaii (S47)</t>
        </is>
      </c>
      <c r="F2544" s="22" t="inlineStr">
        <is>
          <t>Mỹ</t>
        </is>
      </c>
      <c r="G2544" s="22" t="inlineStr">
        <is>
          <t>POS</t>
        </is>
      </c>
      <c r="H2544" s="31" t="n">
        <v>15193.87</v>
      </c>
      <c r="I2544" s="31" t="n">
        <v>0</v>
      </c>
      <c r="J2544" s="31" t="n">
        <v>15193.87</v>
      </c>
      <c r="K2544" s="31" t="n">
        <v>9.99</v>
      </c>
      <c r="L2544" s="32" t="n">
        <v>13</v>
      </c>
      <c r="M2544" s="32" t="n">
        <v>88</v>
      </c>
      <c r="N2544" s="31" t="n">
        <v>15193.87</v>
      </c>
      <c r="O2544" s="31" t="n">
        <v>15193.87</v>
      </c>
      <c r="P2544" s="22" t="n">
        <v>0</v>
      </c>
      <c r="Q2544" s="22" t="n">
        <v>0</v>
      </c>
      <c r="R2544" s="22" t="n">
        <v>0</v>
      </c>
    </row>
    <row r="2545">
      <c r="A2545" s="22" t="n">
        <v>202005</v>
      </c>
      <c r="B2545" s="22" t="inlineStr">
        <is>
          <t>05/2020</t>
        </is>
      </c>
      <c r="C2545" s="22" t="n">
        <v>48</v>
      </c>
      <c r="D2545" s="22" t="inlineStr">
        <is>
          <t>S48</t>
        </is>
      </c>
      <c r="E2545" s="22" t="inlineStr">
        <is>
          <t>Nexa Idaho (S48)</t>
        </is>
      </c>
      <c r="F2545" s="22" t="inlineStr">
        <is>
          <t>Mỹ</t>
        </is>
      </c>
      <c r="G2545" s="22" t="inlineStr">
        <is>
          <t>POS</t>
        </is>
      </c>
      <c r="H2545" s="31" t="n">
        <v>23680.89</v>
      </c>
      <c r="I2545" s="31" t="n">
        <v>0</v>
      </c>
      <c r="J2545" s="31" t="n">
        <v>23680.89</v>
      </c>
      <c r="K2545" s="31" t="n">
        <v>0</v>
      </c>
      <c r="L2545" s="32" t="n">
        <v>15</v>
      </c>
      <c r="M2545" s="32" t="n">
        <v>113</v>
      </c>
      <c r="N2545" s="31" t="n">
        <v>23680.89</v>
      </c>
      <c r="O2545" s="31" t="n">
        <v>23680.89</v>
      </c>
      <c r="P2545" s="22" t="n">
        <v>0</v>
      </c>
      <c r="Q2545" s="22" t="n">
        <v>0</v>
      </c>
      <c r="R2545" s="22" t="n">
        <v>0</v>
      </c>
    </row>
    <row r="2546">
      <c r="A2546" s="22" t="n">
        <v>202005</v>
      </c>
      <c r="B2546" s="22" t="inlineStr">
        <is>
          <t>05/2020</t>
        </is>
      </c>
      <c r="C2546" s="22" t="n">
        <v>49</v>
      </c>
      <c r="D2546" s="22" t="inlineStr">
        <is>
          <t>S49</t>
        </is>
      </c>
      <c r="E2546" s="22" t="inlineStr">
        <is>
          <t>Nexa Iowa (S49)</t>
        </is>
      </c>
      <c r="F2546" s="22" t="inlineStr">
        <is>
          <t>Mỹ</t>
        </is>
      </c>
      <c r="G2546" s="22" t="inlineStr">
        <is>
          <t>POS</t>
        </is>
      </c>
      <c r="H2546" s="31" t="n">
        <v>15724.03</v>
      </c>
      <c r="I2546" s="31" t="n">
        <v>0</v>
      </c>
      <c r="J2546" s="31" t="n">
        <v>15724.03</v>
      </c>
      <c r="K2546" s="31" t="n">
        <v>64</v>
      </c>
      <c r="L2546" s="32" t="n">
        <v>15</v>
      </c>
      <c r="M2546" s="32" t="n">
        <v>120</v>
      </c>
      <c r="N2546" s="31" t="n">
        <v>15660.03</v>
      </c>
      <c r="O2546" s="31" t="n">
        <v>15724.03</v>
      </c>
      <c r="P2546" s="22" t="n">
        <v>0</v>
      </c>
      <c r="Q2546" s="22" t="n">
        <v>0</v>
      </c>
      <c r="R2546" s="22" t="n">
        <v>0</v>
      </c>
    </row>
    <row r="2547">
      <c r="A2547" s="22" t="n">
        <v>202005</v>
      </c>
      <c r="B2547" s="22" t="inlineStr">
        <is>
          <t>05/2020</t>
        </is>
      </c>
      <c r="C2547" s="22" t="n">
        <v>50</v>
      </c>
      <c r="D2547" s="22" t="inlineStr">
        <is>
          <t>S50</t>
        </is>
      </c>
      <c r="E2547" s="22" t="inlineStr">
        <is>
          <t>Nexa Kansas (S50)</t>
        </is>
      </c>
      <c r="F2547" s="22" t="inlineStr">
        <is>
          <t>Mỹ</t>
        </is>
      </c>
      <c r="G2547" s="22" t="inlineStr">
        <is>
          <t>POS</t>
        </is>
      </c>
      <c r="H2547" s="31" t="n">
        <v>19761.62</v>
      </c>
      <c r="I2547" s="31" t="n">
        <v>0</v>
      </c>
      <c r="J2547" s="31" t="n">
        <v>19761.62</v>
      </c>
      <c r="K2547" s="31" t="n">
        <v>0</v>
      </c>
      <c r="L2547" s="32" t="n">
        <v>14</v>
      </c>
      <c r="M2547" s="32" t="n">
        <v>106</v>
      </c>
      <c r="N2547" s="31" t="n">
        <v>19761.62</v>
      </c>
      <c r="O2547" s="31" t="n">
        <v>19761.62</v>
      </c>
      <c r="P2547" s="22" t="n">
        <v>0</v>
      </c>
      <c r="Q2547" s="22" t="n">
        <v>0</v>
      </c>
      <c r="R2547" s="22" t="n">
        <v>0</v>
      </c>
    </row>
    <row r="2548">
      <c r="A2548" s="22" t="n">
        <v>202005</v>
      </c>
      <c r="B2548" s="22" t="inlineStr">
        <is>
          <t>05/2020</t>
        </is>
      </c>
      <c r="C2548" s="22" t="n">
        <v>51</v>
      </c>
      <c r="D2548" s="22" t="inlineStr">
        <is>
          <t>S51</t>
        </is>
      </c>
      <c r="E2548" s="22" t="inlineStr">
        <is>
          <t>Nexa Maine (S51)</t>
        </is>
      </c>
      <c r="F2548" s="22" t="inlineStr">
        <is>
          <t>Mỹ</t>
        </is>
      </c>
      <c r="G2548" s="22" t="inlineStr">
        <is>
          <t>POS</t>
        </is>
      </c>
      <c r="H2548" s="31" t="n">
        <v>31522.12</v>
      </c>
      <c r="I2548" s="31" t="n">
        <v>0</v>
      </c>
      <c r="J2548" s="31" t="n">
        <v>31522.12</v>
      </c>
      <c r="K2548" s="31" t="n">
        <v>0</v>
      </c>
      <c r="L2548" s="32" t="n">
        <v>18</v>
      </c>
      <c r="M2548" s="32" t="n">
        <v>139</v>
      </c>
      <c r="N2548" s="31" t="n">
        <v>31522.12</v>
      </c>
      <c r="O2548" s="31" t="n">
        <v>31522.12</v>
      </c>
      <c r="P2548" s="22" t="n">
        <v>0</v>
      </c>
      <c r="Q2548" s="22" t="n">
        <v>0</v>
      </c>
      <c r="R2548" s="22" t="n">
        <v>0</v>
      </c>
    </row>
    <row r="2549">
      <c r="A2549" s="22" t="n">
        <v>202005</v>
      </c>
      <c r="B2549" s="22" t="inlineStr">
        <is>
          <t>05/2020</t>
        </is>
      </c>
      <c r="C2549" s="22" t="n">
        <v>53</v>
      </c>
      <c r="D2549" s="22" t="inlineStr">
        <is>
          <t>S53</t>
        </is>
      </c>
      <c r="E2549" s="22" t="inlineStr">
        <is>
          <t>Nexa Montana (S53)</t>
        </is>
      </c>
      <c r="F2549" s="22" t="inlineStr">
        <is>
          <t>Mỹ</t>
        </is>
      </c>
      <c r="G2549" s="22" t="inlineStr">
        <is>
          <t>POS</t>
        </is>
      </c>
      <c r="H2549" s="31" t="n">
        <v>20385.14</v>
      </c>
      <c r="I2549" s="31" t="n">
        <v>0</v>
      </c>
      <c r="J2549" s="31" t="n">
        <v>20385.14</v>
      </c>
      <c r="K2549" s="31" t="n">
        <v>3556</v>
      </c>
      <c r="L2549" s="32" t="n">
        <v>10</v>
      </c>
      <c r="M2549" s="32" t="n">
        <v>47</v>
      </c>
      <c r="N2549" s="31" t="n">
        <v>16829.14</v>
      </c>
      <c r="O2549" s="31" t="n">
        <v>20385.14</v>
      </c>
      <c r="P2549" s="22" t="n">
        <v>0</v>
      </c>
      <c r="Q2549" s="22" t="n">
        <v>0</v>
      </c>
      <c r="R2549" s="22" t="n">
        <v>0</v>
      </c>
    </row>
    <row r="2550">
      <c r="A2550" s="22" t="n">
        <v>202005</v>
      </c>
      <c r="B2550" s="22" t="inlineStr">
        <is>
          <t>05/2020</t>
        </is>
      </c>
      <c r="C2550" s="22" t="n">
        <v>54</v>
      </c>
      <c r="D2550" s="22" t="inlineStr">
        <is>
          <t>S54</t>
        </is>
      </c>
      <c r="E2550" s="22" t="inlineStr">
        <is>
          <t>Nexa Nebraska (S54)</t>
        </is>
      </c>
      <c r="F2550" s="22" t="inlineStr">
        <is>
          <t>Mỹ</t>
        </is>
      </c>
      <c r="G2550" s="22" t="inlineStr">
        <is>
          <t>POS</t>
        </is>
      </c>
      <c r="H2550" s="31" t="n">
        <v>14581.54</v>
      </c>
      <c r="I2550" s="31" t="n">
        <v>0</v>
      </c>
      <c r="J2550" s="31" t="n">
        <v>14581.54</v>
      </c>
      <c r="K2550" s="31" t="n">
        <v>0</v>
      </c>
      <c r="L2550" s="32" t="n">
        <v>11</v>
      </c>
      <c r="M2550" s="32" t="n">
        <v>61</v>
      </c>
      <c r="N2550" s="31" t="n">
        <v>14581.54</v>
      </c>
      <c r="O2550" s="31" t="n">
        <v>14581.54</v>
      </c>
      <c r="P2550" s="22" t="n">
        <v>1</v>
      </c>
      <c r="Q2550" s="22" t="n">
        <v>0</v>
      </c>
      <c r="R2550" s="22" t="n">
        <v>0</v>
      </c>
    </row>
    <row r="2551">
      <c r="A2551" s="22" t="n">
        <v>202005</v>
      </c>
      <c r="B2551" s="22" t="inlineStr">
        <is>
          <t>05/2020</t>
        </is>
      </c>
      <c r="C2551" s="22" t="n">
        <v>55</v>
      </c>
      <c r="D2551" s="22" t="inlineStr">
        <is>
          <t>S55</t>
        </is>
      </c>
      <c r="E2551" s="22" t="inlineStr">
        <is>
          <t>Nexa Nevada (S55)</t>
        </is>
      </c>
      <c r="F2551" s="22" t="inlineStr">
        <is>
          <t>Mỹ</t>
        </is>
      </c>
      <c r="G2551" s="22" t="inlineStr">
        <is>
          <t>POS</t>
        </is>
      </c>
      <c r="H2551" s="31" t="n">
        <v>67220.86</v>
      </c>
      <c r="I2551" s="31" t="n">
        <v>0</v>
      </c>
      <c r="J2551" s="31" t="n">
        <v>67220.86</v>
      </c>
      <c r="K2551" s="31" t="n">
        <v>0</v>
      </c>
      <c r="L2551" s="32" t="n">
        <v>16</v>
      </c>
      <c r="M2551" s="32" t="n">
        <v>166</v>
      </c>
      <c r="N2551" s="31" t="n">
        <v>67220.86</v>
      </c>
      <c r="O2551" s="31" t="n">
        <v>67220.86</v>
      </c>
      <c r="P2551" s="22" t="n">
        <v>0</v>
      </c>
      <c r="Q2551" s="22" t="n">
        <v>0</v>
      </c>
      <c r="R2551" s="22" t="n">
        <v>0</v>
      </c>
    </row>
    <row r="2552">
      <c r="A2552" s="22" t="n">
        <v>202005</v>
      </c>
      <c r="B2552" s="22" t="inlineStr">
        <is>
          <t>05/2020</t>
        </is>
      </c>
      <c r="C2552" s="22" t="n">
        <v>56</v>
      </c>
      <c r="D2552" s="22" t="inlineStr">
        <is>
          <t>S56</t>
        </is>
      </c>
      <c r="E2552" s="22" t="inlineStr">
        <is>
          <t>Nexa New Hampshire (S56)</t>
        </is>
      </c>
      <c r="F2552" s="22" t="inlineStr">
        <is>
          <t>Mỹ</t>
        </is>
      </c>
      <c r="G2552" s="22" t="inlineStr">
        <is>
          <t>POS</t>
        </is>
      </c>
      <c r="H2552" s="31" t="n">
        <v>6724.33</v>
      </c>
      <c r="I2552" s="31" t="n">
        <v>0</v>
      </c>
      <c r="J2552" s="31" t="n">
        <v>6724.33</v>
      </c>
      <c r="K2552" s="31" t="n">
        <v>0</v>
      </c>
      <c r="L2552" s="32" t="n">
        <v>5</v>
      </c>
      <c r="M2552" s="32" t="n">
        <v>37</v>
      </c>
      <c r="N2552" s="31" t="n">
        <v>6724.33</v>
      </c>
      <c r="O2552" s="31" t="n">
        <v>6724.33</v>
      </c>
      <c r="P2552" s="22" t="n">
        <v>0</v>
      </c>
      <c r="Q2552" s="22" t="n">
        <v>0</v>
      </c>
      <c r="R2552" s="22" t="n">
        <v>0</v>
      </c>
    </row>
    <row r="2553">
      <c r="A2553" s="22" t="n">
        <v>202005</v>
      </c>
      <c r="B2553" s="22" t="inlineStr">
        <is>
          <t>05/2020</t>
        </is>
      </c>
      <c r="C2553" s="22" t="n">
        <v>57</v>
      </c>
      <c r="D2553" s="22" t="inlineStr">
        <is>
          <t>S57</t>
        </is>
      </c>
      <c r="E2553" s="22" t="inlineStr">
        <is>
          <t>Nexa New Mexico (S57)</t>
        </is>
      </c>
      <c r="F2553" s="22" t="inlineStr">
        <is>
          <t>Mỹ</t>
        </is>
      </c>
      <c r="G2553" s="22" t="inlineStr">
        <is>
          <t>POS</t>
        </is>
      </c>
      <c r="H2553" s="31" t="n">
        <v>18103.9</v>
      </c>
      <c r="I2553" s="31" t="n">
        <v>0</v>
      </c>
      <c r="J2553" s="31" t="n">
        <v>18103.9</v>
      </c>
      <c r="K2553" s="31" t="n">
        <v>809.85</v>
      </c>
      <c r="L2553" s="32" t="n">
        <v>11</v>
      </c>
      <c r="M2553" s="32" t="n">
        <v>69</v>
      </c>
      <c r="N2553" s="31" t="n">
        <v>17294.05</v>
      </c>
      <c r="O2553" s="31" t="n">
        <v>18103.9</v>
      </c>
      <c r="P2553" s="22" t="n">
        <v>0</v>
      </c>
      <c r="Q2553" s="22" t="n">
        <v>0</v>
      </c>
      <c r="R2553" s="22" t="n">
        <v>0</v>
      </c>
    </row>
    <row r="2554">
      <c r="A2554" s="22" t="n">
        <v>202005</v>
      </c>
      <c r="B2554" s="22" t="inlineStr">
        <is>
          <t>05/2020</t>
        </is>
      </c>
      <c r="C2554" s="22" t="n">
        <v>59</v>
      </c>
      <c r="D2554" s="22" t="inlineStr">
        <is>
          <t>S59</t>
        </is>
      </c>
      <c r="E2554" s="22" t="inlineStr">
        <is>
          <t>Nexa Oregon (S59)</t>
        </is>
      </c>
      <c r="F2554" s="22" t="inlineStr">
        <is>
          <t>Mỹ</t>
        </is>
      </c>
      <c r="G2554" s="22" t="inlineStr">
        <is>
          <t>POS</t>
        </is>
      </c>
      <c r="H2554" s="31" t="n">
        <v>9410.459999999999</v>
      </c>
      <c r="I2554" s="31" t="n">
        <v>0</v>
      </c>
      <c r="J2554" s="31" t="n">
        <v>9410.459999999999</v>
      </c>
      <c r="K2554" s="31" t="n">
        <v>0</v>
      </c>
      <c r="L2554" s="32" t="n">
        <v>11</v>
      </c>
      <c r="M2554" s="32" t="n">
        <v>66</v>
      </c>
      <c r="N2554" s="31" t="n">
        <v>9410.459999999999</v>
      </c>
      <c r="O2554" s="31" t="n">
        <v>9410.459999999999</v>
      </c>
      <c r="P2554" s="22" t="n">
        <v>0</v>
      </c>
      <c r="Q2554" s="22" t="n">
        <v>0</v>
      </c>
      <c r="R2554" s="22" t="n">
        <v>1</v>
      </c>
    </row>
    <row r="2555">
      <c r="A2555" s="22" t="n">
        <v>202005</v>
      </c>
      <c r="B2555" s="22" t="inlineStr">
        <is>
          <t>05/2020</t>
        </is>
      </c>
      <c r="C2555" s="22" t="n">
        <v>61</v>
      </c>
      <c r="D2555" s="22" t="inlineStr">
        <is>
          <t>S61</t>
        </is>
      </c>
      <c r="E2555" s="22" t="inlineStr">
        <is>
          <t>Nexa South Carolina (S61)</t>
        </is>
      </c>
      <c r="F2555" s="22" t="inlineStr">
        <is>
          <t>Mỹ</t>
        </is>
      </c>
      <c r="G2555" s="22" t="inlineStr">
        <is>
          <t>POS</t>
        </is>
      </c>
      <c r="H2555" s="31" t="n">
        <v>11724.03</v>
      </c>
      <c r="I2555" s="31" t="n">
        <v>0</v>
      </c>
      <c r="J2555" s="31" t="n">
        <v>11724.03</v>
      </c>
      <c r="K2555" s="31" t="n">
        <v>129</v>
      </c>
      <c r="L2555" s="32" t="n">
        <v>10</v>
      </c>
      <c r="M2555" s="32" t="n">
        <v>74</v>
      </c>
      <c r="N2555" s="31" t="n">
        <v>11595.03</v>
      </c>
      <c r="O2555" s="31" t="n">
        <v>11724.03</v>
      </c>
      <c r="P2555" s="22" t="n">
        <v>0</v>
      </c>
      <c r="Q2555" s="22" t="n">
        <v>0</v>
      </c>
      <c r="R2555" s="22" t="n">
        <v>0</v>
      </c>
    </row>
    <row r="2556">
      <c r="A2556" s="22" t="n">
        <v>202005</v>
      </c>
      <c r="B2556" s="22" t="inlineStr">
        <is>
          <t>05/2020</t>
        </is>
      </c>
      <c r="C2556" s="22" t="n">
        <v>62</v>
      </c>
      <c r="D2556" s="22" t="inlineStr">
        <is>
          <t>S62</t>
        </is>
      </c>
      <c r="E2556" s="22" t="inlineStr">
        <is>
          <t>Nexa South Dakota (S62)</t>
        </is>
      </c>
      <c r="F2556" s="22" t="inlineStr">
        <is>
          <t>Mỹ</t>
        </is>
      </c>
      <c r="G2556" s="22" t="inlineStr">
        <is>
          <t>POS</t>
        </is>
      </c>
      <c r="H2556" s="31" t="n">
        <v>7185.05</v>
      </c>
      <c r="I2556" s="31" t="n">
        <v>0</v>
      </c>
      <c r="J2556" s="31" t="n">
        <v>7185.05</v>
      </c>
      <c r="K2556" s="31" t="n">
        <v>0</v>
      </c>
      <c r="L2556" s="32" t="n">
        <v>5</v>
      </c>
      <c r="M2556" s="32" t="n">
        <v>33</v>
      </c>
      <c r="N2556" s="31" t="n">
        <v>7185.05</v>
      </c>
      <c r="O2556" s="31" t="n">
        <v>7185.05</v>
      </c>
      <c r="P2556" s="22" t="n">
        <v>1</v>
      </c>
      <c r="Q2556" s="22" t="n">
        <v>0</v>
      </c>
      <c r="R2556" s="22" t="n">
        <v>0</v>
      </c>
    </row>
    <row r="2557">
      <c r="A2557" s="22" t="n">
        <v>202005</v>
      </c>
      <c r="B2557" s="22" t="inlineStr">
        <is>
          <t>05/2020</t>
        </is>
      </c>
      <c r="C2557" s="22" t="n">
        <v>64</v>
      </c>
      <c r="D2557" s="22" t="inlineStr">
        <is>
          <t>S64</t>
        </is>
      </c>
      <c r="E2557" s="22" t="inlineStr">
        <is>
          <t>Nexa Washington DC (S64)</t>
        </is>
      </c>
      <c r="F2557" s="22" t="inlineStr">
        <is>
          <t>Mỹ</t>
        </is>
      </c>
      <c r="G2557" s="22" t="inlineStr">
        <is>
          <t>POS</t>
        </is>
      </c>
      <c r="H2557" s="31" t="n">
        <v>14846.06</v>
      </c>
      <c r="I2557" s="31" t="n">
        <v>0</v>
      </c>
      <c r="J2557" s="31" t="n">
        <v>14846.06</v>
      </c>
      <c r="K2557" s="31" t="n">
        <v>588</v>
      </c>
      <c r="L2557" s="32" t="n">
        <v>12</v>
      </c>
      <c r="M2557" s="32" t="n">
        <v>70</v>
      </c>
      <c r="N2557" s="31" t="n">
        <v>14258.06</v>
      </c>
      <c r="O2557" s="31" t="n">
        <v>14846.06</v>
      </c>
      <c r="P2557" s="22" t="n">
        <v>0</v>
      </c>
      <c r="Q2557" s="22" t="n">
        <v>0</v>
      </c>
      <c r="R2557" s="22" t="n">
        <v>0</v>
      </c>
    </row>
    <row r="2558">
      <c r="A2558" s="22" t="n">
        <v>202005</v>
      </c>
      <c r="B2558" s="22" t="inlineStr">
        <is>
          <t>05/2020</t>
        </is>
      </c>
      <c r="C2558" s="22" t="n">
        <v>65</v>
      </c>
      <c r="D2558" s="22" t="inlineStr">
        <is>
          <t>S65</t>
        </is>
      </c>
      <c r="E2558" s="22" t="inlineStr">
        <is>
          <t>Nexa West Virginia (S65)</t>
        </is>
      </c>
      <c r="F2558" s="22" t="inlineStr">
        <is>
          <t>Mỹ</t>
        </is>
      </c>
      <c r="G2558" s="22" t="inlineStr">
        <is>
          <t>POS</t>
        </is>
      </c>
      <c r="H2558" s="31" t="n">
        <v>6193.05</v>
      </c>
      <c r="I2558" s="31" t="n">
        <v>0</v>
      </c>
      <c r="J2558" s="31" t="n">
        <v>6193.05</v>
      </c>
      <c r="K2558" s="31" t="n">
        <v>0</v>
      </c>
      <c r="L2558" s="32" t="n">
        <v>8</v>
      </c>
      <c r="M2558" s="32" t="n">
        <v>34</v>
      </c>
      <c r="N2558" s="31" t="n">
        <v>6193.05</v>
      </c>
      <c r="O2558" s="31" t="n">
        <v>6193.05</v>
      </c>
      <c r="P2558" s="22" t="n">
        <v>0</v>
      </c>
      <c r="Q2558" s="22" t="n">
        <v>0</v>
      </c>
      <c r="R2558" s="22" t="n">
        <v>0</v>
      </c>
    </row>
    <row r="2559">
      <c r="A2559" s="22" t="n">
        <v>202005</v>
      </c>
      <c r="B2559" s="22" t="inlineStr">
        <is>
          <t>05/2020</t>
        </is>
      </c>
      <c r="C2559" s="22" t="n">
        <v>66</v>
      </c>
      <c r="D2559" s="22" t="inlineStr">
        <is>
          <t>S66</t>
        </is>
      </c>
      <c r="E2559" s="22" t="inlineStr">
        <is>
          <t>Nexa Wyoming (S66)</t>
        </is>
      </c>
      <c r="F2559" s="22" t="inlineStr">
        <is>
          <t>Mỹ</t>
        </is>
      </c>
      <c r="G2559" s="22" t="inlineStr">
        <is>
          <t>POS</t>
        </is>
      </c>
      <c r="H2559" s="31" t="n">
        <v>14857.53</v>
      </c>
      <c r="I2559" s="31" t="n">
        <v>0</v>
      </c>
      <c r="J2559" s="31" t="n">
        <v>14857.53</v>
      </c>
      <c r="K2559" s="31" t="n">
        <v>0</v>
      </c>
      <c r="L2559" s="32" t="n">
        <v>8</v>
      </c>
      <c r="M2559" s="32" t="n">
        <v>58</v>
      </c>
      <c r="N2559" s="31" t="n">
        <v>14857.53</v>
      </c>
      <c r="O2559" s="31" t="n">
        <v>14857.53</v>
      </c>
      <c r="P2559" s="22" t="n">
        <v>1</v>
      </c>
      <c r="Q2559" s="22" t="n">
        <v>0</v>
      </c>
      <c r="R2559" s="22" t="n">
        <v>0</v>
      </c>
    </row>
    <row r="2560">
      <c r="A2560" s="22" t="n">
        <v>202006</v>
      </c>
      <c r="B2560" s="22" t="inlineStr">
        <is>
          <t>06/2020</t>
        </is>
      </c>
      <c r="C2560" s="22" t="n">
        <v>0</v>
      </c>
      <c r="D2560" s="22" t="inlineStr">
        <is>
          <t>ONL</t>
        </is>
      </c>
      <c r="E2560" s="22" t="inlineStr">
        <is>
          <t>Nexa Online (website/app)</t>
        </is>
      </c>
      <c r="F2560" s="22" t="inlineStr">
        <is>
          <t>Online</t>
        </is>
      </c>
      <c r="G2560" s="22" t="inlineStr">
        <is>
          <t>ONLINE</t>
        </is>
      </c>
      <c r="H2560" s="31" t="n">
        <v>188512.29</v>
      </c>
      <c r="I2560" s="31" t="n">
        <v>3941.87</v>
      </c>
      <c r="J2560" s="31" t="n">
        <v>184570.42</v>
      </c>
      <c r="K2560" s="31" t="n">
        <v>3334.94</v>
      </c>
      <c r="L2560" s="32" t="n">
        <v>72</v>
      </c>
      <c r="M2560" s="32" t="n">
        <v>585</v>
      </c>
      <c r="N2560" s="31" t="n">
        <v>177365.98</v>
      </c>
      <c r="O2560" s="31" t="n">
        <v>182404.92</v>
      </c>
      <c r="P2560" s="22" t="n">
        <v>1</v>
      </c>
      <c r="Q2560" s="22" t="n">
        <v>0</v>
      </c>
      <c r="R2560" s="22" t="n">
        <v>0</v>
      </c>
    </row>
    <row r="2561">
      <c r="A2561" s="22" t="n">
        <v>202006</v>
      </c>
      <c r="B2561" s="22" t="inlineStr">
        <is>
          <t>06/2020</t>
        </is>
      </c>
      <c r="C2561" s="22" t="n">
        <v>1</v>
      </c>
      <c r="D2561" s="22" t="inlineStr">
        <is>
          <t>S01</t>
        </is>
      </c>
      <c r="E2561" s="22" t="inlineStr">
        <is>
          <t>Nexa Australian Capital Territory (S01)</t>
        </is>
      </c>
      <c r="F2561" s="22" t="inlineStr">
        <is>
          <t>Úc</t>
        </is>
      </c>
      <c r="G2561" s="22" t="inlineStr">
        <is>
          <t>POS</t>
        </is>
      </c>
      <c r="H2561" s="31" t="n">
        <v>4260.74</v>
      </c>
      <c r="I2561" s="31" t="n">
        <v>0</v>
      </c>
      <c r="J2561" s="31" t="n">
        <v>4260.74</v>
      </c>
      <c r="K2561" s="31" t="n">
        <v>0</v>
      </c>
      <c r="L2561" s="32" t="n">
        <v>3</v>
      </c>
      <c r="M2561" s="32" t="n">
        <v>10</v>
      </c>
      <c r="N2561" s="31" t="n">
        <v>4260.74</v>
      </c>
      <c r="O2561" s="31" t="n">
        <v>4260.74</v>
      </c>
      <c r="P2561" s="22" t="n">
        <v>0</v>
      </c>
      <c r="Q2561" s="22" t="n">
        <v>0</v>
      </c>
      <c r="R2561" s="22" t="n">
        <v>0</v>
      </c>
    </row>
    <row r="2562">
      <c r="A2562" s="22" t="n">
        <v>202006</v>
      </c>
      <c r="B2562" s="22" t="inlineStr">
        <is>
          <t>06/2020</t>
        </is>
      </c>
      <c r="C2562" s="22" t="n">
        <v>4</v>
      </c>
      <c r="D2562" s="22" t="inlineStr">
        <is>
          <t>S04</t>
        </is>
      </c>
      <c r="E2562" s="22" t="inlineStr">
        <is>
          <t>Nexa Tasmania (S04)</t>
        </is>
      </c>
      <c r="F2562" s="22" t="inlineStr">
        <is>
          <t>Úc</t>
        </is>
      </c>
      <c r="G2562" s="22" t="inlineStr">
        <is>
          <t>POS</t>
        </is>
      </c>
      <c r="H2562" s="31" t="n">
        <v>5779.61</v>
      </c>
      <c r="I2562" s="31" t="n">
        <v>0</v>
      </c>
      <c r="J2562" s="31" t="n">
        <v>5779.61</v>
      </c>
      <c r="K2562" s="31" t="n">
        <v>980</v>
      </c>
      <c r="L2562" s="32" t="n">
        <v>3</v>
      </c>
      <c r="M2562" s="32" t="n">
        <v>30</v>
      </c>
      <c r="N2562" s="31" t="n">
        <v>4799.61</v>
      </c>
      <c r="O2562" s="31" t="n">
        <v>5779.61</v>
      </c>
      <c r="P2562" s="22" t="n">
        <v>0</v>
      </c>
      <c r="Q2562" s="22" t="n">
        <v>0</v>
      </c>
      <c r="R2562" s="22" t="n">
        <v>0</v>
      </c>
    </row>
    <row r="2563">
      <c r="A2563" s="22" t="n">
        <v>202006</v>
      </c>
      <c r="B2563" s="22" t="inlineStr">
        <is>
          <t>06/2020</t>
        </is>
      </c>
      <c r="C2563" s="22" t="n">
        <v>5</v>
      </c>
      <c r="D2563" s="22" t="inlineStr">
        <is>
          <t>S05</t>
        </is>
      </c>
      <c r="E2563" s="22" t="inlineStr">
        <is>
          <t>Nexa Victoria (S05)</t>
        </is>
      </c>
      <c r="F2563" s="22" t="inlineStr">
        <is>
          <t>Úc</t>
        </is>
      </c>
      <c r="G2563" s="22" t="inlineStr">
        <is>
          <t>POS</t>
        </is>
      </c>
      <c r="H2563" s="31" t="n">
        <v>0</v>
      </c>
      <c r="I2563" s="31" t="n">
        <v>0</v>
      </c>
      <c r="J2563" s="31" t="n">
        <v>0</v>
      </c>
      <c r="K2563" s="31" t="n">
        <v>13.76</v>
      </c>
      <c r="L2563" s="32" t="n">
        <v>0</v>
      </c>
      <c r="M2563" s="32" t="n">
        <v>0</v>
      </c>
      <c r="N2563" s="31" t="n">
        <v>-13.76</v>
      </c>
      <c r="O2563" s="31" t="n">
        <v>0</v>
      </c>
      <c r="P2563" s="22" t="n">
        <v>1</v>
      </c>
      <c r="Q2563" s="22" t="n">
        <v>0</v>
      </c>
      <c r="R2563" s="22" t="n">
        <v>0</v>
      </c>
    </row>
    <row r="2564">
      <c r="A2564" s="22" t="n">
        <v>202006</v>
      </c>
      <c r="B2564" s="22" t="inlineStr">
        <is>
          <t>06/2020</t>
        </is>
      </c>
      <c r="C2564" s="22" t="n">
        <v>6</v>
      </c>
      <c r="D2564" s="22" t="inlineStr">
        <is>
          <t>S06</t>
        </is>
      </c>
      <c r="E2564" s="22" t="inlineStr">
        <is>
          <t>Nexa Western Australia (S06)</t>
        </is>
      </c>
      <c r="F2564" s="22" t="inlineStr">
        <is>
          <t>Úc</t>
        </is>
      </c>
      <c r="G2564" s="22" t="inlineStr">
        <is>
          <t>POS</t>
        </is>
      </c>
      <c r="H2564" s="31" t="n">
        <v>10376.59</v>
      </c>
      <c r="I2564" s="31" t="n">
        <v>0</v>
      </c>
      <c r="J2564" s="31" t="n">
        <v>10376.59</v>
      </c>
      <c r="K2564" s="31" t="n">
        <v>14.97</v>
      </c>
      <c r="L2564" s="32" t="n">
        <v>5</v>
      </c>
      <c r="M2564" s="32" t="n">
        <v>36</v>
      </c>
      <c r="N2564" s="31" t="n">
        <v>10361.62</v>
      </c>
      <c r="O2564" s="31" t="n">
        <v>10376.59</v>
      </c>
      <c r="P2564" s="22" t="n">
        <v>0</v>
      </c>
      <c r="Q2564" s="22" t="n">
        <v>0</v>
      </c>
      <c r="R2564" s="22" t="n">
        <v>0</v>
      </c>
    </row>
    <row r="2565">
      <c r="A2565" s="22" t="n">
        <v>202006</v>
      </c>
      <c r="B2565" s="22" t="inlineStr">
        <is>
          <t>06/2020</t>
        </is>
      </c>
      <c r="C2565" s="22" t="n">
        <v>8</v>
      </c>
      <c r="D2565" s="22" t="inlineStr">
        <is>
          <t>S08</t>
        </is>
      </c>
      <c r="E2565" s="22" t="inlineStr">
        <is>
          <t>Nexa Newfoundland and Labrador (S08)</t>
        </is>
      </c>
      <c r="F2565" s="22" t="inlineStr">
        <is>
          <t>Canada</t>
        </is>
      </c>
      <c r="G2565" s="22" t="inlineStr">
        <is>
          <t>POS</t>
        </is>
      </c>
      <c r="H2565" s="31" t="n">
        <v>7241.17</v>
      </c>
      <c r="I2565" s="31" t="n">
        <v>0</v>
      </c>
      <c r="J2565" s="31" t="n">
        <v>7241.17</v>
      </c>
      <c r="K2565" s="31" t="n">
        <v>0</v>
      </c>
      <c r="L2565" s="32" t="n">
        <v>6</v>
      </c>
      <c r="M2565" s="32" t="n">
        <v>24</v>
      </c>
      <c r="N2565" s="31" t="n">
        <v>7241.17</v>
      </c>
      <c r="O2565" s="31" t="n">
        <v>7241.17</v>
      </c>
      <c r="P2565" s="22" t="n">
        <v>0</v>
      </c>
      <c r="Q2565" s="22" t="n">
        <v>0</v>
      </c>
      <c r="R2565" s="22" t="n">
        <v>0</v>
      </c>
    </row>
    <row r="2566">
      <c r="A2566" s="22" t="n">
        <v>202006</v>
      </c>
      <c r="B2566" s="22" t="inlineStr">
        <is>
          <t>06/2020</t>
        </is>
      </c>
      <c r="C2566" s="22" t="n">
        <v>9</v>
      </c>
      <c r="D2566" s="22" t="inlineStr">
        <is>
          <t>S09</t>
        </is>
      </c>
      <c r="E2566" s="22" t="inlineStr">
        <is>
          <t>Nexa Northwest Territories (S09)</t>
        </is>
      </c>
      <c r="F2566" s="22" t="inlineStr">
        <is>
          <t>Canada</t>
        </is>
      </c>
      <c r="G2566" s="22" t="inlineStr">
        <is>
          <t>POS</t>
        </is>
      </c>
      <c r="H2566" s="31" t="n">
        <v>8363.42</v>
      </c>
      <c r="I2566" s="31" t="n">
        <v>0</v>
      </c>
      <c r="J2566" s="31" t="n">
        <v>8363.42</v>
      </c>
      <c r="K2566" s="31" t="n">
        <v>1797</v>
      </c>
      <c r="L2566" s="32" t="n">
        <v>9</v>
      </c>
      <c r="M2566" s="32" t="n">
        <v>50</v>
      </c>
      <c r="N2566" s="31" t="n">
        <v>6566.42</v>
      </c>
      <c r="O2566" s="31" t="n">
        <v>8363.42</v>
      </c>
      <c r="P2566" s="22" t="n">
        <v>0</v>
      </c>
      <c r="Q2566" s="22" t="n">
        <v>0</v>
      </c>
      <c r="R2566" s="22" t="n">
        <v>0</v>
      </c>
    </row>
    <row r="2567">
      <c r="A2567" s="22" t="n">
        <v>202006</v>
      </c>
      <c r="B2567" s="22" t="inlineStr">
        <is>
          <t>06/2020</t>
        </is>
      </c>
      <c r="C2567" s="22" t="n">
        <v>10</v>
      </c>
      <c r="D2567" s="22" t="inlineStr">
        <is>
          <t>S10</t>
        </is>
      </c>
      <c r="E2567" s="22" t="inlineStr">
        <is>
          <t>Nexa Nunavut (S10)</t>
        </is>
      </c>
      <c r="F2567" s="22" t="inlineStr">
        <is>
          <t>Canada</t>
        </is>
      </c>
      <c r="G2567" s="22" t="inlineStr">
        <is>
          <t>POS</t>
        </is>
      </c>
      <c r="H2567" s="31" t="n">
        <v>18860.73</v>
      </c>
      <c r="I2567" s="31" t="n">
        <v>0</v>
      </c>
      <c r="J2567" s="31" t="n">
        <v>18860.73</v>
      </c>
      <c r="K2567" s="31" t="n">
        <v>430.5</v>
      </c>
      <c r="L2567" s="32" t="n">
        <v>9</v>
      </c>
      <c r="M2567" s="32" t="n">
        <v>51</v>
      </c>
      <c r="N2567" s="31" t="n">
        <v>18430.23</v>
      </c>
      <c r="O2567" s="31" t="n">
        <v>18860.73</v>
      </c>
      <c r="P2567" s="22" t="n">
        <v>0</v>
      </c>
      <c r="Q2567" s="22" t="n">
        <v>0</v>
      </c>
      <c r="R2567" s="22" t="n">
        <v>0</v>
      </c>
    </row>
    <row r="2568">
      <c r="A2568" s="22" t="n">
        <v>202006</v>
      </c>
      <c r="B2568" s="22" t="inlineStr">
        <is>
          <t>06/2020</t>
        </is>
      </c>
      <c r="C2568" s="22" t="n">
        <v>12</v>
      </c>
      <c r="D2568" s="22" t="inlineStr">
        <is>
          <t>S12</t>
        </is>
      </c>
      <c r="E2568" s="22" t="inlineStr">
        <is>
          <t>Nexa Basse-Normandie (S12)</t>
        </is>
      </c>
      <c r="F2568" s="22" t="inlineStr">
        <is>
          <t>Pháp</t>
        </is>
      </c>
      <c r="G2568" s="22" t="inlineStr">
        <is>
          <t>POS</t>
        </is>
      </c>
      <c r="H2568" s="31" t="n">
        <v>4466.3</v>
      </c>
      <c r="I2568" s="31" t="n">
        <v>0</v>
      </c>
      <c r="J2568" s="31" t="n">
        <v>4466.3</v>
      </c>
      <c r="K2568" s="31" t="n">
        <v>0</v>
      </c>
      <c r="L2568" s="32" t="n">
        <v>4</v>
      </c>
      <c r="M2568" s="32" t="n">
        <v>20</v>
      </c>
      <c r="N2568" s="31" t="n">
        <v>4466.3</v>
      </c>
      <c r="O2568" s="31" t="n">
        <v>4466.3</v>
      </c>
      <c r="P2568" s="22" t="n">
        <v>1</v>
      </c>
      <c r="Q2568" s="22" t="n">
        <v>0</v>
      </c>
      <c r="R2568" s="22" t="n">
        <v>0</v>
      </c>
    </row>
    <row r="2569">
      <c r="A2569" s="22" t="n">
        <v>202006</v>
      </c>
      <c r="B2569" s="22" t="inlineStr">
        <is>
          <t>06/2020</t>
        </is>
      </c>
      <c r="C2569" s="22" t="n">
        <v>13</v>
      </c>
      <c r="D2569" s="22" t="inlineStr">
        <is>
          <t>S13</t>
        </is>
      </c>
      <c r="E2569" s="22" t="inlineStr">
        <is>
          <t>Nexa Corse (S13)</t>
        </is>
      </c>
      <c r="F2569" s="22" t="inlineStr">
        <is>
          <t>Pháp</t>
        </is>
      </c>
      <c r="G2569" s="22" t="inlineStr">
        <is>
          <t>POS</t>
        </is>
      </c>
      <c r="H2569" s="31" t="n">
        <v>436.2</v>
      </c>
      <c r="I2569" s="31" t="n">
        <v>0</v>
      </c>
      <c r="J2569" s="31" t="n">
        <v>436.2</v>
      </c>
      <c r="K2569" s="31" t="n">
        <v>0</v>
      </c>
      <c r="L2569" s="32" t="n">
        <v>1</v>
      </c>
      <c r="M2569" s="32" t="n">
        <v>1</v>
      </c>
      <c r="N2569" s="31" t="n">
        <v>436.2</v>
      </c>
      <c r="O2569" s="31" t="n">
        <v>436.2</v>
      </c>
      <c r="P2569" s="22" t="n">
        <v>0</v>
      </c>
      <c r="Q2569" s="22" t="n">
        <v>0</v>
      </c>
      <c r="R2569" s="22" t="n">
        <v>0</v>
      </c>
    </row>
    <row r="2570">
      <c r="A2570" s="22" t="n">
        <v>202006</v>
      </c>
      <c r="B2570" s="22" t="inlineStr">
        <is>
          <t>06/2020</t>
        </is>
      </c>
      <c r="C2570" s="22" t="n">
        <v>15</v>
      </c>
      <c r="D2570" s="22" t="inlineStr">
        <is>
          <t>S15</t>
        </is>
      </c>
      <c r="E2570" s="22" t="inlineStr">
        <is>
          <t>Nexa La Réunion (S15)</t>
        </is>
      </c>
      <c r="F2570" s="22" t="inlineStr">
        <is>
          <t>Pháp</t>
        </is>
      </c>
      <c r="G2570" s="22" t="inlineStr">
        <is>
          <t>POS</t>
        </is>
      </c>
      <c r="H2570" s="31" t="n">
        <v>1791</v>
      </c>
      <c r="I2570" s="31" t="n">
        <v>0</v>
      </c>
      <c r="J2570" s="31" t="n">
        <v>1791</v>
      </c>
      <c r="K2570" s="31" t="n">
        <v>0</v>
      </c>
      <c r="L2570" s="32" t="n">
        <v>1</v>
      </c>
      <c r="M2570" s="32" t="n">
        <v>9</v>
      </c>
      <c r="N2570" s="31" t="n">
        <v>1791</v>
      </c>
      <c r="O2570" s="31" t="n">
        <v>1791</v>
      </c>
      <c r="P2570" s="22" t="n">
        <v>1</v>
      </c>
      <c r="Q2570" s="22" t="n">
        <v>0</v>
      </c>
      <c r="R2570" s="22" t="n">
        <v>0</v>
      </c>
    </row>
    <row r="2571">
      <c r="A2571" s="22" t="n">
        <v>202006</v>
      </c>
      <c r="B2571" s="22" t="inlineStr">
        <is>
          <t>06/2020</t>
        </is>
      </c>
      <c r="C2571" s="22" t="n">
        <v>16</v>
      </c>
      <c r="D2571" s="22" t="inlineStr">
        <is>
          <t>S16</t>
        </is>
      </c>
      <c r="E2571" s="22" t="inlineStr">
        <is>
          <t>Nexa Limousin (S16)</t>
        </is>
      </c>
      <c r="F2571" s="22" t="inlineStr">
        <is>
          <t>Pháp</t>
        </is>
      </c>
      <c r="G2571" s="22" t="inlineStr">
        <is>
          <t>POS</t>
        </is>
      </c>
      <c r="H2571" s="31" t="n">
        <v>3407.67</v>
      </c>
      <c r="I2571" s="31" t="n">
        <v>0</v>
      </c>
      <c r="J2571" s="31" t="n">
        <v>3407.67</v>
      </c>
      <c r="K2571" s="31" t="n">
        <v>0</v>
      </c>
      <c r="L2571" s="32" t="n">
        <v>4</v>
      </c>
      <c r="M2571" s="32" t="n">
        <v>21</v>
      </c>
      <c r="N2571" s="31" t="n">
        <v>3407.67</v>
      </c>
      <c r="O2571" s="31" t="n">
        <v>3407.67</v>
      </c>
      <c r="P2571" s="22" t="n">
        <v>0</v>
      </c>
      <c r="Q2571" s="22" t="n">
        <v>0</v>
      </c>
      <c r="R2571" s="22" t="n">
        <v>0</v>
      </c>
    </row>
    <row r="2572">
      <c r="A2572" s="22" t="n">
        <v>202006</v>
      </c>
      <c r="B2572" s="22" t="inlineStr">
        <is>
          <t>06/2020</t>
        </is>
      </c>
      <c r="C2572" s="22" t="n">
        <v>17</v>
      </c>
      <c r="D2572" s="22" t="inlineStr">
        <is>
          <t>S17</t>
        </is>
      </c>
      <c r="E2572" s="22" t="inlineStr">
        <is>
          <t>Nexa Martinique (S17)</t>
        </is>
      </c>
      <c r="F2572" s="22" t="inlineStr">
        <is>
          <t>Pháp</t>
        </is>
      </c>
      <c r="G2572" s="22" t="inlineStr">
        <is>
          <t>POS</t>
        </is>
      </c>
      <c r="H2572" s="31" t="n">
        <v>1029.97</v>
      </c>
      <c r="I2572" s="31" t="n">
        <v>0</v>
      </c>
      <c r="J2572" s="31" t="n">
        <v>1029.97</v>
      </c>
      <c r="K2572" s="31" t="n">
        <v>0</v>
      </c>
      <c r="L2572" s="32" t="n">
        <v>1</v>
      </c>
      <c r="M2572" s="32" t="n">
        <v>5</v>
      </c>
      <c r="N2572" s="31" t="n">
        <v>1029.97</v>
      </c>
      <c r="O2572" s="31" t="n">
        <v>1029.97</v>
      </c>
      <c r="P2572" s="22" t="n">
        <v>0</v>
      </c>
      <c r="Q2572" s="22" t="n">
        <v>0</v>
      </c>
      <c r="R2572" s="22" t="n">
        <v>0</v>
      </c>
    </row>
    <row r="2573">
      <c r="A2573" s="22" t="n">
        <v>202006</v>
      </c>
      <c r="B2573" s="22" t="inlineStr">
        <is>
          <t>06/2020</t>
        </is>
      </c>
      <c r="C2573" s="22" t="n">
        <v>18</v>
      </c>
      <c r="D2573" s="22" t="inlineStr">
        <is>
          <t>S18</t>
        </is>
      </c>
      <c r="E2573" s="22" t="inlineStr">
        <is>
          <t>Nexa Mayotte (S18)</t>
        </is>
      </c>
      <c r="F2573" s="22" t="inlineStr">
        <is>
          <t>Pháp</t>
        </is>
      </c>
      <c r="G2573" s="22" t="inlineStr">
        <is>
          <t>POS</t>
        </is>
      </c>
      <c r="H2573" s="31" t="n">
        <v>2990.94</v>
      </c>
      <c r="I2573" s="31" t="n">
        <v>0</v>
      </c>
      <c r="J2573" s="31" t="n">
        <v>2990.94</v>
      </c>
      <c r="K2573" s="31" t="n">
        <v>0</v>
      </c>
      <c r="L2573" s="32" t="n">
        <v>2</v>
      </c>
      <c r="M2573" s="32" t="n">
        <v>11</v>
      </c>
      <c r="N2573" s="31" t="n">
        <v>2990.94</v>
      </c>
      <c r="O2573" s="31" t="n">
        <v>2990.94</v>
      </c>
      <c r="P2573" s="22" t="n">
        <v>0</v>
      </c>
      <c r="Q2573" s="22" t="n">
        <v>0</v>
      </c>
      <c r="R2573" s="22" t="n">
        <v>0</v>
      </c>
    </row>
    <row r="2574">
      <c r="A2574" s="22" t="n">
        <v>202006</v>
      </c>
      <c r="B2574" s="22" t="inlineStr">
        <is>
          <t>06/2020</t>
        </is>
      </c>
      <c r="C2574" s="22" t="n">
        <v>19</v>
      </c>
      <c r="D2574" s="22" t="inlineStr">
        <is>
          <t>S19</t>
        </is>
      </c>
      <c r="E2574" s="22" t="inlineStr">
        <is>
          <t>Nexa Berlin (S19)</t>
        </is>
      </c>
      <c r="F2574" s="22" t="inlineStr">
        <is>
          <t>Đức</t>
        </is>
      </c>
      <c r="G2574" s="22" t="inlineStr">
        <is>
          <t>POS</t>
        </is>
      </c>
      <c r="H2574" s="31" t="n">
        <v>11524.18</v>
      </c>
      <c r="I2574" s="31" t="n">
        <v>0</v>
      </c>
      <c r="J2574" s="31" t="n">
        <v>11524.18</v>
      </c>
      <c r="K2574" s="31" t="n">
        <v>0</v>
      </c>
      <c r="L2574" s="32" t="n">
        <v>5</v>
      </c>
      <c r="M2574" s="32" t="n">
        <v>43</v>
      </c>
      <c r="N2574" s="31" t="n">
        <v>11524.18</v>
      </c>
      <c r="O2574" s="31" t="n">
        <v>11524.18</v>
      </c>
      <c r="P2574" s="22" t="n">
        <v>0</v>
      </c>
      <c r="Q2574" s="22" t="n">
        <v>0</v>
      </c>
      <c r="R2574" s="22" t="n">
        <v>0</v>
      </c>
    </row>
    <row r="2575">
      <c r="A2575" s="22" t="n">
        <v>202006</v>
      </c>
      <c r="B2575" s="22" t="inlineStr">
        <is>
          <t>06/2020</t>
        </is>
      </c>
      <c r="C2575" s="22" t="n">
        <v>21</v>
      </c>
      <c r="D2575" s="22" t="inlineStr">
        <is>
          <t>S21</t>
        </is>
      </c>
      <c r="E2575" s="22" t="inlineStr">
        <is>
          <t>Nexa Freie Hansestadt Bremen (S21)</t>
        </is>
      </c>
      <c r="F2575" s="22" t="inlineStr">
        <is>
          <t>Đức</t>
        </is>
      </c>
      <c r="G2575" s="22" t="inlineStr">
        <is>
          <t>POS</t>
        </is>
      </c>
      <c r="H2575" s="31" t="n">
        <v>5163.23</v>
      </c>
      <c r="I2575" s="31" t="n">
        <v>0</v>
      </c>
      <c r="J2575" s="31" t="n">
        <v>5163.23</v>
      </c>
      <c r="K2575" s="31" t="n">
        <v>0</v>
      </c>
      <c r="L2575" s="32" t="n">
        <v>3</v>
      </c>
      <c r="M2575" s="32" t="n">
        <v>29</v>
      </c>
      <c r="N2575" s="31" t="n">
        <v>5163.23</v>
      </c>
      <c r="O2575" s="31" t="n">
        <v>5163.23</v>
      </c>
      <c r="P2575" s="22" t="n">
        <v>0</v>
      </c>
      <c r="Q2575" s="22" t="n">
        <v>0</v>
      </c>
      <c r="R2575" s="22" t="n">
        <v>1</v>
      </c>
    </row>
    <row r="2576">
      <c r="A2576" s="22" t="n">
        <v>202006</v>
      </c>
      <c r="B2576" s="22" t="inlineStr">
        <is>
          <t>06/2020</t>
        </is>
      </c>
      <c r="C2576" s="22" t="n">
        <v>22</v>
      </c>
      <c r="D2576" s="22" t="inlineStr">
        <is>
          <t>S22</t>
        </is>
      </c>
      <c r="E2576" s="22" t="inlineStr">
        <is>
          <t>Nexa Freistaat Thüringen (S22)</t>
        </is>
      </c>
      <c r="F2576" s="22" t="inlineStr">
        <is>
          <t>Đức</t>
        </is>
      </c>
      <c r="G2576" s="22" t="inlineStr">
        <is>
          <t>POS</t>
        </is>
      </c>
      <c r="H2576" s="31" t="n">
        <v>3272.89</v>
      </c>
      <c r="I2576" s="31" t="n">
        <v>0</v>
      </c>
      <c r="J2576" s="31" t="n">
        <v>3272.89</v>
      </c>
      <c r="K2576" s="31" t="n">
        <v>199.98</v>
      </c>
      <c r="L2576" s="32" t="n">
        <v>3</v>
      </c>
      <c r="M2576" s="32" t="n">
        <v>25</v>
      </c>
      <c r="N2576" s="31" t="n">
        <v>3072.91</v>
      </c>
      <c r="O2576" s="31" t="n">
        <v>3272.89</v>
      </c>
      <c r="P2576" s="22" t="n">
        <v>0</v>
      </c>
      <c r="Q2576" s="22" t="n">
        <v>0</v>
      </c>
      <c r="R2576" s="22" t="n">
        <v>0</v>
      </c>
    </row>
    <row r="2577">
      <c r="A2577" s="22" t="n">
        <v>202006</v>
      </c>
      <c r="B2577" s="22" t="inlineStr">
        <is>
          <t>06/2020</t>
        </is>
      </c>
      <c r="C2577" s="22" t="n">
        <v>23</v>
      </c>
      <c r="D2577" s="22" t="inlineStr">
        <is>
          <t>S23</t>
        </is>
      </c>
      <c r="E2577" s="22" t="inlineStr">
        <is>
          <t>Nexa Hamburg (S23)</t>
        </is>
      </c>
      <c r="F2577" s="22" t="inlineStr">
        <is>
          <t>Đức</t>
        </is>
      </c>
      <c r="G2577" s="22" t="inlineStr">
        <is>
          <t>POS</t>
        </is>
      </c>
      <c r="H2577" s="31" t="n">
        <v>3797.58</v>
      </c>
      <c r="I2577" s="31" t="n">
        <v>0</v>
      </c>
      <c r="J2577" s="31" t="n">
        <v>3797.58</v>
      </c>
      <c r="K2577" s="31" t="n">
        <v>0</v>
      </c>
      <c r="L2577" s="32" t="n">
        <v>3</v>
      </c>
      <c r="M2577" s="32" t="n">
        <v>24</v>
      </c>
      <c r="N2577" s="31" t="n">
        <v>3797.58</v>
      </c>
      <c r="O2577" s="31" t="n">
        <v>3797.58</v>
      </c>
      <c r="P2577" s="22" t="n">
        <v>0</v>
      </c>
      <c r="Q2577" s="22" t="n">
        <v>0</v>
      </c>
      <c r="R2577" s="22" t="n">
        <v>0</v>
      </c>
    </row>
    <row r="2578">
      <c r="A2578" s="22" t="n">
        <v>202006</v>
      </c>
      <c r="B2578" s="22" t="inlineStr">
        <is>
          <t>06/2020</t>
        </is>
      </c>
      <c r="C2578" s="22" t="n">
        <v>24</v>
      </c>
      <c r="D2578" s="22" t="inlineStr">
        <is>
          <t>S24</t>
        </is>
      </c>
      <c r="E2578" s="22" t="inlineStr">
        <is>
          <t>Nexa Hessen (S24)</t>
        </is>
      </c>
      <c r="F2578" s="22" t="inlineStr">
        <is>
          <t>Đức</t>
        </is>
      </c>
      <c r="G2578" s="22" t="inlineStr">
        <is>
          <t>POS</t>
        </is>
      </c>
      <c r="H2578" s="31" t="n">
        <v>17546.97</v>
      </c>
      <c r="I2578" s="31" t="n">
        <v>0</v>
      </c>
      <c r="J2578" s="31" t="n">
        <v>17546.97</v>
      </c>
      <c r="K2578" s="31" t="n">
        <v>0</v>
      </c>
      <c r="L2578" s="32" t="n">
        <v>5</v>
      </c>
      <c r="M2578" s="32" t="n">
        <v>59</v>
      </c>
      <c r="N2578" s="31" t="n">
        <v>17546.97</v>
      </c>
      <c r="O2578" s="31" t="n">
        <v>17546.97</v>
      </c>
      <c r="P2578" s="22" t="n">
        <v>0</v>
      </c>
      <c r="Q2578" s="22" t="n">
        <v>0</v>
      </c>
      <c r="R2578" s="22" t="n">
        <v>0</v>
      </c>
    </row>
    <row r="2579">
      <c r="A2579" s="22" t="n">
        <v>202006</v>
      </c>
      <c r="B2579" s="22" t="inlineStr">
        <is>
          <t>06/2020</t>
        </is>
      </c>
      <c r="C2579" s="22" t="n">
        <v>26</v>
      </c>
      <c r="D2579" s="22" t="inlineStr">
        <is>
          <t>S26</t>
        </is>
      </c>
      <c r="E2579" s="22" t="inlineStr">
        <is>
          <t>Nexa Saarland (S26)</t>
        </is>
      </c>
      <c r="F2579" s="22" t="inlineStr">
        <is>
          <t>Đức</t>
        </is>
      </c>
      <c r="G2579" s="22" t="inlineStr">
        <is>
          <t>POS</t>
        </is>
      </c>
      <c r="H2579" s="31" t="n">
        <v>8991</v>
      </c>
      <c r="I2579" s="31" t="n">
        <v>0</v>
      </c>
      <c r="J2579" s="31" t="n">
        <v>8991</v>
      </c>
      <c r="K2579" s="31" t="n">
        <v>0</v>
      </c>
      <c r="L2579" s="32" t="n">
        <v>1</v>
      </c>
      <c r="M2579" s="32" t="n">
        <v>9</v>
      </c>
      <c r="N2579" s="31" t="n">
        <v>8991</v>
      </c>
      <c r="O2579" s="31" t="n">
        <v>8991</v>
      </c>
      <c r="P2579" s="22" t="n">
        <v>0</v>
      </c>
      <c r="Q2579" s="22" t="n">
        <v>0</v>
      </c>
      <c r="R2579" s="22" t="n">
        <v>0</v>
      </c>
    </row>
    <row r="2580">
      <c r="A2580" s="22" t="n">
        <v>202006</v>
      </c>
      <c r="B2580" s="22" t="inlineStr">
        <is>
          <t>06/2020</t>
        </is>
      </c>
      <c r="C2580" s="22" t="n">
        <v>27</v>
      </c>
      <c r="D2580" s="22" t="inlineStr">
        <is>
          <t>S27</t>
        </is>
      </c>
      <c r="E2580" s="22" t="inlineStr">
        <is>
          <t>Nexa Sachsen-Anhalt (S27)</t>
        </is>
      </c>
      <c r="F2580" s="22" t="inlineStr">
        <is>
          <t>Đức</t>
        </is>
      </c>
      <c r="G2580" s="22" t="inlineStr">
        <is>
          <t>POS</t>
        </is>
      </c>
      <c r="H2580" s="31" t="n">
        <v>3809.15</v>
      </c>
      <c r="I2580" s="31" t="n">
        <v>0</v>
      </c>
      <c r="J2580" s="31" t="n">
        <v>3809.15</v>
      </c>
      <c r="K2580" s="31" t="n">
        <v>0</v>
      </c>
      <c r="L2580" s="32" t="n">
        <v>3</v>
      </c>
      <c r="M2580" s="32" t="n">
        <v>16</v>
      </c>
      <c r="N2580" s="31" t="n">
        <v>3809.15</v>
      </c>
      <c r="O2580" s="31" t="n">
        <v>3809.15</v>
      </c>
      <c r="P2580" s="22" t="n">
        <v>0</v>
      </c>
      <c r="Q2580" s="22" t="n">
        <v>0</v>
      </c>
      <c r="R2580" s="22" t="n">
        <v>0</v>
      </c>
    </row>
    <row r="2581">
      <c r="A2581" s="22" t="n">
        <v>202006</v>
      </c>
      <c r="B2581" s="22" t="inlineStr">
        <is>
          <t>06/2020</t>
        </is>
      </c>
      <c r="C2581" s="22" t="n">
        <v>29</v>
      </c>
      <c r="D2581" s="22" t="inlineStr">
        <is>
          <t>S29</t>
        </is>
      </c>
      <c r="E2581" s="22" t="inlineStr">
        <is>
          <t>Nexa Enna (S29)</t>
        </is>
      </c>
      <c r="F2581" s="22" t="inlineStr">
        <is>
          <t>Ý</t>
        </is>
      </c>
      <c r="G2581" s="22" t="inlineStr">
        <is>
          <t>POS</t>
        </is>
      </c>
      <c r="H2581" s="31" t="n">
        <v>2839.49</v>
      </c>
      <c r="I2581" s="31" t="n">
        <v>0</v>
      </c>
      <c r="J2581" s="31" t="n">
        <v>2839.49</v>
      </c>
      <c r="K2581" s="31" t="n">
        <v>0</v>
      </c>
      <c r="L2581" s="32" t="n">
        <v>4</v>
      </c>
      <c r="M2581" s="32" t="n">
        <v>25</v>
      </c>
      <c r="N2581" s="31" t="n">
        <v>2839.49</v>
      </c>
      <c r="O2581" s="31" t="n">
        <v>2839.49</v>
      </c>
      <c r="P2581" s="22" t="n">
        <v>0</v>
      </c>
      <c r="Q2581" s="22" t="n">
        <v>0</v>
      </c>
      <c r="R2581" s="22" t="n">
        <v>0</v>
      </c>
    </row>
    <row r="2582">
      <c r="A2582" s="22" t="n">
        <v>202006</v>
      </c>
      <c r="B2582" s="22" t="inlineStr">
        <is>
          <t>06/2020</t>
        </is>
      </c>
      <c r="C2582" s="22" t="n">
        <v>30</v>
      </c>
      <c r="D2582" s="22" t="inlineStr">
        <is>
          <t>S30</t>
        </is>
      </c>
      <c r="E2582" s="22" t="inlineStr">
        <is>
          <t>Nexa Pesaro (S30)</t>
        </is>
      </c>
      <c r="F2582" s="22" t="inlineStr">
        <is>
          <t>Ý</t>
        </is>
      </c>
      <c r="G2582" s="22" t="inlineStr">
        <is>
          <t>POS</t>
        </is>
      </c>
      <c r="H2582" s="31" t="n">
        <v>2769.88</v>
      </c>
      <c r="I2582" s="31" t="n">
        <v>0</v>
      </c>
      <c r="J2582" s="31" t="n">
        <v>2769.88</v>
      </c>
      <c r="K2582" s="31" t="n">
        <v>188</v>
      </c>
      <c r="L2582" s="32" t="n">
        <v>3</v>
      </c>
      <c r="M2582" s="32" t="n">
        <v>15</v>
      </c>
      <c r="N2582" s="31" t="n">
        <v>2581.88</v>
      </c>
      <c r="O2582" s="31" t="n">
        <v>2769.88</v>
      </c>
      <c r="P2582" s="22" t="n">
        <v>0</v>
      </c>
      <c r="Q2582" s="22" t="n">
        <v>0</v>
      </c>
      <c r="R2582" s="22" t="n">
        <v>0</v>
      </c>
    </row>
    <row r="2583">
      <c r="A2583" s="22" t="n">
        <v>202006</v>
      </c>
      <c r="B2583" s="22" t="inlineStr">
        <is>
          <t>06/2020</t>
        </is>
      </c>
      <c r="C2583" s="22" t="n">
        <v>31</v>
      </c>
      <c r="D2583" s="22" t="inlineStr">
        <is>
          <t>S31</t>
        </is>
      </c>
      <c r="E2583" s="22" t="inlineStr">
        <is>
          <t>Nexa Drenthe (S31)</t>
        </is>
      </c>
      <c r="F2583" s="22" t="inlineStr">
        <is>
          <t>Hà Lan</t>
        </is>
      </c>
      <c r="G2583" s="22" t="inlineStr">
        <is>
          <t>POS</t>
        </is>
      </c>
      <c r="H2583" s="31" t="n">
        <v>9248.4</v>
      </c>
      <c r="I2583" s="31" t="n">
        <v>0</v>
      </c>
      <c r="J2583" s="31" t="n">
        <v>9248.4</v>
      </c>
      <c r="K2583" s="31" t="n">
        <v>0</v>
      </c>
      <c r="L2583" s="32" t="n">
        <v>2</v>
      </c>
      <c r="M2583" s="32" t="n">
        <v>19</v>
      </c>
      <c r="N2583" s="31" t="n">
        <v>9248.4</v>
      </c>
      <c r="O2583" s="31" t="n">
        <v>9248.4</v>
      </c>
      <c r="P2583" s="22" t="n">
        <v>0</v>
      </c>
      <c r="Q2583" s="22" t="n">
        <v>0</v>
      </c>
      <c r="R2583" s="22" t="n">
        <v>0</v>
      </c>
    </row>
    <row r="2584">
      <c r="A2584" s="22" t="n">
        <v>202006</v>
      </c>
      <c r="B2584" s="22" t="inlineStr">
        <is>
          <t>06/2020</t>
        </is>
      </c>
      <c r="C2584" s="22" t="n">
        <v>33</v>
      </c>
      <c r="D2584" s="22" t="inlineStr">
        <is>
          <t>S33</t>
        </is>
      </c>
      <c r="E2584" s="22" t="inlineStr">
        <is>
          <t>Nexa Friesland (S33)</t>
        </is>
      </c>
      <c r="F2584" s="22" t="inlineStr">
        <is>
          <t>Hà Lan</t>
        </is>
      </c>
      <c r="G2584" s="22" t="inlineStr">
        <is>
          <t>POS</t>
        </is>
      </c>
      <c r="H2584" s="31" t="n">
        <v>1911.91</v>
      </c>
      <c r="I2584" s="31" t="n">
        <v>0</v>
      </c>
      <c r="J2584" s="31" t="n">
        <v>1911.91</v>
      </c>
      <c r="K2584" s="31" t="n">
        <v>0</v>
      </c>
      <c r="L2584" s="32" t="n">
        <v>4</v>
      </c>
      <c r="M2584" s="32" t="n">
        <v>16</v>
      </c>
      <c r="N2584" s="31" t="n">
        <v>1911.91</v>
      </c>
      <c r="O2584" s="31" t="n">
        <v>1911.91</v>
      </c>
      <c r="P2584" s="22" t="n">
        <v>0</v>
      </c>
      <c r="Q2584" s="22" t="n">
        <v>0</v>
      </c>
      <c r="R2584" s="22" t="n">
        <v>0</v>
      </c>
    </row>
    <row r="2585">
      <c r="A2585" s="22" t="n">
        <v>202006</v>
      </c>
      <c r="B2585" s="22" t="inlineStr">
        <is>
          <t>06/2020</t>
        </is>
      </c>
      <c r="C2585" s="22" t="n">
        <v>34</v>
      </c>
      <c r="D2585" s="22" t="inlineStr">
        <is>
          <t>S34</t>
        </is>
      </c>
      <c r="E2585" s="22" t="inlineStr">
        <is>
          <t>Nexa Groningen (S34)</t>
        </is>
      </c>
      <c r="F2585" s="22" t="inlineStr">
        <is>
          <t>Hà Lan</t>
        </is>
      </c>
      <c r="G2585" s="22" t="inlineStr">
        <is>
          <t>POS</t>
        </is>
      </c>
      <c r="H2585" s="31" t="n">
        <v>4191.89</v>
      </c>
      <c r="I2585" s="31" t="n">
        <v>0</v>
      </c>
      <c r="J2585" s="31" t="n">
        <v>4191.89</v>
      </c>
      <c r="K2585" s="31" t="n">
        <v>0</v>
      </c>
      <c r="L2585" s="32" t="n">
        <v>4</v>
      </c>
      <c r="M2585" s="32" t="n">
        <v>16</v>
      </c>
      <c r="N2585" s="31" t="n">
        <v>4191.89</v>
      </c>
      <c r="O2585" s="31" t="n">
        <v>4191.89</v>
      </c>
      <c r="P2585" s="22" t="n">
        <v>0</v>
      </c>
      <c r="Q2585" s="22" t="n">
        <v>0</v>
      </c>
      <c r="R2585" s="22" t="n">
        <v>0</v>
      </c>
    </row>
    <row r="2586">
      <c r="A2586" s="22" t="n">
        <v>202006</v>
      </c>
      <c r="B2586" s="22" t="inlineStr">
        <is>
          <t>06/2020</t>
        </is>
      </c>
      <c r="C2586" s="22" t="n">
        <v>36</v>
      </c>
      <c r="D2586" s="22" t="inlineStr">
        <is>
          <t>S36</t>
        </is>
      </c>
      <c r="E2586" s="22" t="inlineStr">
        <is>
          <t>Nexa Armagh (S36)</t>
        </is>
      </c>
      <c r="F2586" s="22" t="inlineStr">
        <is>
          <t>Anh</t>
        </is>
      </c>
      <c r="G2586" s="22" t="inlineStr">
        <is>
          <t>POS</t>
        </is>
      </c>
      <c r="H2586" s="31" t="n">
        <v>2008.18</v>
      </c>
      <c r="I2586" s="31" t="n">
        <v>0</v>
      </c>
      <c r="J2586" s="31" t="n">
        <v>2008.18</v>
      </c>
      <c r="K2586" s="31" t="n">
        <v>70.13</v>
      </c>
      <c r="L2586" s="32" t="n">
        <v>2</v>
      </c>
      <c r="M2586" s="32" t="n">
        <v>7</v>
      </c>
      <c r="N2586" s="31" t="n">
        <v>2288.04</v>
      </c>
      <c r="O2586" s="31" t="n">
        <v>2008.18</v>
      </c>
      <c r="P2586" s="22" t="n">
        <v>1</v>
      </c>
      <c r="Q2586" s="22" t="n">
        <v>0</v>
      </c>
      <c r="R2586" s="22" t="n">
        <v>0</v>
      </c>
    </row>
    <row r="2587">
      <c r="A2587" s="22" t="n">
        <v>202006</v>
      </c>
      <c r="B2587" s="22" t="inlineStr">
        <is>
          <t>06/2020</t>
        </is>
      </c>
      <c r="C2587" s="22" t="n">
        <v>37</v>
      </c>
      <c r="D2587" s="22" t="inlineStr">
        <is>
          <t>S37</t>
        </is>
      </c>
      <c r="E2587" s="22" t="inlineStr">
        <is>
          <t>Nexa Ayrshire (S37)</t>
        </is>
      </c>
      <c r="F2587" s="22" t="inlineStr">
        <is>
          <t>Anh</t>
        </is>
      </c>
      <c r="G2587" s="22" t="inlineStr">
        <is>
          <t>POS</t>
        </is>
      </c>
      <c r="H2587" s="31" t="n">
        <v>16212.89</v>
      </c>
      <c r="I2587" s="31" t="n">
        <v>0</v>
      </c>
      <c r="J2587" s="31" t="n">
        <v>16212.89</v>
      </c>
      <c r="K2587" s="31" t="n">
        <v>1238.94</v>
      </c>
      <c r="L2587" s="32" t="n">
        <v>6</v>
      </c>
      <c r="M2587" s="32" t="n">
        <v>52</v>
      </c>
      <c r="N2587" s="31" t="n">
        <v>14973.95</v>
      </c>
      <c r="O2587" s="31" t="n">
        <v>16212.89</v>
      </c>
      <c r="P2587" s="22" t="n">
        <v>0</v>
      </c>
      <c r="Q2587" s="22" t="n">
        <v>0</v>
      </c>
      <c r="R2587" s="22" t="n">
        <v>0</v>
      </c>
    </row>
    <row r="2588">
      <c r="A2588" s="22" t="n">
        <v>202006</v>
      </c>
      <c r="B2588" s="22" t="inlineStr">
        <is>
          <t>06/2020</t>
        </is>
      </c>
      <c r="C2588" s="22" t="n">
        <v>38</v>
      </c>
      <c r="D2588" s="22" t="inlineStr">
        <is>
          <t>S38</t>
        </is>
      </c>
      <c r="E2588" s="22" t="inlineStr">
        <is>
          <t>Nexa Belfast (S38)</t>
        </is>
      </c>
      <c r="F2588" s="22" t="inlineStr">
        <is>
          <t>Anh</t>
        </is>
      </c>
      <c r="G2588" s="22" t="inlineStr">
        <is>
          <t>POS</t>
        </is>
      </c>
      <c r="H2588" s="31" t="n">
        <v>23398.29</v>
      </c>
      <c r="I2588" s="31" t="n">
        <v>0</v>
      </c>
      <c r="J2588" s="31" t="n">
        <v>23398.29</v>
      </c>
      <c r="K2588" s="31" t="n">
        <v>0</v>
      </c>
      <c r="L2588" s="32" t="n">
        <v>7</v>
      </c>
      <c r="M2588" s="32" t="n">
        <v>106</v>
      </c>
      <c r="N2588" s="31" t="n">
        <v>23398.29</v>
      </c>
      <c r="O2588" s="31" t="n">
        <v>23398.29</v>
      </c>
      <c r="P2588" s="22" t="n">
        <v>0</v>
      </c>
      <c r="Q2588" s="22" t="n">
        <v>0</v>
      </c>
      <c r="R2588" s="22" t="n">
        <v>0</v>
      </c>
    </row>
    <row r="2589">
      <c r="A2589" s="22" t="n">
        <v>202006</v>
      </c>
      <c r="B2589" s="22" t="inlineStr">
        <is>
          <t>06/2020</t>
        </is>
      </c>
      <c r="C2589" s="22" t="n">
        <v>39</v>
      </c>
      <c r="D2589" s="22" t="inlineStr">
        <is>
          <t>S39</t>
        </is>
      </c>
      <c r="E2589" s="22" t="inlineStr">
        <is>
          <t>Nexa Blaenau Gwent (S39)</t>
        </is>
      </c>
      <c r="F2589" s="22" t="inlineStr">
        <is>
          <t>Anh</t>
        </is>
      </c>
      <c r="G2589" s="22" t="inlineStr">
        <is>
          <t>POS</t>
        </is>
      </c>
      <c r="H2589" s="31" t="n">
        <v>13823.76</v>
      </c>
      <c r="I2589" s="31" t="n">
        <v>0</v>
      </c>
      <c r="J2589" s="31" t="n">
        <v>13823.76</v>
      </c>
      <c r="K2589" s="31" t="n">
        <v>686.2</v>
      </c>
      <c r="L2589" s="32" t="n">
        <v>10</v>
      </c>
      <c r="M2589" s="32" t="n">
        <v>40</v>
      </c>
      <c r="N2589" s="31" t="n">
        <v>13137.56</v>
      </c>
      <c r="O2589" s="31" t="n">
        <v>13823.76</v>
      </c>
      <c r="P2589" s="22" t="n">
        <v>0</v>
      </c>
      <c r="Q2589" s="22" t="n">
        <v>0</v>
      </c>
      <c r="R2589" s="22" t="n">
        <v>0</v>
      </c>
    </row>
    <row r="2590">
      <c r="A2590" s="22" t="n">
        <v>202006</v>
      </c>
      <c r="B2590" s="22" t="inlineStr">
        <is>
          <t>06/2020</t>
        </is>
      </c>
      <c r="C2590" s="22" t="n">
        <v>40</v>
      </c>
      <c r="D2590" s="22" t="inlineStr">
        <is>
          <t>S40</t>
        </is>
      </c>
      <c r="E2590" s="22" t="inlineStr">
        <is>
          <t>Nexa Dungannon and South Tyrone (S40)</t>
        </is>
      </c>
      <c r="F2590" s="22" t="inlineStr">
        <is>
          <t>Anh</t>
        </is>
      </c>
      <c r="G2590" s="22" t="inlineStr">
        <is>
          <t>POS</t>
        </is>
      </c>
      <c r="H2590" s="31" t="n">
        <v>2740.21</v>
      </c>
      <c r="I2590" s="31" t="n">
        <v>0</v>
      </c>
      <c r="J2590" s="31" t="n">
        <v>2740.21</v>
      </c>
      <c r="K2590" s="31" t="n">
        <v>0</v>
      </c>
      <c r="L2590" s="32" t="n">
        <v>4</v>
      </c>
      <c r="M2590" s="32" t="n">
        <v>17</v>
      </c>
      <c r="N2590" s="31" t="n">
        <v>2740.21</v>
      </c>
      <c r="O2590" s="31" t="n">
        <v>2740.21</v>
      </c>
      <c r="P2590" s="22" t="n">
        <v>0</v>
      </c>
      <c r="Q2590" s="22" t="n">
        <v>0</v>
      </c>
      <c r="R2590" s="22" t="n">
        <v>0</v>
      </c>
    </row>
    <row r="2591">
      <c r="A2591" s="22" t="n">
        <v>202006</v>
      </c>
      <c r="B2591" s="22" t="inlineStr">
        <is>
          <t>06/2020</t>
        </is>
      </c>
      <c r="C2591" s="22" t="n">
        <v>42</v>
      </c>
      <c r="D2591" s="22" t="inlineStr">
        <is>
          <t>S42</t>
        </is>
      </c>
      <c r="E2591" s="22" t="inlineStr">
        <is>
          <t>Nexa North Down (S42)</t>
        </is>
      </c>
      <c r="F2591" s="22" t="inlineStr">
        <is>
          <t>Anh</t>
        </is>
      </c>
      <c r="G2591" s="22" t="inlineStr">
        <is>
          <t>POS</t>
        </is>
      </c>
      <c r="H2591" s="31" t="n">
        <v>13933.46</v>
      </c>
      <c r="I2591" s="31" t="n">
        <v>0</v>
      </c>
      <c r="J2591" s="31" t="n">
        <v>13933.46</v>
      </c>
      <c r="K2591" s="31" t="n">
        <v>820</v>
      </c>
      <c r="L2591" s="32" t="n">
        <v>5</v>
      </c>
      <c r="M2591" s="32" t="n">
        <v>60</v>
      </c>
      <c r="N2591" s="31" t="n">
        <v>13113.46</v>
      </c>
      <c r="O2591" s="31" t="n">
        <v>13933.46</v>
      </c>
      <c r="P2591" s="22" t="n">
        <v>0</v>
      </c>
      <c r="Q2591" s="22" t="n">
        <v>0</v>
      </c>
      <c r="R2591" s="22" t="n">
        <v>0</v>
      </c>
    </row>
    <row r="2592">
      <c r="A2592" s="22" t="n">
        <v>202006</v>
      </c>
      <c r="B2592" s="22" t="inlineStr">
        <is>
          <t>06/2020</t>
        </is>
      </c>
      <c r="C2592" s="22" t="n">
        <v>43</v>
      </c>
      <c r="D2592" s="22" t="inlineStr">
        <is>
          <t>S43</t>
        </is>
      </c>
      <c r="E2592" s="22" t="inlineStr">
        <is>
          <t>Nexa Alaska (S43)</t>
        </is>
      </c>
      <c r="F2592" s="22" t="inlineStr">
        <is>
          <t>Mỹ</t>
        </is>
      </c>
      <c r="G2592" s="22" t="inlineStr">
        <is>
          <t>POS</t>
        </is>
      </c>
      <c r="H2592" s="31" t="n">
        <v>13547.48</v>
      </c>
      <c r="I2592" s="31" t="n">
        <v>0</v>
      </c>
      <c r="J2592" s="31" t="n">
        <v>13547.48</v>
      </c>
      <c r="K2592" s="31" t="n">
        <v>197.98</v>
      </c>
      <c r="L2592" s="32" t="n">
        <v>6</v>
      </c>
      <c r="M2592" s="32" t="n">
        <v>43</v>
      </c>
      <c r="N2592" s="31" t="n">
        <v>13349.5</v>
      </c>
      <c r="O2592" s="31" t="n">
        <v>13547.48</v>
      </c>
      <c r="P2592" s="22" t="n">
        <v>1</v>
      </c>
      <c r="Q2592" s="22" t="n">
        <v>0</v>
      </c>
      <c r="R2592" s="22" t="n">
        <v>0</v>
      </c>
    </row>
    <row r="2593">
      <c r="A2593" s="22" t="n">
        <v>202006</v>
      </c>
      <c r="B2593" s="22" t="inlineStr">
        <is>
          <t>06/2020</t>
        </is>
      </c>
      <c r="C2593" s="22" t="n">
        <v>44</v>
      </c>
      <c r="D2593" s="22" t="inlineStr">
        <is>
          <t>S44</t>
        </is>
      </c>
      <c r="E2593" s="22" t="inlineStr">
        <is>
          <t>Nexa Arkansas (S44)</t>
        </is>
      </c>
      <c r="F2593" s="22" t="inlineStr">
        <is>
          <t>Mỹ</t>
        </is>
      </c>
      <c r="G2593" s="22" t="inlineStr">
        <is>
          <t>POS</t>
        </is>
      </c>
      <c r="H2593" s="31" t="n">
        <v>4714.26</v>
      </c>
      <c r="I2593" s="31" t="n">
        <v>0</v>
      </c>
      <c r="J2593" s="31" t="n">
        <v>4714.26</v>
      </c>
      <c r="K2593" s="31" t="n">
        <v>0</v>
      </c>
      <c r="L2593" s="32" t="n">
        <v>7</v>
      </c>
      <c r="M2593" s="32" t="n">
        <v>35</v>
      </c>
      <c r="N2593" s="31" t="n">
        <v>4714.26</v>
      </c>
      <c r="O2593" s="31" t="n">
        <v>4714.26</v>
      </c>
      <c r="P2593" s="22" t="n">
        <v>0</v>
      </c>
      <c r="Q2593" s="22" t="n">
        <v>0</v>
      </c>
      <c r="R2593" s="22" t="n">
        <v>0</v>
      </c>
    </row>
    <row r="2594">
      <c r="A2594" s="22" t="n">
        <v>202006</v>
      </c>
      <c r="B2594" s="22" t="inlineStr">
        <is>
          <t>06/2020</t>
        </is>
      </c>
      <c r="C2594" s="22" t="n">
        <v>45</v>
      </c>
      <c r="D2594" s="22" t="inlineStr">
        <is>
          <t>S45</t>
        </is>
      </c>
      <c r="E2594" s="22" t="inlineStr">
        <is>
          <t>Nexa Connecticut (S45)</t>
        </is>
      </c>
      <c r="F2594" s="22" t="inlineStr">
        <is>
          <t>Mỹ</t>
        </is>
      </c>
      <c r="G2594" s="22" t="inlineStr">
        <is>
          <t>POS</t>
        </is>
      </c>
      <c r="H2594" s="31" t="n">
        <v>24339.03</v>
      </c>
      <c r="I2594" s="31" t="n">
        <v>0</v>
      </c>
      <c r="J2594" s="31" t="n">
        <v>24339.03</v>
      </c>
      <c r="K2594" s="31" t="n">
        <v>0</v>
      </c>
      <c r="L2594" s="32" t="n">
        <v>12</v>
      </c>
      <c r="M2594" s="32" t="n">
        <v>83</v>
      </c>
      <c r="N2594" s="31" t="n">
        <v>26246.01</v>
      </c>
      <c r="O2594" s="31" t="n">
        <v>24339.03</v>
      </c>
      <c r="P2594" s="22" t="n">
        <v>1</v>
      </c>
      <c r="Q2594" s="22" t="n">
        <v>0</v>
      </c>
      <c r="R2594" s="22" t="n">
        <v>0</v>
      </c>
    </row>
    <row r="2595">
      <c r="A2595" s="22" t="n">
        <v>202006</v>
      </c>
      <c r="B2595" s="22" t="inlineStr">
        <is>
          <t>06/2020</t>
        </is>
      </c>
      <c r="C2595" s="22" t="n">
        <v>47</v>
      </c>
      <c r="D2595" s="22" t="inlineStr">
        <is>
          <t>S47</t>
        </is>
      </c>
      <c r="E2595" s="22" t="inlineStr">
        <is>
          <t>Nexa Hawaii (S47)</t>
        </is>
      </c>
      <c r="F2595" s="22" t="inlineStr">
        <is>
          <t>Mỹ</t>
        </is>
      </c>
      <c r="G2595" s="22" t="inlineStr">
        <is>
          <t>POS</t>
        </is>
      </c>
      <c r="H2595" s="31" t="n">
        <v>23367.87</v>
      </c>
      <c r="I2595" s="31" t="n">
        <v>0</v>
      </c>
      <c r="J2595" s="31" t="n">
        <v>23367.87</v>
      </c>
      <c r="K2595" s="31" t="n">
        <v>398.97</v>
      </c>
      <c r="L2595" s="32" t="n">
        <v>9</v>
      </c>
      <c r="M2595" s="32" t="n">
        <v>85</v>
      </c>
      <c r="N2595" s="31" t="n">
        <v>22958.91</v>
      </c>
      <c r="O2595" s="31" t="n">
        <v>23367.87</v>
      </c>
      <c r="P2595" s="22" t="n">
        <v>0</v>
      </c>
      <c r="Q2595" s="22" t="n">
        <v>0</v>
      </c>
      <c r="R2595" s="22" t="n">
        <v>0</v>
      </c>
    </row>
    <row r="2596">
      <c r="A2596" s="22" t="n">
        <v>202006</v>
      </c>
      <c r="B2596" s="22" t="inlineStr">
        <is>
          <t>06/2020</t>
        </is>
      </c>
      <c r="C2596" s="22" t="n">
        <v>48</v>
      </c>
      <c r="D2596" s="22" t="inlineStr">
        <is>
          <t>S48</t>
        </is>
      </c>
      <c r="E2596" s="22" t="inlineStr">
        <is>
          <t>Nexa Idaho (S48)</t>
        </is>
      </c>
      <c r="F2596" s="22" t="inlineStr">
        <is>
          <t>Mỹ</t>
        </is>
      </c>
      <c r="G2596" s="22" t="inlineStr">
        <is>
          <t>POS</t>
        </is>
      </c>
      <c r="H2596" s="31" t="n">
        <v>23506.45</v>
      </c>
      <c r="I2596" s="31" t="n">
        <v>0</v>
      </c>
      <c r="J2596" s="31" t="n">
        <v>23506.45</v>
      </c>
      <c r="K2596" s="31" t="n">
        <v>1911.15</v>
      </c>
      <c r="L2596" s="32" t="n">
        <v>9</v>
      </c>
      <c r="M2596" s="32" t="n">
        <v>96</v>
      </c>
      <c r="N2596" s="31" t="n">
        <v>21595.3</v>
      </c>
      <c r="O2596" s="31" t="n">
        <v>23506.45</v>
      </c>
      <c r="P2596" s="22" t="n">
        <v>1</v>
      </c>
      <c r="Q2596" s="22" t="n">
        <v>0</v>
      </c>
      <c r="R2596" s="22" t="n">
        <v>0</v>
      </c>
    </row>
    <row r="2597">
      <c r="A2597" s="22" t="n">
        <v>202006</v>
      </c>
      <c r="B2597" s="22" t="inlineStr">
        <is>
          <t>06/2020</t>
        </is>
      </c>
      <c r="C2597" s="22" t="n">
        <v>49</v>
      </c>
      <c r="D2597" s="22" t="inlineStr">
        <is>
          <t>S49</t>
        </is>
      </c>
      <c r="E2597" s="22" t="inlineStr">
        <is>
          <t>Nexa Iowa (S49)</t>
        </is>
      </c>
      <c r="F2597" s="22" t="inlineStr">
        <is>
          <t>Mỹ</t>
        </is>
      </c>
      <c r="G2597" s="22" t="inlineStr">
        <is>
          <t>POS</t>
        </is>
      </c>
      <c r="H2597" s="31" t="n">
        <v>7558.02</v>
      </c>
      <c r="I2597" s="31" t="n">
        <v>0</v>
      </c>
      <c r="J2597" s="31" t="n">
        <v>7558.02</v>
      </c>
      <c r="K2597" s="31" t="n">
        <v>0</v>
      </c>
      <c r="L2597" s="32" t="n">
        <v>7</v>
      </c>
      <c r="M2597" s="32" t="n">
        <v>27</v>
      </c>
      <c r="N2597" s="31" t="n">
        <v>7558.02</v>
      </c>
      <c r="O2597" s="31" t="n">
        <v>7558.02</v>
      </c>
      <c r="P2597" s="22" t="n">
        <v>0</v>
      </c>
      <c r="Q2597" s="22" t="n">
        <v>0</v>
      </c>
      <c r="R2597" s="22" t="n">
        <v>0</v>
      </c>
    </row>
    <row r="2598">
      <c r="A2598" s="22" t="n">
        <v>202006</v>
      </c>
      <c r="B2598" s="22" t="inlineStr">
        <is>
          <t>06/2020</t>
        </is>
      </c>
      <c r="C2598" s="22" t="n">
        <v>50</v>
      </c>
      <c r="D2598" s="22" t="inlineStr">
        <is>
          <t>S50</t>
        </is>
      </c>
      <c r="E2598" s="22" t="inlineStr">
        <is>
          <t>Nexa Kansas (S50)</t>
        </is>
      </c>
      <c r="F2598" s="22" t="inlineStr">
        <is>
          <t>Mỹ</t>
        </is>
      </c>
      <c r="G2598" s="22" t="inlineStr">
        <is>
          <t>POS</t>
        </is>
      </c>
      <c r="H2598" s="31" t="n">
        <v>8253.99</v>
      </c>
      <c r="I2598" s="31" t="n">
        <v>0</v>
      </c>
      <c r="J2598" s="31" t="n">
        <v>8253.99</v>
      </c>
      <c r="K2598" s="31" t="n">
        <v>459.8</v>
      </c>
      <c r="L2598" s="32" t="n">
        <v>9</v>
      </c>
      <c r="M2598" s="32" t="n">
        <v>52</v>
      </c>
      <c r="N2598" s="31" t="n">
        <v>7794.19</v>
      </c>
      <c r="O2598" s="31" t="n">
        <v>8253.99</v>
      </c>
      <c r="P2598" s="22" t="n">
        <v>1</v>
      </c>
      <c r="Q2598" s="22" t="n">
        <v>0</v>
      </c>
      <c r="R2598" s="22" t="n">
        <v>0</v>
      </c>
    </row>
    <row r="2599">
      <c r="A2599" s="22" t="n">
        <v>202006</v>
      </c>
      <c r="B2599" s="22" t="inlineStr">
        <is>
          <t>06/2020</t>
        </is>
      </c>
      <c r="C2599" s="22" t="n">
        <v>51</v>
      </c>
      <c r="D2599" s="22" t="inlineStr">
        <is>
          <t>S51</t>
        </is>
      </c>
      <c r="E2599" s="22" t="inlineStr">
        <is>
          <t>Nexa Maine (S51)</t>
        </is>
      </c>
      <c r="F2599" s="22" t="inlineStr">
        <is>
          <t>Mỹ</t>
        </is>
      </c>
      <c r="G2599" s="22" t="inlineStr">
        <is>
          <t>POS</t>
        </is>
      </c>
      <c r="H2599" s="31" t="n">
        <v>16623.78</v>
      </c>
      <c r="I2599" s="31" t="n">
        <v>0</v>
      </c>
      <c r="J2599" s="31" t="n">
        <v>16623.78</v>
      </c>
      <c r="K2599" s="31" t="n">
        <v>479.97</v>
      </c>
      <c r="L2599" s="32" t="n">
        <v>7</v>
      </c>
      <c r="M2599" s="32" t="n">
        <v>66</v>
      </c>
      <c r="N2599" s="31" t="n">
        <v>16143.81</v>
      </c>
      <c r="O2599" s="31" t="n">
        <v>16623.78</v>
      </c>
      <c r="P2599" s="22" t="n">
        <v>0</v>
      </c>
      <c r="Q2599" s="22" t="n">
        <v>0</v>
      </c>
      <c r="R2599" s="22" t="n">
        <v>0</v>
      </c>
    </row>
    <row r="2600">
      <c r="A2600" s="22" t="n">
        <v>202006</v>
      </c>
      <c r="B2600" s="22" t="inlineStr">
        <is>
          <t>06/2020</t>
        </is>
      </c>
      <c r="C2600" s="22" t="n">
        <v>53</v>
      </c>
      <c r="D2600" s="22" t="inlineStr">
        <is>
          <t>S53</t>
        </is>
      </c>
      <c r="E2600" s="22" t="inlineStr">
        <is>
          <t>Nexa Montana (S53)</t>
        </is>
      </c>
      <c r="F2600" s="22" t="inlineStr">
        <is>
          <t>Mỹ</t>
        </is>
      </c>
      <c r="G2600" s="22" t="inlineStr">
        <is>
          <t>POS</t>
        </is>
      </c>
      <c r="H2600" s="31" t="n">
        <v>21276.33</v>
      </c>
      <c r="I2600" s="31" t="n">
        <v>0</v>
      </c>
      <c r="J2600" s="31" t="n">
        <v>21276.33</v>
      </c>
      <c r="K2600" s="31" t="n">
        <v>0</v>
      </c>
      <c r="L2600" s="32" t="n">
        <v>10</v>
      </c>
      <c r="M2600" s="32" t="n">
        <v>75</v>
      </c>
      <c r="N2600" s="31" t="n">
        <v>21276.33</v>
      </c>
      <c r="O2600" s="31" t="n">
        <v>21276.33</v>
      </c>
      <c r="P2600" s="22" t="n">
        <v>0</v>
      </c>
      <c r="Q2600" s="22" t="n">
        <v>0</v>
      </c>
      <c r="R2600" s="22" t="n">
        <v>0</v>
      </c>
    </row>
    <row r="2601">
      <c r="A2601" s="22" t="n">
        <v>202006</v>
      </c>
      <c r="B2601" s="22" t="inlineStr">
        <is>
          <t>06/2020</t>
        </is>
      </c>
      <c r="C2601" s="22" t="n">
        <v>54</v>
      </c>
      <c r="D2601" s="22" t="inlineStr">
        <is>
          <t>S54</t>
        </is>
      </c>
      <c r="E2601" s="22" t="inlineStr">
        <is>
          <t>Nexa Nebraska (S54)</t>
        </is>
      </c>
      <c r="F2601" s="22" t="inlineStr">
        <is>
          <t>Mỹ</t>
        </is>
      </c>
      <c r="G2601" s="22" t="inlineStr">
        <is>
          <t>POS</t>
        </is>
      </c>
      <c r="H2601" s="31" t="n">
        <v>29016.26</v>
      </c>
      <c r="I2601" s="31" t="n">
        <v>0</v>
      </c>
      <c r="J2601" s="31" t="n">
        <v>29016.26</v>
      </c>
      <c r="K2601" s="31" t="n">
        <v>22.89</v>
      </c>
      <c r="L2601" s="32" t="n">
        <v>10</v>
      </c>
      <c r="M2601" s="32" t="n">
        <v>103</v>
      </c>
      <c r="N2601" s="31" t="n">
        <v>31895</v>
      </c>
      <c r="O2601" s="31" t="n">
        <v>29016.26</v>
      </c>
      <c r="P2601" s="22" t="n">
        <v>0</v>
      </c>
      <c r="Q2601" s="22" t="n">
        <v>0</v>
      </c>
      <c r="R2601" s="22" t="n">
        <v>0</v>
      </c>
    </row>
    <row r="2602">
      <c r="A2602" s="22" t="n">
        <v>202006</v>
      </c>
      <c r="B2602" s="22" t="inlineStr">
        <is>
          <t>06/2020</t>
        </is>
      </c>
      <c r="C2602" s="22" t="n">
        <v>55</v>
      </c>
      <c r="D2602" s="22" t="inlineStr">
        <is>
          <t>S55</t>
        </is>
      </c>
      <c r="E2602" s="22" t="inlineStr">
        <is>
          <t>Nexa Nevada (S55)</t>
        </is>
      </c>
      <c r="F2602" s="22" t="inlineStr">
        <is>
          <t>Mỹ</t>
        </is>
      </c>
      <c r="G2602" s="22" t="inlineStr">
        <is>
          <t>POS</t>
        </is>
      </c>
      <c r="H2602" s="31" t="n">
        <v>14317.12</v>
      </c>
      <c r="I2602" s="31" t="n">
        <v>0</v>
      </c>
      <c r="J2602" s="31" t="n">
        <v>14317.12</v>
      </c>
      <c r="K2602" s="31" t="n">
        <v>299.23</v>
      </c>
      <c r="L2602" s="32" t="n">
        <v>7</v>
      </c>
      <c r="M2602" s="32" t="n">
        <v>67</v>
      </c>
      <c r="N2602" s="31" t="n">
        <v>14017.89</v>
      </c>
      <c r="O2602" s="31" t="n">
        <v>14317.12</v>
      </c>
      <c r="P2602" s="22" t="n">
        <v>1</v>
      </c>
      <c r="Q2602" s="22" t="n">
        <v>0</v>
      </c>
      <c r="R2602" s="22" t="n">
        <v>0</v>
      </c>
    </row>
    <row r="2603">
      <c r="A2603" s="22" t="n">
        <v>202006</v>
      </c>
      <c r="B2603" s="22" t="inlineStr">
        <is>
          <t>06/2020</t>
        </is>
      </c>
      <c r="C2603" s="22" t="n">
        <v>56</v>
      </c>
      <c r="D2603" s="22" t="inlineStr">
        <is>
          <t>S56</t>
        </is>
      </c>
      <c r="E2603" s="22" t="inlineStr">
        <is>
          <t>Nexa New Hampshire (S56)</t>
        </is>
      </c>
      <c r="F2603" s="22" t="inlineStr">
        <is>
          <t>Mỹ</t>
        </is>
      </c>
      <c r="G2603" s="22" t="inlineStr">
        <is>
          <t>POS</t>
        </is>
      </c>
      <c r="H2603" s="31" t="n">
        <v>6960.97</v>
      </c>
      <c r="I2603" s="31" t="n">
        <v>0</v>
      </c>
      <c r="J2603" s="31" t="n">
        <v>6960.97</v>
      </c>
      <c r="K2603" s="31" t="n">
        <v>0</v>
      </c>
      <c r="L2603" s="32" t="n">
        <v>7</v>
      </c>
      <c r="M2603" s="32" t="n">
        <v>53</v>
      </c>
      <c r="N2603" s="31" t="n">
        <v>6960.97</v>
      </c>
      <c r="O2603" s="31" t="n">
        <v>6960.97</v>
      </c>
      <c r="P2603" s="22" t="n">
        <v>1</v>
      </c>
      <c r="Q2603" s="22" t="n">
        <v>0</v>
      </c>
      <c r="R2603" s="22" t="n">
        <v>0</v>
      </c>
    </row>
    <row r="2604">
      <c r="A2604" s="22" t="n">
        <v>202006</v>
      </c>
      <c r="B2604" s="22" t="inlineStr">
        <is>
          <t>06/2020</t>
        </is>
      </c>
      <c r="C2604" s="22" t="n">
        <v>57</v>
      </c>
      <c r="D2604" s="22" t="inlineStr">
        <is>
          <t>S57</t>
        </is>
      </c>
      <c r="E2604" s="22" t="inlineStr">
        <is>
          <t>Nexa New Mexico (S57)</t>
        </is>
      </c>
      <c r="F2604" s="22" t="inlineStr">
        <is>
          <t>Mỹ</t>
        </is>
      </c>
      <c r="G2604" s="22" t="inlineStr">
        <is>
          <t>POS</t>
        </is>
      </c>
      <c r="H2604" s="31" t="n">
        <v>23478.99</v>
      </c>
      <c r="I2604" s="31" t="n">
        <v>0</v>
      </c>
      <c r="J2604" s="31" t="n">
        <v>23478.99</v>
      </c>
      <c r="K2604" s="31" t="n">
        <v>0</v>
      </c>
      <c r="L2604" s="32" t="n">
        <v>5</v>
      </c>
      <c r="M2604" s="32" t="n">
        <v>41</v>
      </c>
      <c r="N2604" s="31" t="n">
        <v>23478.99</v>
      </c>
      <c r="O2604" s="31" t="n">
        <v>23478.99</v>
      </c>
      <c r="P2604" s="22" t="n">
        <v>0</v>
      </c>
      <c r="Q2604" s="22" t="n">
        <v>0</v>
      </c>
      <c r="R2604" s="22" t="n">
        <v>0</v>
      </c>
    </row>
    <row r="2605">
      <c r="A2605" s="22" t="n">
        <v>202006</v>
      </c>
      <c r="B2605" s="22" t="inlineStr">
        <is>
          <t>06/2020</t>
        </is>
      </c>
      <c r="C2605" s="22" t="n">
        <v>59</v>
      </c>
      <c r="D2605" s="22" t="inlineStr">
        <is>
          <t>S59</t>
        </is>
      </c>
      <c r="E2605" s="22" t="inlineStr">
        <is>
          <t>Nexa Oregon (S59)</t>
        </is>
      </c>
      <c r="F2605" s="22" t="inlineStr">
        <is>
          <t>Mỹ</t>
        </is>
      </c>
      <c r="G2605" s="22" t="inlineStr">
        <is>
          <t>POS</t>
        </is>
      </c>
      <c r="H2605" s="31" t="n">
        <v>21122.23</v>
      </c>
      <c r="I2605" s="31" t="n">
        <v>0</v>
      </c>
      <c r="J2605" s="31" t="n">
        <v>21122.23</v>
      </c>
      <c r="K2605" s="31" t="n">
        <v>0</v>
      </c>
      <c r="L2605" s="32" t="n">
        <v>10</v>
      </c>
      <c r="M2605" s="32" t="n">
        <v>88</v>
      </c>
      <c r="N2605" s="31" t="n">
        <v>21122.23</v>
      </c>
      <c r="O2605" s="31" t="n">
        <v>21122.23</v>
      </c>
      <c r="P2605" s="22" t="n">
        <v>0</v>
      </c>
      <c r="Q2605" s="22" t="n">
        <v>0</v>
      </c>
      <c r="R2605" s="22" t="n">
        <v>0</v>
      </c>
    </row>
    <row r="2606">
      <c r="A2606" s="22" t="n">
        <v>202006</v>
      </c>
      <c r="B2606" s="22" t="inlineStr">
        <is>
          <t>06/2020</t>
        </is>
      </c>
      <c r="C2606" s="22" t="n">
        <v>61</v>
      </c>
      <c r="D2606" s="22" t="inlineStr">
        <is>
          <t>S61</t>
        </is>
      </c>
      <c r="E2606" s="22" t="inlineStr">
        <is>
          <t>Nexa South Carolina (S61)</t>
        </is>
      </c>
      <c r="F2606" s="22" t="inlineStr">
        <is>
          <t>Mỹ</t>
        </is>
      </c>
      <c r="G2606" s="22" t="inlineStr">
        <is>
          <t>POS</t>
        </is>
      </c>
      <c r="H2606" s="31" t="n">
        <v>26362.82</v>
      </c>
      <c r="I2606" s="31" t="n">
        <v>0</v>
      </c>
      <c r="J2606" s="31" t="n">
        <v>26362.82</v>
      </c>
      <c r="K2606" s="31" t="n">
        <v>857.7</v>
      </c>
      <c r="L2606" s="32" t="n">
        <v>5</v>
      </c>
      <c r="M2606" s="32" t="n">
        <v>39</v>
      </c>
      <c r="N2606" s="31" t="n">
        <v>25505.12</v>
      </c>
      <c r="O2606" s="31" t="n">
        <v>26362.82</v>
      </c>
      <c r="P2606" s="22" t="n">
        <v>0</v>
      </c>
      <c r="Q2606" s="22" t="n">
        <v>0</v>
      </c>
      <c r="R2606" s="22" t="n">
        <v>0</v>
      </c>
    </row>
    <row r="2607">
      <c r="A2607" s="22" t="n">
        <v>202006</v>
      </c>
      <c r="B2607" s="22" t="inlineStr">
        <is>
          <t>06/2020</t>
        </is>
      </c>
      <c r="C2607" s="22" t="n">
        <v>62</v>
      </c>
      <c r="D2607" s="22" t="inlineStr">
        <is>
          <t>S62</t>
        </is>
      </c>
      <c r="E2607" s="22" t="inlineStr">
        <is>
          <t>Nexa South Dakota (S62)</t>
        </is>
      </c>
      <c r="F2607" s="22" t="inlineStr">
        <is>
          <t>Mỹ</t>
        </is>
      </c>
      <c r="G2607" s="22" t="inlineStr">
        <is>
          <t>POS</t>
        </is>
      </c>
      <c r="H2607" s="31" t="n">
        <v>8832.93</v>
      </c>
      <c r="I2607" s="31" t="n">
        <v>0</v>
      </c>
      <c r="J2607" s="31" t="n">
        <v>8832.93</v>
      </c>
      <c r="K2607" s="31" t="n">
        <v>0</v>
      </c>
      <c r="L2607" s="32" t="n">
        <v>7</v>
      </c>
      <c r="M2607" s="32" t="n">
        <v>48</v>
      </c>
      <c r="N2607" s="31" t="n">
        <v>8832.93</v>
      </c>
      <c r="O2607" s="31" t="n">
        <v>8832.93</v>
      </c>
      <c r="P2607" s="22" t="n">
        <v>0</v>
      </c>
      <c r="Q2607" s="22" t="n">
        <v>0</v>
      </c>
      <c r="R2607" s="22" t="n">
        <v>0</v>
      </c>
    </row>
    <row r="2608">
      <c r="A2608" s="22" t="n">
        <v>202006</v>
      </c>
      <c r="B2608" s="22" t="inlineStr">
        <is>
          <t>06/2020</t>
        </is>
      </c>
      <c r="C2608" s="22" t="n">
        <v>64</v>
      </c>
      <c r="D2608" s="22" t="inlineStr">
        <is>
          <t>S64</t>
        </is>
      </c>
      <c r="E2608" s="22" t="inlineStr">
        <is>
          <t>Nexa Washington DC (S64)</t>
        </is>
      </c>
      <c r="F2608" s="22" t="inlineStr">
        <is>
          <t>Mỹ</t>
        </is>
      </c>
      <c r="G2608" s="22" t="inlineStr">
        <is>
          <t>POS</t>
        </is>
      </c>
      <c r="H2608" s="31" t="n">
        <v>3938.65</v>
      </c>
      <c r="I2608" s="31" t="n">
        <v>0</v>
      </c>
      <c r="J2608" s="31" t="n">
        <v>3938.65</v>
      </c>
      <c r="K2608" s="31" t="n">
        <v>0</v>
      </c>
      <c r="L2608" s="32" t="n">
        <v>5</v>
      </c>
      <c r="M2608" s="32" t="n">
        <v>23</v>
      </c>
      <c r="N2608" s="31" t="n">
        <v>3938.65</v>
      </c>
      <c r="O2608" s="31" t="n">
        <v>3938.65</v>
      </c>
      <c r="P2608" s="22" t="n">
        <v>0</v>
      </c>
      <c r="Q2608" s="22" t="n">
        <v>0</v>
      </c>
      <c r="R2608" s="22" t="n">
        <v>0</v>
      </c>
    </row>
    <row r="2609">
      <c r="A2609" s="22" t="n">
        <v>202006</v>
      </c>
      <c r="B2609" s="22" t="inlineStr">
        <is>
          <t>06/2020</t>
        </is>
      </c>
      <c r="C2609" s="22" t="n">
        <v>65</v>
      </c>
      <c r="D2609" s="22" t="inlineStr">
        <is>
          <t>S65</t>
        </is>
      </c>
      <c r="E2609" s="22" t="inlineStr">
        <is>
          <t>Nexa West Virginia (S65)</t>
        </is>
      </c>
      <c r="F2609" s="22" t="inlineStr">
        <is>
          <t>Mỹ</t>
        </is>
      </c>
      <c r="G2609" s="22" t="inlineStr">
        <is>
          <t>POS</t>
        </is>
      </c>
      <c r="H2609" s="31" t="n">
        <v>25937.35</v>
      </c>
      <c r="I2609" s="31" t="n">
        <v>0</v>
      </c>
      <c r="J2609" s="31" t="n">
        <v>25937.35</v>
      </c>
      <c r="K2609" s="31" t="n">
        <v>600</v>
      </c>
      <c r="L2609" s="32" t="n">
        <v>6</v>
      </c>
      <c r="M2609" s="32" t="n">
        <v>56</v>
      </c>
      <c r="N2609" s="31" t="n">
        <v>25337.35</v>
      </c>
      <c r="O2609" s="31" t="n">
        <v>25937.35</v>
      </c>
      <c r="P2609" s="22" t="n">
        <v>1</v>
      </c>
      <c r="Q2609" s="22" t="n">
        <v>0</v>
      </c>
      <c r="R2609" s="22" t="n">
        <v>0</v>
      </c>
    </row>
    <row r="2610">
      <c r="A2610" s="22" t="n">
        <v>202006</v>
      </c>
      <c r="B2610" s="22" t="inlineStr">
        <is>
          <t>06/2020</t>
        </is>
      </c>
      <c r="C2610" s="22" t="n">
        <v>66</v>
      </c>
      <c r="D2610" s="22" t="inlineStr">
        <is>
          <t>S66</t>
        </is>
      </c>
      <c r="E2610" s="22" t="inlineStr">
        <is>
          <t>Nexa Wyoming (S66)</t>
        </is>
      </c>
      <c r="F2610" s="22" t="inlineStr">
        <is>
          <t>Mỹ</t>
        </is>
      </c>
      <c r="G2610" s="22" t="inlineStr">
        <is>
          <t>POS</t>
        </is>
      </c>
      <c r="H2610" s="31" t="n">
        <v>26300.36</v>
      </c>
      <c r="I2610" s="31" t="n">
        <v>0</v>
      </c>
      <c r="J2610" s="31" t="n">
        <v>26300.36</v>
      </c>
      <c r="K2610" s="31" t="n">
        <v>877.5</v>
      </c>
      <c r="L2610" s="32" t="n">
        <v>13</v>
      </c>
      <c r="M2610" s="32" t="n">
        <v>115</v>
      </c>
      <c r="N2610" s="31" t="n">
        <v>25422.86</v>
      </c>
      <c r="O2610" s="31" t="n">
        <v>26300.36</v>
      </c>
      <c r="P2610" s="22" t="n">
        <v>0</v>
      </c>
      <c r="Q2610" s="22" t="n">
        <v>0</v>
      </c>
      <c r="R2610" s="22" t="n">
        <v>0</v>
      </c>
    </row>
    <row r="2611">
      <c r="A2611" s="22" t="n">
        <v>202007</v>
      </c>
      <c r="B2611" s="22" t="inlineStr">
        <is>
          <t>07/2020</t>
        </is>
      </c>
      <c r="C2611" s="22" t="n">
        <v>0</v>
      </c>
      <c r="D2611" s="22" t="inlineStr">
        <is>
          <t>ONL</t>
        </is>
      </c>
      <c r="E2611" s="22" t="inlineStr">
        <is>
          <t>Nexa Online (website/app)</t>
        </is>
      </c>
      <c r="F2611" s="22" t="inlineStr">
        <is>
          <t>Online</t>
        </is>
      </c>
      <c r="G2611" s="22" t="inlineStr">
        <is>
          <t>ONLINE</t>
        </is>
      </c>
      <c r="H2611" s="31" t="n">
        <v>120639.02</v>
      </c>
      <c r="I2611" s="31" t="n">
        <v>2879.51</v>
      </c>
      <c r="J2611" s="31" t="n">
        <v>117759.51</v>
      </c>
      <c r="K2611" s="31" t="n">
        <v>2397.68</v>
      </c>
      <c r="L2611" s="32" t="n">
        <v>67</v>
      </c>
      <c r="M2611" s="32" t="n">
        <v>460</v>
      </c>
      <c r="N2611" s="31" t="n">
        <v>133875.09</v>
      </c>
      <c r="O2611" s="31" t="n">
        <v>136272.77</v>
      </c>
      <c r="P2611" s="22" t="n">
        <v>2</v>
      </c>
      <c r="Q2611" s="22" t="n">
        <v>0</v>
      </c>
      <c r="R2611" s="22" t="n">
        <v>0</v>
      </c>
    </row>
    <row r="2612">
      <c r="A2612" s="22" t="n">
        <v>202007</v>
      </c>
      <c r="B2612" s="22" t="inlineStr">
        <is>
          <t>07/2020</t>
        </is>
      </c>
      <c r="C2612" s="22" t="n">
        <v>1</v>
      </c>
      <c r="D2612" s="22" t="inlineStr">
        <is>
          <t>S01</t>
        </is>
      </c>
      <c r="E2612" s="22" t="inlineStr">
        <is>
          <t>Nexa Australian Capital Territory (S01)</t>
        </is>
      </c>
      <c r="F2612" s="22" t="inlineStr">
        <is>
          <t>Úc</t>
        </is>
      </c>
      <c r="G2612" s="22" t="inlineStr">
        <is>
          <t>POS</t>
        </is>
      </c>
      <c r="H2612" s="31" t="n">
        <v>826.96</v>
      </c>
      <c r="I2612" s="31" t="n">
        <v>0</v>
      </c>
      <c r="J2612" s="31" t="n">
        <v>826.96</v>
      </c>
      <c r="K2612" s="31" t="n">
        <v>0</v>
      </c>
      <c r="L2612" s="32" t="n">
        <v>1</v>
      </c>
      <c r="M2612" s="32" t="n">
        <v>5</v>
      </c>
      <c r="N2612" s="31" t="n">
        <v>826.96</v>
      </c>
      <c r="O2612" s="31" t="n">
        <v>826.96</v>
      </c>
      <c r="P2612" s="22" t="n">
        <v>0</v>
      </c>
      <c r="Q2612" s="22" t="n">
        <v>0</v>
      </c>
      <c r="R2612" s="22" t="n">
        <v>0</v>
      </c>
    </row>
    <row r="2613">
      <c r="A2613" s="22" t="n">
        <v>202007</v>
      </c>
      <c r="B2613" s="22" t="inlineStr">
        <is>
          <t>07/2020</t>
        </is>
      </c>
      <c r="C2613" s="22" t="n">
        <v>4</v>
      </c>
      <c r="D2613" s="22" t="inlineStr">
        <is>
          <t>S04</t>
        </is>
      </c>
      <c r="E2613" s="22" t="inlineStr">
        <is>
          <t>Nexa Tasmania (S04)</t>
        </is>
      </c>
      <c r="F2613" s="22" t="inlineStr">
        <is>
          <t>Úc</t>
        </is>
      </c>
      <c r="G2613" s="22" t="inlineStr">
        <is>
          <t>POS</t>
        </is>
      </c>
      <c r="H2613" s="31" t="n">
        <v>0</v>
      </c>
      <c r="I2613" s="31" t="n">
        <v>0</v>
      </c>
      <c r="J2613" s="31" t="n">
        <v>0</v>
      </c>
      <c r="K2613" s="31" t="n">
        <v>268</v>
      </c>
      <c r="L2613" s="32" t="n">
        <v>0</v>
      </c>
      <c r="M2613" s="32" t="n">
        <v>0</v>
      </c>
      <c r="N2613" s="31" t="n">
        <v>-268</v>
      </c>
      <c r="O2613" s="31" t="n">
        <v>0</v>
      </c>
      <c r="P2613" s="22" t="n">
        <v>0</v>
      </c>
      <c r="Q2613" s="22" t="n">
        <v>0</v>
      </c>
      <c r="R2613" s="22" t="n">
        <v>0</v>
      </c>
    </row>
    <row r="2614">
      <c r="A2614" s="22" t="n">
        <v>202007</v>
      </c>
      <c r="B2614" s="22" t="inlineStr">
        <is>
          <t>07/2020</t>
        </is>
      </c>
      <c r="C2614" s="22" t="n">
        <v>5</v>
      </c>
      <c r="D2614" s="22" t="inlineStr">
        <is>
          <t>S05</t>
        </is>
      </c>
      <c r="E2614" s="22" t="inlineStr">
        <is>
          <t>Nexa Victoria (S05)</t>
        </is>
      </c>
      <c r="F2614" s="22" t="inlineStr">
        <is>
          <t>Úc</t>
        </is>
      </c>
      <c r="G2614" s="22" t="inlineStr">
        <is>
          <t>POS</t>
        </is>
      </c>
      <c r="H2614" s="31" t="n">
        <v>11209.66</v>
      </c>
      <c r="I2614" s="31" t="n">
        <v>0</v>
      </c>
      <c r="J2614" s="31" t="n">
        <v>11209.66</v>
      </c>
      <c r="K2614" s="31" t="n">
        <v>0</v>
      </c>
      <c r="L2614" s="32" t="n">
        <v>3</v>
      </c>
      <c r="M2614" s="32" t="n">
        <v>36</v>
      </c>
      <c r="N2614" s="31" t="n">
        <v>11209.66</v>
      </c>
      <c r="O2614" s="31" t="n">
        <v>11209.66</v>
      </c>
      <c r="P2614" s="22" t="n">
        <v>0</v>
      </c>
      <c r="Q2614" s="22" t="n">
        <v>0</v>
      </c>
      <c r="R2614" s="22" t="n">
        <v>0</v>
      </c>
    </row>
    <row r="2615">
      <c r="A2615" s="22" t="n">
        <v>202007</v>
      </c>
      <c r="B2615" s="22" t="inlineStr">
        <is>
          <t>07/2020</t>
        </is>
      </c>
      <c r="C2615" s="22" t="n">
        <v>6</v>
      </c>
      <c r="D2615" s="22" t="inlineStr">
        <is>
          <t>S06</t>
        </is>
      </c>
      <c r="E2615" s="22" t="inlineStr">
        <is>
          <t>Nexa Western Australia (S06)</t>
        </is>
      </c>
      <c r="F2615" s="22" t="inlineStr">
        <is>
          <t>Úc</t>
        </is>
      </c>
      <c r="G2615" s="22" t="inlineStr">
        <is>
          <t>POS</t>
        </is>
      </c>
      <c r="H2615" s="31" t="n">
        <v>7002</v>
      </c>
      <c r="I2615" s="31" t="n">
        <v>0</v>
      </c>
      <c r="J2615" s="31" t="n">
        <v>7002</v>
      </c>
      <c r="K2615" s="31" t="n">
        <v>1475</v>
      </c>
      <c r="L2615" s="32" t="n">
        <v>2</v>
      </c>
      <c r="M2615" s="32" t="n">
        <v>13</v>
      </c>
      <c r="N2615" s="31" t="n">
        <v>5527</v>
      </c>
      <c r="O2615" s="31" t="n">
        <v>7002</v>
      </c>
      <c r="P2615" s="22" t="n">
        <v>0</v>
      </c>
      <c r="Q2615" s="22" t="n">
        <v>0</v>
      </c>
      <c r="R2615" s="22" t="n">
        <v>0</v>
      </c>
    </row>
    <row r="2616">
      <c r="A2616" s="22" t="n">
        <v>202007</v>
      </c>
      <c r="B2616" s="22" t="inlineStr">
        <is>
          <t>07/2020</t>
        </is>
      </c>
      <c r="C2616" s="22" t="n">
        <v>8</v>
      </c>
      <c r="D2616" s="22" t="inlineStr">
        <is>
          <t>S08</t>
        </is>
      </c>
      <c r="E2616" s="22" t="inlineStr">
        <is>
          <t>Nexa Newfoundland and Labrador (S08)</t>
        </is>
      </c>
      <c r="F2616" s="22" t="inlineStr">
        <is>
          <t>Canada</t>
        </is>
      </c>
      <c r="G2616" s="22" t="inlineStr">
        <is>
          <t>POS</t>
        </is>
      </c>
      <c r="H2616" s="31" t="n">
        <v>11547.76</v>
      </c>
      <c r="I2616" s="31" t="n">
        <v>0</v>
      </c>
      <c r="J2616" s="31" t="n">
        <v>11547.76</v>
      </c>
      <c r="K2616" s="31" t="n">
        <v>479.97</v>
      </c>
      <c r="L2616" s="32" t="n">
        <v>6</v>
      </c>
      <c r="M2616" s="32" t="n">
        <v>59</v>
      </c>
      <c r="N2616" s="31" t="n">
        <v>11067.79</v>
      </c>
      <c r="O2616" s="31" t="n">
        <v>11547.76</v>
      </c>
      <c r="P2616" s="22" t="n">
        <v>0</v>
      </c>
      <c r="Q2616" s="22" t="n">
        <v>0</v>
      </c>
      <c r="R2616" s="22" t="n">
        <v>0</v>
      </c>
    </row>
    <row r="2617">
      <c r="A2617" s="22" t="n">
        <v>202007</v>
      </c>
      <c r="B2617" s="22" t="inlineStr">
        <is>
          <t>07/2020</t>
        </is>
      </c>
      <c r="C2617" s="22" t="n">
        <v>9</v>
      </c>
      <c r="D2617" s="22" t="inlineStr">
        <is>
          <t>S09</t>
        </is>
      </c>
      <c r="E2617" s="22" t="inlineStr">
        <is>
          <t>Nexa Northwest Territories (S09)</t>
        </is>
      </c>
      <c r="F2617" s="22" t="inlineStr">
        <is>
          <t>Canada</t>
        </is>
      </c>
      <c r="G2617" s="22" t="inlineStr">
        <is>
          <t>POS</t>
        </is>
      </c>
      <c r="H2617" s="31" t="n">
        <v>1726.27</v>
      </c>
      <c r="I2617" s="31" t="n">
        <v>0</v>
      </c>
      <c r="J2617" s="31" t="n">
        <v>1726.27</v>
      </c>
      <c r="K2617" s="31" t="n">
        <v>0</v>
      </c>
      <c r="L2617" s="32" t="n">
        <v>1</v>
      </c>
      <c r="M2617" s="32" t="n">
        <v>14</v>
      </c>
      <c r="N2617" s="31" t="n">
        <v>1726.27</v>
      </c>
      <c r="O2617" s="31" t="n">
        <v>1726.27</v>
      </c>
      <c r="P2617" s="22" t="n">
        <v>0</v>
      </c>
      <c r="Q2617" s="22" t="n">
        <v>0</v>
      </c>
      <c r="R2617" s="22" t="n">
        <v>0</v>
      </c>
    </row>
    <row r="2618">
      <c r="A2618" s="22" t="n">
        <v>202007</v>
      </c>
      <c r="B2618" s="22" t="inlineStr">
        <is>
          <t>07/2020</t>
        </is>
      </c>
      <c r="C2618" s="22" t="n">
        <v>10</v>
      </c>
      <c r="D2618" s="22" t="inlineStr">
        <is>
          <t>S10</t>
        </is>
      </c>
      <c r="E2618" s="22" t="inlineStr">
        <is>
          <t>Nexa Nunavut (S10)</t>
        </is>
      </c>
      <c r="F2618" s="22" t="inlineStr">
        <is>
          <t>Canada</t>
        </is>
      </c>
      <c r="G2618" s="22" t="inlineStr">
        <is>
          <t>POS</t>
        </is>
      </c>
      <c r="H2618" s="31" t="n">
        <v>4935.83</v>
      </c>
      <c r="I2618" s="31" t="n">
        <v>0</v>
      </c>
      <c r="J2618" s="31" t="n">
        <v>4935.83</v>
      </c>
      <c r="K2618" s="31" t="n">
        <v>26.99</v>
      </c>
      <c r="L2618" s="32" t="n">
        <v>8</v>
      </c>
      <c r="M2618" s="32" t="n">
        <v>44</v>
      </c>
      <c r="N2618" s="31" t="n">
        <v>4908.84</v>
      </c>
      <c r="O2618" s="31" t="n">
        <v>4935.83</v>
      </c>
      <c r="P2618" s="22" t="n">
        <v>0</v>
      </c>
      <c r="Q2618" s="22" t="n">
        <v>0</v>
      </c>
      <c r="R2618" s="22" t="n">
        <v>0</v>
      </c>
    </row>
    <row r="2619">
      <c r="A2619" s="22" t="n">
        <v>202007</v>
      </c>
      <c r="B2619" s="22" t="inlineStr">
        <is>
          <t>07/2020</t>
        </is>
      </c>
      <c r="C2619" s="22" t="n">
        <v>16</v>
      </c>
      <c r="D2619" s="22" t="inlineStr">
        <is>
          <t>S16</t>
        </is>
      </c>
      <c r="E2619" s="22" t="inlineStr">
        <is>
          <t>Nexa Limousin (S16)</t>
        </is>
      </c>
      <c r="F2619" s="22" t="inlineStr">
        <is>
          <t>Pháp</t>
        </is>
      </c>
      <c r="G2619" s="22" t="inlineStr">
        <is>
          <t>POS</t>
        </is>
      </c>
      <c r="H2619" s="31" t="n">
        <v>0</v>
      </c>
      <c r="I2619" s="31" t="n">
        <v>0</v>
      </c>
      <c r="J2619" s="31" t="n">
        <v>0</v>
      </c>
      <c r="K2619" s="31" t="n">
        <v>1030</v>
      </c>
      <c r="L2619" s="32" t="n">
        <v>0</v>
      </c>
      <c r="M2619" s="32" t="n">
        <v>0</v>
      </c>
      <c r="N2619" s="31" t="n">
        <v>-1030</v>
      </c>
      <c r="O2619" s="31" t="n">
        <v>0</v>
      </c>
      <c r="P2619" s="22" t="n">
        <v>0</v>
      </c>
      <c r="Q2619" s="22" t="n">
        <v>0</v>
      </c>
      <c r="R2619" s="22" t="n">
        <v>0</v>
      </c>
    </row>
    <row r="2620">
      <c r="A2620" s="22" t="n">
        <v>202007</v>
      </c>
      <c r="B2620" s="22" t="inlineStr">
        <is>
          <t>07/2020</t>
        </is>
      </c>
      <c r="C2620" s="22" t="n">
        <v>17</v>
      </c>
      <c r="D2620" s="22" t="inlineStr">
        <is>
          <t>S17</t>
        </is>
      </c>
      <c r="E2620" s="22" t="inlineStr">
        <is>
          <t>Nexa Martinique (S17)</t>
        </is>
      </c>
      <c r="F2620" s="22" t="inlineStr">
        <is>
          <t>Pháp</t>
        </is>
      </c>
      <c r="G2620" s="22" t="inlineStr">
        <is>
          <t>POS</t>
        </is>
      </c>
      <c r="H2620" s="31" t="n">
        <v>1076.53</v>
      </c>
      <c r="I2620" s="31" t="n">
        <v>0</v>
      </c>
      <c r="J2620" s="31" t="n">
        <v>1076.53</v>
      </c>
      <c r="K2620" s="31" t="n">
        <v>0</v>
      </c>
      <c r="L2620" s="32" t="n">
        <v>3</v>
      </c>
      <c r="M2620" s="32" t="n">
        <v>16</v>
      </c>
      <c r="N2620" s="31" t="n">
        <v>1076.53</v>
      </c>
      <c r="O2620" s="31" t="n">
        <v>1076.53</v>
      </c>
      <c r="P2620" s="22" t="n">
        <v>0</v>
      </c>
      <c r="Q2620" s="22" t="n">
        <v>0</v>
      </c>
      <c r="R2620" s="22" t="n">
        <v>0</v>
      </c>
    </row>
    <row r="2621">
      <c r="A2621" s="22" t="n">
        <v>202007</v>
      </c>
      <c r="B2621" s="22" t="inlineStr">
        <is>
          <t>07/2020</t>
        </is>
      </c>
      <c r="C2621" s="22" t="n">
        <v>19</v>
      </c>
      <c r="D2621" s="22" t="inlineStr">
        <is>
          <t>S19</t>
        </is>
      </c>
      <c r="E2621" s="22" t="inlineStr">
        <is>
          <t>Nexa Berlin (S19)</t>
        </is>
      </c>
      <c r="F2621" s="22" t="inlineStr">
        <is>
          <t>Đức</t>
        </is>
      </c>
      <c r="G2621" s="22" t="inlineStr">
        <is>
          <t>POS</t>
        </is>
      </c>
      <c r="H2621" s="31" t="n">
        <v>1887.94</v>
      </c>
      <c r="I2621" s="31" t="n">
        <v>0</v>
      </c>
      <c r="J2621" s="31" t="n">
        <v>1887.94</v>
      </c>
      <c r="K2621" s="31" t="n">
        <v>0</v>
      </c>
      <c r="L2621" s="32" t="n">
        <v>2</v>
      </c>
      <c r="M2621" s="32" t="n">
        <v>13</v>
      </c>
      <c r="N2621" s="31" t="n">
        <v>1887.94</v>
      </c>
      <c r="O2621" s="31" t="n">
        <v>1887.94</v>
      </c>
      <c r="P2621" s="22" t="n">
        <v>1</v>
      </c>
      <c r="Q2621" s="22" t="n">
        <v>0</v>
      </c>
      <c r="R2621" s="22" t="n">
        <v>0</v>
      </c>
    </row>
    <row r="2622">
      <c r="A2622" s="22" t="n">
        <v>202007</v>
      </c>
      <c r="B2622" s="22" t="inlineStr">
        <is>
          <t>07/2020</t>
        </is>
      </c>
      <c r="C2622" s="22" t="n">
        <v>21</v>
      </c>
      <c r="D2622" s="22" t="inlineStr">
        <is>
          <t>S21</t>
        </is>
      </c>
      <c r="E2622" s="22" t="inlineStr">
        <is>
          <t>Nexa Freie Hansestadt Bremen (S21)</t>
        </is>
      </c>
      <c r="F2622" s="22" t="inlineStr">
        <is>
          <t>Đức</t>
        </is>
      </c>
      <c r="G2622" s="22" t="inlineStr">
        <is>
          <t>POS</t>
        </is>
      </c>
      <c r="H2622" s="31" t="n">
        <v>8808.540000000001</v>
      </c>
      <c r="I2622" s="31" t="n">
        <v>0</v>
      </c>
      <c r="J2622" s="31" t="n">
        <v>8808.540000000001</v>
      </c>
      <c r="K2622" s="31" t="n">
        <v>0</v>
      </c>
      <c r="L2622" s="32" t="n">
        <v>2</v>
      </c>
      <c r="M2622" s="32" t="n">
        <v>30</v>
      </c>
      <c r="N2622" s="31" t="n">
        <v>8808.540000000001</v>
      </c>
      <c r="O2622" s="31" t="n">
        <v>8808.540000000001</v>
      </c>
      <c r="P2622" s="22" t="n">
        <v>0</v>
      </c>
      <c r="Q2622" s="22" t="n">
        <v>0</v>
      </c>
      <c r="R2622" s="22" t="n">
        <v>0</v>
      </c>
    </row>
    <row r="2623">
      <c r="A2623" s="22" t="n">
        <v>202007</v>
      </c>
      <c r="B2623" s="22" t="inlineStr">
        <is>
          <t>07/2020</t>
        </is>
      </c>
      <c r="C2623" s="22" t="n">
        <v>22</v>
      </c>
      <c r="D2623" s="22" t="inlineStr">
        <is>
          <t>S22</t>
        </is>
      </c>
      <c r="E2623" s="22" t="inlineStr">
        <is>
          <t>Nexa Freistaat Thüringen (S22)</t>
        </is>
      </c>
      <c r="F2623" s="22" t="inlineStr">
        <is>
          <t>Đức</t>
        </is>
      </c>
      <c r="G2623" s="22" t="inlineStr">
        <is>
          <t>POS</t>
        </is>
      </c>
      <c r="H2623" s="31" t="n">
        <v>451.94</v>
      </c>
      <c r="I2623" s="31" t="n">
        <v>0</v>
      </c>
      <c r="J2623" s="31" t="n">
        <v>451.94</v>
      </c>
      <c r="K2623" s="31" t="n">
        <v>0</v>
      </c>
      <c r="L2623" s="32" t="n">
        <v>2</v>
      </c>
      <c r="M2623" s="32" t="n">
        <v>7</v>
      </c>
      <c r="N2623" s="31" t="n">
        <v>3283.87</v>
      </c>
      <c r="O2623" s="31" t="n">
        <v>451.94</v>
      </c>
      <c r="P2623" s="22" t="n">
        <v>1</v>
      </c>
      <c r="Q2623" s="22" t="n">
        <v>0</v>
      </c>
      <c r="R2623" s="22" t="n">
        <v>0</v>
      </c>
    </row>
    <row r="2624">
      <c r="A2624" s="22" t="n">
        <v>202007</v>
      </c>
      <c r="B2624" s="22" t="inlineStr">
        <is>
          <t>07/2020</t>
        </is>
      </c>
      <c r="C2624" s="22" t="n">
        <v>23</v>
      </c>
      <c r="D2624" s="22" t="inlineStr">
        <is>
          <t>S23</t>
        </is>
      </c>
      <c r="E2624" s="22" t="inlineStr">
        <is>
          <t>Nexa Hamburg (S23)</t>
        </is>
      </c>
      <c r="F2624" s="22" t="inlineStr">
        <is>
          <t>Đức</t>
        </is>
      </c>
      <c r="G2624" s="22" t="inlineStr">
        <is>
          <t>POS</t>
        </is>
      </c>
      <c r="H2624" s="31" t="n">
        <v>901.2</v>
      </c>
      <c r="I2624" s="31" t="n">
        <v>0</v>
      </c>
      <c r="J2624" s="31" t="n">
        <v>901.2</v>
      </c>
      <c r="K2624" s="31" t="n">
        <v>0</v>
      </c>
      <c r="L2624" s="32" t="n">
        <v>1</v>
      </c>
      <c r="M2624" s="32" t="n">
        <v>16</v>
      </c>
      <c r="N2624" s="31" t="n">
        <v>901.2</v>
      </c>
      <c r="O2624" s="31" t="n">
        <v>901.2</v>
      </c>
      <c r="P2624" s="22" t="n">
        <v>0</v>
      </c>
      <c r="Q2624" s="22" t="n">
        <v>0</v>
      </c>
      <c r="R2624" s="22" t="n">
        <v>0</v>
      </c>
    </row>
    <row r="2625">
      <c r="A2625" s="22" t="n">
        <v>202007</v>
      </c>
      <c r="B2625" s="22" t="inlineStr">
        <is>
          <t>07/2020</t>
        </is>
      </c>
      <c r="C2625" s="22" t="n">
        <v>24</v>
      </c>
      <c r="D2625" s="22" t="inlineStr">
        <is>
          <t>S24</t>
        </is>
      </c>
      <c r="E2625" s="22" t="inlineStr">
        <is>
          <t>Nexa Hessen (S24)</t>
        </is>
      </c>
      <c r="F2625" s="22" t="inlineStr">
        <is>
          <t>Đức</t>
        </is>
      </c>
      <c r="G2625" s="22" t="inlineStr">
        <is>
          <t>POS</t>
        </is>
      </c>
      <c r="H2625" s="31" t="n">
        <v>8063.51</v>
      </c>
      <c r="I2625" s="31" t="n">
        <v>0</v>
      </c>
      <c r="J2625" s="31" t="n">
        <v>8063.51</v>
      </c>
      <c r="K2625" s="31" t="n">
        <v>0</v>
      </c>
      <c r="L2625" s="32" t="n">
        <v>5</v>
      </c>
      <c r="M2625" s="32" t="n">
        <v>31</v>
      </c>
      <c r="N2625" s="31" t="n">
        <v>8063.51</v>
      </c>
      <c r="O2625" s="31" t="n">
        <v>8063.51</v>
      </c>
      <c r="P2625" s="22" t="n">
        <v>1</v>
      </c>
      <c r="Q2625" s="22" t="n">
        <v>0</v>
      </c>
      <c r="R2625" s="22" t="n">
        <v>0</v>
      </c>
    </row>
    <row r="2626">
      <c r="A2626" s="22" t="n">
        <v>202007</v>
      </c>
      <c r="B2626" s="22" t="inlineStr">
        <is>
          <t>07/2020</t>
        </is>
      </c>
      <c r="C2626" s="22" t="n">
        <v>26</v>
      </c>
      <c r="D2626" s="22" t="inlineStr">
        <is>
          <t>S26</t>
        </is>
      </c>
      <c r="E2626" s="22" t="inlineStr">
        <is>
          <t>Nexa Saarland (S26)</t>
        </is>
      </c>
      <c r="F2626" s="22" t="inlineStr">
        <is>
          <t>Đức</t>
        </is>
      </c>
      <c r="G2626" s="22" t="inlineStr">
        <is>
          <t>POS</t>
        </is>
      </c>
      <c r="H2626" s="31" t="n">
        <v>6805.27</v>
      </c>
      <c r="I2626" s="31" t="n">
        <v>0</v>
      </c>
      <c r="J2626" s="31" t="n">
        <v>6805.27</v>
      </c>
      <c r="K2626" s="31" t="n">
        <v>0</v>
      </c>
      <c r="L2626" s="32" t="n">
        <v>2</v>
      </c>
      <c r="M2626" s="32" t="n">
        <v>37</v>
      </c>
      <c r="N2626" s="31" t="n">
        <v>6805.27</v>
      </c>
      <c r="O2626" s="31" t="n">
        <v>6805.27</v>
      </c>
      <c r="P2626" s="22" t="n">
        <v>0</v>
      </c>
      <c r="Q2626" s="22" t="n">
        <v>0</v>
      </c>
      <c r="R2626" s="22" t="n">
        <v>0</v>
      </c>
    </row>
    <row r="2627">
      <c r="A2627" s="22" t="n">
        <v>202007</v>
      </c>
      <c r="B2627" s="22" t="inlineStr">
        <is>
          <t>07/2020</t>
        </is>
      </c>
      <c r="C2627" s="22" t="n">
        <v>27</v>
      </c>
      <c r="D2627" s="22" t="inlineStr">
        <is>
          <t>S27</t>
        </is>
      </c>
      <c r="E2627" s="22" t="inlineStr">
        <is>
          <t>Nexa Sachsen-Anhalt (S27)</t>
        </is>
      </c>
      <c r="F2627" s="22" t="inlineStr">
        <is>
          <t>Đức</t>
        </is>
      </c>
      <c r="G2627" s="22" t="inlineStr">
        <is>
          <t>POS</t>
        </is>
      </c>
      <c r="H2627" s="31" t="n">
        <v>2945.92</v>
      </c>
      <c r="I2627" s="31" t="n">
        <v>0</v>
      </c>
      <c r="J2627" s="31" t="n">
        <v>2945.92</v>
      </c>
      <c r="K2627" s="31" t="n">
        <v>1396</v>
      </c>
      <c r="L2627" s="32" t="n">
        <v>3</v>
      </c>
      <c r="M2627" s="32" t="n">
        <v>18</v>
      </c>
      <c r="N2627" s="31" t="n">
        <v>1549.92</v>
      </c>
      <c r="O2627" s="31" t="n">
        <v>2945.92</v>
      </c>
      <c r="P2627" s="22" t="n">
        <v>0</v>
      </c>
      <c r="Q2627" s="22" t="n">
        <v>0</v>
      </c>
      <c r="R2627" s="22" t="n">
        <v>0</v>
      </c>
    </row>
    <row r="2628">
      <c r="A2628" s="22" t="n">
        <v>202007</v>
      </c>
      <c r="B2628" s="22" t="inlineStr">
        <is>
          <t>07/2020</t>
        </is>
      </c>
      <c r="C2628" s="22" t="n">
        <v>30</v>
      </c>
      <c r="D2628" s="22" t="inlineStr">
        <is>
          <t>S30</t>
        </is>
      </c>
      <c r="E2628" s="22" t="inlineStr">
        <is>
          <t>Nexa Pesaro (S30)</t>
        </is>
      </c>
      <c r="F2628" s="22" t="inlineStr">
        <is>
          <t>Ý</t>
        </is>
      </c>
      <c r="G2628" s="22" t="inlineStr">
        <is>
          <t>POS</t>
        </is>
      </c>
      <c r="H2628" s="31" t="n">
        <v>12218.25</v>
      </c>
      <c r="I2628" s="31" t="n">
        <v>0</v>
      </c>
      <c r="J2628" s="31" t="n">
        <v>12218.25</v>
      </c>
      <c r="K2628" s="31" t="n">
        <v>0</v>
      </c>
      <c r="L2628" s="32" t="n">
        <v>6</v>
      </c>
      <c r="M2628" s="32" t="n">
        <v>40</v>
      </c>
      <c r="N2628" s="31" t="n">
        <v>12218.25</v>
      </c>
      <c r="O2628" s="31" t="n">
        <v>12218.25</v>
      </c>
      <c r="P2628" s="22" t="n">
        <v>0</v>
      </c>
      <c r="Q2628" s="22" t="n">
        <v>0</v>
      </c>
      <c r="R2628" s="22" t="n">
        <v>0</v>
      </c>
    </row>
    <row r="2629">
      <c r="A2629" s="22" t="n">
        <v>202007</v>
      </c>
      <c r="B2629" s="22" t="inlineStr">
        <is>
          <t>07/2020</t>
        </is>
      </c>
      <c r="C2629" s="22" t="n">
        <v>31</v>
      </c>
      <c r="D2629" s="22" t="inlineStr">
        <is>
          <t>S31</t>
        </is>
      </c>
      <c r="E2629" s="22" t="inlineStr">
        <is>
          <t>Nexa Drenthe (S31)</t>
        </is>
      </c>
      <c r="F2629" s="22" t="inlineStr">
        <is>
          <t>Hà Lan</t>
        </is>
      </c>
      <c r="G2629" s="22" t="inlineStr">
        <is>
          <t>POS</t>
        </is>
      </c>
      <c r="H2629" s="31" t="n">
        <v>1808.39</v>
      </c>
      <c r="I2629" s="31" t="n">
        <v>0</v>
      </c>
      <c r="J2629" s="31" t="n">
        <v>1808.39</v>
      </c>
      <c r="K2629" s="31" t="n">
        <v>0</v>
      </c>
      <c r="L2629" s="32" t="n">
        <v>3</v>
      </c>
      <c r="M2629" s="32" t="n">
        <v>23</v>
      </c>
      <c r="N2629" s="31" t="n">
        <v>1808.39</v>
      </c>
      <c r="O2629" s="31" t="n">
        <v>1808.39</v>
      </c>
      <c r="P2629" s="22" t="n">
        <v>0</v>
      </c>
      <c r="Q2629" s="22" t="n">
        <v>0</v>
      </c>
      <c r="R2629" s="22" t="n">
        <v>0</v>
      </c>
    </row>
    <row r="2630">
      <c r="A2630" s="22" t="n">
        <v>202007</v>
      </c>
      <c r="B2630" s="22" t="inlineStr">
        <is>
          <t>07/2020</t>
        </is>
      </c>
      <c r="C2630" s="22" t="n">
        <v>32</v>
      </c>
      <c r="D2630" s="22" t="inlineStr">
        <is>
          <t>S32</t>
        </is>
      </c>
      <c r="E2630" s="22" t="inlineStr">
        <is>
          <t>Nexa Flevoland (S32)</t>
        </is>
      </c>
      <c r="F2630" s="22" t="inlineStr">
        <is>
          <t>Hà Lan</t>
        </is>
      </c>
      <c r="G2630" s="22" t="inlineStr">
        <is>
          <t>POS</t>
        </is>
      </c>
      <c r="H2630" s="31" t="n">
        <v>6552.49</v>
      </c>
      <c r="I2630" s="31" t="n">
        <v>0</v>
      </c>
      <c r="J2630" s="31" t="n">
        <v>6552.49</v>
      </c>
      <c r="K2630" s="31" t="n">
        <v>0</v>
      </c>
      <c r="L2630" s="32" t="n">
        <v>4</v>
      </c>
      <c r="M2630" s="32" t="n">
        <v>21</v>
      </c>
      <c r="N2630" s="31" t="n">
        <v>6552.49</v>
      </c>
      <c r="O2630" s="31" t="n">
        <v>6552.49</v>
      </c>
      <c r="P2630" s="22" t="n">
        <v>0</v>
      </c>
      <c r="Q2630" s="22" t="n">
        <v>0</v>
      </c>
      <c r="R2630" s="22" t="n">
        <v>0</v>
      </c>
    </row>
    <row r="2631">
      <c r="A2631" s="22" t="n">
        <v>202007</v>
      </c>
      <c r="B2631" s="22" t="inlineStr">
        <is>
          <t>07/2020</t>
        </is>
      </c>
      <c r="C2631" s="22" t="n">
        <v>33</v>
      </c>
      <c r="D2631" s="22" t="inlineStr">
        <is>
          <t>S33</t>
        </is>
      </c>
      <c r="E2631" s="22" t="inlineStr">
        <is>
          <t>Nexa Friesland (S33)</t>
        </is>
      </c>
      <c r="F2631" s="22" t="inlineStr">
        <is>
          <t>Hà Lan</t>
        </is>
      </c>
      <c r="G2631" s="22" t="inlineStr">
        <is>
          <t>POS</t>
        </is>
      </c>
      <c r="H2631" s="31" t="n">
        <v>5131.03</v>
      </c>
      <c r="I2631" s="31" t="n">
        <v>0</v>
      </c>
      <c r="J2631" s="31" t="n">
        <v>5131.03</v>
      </c>
      <c r="K2631" s="31" t="n">
        <v>0</v>
      </c>
      <c r="L2631" s="32" t="n">
        <v>1</v>
      </c>
      <c r="M2631" s="32" t="n">
        <v>27</v>
      </c>
      <c r="N2631" s="31" t="n">
        <v>5131.03</v>
      </c>
      <c r="O2631" s="31" t="n">
        <v>5131.03</v>
      </c>
      <c r="P2631" s="22" t="n">
        <v>0</v>
      </c>
      <c r="Q2631" s="22" t="n">
        <v>0</v>
      </c>
      <c r="R2631" s="22" t="n">
        <v>0</v>
      </c>
    </row>
    <row r="2632">
      <c r="A2632" s="22" t="n">
        <v>202007</v>
      </c>
      <c r="B2632" s="22" t="inlineStr">
        <is>
          <t>07/2020</t>
        </is>
      </c>
      <c r="C2632" s="22" t="n">
        <v>34</v>
      </c>
      <c r="D2632" s="22" t="inlineStr">
        <is>
          <t>S34</t>
        </is>
      </c>
      <c r="E2632" s="22" t="inlineStr">
        <is>
          <t>Nexa Groningen (S34)</t>
        </is>
      </c>
      <c r="F2632" s="22" t="inlineStr">
        <is>
          <t>Hà Lan</t>
        </is>
      </c>
      <c r="G2632" s="22" t="inlineStr">
        <is>
          <t>POS</t>
        </is>
      </c>
      <c r="H2632" s="31" t="n">
        <v>7107</v>
      </c>
      <c r="I2632" s="31" t="n">
        <v>0</v>
      </c>
      <c r="J2632" s="31" t="n">
        <v>7107</v>
      </c>
      <c r="K2632" s="31" t="n">
        <v>0</v>
      </c>
      <c r="L2632" s="32" t="n">
        <v>2</v>
      </c>
      <c r="M2632" s="32" t="n">
        <v>31</v>
      </c>
      <c r="N2632" s="31" t="n">
        <v>7107</v>
      </c>
      <c r="O2632" s="31" t="n">
        <v>7107</v>
      </c>
      <c r="P2632" s="22" t="n">
        <v>0</v>
      </c>
      <c r="Q2632" s="22" t="n">
        <v>0</v>
      </c>
      <c r="R2632" s="22" t="n">
        <v>0</v>
      </c>
    </row>
    <row r="2633">
      <c r="A2633" s="22" t="n">
        <v>202007</v>
      </c>
      <c r="B2633" s="22" t="inlineStr">
        <is>
          <t>07/2020</t>
        </is>
      </c>
      <c r="C2633" s="22" t="n">
        <v>36</v>
      </c>
      <c r="D2633" s="22" t="inlineStr">
        <is>
          <t>S36</t>
        </is>
      </c>
      <c r="E2633" s="22" t="inlineStr">
        <is>
          <t>Nexa Armagh (S36)</t>
        </is>
      </c>
      <c r="F2633" s="22" t="inlineStr">
        <is>
          <t>Anh</t>
        </is>
      </c>
      <c r="G2633" s="22" t="inlineStr">
        <is>
          <t>POS</t>
        </is>
      </c>
      <c r="H2633" s="31" t="n">
        <v>9528.33</v>
      </c>
      <c r="I2633" s="31" t="n">
        <v>0</v>
      </c>
      <c r="J2633" s="31" t="n">
        <v>9528.33</v>
      </c>
      <c r="K2633" s="31" t="n">
        <v>999.5</v>
      </c>
      <c r="L2633" s="32" t="n">
        <v>4</v>
      </c>
      <c r="M2633" s="32" t="n">
        <v>37</v>
      </c>
      <c r="N2633" s="31" t="n">
        <v>8528.83</v>
      </c>
      <c r="O2633" s="31" t="n">
        <v>9528.33</v>
      </c>
      <c r="P2633" s="22" t="n">
        <v>0</v>
      </c>
      <c r="Q2633" s="22" t="n">
        <v>0</v>
      </c>
      <c r="R2633" s="22" t="n">
        <v>0</v>
      </c>
    </row>
    <row r="2634">
      <c r="A2634" s="22" t="n">
        <v>202007</v>
      </c>
      <c r="B2634" s="22" t="inlineStr">
        <is>
          <t>07/2020</t>
        </is>
      </c>
      <c r="C2634" s="22" t="n">
        <v>37</v>
      </c>
      <c r="D2634" s="22" t="inlineStr">
        <is>
          <t>S37</t>
        </is>
      </c>
      <c r="E2634" s="22" t="inlineStr">
        <is>
          <t>Nexa Ayrshire (S37)</t>
        </is>
      </c>
      <c r="F2634" s="22" t="inlineStr">
        <is>
          <t>Anh</t>
        </is>
      </c>
      <c r="G2634" s="22" t="inlineStr">
        <is>
          <t>POS</t>
        </is>
      </c>
      <c r="H2634" s="31" t="n">
        <v>234.98</v>
      </c>
      <c r="I2634" s="31" t="n">
        <v>0</v>
      </c>
      <c r="J2634" s="31" t="n">
        <v>234.98</v>
      </c>
      <c r="K2634" s="31" t="n">
        <v>0</v>
      </c>
      <c r="L2634" s="32" t="n">
        <v>2</v>
      </c>
      <c r="M2634" s="32" t="n">
        <v>3</v>
      </c>
      <c r="N2634" s="31" t="n">
        <v>234.98</v>
      </c>
      <c r="O2634" s="31" t="n">
        <v>234.98</v>
      </c>
      <c r="P2634" s="22" t="n">
        <v>0</v>
      </c>
      <c r="Q2634" s="22" t="n">
        <v>0</v>
      </c>
      <c r="R2634" s="22" t="n">
        <v>0</v>
      </c>
    </row>
    <row r="2635">
      <c r="A2635" s="22" t="n">
        <v>202007</v>
      </c>
      <c r="B2635" s="22" t="inlineStr">
        <is>
          <t>07/2020</t>
        </is>
      </c>
      <c r="C2635" s="22" t="n">
        <v>38</v>
      </c>
      <c r="D2635" s="22" t="inlineStr">
        <is>
          <t>S38</t>
        </is>
      </c>
      <c r="E2635" s="22" t="inlineStr">
        <is>
          <t>Nexa Belfast (S38)</t>
        </is>
      </c>
      <c r="F2635" s="22" t="inlineStr">
        <is>
          <t>Anh</t>
        </is>
      </c>
      <c r="G2635" s="22" t="inlineStr">
        <is>
          <t>POS</t>
        </is>
      </c>
      <c r="H2635" s="31" t="n">
        <v>2184.83</v>
      </c>
      <c r="I2635" s="31" t="n">
        <v>0</v>
      </c>
      <c r="J2635" s="31" t="n">
        <v>2184.83</v>
      </c>
      <c r="K2635" s="31" t="n">
        <v>13.5</v>
      </c>
      <c r="L2635" s="32" t="n">
        <v>4</v>
      </c>
      <c r="M2635" s="32" t="n">
        <v>12</v>
      </c>
      <c r="N2635" s="31" t="n">
        <v>2171.33</v>
      </c>
      <c r="O2635" s="31" t="n">
        <v>2184.83</v>
      </c>
      <c r="P2635" s="22" t="n">
        <v>0</v>
      </c>
      <c r="Q2635" s="22" t="n">
        <v>0</v>
      </c>
      <c r="R2635" s="22" t="n">
        <v>0</v>
      </c>
    </row>
    <row r="2636">
      <c r="A2636" s="22" t="n">
        <v>202007</v>
      </c>
      <c r="B2636" s="22" t="inlineStr">
        <is>
          <t>07/2020</t>
        </is>
      </c>
      <c r="C2636" s="22" t="n">
        <v>39</v>
      </c>
      <c r="D2636" s="22" t="inlineStr">
        <is>
          <t>S39</t>
        </is>
      </c>
      <c r="E2636" s="22" t="inlineStr">
        <is>
          <t>Nexa Blaenau Gwent (S39)</t>
        </is>
      </c>
      <c r="F2636" s="22" t="inlineStr">
        <is>
          <t>Anh</t>
        </is>
      </c>
      <c r="G2636" s="22" t="inlineStr">
        <is>
          <t>POS</t>
        </is>
      </c>
      <c r="H2636" s="31" t="n">
        <v>6725.53</v>
      </c>
      <c r="I2636" s="31" t="n">
        <v>0</v>
      </c>
      <c r="J2636" s="31" t="n">
        <v>6725.53</v>
      </c>
      <c r="K2636" s="31" t="n">
        <v>0</v>
      </c>
      <c r="L2636" s="32" t="n">
        <v>4</v>
      </c>
      <c r="M2636" s="32" t="n">
        <v>24</v>
      </c>
      <c r="N2636" s="31" t="n">
        <v>6725.53</v>
      </c>
      <c r="O2636" s="31" t="n">
        <v>6725.53</v>
      </c>
      <c r="P2636" s="22" t="n">
        <v>0</v>
      </c>
      <c r="Q2636" s="22" t="n">
        <v>0</v>
      </c>
      <c r="R2636" s="22" t="n">
        <v>0</v>
      </c>
    </row>
    <row r="2637">
      <c r="A2637" s="22" t="n">
        <v>202007</v>
      </c>
      <c r="B2637" s="22" t="inlineStr">
        <is>
          <t>07/2020</t>
        </is>
      </c>
      <c r="C2637" s="22" t="n">
        <v>42</v>
      </c>
      <c r="D2637" s="22" t="inlineStr">
        <is>
          <t>S42</t>
        </is>
      </c>
      <c r="E2637" s="22" t="inlineStr">
        <is>
          <t>Nexa North Down (S42)</t>
        </is>
      </c>
      <c r="F2637" s="22" t="inlineStr">
        <is>
          <t>Anh</t>
        </is>
      </c>
      <c r="G2637" s="22" t="inlineStr">
        <is>
          <t>POS</t>
        </is>
      </c>
      <c r="H2637" s="31" t="n">
        <v>1370</v>
      </c>
      <c r="I2637" s="31" t="n">
        <v>0</v>
      </c>
      <c r="J2637" s="31" t="n">
        <v>1370</v>
      </c>
      <c r="K2637" s="31" t="n">
        <v>0</v>
      </c>
      <c r="L2637" s="32" t="n">
        <v>2</v>
      </c>
      <c r="M2637" s="32" t="n">
        <v>6</v>
      </c>
      <c r="N2637" s="31" t="n">
        <v>1370</v>
      </c>
      <c r="O2637" s="31" t="n">
        <v>1370</v>
      </c>
      <c r="P2637" s="22" t="n">
        <v>1</v>
      </c>
      <c r="Q2637" s="22" t="n">
        <v>0</v>
      </c>
      <c r="R2637" s="22" t="n">
        <v>0</v>
      </c>
    </row>
    <row r="2638">
      <c r="A2638" s="22" t="n">
        <v>202007</v>
      </c>
      <c r="B2638" s="22" t="inlineStr">
        <is>
          <t>07/2020</t>
        </is>
      </c>
      <c r="C2638" s="22" t="n">
        <v>43</v>
      </c>
      <c r="D2638" s="22" t="inlineStr">
        <is>
          <t>S43</t>
        </is>
      </c>
      <c r="E2638" s="22" t="inlineStr">
        <is>
          <t>Nexa Alaska (S43)</t>
        </is>
      </c>
      <c r="F2638" s="22" t="inlineStr">
        <is>
          <t>Mỹ</t>
        </is>
      </c>
      <c r="G2638" s="22" t="inlineStr">
        <is>
          <t>POS</t>
        </is>
      </c>
      <c r="H2638" s="31" t="n">
        <v>15209.8</v>
      </c>
      <c r="I2638" s="31" t="n">
        <v>0</v>
      </c>
      <c r="J2638" s="31" t="n">
        <v>15209.8</v>
      </c>
      <c r="K2638" s="31" t="n">
        <v>0</v>
      </c>
      <c r="L2638" s="32" t="n">
        <v>5</v>
      </c>
      <c r="M2638" s="32" t="n">
        <v>27</v>
      </c>
      <c r="N2638" s="31" t="n">
        <v>15209.8</v>
      </c>
      <c r="O2638" s="31" t="n">
        <v>15209.8</v>
      </c>
      <c r="P2638" s="22" t="n">
        <v>0</v>
      </c>
      <c r="Q2638" s="22" t="n">
        <v>0</v>
      </c>
      <c r="R2638" s="22" t="n">
        <v>0</v>
      </c>
    </row>
    <row r="2639">
      <c r="A2639" s="22" t="n">
        <v>202007</v>
      </c>
      <c r="B2639" s="22" t="inlineStr">
        <is>
          <t>07/2020</t>
        </is>
      </c>
      <c r="C2639" s="22" t="n">
        <v>44</v>
      </c>
      <c r="D2639" s="22" t="inlineStr">
        <is>
          <t>S44</t>
        </is>
      </c>
      <c r="E2639" s="22" t="inlineStr">
        <is>
          <t>Nexa Arkansas (S44)</t>
        </is>
      </c>
      <c r="F2639" s="22" t="inlineStr">
        <is>
          <t>Mỹ</t>
        </is>
      </c>
      <c r="G2639" s="22" t="inlineStr">
        <is>
          <t>POS</t>
        </is>
      </c>
      <c r="H2639" s="31" t="n">
        <v>2361.29</v>
      </c>
      <c r="I2639" s="31" t="n">
        <v>0</v>
      </c>
      <c r="J2639" s="31" t="n">
        <v>2361.29</v>
      </c>
      <c r="K2639" s="31" t="n">
        <v>289.99</v>
      </c>
      <c r="L2639" s="32" t="n">
        <v>2</v>
      </c>
      <c r="M2639" s="32" t="n">
        <v>23</v>
      </c>
      <c r="N2639" s="31" t="n">
        <v>2071.3</v>
      </c>
      <c r="O2639" s="31" t="n">
        <v>2361.29</v>
      </c>
      <c r="P2639" s="22" t="n">
        <v>0</v>
      </c>
      <c r="Q2639" s="22" t="n">
        <v>0</v>
      </c>
      <c r="R2639" s="22" t="n">
        <v>0</v>
      </c>
    </row>
    <row r="2640">
      <c r="A2640" s="22" t="n">
        <v>202007</v>
      </c>
      <c r="B2640" s="22" t="inlineStr">
        <is>
          <t>07/2020</t>
        </is>
      </c>
      <c r="C2640" s="22" t="n">
        <v>45</v>
      </c>
      <c r="D2640" s="22" t="inlineStr">
        <is>
          <t>S45</t>
        </is>
      </c>
      <c r="E2640" s="22" t="inlineStr">
        <is>
          <t>Nexa Connecticut (S45)</t>
        </is>
      </c>
      <c r="F2640" s="22" t="inlineStr">
        <is>
          <t>Mỹ</t>
        </is>
      </c>
      <c r="G2640" s="22" t="inlineStr">
        <is>
          <t>POS</t>
        </is>
      </c>
      <c r="H2640" s="31" t="n">
        <v>19692</v>
      </c>
      <c r="I2640" s="31" t="n">
        <v>0</v>
      </c>
      <c r="J2640" s="31" t="n">
        <v>19692</v>
      </c>
      <c r="K2640" s="31" t="n">
        <v>95</v>
      </c>
      <c r="L2640" s="32" t="n">
        <v>8</v>
      </c>
      <c r="M2640" s="32" t="n">
        <v>75</v>
      </c>
      <c r="N2640" s="31" t="n">
        <v>19597</v>
      </c>
      <c r="O2640" s="31" t="n">
        <v>19692</v>
      </c>
      <c r="P2640" s="22" t="n">
        <v>0</v>
      </c>
      <c r="Q2640" s="22" t="n">
        <v>0</v>
      </c>
      <c r="R2640" s="22" t="n">
        <v>0</v>
      </c>
    </row>
    <row r="2641">
      <c r="A2641" s="22" t="n">
        <v>202007</v>
      </c>
      <c r="B2641" s="22" t="inlineStr">
        <is>
          <t>07/2020</t>
        </is>
      </c>
      <c r="C2641" s="22" t="n">
        <v>47</v>
      </c>
      <c r="D2641" s="22" t="inlineStr">
        <is>
          <t>S47</t>
        </is>
      </c>
      <c r="E2641" s="22" t="inlineStr">
        <is>
          <t>Nexa Hawaii (S47)</t>
        </is>
      </c>
      <c r="F2641" s="22" t="inlineStr">
        <is>
          <t>Mỹ</t>
        </is>
      </c>
      <c r="G2641" s="22" t="inlineStr">
        <is>
          <t>POS</t>
        </is>
      </c>
      <c r="H2641" s="31" t="n">
        <v>11811.9</v>
      </c>
      <c r="I2641" s="31" t="n">
        <v>0</v>
      </c>
      <c r="J2641" s="31" t="n">
        <v>11811.9</v>
      </c>
      <c r="K2641" s="31" t="n">
        <v>1869.96</v>
      </c>
      <c r="L2641" s="32" t="n">
        <v>8</v>
      </c>
      <c r="M2641" s="32" t="n">
        <v>76</v>
      </c>
      <c r="N2641" s="31" t="n">
        <v>9941.940000000001</v>
      </c>
      <c r="O2641" s="31" t="n">
        <v>11811.9</v>
      </c>
      <c r="P2641" s="22" t="n">
        <v>0</v>
      </c>
      <c r="Q2641" s="22" t="n">
        <v>0</v>
      </c>
      <c r="R2641" s="22" t="n">
        <v>0</v>
      </c>
    </row>
    <row r="2642">
      <c r="A2642" s="22" t="n">
        <v>202007</v>
      </c>
      <c r="B2642" s="22" t="inlineStr">
        <is>
          <t>07/2020</t>
        </is>
      </c>
      <c r="C2642" s="22" t="n">
        <v>48</v>
      </c>
      <c r="D2642" s="22" t="inlineStr">
        <is>
          <t>S48</t>
        </is>
      </c>
      <c r="E2642" s="22" t="inlineStr">
        <is>
          <t>Nexa Idaho (S48)</t>
        </is>
      </c>
      <c r="F2642" s="22" t="inlineStr">
        <is>
          <t>Mỹ</t>
        </is>
      </c>
      <c r="G2642" s="22" t="inlineStr">
        <is>
          <t>POS</t>
        </is>
      </c>
      <c r="H2642" s="31" t="n">
        <v>7145.54</v>
      </c>
      <c r="I2642" s="31" t="n">
        <v>0</v>
      </c>
      <c r="J2642" s="31" t="n">
        <v>7145.54</v>
      </c>
      <c r="K2642" s="31" t="n">
        <v>804</v>
      </c>
      <c r="L2642" s="32" t="n">
        <v>2</v>
      </c>
      <c r="M2642" s="32" t="n">
        <v>11</v>
      </c>
      <c r="N2642" s="31" t="n">
        <v>6341.54</v>
      </c>
      <c r="O2642" s="31" t="n">
        <v>7145.54</v>
      </c>
      <c r="P2642" s="22" t="n">
        <v>0</v>
      </c>
      <c r="Q2642" s="22" t="n">
        <v>0</v>
      </c>
      <c r="R2642" s="22" t="n">
        <v>0</v>
      </c>
    </row>
    <row r="2643">
      <c r="A2643" s="22" t="n">
        <v>202007</v>
      </c>
      <c r="B2643" s="22" t="inlineStr">
        <is>
          <t>07/2020</t>
        </is>
      </c>
      <c r="C2643" s="22" t="n">
        <v>49</v>
      </c>
      <c r="D2643" s="22" t="inlineStr">
        <is>
          <t>S49</t>
        </is>
      </c>
      <c r="E2643" s="22" t="inlineStr">
        <is>
          <t>Nexa Iowa (S49)</t>
        </is>
      </c>
      <c r="F2643" s="22" t="inlineStr">
        <is>
          <t>Mỹ</t>
        </is>
      </c>
      <c r="G2643" s="22" t="inlineStr">
        <is>
          <t>POS</t>
        </is>
      </c>
      <c r="H2643" s="31" t="n">
        <v>13397.67</v>
      </c>
      <c r="I2643" s="31" t="n">
        <v>0</v>
      </c>
      <c r="J2643" s="31" t="n">
        <v>13397.67</v>
      </c>
      <c r="K2643" s="31" t="n">
        <v>0</v>
      </c>
      <c r="L2643" s="32" t="n">
        <v>6</v>
      </c>
      <c r="M2643" s="32" t="n">
        <v>56</v>
      </c>
      <c r="N2643" s="31" t="n">
        <v>13397.67</v>
      </c>
      <c r="O2643" s="31" t="n">
        <v>13397.67</v>
      </c>
      <c r="P2643" s="22" t="n">
        <v>0</v>
      </c>
      <c r="Q2643" s="22" t="n">
        <v>0</v>
      </c>
      <c r="R2643" s="22" t="n">
        <v>0</v>
      </c>
    </row>
    <row r="2644">
      <c r="A2644" s="22" t="n">
        <v>202007</v>
      </c>
      <c r="B2644" s="22" t="inlineStr">
        <is>
          <t>07/2020</t>
        </is>
      </c>
      <c r="C2644" s="22" t="n">
        <v>50</v>
      </c>
      <c r="D2644" s="22" t="inlineStr">
        <is>
          <t>S50</t>
        </is>
      </c>
      <c r="E2644" s="22" t="inlineStr">
        <is>
          <t>Nexa Kansas (S50)</t>
        </is>
      </c>
      <c r="F2644" s="22" t="inlineStr">
        <is>
          <t>Mỹ</t>
        </is>
      </c>
      <c r="G2644" s="22" t="inlineStr">
        <is>
          <t>POS</t>
        </is>
      </c>
      <c r="H2644" s="31" t="n">
        <v>30412.44</v>
      </c>
      <c r="I2644" s="31" t="n">
        <v>0</v>
      </c>
      <c r="J2644" s="31" t="n">
        <v>30412.44</v>
      </c>
      <c r="K2644" s="31" t="n">
        <v>580.35</v>
      </c>
      <c r="L2644" s="32" t="n">
        <v>9</v>
      </c>
      <c r="M2644" s="32" t="n">
        <v>81</v>
      </c>
      <c r="N2644" s="31" t="n">
        <v>29832.09</v>
      </c>
      <c r="O2644" s="31" t="n">
        <v>30412.44</v>
      </c>
      <c r="P2644" s="22" t="n">
        <v>1</v>
      </c>
      <c r="Q2644" s="22" t="n">
        <v>0</v>
      </c>
      <c r="R2644" s="22" t="n">
        <v>0</v>
      </c>
    </row>
    <row r="2645">
      <c r="A2645" s="22" t="n">
        <v>202007</v>
      </c>
      <c r="B2645" s="22" t="inlineStr">
        <is>
          <t>07/2020</t>
        </is>
      </c>
      <c r="C2645" s="22" t="n">
        <v>51</v>
      </c>
      <c r="D2645" s="22" t="inlineStr">
        <is>
          <t>S51</t>
        </is>
      </c>
      <c r="E2645" s="22" t="inlineStr">
        <is>
          <t>Nexa Maine (S51)</t>
        </is>
      </c>
      <c r="F2645" s="22" t="inlineStr">
        <is>
          <t>Mỹ</t>
        </is>
      </c>
      <c r="G2645" s="22" t="inlineStr">
        <is>
          <t>POS</t>
        </is>
      </c>
      <c r="H2645" s="31" t="n">
        <v>16157.82</v>
      </c>
      <c r="I2645" s="31" t="n">
        <v>0</v>
      </c>
      <c r="J2645" s="31" t="n">
        <v>16157.82</v>
      </c>
      <c r="K2645" s="31" t="n">
        <v>793.6</v>
      </c>
      <c r="L2645" s="32" t="n">
        <v>7</v>
      </c>
      <c r="M2645" s="32" t="n">
        <v>67</v>
      </c>
      <c r="N2645" s="31" t="n">
        <v>15364.22</v>
      </c>
      <c r="O2645" s="31" t="n">
        <v>16157.82</v>
      </c>
      <c r="P2645" s="22" t="n">
        <v>0</v>
      </c>
      <c r="Q2645" s="22" t="n">
        <v>0</v>
      </c>
      <c r="R2645" s="22" t="n">
        <v>0</v>
      </c>
    </row>
    <row r="2646">
      <c r="A2646" s="22" t="n">
        <v>202007</v>
      </c>
      <c r="B2646" s="22" t="inlineStr">
        <is>
          <t>07/2020</t>
        </is>
      </c>
      <c r="C2646" s="22" t="n">
        <v>53</v>
      </c>
      <c r="D2646" s="22" t="inlineStr">
        <is>
          <t>S53</t>
        </is>
      </c>
      <c r="E2646" s="22" t="inlineStr">
        <is>
          <t>Nexa Montana (S53)</t>
        </is>
      </c>
      <c r="F2646" s="22" t="inlineStr">
        <is>
          <t>Mỹ</t>
        </is>
      </c>
      <c r="G2646" s="22" t="inlineStr">
        <is>
          <t>POS</t>
        </is>
      </c>
      <c r="H2646" s="31" t="n">
        <v>5960.82</v>
      </c>
      <c r="I2646" s="31" t="n">
        <v>0</v>
      </c>
      <c r="J2646" s="31" t="n">
        <v>5960.82</v>
      </c>
      <c r="K2646" s="31" t="n">
        <v>0</v>
      </c>
      <c r="L2646" s="32" t="n">
        <v>5</v>
      </c>
      <c r="M2646" s="32" t="n">
        <v>24</v>
      </c>
      <c r="N2646" s="31" t="n">
        <v>5960.82</v>
      </c>
      <c r="O2646" s="31" t="n">
        <v>5960.82</v>
      </c>
      <c r="P2646" s="22" t="n">
        <v>0</v>
      </c>
      <c r="Q2646" s="22" t="n">
        <v>0</v>
      </c>
      <c r="R2646" s="22" t="n">
        <v>0</v>
      </c>
    </row>
    <row r="2647">
      <c r="A2647" s="22" t="n">
        <v>202007</v>
      </c>
      <c r="B2647" s="22" t="inlineStr">
        <is>
          <t>07/2020</t>
        </is>
      </c>
      <c r="C2647" s="22" t="n">
        <v>54</v>
      </c>
      <c r="D2647" s="22" t="inlineStr">
        <is>
          <t>S54</t>
        </is>
      </c>
      <c r="E2647" s="22" t="inlineStr">
        <is>
          <t>Nexa Nebraska (S54)</t>
        </is>
      </c>
      <c r="F2647" s="22" t="inlineStr">
        <is>
          <t>Mỹ</t>
        </is>
      </c>
      <c r="G2647" s="22" t="inlineStr">
        <is>
          <t>POS</t>
        </is>
      </c>
      <c r="H2647" s="31" t="n">
        <v>33983.12</v>
      </c>
      <c r="I2647" s="31" t="n">
        <v>0</v>
      </c>
      <c r="J2647" s="31" t="n">
        <v>33983.12</v>
      </c>
      <c r="K2647" s="31" t="n">
        <v>2494.98</v>
      </c>
      <c r="L2647" s="32" t="n">
        <v>3</v>
      </c>
      <c r="M2647" s="32" t="n">
        <v>42</v>
      </c>
      <c r="N2647" s="31" t="n">
        <v>31488.14</v>
      </c>
      <c r="O2647" s="31" t="n">
        <v>33983.12</v>
      </c>
      <c r="P2647" s="22" t="n">
        <v>0</v>
      </c>
      <c r="Q2647" s="22" t="n">
        <v>0</v>
      </c>
      <c r="R2647" s="22" t="n">
        <v>0</v>
      </c>
    </row>
    <row r="2648">
      <c r="A2648" s="22" t="n">
        <v>202007</v>
      </c>
      <c r="B2648" s="22" t="inlineStr">
        <is>
          <t>07/2020</t>
        </is>
      </c>
      <c r="C2648" s="22" t="n">
        <v>55</v>
      </c>
      <c r="D2648" s="22" t="inlineStr">
        <is>
          <t>S55</t>
        </is>
      </c>
      <c r="E2648" s="22" t="inlineStr">
        <is>
          <t>Nexa Nevada (S55)</t>
        </is>
      </c>
      <c r="F2648" s="22" t="inlineStr">
        <is>
          <t>Mỹ</t>
        </is>
      </c>
      <c r="G2648" s="22" t="inlineStr">
        <is>
          <t>POS</t>
        </is>
      </c>
      <c r="H2648" s="31" t="n">
        <v>2233.64</v>
      </c>
      <c r="I2648" s="31" t="n">
        <v>0</v>
      </c>
      <c r="J2648" s="31" t="n">
        <v>2233.64</v>
      </c>
      <c r="K2648" s="31" t="n">
        <v>0</v>
      </c>
      <c r="L2648" s="32" t="n">
        <v>3</v>
      </c>
      <c r="M2648" s="32" t="n">
        <v>19</v>
      </c>
      <c r="N2648" s="31" t="n">
        <v>2233.64</v>
      </c>
      <c r="O2648" s="31" t="n">
        <v>2233.64</v>
      </c>
      <c r="P2648" s="22" t="n">
        <v>0</v>
      </c>
      <c r="Q2648" s="22" t="n">
        <v>0</v>
      </c>
      <c r="R2648" s="22" t="n">
        <v>0</v>
      </c>
    </row>
    <row r="2649">
      <c r="A2649" s="22" t="n">
        <v>202007</v>
      </c>
      <c r="B2649" s="22" t="inlineStr">
        <is>
          <t>07/2020</t>
        </is>
      </c>
      <c r="C2649" s="22" t="n">
        <v>56</v>
      </c>
      <c r="D2649" s="22" t="inlineStr">
        <is>
          <t>S56</t>
        </is>
      </c>
      <c r="E2649" s="22" t="inlineStr">
        <is>
          <t>Nexa New Hampshire (S56)</t>
        </is>
      </c>
      <c r="F2649" s="22" t="inlineStr">
        <is>
          <t>Mỹ</t>
        </is>
      </c>
      <c r="G2649" s="22" t="inlineStr">
        <is>
          <t>POS</t>
        </is>
      </c>
      <c r="H2649" s="31" t="n">
        <v>6028.87</v>
      </c>
      <c r="I2649" s="31" t="n">
        <v>0</v>
      </c>
      <c r="J2649" s="31" t="n">
        <v>6028.87</v>
      </c>
      <c r="K2649" s="31" t="n">
        <v>89.48999999999999</v>
      </c>
      <c r="L2649" s="32" t="n">
        <v>5</v>
      </c>
      <c r="M2649" s="32" t="n">
        <v>35</v>
      </c>
      <c r="N2649" s="31" t="n">
        <v>5939.38</v>
      </c>
      <c r="O2649" s="31" t="n">
        <v>6028.87</v>
      </c>
      <c r="P2649" s="22" t="n">
        <v>0</v>
      </c>
      <c r="Q2649" s="22" t="n">
        <v>0</v>
      </c>
      <c r="R2649" s="22" t="n">
        <v>0</v>
      </c>
    </row>
    <row r="2650">
      <c r="A2650" s="22" t="n">
        <v>202007</v>
      </c>
      <c r="B2650" s="22" t="inlineStr">
        <is>
          <t>07/2020</t>
        </is>
      </c>
      <c r="C2650" s="22" t="n">
        <v>57</v>
      </c>
      <c r="D2650" s="22" t="inlineStr">
        <is>
          <t>S57</t>
        </is>
      </c>
      <c r="E2650" s="22" t="inlineStr">
        <is>
          <t>Nexa New Mexico (S57)</t>
        </is>
      </c>
      <c r="F2650" s="22" t="inlineStr">
        <is>
          <t>Mỹ</t>
        </is>
      </c>
      <c r="G2650" s="22" t="inlineStr">
        <is>
          <t>POS</t>
        </is>
      </c>
      <c r="H2650" s="31" t="n">
        <v>15880.79</v>
      </c>
      <c r="I2650" s="31" t="n">
        <v>0</v>
      </c>
      <c r="J2650" s="31" t="n">
        <v>15880.79</v>
      </c>
      <c r="K2650" s="31" t="n">
        <v>0</v>
      </c>
      <c r="L2650" s="32" t="n">
        <v>10</v>
      </c>
      <c r="M2650" s="32" t="n">
        <v>63</v>
      </c>
      <c r="N2650" s="31" t="n">
        <v>15880.79</v>
      </c>
      <c r="O2650" s="31" t="n">
        <v>15880.79</v>
      </c>
      <c r="P2650" s="22" t="n">
        <v>1</v>
      </c>
      <c r="Q2650" s="22" t="n">
        <v>0</v>
      </c>
      <c r="R2650" s="22" t="n">
        <v>0</v>
      </c>
    </row>
    <row r="2651">
      <c r="A2651" s="22" t="n">
        <v>202007</v>
      </c>
      <c r="B2651" s="22" t="inlineStr">
        <is>
          <t>07/2020</t>
        </is>
      </c>
      <c r="C2651" s="22" t="n">
        <v>59</v>
      </c>
      <c r="D2651" s="22" t="inlineStr">
        <is>
          <t>S59</t>
        </is>
      </c>
      <c r="E2651" s="22" t="inlineStr">
        <is>
          <t>Nexa Oregon (S59)</t>
        </is>
      </c>
      <c r="F2651" s="22" t="inlineStr">
        <is>
          <t>Mỹ</t>
        </is>
      </c>
      <c r="G2651" s="22" t="inlineStr">
        <is>
          <t>POS</t>
        </is>
      </c>
      <c r="H2651" s="31" t="n">
        <v>13051.64</v>
      </c>
      <c r="I2651" s="31" t="n">
        <v>0</v>
      </c>
      <c r="J2651" s="31" t="n">
        <v>13051.64</v>
      </c>
      <c r="K2651" s="31" t="n">
        <v>955.95</v>
      </c>
      <c r="L2651" s="32" t="n">
        <v>6</v>
      </c>
      <c r="M2651" s="32" t="n">
        <v>69</v>
      </c>
      <c r="N2651" s="31" t="n">
        <v>12095.69</v>
      </c>
      <c r="O2651" s="31" t="n">
        <v>13051.64</v>
      </c>
      <c r="P2651" s="22" t="n">
        <v>0</v>
      </c>
      <c r="Q2651" s="22" t="n">
        <v>0</v>
      </c>
      <c r="R2651" s="22" t="n">
        <v>0</v>
      </c>
    </row>
    <row r="2652">
      <c r="A2652" s="22" t="n">
        <v>202007</v>
      </c>
      <c r="B2652" s="22" t="inlineStr">
        <is>
          <t>07/2020</t>
        </is>
      </c>
      <c r="C2652" s="22" t="n">
        <v>61</v>
      </c>
      <c r="D2652" s="22" t="inlineStr">
        <is>
          <t>S61</t>
        </is>
      </c>
      <c r="E2652" s="22" t="inlineStr">
        <is>
          <t>Nexa South Carolina (S61)</t>
        </is>
      </c>
      <c r="F2652" s="22" t="inlineStr">
        <is>
          <t>Mỹ</t>
        </is>
      </c>
      <c r="G2652" s="22" t="inlineStr">
        <is>
          <t>POS</t>
        </is>
      </c>
      <c r="H2652" s="31" t="n">
        <v>15133.31</v>
      </c>
      <c r="I2652" s="31" t="n">
        <v>0</v>
      </c>
      <c r="J2652" s="31" t="n">
        <v>15133.31</v>
      </c>
      <c r="K2652" s="31" t="n">
        <v>0</v>
      </c>
      <c r="L2652" s="32" t="n">
        <v>4</v>
      </c>
      <c r="M2652" s="32" t="n">
        <v>34</v>
      </c>
      <c r="N2652" s="31" t="n">
        <v>15133.31</v>
      </c>
      <c r="O2652" s="31" t="n">
        <v>15133.31</v>
      </c>
      <c r="P2652" s="22" t="n">
        <v>0</v>
      </c>
      <c r="Q2652" s="22" t="n">
        <v>0</v>
      </c>
      <c r="R2652" s="22" t="n">
        <v>0</v>
      </c>
    </row>
    <row r="2653">
      <c r="A2653" s="22" t="n">
        <v>202007</v>
      </c>
      <c r="B2653" s="22" t="inlineStr">
        <is>
          <t>07/2020</t>
        </is>
      </c>
      <c r="C2653" s="22" t="n">
        <v>62</v>
      </c>
      <c r="D2653" s="22" t="inlineStr">
        <is>
          <t>S62</t>
        </is>
      </c>
      <c r="E2653" s="22" t="inlineStr">
        <is>
          <t>Nexa South Dakota (S62)</t>
        </is>
      </c>
      <c r="F2653" s="22" t="inlineStr">
        <is>
          <t>Mỹ</t>
        </is>
      </c>
      <c r="G2653" s="22" t="inlineStr">
        <is>
          <t>POS</t>
        </is>
      </c>
      <c r="H2653" s="31" t="n">
        <v>21457.8</v>
      </c>
      <c r="I2653" s="31" t="n">
        <v>0</v>
      </c>
      <c r="J2653" s="31" t="n">
        <v>21457.8</v>
      </c>
      <c r="K2653" s="31" t="n">
        <v>769.8</v>
      </c>
      <c r="L2653" s="32" t="n">
        <v>6</v>
      </c>
      <c r="M2653" s="32" t="n">
        <v>35</v>
      </c>
      <c r="N2653" s="31" t="n">
        <v>20688</v>
      </c>
      <c r="O2653" s="31" t="n">
        <v>21457.8</v>
      </c>
      <c r="P2653" s="22" t="n">
        <v>0</v>
      </c>
      <c r="Q2653" s="22" t="n">
        <v>0</v>
      </c>
      <c r="R2653" s="22" t="n">
        <v>0</v>
      </c>
    </row>
    <row r="2654">
      <c r="A2654" s="22" t="n">
        <v>202007</v>
      </c>
      <c r="B2654" s="22" t="inlineStr">
        <is>
          <t>07/2020</t>
        </is>
      </c>
      <c r="C2654" s="22" t="n">
        <v>64</v>
      </c>
      <c r="D2654" s="22" t="inlineStr">
        <is>
          <t>S64</t>
        </is>
      </c>
      <c r="E2654" s="22" t="inlineStr">
        <is>
          <t>Nexa Washington DC (S64)</t>
        </is>
      </c>
      <c r="F2654" s="22" t="inlineStr">
        <is>
          <t>Mỹ</t>
        </is>
      </c>
      <c r="G2654" s="22" t="inlineStr">
        <is>
          <t>POS</t>
        </is>
      </c>
      <c r="H2654" s="31" t="n">
        <v>11429.2</v>
      </c>
      <c r="I2654" s="31" t="n">
        <v>0</v>
      </c>
      <c r="J2654" s="31" t="n">
        <v>11429.2</v>
      </c>
      <c r="K2654" s="31" t="n">
        <v>219</v>
      </c>
      <c r="L2654" s="32" t="n">
        <v>7</v>
      </c>
      <c r="M2654" s="32" t="n">
        <v>51</v>
      </c>
      <c r="N2654" s="31" t="n">
        <v>11210.2</v>
      </c>
      <c r="O2654" s="31" t="n">
        <v>11429.2</v>
      </c>
      <c r="P2654" s="22" t="n">
        <v>0</v>
      </c>
      <c r="Q2654" s="22" t="n">
        <v>0</v>
      </c>
      <c r="R2654" s="22" t="n">
        <v>0</v>
      </c>
    </row>
    <row r="2655">
      <c r="A2655" s="22" t="n">
        <v>202007</v>
      </c>
      <c r="B2655" s="22" t="inlineStr">
        <is>
          <t>07/2020</t>
        </is>
      </c>
      <c r="C2655" s="22" t="n">
        <v>65</v>
      </c>
      <c r="D2655" s="22" t="inlineStr">
        <is>
          <t>S65</t>
        </is>
      </c>
      <c r="E2655" s="22" t="inlineStr">
        <is>
          <t>Nexa West Virginia (S65)</t>
        </is>
      </c>
      <c r="F2655" s="22" t="inlineStr">
        <is>
          <t>Mỹ</t>
        </is>
      </c>
      <c r="G2655" s="22" t="inlineStr">
        <is>
          <t>POS</t>
        </is>
      </c>
      <c r="H2655" s="31" t="n">
        <v>6916.24</v>
      </c>
      <c r="I2655" s="31" t="n">
        <v>0</v>
      </c>
      <c r="J2655" s="31" t="n">
        <v>6916.24</v>
      </c>
      <c r="K2655" s="31" t="n">
        <v>0</v>
      </c>
      <c r="L2655" s="32" t="n">
        <v>6</v>
      </c>
      <c r="M2655" s="32" t="n">
        <v>37</v>
      </c>
      <c r="N2655" s="31" t="n">
        <v>6916.24</v>
      </c>
      <c r="O2655" s="31" t="n">
        <v>6916.24</v>
      </c>
      <c r="P2655" s="22" t="n">
        <v>0</v>
      </c>
      <c r="Q2655" s="22" t="n">
        <v>0</v>
      </c>
      <c r="R2655" s="22" t="n">
        <v>0</v>
      </c>
    </row>
    <row r="2656">
      <c r="A2656" s="22" t="n">
        <v>202007</v>
      </c>
      <c r="B2656" s="22" t="inlineStr">
        <is>
          <t>07/2020</t>
        </is>
      </c>
      <c r="C2656" s="22" t="n">
        <v>66</v>
      </c>
      <c r="D2656" s="22" t="inlineStr">
        <is>
          <t>S66</t>
        </is>
      </c>
      <c r="E2656" s="22" t="inlineStr">
        <is>
          <t>Nexa Wyoming (S66)</t>
        </is>
      </c>
      <c r="F2656" s="22" t="inlineStr">
        <is>
          <t>Mỹ</t>
        </is>
      </c>
      <c r="G2656" s="22" t="inlineStr">
        <is>
          <t>POS</t>
        </is>
      </c>
      <c r="H2656" s="31" t="n">
        <v>7038.87</v>
      </c>
      <c r="I2656" s="31" t="n">
        <v>0</v>
      </c>
      <c r="J2656" s="31" t="n">
        <v>7038.87</v>
      </c>
      <c r="K2656" s="31" t="n">
        <v>0</v>
      </c>
      <c r="L2656" s="32" t="n">
        <v>3</v>
      </c>
      <c r="M2656" s="32" t="n">
        <v>11</v>
      </c>
      <c r="N2656" s="31" t="n">
        <v>7038.87</v>
      </c>
      <c r="O2656" s="31" t="n">
        <v>7038.87</v>
      </c>
      <c r="P2656" s="22" t="n">
        <v>0</v>
      </c>
      <c r="Q2656" s="22" t="n">
        <v>0</v>
      </c>
      <c r="R2656" s="22" t="n">
        <v>0</v>
      </c>
    </row>
    <row r="2657">
      <c r="A2657" s="22" t="n">
        <v>202008</v>
      </c>
      <c r="B2657" s="22" t="inlineStr">
        <is>
          <t>08/2020</t>
        </is>
      </c>
      <c r="C2657" s="22" t="n">
        <v>0</v>
      </c>
      <c r="D2657" s="22" t="inlineStr">
        <is>
          <t>ONL</t>
        </is>
      </c>
      <c r="E2657" s="22" t="inlineStr">
        <is>
          <t>Nexa Online (website/app)</t>
        </is>
      </c>
      <c r="F2657" s="22" t="inlineStr">
        <is>
          <t>Online</t>
        </is>
      </c>
      <c r="G2657" s="22" t="inlineStr">
        <is>
          <t>ONLINE</t>
        </is>
      </c>
      <c r="H2657" s="31" t="n">
        <v>62128.43</v>
      </c>
      <c r="I2657" s="31" t="n">
        <v>4590.51</v>
      </c>
      <c r="J2657" s="31" t="n">
        <v>57537.92</v>
      </c>
      <c r="K2657" s="31" t="n">
        <v>2254.29</v>
      </c>
      <c r="L2657" s="32" t="n">
        <v>34</v>
      </c>
      <c r="M2657" s="32" t="n">
        <v>229</v>
      </c>
      <c r="N2657" s="31" t="n">
        <v>55065.68</v>
      </c>
      <c r="O2657" s="31" t="n">
        <v>57319.97</v>
      </c>
      <c r="P2657" s="22" t="n">
        <v>1</v>
      </c>
      <c r="Q2657" s="22" t="n">
        <v>0</v>
      </c>
      <c r="R2657" s="22" t="n">
        <v>0</v>
      </c>
    </row>
    <row r="2658">
      <c r="A2658" s="22" t="n">
        <v>202008</v>
      </c>
      <c r="B2658" s="22" t="inlineStr">
        <is>
          <t>08/2020</t>
        </is>
      </c>
      <c r="C2658" s="22" t="n">
        <v>1</v>
      </c>
      <c r="D2658" s="22" t="inlineStr">
        <is>
          <t>S01</t>
        </is>
      </c>
      <c r="E2658" s="22" t="inlineStr">
        <is>
          <t>Nexa Australian Capital Territory (S01)</t>
        </is>
      </c>
      <c r="F2658" s="22" t="inlineStr">
        <is>
          <t>Úc</t>
        </is>
      </c>
      <c r="G2658" s="22" t="inlineStr">
        <is>
          <t>POS</t>
        </is>
      </c>
      <c r="H2658" s="31" t="n">
        <v>4908.92</v>
      </c>
      <c r="I2658" s="31" t="n">
        <v>490.89</v>
      </c>
      <c r="J2658" s="31" t="n">
        <v>4418.03</v>
      </c>
      <c r="K2658" s="31" t="n">
        <v>0</v>
      </c>
      <c r="L2658" s="32" t="n">
        <v>2</v>
      </c>
      <c r="M2658" s="32" t="n">
        <v>24</v>
      </c>
      <c r="N2658" s="31" t="n">
        <v>4418.03</v>
      </c>
      <c r="O2658" s="31" t="n">
        <v>4418.03</v>
      </c>
      <c r="P2658" s="22" t="n">
        <v>0</v>
      </c>
      <c r="Q2658" s="22" t="n">
        <v>0</v>
      </c>
      <c r="R2658" s="22" t="n">
        <v>0</v>
      </c>
    </row>
    <row r="2659">
      <c r="A2659" s="22" t="n">
        <v>202008</v>
      </c>
      <c r="B2659" s="22" t="inlineStr">
        <is>
          <t>08/2020</t>
        </is>
      </c>
      <c r="C2659" s="22" t="n">
        <v>5</v>
      </c>
      <c r="D2659" s="22" t="inlineStr">
        <is>
          <t>S05</t>
        </is>
      </c>
      <c r="E2659" s="22" t="inlineStr">
        <is>
          <t>Nexa Victoria (S05)</t>
        </is>
      </c>
      <c r="F2659" s="22" t="inlineStr">
        <is>
          <t>Úc</t>
        </is>
      </c>
      <c r="G2659" s="22" t="inlineStr">
        <is>
          <t>POS</t>
        </is>
      </c>
      <c r="H2659" s="31" t="n">
        <v>21276.59</v>
      </c>
      <c r="I2659" s="31" t="n">
        <v>1357.67</v>
      </c>
      <c r="J2659" s="31" t="n">
        <v>19918.92</v>
      </c>
      <c r="K2659" s="31" t="n">
        <v>78</v>
      </c>
      <c r="L2659" s="32" t="n">
        <v>8</v>
      </c>
      <c r="M2659" s="32" t="n">
        <v>70</v>
      </c>
      <c r="N2659" s="31" t="n">
        <v>19840.92</v>
      </c>
      <c r="O2659" s="31" t="n">
        <v>19918.92</v>
      </c>
      <c r="P2659" s="22" t="n">
        <v>0</v>
      </c>
      <c r="Q2659" s="22" t="n">
        <v>0</v>
      </c>
      <c r="R2659" s="22" t="n">
        <v>0</v>
      </c>
    </row>
    <row r="2660">
      <c r="A2660" s="22" t="n">
        <v>202008</v>
      </c>
      <c r="B2660" s="22" t="inlineStr">
        <is>
          <t>08/2020</t>
        </is>
      </c>
      <c r="C2660" s="22" t="n">
        <v>6</v>
      </c>
      <c r="D2660" s="22" t="inlineStr">
        <is>
          <t>S06</t>
        </is>
      </c>
      <c r="E2660" s="22" t="inlineStr">
        <is>
          <t>Nexa Western Australia (S06)</t>
        </is>
      </c>
      <c r="F2660" s="22" t="inlineStr">
        <is>
          <t>Úc</t>
        </is>
      </c>
      <c r="G2660" s="22" t="inlineStr">
        <is>
          <t>POS</t>
        </is>
      </c>
      <c r="H2660" s="31" t="n">
        <v>3756.3</v>
      </c>
      <c r="I2660" s="31" t="n">
        <v>375.64</v>
      </c>
      <c r="J2660" s="31" t="n">
        <v>3380.66</v>
      </c>
      <c r="K2660" s="31" t="n">
        <v>0</v>
      </c>
      <c r="L2660" s="32" t="n">
        <v>2</v>
      </c>
      <c r="M2660" s="32" t="n">
        <v>18</v>
      </c>
      <c r="N2660" s="31" t="n">
        <v>3380.66</v>
      </c>
      <c r="O2660" s="31" t="n">
        <v>3380.66</v>
      </c>
      <c r="P2660" s="22" t="n">
        <v>0</v>
      </c>
      <c r="Q2660" s="22" t="n">
        <v>0</v>
      </c>
      <c r="R2660" s="22" t="n">
        <v>0</v>
      </c>
    </row>
    <row r="2661">
      <c r="A2661" s="22" t="n">
        <v>202008</v>
      </c>
      <c r="B2661" s="22" t="inlineStr">
        <is>
          <t>08/2020</t>
        </is>
      </c>
      <c r="C2661" s="22" t="n">
        <v>8</v>
      </c>
      <c r="D2661" s="22" t="inlineStr">
        <is>
          <t>S08</t>
        </is>
      </c>
      <c r="E2661" s="22" t="inlineStr">
        <is>
          <t>Nexa Newfoundland and Labrador (S08)</t>
        </is>
      </c>
      <c r="F2661" s="22" t="inlineStr">
        <is>
          <t>Canada</t>
        </is>
      </c>
      <c r="G2661" s="22" t="inlineStr">
        <is>
          <t>POS</t>
        </is>
      </c>
      <c r="H2661" s="31" t="n">
        <v>9037.67</v>
      </c>
      <c r="I2661" s="31" t="n">
        <v>186</v>
      </c>
      <c r="J2661" s="31" t="n">
        <v>8851.67</v>
      </c>
      <c r="K2661" s="31" t="n">
        <v>12.66</v>
      </c>
      <c r="L2661" s="32" t="n">
        <v>3</v>
      </c>
      <c r="M2661" s="32" t="n">
        <v>30</v>
      </c>
      <c r="N2661" s="31" t="n">
        <v>8839.01</v>
      </c>
      <c r="O2661" s="31" t="n">
        <v>8851.67</v>
      </c>
      <c r="P2661" s="22" t="n">
        <v>0</v>
      </c>
      <c r="Q2661" s="22" t="n">
        <v>0</v>
      </c>
      <c r="R2661" s="22" t="n">
        <v>0</v>
      </c>
    </row>
    <row r="2662">
      <c r="A2662" s="22" t="n">
        <v>202008</v>
      </c>
      <c r="B2662" s="22" t="inlineStr">
        <is>
          <t>08/2020</t>
        </is>
      </c>
      <c r="C2662" s="22" t="n">
        <v>9</v>
      </c>
      <c r="D2662" s="22" t="inlineStr">
        <is>
          <t>S09</t>
        </is>
      </c>
      <c r="E2662" s="22" t="inlineStr">
        <is>
          <t>Nexa Northwest Territories (S09)</t>
        </is>
      </c>
      <c r="F2662" s="22" t="inlineStr">
        <is>
          <t>Canada</t>
        </is>
      </c>
      <c r="G2662" s="22" t="inlineStr">
        <is>
          <t>POS</t>
        </is>
      </c>
      <c r="H2662" s="31" t="n">
        <v>4725.89</v>
      </c>
      <c r="I2662" s="31" t="n">
        <v>299.3</v>
      </c>
      <c r="J2662" s="31" t="n">
        <v>4426.59</v>
      </c>
      <c r="K2662" s="31" t="n">
        <v>0</v>
      </c>
      <c r="L2662" s="32" t="n">
        <v>5</v>
      </c>
      <c r="M2662" s="32" t="n">
        <v>30</v>
      </c>
      <c r="N2662" s="31" t="n">
        <v>4426.59</v>
      </c>
      <c r="O2662" s="31" t="n">
        <v>4426.59</v>
      </c>
      <c r="P2662" s="22" t="n">
        <v>0</v>
      </c>
      <c r="Q2662" s="22" t="n">
        <v>0</v>
      </c>
      <c r="R2662" s="22" t="n">
        <v>0</v>
      </c>
    </row>
    <row r="2663">
      <c r="A2663" s="22" t="n">
        <v>202008</v>
      </c>
      <c r="B2663" s="22" t="inlineStr">
        <is>
          <t>08/2020</t>
        </is>
      </c>
      <c r="C2663" s="22" t="n">
        <v>10</v>
      </c>
      <c r="D2663" s="22" t="inlineStr">
        <is>
          <t>S10</t>
        </is>
      </c>
      <c r="E2663" s="22" t="inlineStr">
        <is>
          <t>Nexa Nunavut (S10)</t>
        </is>
      </c>
      <c r="F2663" s="22" t="inlineStr">
        <is>
          <t>Canada</t>
        </is>
      </c>
      <c r="G2663" s="22" t="inlineStr">
        <is>
          <t>POS</t>
        </is>
      </c>
      <c r="H2663" s="31" t="n">
        <v>8010.48</v>
      </c>
      <c r="I2663" s="31" t="n">
        <v>782.37</v>
      </c>
      <c r="J2663" s="31" t="n">
        <v>7228.11</v>
      </c>
      <c r="K2663" s="31" t="n">
        <v>0</v>
      </c>
      <c r="L2663" s="32" t="n">
        <v>5</v>
      </c>
      <c r="M2663" s="32" t="n">
        <v>46</v>
      </c>
      <c r="N2663" s="31" t="n">
        <v>7228.11</v>
      </c>
      <c r="O2663" s="31" t="n">
        <v>7228.11</v>
      </c>
      <c r="P2663" s="22" t="n">
        <v>0</v>
      </c>
      <c r="Q2663" s="22" t="n">
        <v>0</v>
      </c>
      <c r="R2663" s="22" t="n">
        <v>0</v>
      </c>
    </row>
    <row r="2664">
      <c r="A2664" s="22" t="n">
        <v>202008</v>
      </c>
      <c r="B2664" s="22" t="inlineStr">
        <is>
          <t>08/2020</t>
        </is>
      </c>
      <c r="C2664" s="22" t="n">
        <v>13</v>
      </c>
      <c r="D2664" s="22" t="inlineStr">
        <is>
          <t>S13</t>
        </is>
      </c>
      <c r="E2664" s="22" t="inlineStr">
        <is>
          <t>Nexa Corse (S13)</t>
        </is>
      </c>
      <c r="F2664" s="22" t="inlineStr">
        <is>
          <t>Pháp</t>
        </is>
      </c>
      <c r="G2664" s="22" t="inlineStr">
        <is>
          <t>POS</t>
        </is>
      </c>
      <c r="H2664" s="31" t="n">
        <v>15523.9</v>
      </c>
      <c r="I2664" s="31" t="n">
        <v>1520.4</v>
      </c>
      <c r="J2664" s="31" t="n">
        <v>14003.5</v>
      </c>
      <c r="K2664" s="31" t="n">
        <v>0</v>
      </c>
      <c r="L2664" s="32" t="n">
        <v>4</v>
      </c>
      <c r="M2664" s="32" t="n">
        <v>18</v>
      </c>
      <c r="N2664" s="31" t="n">
        <v>14003.5</v>
      </c>
      <c r="O2664" s="31" t="n">
        <v>14003.5</v>
      </c>
      <c r="P2664" s="22" t="n">
        <v>0</v>
      </c>
      <c r="Q2664" s="22" t="n">
        <v>0</v>
      </c>
      <c r="R2664" s="22" t="n">
        <v>0</v>
      </c>
    </row>
    <row r="2665">
      <c r="A2665" s="22" t="n">
        <v>202008</v>
      </c>
      <c r="B2665" s="22" t="inlineStr">
        <is>
          <t>08/2020</t>
        </is>
      </c>
      <c r="C2665" s="22" t="n">
        <v>15</v>
      </c>
      <c r="D2665" s="22" t="inlineStr">
        <is>
          <t>S15</t>
        </is>
      </c>
      <c r="E2665" s="22" t="inlineStr">
        <is>
          <t>Nexa La Réunion (S15)</t>
        </is>
      </c>
      <c r="F2665" s="22" t="inlineStr">
        <is>
          <t>Pháp</t>
        </is>
      </c>
      <c r="G2665" s="22" t="inlineStr">
        <is>
          <t>POS</t>
        </is>
      </c>
      <c r="H2665" s="31" t="n">
        <v>2277.9</v>
      </c>
      <c r="I2665" s="31" t="n">
        <v>0</v>
      </c>
      <c r="J2665" s="31" t="n">
        <v>2277.9</v>
      </c>
      <c r="K2665" s="31" t="n">
        <v>0</v>
      </c>
      <c r="L2665" s="32" t="n">
        <v>1</v>
      </c>
      <c r="M2665" s="32" t="n">
        <v>4</v>
      </c>
      <c r="N2665" s="31" t="n">
        <v>2277.9</v>
      </c>
      <c r="O2665" s="31" t="n">
        <v>2277.9</v>
      </c>
      <c r="P2665" s="22" t="n">
        <v>0</v>
      </c>
      <c r="Q2665" s="22" t="n">
        <v>0</v>
      </c>
      <c r="R2665" s="22" t="n">
        <v>0</v>
      </c>
    </row>
    <row r="2666">
      <c r="A2666" s="22" t="n">
        <v>202008</v>
      </c>
      <c r="B2666" s="22" t="inlineStr">
        <is>
          <t>08/2020</t>
        </is>
      </c>
      <c r="C2666" s="22" t="n">
        <v>16</v>
      </c>
      <c r="D2666" s="22" t="inlineStr">
        <is>
          <t>S16</t>
        </is>
      </c>
      <c r="E2666" s="22" t="inlineStr">
        <is>
          <t>Nexa Limousin (S16)</t>
        </is>
      </c>
      <c r="F2666" s="22" t="inlineStr">
        <is>
          <t>Pháp</t>
        </is>
      </c>
      <c r="G2666" s="22" t="inlineStr">
        <is>
          <t>POS</t>
        </is>
      </c>
      <c r="H2666" s="31" t="n">
        <v>979.96</v>
      </c>
      <c r="I2666" s="31" t="n">
        <v>0</v>
      </c>
      <c r="J2666" s="31" t="n">
        <v>979.96</v>
      </c>
      <c r="K2666" s="31" t="n">
        <v>0</v>
      </c>
      <c r="L2666" s="32" t="n">
        <v>1</v>
      </c>
      <c r="M2666" s="32" t="n">
        <v>6</v>
      </c>
      <c r="N2666" s="31" t="n">
        <v>979.96</v>
      </c>
      <c r="O2666" s="31" t="n">
        <v>979.96</v>
      </c>
      <c r="P2666" s="22" t="n">
        <v>0</v>
      </c>
      <c r="Q2666" s="22" t="n">
        <v>0</v>
      </c>
      <c r="R2666" s="22" t="n">
        <v>0</v>
      </c>
    </row>
    <row r="2667">
      <c r="A2667" s="22" t="n">
        <v>202008</v>
      </c>
      <c r="B2667" s="22" t="inlineStr">
        <is>
          <t>08/2020</t>
        </is>
      </c>
      <c r="C2667" s="22" t="n">
        <v>21</v>
      </c>
      <c r="D2667" s="22" t="inlineStr">
        <is>
          <t>S21</t>
        </is>
      </c>
      <c r="E2667" s="22" t="inlineStr">
        <is>
          <t>Nexa Freie Hansestadt Bremen (S21)</t>
        </is>
      </c>
      <c r="F2667" s="22" t="inlineStr">
        <is>
          <t>Đức</t>
        </is>
      </c>
      <c r="G2667" s="22" t="inlineStr">
        <is>
          <t>POS</t>
        </is>
      </c>
      <c r="H2667" s="31" t="n">
        <v>2460</v>
      </c>
      <c r="I2667" s="31" t="n">
        <v>0</v>
      </c>
      <c r="J2667" s="31" t="n">
        <v>2460</v>
      </c>
      <c r="K2667" s="31" t="n">
        <v>0</v>
      </c>
      <c r="L2667" s="32" t="n">
        <v>1</v>
      </c>
      <c r="M2667" s="32" t="n">
        <v>6</v>
      </c>
      <c r="N2667" s="31" t="n">
        <v>2460</v>
      </c>
      <c r="O2667" s="31" t="n">
        <v>2460</v>
      </c>
      <c r="P2667" s="22" t="n">
        <v>0</v>
      </c>
      <c r="Q2667" s="22" t="n">
        <v>0</v>
      </c>
      <c r="R2667" s="22" t="n">
        <v>0</v>
      </c>
    </row>
    <row r="2668">
      <c r="A2668" s="22" t="n">
        <v>202008</v>
      </c>
      <c r="B2668" s="22" t="inlineStr">
        <is>
          <t>08/2020</t>
        </is>
      </c>
      <c r="C2668" s="22" t="n">
        <v>22</v>
      </c>
      <c r="D2668" s="22" t="inlineStr">
        <is>
          <t>S22</t>
        </is>
      </c>
      <c r="E2668" s="22" t="inlineStr">
        <is>
          <t>Nexa Freistaat Thüringen (S22)</t>
        </is>
      </c>
      <c r="F2668" s="22" t="inlineStr">
        <is>
          <t>Đức</t>
        </is>
      </c>
      <c r="G2668" s="22" t="inlineStr">
        <is>
          <t>POS</t>
        </is>
      </c>
      <c r="H2668" s="31" t="n">
        <v>2860.78</v>
      </c>
      <c r="I2668" s="31" t="n">
        <v>0</v>
      </c>
      <c r="J2668" s="31" t="n">
        <v>2860.78</v>
      </c>
      <c r="K2668" s="31" t="n">
        <v>0</v>
      </c>
      <c r="L2668" s="32" t="n">
        <v>1</v>
      </c>
      <c r="M2668" s="32" t="n">
        <v>7</v>
      </c>
      <c r="N2668" s="31" t="n">
        <v>2860.78</v>
      </c>
      <c r="O2668" s="31" t="n">
        <v>2860.78</v>
      </c>
      <c r="P2668" s="22" t="n">
        <v>0</v>
      </c>
      <c r="Q2668" s="22" t="n">
        <v>0</v>
      </c>
      <c r="R2668" s="22" t="n">
        <v>0</v>
      </c>
    </row>
    <row r="2669">
      <c r="A2669" s="22" t="n">
        <v>202008</v>
      </c>
      <c r="B2669" s="22" t="inlineStr">
        <is>
          <t>08/2020</t>
        </is>
      </c>
      <c r="C2669" s="22" t="n">
        <v>23</v>
      </c>
      <c r="D2669" s="22" t="inlineStr">
        <is>
          <t>S23</t>
        </is>
      </c>
      <c r="E2669" s="22" t="inlineStr">
        <is>
          <t>Nexa Hamburg (S23)</t>
        </is>
      </c>
      <c r="F2669" s="22" t="inlineStr">
        <is>
          <t>Đức</t>
        </is>
      </c>
      <c r="G2669" s="22" t="inlineStr">
        <is>
          <t>POS</t>
        </is>
      </c>
      <c r="H2669" s="31" t="n">
        <v>134.75</v>
      </c>
      <c r="I2669" s="31" t="n">
        <v>13.48</v>
      </c>
      <c r="J2669" s="31" t="n">
        <v>121.27</v>
      </c>
      <c r="K2669" s="31" t="n">
        <v>0</v>
      </c>
      <c r="L2669" s="32" t="n">
        <v>1</v>
      </c>
      <c r="M2669" s="32" t="n">
        <v>7</v>
      </c>
      <c r="N2669" s="31" t="n">
        <v>121.27</v>
      </c>
      <c r="O2669" s="31" t="n">
        <v>121.27</v>
      </c>
      <c r="P2669" s="22" t="n">
        <v>0</v>
      </c>
      <c r="Q2669" s="22" t="n">
        <v>0</v>
      </c>
      <c r="R2669" s="22" t="n">
        <v>0</v>
      </c>
    </row>
    <row r="2670">
      <c r="A2670" s="22" t="n">
        <v>202008</v>
      </c>
      <c r="B2670" s="22" t="inlineStr">
        <is>
          <t>08/2020</t>
        </is>
      </c>
      <c r="C2670" s="22" t="n">
        <v>24</v>
      </c>
      <c r="D2670" s="22" t="inlineStr">
        <is>
          <t>S24</t>
        </is>
      </c>
      <c r="E2670" s="22" t="inlineStr">
        <is>
          <t>Nexa Hessen (S24)</t>
        </is>
      </c>
      <c r="F2670" s="22" t="inlineStr">
        <is>
          <t>Đức</t>
        </is>
      </c>
      <c r="G2670" s="22" t="inlineStr">
        <is>
          <t>POS</t>
        </is>
      </c>
      <c r="H2670" s="31" t="n">
        <v>1048.57</v>
      </c>
      <c r="I2670" s="31" t="n">
        <v>104.86</v>
      </c>
      <c r="J2670" s="31" t="n">
        <v>943.71</v>
      </c>
      <c r="K2670" s="31" t="n">
        <v>0</v>
      </c>
      <c r="L2670" s="32" t="n">
        <v>2</v>
      </c>
      <c r="M2670" s="32" t="n">
        <v>7</v>
      </c>
      <c r="N2670" s="31" t="n">
        <v>943.71</v>
      </c>
      <c r="O2670" s="31" t="n">
        <v>943.71</v>
      </c>
      <c r="P2670" s="22" t="n">
        <v>0</v>
      </c>
      <c r="Q2670" s="22" t="n">
        <v>0</v>
      </c>
      <c r="R2670" s="22" t="n">
        <v>0</v>
      </c>
    </row>
    <row r="2671">
      <c r="A2671" s="22" t="n">
        <v>202008</v>
      </c>
      <c r="B2671" s="22" t="inlineStr">
        <is>
          <t>08/2020</t>
        </is>
      </c>
      <c r="C2671" s="22" t="n">
        <v>26</v>
      </c>
      <c r="D2671" s="22" t="inlineStr">
        <is>
          <t>S26</t>
        </is>
      </c>
      <c r="E2671" s="22" t="inlineStr">
        <is>
          <t>Nexa Saarland (S26)</t>
        </is>
      </c>
      <c r="F2671" s="22" t="inlineStr">
        <is>
          <t>Đức</t>
        </is>
      </c>
      <c r="G2671" s="22" t="inlineStr">
        <is>
          <t>POS</t>
        </is>
      </c>
      <c r="H2671" s="31" t="n">
        <v>13317.88</v>
      </c>
      <c r="I2671" s="31" t="n">
        <v>379.9</v>
      </c>
      <c r="J2671" s="31" t="n">
        <v>12937.98</v>
      </c>
      <c r="K2671" s="31" t="n">
        <v>0</v>
      </c>
      <c r="L2671" s="32" t="n">
        <v>4</v>
      </c>
      <c r="M2671" s="32" t="n">
        <v>33</v>
      </c>
      <c r="N2671" s="31" t="n">
        <v>12937.98</v>
      </c>
      <c r="O2671" s="31" t="n">
        <v>12937.98</v>
      </c>
      <c r="P2671" s="22" t="n">
        <v>0</v>
      </c>
      <c r="Q2671" s="22" t="n">
        <v>0</v>
      </c>
      <c r="R2671" s="22" t="n">
        <v>0</v>
      </c>
    </row>
    <row r="2672">
      <c r="A2672" s="22" t="n">
        <v>202008</v>
      </c>
      <c r="B2672" s="22" t="inlineStr">
        <is>
          <t>08/2020</t>
        </is>
      </c>
      <c r="C2672" s="22" t="n">
        <v>27</v>
      </c>
      <c r="D2672" s="22" t="inlineStr">
        <is>
          <t>S27</t>
        </is>
      </c>
      <c r="E2672" s="22" t="inlineStr">
        <is>
          <t>Nexa Sachsen-Anhalt (S27)</t>
        </is>
      </c>
      <c r="F2672" s="22" t="inlineStr">
        <is>
          <t>Đức</t>
        </is>
      </c>
      <c r="G2672" s="22" t="inlineStr">
        <is>
          <t>POS</t>
        </is>
      </c>
      <c r="H2672" s="31" t="n">
        <v>9310.35</v>
      </c>
      <c r="I2672" s="31" t="n">
        <v>931.04</v>
      </c>
      <c r="J2672" s="31" t="n">
        <v>8379.309999999999</v>
      </c>
      <c r="K2672" s="31" t="n">
        <v>324</v>
      </c>
      <c r="L2672" s="32" t="n">
        <v>3</v>
      </c>
      <c r="M2672" s="32" t="n">
        <v>40</v>
      </c>
      <c r="N2672" s="31" t="n">
        <v>8055.31</v>
      </c>
      <c r="O2672" s="31" t="n">
        <v>8379.309999999999</v>
      </c>
      <c r="P2672" s="22" t="n">
        <v>0</v>
      </c>
      <c r="Q2672" s="22" t="n">
        <v>0</v>
      </c>
      <c r="R2672" s="22" t="n">
        <v>0</v>
      </c>
    </row>
    <row r="2673">
      <c r="A2673" s="22" t="n">
        <v>202008</v>
      </c>
      <c r="B2673" s="22" t="inlineStr">
        <is>
          <t>08/2020</t>
        </is>
      </c>
      <c r="C2673" s="22" t="n">
        <v>29</v>
      </c>
      <c r="D2673" s="22" t="inlineStr">
        <is>
          <t>S29</t>
        </is>
      </c>
      <c r="E2673" s="22" t="inlineStr">
        <is>
          <t>Nexa Enna (S29)</t>
        </is>
      </c>
      <c r="F2673" s="22" t="inlineStr">
        <is>
          <t>Ý</t>
        </is>
      </c>
      <c r="G2673" s="22" t="inlineStr">
        <is>
          <t>POS</t>
        </is>
      </c>
      <c r="H2673" s="31" t="n">
        <v>4634.45</v>
      </c>
      <c r="I2673" s="31" t="n">
        <v>61.06</v>
      </c>
      <c r="J2673" s="31" t="n">
        <v>4573.39</v>
      </c>
      <c r="K2673" s="31" t="n">
        <v>0</v>
      </c>
      <c r="L2673" s="32" t="n">
        <v>2</v>
      </c>
      <c r="M2673" s="32" t="n">
        <v>21</v>
      </c>
      <c r="N2673" s="31" t="n">
        <v>4573.39</v>
      </c>
      <c r="O2673" s="31" t="n">
        <v>4573.39</v>
      </c>
      <c r="P2673" s="22" t="n">
        <v>0</v>
      </c>
      <c r="Q2673" s="22" t="n">
        <v>0</v>
      </c>
      <c r="R2673" s="22" t="n">
        <v>0</v>
      </c>
    </row>
    <row r="2674">
      <c r="A2674" s="22" t="n">
        <v>202008</v>
      </c>
      <c r="B2674" s="22" t="inlineStr">
        <is>
          <t>08/2020</t>
        </is>
      </c>
      <c r="C2674" s="22" t="n">
        <v>30</v>
      </c>
      <c r="D2674" s="22" t="inlineStr">
        <is>
          <t>S30</t>
        </is>
      </c>
      <c r="E2674" s="22" t="inlineStr">
        <is>
          <t>Nexa Pesaro (S30)</t>
        </is>
      </c>
      <c r="F2674" s="22" t="inlineStr">
        <is>
          <t>Ý</t>
        </is>
      </c>
      <c r="G2674" s="22" t="inlineStr">
        <is>
          <t>POS</t>
        </is>
      </c>
      <c r="H2674" s="31" t="n">
        <v>10235.43</v>
      </c>
      <c r="I2674" s="31" t="n">
        <v>573.55</v>
      </c>
      <c r="J2674" s="31" t="n">
        <v>9661.879999999999</v>
      </c>
      <c r="K2674" s="31" t="n">
        <v>0</v>
      </c>
      <c r="L2674" s="32" t="n">
        <v>3</v>
      </c>
      <c r="M2674" s="32" t="n">
        <v>35</v>
      </c>
      <c r="N2674" s="31" t="n">
        <v>9661.879999999999</v>
      </c>
      <c r="O2674" s="31" t="n">
        <v>9661.879999999999</v>
      </c>
      <c r="P2674" s="22" t="n">
        <v>0</v>
      </c>
      <c r="Q2674" s="22" t="n">
        <v>0</v>
      </c>
      <c r="R2674" s="22" t="n">
        <v>0</v>
      </c>
    </row>
    <row r="2675">
      <c r="A2675" s="22" t="n">
        <v>202008</v>
      </c>
      <c r="B2675" s="22" t="inlineStr">
        <is>
          <t>08/2020</t>
        </is>
      </c>
      <c r="C2675" s="22" t="n">
        <v>31</v>
      </c>
      <c r="D2675" s="22" t="inlineStr">
        <is>
          <t>S31</t>
        </is>
      </c>
      <c r="E2675" s="22" t="inlineStr">
        <is>
          <t>Nexa Drenthe (S31)</t>
        </is>
      </c>
      <c r="F2675" s="22" t="inlineStr">
        <is>
          <t>Hà Lan</t>
        </is>
      </c>
      <c r="G2675" s="22" t="inlineStr">
        <is>
          <t>POS</t>
        </is>
      </c>
      <c r="H2675" s="31" t="n">
        <v>2999.92</v>
      </c>
      <c r="I2675" s="31" t="n">
        <v>0</v>
      </c>
      <c r="J2675" s="31" t="n">
        <v>2999.92</v>
      </c>
      <c r="K2675" s="31" t="n">
        <v>0</v>
      </c>
      <c r="L2675" s="32" t="n">
        <v>1</v>
      </c>
      <c r="M2675" s="32" t="n">
        <v>13</v>
      </c>
      <c r="N2675" s="31" t="n">
        <v>2999.92</v>
      </c>
      <c r="O2675" s="31" t="n">
        <v>2999.92</v>
      </c>
      <c r="P2675" s="22" t="n">
        <v>0</v>
      </c>
      <c r="Q2675" s="22" t="n">
        <v>0</v>
      </c>
      <c r="R2675" s="22" t="n">
        <v>0</v>
      </c>
    </row>
    <row r="2676">
      <c r="A2676" s="22" t="n">
        <v>202008</v>
      </c>
      <c r="B2676" s="22" t="inlineStr">
        <is>
          <t>08/2020</t>
        </is>
      </c>
      <c r="C2676" s="22" t="n">
        <v>32</v>
      </c>
      <c r="D2676" s="22" t="inlineStr">
        <is>
          <t>S32</t>
        </is>
      </c>
      <c r="E2676" s="22" t="inlineStr">
        <is>
          <t>Nexa Flevoland (S32)</t>
        </is>
      </c>
      <c r="F2676" s="22" t="inlineStr">
        <is>
          <t>Hà Lan</t>
        </is>
      </c>
      <c r="G2676" s="22" t="inlineStr">
        <is>
          <t>POS</t>
        </is>
      </c>
      <c r="H2676" s="31" t="n">
        <v>5937.87</v>
      </c>
      <c r="I2676" s="31" t="n">
        <v>593.79</v>
      </c>
      <c r="J2676" s="31" t="n">
        <v>5344.08</v>
      </c>
      <c r="K2676" s="31" t="n">
        <v>0</v>
      </c>
      <c r="L2676" s="32" t="n">
        <v>1</v>
      </c>
      <c r="M2676" s="32" t="n">
        <v>12</v>
      </c>
      <c r="N2676" s="31" t="n">
        <v>5344.08</v>
      </c>
      <c r="O2676" s="31" t="n">
        <v>5344.08</v>
      </c>
      <c r="P2676" s="22" t="n">
        <v>0</v>
      </c>
      <c r="Q2676" s="22" t="n">
        <v>0</v>
      </c>
      <c r="R2676" s="22" t="n">
        <v>0</v>
      </c>
    </row>
    <row r="2677">
      <c r="A2677" s="22" t="n">
        <v>202008</v>
      </c>
      <c r="B2677" s="22" t="inlineStr">
        <is>
          <t>08/2020</t>
        </is>
      </c>
      <c r="C2677" s="22" t="n">
        <v>33</v>
      </c>
      <c r="D2677" s="22" t="inlineStr">
        <is>
          <t>S33</t>
        </is>
      </c>
      <c r="E2677" s="22" t="inlineStr">
        <is>
          <t>Nexa Friesland (S33)</t>
        </is>
      </c>
      <c r="F2677" s="22" t="inlineStr">
        <is>
          <t>Hà Lan</t>
        </is>
      </c>
      <c r="G2677" s="22" t="inlineStr">
        <is>
          <t>POS</t>
        </is>
      </c>
      <c r="H2677" s="31" t="n">
        <v>5903</v>
      </c>
      <c r="I2677" s="31" t="n">
        <v>396.5</v>
      </c>
      <c r="J2677" s="31" t="n">
        <v>5506.5</v>
      </c>
      <c r="K2677" s="31" t="n">
        <v>0</v>
      </c>
      <c r="L2677" s="32" t="n">
        <v>2</v>
      </c>
      <c r="M2677" s="32" t="n">
        <v>7</v>
      </c>
      <c r="N2677" s="31" t="n">
        <v>5506.5</v>
      </c>
      <c r="O2677" s="31" t="n">
        <v>5506.5</v>
      </c>
      <c r="P2677" s="22" t="n">
        <v>0</v>
      </c>
      <c r="Q2677" s="22" t="n">
        <v>0</v>
      </c>
      <c r="R2677" s="22" t="n">
        <v>0</v>
      </c>
    </row>
    <row r="2678">
      <c r="A2678" s="22" t="n">
        <v>202008</v>
      </c>
      <c r="B2678" s="22" t="inlineStr">
        <is>
          <t>08/2020</t>
        </is>
      </c>
      <c r="C2678" s="22" t="n">
        <v>34</v>
      </c>
      <c r="D2678" s="22" t="inlineStr">
        <is>
          <t>S34</t>
        </is>
      </c>
      <c r="E2678" s="22" t="inlineStr">
        <is>
          <t>Nexa Groningen (S34)</t>
        </is>
      </c>
      <c r="F2678" s="22" t="inlineStr">
        <is>
          <t>Hà Lan</t>
        </is>
      </c>
      <c r="G2678" s="22" t="inlineStr">
        <is>
          <t>POS</t>
        </is>
      </c>
      <c r="H2678" s="31" t="n">
        <v>1580.82</v>
      </c>
      <c r="I2678" s="31" t="n">
        <v>14.2</v>
      </c>
      <c r="J2678" s="31" t="n">
        <v>1566.62</v>
      </c>
      <c r="K2678" s="31" t="n">
        <v>0</v>
      </c>
      <c r="L2678" s="32" t="n">
        <v>3</v>
      </c>
      <c r="M2678" s="32" t="n">
        <v>15</v>
      </c>
      <c r="N2678" s="31" t="n">
        <v>1566.62</v>
      </c>
      <c r="O2678" s="31" t="n">
        <v>1566.62</v>
      </c>
      <c r="P2678" s="22" t="n">
        <v>0</v>
      </c>
      <c r="Q2678" s="22" t="n">
        <v>0</v>
      </c>
      <c r="R2678" s="22" t="n">
        <v>0</v>
      </c>
    </row>
    <row r="2679">
      <c r="A2679" s="22" t="n">
        <v>202008</v>
      </c>
      <c r="B2679" s="22" t="inlineStr">
        <is>
          <t>08/2020</t>
        </is>
      </c>
      <c r="C2679" s="22" t="n">
        <v>36</v>
      </c>
      <c r="D2679" s="22" t="inlineStr">
        <is>
          <t>S36</t>
        </is>
      </c>
      <c r="E2679" s="22" t="inlineStr">
        <is>
          <t>Nexa Armagh (S36)</t>
        </is>
      </c>
      <c r="F2679" s="22" t="inlineStr">
        <is>
          <t>Anh</t>
        </is>
      </c>
      <c r="G2679" s="22" t="inlineStr">
        <is>
          <t>POS</t>
        </is>
      </c>
      <c r="H2679" s="31" t="n">
        <v>4995.12</v>
      </c>
      <c r="I2679" s="31" t="n">
        <v>406.31</v>
      </c>
      <c r="J2679" s="31" t="n">
        <v>4588.81</v>
      </c>
      <c r="K2679" s="31" t="n">
        <v>0</v>
      </c>
      <c r="L2679" s="32" t="n">
        <v>3</v>
      </c>
      <c r="M2679" s="32" t="n">
        <v>17</v>
      </c>
      <c r="N2679" s="31" t="n">
        <v>4588.81</v>
      </c>
      <c r="O2679" s="31" t="n">
        <v>4588.81</v>
      </c>
      <c r="P2679" s="22" t="n">
        <v>0</v>
      </c>
      <c r="Q2679" s="22" t="n">
        <v>0</v>
      </c>
      <c r="R2679" s="22" t="n">
        <v>0</v>
      </c>
    </row>
    <row r="2680">
      <c r="A2680" s="22" t="n">
        <v>202008</v>
      </c>
      <c r="B2680" s="22" t="inlineStr">
        <is>
          <t>08/2020</t>
        </is>
      </c>
      <c r="C2680" s="22" t="n">
        <v>37</v>
      </c>
      <c r="D2680" s="22" t="inlineStr">
        <is>
          <t>S37</t>
        </is>
      </c>
      <c r="E2680" s="22" t="inlineStr">
        <is>
          <t>Nexa Ayrshire (S37)</t>
        </is>
      </c>
      <c r="F2680" s="22" t="inlineStr">
        <is>
          <t>Anh</t>
        </is>
      </c>
      <c r="G2680" s="22" t="inlineStr">
        <is>
          <t>POS</t>
        </is>
      </c>
      <c r="H2680" s="31" t="n">
        <v>156</v>
      </c>
      <c r="I2680" s="31" t="n">
        <v>15.6</v>
      </c>
      <c r="J2680" s="31" t="n">
        <v>140.4</v>
      </c>
      <c r="K2680" s="31" t="n">
        <v>0</v>
      </c>
      <c r="L2680" s="32" t="n">
        <v>1</v>
      </c>
      <c r="M2680" s="32" t="n">
        <v>1</v>
      </c>
      <c r="N2680" s="31" t="n">
        <v>140.4</v>
      </c>
      <c r="O2680" s="31" t="n">
        <v>140.4</v>
      </c>
      <c r="P2680" s="22" t="n">
        <v>0</v>
      </c>
      <c r="Q2680" s="22" t="n">
        <v>0</v>
      </c>
      <c r="R2680" s="22" t="n">
        <v>0</v>
      </c>
    </row>
    <row r="2681">
      <c r="A2681" s="22" t="n">
        <v>202008</v>
      </c>
      <c r="B2681" s="22" t="inlineStr">
        <is>
          <t>08/2020</t>
        </is>
      </c>
      <c r="C2681" s="22" t="n">
        <v>38</v>
      </c>
      <c r="D2681" s="22" t="inlineStr">
        <is>
          <t>S38</t>
        </is>
      </c>
      <c r="E2681" s="22" t="inlineStr">
        <is>
          <t>Nexa Belfast (S38)</t>
        </is>
      </c>
      <c r="F2681" s="22" t="inlineStr">
        <is>
          <t>Anh</t>
        </is>
      </c>
      <c r="G2681" s="22" t="inlineStr">
        <is>
          <t>POS</t>
        </is>
      </c>
      <c r="H2681" s="31" t="n">
        <v>4036.61</v>
      </c>
      <c r="I2681" s="31" t="n">
        <v>403.66</v>
      </c>
      <c r="J2681" s="31" t="n">
        <v>3632.95</v>
      </c>
      <c r="K2681" s="31" t="n">
        <v>0</v>
      </c>
      <c r="L2681" s="32" t="n">
        <v>3</v>
      </c>
      <c r="M2681" s="32" t="n">
        <v>26</v>
      </c>
      <c r="N2681" s="31" t="n">
        <v>3632.95</v>
      </c>
      <c r="O2681" s="31" t="n">
        <v>3632.95</v>
      </c>
      <c r="P2681" s="22" t="n">
        <v>0</v>
      </c>
      <c r="Q2681" s="22" t="n">
        <v>0</v>
      </c>
      <c r="R2681" s="22" t="n">
        <v>0</v>
      </c>
    </row>
    <row r="2682">
      <c r="A2682" s="22" t="n">
        <v>202008</v>
      </c>
      <c r="B2682" s="22" t="inlineStr">
        <is>
          <t>08/2020</t>
        </is>
      </c>
      <c r="C2682" s="22" t="n">
        <v>39</v>
      </c>
      <c r="D2682" s="22" t="inlineStr">
        <is>
          <t>S39</t>
        </is>
      </c>
      <c r="E2682" s="22" t="inlineStr">
        <is>
          <t>Nexa Blaenau Gwent (S39)</t>
        </is>
      </c>
      <c r="F2682" s="22" t="inlineStr">
        <is>
          <t>Anh</t>
        </is>
      </c>
      <c r="G2682" s="22" t="inlineStr">
        <is>
          <t>POS</t>
        </is>
      </c>
      <c r="H2682" s="31" t="n">
        <v>15561.88</v>
      </c>
      <c r="I2682" s="31" t="n">
        <v>1453.6</v>
      </c>
      <c r="J2682" s="31" t="n">
        <v>14108.28</v>
      </c>
      <c r="K2682" s="31" t="n">
        <v>0</v>
      </c>
      <c r="L2682" s="32" t="n">
        <v>3</v>
      </c>
      <c r="M2682" s="32" t="n">
        <v>26</v>
      </c>
      <c r="N2682" s="31" t="n">
        <v>14108.28</v>
      </c>
      <c r="O2682" s="31" t="n">
        <v>14108.28</v>
      </c>
      <c r="P2682" s="22" t="n">
        <v>1</v>
      </c>
      <c r="Q2682" s="22" t="n">
        <v>0</v>
      </c>
      <c r="R2682" s="22" t="n">
        <v>0</v>
      </c>
    </row>
    <row r="2683">
      <c r="A2683" s="22" t="n">
        <v>202008</v>
      </c>
      <c r="B2683" s="22" t="inlineStr">
        <is>
          <t>08/2020</t>
        </is>
      </c>
      <c r="C2683" s="22" t="n">
        <v>40</v>
      </c>
      <c r="D2683" s="22" t="inlineStr">
        <is>
          <t>S40</t>
        </is>
      </c>
      <c r="E2683" s="22" t="inlineStr">
        <is>
          <t>Nexa Dungannon and South Tyrone (S40)</t>
        </is>
      </c>
      <c r="F2683" s="22" t="inlineStr">
        <is>
          <t>Anh</t>
        </is>
      </c>
      <c r="G2683" s="22" t="inlineStr">
        <is>
          <t>POS</t>
        </is>
      </c>
      <c r="H2683" s="31" t="n">
        <v>6797.86</v>
      </c>
      <c r="I2683" s="31" t="n">
        <v>0</v>
      </c>
      <c r="J2683" s="31" t="n">
        <v>6797.86</v>
      </c>
      <c r="K2683" s="31" t="n">
        <v>0</v>
      </c>
      <c r="L2683" s="32" t="n">
        <v>2</v>
      </c>
      <c r="M2683" s="32" t="n">
        <v>21</v>
      </c>
      <c r="N2683" s="31" t="n">
        <v>6797.86</v>
      </c>
      <c r="O2683" s="31" t="n">
        <v>6797.86</v>
      </c>
      <c r="P2683" s="22" t="n">
        <v>0</v>
      </c>
      <c r="Q2683" s="22" t="n">
        <v>0</v>
      </c>
      <c r="R2683" s="22" t="n">
        <v>0</v>
      </c>
    </row>
    <row r="2684">
      <c r="A2684" s="22" t="n">
        <v>202008</v>
      </c>
      <c r="B2684" s="22" t="inlineStr">
        <is>
          <t>08/2020</t>
        </is>
      </c>
      <c r="C2684" s="22" t="n">
        <v>42</v>
      </c>
      <c r="D2684" s="22" t="inlineStr">
        <is>
          <t>S42</t>
        </is>
      </c>
      <c r="E2684" s="22" t="inlineStr">
        <is>
          <t>Nexa North Down (S42)</t>
        </is>
      </c>
      <c r="F2684" s="22" t="inlineStr">
        <is>
          <t>Anh</t>
        </is>
      </c>
      <c r="G2684" s="22" t="inlineStr">
        <is>
          <t>POS</t>
        </is>
      </c>
      <c r="H2684" s="31" t="n">
        <v>3916.07</v>
      </c>
      <c r="I2684" s="31" t="n">
        <v>181</v>
      </c>
      <c r="J2684" s="31" t="n">
        <v>3735.07</v>
      </c>
      <c r="K2684" s="31" t="n">
        <v>0</v>
      </c>
      <c r="L2684" s="32" t="n">
        <v>3</v>
      </c>
      <c r="M2684" s="32" t="n">
        <v>23</v>
      </c>
      <c r="N2684" s="31" t="n">
        <v>3735.07</v>
      </c>
      <c r="O2684" s="31" t="n">
        <v>3735.07</v>
      </c>
      <c r="P2684" s="22" t="n">
        <v>0</v>
      </c>
      <c r="Q2684" s="22" t="n">
        <v>0</v>
      </c>
      <c r="R2684" s="22" t="n">
        <v>0</v>
      </c>
    </row>
    <row r="2685">
      <c r="A2685" s="22" t="n">
        <v>202008</v>
      </c>
      <c r="B2685" s="22" t="inlineStr">
        <is>
          <t>08/2020</t>
        </is>
      </c>
      <c r="C2685" s="22" t="n">
        <v>43</v>
      </c>
      <c r="D2685" s="22" t="inlineStr">
        <is>
          <t>S43</t>
        </is>
      </c>
      <c r="E2685" s="22" t="inlineStr">
        <is>
          <t>Nexa Alaska (S43)</t>
        </is>
      </c>
      <c r="F2685" s="22" t="inlineStr">
        <is>
          <t>Mỹ</t>
        </is>
      </c>
      <c r="G2685" s="22" t="inlineStr">
        <is>
          <t>POS</t>
        </is>
      </c>
      <c r="H2685" s="31" t="n">
        <v>15525.08</v>
      </c>
      <c r="I2685" s="31" t="n">
        <v>181.18</v>
      </c>
      <c r="J2685" s="31" t="n">
        <v>15343.9</v>
      </c>
      <c r="K2685" s="31" t="n">
        <v>269.95</v>
      </c>
      <c r="L2685" s="32" t="n">
        <v>5</v>
      </c>
      <c r="M2685" s="32" t="n">
        <v>42</v>
      </c>
      <c r="N2685" s="31" t="n">
        <v>15073.95</v>
      </c>
      <c r="O2685" s="31" t="n">
        <v>15343.9</v>
      </c>
      <c r="P2685" s="22" t="n">
        <v>0</v>
      </c>
      <c r="Q2685" s="22" t="n">
        <v>0</v>
      </c>
      <c r="R2685" s="22" t="n">
        <v>0</v>
      </c>
    </row>
    <row r="2686">
      <c r="A2686" s="22" t="n">
        <v>202008</v>
      </c>
      <c r="B2686" s="22" t="inlineStr">
        <is>
          <t>08/2020</t>
        </is>
      </c>
      <c r="C2686" s="22" t="n">
        <v>44</v>
      </c>
      <c r="D2686" s="22" t="inlineStr">
        <is>
          <t>S44</t>
        </is>
      </c>
      <c r="E2686" s="22" t="inlineStr">
        <is>
          <t>Nexa Arkansas (S44)</t>
        </is>
      </c>
      <c r="F2686" s="22" t="inlineStr">
        <is>
          <t>Mỹ</t>
        </is>
      </c>
      <c r="G2686" s="22" t="inlineStr">
        <is>
          <t>POS</t>
        </is>
      </c>
      <c r="H2686" s="31" t="n">
        <v>9833.540000000001</v>
      </c>
      <c r="I2686" s="31" t="n">
        <v>279.67</v>
      </c>
      <c r="J2686" s="31" t="n">
        <v>9553.870000000001</v>
      </c>
      <c r="K2686" s="31" t="n">
        <v>0</v>
      </c>
      <c r="L2686" s="32" t="n">
        <v>5</v>
      </c>
      <c r="M2686" s="32" t="n">
        <v>47</v>
      </c>
      <c r="N2686" s="31" t="n">
        <v>9553.870000000001</v>
      </c>
      <c r="O2686" s="31" t="n">
        <v>9553.870000000001</v>
      </c>
      <c r="P2686" s="22" t="n">
        <v>0</v>
      </c>
      <c r="Q2686" s="22" t="n">
        <v>0</v>
      </c>
      <c r="R2686" s="22" t="n">
        <v>0</v>
      </c>
    </row>
    <row r="2687">
      <c r="A2687" s="22" t="n">
        <v>202008</v>
      </c>
      <c r="B2687" s="22" t="inlineStr">
        <is>
          <t>08/2020</t>
        </is>
      </c>
      <c r="C2687" s="22" t="n">
        <v>45</v>
      </c>
      <c r="D2687" s="22" t="inlineStr">
        <is>
          <t>S45</t>
        </is>
      </c>
      <c r="E2687" s="22" t="inlineStr">
        <is>
          <t>Nexa Connecticut (S45)</t>
        </is>
      </c>
      <c r="F2687" s="22" t="inlineStr">
        <is>
          <t>Mỹ</t>
        </is>
      </c>
      <c r="G2687" s="22" t="inlineStr">
        <is>
          <t>POS</t>
        </is>
      </c>
      <c r="H2687" s="31" t="n">
        <v>16195.6</v>
      </c>
      <c r="I2687" s="31" t="n">
        <v>1356.7</v>
      </c>
      <c r="J2687" s="31" t="n">
        <v>14838.9</v>
      </c>
      <c r="K2687" s="31" t="n">
        <v>17.76</v>
      </c>
      <c r="L2687" s="32" t="n">
        <v>7</v>
      </c>
      <c r="M2687" s="32" t="n">
        <v>64</v>
      </c>
      <c r="N2687" s="31" t="n">
        <v>14821.14</v>
      </c>
      <c r="O2687" s="31" t="n">
        <v>14838.9</v>
      </c>
      <c r="P2687" s="22" t="n">
        <v>0</v>
      </c>
      <c r="Q2687" s="22" t="n">
        <v>0</v>
      </c>
      <c r="R2687" s="22" t="n">
        <v>0</v>
      </c>
    </row>
    <row r="2688">
      <c r="A2688" s="22" t="n">
        <v>202008</v>
      </c>
      <c r="B2688" s="22" t="inlineStr">
        <is>
          <t>08/2020</t>
        </is>
      </c>
      <c r="C2688" s="22" t="n">
        <v>47</v>
      </c>
      <c r="D2688" s="22" t="inlineStr">
        <is>
          <t>S47</t>
        </is>
      </c>
      <c r="E2688" s="22" t="inlineStr">
        <is>
          <t>Nexa Hawaii (S47)</t>
        </is>
      </c>
      <c r="F2688" s="22" t="inlineStr">
        <is>
          <t>Mỹ</t>
        </is>
      </c>
      <c r="G2688" s="22" t="inlineStr">
        <is>
          <t>POS</t>
        </is>
      </c>
      <c r="H2688" s="31" t="n">
        <v>5924.96</v>
      </c>
      <c r="I2688" s="31" t="n">
        <v>228.9</v>
      </c>
      <c r="J2688" s="31" t="n">
        <v>5696.06</v>
      </c>
      <c r="K2688" s="31" t="n">
        <v>0</v>
      </c>
      <c r="L2688" s="32" t="n">
        <v>4</v>
      </c>
      <c r="M2688" s="32" t="n">
        <v>9</v>
      </c>
      <c r="N2688" s="31" t="n">
        <v>5696.06</v>
      </c>
      <c r="O2688" s="31" t="n">
        <v>5696.06</v>
      </c>
      <c r="P2688" s="22" t="n">
        <v>0</v>
      </c>
      <c r="Q2688" s="22" t="n">
        <v>0</v>
      </c>
      <c r="R2688" s="22" t="n">
        <v>0</v>
      </c>
    </row>
    <row r="2689">
      <c r="A2689" s="22" t="n">
        <v>202008</v>
      </c>
      <c r="B2689" s="22" t="inlineStr">
        <is>
          <t>08/2020</t>
        </is>
      </c>
      <c r="C2689" s="22" t="n">
        <v>48</v>
      </c>
      <c r="D2689" s="22" t="inlineStr">
        <is>
          <t>S48</t>
        </is>
      </c>
      <c r="E2689" s="22" t="inlineStr">
        <is>
          <t>Nexa Idaho (S48)</t>
        </is>
      </c>
      <c r="F2689" s="22" t="inlineStr">
        <is>
          <t>Mỹ</t>
        </is>
      </c>
      <c r="G2689" s="22" t="inlineStr">
        <is>
          <t>POS</t>
        </is>
      </c>
      <c r="H2689" s="31" t="n">
        <v>3628.3</v>
      </c>
      <c r="I2689" s="31" t="n">
        <v>0</v>
      </c>
      <c r="J2689" s="31" t="n">
        <v>3628.3</v>
      </c>
      <c r="K2689" s="31" t="n">
        <v>0</v>
      </c>
      <c r="L2689" s="32" t="n">
        <v>2</v>
      </c>
      <c r="M2689" s="32" t="n">
        <v>18</v>
      </c>
      <c r="N2689" s="31" t="n">
        <v>3628.3</v>
      </c>
      <c r="O2689" s="31" t="n">
        <v>3628.3</v>
      </c>
      <c r="P2689" s="22" t="n">
        <v>1</v>
      </c>
      <c r="Q2689" s="22" t="n">
        <v>0</v>
      </c>
      <c r="R2689" s="22" t="n">
        <v>0</v>
      </c>
    </row>
    <row r="2690">
      <c r="A2690" s="22" t="n">
        <v>202008</v>
      </c>
      <c r="B2690" s="22" t="inlineStr">
        <is>
          <t>08/2020</t>
        </is>
      </c>
      <c r="C2690" s="22" t="n">
        <v>49</v>
      </c>
      <c r="D2690" s="22" t="inlineStr">
        <is>
          <t>S49</t>
        </is>
      </c>
      <c r="E2690" s="22" t="inlineStr">
        <is>
          <t>Nexa Iowa (S49)</t>
        </is>
      </c>
      <c r="F2690" s="22" t="inlineStr">
        <is>
          <t>Mỹ</t>
        </is>
      </c>
      <c r="G2690" s="22" t="inlineStr">
        <is>
          <t>POS</t>
        </is>
      </c>
      <c r="H2690" s="31" t="n">
        <v>14428.8</v>
      </c>
      <c r="I2690" s="31" t="n">
        <v>781.87</v>
      </c>
      <c r="J2690" s="31" t="n">
        <v>13646.93</v>
      </c>
      <c r="K2690" s="31" t="n">
        <v>1630</v>
      </c>
      <c r="L2690" s="32" t="n">
        <v>11</v>
      </c>
      <c r="M2690" s="32" t="n">
        <v>71</v>
      </c>
      <c r="N2690" s="31" t="n">
        <v>12016.93</v>
      </c>
      <c r="O2690" s="31" t="n">
        <v>13646.93</v>
      </c>
      <c r="P2690" s="22" t="n">
        <v>0</v>
      </c>
      <c r="Q2690" s="22" t="n">
        <v>0</v>
      </c>
      <c r="R2690" s="22" t="n">
        <v>0</v>
      </c>
    </row>
    <row r="2691">
      <c r="A2691" s="22" t="n">
        <v>202008</v>
      </c>
      <c r="B2691" s="22" t="inlineStr">
        <is>
          <t>08/2020</t>
        </is>
      </c>
      <c r="C2691" s="22" t="n">
        <v>50</v>
      </c>
      <c r="D2691" s="22" t="inlineStr">
        <is>
          <t>S50</t>
        </is>
      </c>
      <c r="E2691" s="22" t="inlineStr">
        <is>
          <t>Nexa Kansas (S50)</t>
        </is>
      </c>
      <c r="F2691" s="22" t="inlineStr">
        <is>
          <t>Mỹ</t>
        </is>
      </c>
      <c r="G2691" s="22" t="inlineStr">
        <is>
          <t>POS</t>
        </is>
      </c>
      <c r="H2691" s="31" t="n">
        <v>17408.18</v>
      </c>
      <c r="I2691" s="31" t="n">
        <v>1458.69</v>
      </c>
      <c r="J2691" s="31" t="n">
        <v>15949.49</v>
      </c>
      <c r="K2691" s="31" t="n">
        <v>0</v>
      </c>
      <c r="L2691" s="32" t="n">
        <v>8</v>
      </c>
      <c r="M2691" s="32" t="n">
        <v>53</v>
      </c>
      <c r="N2691" s="31" t="n">
        <v>15949.49</v>
      </c>
      <c r="O2691" s="31" t="n">
        <v>15949.49</v>
      </c>
      <c r="P2691" s="22" t="n">
        <v>1</v>
      </c>
      <c r="Q2691" s="22" t="n">
        <v>0</v>
      </c>
      <c r="R2691" s="22" t="n">
        <v>0</v>
      </c>
    </row>
    <row r="2692">
      <c r="A2692" s="22" t="n">
        <v>202008</v>
      </c>
      <c r="B2692" s="22" t="inlineStr">
        <is>
          <t>08/2020</t>
        </is>
      </c>
      <c r="C2692" s="22" t="n">
        <v>51</v>
      </c>
      <c r="D2692" s="22" t="inlineStr">
        <is>
          <t>S51</t>
        </is>
      </c>
      <c r="E2692" s="22" t="inlineStr">
        <is>
          <t>Nexa Maine (S51)</t>
        </is>
      </c>
      <c r="F2692" s="22" t="inlineStr">
        <is>
          <t>Mỹ</t>
        </is>
      </c>
      <c r="G2692" s="22" t="inlineStr">
        <is>
          <t>POS</t>
        </is>
      </c>
      <c r="H2692" s="31" t="n">
        <v>7953.91</v>
      </c>
      <c r="I2692" s="31" t="n">
        <v>154.25</v>
      </c>
      <c r="J2692" s="31" t="n">
        <v>7799.66</v>
      </c>
      <c r="K2692" s="31" t="n">
        <v>0</v>
      </c>
      <c r="L2692" s="32" t="n">
        <v>5</v>
      </c>
      <c r="M2692" s="32" t="n">
        <v>30</v>
      </c>
      <c r="N2692" s="31" t="n">
        <v>7799.66</v>
      </c>
      <c r="O2692" s="31" t="n">
        <v>7799.66</v>
      </c>
      <c r="P2692" s="22" t="n">
        <v>0</v>
      </c>
      <c r="Q2692" s="22" t="n">
        <v>0</v>
      </c>
      <c r="R2692" s="22" t="n">
        <v>0</v>
      </c>
    </row>
    <row r="2693">
      <c r="A2693" s="22" t="n">
        <v>202008</v>
      </c>
      <c r="B2693" s="22" t="inlineStr">
        <is>
          <t>08/2020</t>
        </is>
      </c>
      <c r="C2693" s="22" t="n">
        <v>53</v>
      </c>
      <c r="D2693" s="22" t="inlineStr">
        <is>
          <t>S53</t>
        </is>
      </c>
      <c r="E2693" s="22" t="inlineStr">
        <is>
          <t>Nexa Montana (S53)</t>
        </is>
      </c>
      <c r="F2693" s="22" t="inlineStr">
        <is>
          <t>Mỹ</t>
        </is>
      </c>
      <c r="G2693" s="22" t="inlineStr">
        <is>
          <t>POS</t>
        </is>
      </c>
      <c r="H2693" s="31" t="n">
        <v>14471.67</v>
      </c>
      <c r="I2693" s="31" t="n">
        <v>1427.18</v>
      </c>
      <c r="J2693" s="31" t="n">
        <v>13044.49</v>
      </c>
      <c r="K2693" s="31" t="n">
        <v>0</v>
      </c>
      <c r="L2693" s="32" t="n">
        <v>5</v>
      </c>
      <c r="M2693" s="32" t="n">
        <v>62</v>
      </c>
      <c r="N2693" s="31" t="n">
        <v>13044.49</v>
      </c>
      <c r="O2693" s="31" t="n">
        <v>13044.49</v>
      </c>
      <c r="P2693" s="22" t="n">
        <v>0</v>
      </c>
      <c r="Q2693" s="22" t="n">
        <v>0</v>
      </c>
      <c r="R2693" s="22" t="n">
        <v>0</v>
      </c>
    </row>
    <row r="2694">
      <c r="A2694" s="22" t="n">
        <v>202008</v>
      </c>
      <c r="B2694" s="22" t="inlineStr">
        <is>
          <t>08/2020</t>
        </is>
      </c>
      <c r="C2694" s="22" t="n">
        <v>54</v>
      </c>
      <c r="D2694" s="22" t="inlineStr">
        <is>
          <t>S54</t>
        </is>
      </c>
      <c r="E2694" s="22" t="inlineStr">
        <is>
          <t>Nexa Nebraska (S54)</t>
        </is>
      </c>
      <c r="F2694" s="22" t="inlineStr">
        <is>
          <t>Mỹ</t>
        </is>
      </c>
      <c r="G2694" s="22" t="inlineStr">
        <is>
          <t>POS</t>
        </is>
      </c>
      <c r="H2694" s="31" t="n">
        <v>4756.96</v>
      </c>
      <c r="I2694" s="31" t="n">
        <v>467.3</v>
      </c>
      <c r="J2694" s="31" t="n">
        <v>4289.66</v>
      </c>
      <c r="K2694" s="31" t="n">
        <v>0</v>
      </c>
      <c r="L2694" s="32" t="n">
        <v>3</v>
      </c>
      <c r="M2694" s="32" t="n">
        <v>15</v>
      </c>
      <c r="N2694" s="31" t="n">
        <v>4289.66</v>
      </c>
      <c r="O2694" s="31" t="n">
        <v>4289.66</v>
      </c>
      <c r="P2694" s="22" t="n">
        <v>0</v>
      </c>
      <c r="Q2694" s="22" t="n">
        <v>0</v>
      </c>
      <c r="R2694" s="22" t="n">
        <v>0</v>
      </c>
    </row>
    <row r="2695">
      <c r="A2695" s="22" t="n">
        <v>202008</v>
      </c>
      <c r="B2695" s="22" t="inlineStr">
        <is>
          <t>08/2020</t>
        </is>
      </c>
      <c r="C2695" s="22" t="n">
        <v>55</v>
      </c>
      <c r="D2695" s="22" t="inlineStr">
        <is>
          <t>S55</t>
        </is>
      </c>
      <c r="E2695" s="22" t="inlineStr">
        <is>
          <t>Nexa Nevada (S55)</t>
        </is>
      </c>
      <c r="F2695" s="22" t="inlineStr">
        <is>
          <t>Mỹ</t>
        </is>
      </c>
      <c r="G2695" s="22" t="inlineStr">
        <is>
          <t>POS</t>
        </is>
      </c>
      <c r="H2695" s="31" t="n">
        <v>6923.92</v>
      </c>
      <c r="I2695" s="31" t="n">
        <v>70.8</v>
      </c>
      <c r="J2695" s="31" t="n">
        <v>6853.12</v>
      </c>
      <c r="K2695" s="31" t="n">
        <v>9.99</v>
      </c>
      <c r="L2695" s="32" t="n">
        <v>4</v>
      </c>
      <c r="M2695" s="32" t="n">
        <v>18</v>
      </c>
      <c r="N2695" s="31" t="n">
        <v>6843.13</v>
      </c>
      <c r="O2695" s="31" t="n">
        <v>6853.12</v>
      </c>
      <c r="P2695" s="22" t="n">
        <v>0</v>
      </c>
      <c r="Q2695" s="22" t="n">
        <v>0</v>
      </c>
      <c r="R2695" s="22" t="n">
        <v>0</v>
      </c>
    </row>
    <row r="2696">
      <c r="A2696" s="22" t="n">
        <v>202008</v>
      </c>
      <c r="B2696" s="22" t="inlineStr">
        <is>
          <t>08/2020</t>
        </is>
      </c>
      <c r="C2696" s="22" t="n">
        <v>56</v>
      </c>
      <c r="D2696" s="22" t="inlineStr">
        <is>
          <t>S56</t>
        </is>
      </c>
      <c r="E2696" s="22" t="inlineStr">
        <is>
          <t>Nexa New Hampshire (S56)</t>
        </is>
      </c>
      <c r="F2696" s="22" t="inlineStr">
        <is>
          <t>Mỹ</t>
        </is>
      </c>
      <c r="G2696" s="22" t="inlineStr">
        <is>
          <t>POS</t>
        </is>
      </c>
      <c r="H2696" s="31" t="n">
        <v>10063.61</v>
      </c>
      <c r="I2696" s="31" t="n">
        <v>1006.38</v>
      </c>
      <c r="J2696" s="31" t="n">
        <v>9057.23</v>
      </c>
      <c r="K2696" s="31" t="n">
        <v>0</v>
      </c>
      <c r="L2696" s="32" t="n">
        <v>6</v>
      </c>
      <c r="M2696" s="32" t="n">
        <v>65</v>
      </c>
      <c r="N2696" s="31" t="n">
        <v>9057.23</v>
      </c>
      <c r="O2696" s="31" t="n">
        <v>9057.23</v>
      </c>
      <c r="P2696" s="22" t="n">
        <v>0</v>
      </c>
      <c r="Q2696" s="22" t="n">
        <v>0</v>
      </c>
      <c r="R2696" s="22" t="n">
        <v>0</v>
      </c>
    </row>
    <row r="2697">
      <c r="A2697" s="22" t="n">
        <v>202008</v>
      </c>
      <c r="B2697" s="22" t="inlineStr">
        <is>
          <t>08/2020</t>
        </is>
      </c>
      <c r="C2697" s="22" t="n">
        <v>57</v>
      </c>
      <c r="D2697" s="22" t="inlineStr">
        <is>
          <t>S57</t>
        </is>
      </c>
      <c r="E2697" s="22" t="inlineStr">
        <is>
          <t>Nexa New Mexico (S57)</t>
        </is>
      </c>
      <c r="F2697" s="22" t="inlineStr">
        <is>
          <t>Mỹ</t>
        </is>
      </c>
      <c r="G2697" s="22" t="inlineStr">
        <is>
          <t>POS</t>
        </is>
      </c>
      <c r="H2697" s="31" t="n">
        <v>219.9</v>
      </c>
      <c r="I2697" s="31" t="n">
        <v>21.99</v>
      </c>
      <c r="J2697" s="31" t="n">
        <v>197.91</v>
      </c>
      <c r="K2697" s="31" t="n">
        <v>0</v>
      </c>
      <c r="L2697" s="32" t="n">
        <v>1</v>
      </c>
      <c r="M2697" s="32" t="n">
        <v>2</v>
      </c>
      <c r="N2697" s="31" t="n">
        <v>197.91</v>
      </c>
      <c r="O2697" s="31" t="n">
        <v>197.91</v>
      </c>
      <c r="P2697" s="22" t="n">
        <v>0</v>
      </c>
      <c r="Q2697" s="22" t="n">
        <v>0</v>
      </c>
      <c r="R2697" s="22" t="n">
        <v>0</v>
      </c>
    </row>
    <row r="2698">
      <c r="A2698" s="22" t="n">
        <v>202008</v>
      </c>
      <c r="B2698" s="22" t="inlineStr">
        <is>
          <t>08/2020</t>
        </is>
      </c>
      <c r="C2698" s="22" t="n">
        <v>59</v>
      </c>
      <c r="D2698" s="22" t="inlineStr">
        <is>
          <t>S59</t>
        </is>
      </c>
      <c r="E2698" s="22" t="inlineStr">
        <is>
          <t>Nexa Oregon (S59)</t>
        </is>
      </c>
      <c r="F2698" s="22" t="inlineStr">
        <is>
          <t>Mỹ</t>
        </is>
      </c>
      <c r="G2698" s="22" t="inlineStr">
        <is>
          <t>POS</t>
        </is>
      </c>
      <c r="H2698" s="31" t="n">
        <v>8043.95</v>
      </c>
      <c r="I2698" s="31" t="n">
        <v>109.9</v>
      </c>
      <c r="J2698" s="31" t="n">
        <v>7934.05</v>
      </c>
      <c r="K2698" s="31" t="n">
        <v>50.97</v>
      </c>
      <c r="L2698" s="32" t="n">
        <v>3</v>
      </c>
      <c r="M2698" s="32" t="n">
        <v>44</v>
      </c>
      <c r="N2698" s="31" t="n">
        <v>7883.08</v>
      </c>
      <c r="O2698" s="31" t="n">
        <v>7934.05</v>
      </c>
      <c r="P2698" s="22" t="n">
        <v>0</v>
      </c>
      <c r="Q2698" s="22" t="n">
        <v>0</v>
      </c>
      <c r="R2698" s="22" t="n">
        <v>1</v>
      </c>
    </row>
    <row r="2699">
      <c r="A2699" s="22" t="n">
        <v>202008</v>
      </c>
      <c r="B2699" s="22" t="inlineStr">
        <is>
          <t>08/2020</t>
        </is>
      </c>
      <c r="C2699" s="22" t="n">
        <v>61</v>
      </c>
      <c r="D2699" s="22" t="inlineStr">
        <is>
          <t>S61</t>
        </is>
      </c>
      <c r="E2699" s="22" t="inlineStr">
        <is>
          <t>Nexa South Carolina (S61)</t>
        </is>
      </c>
      <c r="F2699" s="22" t="inlineStr">
        <is>
          <t>Mỹ</t>
        </is>
      </c>
      <c r="G2699" s="22" t="inlineStr">
        <is>
          <t>POS</t>
        </is>
      </c>
      <c r="H2699" s="31" t="n">
        <v>1800.28</v>
      </c>
      <c r="I2699" s="31" t="n">
        <v>142.03</v>
      </c>
      <c r="J2699" s="31" t="n">
        <v>1658.25</v>
      </c>
      <c r="K2699" s="31" t="n">
        <v>1199.74</v>
      </c>
      <c r="L2699" s="32" t="n">
        <v>4</v>
      </c>
      <c r="M2699" s="32" t="n">
        <v>22</v>
      </c>
      <c r="N2699" s="31" t="n">
        <v>458.51</v>
      </c>
      <c r="O2699" s="31" t="n">
        <v>1658.25</v>
      </c>
      <c r="P2699" s="22" t="n">
        <v>0</v>
      </c>
      <c r="Q2699" s="22" t="n">
        <v>0</v>
      </c>
      <c r="R2699" s="22" t="n">
        <v>0</v>
      </c>
    </row>
    <row r="2700">
      <c r="A2700" s="22" t="n">
        <v>202008</v>
      </c>
      <c r="B2700" s="22" t="inlineStr">
        <is>
          <t>08/2020</t>
        </is>
      </c>
      <c r="C2700" s="22" t="n">
        <v>62</v>
      </c>
      <c r="D2700" s="22" t="inlineStr">
        <is>
          <t>S62</t>
        </is>
      </c>
      <c r="E2700" s="22" t="inlineStr">
        <is>
          <t>Nexa South Dakota (S62)</t>
        </is>
      </c>
      <c r="F2700" s="22" t="inlineStr">
        <is>
          <t>Mỹ</t>
        </is>
      </c>
      <c r="G2700" s="22" t="inlineStr">
        <is>
          <t>POS</t>
        </is>
      </c>
      <c r="H2700" s="31" t="n">
        <v>16956.05</v>
      </c>
      <c r="I2700" s="31" t="n">
        <v>1643.79</v>
      </c>
      <c r="J2700" s="31" t="n">
        <v>15312.26</v>
      </c>
      <c r="K2700" s="31" t="n">
        <v>568</v>
      </c>
      <c r="L2700" s="32" t="n">
        <v>6</v>
      </c>
      <c r="M2700" s="32" t="n">
        <v>35</v>
      </c>
      <c r="N2700" s="31" t="n">
        <v>14744.26</v>
      </c>
      <c r="O2700" s="31" t="n">
        <v>15312.26</v>
      </c>
      <c r="P2700" s="22" t="n">
        <v>0</v>
      </c>
      <c r="Q2700" s="22" t="n">
        <v>0</v>
      </c>
      <c r="R2700" s="22" t="n">
        <v>0</v>
      </c>
    </row>
    <row r="2701">
      <c r="A2701" s="22" t="n">
        <v>202008</v>
      </c>
      <c r="B2701" s="22" t="inlineStr">
        <is>
          <t>08/2020</t>
        </is>
      </c>
      <c r="C2701" s="22" t="n">
        <v>64</v>
      </c>
      <c r="D2701" s="22" t="inlineStr">
        <is>
          <t>S64</t>
        </is>
      </c>
      <c r="E2701" s="22" t="inlineStr">
        <is>
          <t>Nexa Washington DC (S64)</t>
        </is>
      </c>
      <c r="F2701" s="22" t="inlineStr">
        <is>
          <t>Mỹ</t>
        </is>
      </c>
      <c r="G2701" s="22" t="inlineStr">
        <is>
          <t>POS</t>
        </is>
      </c>
      <c r="H2701" s="31" t="n">
        <v>18762.26</v>
      </c>
      <c r="I2701" s="31" t="n">
        <v>216.48</v>
      </c>
      <c r="J2701" s="31" t="n">
        <v>18545.78</v>
      </c>
      <c r="K2701" s="31" t="n">
        <v>699</v>
      </c>
      <c r="L2701" s="32" t="n">
        <v>5</v>
      </c>
      <c r="M2701" s="32" t="n">
        <v>44</v>
      </c>
      <c r="N2701" s="31" t="n">
        <v>17846.78</v>
      </c>
      <c r="O2701" s="31" t="n">
        <v>18545.78</v>
      </c>
      <c r="P2701" s="22" t="n">
        <v>0</v>
      </c>
      <c r="Q2701" s="22" t="n">
        <v>0</v>
      </c>
      <c r="R2701" s="22" t="n">
        <v>0</v>
      </c>
    </row>
    <row r="2702">
      <c r="A2702" s="22" t="n">
        <v>202008</v>
      </c>
      <c r="B2702" s="22" t="inlineStr">
        <is>
          <t>08/2020</t>
        </is>
      </c>
      <c r="C2702" s="22" t="n">
        <v>65</v>
      </c>
      <c r="D2702" s="22" t="inlineStr">
        <is>
          <t>S65</t>
        </is>
      </c>
      <c r="E2702" s="22" t="inlineStr">
        <is>
          <t>Nexa West Virginia (S65)</t>
        </is>
      </c>
      <c r="F2702" s="22" t="inlineStr">
        <is>
          <t>Mỹ</t>
        </is>
      </c>
      <c r="G2702" s="22" t="inlineStr">
        <is>
          <t>POS</t>
        </is>
      </c>
      <c r="H2702" s="31" t="n">
        <v>5542.36</v>
      </c>
      <c r="I2702" s="31" t="n">
        <v>316</v>
      </c>
      <c r="J2702" s="31" t="n">
        <v>5226.36</v>
      </c>
      <c r="K2702" s="31" t="n">
        <v>1199.4</v>
      </c>
      <c r="L2702" s="32" t="n">
        <v>3</v>
      </c>
      <c r="M2702" s="32" t="n">
        <v>19</v>
      </c>
      <c r="N2702" s="31" t="n">
        <v>4026.96</v>
      </c>
      <c r="O2702" s="31" t="n">
        <v>5226.36</v>
      </c>
      <c r="P2702" s="22" t="n">
        <v>0</v>
      </c>
      <c r="Q2702" s="22" t="n">
        <v>0</v>
      </c>
      <c r="R2702" s="22" t="n">
        <v>0</v>
      </c>
    </row>
    <row r="2703">
      <c r="A2703" s="22" t="n">
        <v>202008</v>
      </c>
      <c r="B2703" s="22" t="inlineStr">
        <is>
          <t>08/2020</t>
        </is>
      </c>
      <c r="C2703" s="22" t="n">
        <v>66</v>
      </c>
      <c r="D2703" s="22" t="inlineStr">
        <is>
          <t>S66</t>
        </is>
      </c>
      <c r="E2703" s="22" t="inlineStr">
        <is>
          <t>Nexa Wyoming (S66)</t>
        </is>
      </c>
      <c r="F2703" s="22" t="inlineStr">
        <is>
          <t>Mỹ</t>
        </is>
      </c>
      <c r="G2703" s="22" t="inlineStr">
        <is>
          <t>POS</t>
        </is>
      </c>
      <c r="H2703" s="31" t="n">
        <v>5497.22</v>
      </c>
      <c r="I2703" s="31" t="n">
        <v>472.46</v>
      </c>
      <c r="J2703" s="31" t="n">
        <v>5024.76</v>
      </c>
      <c r="K2703" s="31" t="n">
        <v>239.4</v>
      </c>
      <c r="L2703" s="32" t="n">
        <v>6</v>
      </c>
      <c r="M2703" s="32" t="n">
        <v>44</v>
      </c>
      <c r="N2703" s="31" t="n">
        <v>4785.36</v>
      </c>
      <c r="O2703" s="31" t="n">
        <v>5024.76</v>
      </c>
      <c r="P2703" s="22" t="n">
        <v>0</v>
      </c>
      <c r="Q2703" s="22" t="n">
        <v>0</v>
      </c>
      <c r="R2703" s="22" t="n">
        <v>0</v>
      </c>
    </row>
    <row r="2704">
      <c r="A2704" s="22" t="n">
        <v>202009</v>
      </c>
      <c r="B2704" s="22" t="inlineStr">
        <is>
          <t>09/2020</t>
        </is>
      </c>
      <c r="C2704" s="22" t="n">
        <v>0</v>
      </c>
      <c r="D2704" s="22" t="inlineStr">
        <is>
          <t>ONL</t>
        </is>
      </c>
      <c r="E2704" s="22" t="inlineStr">
        <is>
          <t>Nexa Online (website/app)</t>
        </is>
      </c>
      <c r="F2704" s="22" t="inlineStr">
        <is>
          <t>Online</t>
        </is>
      </c>
      <c r="G2704" s="22" t="inlineStr">
        <is>
          <t>ONLINE</t>
        </is>
      </c>
      <c r="H2704" s="31" t="n">
        <v>88755.7</v>
      </c>
      <c r="I2704" s="31" t="n">
        <v>3002.61</v>
      </c>
      <c r="J2704" s="31" t="n">
        <v>85753.09</v>
      </c>
      <c r="K2704" s="31" t="n">
        <v>0</v>
      </c>
      <c r="L2704" s="32" t="n">
        <v>50</v>
      </c>
      <c r="M2704" s="32" t="n">
        <v>344</v>
      </c>
      <c r="N2704" s="31" t="n">
        <v>81188.59</v>
      </c>
      <c r="O2704" s="31" t="n">
        <v>81188.59</v>
      </c>
      <c r="P2704" s="22" t="n">
        <v>3</v>
      </c>
      <c r="Q2704" s="22" t="n">
        <v>0</v>
      </c>
      <c r="R2704" s="22" t="n">
        <v>0</v>
      </c>
    </row>
    <row r="2705">
      <c r="A2705" s="22" t="n">
        <v>202009</v>
      </c>
      <c r="B2705" s="22" t="inlineStr">
        <is>
          <t>09/2020</t>
        </is>
      </c>
      <c r="C2705" s="22" t="n">
        <v>5</v>
      </c>
      <c r="D2705" s="22" t="inlineStr">
        <is>
          <t>S05</t>
        </is>
      </c>
      <c r="E2705" s="22" t="inlineStr">
        <is>
          <t>Nexa Victoria (S05)</t>
        </is>
      </c>
      <c r="F2705" s="22" t="inlineStr">
        <is>
          <t>Úc</t>
        </is>
      </c>
      <c r="G2705" s="22" t="inlineStr">
        <is>
          <t>POS</t>
        </is>
      </c>
      <c r="H2705" s="31" t="n">
        <v>0</v>
      </c>
      <c r="I2705" s="31" t="n">
        <v>0</v>
      </c>
      <c r="J2705" s="31" t="n">
        <v>0</v>
      </c>
      <c r="K2705" s="31" t="n">
        <v>53.99</v>
      </c>
      <c r="L2705" s="32" t="n">
        <v>0</v>
      </c>
      <c r="M2705" s="32" t="n">
        <v>0</v>
      </c>
      <c r="N2705" s="31" t="n">
        <v>-53.99</v>
      </c>
      <c r="O2705" s="31" t="n">
        <v>0</v>
      </c>
      <c r="P2705" s="22" t="n">
        <v>0</v>
      </c>
      <c r="Q2705" s="22" t="n">
        <v>0</v>
      </c>
      <c r="R2705" s="22" t="n">
        <v>0</v>
      </c>
    </row>
    <row r="2706">
      <c r="A2706" s="22" t="n">
        <v>202009</v>
      </c>
      <c r="B2706" s="22" t="inlineStr">
        <is>
          <t>09/2020</t>
        </is>
      </c>
      <c r="C2706" s="22" t="n">
        <v>6</v>
      </c>
      <c r="D2706" s="22" t="inlineStr">
        <is>
          <t>S06</t>
        </is>
      </c>
      <c r="E2706" s="22" t="inlineStr">
        <is>
          <t>Nexa Western Australia (S06)</t>
        </is>
      </c>
      <c r="F2706" s="22" t="inlineStr">
        <is>
          <t>Úc</t>
        </is>
      </c>
      <c r="G2706" s="22" t="inlineStr">
        <is>
          <t>POS</t>
        </is>
      </c>
      <c r="H2706" s="31" t="n">
        <v>15772.57</v>
      </c>
      <c r="I2706" s="31" t="n">
        <v>0</v>
      </c>
      <c r="J2706" s="31" t="n">
        <v>15772.57</v>
      </c>
      <c r="K2706" s="31" t="n">
        <v>19.98</v>
      </c>
      <c r="L2706" s="32" t="n">
        <v>2</v>
      </c>
      <c r="M2706" s="32" t="n">
        <v>31</v>
      </c>
      <c r="N2706" s="31" t="n">
        <v>15752.59</v>
      </c>
      <c r="O2706" s="31" t="n">
        <v>15772.57</v>
      </c>
      <c r="P2706" s="22" t="n">
        <v>1</v>
      </c>
      <c r="Q2706" s="22" t="n">
        <v>0</v>
      </c>
      <c r="R2706" s="22" t="n">
        <v>0</v>
      </c>
    </row>
    <row r="2707">
      <c r="A2707" s="22" t="n">
        <v>202009</v>
      </c>
      <c r="B2707" s="22" t="inlineStr">
        <is>
          <t>09/2020</t>
        </is>
      </c>
      <c r="C2707" s="22" t="n">
        <v>8</v>
      </c>
      <c r="D2707" s="22" t="inlineStr">
        <is>
          <t>S08</t>
        </is>
      </c>
      <c r="E2707" s="22" t="inlineStr">
        <is>
          <t>Nexa Newfoundland and Labrador (S08)</t>
        </is>
      </c>
      <c r="F2707" s="22" t="inlineStr">
        <is>
          <t>Canada</t>
        </is>
      </c>
      <c r="G2707" s="22" t="inlineStr">
        <is>
          <t>POS</t>
        </is>
      </c>
      <c r="H2707" s="31" t="n">
        <v>8185.98</v>
      </c>
      <c r="I2707" s="31" t="n">
        <v>625.5</v>
      </c>
      <c r="J2707" s="31" t="n">
        <v>7560.48</v>
      </c>
      <c r="K2707" s="31" t="n">
        <v>115</v>
      </c>
      <c r="L2707" s="32" t="n">
        <v>4</v>
      </c>
      <c r="M2707" s="32" t="n">
        <v>29</v>
      </c>
      <c r="N2707" s="31" t="n">
        <v>7445.48</v>
      </c>
      <c r="O2707" s="31" t="n">
        <v>7560.48</v>
      </c>
      <c r="P2707" s="22" t="n">
        <v>0</v>
      </c>
      <c r="Q2707" s="22" t="n">
        <v>0</v>
      </c>
      <c r="R2707" s="22" t="n">
        <v>0</v>
      </c>
    </row>
    <row r="2708">
      <c r="A2708" s="22" t="n">
        <v>202009</v>
      </c>
      <c r="B2708" s="22" t="inlineStr">
        <is>
          <t>09/2020</t>
        </is>
      </c>
      <c r="C2708" s="22" t="n">
        <v>10</v>
      </c>
      <c r="D2708" s="22" t="inlineStr">
        <is>
          <t>S10</t>
        </is>
      </c>
      <c r="E2708" s="22" t="inlineStr">
        <is>
          <t>Nexa Nunavut (S10)</t>
        </is>
      </c>
      <c r="F2708" s="22" t="inlineStr">
        <is>
          <t>Canada</t>
        </is>
      </c>
      <c r="G2708" s="22" t="inlineStr">
        <is>
          <t>POS</t>
        </is>
      </c>
      <c r="H2708" s="31" t="n">
        <v>10983.05</v>
      </c>
      <c r="I2708" s="31" t="n">
        <v>296.69</v>
      </c>
      <c r="J2708" s="31" t="n">
        <v>10686.36</v>
      </c>
      <c r="K2708" s="31" t="n">
        <v>0</v>
      </c>
      <c r="L2708" s="32" t="n">
        <v>4</v>
      </c>
      <c r="M2708" s="32" t="n">
        <v>52</v>
      </c>
      <c r="N2708" s="31" t="n">
        <v>10686.36</v>
      </c>
      <c r="O2708" s="31" t="n">
        <v>10686.36</v>
      </c>
      <c r="P2708" s="22" t="n">
        <v>0</v>
      </c>
      <c r="Q2708" s="22" t="n">
        <v>0</v>
      </c>
      <c r="R2708" s="22" t="n">
        <v>0</v>
      </c>
    </row>
    <row r="2709">
      <c r="A2709" s="22" t="n">
        <v>202009</v>
      </c>
      <c r="B2709" s="22" t="inlineStr">
        <is>
          <t>09/2020</t>
        </is>
      </c>
      <c r="C2709" s="22" t="n">
        <v>15</v>
      </c>
      <c r="D2709" s="22" t="inlineStr">
        <is>
          <t>S15</t>
        </is>
      </c>
      <c r="E2709" s="22" t="inlineStr">
        <is>
          <t>Nexa La Réunion (S15)</t>
        </is>
      </c>
      <c r="F2709" s="22" t="inlineStr">
        <is>
          <t>Pháp</t>
        </is>
      </c>
      <c r="G2709" s="22" t="inlineStr">
        <is>
          <t>POS</t>
        </is>
      </c>
      <c r="H2709" s="31" t="n">
        <v>3961.7</v>
      </c>
      <c r="I2709" s="31" t="n">
        <v>0</v>
      </c>
      <c r="J2709" s="31" t="n">
        <v>3961.7</v>
      </c>
      <c r="K2709" s="31" t="n">
        <v>0</v>
      </c>
      <c r="L2709" s="32" t="n">
        <v>1</v>
      </c>
      <c r="M2709" s="32" t="n">
        <v>14</v>
      </c>
      <c r="N2709" s="31" t="n">
        <v>3961.7</v>
      </c>
      <c r="O2709" s="31" t="n">
        <v>3961.7</v>
      </c>
      <c r="P2709" s="22" t="n">
        <v>0</v>
      </c>
      <c r="Q2709" s="22" t="n">
        <v>0</v>
      </c>
      <c r="R2709" s="22" t="n">
        <v>0</v>
      </c>
    </row>
    <row r="2710">
      <c r="A2710" s="22" t="n">
        <v>202009</v>
      </c>
      <c r="B2710" s="22" t="inlineStr">
        <is>
          <t>09/2020</t>
        </is>
      </c>
      <c r="C2710" s="22" t="n">
        <v>16</v>
      </c>
      <c r="D2710" s="22" t="inlineStr">
        <is>
          <t>S16</t>
        </is>
      </c>
      <c r="E2710" s="22" t="inlineStr">
        <is>
          <t>Nexa Limousin (S16)</t>
        </is>
      </c>
      <c r="F2710" s="22" t="inlineStr">
        <is>
          <t>Pháp</t>
        </is>
      </c>
      <c r="G2710" s="22" t="inlineStr">
        <is>
          <t>POS</t>
        </is>
      </c>
      <c r="H2710" s="31" t="n">
        <v>371</v>
      </c>
      <c r="I2710" s="31" t="n">
        <v>37.1</v>
      </c>
      <c r="J2710" s="31" t="n">
        <v>333.9</v>
      </c>
      <c r="K2710" s="31" t="n">
        <v>0</v>
      </c>
      <c r="L2710" s="32" t="n">
        <v>1</v>
      </c>
      <c r="M2710" s="32" t="n">
        <v>2</v>
      </c>
      <c r="N2710" s="31" t="n">
        <v>333.9</v>
      </c>
      <c r="O2710" s="31" t="n">
        <v>333.9</v>
      </c>
      <c r="P2710" s="22" t="n">
        <v>0</v>
      </c>
      <c r="Q2710" s="22" t="n">
        <v>0</v>
      </c>
      <c r="R2710" s="22" t="n">
        <v>0</v>
      </c>
    </row>
    <row r="2711">
      <c r="A2711" s="22" t="n">
        <v>202009</v>
      </c>
      <c r="B2711" s="22" t="inlineStr">
        <is>
          <t>09/2020</t>
        </is>
      </c>
      <c r="C2711" s="22" t="n">
        <v>17</v>
      </c>
      <c r="D2711" s="22" t="inlineStr">
        <is>
          <t>S17</t>
        </is>
      </c>
      <c r="E2711" s="22" t="inlineStr">
        <is>
          <t>Nexa Martinique (S17)</t>
        </is>
      </c>
      <c r="F2711" s="22" t="inlineStr">
        <is>
          <t>Pháp</t>
        </is>
      </c>
      <c r="G2711" s="22" t="inlineStr">
        <is>
          <t>POS</t>
        </is>
      </c>
      <c r="H2711" s="31" t="n">
        <v>3708</v>
      </c>
      <c r="I2711" s="31" t="n">
        <v>370.8</v>
      </c>
      <c r="J2711" s="31" t="n">
        <v>3337.2</v>
      </c>
      <c r="K2711" s="31" t="n">
        <v>0</v>
      </c>
      <c r="L2711" s="32" t="n">
        <v>1</v>
      </c>
      <c r="M2711" s="32" t="n">
        <v>10</v>
      </c>
      <c r="N2711" s="31" t="n">
        <v>3337.2</v>
      </c>
      <c r="O2711" s="31" t="n">
        <v>3337.2</v>
      </c>
      <c r="P2711" s="22" t="n">
        <v>0</v>
      </c>
      <c r="Q2711" s="22" t="n">
        <v>0</v>
      </c>
      <c r="R2711" s="22" t="n">
        <v>0</v>
      </c>
    </row>
    <row r="2712">
      <c r="A2712" s="22" t="n">
        <v>202009</v>
      </c>
      <c r="B2712" s="22" t="inlineStr">
        <is>
          <t>09/2020</t>
        </is>
      </c>
      <c r="C2712" s="22" t="n">
        <v>19</v>
      </c>
      <c r="D2712" s="22" t="inlineStr">
        <is>
          <t>S19</t>
        </is>
      </c>
      <c r="E2712" s="22" t="inlineStr">
        <is>
          <t>Nexa Berlin (S19)</t>
        </is>
      </c>
      <c r="F2712" s="22" t="inlineStr">
        <is>
          <t>Đức</t>
        </is>
      </c>
      <c r="G2712" s="22" t="inlineStr">
        <is>
          <t>POS</t>
        </is>
      </c>
      <c r="H2712" s="31" t="n">
        <v>6368.59</v>
      </c>
      <c r="I2712" s="31" t="n">
        <v>131.4</v>
      </c>
      <c r="J2712" s="31" t="n">
        <v>6237.19</v>
      </c>
      <c r="K2712" s="31" t="n">
        <v>0</v>
      </c>
      <c r="L2712" s="32" t="n">
        <v>3</v>
      </c>
      <c r="M2712" s="32" t="n">
        <v>11</v>
      </c>
      <c r="N2712" s="31" t="n">
        <v>6237.19</v>
      </c>
      <c r="O2712" s="31" t="n">
        <v>6237.19</v>
      </c>
      <c r="P2712" s="22" t="n">
        <v>0</v>
      </c>
      <c r="Q2712" s="22" t="n">
        <v>0</v>
      </c>
      <c r="R2712" s="22" t="n">
        <v>0</v>
      </c>
    </row>
    <row r="2713">
      <c r="A2713" s="22" t="n">
        <v>202009</v>
      </c>
      <c r="B2713" s="22" t="inlineStr">
        <is>
          <t>09/2020</t>
        </is>
      </c>
      <c r="C2713" s="22" t="n">
        <v>22</v>
      </c>
      <c r="D2713" s="22" t="inlineStr">
        <is>
          <t>S22</t>
        </is>
      </c>
      <c r="E2713" s="22" t="inlineStr">
        <is>
          <t>Nexa Freistaat Thüringen (S22)</t>
        </is>
      </c>
      <c r="F2713" s="22" t="inlineStr">
        <is>
          <t>Đức</t>
        </is>
      </c>
      <c r="G2713" s="22" t="inlineStr">
        <is>
          <t>POS</t>
        </is>
      </c>
      <c r="H2713" s="31" t="n">
        <v>6748.7</v>
      </c>
      <c r="I2713" s="31" t="n">
        <v>0</v>
      </c>
      <c r="J2713" s="31" t="n">
        <v>6748.7</v>
      </c>
      <c r="K2713" s="31" t="n">
        <v>0</v>
      </c>
      <c r="L2713" s="32" t="n">
        <v>1</v>
      </c>
      <c r="M2713" s="32" t="n">
        <v>16</v>
      </c>
      <c r="N2713" s="31" t="n">
        <v>6748.7</v>
      </c>
      <c r="O2713" s="31" t="n">
        <v>6748.7</v>
      </c>
      <c r="P2713" s="22" t="n">
        <v>0</v>
      </c>
      <c r="Q2713" s="22" t="n">
        <v>0</v>
      </c>
      <c r="R2713" s="22" t="n">
        <v>0</v>
      </c>
    </row>
    <row r="2714">
      <c r="A2714" s="22" t="n">
        <v>202009</v>
      </c>
      <c r="B2714" s="22" t="inlineStr">
        <is>
          <t>09/2020</t>
        </is>
      </c>
      <c r="C2714" s="22" t="n">
        <v>23</v>
      </c>
      <c r="D2714" s="22" t="inlineStr">
        <is>
          <t>S23</t>
        </is>
      </c>
      <c r="E2714" s="22" t="inlineStr">
        <is>
          <t>Nexa Hamburg (S23)</t>
        </is>
      </c>
      <c r="F2714" s="22" t="inlineStr">
        <is>
          <t>Đức</t>
        </is>
      </c>
      <c r="G2714" s="22" t="inlineStr">
        <is>
          <t>POS</t>
        </is>
      </c>
      <c r="H2714" s="31" t="n">
        <v>434.95</v>
      </c>
      <c r="I2714" s="31" t="n">
        <v>0</v>
      </c>
      <c r="J2714" s="31" t="n">
        <v>434.95</v>
      </c>
      <c r="K2714" s="31" t="n">
        <v>0</v>
      </c>
      <c r="L2714" s="32" t="n">
        <v>2</v>
      </c>
      <c r="M2714" s="32" t="n">
        <v>5</v>
      </c>
      <c r="N2714" s="31" t="n">
        <v>434.95</v>
      </c>
      <c r="O2714" s="31" t="n">
        <v>434.95</v>
      </c>
      <c r="P2714" s="22" t="n">
        <v>0</v>
      </c>
      <c r="Q2714" s="22" t="n">
        <v>0</v>
      </c>
      <c r="R2714" s="22" t="n">
        <v>0</v>
      </c>
    </row>
    <row r="2715">
      <c r="A2715" s="22" t="n">
        <v>202009</v>
      </c>
      <c r="B2715" s="22" t="inlineStr">
        <is>
          <t>09/2020</t>
        </is>
      </c>
      <c r="C2715" s="22" t="n">
        <v>26</v>
      </c>
      <c r="D2715" s="22" t="inlineStr">
        <is>
          <t>S26</t>
        </is>
      </c>
      <c r="E2715" s="22" t="inlineStr">
        <is>
          <t>Nexa Saarland (S26)</t>
        </is>
      </c>
      <c r="F2715" s="22" t="inlineStr">
        <is>
          <t>Đức</t>
        </is>
      </c>
      <c r="G2715" s="22" t="inlineStr">
        <is>
          <t>POS</t>
        </is>
      </c>
      <c r="H2715" s="31" t="n">
        <v>299.98</v>
      </c>
      <c r="I2715" s="31" t="n">
        <v>30</v>
      </c>
      <c r="J2715" s="31" t="n">
        <v>269.98</v>
      </c>
      <c r="K2715" s="31" t="n">
        <v>0</v>
      </c>
      <c r="L2715" s="32" t="n">
        <v>1</v>
      </c>
      <c r="M2715" s="32" t="n">
        <v>2</v>
      </c>
      <c r="N2715" s="31" t="n">
        <v>269.98</v>
      </c>
      <c r="O2715" s="31" t="n">
        <v>269.98</v>
      </c>
      <c r="P2715" s="22" t="n">
        <v>1</v>
      </c>
      <c r="Q2715" s="22" t="n">
        <v>0</v>
      </c>
      <c r="R2715" s="22" t="n">
        <v>0</v>
      </c>
    </row>
    <row r="2716">
      <c r="A2716" s="22" t="n">
        <v>202009</v>
      </c>
      <c r="B2716" s="22" t="inlineStr">
        <is>
          <t>09/2020</t>
        </is>
      </c>
      <c r="C2716" s="22" t="n">
        <v>27</v>
      </c>
      <c r="D2716" s="22" t="inlineStr">
        <is>
          <t>S27</t>
        </is>
      </c>
      <c r="E2716" s="22" t="inlineStr">
        <is>
          <t>Nexa Sachsen-Anhalt (S27)</t>
        </is>
      </c>
      <c r="F2716" s="22" t="inlineStr">
        <is>
          <t>Đức</t>
        </is>
      </c>
      <c r="G2716" s="22" t="inlineStr">
        <is>
          <t>POS</t>
        </is>
      </c>
      <c r="H2716" s="31" t="n">
        <v>768.86</v>
      </c>
      <c r="I2716" s="31" t="n">
        <v>53.99</v>
      </c>
      <c r="J2716" s="31" t="n">
        <v>714.87</v>
      </c>
      <c r="K2716" s="31" t="n">
        <v>0</v>
      </c>
      <c r="L2716" s="32" t="n">
        <v>2</v>
      </c>
      <c r="M2716" s="32" t="n">
        <v>6</v>
      </c>
      <c r="N2716" s="31" t="n">
        <v>714.87</v>
      </c>
      <c r="O2716" s="31" t="n">
        <v>714.87</v>
      </c>
      <c r="P2716" s="22" t="n">
        <v>0</v>
      </c>
      <c r="Q2716" s="22" t="n">
        <v>0</v>
      </c>
      <c r="R2716" s="22" t="n">
        <v>0</v>
      </c>
    </row>
    <row r="2717">
      <c r="A2717" s="22" t="n">
        <v>202009</v>
      </c>
      <c r="B2717" s="22" t="inlineStr">
        <is>
          <t>09/2020</t>
        </is>
      </c>
      <c r="C2717" s="22" t="n">
        <v>29</v>
      </c>
      <c r="D2717" s="22" t="inlineStr">
        <is>
          <t>S29</t>
        </is>
      </c>
      <c r="E2717" s="22" t="inlineStr">
        <is>
          <t>Nexa Enna (S29)</t>
        </is>
      </c>
      <c r="F2717" s="22" t="inlineStr">
        <is>
          <t>Ý</t>
        </is>
      </c>
      <c r="G2717" s="22" t="inlineStr">
        <is>
          <t>POS</t>
        </is>
      </c>
      <c r="H2717" s="31" t="n">
        <v>6571.08</v>
      </c>
      <c r="I2717" s="31" t="n">
        <v>0</v>
      </c>
      <c r="J2717" s="31" t="n">
        <v>6571.08</v>
      </c>
      <c r="K2717" s="31" t="n">
        <v>0</v>
      </c>
      <c r="L2717" s="32" t="n">
        <v>1</v>
      </c>
      <c r="M2717" s="32" t="n">
        <v>16</v>
      </c>
      <c r="N2717" s="31" t="n">
        <v>6571.08</v>
      </c>
      <c r="O2717" s="31" t="n">
        <v>6571.08</v>
      </c>
      <c r="P2717" s="22" t="n">
        <v>0</v>
      </c>
      <c r="Q2717" s="22" t="n">
        <v>0</v>
      </c>
      <c r="R2717" s="22" t="n">
        <v>0</v>
      </c>
    </row>
    <row r="2718">
      <c r="A2718" s="22" t="n">
        <v>202009</v>
      </c>
      <c r="B2718" s="22" t="inlineStr">
        <is>
          <t>09/2020</t>
        </is>
      </c>
      <c r="C2718" s="22" t="n">
        <v>32</v>
      </c>
      <c r="D2718" s="22" t="inlineStr">
        <is>
          <t>S32</t>
        </is>
      </c>
      <c r="E2718" s="22" t="inlineStr">
        <is>
          <t>Nexa Flevoland (S32)</t>
        </is>
      </c>
      <c r="F2718" s="22" t="inlineStr">
        <is>
          <t>Hà Lan</t>
        </is>
      </c>
      <c r="G2718" s="22" t="inlineStr">
        <is>
          <t>POS</t>
        </is>
      </c>
      <c r="H2718" s="31" t="n">
        <v>1093.3</v>
      </c>
      <c r="I2718" s="31" t="n">
        <v>0</v>
      </c>
      <c r="J2718" s="31" t="n">
        <v>1093.3</v>
      </c>
      <c r="K2718" s="31" t="n">
        <v>0</v>
      </c>
      <c r="L2718" s="32" t="n">
        <v>2</v>
      </c>
      <c r="M2718" s="32" t="n">
        <v>5</v>
      </c>
      <c r="N2718" s="31" t="n">
        <v>1093.3</v>
      </c>
      <c r="O2718" s="31" t="n">
        <v>1093.3</v>
      </c>
      <c r="P2718" s="22" t="n">
        <v>0</v>
      </c>
      <c r="Q2718" s="22" t="n">
        <v>0</v>
      </c>
      <c r="R2718" s="22" t="n">
        <v>0</v>
      </c>
    </row>
    <row r="2719">
      <c r="A2719" s="22" t="n">
        <v>202009</v>
      </c>
      <c r="B2719" s="22" t="inlineStr">
        <is>
          <t>09/2020</t>
        </is>
      </c>
      <c r="C2719" s="22" t="n">
        <v>33</v>
      </c>
      <c r="D2719" s="22" t="inlineStr">
        <is>
          <t>S33</t>
        </is>
      </c>
      <c r="E2719" s="22" t="inlineStr">
        <is>
          <t>Nexa Friesland (S33)</t>
        </is>
      </c>
      <c r="F2719" s="22" t="inlineStr">
        <is>
          <t>Hà Lan</t>
        </is>
      </c>
      <c r="G2719" s="22" t="inlineStr">
        <is>
          <t>POS</t>
        </is>
      </c>
      <c r="H2719" s="31" t="n">
        <v>7841.54</v>
      </c>
      <c r="I2719" s="31" t="n">
        <v>0</v>
      </c>
      <c r="J2719" s="31" t="n">
        <v>7841.54</v>
      </c>
      <c r="K2719" s="31" t="n">
        <v>0</v>
      </c>
      <c r="L2719" s="32" t="n">
        <v>2</v>
      </c>
      <c r="M2719" s="32" t="n">
        <v>36</v>
      </c>
      <c r="N2719" s="31" t="n">
        <v>7841.54</v>
      </c>
      <c r="O2719" s="31" t="n">
        <v>7841.54</v>
      </c>
      <c r="P2719" s="22" t="n">
        <v>0</v>
      </c>
      <c r="Q2719" s="22" t="n">
        <v>0</v>
      </c>
      <c r="R2719" s="22" t="n">
        <v>0</v>
      </c>
    </row>
    <row r="2720">
      <c r="A2720" s="22" t="n">
        <v>202009</v>
      </c>
      <c r="B2720" s="22" t="inlineStr">
        <is>
          <t>09/2020</t>
        </is>
      </c>
      <c r="C2720" s="22" t="n">
        <v>34</v>
      </c>
      <c r="D2720" s="22" t="inlineStr">
        <is>
          <t>S34</t>
        </is>
      </c>
      <c r="E2720" s="22" t="inlineStr">
        <is>
          <t>Nexa Groningen (S34)</t>
        </is>
      </c>
      <c r="F2720" s="22" t="inlineStr">
        <is>
          <t>Hà Lan</t>
        </is>
      </c>
      <c r="G2720" s="22" t="inlineStr">
        <is>
          <t>POS</t>
        </is>
      </c>
      <c r="H2720" s="31" t="n">
        <v>7086.39</v>
      </c>
      <c r="I2720" s="31" t="n">
        <v>0</v>
      </c>
      <c r="J2720" s="31" t="n">
        <v>7086.39</v>
      </c>
      <c r="K2720" s="31" t="n">
        <v>0</v>
      </c>
      <c r="L2720" s="32" t="n">
        <v>2</v>
      </c>
      <c r="M2720" s="32" t="n">
        <v>8</v>
      </c>
      <c r="N2720" s="31" t="n">
        <v>7086.39</v>
      </c>
      <c r="O2720" s="31" t="n">
        <v>7086.39</v>
      </c>
      <c r="P2720" s="22" t="n">
        <v>0</v>
      </c>
      <c r="Q2720" s="22" t="n">
        <v>0</v>
      </c>
      <c r="R2720" s="22" t="n">
        <v>0</v>
      </c>
    </row>
    <row r="2721">
      <c r="A2721" s="22" t="n">
        <v>202009</v>
      </c>
      <c r="B2721" s="22" t="inlineStr">
        <is>
          <t>09/2020</t>
        </is>
      </c>
      <c r="C2721" s="22" t="n">
        <v>36</v>
      </c>
      <c r="D2721" s="22" t="inlineStr">
        <is>
          <t>S36</t>
        </is>
      </c>
      <c r="E2721" s="22" t="inlineStr">
        <is>
          <t>Nexa Armagh (S36)</t>
        </is>
      </c>
      <c r="F2721" s="22" t="inlineStr">
        <is>
          <t>Anh</t>
        </is>
      </c>
      <c r="G2721" s="22" t="inlineStr">
        <is>
          <t>POS</t>
        </is>
      </c>
      <c r="H2721" s="31" t="n">
        <v>1214.84</v>
      </c>
      <c r="I2721" s="31" t="n">
        <v>66.7</v>
      </c>
      <c r="J2721" s="31" t="n">
        <v>1148.14</v>
      </c>
      <c r="K2721" s="31" t="n">
        <v>0</v>
      </c>
      <c r="L2721" s="32" t="n">
        <v>3</v>
      </c>
      <c r="M2721" s="32" t="n">
        <v>11</v>
      </c>
      <c r="N2721" s="31" t="n">
        <v>1148.14</v>
      </c>
      <c r="O2721" s="31" t="n">
        <v>1148.14</v>
      </c>
      <c r="P2721" s="22" t="n">
        <v>0</v>
      </c>
      <c r="Q2721" s="22" t="n">
        <v>0</v>
      </c>
      <c r="R2721" s="22" t="n">
        <v>0</v>
      </c>
    </row>
    <row r="2722">
      <c r="A2722" s="22" t="n">
        <v>202009</v>
      </c>
      <c r="B2722" s="22" t="inlineStr">
        <is>
          <t>09/2020</t>
        </is>
      </c>
      <c r="C2722" s="22" t="n">
        <v>37</v>
      </c>
      <c r="D2722" s="22" t="inlineStr">
        <is>
          <t>S37</t>
        </is>
      </c>
      <c r="E2722" s="22" t="inlineStr">
        <is>
          <t>Nexa Ayrshire (S37)</t>
        </is>
      </c>
      <c r="F2722" s="22" t="inlineStr">
        <is>
          <t>Anh</t>
        </is>
      </c>
      <c r="G2722" s="22" t="inlineStr">
        <is>
          <t>POS</t>
        </is>
      </c>
      <c r="H2722" s="31" t="n">
        <v>289.99</v>
      </c>
      <c r="I2722" s="31" t="n">
        <v>0</v>
      </c>
      <c r="J2722" s="31" t="n">
        <v>289.99</v>
      </c>
      <c r="K2722" s="31" t="n">
        <v>0</v>
      </c>
      <c r="L2722" s="32" t="n">
        <v>1</v>
      </c>
      <c r="M2722" s="32" t="n">
        <v>1</v>
      </c>
      <c r="N2722" s="31" t="n">
        <v>289.99</v>
      </c>
      <c r="O2722" s="31" t="n">
        <v>289.99</v>
      </c>
      <c r="P2722" s="22" t="n">
        <v>0</v>
      </c>
      <c r="Q2722" s="22" t="n">
        <v>0</v>
      </c>
      <c r="R2722" s="22" t="n">
        <v>0</v>
      </c>
    </row>
    <row r="2723">
      <c r="A2723" s="22" t="n">
        <v>202009</v>
      </c>
      <c r="B2723" s="22" t="inlineStr">
        <is>
          <t>09/2020</t>
        </is>
      </c>
      <c r="C2723" s="22" t="n">
        <v>38</v>
      </c>
      <c r="D2723" s="22" t="inlineStr">
        <is>
          <t>S38</t>
        </is>
      </c>
      <c r="E2723" s="22" t="inlineStr">
        <is>
          <t>Nexa Belfast (S38)</t>
        </is>
      </c>
      <c r="F2723" s="22" t="inlineStr">
        <is>
          <t>Anh</t>
        </is>
      </c>
      <c r="G2723" s="22" t="inlineStr">
        <is>
          <t>POS</t>
        </is>
      </c>
      <c r="H2723" s="31" t="n">
        <v>2369.94</v>
      </c>
      <c r="I2723" s="31" t="n">
        <v>0</v>
      </c>
      <c r="J2723" s="31" t="n">
        <v>2369.94</v>
      </c>
      <c r="K2723" s="31" t="n">
        <v>0</v>
      </c>
      <c r="L2723" s="32" t="n">
        <v>1</v>
      </c>
      <c r="M2723" s="32" t="n">
        <v>2</v>
      </c>
      <c r="N2723" s="31" t="n">
        <v>2369.94</v>
      </c>
      <c r="O2723" s="31" t="n">
        <v>2369.94</v>
      </c>
      <c r="P2723" s="22" t="n">
        <v>0</v>
      </c>
      <c r="Q2723" s="22" t="n">
        <v>0</v>
      </c>
      <c r="R2723" s="22" t="n">
        <v>0</v>
      </c>
    </row>
    <row r="2724">
      <c r="A2724" s="22" t="n">
        <v>202009</v>
      </c>
      <c r="B2724" s="22" t="inlineStr">
        <is>
          <t>09/2020</t>
        </is>
      </c>
      <c r="C2724" s="22" t="n">
        <v>39</v>
      </c>
      <c r="D2724" s="22" t="inlineStr">
        <is>
          <t>S39</t>
        </is>
      </c>
      <c r="E2724" s="22" t="inlineStr">
        <is>
          <t>Nexa Blaenau Gwent (S39)</t>
        </is>
      </c>
      <c r="F2724" s="22" t="inlineStr">
        <is>
          <t>Anh</t>
        </is>
      </c>
      <c r="G2724" s="22" t="inlineStr">
        <is>
          <t>POS</t>
        </is>
      </c>
      <c r="H2724" s="31" t="n">
        <v>9802.290000000001</v>
      </c>
      <c r="I2724" s="31" t="n">
        <v>155.68</v>
      </c>
      <c r="J2724" s="31" t="n">
        <v>9646.610000000001</v>
      </c>
      <c r="K2724" s="31" t="n">
        <v>0</v>
      </c>
      <c r="L2724" s="32" t="n">
        <v>5</v>
      </c>
      <c r="M2724" s="32" t="n">
        <v>35</v>
      </c>
      <c r="N2724" s="31" t="n">
        <v>9646.610000000001</v>
      </c>
      <c r="O2724" s="31" t="n">
        <v>9646.610000000001</v>
      </c>
      <c r="P2724" s="22" t="n">
        <v>0</v>
      </c>
      <c r="Q2724" s="22" t="n">
        <v>0</v>
      </c>
      <c r="R2724" s="22" t="n">
        <v>0</v>
      </c>
    </row>
    <row r="2725">
      <c r="A2725" s="22" t="n">
        <v>202009</v>
      </c>
      <c r="B2725" s="22" t="inlineStr">
        <is>
          <t>09/2020</t>
        </is>
      </c>
      <c r="C2725" s="22" t="n">
        <v>40</v>
      </c>
      <c r="D2725" s="22" t="inlineStr">
        <is>
          <t>S40</t>
        </is>
      </c>
      <c r="E2725" s="22" t="inlineStr">
        <is>
          <t>Nexa Dungannon and South Tyrone (S40)</t>
        </is>
      </c>
      <c r="F2725" s="22" t="inlineStr">
        <is>
          <t>Anh</t>
        </is>
      </c>
      <c r="G2725" s="22" t="inlineStr">
        <is>
          <t>POS</t>
        </is>
      </c>
      <c r="H2725" s="31" t="n">
        <v>3207.4</v>
      </c>
      <c r="I2725" s="31" t="n">
        <v>0</v>
      </c>
      <c r="J2725" s="31" t="n">
        <v>3207.4</v>
      </c>
      <c r="K2725" s="31" t="n">
        <v>0</v>
      </c>
      <c r="L2725" s="32" t="n">
        <v>2</v>
      </c>
      <c r="M2725" s="32" t="n">
        <v>7</v>
      </c>
      <c r="N2725" s="31" t="n">
        <v>3207.4</v>
      </c>
      <c r="O2725" s="31" t="n">
        <v>3207.4</v>
      </c>
      <c r="P2725" s="22" t="n">
        <v>0</v>
      </c>
      <c r="Q2725" s="22" t="n">
        <v>0</v>
      </c>
      <c r="R2725" s="22" t="n">
        <v>0</v>
      </c>
    </row>
    <row r="2726">
      <c r="A2726" s="22" t="n">
        <v>202009</v>
      </c>
      <c r="B2726" s="22" t="inlineStr">
        <is>
          <t>09/2020</t>
        </is>
      </c>
      <c r="C2726" s="22" t="n">
        <v>42</v>
      </c>
      <c r="D2726" s="22" t="inlineStr">
        <is>
          <t>S42</t>
        </is>
      </c>
      <c r="E2726" s="22" t="inlineStr">
        <is>
          <t>Nexa North Down (S42)</t>
        </is>
      </c>
      <c r="F2726" s="22" t="inlineStr">
        <is>
          <t>Anh</t>
        </is>
      </c>
      <c r="G2726" s="22" t="inlineStr">
        <is>
          <t>POS</t>
        </is>
      </c>
      <c r="H2726" s="31" t="n">
        <v>1216.95</v>
      </c>
      <c r="I2726" s="31" t="n">
        <v>22</v>
      </c>
      <c r="J2726" s="31" t="n">
        <v>1194.95</v>
      </c>
      <c r="K2726" s="31" t="n">
        <v>197.95</v>
      </c>
      <c r="L2726" s="32" t="n">
        <v>2</v>
      </c>
      <c r="M2726" s="32" t="n">
        <v>4</v>
      </c>
      <c r="N2726" s="31" t="n">
        <v>997</v>
      </c>
      <c r="O2726" s="31" t="n">
        <v>1194.95</v>
      </c>
      <c r="P2726" s="22" t="n">
        <v>0</v>
      </c>
      <c r="Q2726" s="22" t="n">
        <v>0</v>
      </c>
      <c r="R2726" s="22" t="n">
        <v>0</v>
      </c>
    </row>
    <row r="2727">
      <c r="A2727" s="22" t="n">
        <v>202009</v>
      </c>
      <c r="B2727" s="22" t="inlineStr">
        <is>
          <t>09/2020</t>
        </is>
      </c>
      <c r="C2727" s="22" t="n">
        <v>43</v>
      </c>
      <c r="D2727" s="22" t="inlineStr">
        <is>
          <t>S43</t>
        </is>
      </c>
      <c r="E2727" s="22" t="inlineStr">
        <is>
          <t>Nexa Alaska (S43)</t>
        </is>
      </c>
      <c r="F2727" s="22" t="inlineStr">
        <is>
          <t>Mỹ</t>
        </is>
      </c>
      <c r="G2727" s="22" t="inlineStr">
        <is>
          <t>POS</t>
        </is>
      </c>
      <c r="H2727" s="31" t="n">
        <v>1206.11</v>
      </c>
      <c r="I2727" s="31" t="n">
        <v>120.62</v>
      </c>
      <c r="J2727" s="31" t="n">
        <v>1085.49</v>
      </c>
      <c r="K2727" s="31" t="n">
        <v>0</v>
      </c>
      <c r="L2727" s="32" t="n">
        <v>2</v>
      </c>
      <c r="M2727" s="32" t="n">
        <v>18</v>
      </c>
      <c r="N2727" s="31" t="n">
        <v>1085.49</v>
      </c>
      <c r="O2727" s="31" t="n">
        <v>1085.49</v>
      </c>
      <c r="P2727" s="22" t="n">
        <v>0</v>
      </c>
      <c r="Q2727" s="22" t="n">
        <v>0</v>
      </c>
      <c r="R2727" s="22" t="n">
        <v>0</v>
      </c>
    </row>
    <row r="2728">
      <c r="A2728" s="22" t="n">
        <v>202009</v>
      </c>
      <c r="B2728" s="22" t="inlineStr">
        <is>
          <t>09/2020</t>
        </is>
      </c>
      <c r="C2728" s="22" t="n">
        <v>44</v>
      </c>
      <c r="D2728" s="22" t="inlineStr">
        <is>
          <t>S44</t>
        </is>
      </c>
      <c r="E2728" s="22" t="inlineStr">
        <is>
          <t>Nexa Arkansas (S44)</t>
        </is>
      </c>
      <c r="F2728" s="22" t="inlineStr">
        <is>
          <t>Mỹ</t>
        </is>
      </c>
      <c r="G2728" s="22" t="inlineStr">
        <is>
          <t>POS</t>
        </is>
      </c>
      <c r="H2728" s="31" t="n">
        <v>11708.81</v>
      </c>
      <c r="I2728" s="31" t="n">
        <v>400</v>
      </c>
      <c r="J2728" s="31" t="n">
        <v>11308.81</v>
      </c>
      <c r="K2728" s="31" t="n">
        <v>119</v>
      </c>
      <c r="L2728" s="32" t="n">
        <v>6</v>
      </c>
      <c r="M2728" s="32" t="n">
        <v>30</v>
      </c>
      <c r="N2728" s="31" t="n">
        <v>11189.81</v>
      </c>
      <c r="O2728" s="31" t="n">
        <v>11308.81</v>
      </c>
      <c r="P2728" s="22" t="n">
        <v>0</v>
      </c>
      <c r="Q2728" s="22" t="n">
        <v>0</v>
      </c>
      <c r="R2728" s="22" t="n">
        <v>0</v>
      </c>
    </row>
    <row r="2729">
      <c r="A2729" s="22" t="n">
        <v>202009</v>
      </c>
      <c r="B2729" s="22" t="inlineStr">
        <is>
          <t>09/2020</t>
        </is>
      </c>
      <c r="C2729" s="22" t="n">
        <v>45</v>
      </c>
      <c r="D2729" s="22" t="inlineStr">
        <is>
          <t>S45</t>
        </is>
      </c>
      <c r="E2729" s="22" t="inlineStr">
        <is>
          <t>Nexa Connecticut (S45)</t>
        </is>
      </c>
      <c r="F2729" s="22" t="inlineStr">
        <is>
          <t>Mỹ</t>
        </is>
      </c>
      <c r="G2729" s="22" t="inlineStr">
        <is>
          <t>POS</t>
        </is>
      </c>
      <c r="H2729" s="31" t="n">
        <v>19761.39</v>
      </c>
      <c r="I2729" s="31" t="n">
        <v>1690.34</v>
      </c>
      <c r="J2729" s="31" t="n">
        <v>18071.05</v>
      </c>
      <c r="K2729" s="31" t="n">
        <v>53.99</v>
      </c>
      <c r="L2729" s="32" t="n">
        <v>5</v>
      </c>
      <c r="M2729" s="32" t="n">
        <v>35</v>
      </c>
      <c r="N2729" s="31" t="n">
        <v>18017.06</v>
      </c>
      <c r="O2729" s="31" t="n">
        <v>18071.05</v>
      </c>
      <c r="P2729" s="22" t="n">
        <v>0</v>
      </c>
      <c r="Q2729" s="22" t="n">
        <v>0</v>
      </c>
      <c r="R2729" s="22" t="n">
        <v>0</v>
      </c>
    </row>
    <row r="2730">
      <c r="A2730" s="22" t="n">
        <v>202009</v>
      </c>
      <c r="B2730" s="22" t="inlineStr">
        <is>
          <t>09/2020</t>
        </is>
      </c>
      <c r="C2730" s="22" t="n">
        <v>47</v>
      </c>
      <c r="D2730" s="22" t="inlineStr">
        <is>
          <t>S47</t>
        </is>
      </c>
      <c r="E2730" s="22" t="inlineStr">
        <is>
          <t>Nexa Hawaii (S47)</t>
        </is>
      </c>
      <c r="F2730" s="22" t="inlineStr">
        <is>
          <t>Mỹ</t>
        </is>
      </c>
      <c r="G2730" s="22" t="inlineStr">
        <is>
          <t>POS</t>
        </is>
      </c>
      <c r="H2730" s="31" t="n">
        <v>1317.49</v>
      </c>
      <c r="I2730" s="31" t="n">
        <v>0</v>
      </c>
      <c r="J2730" s="31" t="n">
        <v>1317.49</v>
      </c>
      <c r="K2730" s="31" t="n">
        <v>260.99</v>
      </c>
      <c r="L2730" s="32" t="n">
        <v>3</v>
      </c>
      <c r="M2730" s="32" t="n">
        <v>15</v>
      </c>
      <c r="N2730" s="31" t="n">
        <v>1056.5</v>
      </c>
      <c r="O2730" s="31" t="n">
        <v>1317.49</v>
      </c>
      <c r="P2730" s="22" t="n">
        <v>0</v>
      </c>
      <c r="Q2730" s="22" t="n">
        <v>0</v>
      </c>
      <c r="R2730" s="22" t="n">
        <v>0</v>
      </c>
    </row>
    <row r="2731">
      <c r="A2731" s="22" t="n">
        <v>202009</v>
      </c>
      <c r="B2731" s="22" t="inlineStr">
        <is>
          <t>09/2020</t>
        </is>
      </c>
      <c r="C2731" s="22" t="n">
        <v>48</v>
      </c>
      <c r="D2731" s="22" t="inlineStr">
        <is>
          <t>S48</t>
        </is>
      </c>
      <c r="E2731" s="22" t="inlineStr">
        <is>
          <t>Nexa Idaho (S48)</t>
        </is>
      </c>
      <c r="F2731" s="22" t="inlineStr">
        <is>
          <t>Mỹ</t>
        </is>
      </c>
      <c r="G2731" s="22" t="inlineStr">
        <is>
          <t>POS</t>
        </is>
      </c>
      <c r="H2731" s="31" t="n">
        <v>1369.13</v>
      </c>
      <c r="I2731" s="31" t="n">
        <v>19.27</v>
      </c>
      <c r="J2731" s="31" t="n">
        <v>1349.86</v>
      </c>
      <c r="K2731" s="31" t="n">
        <v>0</v>
      </c>
      <c r="L2731" s="32" t="n">
        <v>4</v>
      </c>
      <c r="M2731" s="32" t="n">
        <v>23</v>
      </c>
      <c r="N2731" s="31" t="n">
        <v>1349.86</v>
      </c>
      <c r="O2731" s="31" t="n">
        <v>1349.86</v>
      </c>
      <c r="P2731" s="22" t="n">
        <v>0</v>
      </c>
      <c r="Q2731" s="22" t="n">
        <v>0</v>
      </c>
      <c r="R2731" s="22" t="n">
        <v>0</v>
      </c>
    </row>
    <row r="2732">
      <c r="A2732" s="22" t="n">
        <v>202009</v>
      </c>
      <c r="B2732" s="22" t="inlineStr">
        <is>
          <t>09/2020</t>
        </is>
      </c>
      <c r="C2732" s="22" t="n">
        <v>49</v>
      </c>
      <c r="D2732" s="22" t="inlineStr">
        <is>
          <t>S49</t>
        </is>
      </c>
      <c r="E2732" s="22" t="inlineStr">
        <is>
          <t>Nexa Iowa (S49)</t>
        </is>
      </c>
      <c r="F2732" s="22" t="inlineStr">
        <is>
          <t>Mỹ</t>
        </is>
      </c>
      <c r="G2732" s="22" t="inlineStr">
        <is>
          <t>POS</t>
        </is>
      </c>
      <c r="H2732" s="31" t="n">
        <v>5765.91</v>
      </c>
      <c r="I2732" s="31" t="n">
        <v>0</v>
      </c>
      <c r="J2732" s="31" t="n">
        <v>5765.91</v>
      </c>
      <c r="K2732" s="31" t="n">
        <v>0</v>
      </c>
      <c r="L2732" s="32" t="n">
        <v>2</v>
      </c>
      <c r="M2732" s="32" t="n">
        <v>13</v>
      </c>
      <c r="N2732" s="31" t="n">
        <v>5765.91</v>
      </c>
      <c r="O2732" s="31" t="n">
        <v>5765.91</v>
      </c>
      <c r="P2732" s="22" t="n">
        <v>0</v>
      </c>
      <c r="Q2732" s="22" t="n">
        <v>0</v>
      </c>
      <c r="R2732" s="22" t="n">
        <v>0</v>
      </c>
    </row>
    <row r="2733">
      <c r="A2733" s="22" t="n">
        <v>202009</v>
      </c>
      <c r="B2733" s="22" t="inlineStr">
        <is>
          <t>09/2020</t>
        </is>
      </c>
      <c r="C2733" s="22" t="n">
        <v>50</v>
      </c>
      <c r="D2733" s="22" t="inlineStr">
        <is>
          <t>S50</t>
        </is>
      </c>
      <c r="E2733" s="22" t="inlineStr">
        <is>
          <t>Nexa Kansas (S50)</t>
        </is>
      </c>
      <c r="F2733" s="22" t="inlineStr">
        <is>
          <t>Mỹ</t>
        </is>
      </c>
      <c r="G2733" s="22" t="inlineStr">
        <is>
          <t>POS</t>
        </is>
      </c>
      <c r="H2733" s="31" t="n">
        <v>29689.08</v>
      </c>
      <c r="I2733" s="31" t="n">
        <v>240.58</v>
      </c>
      <c r="J2733" s="31" t="n">
        <v>29448.5</v>
      </c>
      <c r="K2733" s="31" t="n">
        <v>0</v>
      </c>
      <c r="L2733" s="32" t="n">
        <v>5</v>
      </c>
      <c r="M2733" s="32" t="n">
        <v>75</v>
      </c>
      <c r="N2733" s="31" t="n">
        <v>29448.5</v>
      </c>
      <c r="O2733" s="31" t="n">
        <v>29448.5</v>
      </c>
      <c r="P2733" s="22" t="n">
        <v>0</v>
      </c>
      <c r="Q2733" s="22" t="n">
        <v>0</v>
      </c>
      <c r="R2733" s="22" t="n">
        <v>0</v>
      </c>
    </row>
    <row r="2734">
      <c r="A2734" s="22" t="n">
        <v>202009</v>
      </c>
      <c r="B2734" s="22" t="inlineStr">
        <is>
          <t>09/2020</t>
        </is>
      </c>
      <c r="C2734" s="22" t="n">
        <v>51</v>
      </c>
      <c r="D2734" s="22" t="inlineStr">
        <is>
          <t>S51</t>
        </is>
      </c>
      <c r="E2734" s="22" t="inlineStr">
        <is>
          <t>Nexa Maine (S51)</t>
        </is>
      </c>
      <c r="F2734" s="22" t="inlineStr">
        <is>
          <t>Mỹ</t>
        </is>
      </c>
      <c r="G2734" s="22" t="inlineStr">
        <is>
          <t>POS</t>
        </is>
      </c>
      <c r="H2734" s="31" t="n">
        <v>20200.13</v>
      </c>
      <c r="I2734" s="31" t="n">
        <v>0</v>
      </c>
      <c r="J2734" s="31" t="n">
        <v>20200.13</v>
      </c>
      <c r="K2734" s="31" t="n">
        <v>198</v>
      </c>
      <c r="L2734" s="32" t="n">
        <v>7</v>
      </c>
      <c r="M2734" s="32" t="n">
        <v>69</v>
      </c>
      <c r="N2734" s="31" t="n">
        <v>20002.13</v>
      </c>
      <c r="O2734" s="31" t="n">
        <v>20200.13</v>
      </c>
      <c r="P2734" s="22" t="n">
        <v>0</v>
      </c>
      <c r="Q2734" s="22" t="n">
        <v>0</v>
      </c>
      <c r="R2734" s="22" t="n">
        <v>0</v>
      </c>
    </row>
    <row r="2735">
      <c r="A2735" s="22" t="n">
        <v>202009</v>
      </c>
      <c r="B2735" s="22" t="inlineStr">
        <is>
          <t>09/2020</t>
        </is>
      </c>
      <c r="C2735" s="22" t="n">
        <v>53</v>
      </c>
      <c r="D2735" s="22" t="inlineStr">
        <is>
          <t>S53</t>
        </is>
      </c>
      <c r="E2735" s="22" t="inlineStr">
        <is>
          <t>Nexa Montana (S53)</t>
        </is>
      </c>
      <c r="F2735" s="22" t="inlineStr">
        <is>
          <t>Mỹ</t>
        </is>
      </c>
      <c r="G2735" s="22" t="inlineStr">
        <is>
          <t>POS</t>
        </is>
      </c>
      <c r="H2735" s="31" t="n">
        <v>0</v>
      </c>
      <c r="I2735" s="31" t="n">
        <v>0</v>
      </c>
      <c r="J2735" s="31" t="n">
        <v>0</v>
      </c>
      <c r="K2735" s="31" t="n">
        <v>0</v>
      </c>
      <c r="L2735" s="32" t="n">
        <v>0</v>
      </c>
      <c r="M2735" s="32" t="n">
        <v>0</v>
      </c>
      <c r="N2735" s="31" t="n">
        <v>0</v>
      </c>
      <c r="O2735" s="31" t="n">
        <v>0</v>
      </c>
      <c r="P2735" s="22" t="n">
        <v>1</v>
      </c>
      <c r="Q2735" s="22" t="n">
        <v>0</v>
      </c>
      <c r="R2735" s="22" t="n">
        <v>0</v>
      </c>
    </row>
    <row r="2736">
      <c r="A2736" s="22" t="n">
        <v>202009</v>
      </c>
      <c r="B2736" s="22" t="inlineStr">
        <is>
          <t>09/2020</t>
        </is>
      </c>
      <c r="C2736" s="22" t="n">
        <v>54</v>
      </c>
      <c r="D2736" s="22" t="inlineStr">
        <is>
          <t>S54</t>
        </is>
      </c>
      <c r="E2736" s="22" t="inlineStr">
        <is>
          <t>Nexa Nebraska (S54)</t>
        </is>
      </c>
      <c r="F2736" s="22" t="inlineStr">
        <is>
          <t>Mỹ</t>
        </is>
      </c>
      <c r="G2736" s="22" t="inlineStr">
        <is>
          <t>POS</t>
        </is>
      </c>
      <c r="H2736" s="31" t="n">
        <v>6400.42</v>
      </c>
      <c r="I2736" s="31" t="n">
        <v>0</v>
      </c>
      <c r="J2736" s="31" t="n">
        <v>6400.42</v>
      </c>
      <c r="K2736" s="31" t="n">
        <v>302</v>
      </c>
      <c r="L2736" s="32" t="n">
        <v>3</v>
      </c>
      <c r="M2736" s="32" t="n">
        <v>29</v>
      </c>
      <c r="N2736" s="31" t="n">
        <v>6098.42</v>
      </c>
      <c r="O2736" s="31" t="n">
        <v>6400.42</v>
      </c>
      <c r="P2736" s="22" t="n">
        <v>0</v>
      </c>
      <c r="Q2736" s="22" t="n">
        <v>0</v>
      </c>
      <c r="R2736" s="22" t="n">
        <v>0</v>
      </c>
    </row>
    <row r="2737">
      <c r="A2737" s="22" t="n">
        <v>202009</v>
      </c>
      <c r="B2737" s="22" t="inlineStr">
        <is>
          <t>09/2020</t>
        </is>
      </c>
      <c r="C2737" s="22" t="n">
        <v>55</v>
      </c>
      <c r="D2737" s="22" t="inlineStr">
        <is>
          <t>S55</t>
        </is>
      </c>
      <c r="E2737" s="22" t="inlineStr">
        <is>
          <t>Nexa Nevada (S55)</t>
        </is>
      </c>
      <c r="F2737" s="22" t="inlineStr">
        <is>
          <t>Mỹ</t>
        </is>
      </c>
      <c r="G2737" s="22" t="inlineStr">
        <is>
          <t>POS</t>
        </is>
      </c>
      <c r="H2737" s="31" t="n">
        <v>5028.54</v>
      </c>
      <c r="I2737" s="31" t="n">
        <v>11.87</v>
      </c>
      <c r="J2737" s="31" t="n">
        <v>5016.67</v>
      </c>
      <c r="K2737" s="31" t="n">
        <v>229.9</v>
      </c>
      <c r="L2737" s="32" t="n">
        <v>6</v>
      </c>
      <c r="M2737" s="32" t="n">
        <v>34</v>
      </c>
      <c r="N2737" s="31" t="n">
        <v>4786.77</v>
      </c>
      <c r="O2737" s="31" t="n">
        <v>5016.67</v>
      </c>
      <c r="P2737" s="22" t="n">
        <v>0</v>
      </c>
      <c r="Q2737" s="22" t="n">
        <v>0</v>
      </c>
      <c r="R2737" s="22" t="n">
        <v>0</v>
      </c>
    </row>
    <row r="2738">
      <c r="A2738" s="22" t="n">
        <v>202009</v>
      </c>
      <c r="B2738" s="22" t="inlineStr">
        <is>
          <t>09/2020</t>
        </is>
      </c>
      <c r="C2738" s="22" t="n">
        <v>56</v>
      </c>
      <c r="D2738" s="22" t="inlineStr">
        <is>
          <t>S56</t>
        </is>
      </c>
      <c r="E2738" s="22" t="inlineStr">
        <is>
          <t>Nexa New Hampshire (S56)</t>
        </is>
      </c>
      <c r="F2738" s="22" t="inlineStr">
        <is>
          <t>Mỹ</t>
        </is>
      </c>
      <c r="G2738" s="22" t="inlineStr">
        <is>
          <t>POS</t>
        </is>
      </c>
      <c r="H2738" s="31" t="n">
        <v>7518.46</v>
      </c>
      <c r="I2738" s="31" t="n">
        <v>29.99</v>
      </c>
      <c r="J2738" s="31" t="n">
        <v>7488.47</v>
      </c>
      <c r="K2738" s="31" t="n">
        <v>0</v>
      </c>
      <c r="L2738" s="32" t="n">
        <v>3</v>
      </c>
      <c r="M2738" s="32" t="n">
        <v>28</v>
      </c>
      <c r="N2738" s="31" t="n">
        <v>7488.47</v>
      </c>
      <c r="O2738" s="31" t="n">
        <v>7488.47</v>
      </c>
      <c r="P2738" s="22" t="n">
        <v>0</v>
      </c>
      <c r="Q2738" s="22" t="n">
        <v>0</v>
      </c>
      <c r="R2738" s="22" t="n">
        <v>0</v>
      </c>
    </row>
    <row r="2739">
      <c r="A2739" s="22" t="n">
        <v>202009</v>
      </c>
      <c r="B2739" s="22" t="inlineStr">
        <is>
          <t>09/2020</t>
        </is>
      </c>
      <c r="C2739" s="22" t="n">
        <v>57</v>
      </c>
      <c r="D2739" s="22" t="inlineStr">
        <is>
          <t>S57</t>
        </is>
      </c>
      <c r="E2739" s="22" t="inlineStr">
        <is>
          <t>Nexa New Mexico (S57)</t>
        </is>
      </c>
      <c r="F2739" s="22" t="inlineStr">
        <is>
          <t>Mỹ</t>
        </is>
      </c>
      <c r="G2739" s="22" t="inlineStr">
        <is>
          <t>POS</t>
        </is>
      </c>
      <c r="H2739" s="31" t="n">
        <v>8489.959999999999</v>
      </c>
      <c r="I2739" s="31" t="n">
        <v>638.1</v>
      </c>
      <c r="J2739" s="31" t="n">
        <v>7851.86</v>
      </c>
      <c r="K2739" s="31" t="n">
        <v>0</v>
      </c>
      <c r="L2739" s="32" t="n">
        <v>5</v>
      </c>
      <c r="M2739" s="32" t="n">
        <v>21</v>
      </c>
      <c r="N2739" s="31" t="n">
        <v>7851.86</v>
      </c>
      <c r="O2739" s="31" t="n">
        <v>7851.86</v>
      </c>
      <c r="P2739" s="22" t="n">
        <v>0</v>
      </c>
      <c r="Q2739" s="22" t="n">
        <v>0</v>
      </c>
      <c r="R2739" s="22" t="n">
        <v>0</v>
      </c>
    </row>
    <row r="2740">
      <c r="A2740" s="22" t="n">
        <v>202009</v>
      </c>
      <c r="B2740" s="22" t="inlineStr">
        <is>
          <t>09/2020</t>
        </is>
      </c>
      <c r="C2740" s="22" t="n">
        <v>59</v>
      </c>
      <c r="D2740" s="22" t="inlineStr">
        <is>
          <t>S59</t>
        </is>
      </c>
      <c r="E2740" s="22" t="inlineStr">
        <is>
          <t>Nexa Oregon (S59)</t>
        </is>
      </c>
      <c r="F2740" s="22" t="inlineStr">
        <is>
          <t>Mỹ</t>
        </is>
      </c>
      <c r="G2740" s="22" t="inlineStr">
        <is>
          <t>POS</t>
        </is>
      </c>
      <c r="H2740" s="31" t="n">
        <v>10613.66</v>
      </c>
      <c r="I2740" s="31" t="n">
        <v>21.48</v>
      </c>
      <c r="J2740" s="31" t="n">
        <v>10592.18</v>
      </c>
      <c r="K2740" s="31" t="n">
        <v>0</v>
      </c>
      <c r="L2740" s="32" t="n">
        <v>5</v>
      </c>
      <c r="M2740" s="32" t="n">
        <v>49</v>
      </c>
      <c r="N2740" s="31" t="n">
        <v>10592.18</v>
      </c>
      <c r="O2740" s="31" t="n">
        <v>10592.18</v>
      </c>
      <c r="P2740" s="22" t="n">
        <v>0</v>
      </c>
      <c r="Q2740" s="22" t="n">
        <v>0</v>
      </c>
      <c r="R2740" s="22" t="n">
        <v>0</v>
      </c>
    </row>
    <row r="2741">
      <c r="A2741" s="22" t="n">
        <v>202009</v>
      </c>
      <c r="B2741" s="22" t="inlineStr">
        <is>
          <t>09/2020</t>
        </is>
      </c>
      <c r="C2741" s="22" t="n">
        <v>61</v>
      </c>
      <c r="D2741" s="22" t="inlineStr">
        <is>
          <t>S61</t>
        </is>
      </c>
      <c r="E2741" s="22" t="inlineStr">
        <is>
          <t>Nexa South Carolina (S61)</t>
        </is>
      </c>
      <c r="F2741" s="22" t="inlineStr">
        <is>
          <t>Mỹ</t>
        </is>
      </c>
      <c r="G2741" s="22" t="inlineStr">
        <is>
          <t>POS</t>
        </is>
      </c>
      <c r="H2741" s="31" t="n">
        <v>9331.870000000001</v>
      </c>
      <c r="I2741" s="31" t="n">
        <v>401.19</v>
      </c>
      <c r="J2741" s="31" t="n">
        <v>8930.68</v>
      </c>
      <c r="K2741" s="31" t="n">
        <v>0</v>
      </c>
      <c r="L2741" s="32" t="n">
        <v>5</v>
      </c>
      <c r="M2741" s="32" t="n">
        <v>31</v>
      </c>
      <c r="N2741" s="31" t="n">
        <v>8930.68</v>
      </c>
      <c r="O2741" s="31" t="n">
        <v>8930.68</v>
      </c>
      <c r="P2741" s="22" t="n">
        <v>0</v>
      </c>
      <c r="Q2741" s="22" t="n">
        <v>0</v>
      </c>
      <c r="R2741" s="22" t="n">
        <v>0</v>
      </c>
    </row>
    <row r="2742">
      <c r="A2742" s="22" t="n">
        <v>202009</v>
      </c>
      <c r="B2742" s="22" t="inlineStr">
        <is>
          <t>09/2020</t>
        </is>
      </c>
      <c r="C2742" s="22" t="n">
        <v>62</v>
      </c>
      <c r="D2742" s="22" t="inlineStr">
        <is>
          <t>S62</t>
        </is>
      </c>
      <c r="E2742" s="22" t="inlineStr">
        <is>
          <t>Nexa South Dakota (S62)</t>
        </is>
      </c>
      <c r="F2742" s="22" t="inlineStr">
        <is>
          <t>Mỹ</t>
        </is>
      </c>
      <c r="G2742" s="22" t="inlineStr">
        <is>
          <t>POS</t>
        </is>
      </c>
      <c r="H2742" s="31" t="n">
        <v>7008.55</v>
      </c>
      <c r="I2742" s="31" t="n">
        <v>68.27</v>
      </c>
      <c r="J2742" s="31" t="n">
        <v>6940.28</v>
      </c>
      <c r="K2742" s="31" t="n">
        <v>0</v>
      </c>
      <c r="L2742" s="32" t="n">
        <v>4</v>
      </c>
      <c r="M2742" s="32" t="n">
        <v>30</v>
      </c>
      <c r="N2742" s="31" t="n">
        <v>6940.28</v>
      </c>
      <c r="O2742" s="31" t="n">
        <v>6940.28</v>
      </c>
      <c r="P2742" s="22" t="n">
        <v>0</v>
      </c>
      <c r="Q2742" s="22" t="n">
        <v>0</v>
      </c>
      <c r="R2742" s="22" t="n">
        <v>0</v>
      </c>
    </row>
    <row r="2743">
      <c r="A2743" s="22" t="n">
        <v>202009</v>
      </c>
      <c r="B2743" s="22" t="inlineStr">
        <is>
          <t>09/2020</t>
        </is>
      </c>
      <c r="C2743" s="22" t="n">
        <v>64</v>
      </c>
      <c r="D2743" s="22" t="inlineStr">
        <is>
          <t>S64</t>
        </is>
      </c>
      <c r="E2743" s="22" t="inlineStr">
        <is>
          <t>Nexa Washington DC (S64)</t>
        </is>
      </c>
      <c r="F2743" s="22" t="inlineStr">
        <is>
          <t>Mỹ</t>
        </is>
      </c>
      <c r="G2743" s="22" t="inlineStr">
        <is>
          <t>POS</t>
        </is>
      </c>
      <c r="H2743" s="31" t="n">
        <v>17329.97</v>
      </c>
      <c r="I2743" s="31" t="n">
        <v>324.69</v>
      </c>
      <c r="J2743" s="31" t="n">
        <v>17005.28</v>
      </c>
      <c r="K2743" s="31" t="n">
        <v>0</v>
      </c>
      <c r="L2743" s="32" t="n">
        <v>7</v>
      </c>
      <c r="M2743" s="32" t="n">
        <v>75</v>
      </c>
      <c r="N2743" s="31" t="n">
        <v>17005.28</v>
      </c>
      <c r="O2743" s="31" t="n">
        <v>17005.28</v>
      </c>
      <c r="P2743" s="22" t="n">
        <v>0</v>
      </c>
      <c r="Q2743" s="22" t="n">
        <v>0</v>
      </c>
      <c r="R2743" s="22" t="n">
        <v>0</v>
      </c>
    </row>
    <row r="2744">
      <c r="A2744" s="22" t="n">
        <v>202009</v>
      </c>
      <c r="B2744" s="22" t="inlineStr">
        <is>
          <t>09/2020</t>
        </is>
      </c>
      <c r="C2744" s="22" t="n">
        <v>65</v>
      </c>
      <c r="D2744" s="22" t="inlineStr">
        <is>
          <t>S65</t>
        </is>
      </c>
      <c r="E2744" s="22" t="inlineStr">
        <is>
          <t>Nexa West Virginia (S65)</t>
        </is>
      </c>
      <c r="F2744" s="22" t="inlineStr">
        <is>
          <t>Mỹ</t>
        </is>
      </c>
      <c r="G2744" s="22" t="inlineStr">
        <is>
          <t>POS</t>
        </is>
      </c>
      <c r="H2744" s="31" t="n">
        <v>11643.71</v>
      </c>
      <c r="I2744" s="31" t="n">
        <v>5.33</v>
      </c>
      <c r="J2744" s="31" t="n">
        <v>11638.38</v>
      </c>
      <c r="K2744" s="31" t="n">
        <v>0</v>
      </c>
      <c r="L2744" s="32" t="n">
        <v>5</v>
      </c>
      <c r="M2744" s="32" t="n">
        <v>32</v>
      </c>
      <c r="N2744" s="31" t="n">
        <v>11638.38</v>
      </c>
      <c r="O2744" s="31" t="n">
        <v>11638.38</v>
      </c>
      <c r="P2744" s="22" t="n">
        <v>0</v>
      </c>
      <c r="Q2744" s="22" t="n">
        <v>0</v>
      </c>
      <c r="R2744" s="22" t="n">
        <v>0</v>
      </c>
    </row>
    <row r="2745">
      <c r="A2745" s="22" t="n">
        <v>202009</v>
      </c>
      <c r="B2745" s="22" t="inlineStr">
        <is>
          <t>09/2020</t>
        </is>
      </c>
      <c r="C2745" s="22" t="n">
        <v>66</v>
      </c>
      <c r="D2745" s="22" t="inlineStr">
        <is>
          <t>S66</t>
        </is>
      </c>
      <c r="E2745" s="22" t="inlineStr">
        <is>
          <t>Nexa Wyoming (S66)</t>
        </is>
      </c>
      <c r="F2745" s="22" t="inlineStr">
        <is>
          <t>Mỹ</t>
        </is>
      </c>
      <c r="G2745" s="22" t="inlineStr">
        <is>
          <t>POS</t>
        </is>
      </c>
      <c r="H2745" s="31" t="n">
        <v>7183.74</v>
      </c>
      <c r="I2745" s="31" t="n">
        <v>667.7</v>
      </c>
      <c r="J2745" s="31" t="n">
        <v>6516.04</v>
      </c>
      <c r="K2745" s="31" t="n">
        <v>0</v>
      </c>
      <c r="L2745" s="32" t="n">
        <v>4</v>
      </c>
      <c r="M2745" s="32" t="n">
        <v>37</v>
      </c>
      <c r="N2745" s="31" t="n">
        <v>6516.04</v>
      </c>
      <c r="O2745" s="31" t="n">
        <v>6516.04</v>
      </c>
      <c r="P2745" s="22" t="n">
        <v>0</v>
      </c>
      <c r="Q2745" s="22" t="n">
        <v>0</v>
      </c>
      <c r="R2745" s="22" t="n">
        <v>0</v>
      </c>
    </row>
    <row r="2746">
      <c r="A2746" s="22" t="n">
        <v>202010</v>
      </c>
      <c r="B2746" s="22" t="inlineStr">
        <is>
          <t>10/2020</t>
        </is>
      </c>
      <c r="C2746" s="22" t="n">
        <v>0</v>
      </c>
      <c r="D2746" s="22" t="inlineStr">
        <is>
          <t>ONL</t>
        </is>
      </c>
      <c r="E2746" s="22" t="inlineStr">
        <is>
          <t>Nexa Online (website/app)</t>
        </is>
      </c>
      <c r="F2746" s="22" t="inlineStr">
        <is>
          <t>Online</t>
        </is>
      </c>
      <c r="G2746" s="22" t="inlineStr">
        <is>
          <t>ONLINE</t>
        </is>
      </c>
      <c r="H2746" s="31" t="n">
        <v>58852.36</v>
      </c>
      <c r="I2746" s="31" t="n">
        <v>50.16</v>
      </c>
      <c r="J2746" s="31" t="n">
        <v>58802.2</v>
      </c>
      <c r="K2746" s="31" t="n">
        <v>632.5</v>
      </c>
      <c r="L2746" s="32" t="n">
        <v>36</v>
      </c>
      <c r="M2746" s="32" t="n">
        <v>229</v>
      </c>
      <c r="N2746" s="31" t="n">
        <v>65360.73</v>
      </c>
      <c r="O2746" s="31" t="n">
        <v>65993.23</v>
      </c>
      <c r="P2746" s="22" t="n">
        <v>1</v>
      </c>
      <c r="Q2746" s="22" t="n">
        <v>0</v>
      </c>
      <c r="R2746" s="22" t="n">
        <v>0</v>
      </c>
    </row>
    <row r="2747">
      <c r="A2747" s="22" t="n">
        <v>202010</v>
      </c>
      <c r="B2747" s="22" t="inlineStr">
        <is>
          <t>10/2020</t>
        </is>
      </c>
      <c r="C2747" s="22" t="n">
        <v>1</v>
      </c>
      <c r="D2747" s="22" t="inlineStr">
        <is>
          <t>S01</t>
        </is>
      </c>
      <c r="E2747" s="22" t="inlineStr">
        <is>
          <t>Nexa Australian Capital Territory (S01)</t>
        </is>
      </c>
      <c r="F2747" s="22" t="inlineStr">
        <is>
          <t>Úc</t>
        </is>
      </c>
      <c r="G2747" s="22" t="inlineStr">
        <is>
          <t>POS</t>
        </is>
      </c>
      <c r="H2747" s="31" t="n">
        <v>8169.74</v>
      </c>
      <c r="I2747" s="31" t="n">
        <v>0</v>
      </c>
      <c r="J2747" s="31" t="n">
        <v>8169.74</v>
      </c>
      <c r="K2747" s="31" t="n">
        <v>230</v>
      </c>
      <c r="L2747" s="32" t="n">
        <v>3</v>
      </c>
      <c r="M2747" s="32" t="n">
        <v>23</v>
      </c>
      <c r="N2747" s="31" t="n">
        <v>7939.74</v>
      </c>
      <c r="O2747" s="31" t="n">
        <v>8169.74</v>
      </c>
      <c r="P2747" s="22" t="n">
        <v>0</v>
      </c>
      <c r="Q2747" s="22" t="n">
        <v>0</v>
      </c>
      <c r="R2747" s="22" t="n">
        <v>0</v>
      </c>
    </row>
    <row r="2748">
      <c r="A2748" s="22" t="n">
        <v>202010</v>
      </c>
      <c r="B2748" s="22" t="inlineStr">
        <is>
          <t>10/2020</t>
        </is>
      </c>
      <c r="C2748" s="22" t="n">
        <v>4</v>
      </c>
      <c r="D2748" s="22" t="inlineStr">
        <is>
          <t>S04</t>
        </is>
      </c>
      <c r="E2748" s="22" t="inlineStr">
        <is>
          <t>Nexa Tasmania (S04)</t>
        </is>
      </c>
      <c r="F2748" s="22" t="inlineStr">
        <is>
          <t>Úc</t>
        </is>
      </c>
      <c r="G2748" s="22" t="inlineStr">
        <is>
          <t>POS</t>
        </is>
      </c>
      <c r="H2748" s="31" t="n">
        <v>699.98</v>
      </c>
      <c r="I2748" s="31" t="n">
        <v>0</v>
      </c>
      <c r="J2748" s="31" t="n">
        <v>699.98</v>
      </c>
      <c r="K2748" s="31" t="n">
        <v>0</v>
      </c>
      <c r="L2748" s="32" t="n">
        <v>2</v>
      </c>
      <c r="M2748" s="32" t="n">
        <v>3</v>
      </c>
      <c r="N2748" s="31" t="n">
        <v>699.98</v>
      </c>
      <c r="O2748" s="31" t="n">
        <v>699.98</v>
      </c>
      <c r="P2748" s="22" t="n">
        <v>0</v>
      </c>
      <c r="Q2748" s="22" t="n">
        <v>0</v>
      </c>
      <c r="R2748" s="22" t="n">
        <v>0</v>
      </c>
    </row>
    <row r="2749">
      <c r="A2749" s="22" t="n">
        <v>202010</v>
      </c>
      <c r="B2749" s="22" t="inlineStr">
        <is>
          <t>10/2020</t>
        </is>
      </c>
      <c r="C2749" s="22" t="n">
        <v>5</v>
      </c>
      <c r="D2749" s="22" t="inlineStr">
        <is>
          <t>S05</t>
        </is>
      </c>
      <c r="E2749" s="22" t="inlineStr">
        <is>
          <t>Nexa Victoria (S05)</t>
        </is>
      </c>
      <c r="F2749" s="22" t="inlineStr">
        <is>
          <t>Úc</t>
        </is>
      </c>
      <c r="G2749" s="22" t="inlineStr">
        <is>
          <t>POS</t>
        </is>
      </c>
      <c r="H2749" s="31" t="n">
        <v>2450.97</v>
      </c>
      <c r="I2749" s="31" t="n">
        <v>0</v>
      </c>
      <c r="J2749" s="31" t="n">
        <v>2450.97</v>
      </c>
      <c r="K2749" s="31" t="n">
        <v>0</v>
      </c>
      <c r="L2749" s="32" t="n">
        <v>2</v>
      </c>
      <c r="M2749" s="32" t="n">
        <v>7</v>
      </c>
      <c r="N2749" s="31" t="n">
        <v>2450.97</v>
      </c>
      <c r="O2749" s="31" t="n">
        <v>2450.97</v>
      </c>
      <c r="P2749" s="22" t="n">
        <v>0</v>
      </c>
      <c r="Q2749" s="22" t="n">
        <v>0</v>
      </c>
      <c r="R2749" s="22" t="n">
        <v>0</v>
      </c>
    </row>
    <row r="2750">
      <c r="A2750" s="22" t="n">
        <v>202010</v>
      </c>
      <c r="B2750" s="22" t="inlineStr">
        <is>
          <t>10/2020</t>
        </is>
      </c>
      <c r="C2750" s="22" t="n">
        <v>6</v>
      </c>
      <c r="D2750" s="22" t="inlineStr">
        <is>
          <t>S06</t>
        </is>
      </c>
      <c r="E2750" s="22" t="inlineStr">
        <is>
          <t>Nexa Western Australia (S06)</t>
        </is>
      </c>
      <c r="F2750" s="22" t="inlineStr">
        <is>
          <t>Úc</t>
        </is>
      </c>
      <c r="G2750" s="22" t="inlineStr">
        <is>
          <t>POS</t>
        </is>
      </c>
      <c r="H2750" s="31" t="n">
        <v>0</v>
      </c>
      <c r="I2750" s="31" t="n">
        <v>0</v>
      </c>
      <c r="J2750" s="31" t="n">
        <v>0</v>
      </c>
      <c r="K2750" s="31" t="n">
        <v>155.36</v>
      </c>
      <c r="L2750" s="32" t="n">
        <v>0</v>
      </c>
      <c r="M2750" s="32" t="n">
        <v>0</v>
      </c>
      <c r="N2750" s="31" t="n">
        <v>-155.36</v>
      </c>
      <c r="O2750" s="31" t="n">
        <v>0</v>
      </c>
      <c r="P2750" s="22" t="n">
        <v>0</v>
      </c>
      <c r="Q2750" s="22" t="n">
        <v>0</v>
      </c>
      <c r="R2750" s="22" t="n">
        <v>0</v>
      </c>
    </row>
    <row r="2751">
      <c r="A2751" s="22" t="n">
        <v>202010</v>
      </c>
      <c r="B2751" s="22" t="inlineStr">
        <is>
          <t>10/2020</t>
        </is>
      </c>
      <c r="C2751" s="22" t="n">
        <v>8</v>
      </c>
      <c r="D2751" s="22" t="inlineStr">
        <is>
          <t>S08</t>
        </is>
      </c>
      <c r="E2751" s="22" t="inlineStr">
        <is>
          <t>Nexa Newfoundland and Labrador (S08)</t>
        </is>
      </c>
      <c r="F2751" s="22" t="inlineStr">
        <is>
          <t>Canada</t>
        </is>
      </c>
      <c r="G2751" s="22" t="inlineStr">
        <is>
          <t>POS</t>
        </is>
      </c>
      <c r="H2751" s="31" t="n">
        <v>5968.71</v>
      </c>
      <c r="I2751" s="31" t="n">
        <v>0</v>
      </c>
      <c r="J2751" s="31" t="n">
        <v>5968.71</v>
      </c>
      <c r="K2751" s="31" t="n">
        <v>0</v>
      </c>
      <c r="L2751" s="32" t="n">
        <v>3</v>
      </c>
      <c r="M2751" s="32" t="n">
        <v>23</v>
      </c>
      <c r="N2751" s="31" t="n">
        <v>5968.71</v>
      </c>
      <c r="O2751" s="31" t="n">
        <v>5968.71</v>
      </c>
      <c r="P2751" s="22" t="n">
        <v>1</v>
      </c>
      <c r="Q2751" s="22" t="n">
        <v>0</v>
      </c>
      <c r="R2751" s="22" t="n">
        <v>0</v>
      </c>
    </row>
    <row r="2752">
      <c r="A2752" s="22" t="n">
        <v>202010</v>
      </c>
      <c r="B2752" s="22" t="inlineStr">
        <is>
          <t>10/2020</t>
        </is>
      </c>
      <c r="C2752" s="22" t="n">
        <v>9</v>
      </c>
      <c r="D2752" s="22" t="inlineStr">
        <is>
          <t>S09</t>
        </is>
      </c>
      <c r="E2752" s="22" t="inlineStr">
        <is>
          <t>Nexa Northwest Territories (S09)</t>
        </is>
      </c>
      <c r="F2752" s="22" t="inlineStr">
        <is>
          <t>Canada</t>
        </is>
      </c>
      <c r="G2752" s="22" t="inlineStr">
        <is>
          <t>POS</t>
        </is>
      </c>
      <c r="H2752" s="31" t="n">
        <v>1178.9</v>
      </c>
      <c r="I2752" s="31" t="n">
        <v>0</v>
      </c>
      <c r="J2752" s="31" t="n">
        <v>1178.9</v>
      </c>
      <c r="K2752" s="31" t="n">
        <v>0</v>
      </c>
      <c r="L2752" s="32" t="n">
        <v>1</v>
      </c>
      <c r="M2752" s="32" t="n">
        <v>4</v>
      </c>
      <c r="N2752" s="31" t="n">
        <v>1178.9</v>
      </c>
      <c r="O2752" s="31" t="n">
        <v>1178.9</v>
      </c>
      <c r="P2752" s="22" t="n">
        <v>0</v>
      </c>
      <c r="Q2752" s="22" t="n">
        <v>0</v>
      </c>
      <c r="R2752" s="22" t="n">
        <v>0</v>
      </c>
    </row>
    <row r="2753">
      <c r="A2753" s="22" t="n">
        <v>202010</v>
      </c>
      <c r="B2753" s="22" t="inlineStr">
        <is>
          <t>10/2020</t>
        </is>
      </c>
      <c r="C2753" s="22" t="n">
        <v>10</v>
      </c>
      <c r="D2753" s="22" t="inlineStr">
        <is>
          <t>S10</t>
        </is>
      </c>
      <c r="E2753" s="22" t="inlineStr">
        <is>
          <t>Nexa Nunavut (S10)</t>
        </is>
      </c>
      <c r="F2753" s="22" t="inlineStr">
        <is>
          <t>Canada</t>
        </is>
      </c>
      <c r="G2753" s="22" t="inlineStr">
        <is>
          <t>POS</t>
        </is>
      </c>
      <c r="H2753" s="31" t="n">
        <v>7033.1</v>
      </c>
      <c r="I2753" s="31" t="n">
        <v>0</v>
      </c>
      <c r="J2753" s="31" t="n">
        <v>7033.1</v>
      </c>
      <c r="K2753" s="31" t="n">
        <v>0</v>
      </c>
      <c r="L2753" s="32" t="n">
        <v>7</v>
      </c>
      <c r="M2753" s="32" t="n">
        <v>56</v>
      </c>
      <c r="N2753" s="31" t="n">
        <v>7033.1</v>
      </c>
      <c r="O2753" s="31" t="n">
        <v>7033.1</v>
      </c>
      <c r="P2753" s="22" t="n">
        <v>0</v>
      </c>
      <c r="Q2753" s="22" t="n">
        <v>0</v>
      </c>
      <c r="R2753" s="22" t="n">
        <v>0</v>
      </c>
    </row>
    <row r="2754">
      <c r="A2754" s="22" t="n">
        <v>202010</v>
      </c>
      <c r="B2754" s="22" t="inlineStr">
        <is>
          <t>10/2020</t>
        </is>
      </c>
      <c r="C2754" s="22" t="n">
        <v>12</v>
      </c>
      <c r="D2754" s="22" t="inlineStr">
        <is>
          <t>S12</t>
        </is>
      </c>
      <c r="E2754" s="22" t="inlineStr">
        <is>
          <t>Nexa Basse-Normandie (S12)</t>
        </is>
      </c>
      <c r="F2754" s="22" t="inlineStr">
        <is>
          <t>Pháp</t>
        </is>
      </c>
      <c r="G2754" s="22" t="inlineStr">
        <is>
          <t>POS</t>
        </is>
      </c>
      <c r="H2754" s="31" t="n">
        <v>869.97</v>
      </c>
      <c r="I2754" s="31" t="n">
        <v>0</v>
      </c>
      <c r="J2754" s="31" t="n">
        <v>869.97</v>
      </c>
      <c r="K2754" s="31" t="n">
        <v>0</v>
      </c>
      <c r="L2754" s="32" t="n">
        <v>1</v>
      </c>
      <c r="M2754" s="32" t="n">
        <v>3</v>
      </c>
      <c r="N2754" s="31" t="n">
        <v>869.97</v>
      </c>
      <c r="O2754" s="31" t="n">
        <v>869.97</v>
      </c>
      <c r="P2754" s="22" t="n">
        <v>0</v>
      </c>
      <c r="Q2754" s="22" t="n">
        <v>0</v>
      </c>
      <c r="R2754" s="22" t="n">
        <v>0</v>
      </c>
    </row>
    <row r="2755">
      <c r="A2755" s="22" t="n">
        <v>202010</v>
      </c>
      <c r="B2755" s="22" t="inlineStr">
        <is>
          <t>10/2020</t>
        </is>
      </c>
      <c r="C2755" s="22" t="n">
        <v>16</v>
      </c>
      <c r="D2755" s="22" t="inlineStr">
        <is>
          <t>S16</t>
        </is>
      </c>
      <c r="E2755" s="22" t="inlineStr">
        <is>
          <t>Nexa Limousin (S16)</t>
        </is>
      </c>
      <c r="F2755" s="22" t="inlineStr">
        <is>
          <t>Pháp</t>
        </is>
      </c>
      <c r="G2755" s="22" t="inlineStr">
        <is>
          <t>POS</t>
        </is>
      </c>
      <c r="H2755" s="31" t="n">
        <v>2240.84</v>
      </c>
      <c r="I2755" s="31" t="n">
        <v>0</v>
      </c>
      <c r="J2755" s="31" t="n">
        <v>2240.84</v>
      </c>
      <c r="K2755" s="31" t="n">
        <v>0</v>
      </c>
      <c r="L2755" s="32" t="n">
        <v>3</v>
      </c>
      <c r="M2755" s="32" t="n">
        <v>23</v>
      </c>
      <c r="N2755" s="31" t="n">
        <v>2240.84</v>
      </c>
      <c r="O2755" s="31" t="n">
        <v>2240.84</v>
      </c>
      <c r="P2755" s="22" t="n">
        <v>0</v>
      </c>
      <c r="Q2755" s="22" t="n">
        <v>0</v>
      </c>
      <c r="R2755" s="22" t="n">
        <v>0</v>
      </c>
    </row>
    <row r="2756">
      <c r="A2756" s="22" t="n">
        <v>202010</v>
      </c>
      <c r="B2756" s="22" t="inlineStr">
        <is>
          <t>10/2020</t>
        </is>
      </c>
      <c r="C2756" s="22" t="n">
        <v>18</v>
      </c>
      <c r="D2756" s="22" t="inlineStr">
        <is>
          <t>S18</t>
        </is>
      </c>
      <c r="E2756" s="22" t="inlineStr">
        <is>
          <t>Nexa Mayotte (S18)</t>
        </is>
      </c>
      <c r="F2756" s="22" t="inlineStr">
        <is>
          <t>Pháp</t>
        </is>
      </c>
      <c r="G2756" s="22" t="inlineStr">
        <is>
          <t>POS</t>
        </is>
      </c>
      <c r="H2756" s="31" t="n">
        <v>2324.9</v>
      </c>
      <c r="I2756" s="31" t="n">
        <v>0</v>
      </c>
      <c r="J2756" s="31" t="n">
        <v>2324.9</v>
      </c>
      <c r="K2756" s="31" t="n">
        <v>0</v>
      </c>
      <c r="L2756" s="32" t="n">
        <v>2</v>
      </c>
      <c r="M2756" s="32" t="n">
        <v>10</v>
      </c>
      <c r="N2756" s="31" t="n">
        <v>2324.9</v>
      </c>
      <c r="O2756" s="31" t="n">
        <v>2324.9</v>
      </c>
      <c r="P2756" s="22" t="n">
        <v>0</v>
      </c>
      <c r="Q2756" s="22" t="n">
        <v>0</v>
      </c>
      <c r="R2756" s="22" t="n">
        <v>0</v>
      </c>
    </row>
    <row r="2757">
      <c r="A2757" s="22" t="n">
        <v>202010</v>
      </c>
      <c r="B2757" s="22" t="inlineStr">
        <is>
          <t>10/2020</t>
        </is>
      </c>
      <c r="C2757" s="22" t="n">
        <v>19</v>
      </c>
      <c r="D2757" s="22" t="inlineStr">
        <is>
          <t>S19</t>
        </is>
      </c>
      <c r="E2757" s="22" t="inlineStr">
        <is>
          <t>Nexa Berlin (S19)</t>
        </is>
      </c>
      <c r="F2757" s="22" t="inlineStr">
        <is>
          <t>Đức</t>
        </is>
      </c>
      <c r="G2757" s="22" t="inlineStr">
        <is>
          <t>POS</t>
        </is>
      </c>
      <c r="H2757" s="31" t="n">
        <v>2855.4</v>
      </c>
      <c r="I2757" s="31" t="n">
        <v>0</v>
      </c>
      <c r="J2757" s="31" t="n">
        <v>2855.4</v>
      </c>
      <c r="K2757" s="31" t="n">
        <v>0</v>
      </c>
      <c r="L2757" s="32" t="n">
        <v>2</v>
      </c>
      <c r="M2757" s="32" t="n">
        <v>9</v>
      </c>
      <c r="N2757" s="31" t="n">
        <v>2855.4</v>
      </c>
      <c r="O2757" s="31" t="n">
        <v>2855.4</v>
      </c>
      <c r="P2757" s="22" t="n">
        <v>0</v>
      </c>
      <c r="Q2757" s="22" t="n">
        <v>0</v>
      </c>
      <c r="R2757" s="22" t="n">
        <v>0</v>
      </c>
    </row>
    <row r="2758">
      <c r="A2758" s="22" t="n">
        <v>202010</v>
      </c>
      <c r="B2758" s="22" t="inlineStr">
        <is>
          <t>10/2020</t>
        </is>
      </c>
      <c r="C2758" s="22" t="n">
        <v>21</v>
      </c>
      <c r="D2758" s="22" t="inlineStr">
        <is>
          <t>S21</t>
        </is>
      </c>
      <c r="E2758" s="22" t="inlineStr">
        <is>
          <t>Nexa Freie Hansestadt Bremen (S21)</t>
        </is>
      </c>
      <c r="F2758" s="22" t="inlineStr">
        <is>
          <t>Đức</t>
        </is>
      </c>
      <c r="G2758" s="22" t="inlineStr">
        <is>
          <t>POS</t>
        </is>
      </c>
      <c r="H2758" s="31" t="n">
        <v>2290</v>
      </c>
      <c r="I2758" s="31" t="n">
        <v>0</v>
      </c>
      <c r="J2758" s="31" t="n">
        <v>2290</v>
      </c>
      <c r="K2758" s="31" t="n">
        <v>0</v>
      </c>
      <c r="L2758" s="32" t="n">
        <v>2</v>
      </c>
      <c r="M2758" s="32" t="n">
        <v>11</v>
      </c>
      <c r="N2758" s="31" t="n">
        <v>2290</v>
      </c>
      <c r="O2758" s="31" t="n">
        <v>2290</v>
      </c>
      <c r="P2758" s="22" t="n">
        <v>0</v>
      </c>
      <c r="Q2758" s="22" t="n">
        <v>0</v>
      </c>
      <c r="R2758" s="22" t="n">
        <v>0</v>
      </c>
    </row>
    <row r="2759">
      <c r="A2759" s="22" t="n">
        <v>202010</v>
      </c>
      <c r="B2759" s="22" t="inlineStr">
        <is>
          <t>10/2020</t>
        </is>
      </c>
      <c r="C2759" s="22" t="n">
        <v>23</v>
      </c>
      <c r="D2759" s="22" t="inlineStr">
        <is>
          <t>S23</t>
        </is>
      </c>
      <c r="E2759" s="22" t="inlineStr">
        <is>
          <t>Nexa Hamburg (S23)</t>
        </is>
      </c>
      <c r="F2759" s="22" t="inlineStr">
        <is>
          <t>Đức</t>
        </is>
      </c>
      <c r="G2759" s="22" t="inlineStr">
        <is>
          <t>POS</t>
        </is>
      </c>
      <c r="H2759" s="31" t="n">
        <v>7402.35</v>
      </c>
      <c r="I2759" s="31" t="n">
        <v>0</v>
      </c>
      <c r="J2759" s="31" t="n">
        <v>7402.35</v>
      </c>
      <c r="K2759" s="31" t="n">
        <v>0</v>
      </c>
      <c r="L2759" s="32" t="n">
        <v>6</v>
      </c>
      <c r="M2759" s="32" t="n">
        <v>36</v>
      </c>
      <c r="N2759" s="31" t="n">
        <v>7402.35</v>
      </c>
      <c r="O2759" s="31" t="n">
        <v>7402.35</v>
      </c>
      <c r="P2759" s="22" t="n">
        <v>0</v>
      </c>
      <c r="Q2759" s="22" t="n">
        <v>0</v>
      </c>
      <c r="R2759" s="22" t="n">
        <v>0</v>
      </c>
    </row>
    <row r="2760">
      <c r="A2760" s="22" t="n">
        <v>202010</v>
      </c>
      <c r="B2760" s="22" t="inlineStr">
        <is>
          <t>10/2020</t>
        </is>
      </c>
      <c r="C2760" s="22" t="n">
        <v>24</v>
      </c>
      <c r="D2760" s="22" t="inlineStr">
        <is>
          <t>S24</t>
        </is>
      </c>
      <c r="E2760" s="22" t="inlineStr">
        <is>
          <t>Nexa Hessen (S24)</t>
        </is>
      </c>
      <c r="F2760" s="22" t="inlineStr">
        <is>
          <t>Đức</t>
        </is>
      </c>
      <c r="G2760" s="22" t="inlineStr">
        <is>
          <t>POS</t>
        </is>
      </c>
      <c r="H2760" s="31" t="n">
        <v>2099.85</v>
      </c>
      <c r="I2760" s="31" t="n">
        <v>0</v>
      </c>
      <c r="J2760" s="31" t="n">
        <v>2099.85</v>
      </c>
      <c r="K2760" s="31" t="n">
        <v>0</v>
      </c>
      <c r="L2760" s="32" t="n">
        <v>2</v>
      </c>
      <c r="M2760" s="32" t="n">
        <v>13</v>
      </c>
      <c r="N2760" s="31" t="n">
        <v>2099.85</v>
      </c>
      <c r="O2760" s="31" t="n">
        <v>2099.85</v>
      </c>
      <c r="P2760" s="22" t="n">
        <v>0</v>
      </c>
      <c r="Q2760" s="22" t="n">
        <v>0</v>
      </c>
      <c r="R2760" s="22" t="n">
        <v>0</v>
      </c>
    </row>
    <row r="2761">
      <c r="A2761" s="22" t="n">
        <v>202010</v>
      </c>
      <c r="B2761" s="22" t="inlineStr">
        <is>
          <t>10/2020</t>
        </is>
      </c>
      <c r="C2761" s="22" t="n">
        <v>27</v>
      </c>
      <c r="D2761" s="22" t="inlineStr">
        <is>
          <t>S27</t>
        </is>
      </c>
      <c r="E2761" s="22" t="inlineStr">
        <is>
          <t>Nexa Sachsen-Anhalt (S27)</t>
        </is>
      </c>
      <c r="F2761" s="22" t="inlineStr">
        <is>
          <t>Đức</t>
        </is>
      </c>
      <c r="G2761" s="22" t="inlineStr">
        <is>
          <t>POS</t>
        </is>
      </c>
      <c r="H2761" s="31" t="n">
        <v>799.5599999999999</v>
      </c>
      <c r="I2761" s="31" t="n">
        <v>0</v>
      </c>
      <c r="J2761" s="31" t="n">
        <v>799.5599999999999</v>
      </c>
      <c r="K2761" s="31" t="n">
        <v>0</v>
      </c>
      <c r="L2761" s="32" t="n">
        <v>1</v>
      </c>
      <c r="M2761" s="32" t="n">
        <v>10</v>
      </c>
      <c r="N2761" s="31" t="n">
        <v>799.5599999999999</v>
      </c>
      <c r="O2761" s="31" t="n">
        <v>799.5599999999999</v>
      </c>
      <c r="P2761" s="22" t="n">
        <v>0</v>
      </c>
      <c r="Q2761" s="22" t="n">
        <v>0</v>
      </c>
      <c r="R2761" s="22" t="n">
        <v>0</v>
      </c>
    </row>
    <row r="2762">
      <c r="A2762" s="22" t="n">
        <v>202010</v>
      </c>
      <c r="B2762" s="22" t="inlineStr">
        <is>
          <t>10/2020</t>
        </is>
      </c>
      <c r="C2762" s="22" t="n">
        <v>29</v>
      </c>
      <c r="D2762" s="22" t="inlineStr">
        <is>
          <t>S29</t>
        </is>
      </c>
      <c r="E2762" s="22" t="inlineStr">
        <is>
          <t>Nexa Enna (S29)</t>
        </is>
      </c>
      <c r="F2762" s="22" t="inlineStr">
        <is>
          <t>Ý</t>
        </is>
      </c>
      <c r="G2762" s="22" t="inlineStr">
        <is>
          <t>POS</t>
        </is>
      </c>
      <c r="H2762" s="31" t="n">
        <v>444.8</v>
      </c>
      <c r="I2762" s="31" t="n">
        <v>0</v>
      </c>
      <c r="J2762" s="31" t="n">
        <v>444.8</v>
      </c>
      <c r="K2762" s="31" t="n">
        <v>0</v>
      </c>
      <c r="L2762" s="32" t="n">
        <v>1</v>
      </c>
      <c r="M2762" s="32" t="n">
        <v>5</v>
      </c>
      <c r="N2762" s="31" t="n">
        <v>444.8</v>
      </c>
      <c r="O2762" s="31" t="n">
        <v>444.8</v>
      </c>
      <c r="P2762" s="22" t="n">
        <v>0</v>
      </c>
      <c r="Q2762" s="22" t="n">
        <v>0</v>
      </c>
      <c r="R2762" s="22" t="n">
        <v>0</v>
      </c>
    </row>
    <row r="2763">
      <c r="A2763" s="22" t="n">
        <v>202010</v>
      </c>
      <c r="B2763" s="22" t="inlineStr">
        <is>
          <t>10/2020</t>
        </is>
      </c>
      <c r="C2763" s="22" t="n">
        <v>31</v>
      </c>
      <c r="D2763" s="22" t="inlineStr">
        <is>
          <t>S31</t>
        </is>
      </c>
      <c r="E2763" s="22" t="inlineStr">
        <is>
          <t>Nexa Drenthe (S31)</t>
        </is>
      </c>
      <c r="F2763" s="22" t="inlineStr">
        <is>
          <t>Hà Lan</t>
        </is>
      </c>
      <c r="G2763" s="22" t="inlineStr">
        <is>
          <t>POS</t>
        </is>
      </c>
      <c r="H2763" s="31" t="n">
        <v>179.99</v>
      </c>
      <c r="I2763" s="31" t="n">
        <v>0</v>
      </c>
      <c r="J2763" s="31" t="n">
        <v>179.99</v>
      </c>
      <c r="K2763" s="31" t="n">
        <v>0</v>
      </c>
      <c r="L2763" s="32" t="n">
        <v>1</v>
      </c>
      <c r="M2763" s="32" t="n">
        <v>1</v>
      </c>
      <c r="N2763" s="31" t="n">
        <v>179.99</v>
      </c>
      <c r="O2763" s="31" t="n">
        <v>179.99</v>
      </c>
      <c r="P2763" s="22" t="n">
        <v>0</v>
      </c>
      <c r="Q2763" s="22" t="n">
        <v>0</v>
      </c>
      <c r="R2763" s="22" t="n">
        <v>0</v>
      </c>
    </row>
    <row r="2764">
      <c r="A2764" s="22" t="n">
        <v>202010</v>
      </c>
      <c r="B2764" s="22" t="inlineStr">
        <is>
          <t>10/2020</t>
        </is>
      </c>
      <c r="C2764" s="22" t="n">
        <v>32</v>
      </c>
      <c r="D2764" s="22" t="inlineStr">
        <is>
          <t>S32</t>
        </is>
      </c>
      <c r="E2764" s="22" t="inlineStr">
        <is>
          <t>Nexa Flevoland (S32)</t>
        </is>
      </c>
      <c r="F2764" s="22" t="inlineStr">
        <is>
          <t>Hà Lan</t>
        </is>
      </c>
      <c r="G2764" s="22" t="inlineStr">
        <is>
          <t>POS</t>
        </is>
      </c>
      <c r="H2764" s="31" t="n">
        <v>1582.93</v>
      </c>
      <c r="I2764" s="31" t="n">
        <v>0</v>
      </c>
      <c r="J2764" s="31" t="n">
        <v>1582.93</v>
      </c>
      <c r="K2764" s="31" t="n">
        <v>0</v>
      </c>
      <c r="L2764" s="32" t="n">
        <v>1</v>
      </c>
      <c r="M2764" s="32" t="n">
        <v>9</v>
      </c>
      <c r="N2764" s="31" t="n">
        <v>1582.93</v>
      </c>
      <c r="O2764" s="31" t="n">
        <v>1582.93</v>
      </c>
      <c r="P2764" s="22" t="n">
        <v>0</v>
      </c>
      <c r="Q2764" s="22" t="n">
        <v>0</v>
      </c>
      <c r="R2764" s="22" t="n">
        <v>0</v>
      </c>
    </row>
    <row r="2765">
      <c r="A2765" s="22" t="n">
        <v>202010</v>
      </c>
      <c r="B2765" s="22" t="inlineStr">
        <is>
          <t>10/2020</t>
        </is>
      </c>
      <c r="C2765" s="22" t="n">
        <v>33</v>
      </c>
      <c r="D2765" s="22" t="inlineStr">
        <is>
          <t>S33</t>
        </is>
      </c>
      <c r="E2765" s="22" t="inlineStr">
        <is>
          <t>Nexa Friesland (S33)</t>
        </is>
      </c>
      <c r="F2765" s="22" t="inlineStr">
        <is>
          <t>Hà Lan</t>
        </is>
      </c>
      <c r="G2765" s="22" t="inlineStr">
        <is>
          <t>POS</t>
        </is>
      </c>
      <c r="H2765" s="31" t="n">
        <v>296</v>
      </c>
      <c r="I2765" s="31" t="n">
        <v>0</v>
      </c>
      <c r="J2765" s="31" t="n">
        <v>296</v>
      </c>
      <c r="K2765" s="31" t="n">
        <v>0</v>
      </c>
      <c r="L2765" s="32" t="n">
        <v>1</v>
      </c>
      <c r="M2765" s="32" t="n">
        <v>1</v>
      </c>
      <c r="N2765" s="31" t="n">
        <v>296</v>
      </c>
      <c r="O2765" s="31" t="n">
        <v>296</v>
      </c>
      <c r="P2765" s="22" t="n">
        <v>0</v>
      </c>
      <c r="Q2765" s="22" t="n">
        <v>0</v>
      </c>
      <c r="R2765" s="22" t="n">
        <v>0</v>
      </c>
    </row>
    <row r="2766">
      <c r="A2766" s="22" t="n">
        <v>202010</v>
      </c>
      <c r="B2766" s="22" t="inlineStr">
        <is>
          <t>10/2020</t>
        </is>
      </c>
      <c r="C2766" s="22" t="n">
        <v>36</v>
      </c>
      <c r="D2766" s="22" t="inlineStr">
        <is>
          <t>S36</t>
        </is>
      </c>
      <c r="E2766" s="22" t="inlineStr">
        <is>
          <t>Nexa Armagh (S36)</t>
        </is>
      </c>
      <c r="F2766" s="22" t="inlineStr">
        <is>
          <t>Anh</t>
        </is>
      </c>
      <c r="G2766" s="22" t="inlineStr">
        <is>
          <t>POS</t>
        </is>
      </c>
      <c r="H2766" s="31" t="n">
        <v>1582.7</v>
      </c>
      <c r="I2766" s="31" t="n">
        <v>0</v>
      </c>
      <c r="J2766" s="31" t="n">
        <v>1582.7</v>
      </c>
      <c r="K2766" s="31" t="n">
        <v>0</v>
      </c>
      <c r="L2766" s="32" t="n">
        <v>2</v>
      </c>
      <c r="M2766" s="32" t="n">
        <v>5</v>
      </c>
      <c r="N2766" s="31" t="n">
        <v>1582.7</v>
      </c>
      <c r="O2766" s="31" t="n">
        <v>1582.7</v>
      </c>
      <c r="P2766" s="22" t="n">
        <v>0</v>
      </c>
      <c r="Q2766" s="22" t="n">
        <v>0</v>
      </c>
      <c r="R2766" s="22" t="n">
        <v>0</v>
      </c>
    </row>
    <row r="2767">
      <c r="A2767" s="22" t="n">
        <v>202010</v>
      </c>
      <c r="B2767" s="22" t="inlineStr">
        <is>
          <t>10/2020</t>
        </is>
      </c>
      <c r="C2767" s="22" t="n">
        <v>38</v>
      </c>
      <c r="D2767" s="22" t="inlineStr">
        <is>
          <t>S38</t>
        </is>
      </c>
      <c r="E2767" s="22" t="inlineStr">
        <is>
          <t>Nexa Belfast (S38)</t>
        </is>
      </c>
      <c r="F2767" s="22" t="inlineStr">
        <is>
          <t>Anh</t>
        </is>
      </c>
      <c r="G2767" s="22" t="inlineStr">
        <is>
          <t>POS</t>
        </is>
      </c>
      <c r="H2767" s="31" t="n">
        <v>3017.73</v>
      </c>
      <c r="I2767" s="31" t="n">
        <v>0</v>
      </c>
      <c r="J2767" s="31" t="n">
        <v>3017.73</v>
      </c>
      <c r="K2767" s="31" t="n">
        <v>0</v>
      </c>
      <c r="L2767" s="32" t="n">
        <v>1</v>
      </c>
      <c r="M2767" s="32" t="n">
        <v>12</v>
      </c>
      <c r="N2767" s="31" t="n">
        <v>3017.73</v>
      </c>
      <c r="O2767" s="31" t="n">
        <v>3017.73</v>
      </c>
      <c r="P2767" s="22" t="n">
        <v>0</v>
      </c>
      <c r="Q2767" s="22" t="n">
        <v>0</v>
      </c>
      <c r="R2767" s="22" t="n">
        <v>0</v>
      </c>
    </row>
    <row r="2768">
      <c r="A2768" s="22" t="n">
        <v>202010</v>
      </c>
      <c r="B2768" s="22" t="inlineStr">
        <is>
          <t>10/2020</t>
        </is>
      </c>
      <c r="C2768" s="22" t="n">
        <v>39</v>
      </c>
      <c r="D2768" s="22" t="inlineStr">
        <is>
          <t>S39</t>
        </is>
      </c>
      <c r="E2768" s="22" t="inlineStr">
        <is>
          <t>Nexa Blaenau Gwent (S39)</t>
        </is>
      </c>
      <c r="F2768" s="22" t="inlineStr">
        <is>
          <t>Anh</t>
        </is>
      </c>
      <c r="G2768" s="22" t="inlineStr">
        <is>
          <t>POS</t>
        </is>
      </c>
      <c r="H2768" s="31" t="n">
        <v>4439.67</v>
      </c>
      <c r="I2768" s="31" t="n">
        <v>0</v>
      </c>
      <c r="J2768" s="31" t="n">
        <v>4439.67</v>
      </c>
      <c r="K2768" s="31" t="n">
        <v>0</v>
      </c>
      <c r="L2768" s="32" t="n">
        <v>5</v>
      </c>
      <c r="M2768" s="32" t="n">
        <v>25</v>
      </c>
      <c r="N2768" s="31" t="n">
        <v>4439.67</v>
      </c>
      <c r="O2768" s="31" t="n">
        <v>4439.67</v>
      </c>
      <c r="P2768" s="22" t="n">
        <v>0</v>
      </c>
      <c r="Q2768" s="22" t="n">
        <v>0</v>
      </c>
      <c r="R2768" s="22" t="n">
        <v>0</v>
      </c>
    </row>
    <row r="2769">
      <c r="A2769" s="22" t="n">
        <v>202010</v>
      </c>
      <c r="B2769" s="22" t="inlineStr">
        <is>
          <t>10/2020</t>
        </is>
      </c>
      <c r="C2769" s="22" t="n">
        <v>40</v>
      </c>
      <c r="D2769" s="22" t="inlineStr">
        <is>
          <t>S40</t>
        </is>
      </c>
      <c r="E2769" s="22" t="inlineStr">
        <is>
          <t>Nexa Dungannon and South Tyrone (S40)</t>
        </is>
      </c>
      <c r="F2769" s="22" t="inlineStr">
        <is>
          <t>Anh</t>
        </is>
      </c>
      <c r="G2769" s="22" t="inlineStr">
        <is>
          <t>POS</t>
        </is>
      </c>
      <c r="H2769" s="31" t="n">
        <v>11029.18</v>
      </c>
      <c r="I2769" s="31" t="n">
        <v>0</v>
      </c>
      <c r="J2769" s="31" t="n">
        <v>11029.18</v>
      </c>
      <c r="K2769" s="31" t="n">
        <v>0</v>
      </c>
      <c r="L2769" s="32" t="n">
        <v>4</v>
      </c>
      <c r="M2769" s="32" t="n">
        <v>46</v>
      </c>
      <c r="N2769" s="31" t="n">
        <v>11029.18</v>
      </c>
      <c r="O2769" s="31" t="n">
        <v>11029.18</v>
      </c>
      <c r="P2769" s="22" t="n">
        <v>0</v>
      </c>
      <c r="Q2769" s="22" t="n">
        <v>0</v>
      </c>
      <c r="R2769" s="22" t="n">
        <v>0</v>
      </c>
    </row>
    <row r="2770">
      <c r="A2770" s="22" t="n">
        <v>202010</v>
      </c>
      <c r="B2770" s="22" t="inlineStr">
        <is>
          <t>10/2020</t>
        </is>
      </c>
      <c r="C2770" s="22" t="n">
        <v>43</v>
      </c>
      <c r="D2770" s="22" t="inlineStr">
        <is>
          <t>S43</t>
        </is>
      </c>
      <c r="E2770" s="22" t="inlineStr">
        <is>
          <t>Nexa Alaska (S43)</t>
        </is>
      </c>
      <c r="F2770" s="22" t="inlineStr">
        <is>
          <t>Mỹ</t>
        </is>
      </c>
      <c r="G2770" s="22" t="inlineStr">
        <is>
          <t>POS</t>
        </is>
      </c>
      <c r="H2770" s="31" t="n">
        <v>6272.9</v>
      </c>
      <c r="I2770" s="31" t="n">
        <v>0</v>
      </c>
      <c r="J2770" s="31" t="n">
        <v>6272.9</v>
      </c>
      <c r="K2770" s="31" t="n">
        <v>207.81</v>
      </c>
      <c r="L2770" s="32" t="n">
        <v>3</v>
      </c>
      <c r="M2770" s="32" t="n">
        <v>22</v>
      </c>
      <c r="N2770" s="31" t="n">
        <v>6065.09</v>
      </c>
      <c r="O2770" s="31" t="n">
        <v>6272.9</v>
      </c>
      <c r="P2770" s="22" t="n">
        <v>0</v>
      </c>
      <c r="Q2770" s="22" t="n">
        <v>0</v>
      </c>
      <c r="R2770" s="22" t="n">
        <v>0</v>
      </c>
    </row>
    <row r="2771">
      <c r="A2771" s="22" t="n">
        <v>202010</v>
      </c>
      <c r="B2771" s="22" t="inlineStr">
        <is>
          <t>10/2020</t>
        </is>
      </c>
      <c r="C2771" s="22" t="n">
        <v>44</v>
      </c>
      <c r="D2771" s="22" t="inlineStr">
        <is>
          <t>S44</t>
        </is>
      </c>
      <c r="E2771" s="22" t="inlineStr">
        <is>
          <t>Nexa Arkansas (S44)</t>
        </is>
      </c>
      <c r="F2771" s="22" t="inlineStr">
        <is>
          <t>Mỹ</t>
        </is>
      </c>
      <c r="G2771" s="22" t="inlineStr">
        <is>
          <t>POS</t>
        </is>
      </c>
      <c r="H2771" s="31" t="n">
        <v>8152.35</v>
      </c>
      <c r="I2771" s="31" t="n">
        <v>0</v>
      </c>
      <c r="J2771" s="31" t="n">
        <v>8152.35</v>
      </c>
      <c r="K2771" s="31" t="n">
        <v>575.4</v>
      </c>
      <c r="L2771" s="32" t="n">
        <v>10</v>
      </c>
      <c r="M2771" s="32" t="n">
        <v>62</v>
      </c>
      <c r="N2771" s="31" t="n">
        <v>7576.95</v>
      </c>
      <c r="O2771" s="31" t="n">
        <v>8152.35</v>
      </c>
      <c r="P2771" s="22" t="n">
        <v>0</v>
      </c>
      <c r="Q2771" s="22" t="n">
        <v>0</v>
      </c>
      <c r="R2771" s="22" t="n">
        <v>0</v>
      </c>
    </row>
    <row r="2772">
      <c r="A2772" s="22" t="n">
        <v>202010</v>
      </c>
      <c r="B2772" s="22" t="inlineStr">
        <is>
          <t>10/2020</t>
        </is>
      </c>
      <c r="C2772" s="22" t="n">
        <v>45</v>
      </c>
      <c r="D2772" s="22" t="inlineStr">
        <is>
          <t>S45</t>
        </is>
      </c>
      <c r="E2772" s="22" t="inlineStr">
        <is>
          <t>Nexa Connecticut (S45)</t>
        </is>
      </c>
      <c r="F2772" s="22" t="inlineStr">
        <is>
          <t>Mỹ</t>
        </is>
      </c>
      <c r="G2772" s="22" t="inlineStr">
        <is>
          <t>POS</t>
        </is>
      </c>
      <c r="H2772" s="31" t="n">
        <v>7690.96</v>
      </c>
      <c r="I2772" s="31" t="n">
        <v>0</v>
      </c>
      <c r="J2772" s="31" t="n">
        <v>7690.96</v>
      </c>
      <c r="K2772" s="31" t="n">
        <v>0</v>
      </c>
      <c r="L2772" s="32" t="n">
        <v>4</v>
      </c>
      <c r="M2772" s="32" t="n">
        <v>27</v>
      </c>
      <c r="N2772" s="31" t="n">
        <v>7690.96</v>
      </c>
      <c r="O2772" s="31" t="n">
        <v>7690.96</v>
      </c>
      <c r="P2772" s="22" t="n">
        <v>0</v>
      </c>
      <c r="Q2772" s="22" t="n">
        <v>0</v>
      </c>
      <c r="R2772" s="22" t="n">
        <v>1</v>
      </c>
    </row>
    <row r="2773">
      <c r="A2773" s="22" t="n">
        <v>202010</v>
      </c>
      <c r="B2773" s="22" t="inlineStr">
        <is>
          <t>10/2020</t>
        </is>
      </c>
      <c r="C2773" s="22" t="n">
        <v>48</v>
      </c>
      <c r="D2773" s="22" t="inlineStr">
        <is>
          <t>S48</t>
        </is>
      </c>
      <c r="E2773" s="22" t="inlineStr">
        <is>
          <t>Nexa Idaho (S48)</t>
        </is>
      </c>
      <c r="F2773" s="22" t="inlineStr">
        <is>
          <t>Mỹ</t>
        </is>
      </c>
      <c r="G2773" s="22" t="inlineStr">
        <is>
          <t>POS</t>
        </is>
      </c>
      <c r="H2773" s="31" t="n">
        <v>564.51</v>
      </c>
      <c r="I2773" s="31" t="n">
        <v>0</v>
      </c>
      <c r="J2773" s="31" t="n">
        <v>564.51</v>
      </c>
      <c r="K2773" s="31" t="n">
        <v>303.96</v>
      </c>
      <c r="L2773" s="32" t="n">
        <v>1</v>
      </c>
      <c r="M2773" s="32" t="n">
        <v>6</v>
      </c>
      <c r="N2773" s="31" t="n">
        <v>260.55</v>
      </c>
      <c r="O2773" s="31" t="n">
        <v>564.51</v>
      </c>
      <c r="P2773" s="22" t="n">
        <v>0</v>
      </c>
      <c r="Q2773" s="22" t="n">
        <v>0</v>
      </c>
      <c r="R2773" s="22" t="n">
        <v>0</v>
      </c>
    </row>
    <row r="2774">
      <c r="A2774" s="22" t="n">
        <v>202010</v>
      </c>
      <c r="B2774" s="22" t="inlineStr">
        <is>
          <t>10/2020</t>
        </is>
      </c>
      <c r="C2774" s="22" t="n">
        <v>49</v>
      </c>
      <c r="D2774" s="22" t="inlineStr">
        <is>
          <t>S49</t>
        </is>
      </c>
      <c r="E2774" s="22" t="inlineStr">
        <is>
          <t>Nexa Iowa (S49)</t>
        </is>
      </c>
      <c r="F2774" s="22" t="inlineStr">
        <is>
          <t>Mỹ</t>
        </is>
      </c>
      <c r="G2774" s="22" t="inlineStr">
        <is>
          <t>POS</t>
        </is>
      </c>
      <c r="H2774" s="31" t="n">
        <v>7265.74</v>
      </c>
      <c r="I2774" s="31" t="n">
        <v>0</v>
      </c>
      <c r="J2774" s="31" t="n">
        <v>7265.74</v>
      </c>
      <c r="K2774" s="31" t="n">
        <v>0</v>
      </c>
      <c r="L2774" s="32" t="n">
        <v>5</v>
      </c>
      <c r="M2774" s="32" t="n">
        <v>34</v>
      </c>
      <c r="N2774" s="31" t="n">
        <v>7265.74</v>
      </c>
      <c r="O2774" s="31" t="n">
        <v>7265.74</v>
      </c>
      <c r="P2774" s="22" t="n">
        <v>0</v>
      </c>
      <c r="Q2774" s="22" t="n">
        <v>0</v>
      </c>
      <c r="R2774" s="22" t="n">
        <v>0</v>
      </c>
    </row>
    <row r="2775">
      <c r="A2775" s="22" t="n">
        <v>202010</v>
      </c>
      <c r="B2775" s="22" t="inlineStr">
        <is>
          <t>10/2020</t>
        </is>
      </c>
      <c r="C2775" s="22" t="n">
        <v>50</v>
      </c>
      <c r="D2775" s="22" t="inlineStr">
        <is>
          <t>S50</t>
        </is>
      </c>
      <c r="E2775" s="22" t="inlineStr">
        <is>
          <t>Nexa Kansas (S50)</t>
        </is>
      </c>
      <c r="F2775" s="22" t="inlineStr">
        <is>
          <t>Mỹ</t>
        </is>
      </c>
      <c r="G2775" s="22" t="inlineStr">
        <is>
          <t>POS</t>
        </is>
      </c>
      <c r="H2775" s="31" t="n">
        <v>27388.25</v>
      </c>
      <c r="I2775" s="31" t="n">
        <v>0</v>
      </c>
      <c r="J2775" s="31" t="n">
        <v>27388.25</v>
      </c>
      <c r="K2775" s="31" t="n">
        <v>32</v>
      </c>
      <c r="L2775" s="32" t="n">
        <v>5</v>
      </c>
      <c r="M2775" s="32" t="n">
        <v>37</v>
      </c>
      <c r="N2775" s="31" t="n">
        <v>27356.25</v>
      </c>
      <c r="O2775" s="31" t="n">
        <v>27388.25</v>
      </c>
      <c r="P2775" s="22" t="n">
        <v>0</v>
      </c>
      <c r="Q2775" s="22" t="n">
        <v>0</v>
      </c>
      <c r="R2775" s="22" t="n">
        <v>0</v>
      </c>
    </row>
    <row r="2776">
      <c r="A2776" s="22" t="n">
        <v>202010</v>
      </c>
      <c r="B2776" s="22" t="inlineStr">
        <is>
          <t>10/2020</t>
        </is>
      </c>
      <c r="C2776" s="22" t="n">
        <v>51</v>
      </c>
      <c r="D2776" s="22" t="inlineStr">
        <is>
          <t>S51</t>
        </is>
      </c>
      <c r="E2776" s="22" t="inlineStr">
        <is>
          <t>Nexa Maine (S51)</t>
        </is>
      </c>
      <c r="F2776" s="22" t="inlineStr">
        <is>
          <t>Mỹ</t>
        </is>
      </c>
      <c r="G2776" s="22" t="inlineStr">
        <is>
          <t>POS</t>
        </is>
      </c>
      <c r="H2776" s="31" t="n">
        <v>2374.82</v>
      </c>
      <c r="I2776" s="31" t="n">
        <v>0</v>
      </c>
      <c r="J2776" s="31" t="n">
        <v>2374.82</v>
      </c>
      <c r="K2776" s="31" t="n">
        <v>399.9</v>
      </c>
      <c r="L2776" s="32" t="n">
        <v>3</v>
      </c>
      <c r="M2776" s="32" t="n">
        <v>18</v>
      </c>
      <c r="N2776" s="31" t="n">
        <v>1974.92</v>
      </c>
      <c r="O2776" s="31" t="n">
        <v>2374.82</v>
      </c>
      <c r="P2776" s="22" t="n">
        <v>0</v>
      </c>
      <c r="Q2776" s="22" t="n">
        <v>0</v>
      </c>
      <c r="R2776" s="22" t="n">
        <v>0</v>
      </c>
    </row>
    <row r="2777">
      <c r="A2777" s="22" t="n">
        <v>202010</v>
      </c>
      <c r="B2777" s="22" t="inlineStr">
        <is>
          <t>10/2020</t>
        </is>
      </c>
      <c r="C2777" s="22" t="n">
        <v>53</v>
      </c>
      <c r="D2777" s="22" t="inlineStr">
        <is>
          <t>S53</t>
        </is>
      </c>
      <c r="E2777" s="22" t="inlineStr">
        <is>
          <t>Nexa Montana (S53)</t>
        </is>
      </c>
      <c r="F2777" s="22" t="inlineStr">
        <is>
          <t>Mỹ</t>
        </is>
      </c>
      <c r="G2777" s="22" t="inlineStr">
        <is>
          <t>POS</t>
        </is>
      </c>
      <c r="H2777" s="31" t="n">
        <v>7866.37</v>
      </c>
      <c r="I2777" s="31" t="n">
        <v>0</v>
      </c>
      <c r="J2777" s="31" t="n">
        <v>7866.37</v>
      </c>
      <c r="K2777" s="31" t="n">
        <v>0</v>
      </c>
      <c r="L2777" s="32" t="n">
        <v>6</v>
      </c>
      <c r="M2777" s="32" t="n">
        <v>49</v>
      </c>
      <c r="N2777" s="31" t="n">
        <v>7866.37</v>
      </c>
      <c r="O2777" s="31" t="n">
        <v>7866.37</v>
      </c>
      <c r="P2777" s="22" t="n">
        <v>0</v>
      </c>
      <c r="Q2777" s="22" t="n">
        <v>0</v>
      </c>
      <c r="R2777" s="22" t="n">
        <v>0</v>
      </c>
    </row>
    <row r="2778">
      <c r="A2778" s="22" t="n">
        <v>202010</v>
      </c>
      <c r="B2778" s="22" t="inlineStr">
        <is>
          <t>10/2020</t>
        </is>
      </c>
      <c r="C2778" s="22" t="n">
        <v>54</v>
      </c>
      <c r="D2778" s="22" t="inlineStr">
        <is>
          <t>S54</t>
        </is>
      </c>
      <c r="E2778" s="22" t="inlineStr">
        <is>
          <t>Nexa Nebraska (S54)</t>
        </is>
      </c>
      <c r="F2778" s="22" t="inlineStr">
        <is>
          <t>Mỹ</t>
        </is>
      </c>
      <c r="G2778" s="22" t="inlineStr">
        <is>
          <t>POS</t>
        </is>
      </c>
      <c r="H2778" s="31" t="n">
        <v>2521.37</v>
      </c>
      <c r="I2778" s="31" t="n">
        <v>0</v>
      </c>
      <c r="J2778" s="31" t="n">
        <v>2521.37</v>
      </c>
      <c r="K2778" s="31" t="n">
        <v>0</v>
      </c>
      <c r="L2778" s="32" t="n">
        <v>2</v>
      </c>
      <c r="M2778" s="32" t="n">
        <v>11</v>
      </c>
      <c r="N2778" s="31" t="n">
        <v>2521.37</v>
      </c>
      <c r="O2778" s="31" t="n">
        <v>2521.37</v>
      </c>
      <c r="P2778" s="22" t="n">
        <v>0</v>
      </c>
      <c r="Q2778" s="22" t="n">
        <v>0</v>
      </c>
      <c r="R2778" s="22" t="n">
        <v>0</v>
      </c>
    </row>
    <row r="2779">
      <c r="A2779" s="22" t="n">
        <v>202010</v>
      </c>
      <c r="B2779" s="22" t="inlineStr">
        <is>
          <t>10/2020</t>
        </is>
      </c>
      <c r="C2779" s="22" t="n">
        <v>55</v>
      </c>
      <c r="D2779" s="22" t="inlineStr">
        <is>
          <t>S55</t>
        </is>
      </c>
      <c r="E2779" s="22" t="inlineStr">
        <is>
          <t>Nexa Nevada (S55)</t>
        </is>
      </c>
      <c r="F2779" s="22" t="inlineStr">
        <is>
          <t>Mỹ</t>
        </is>
      </c>
      <c r="G2779" s="22" t="inlineStr">
        <is>
          <t>POS</t>
        </is>
      </c>
      <c r="H2779" s="31" t="n">
        <v>1805.78</v>
      </c>
      <c r="I2779" s="31" t="n">
        <v>0</v>
      </c>
      <c r="J2779" s="31" t="n">
        <v>1805.78</v>
      </c>
      <c r="K2779" s="31" t="n">
        <v>0</v>
      </c>
      <c r="L2779" s="32" t="n">
        <v>2</v>
      </c>
      <c r="M2779" s="32" t="n">
        <v>13</v>
      </c>
      <c r="N2779" s="31" t="n">
        <v>1805.78</v>
      </c>
      <c r="O2779" s="31" t="n">
        <v>1805.78</v>
      </c>
      <c r="P2779" s="22" t="n">
        <v>0</v>
      </c>
      <c r="Q2779" s="22" t="n">
        <v>0</v>
      </c>
      <c r="R2779" s="22" t="n">
        <v>0</v>
      </c>
    </row>
    <row r="2780">
      <c r="A2780" s="22" t="n">
        <v>202010</v>
      </c>
      <c r="B2780" s="22" t="inlineStr">
        <is>
          <t>10/2020</t>
        </is>
      </c>
      <c r="C2780" s="22" t="n">
        <v>56</v>
      </c>
      <c r="D2780" s="22" t="inlineStr">
        <is>
          <t>S56</t>
        </is>
      </c>
      <c r="E2780" s="22" t="inlineStr">
        <is>
          <t>Nexa New Hampshire (S56)</t>
        </is>
      </c>
      <c r="F2780" s="22" t="inlineStr">
        <is>
          <t>Mỹ</t>
        </is>
      </c>
      <c r="G2780" s="22" t="inlineStr">
        <is>
          <t>POS</t>
        </is>
      </c>
      <c r="H2780" s="31" t="n">
        <v>1710.81</v>
      </c>
      <c r="I2780" s="31" t="n">
        <v>0</v>
      </c>
      <c r="J2780" s="31" t="n">
        <v>1710.81</v>
      </c>
      <c r="K2780" s="31" t="n">
        <v>289.99</v>
      </c>
      <c r="L2780" s="32" t="n">
        <v>3</v>
      </c>
      <c r="M2780" s="32" t="n">
        <v>12</v>
      </c>
      <c r="N2780" s="31" t="n">
        <v>1420.82</v>
      </c>
      <c r="O2780" s="31" t="n">
        <v>1710.81</v>
      </c>
      <c r="P2780" s="22" t="n">
        <v>0</v>
      </c>
      <c r="Q2780" s="22" t="n">
        <v>0</v>
      </c>
      <c r="R2780" s="22" t="n">
        <v>0</v>
      </c>
    </row>
    <row r="2781">
      <c r="A2781" s="22" t="n">
        <v>202010</v>
      </c>
      <c r="B2781" s="22" t="inlineStr">
        <is>
          <t>10/2020</t>
        </is>
      </c>
      <c r="C2781" s="22" t="n">
        <v>57</v>
      </c>
      <c r="D2781" s="22" t="inlineStr">
        <is>
          <t>S57</t>
        </is>
      </c>
      <c r="E2781" s="22" t="inlineStr">
        <is>
          <t>Nexa New Mexico (S57)</t>
        </is>
      </c>
      <c r="F2781" s="22" t="inlineStr">
        <is>
          <t>Mỹ</t>
        </is>
      </c>
      <c r="G2781" s="22" t="inlineStr">
        <is>
          <t>POS</t>
        </is>
      </c>
      <c r="H2781" s="31" t="n">
        <v>1548.91</v>
      </c>
      <c r="I2781" s="31" t="n">
        <v>0</v>
      </c>
      <c r="J2781" s="31" t="n">
        <v>1548.91</v>
      </c>
      <c r="K2781" s="31" t="n">
        <v>0</v>
      </c>
      <c r="L2781" s="32" t="n">
        <v>1</v>
      </c>
      <c r="M2781" s="32" t="n">
        <v>10</v>
      </c>
      <c r="N2781" s="31" t="n">
        <v>1548.91</v>
      </c>
      <c r="O2781" s="31" t="n">
        <v>1548.91</v>
      </c>
      <c r="P2781" s="22" t="n">
        <v>0</v>
      </c>
      <c r="Q2781" s="22" t="n">
        <v>0</v>
      </c>
      <c r="R2781" s="22" t="n">
        <v>0</v>
      </c>
    </row>
    <row r="2782">
      <c r="A2782" s="22" t="n">
        <v>202010</v>
      </c>
      <c r="B2782" s="22" t="inlineStr">
        <is>
          <t>10/2020</t>
        </is>
      </c>
      <c r="C2782" s="22" t="n">
        <v>59</v>
      </c>
      <c r="D2782" s="22" t="inlineStr">
        <is>
          <t>S59</t>
        </is>
      </c>
      <c r="E2782" s="22" t="inlineStr">
        <is>
          <t>Nexa Oregon (S59)</t>
        </is>
      </c>
      <c r="F2782" s="22" t="inlineStr">
        <is>
          <t>Mỹ</t>
        </is>
      </c>
      <c r="G2782" s="22" t="inlineStr">
        <is>
          <t>POS</t>
        </is>
      </c>
      <c r="H2782" s="31" t="n">
        <v>10040.08</v>
      </c>
      <c r="I2782" s="31" t="n">
        <v>0</v>
      </c>
      <c r="J2782" s="31" t="n">
        <v>10040.08</v>
      </c>
      <c r="K2782" s="31" t="n">
        <v>236</v>
      </c>
      <c r="L2782" s="32" t="n">
        <v>4</v>
      </c>
      <c r="M2782" s="32" t="n">
        <v>28</v>
      </c>
      <c r="N2782" s="31" t="n">
        <v>9804.08</v>
      </c>
      <c r="O2782" s="31" t="n">
        <v>10040.08</v>
      </c>
      <c r="P2782" s="22" t="n">
        <v>0</v>
      </c>
      <c r="Q2782" s="22" t="n">
        <v>0</v>
      </c>
      <c r="R2782" s="22" t="n">
        <v>0</v>
      </c>
    </row>
    <row r="2783">
      <c r="A2783" s="22" t="n">
        <v>202010</v>
      </c>
      <c r="B2783" s="22" t="inlineStr">
        <is>
          <t>10/2020</t>
        </is>
      </c>
      <c r="C2783" s="22" t="n">
        <v>61</v>
      </c>
      <c r="D2783" s="22" t="inlineStr">
        <is>
          <t>S61</t>
        </is>
      </c>
      <c r="E2783" s="22" t="inlineStr">
        <is>
          <t>Nexa South Carolina (S61)</t>
        </is>
      </c>
      <c r="F2783" s="22" t="inlineStr">
        <is>
          <t>Mỹ</t>
        </is>
      </c>
      <c r="G2783" s="22" t="inlineStr">
        <is>
          <t>POS</t>
        </is>
      </c>
      <c r="H2783" s="31" t="n">
        <v>11124.58</v>
      </c>
      <c r="I2783" s="31" t="n">
        <v>0</v>
      </c>
      <c r="J2783" s="31" t="n">
        <v>11124.58</v>
      </c>
      <c r="K2783" s="31" t="n">
        <v>376</v>
      </c>
      <c r="L2783" s="32" t="n">
        <v>6</v>
      </c>
      <c r="M2783" s="32" t="n">
        <v>57</v>
      </c>
      <c r="N2783" s="31" t="n">
        <v>10748.58</v>
      </c>
      <c r="O2783" s="31" t="n">
        <v>11124.58</v>
      </c>
      <c r="P2783" s="22" t="n">
        <v>0</v>
      </c>
      <c r="Q2783" s="22" t="n">
        <v>0</v>
      </c>
      <c r="R2783" s="22" t="n">
        <v>0</v>
      </c>
    </row>
    <row r="2784">
      <c r="A2784" s="22" t="n">
        <v>202010</v>
      </c>
      <c r="B2784" s="22" t="inlineStr">
        <is>
          <t>10/2020</t>
        </is>
      </c>
      <c r="C2784" s="22" t="n">
        <v>62</v>
      </c>
      <c r="D2784" s="22" t="inlineStr">
        <is>
          <t>S62</t>
        </is>
      </c>
      <c r="E2784" s="22" t="inlineStr">
        <is>
          <t>Nexa South Dakota (S62)</t>
        </is>
      </c>
      <c r="F2784" s="22" t="inlineStr">
        <is>
          <t>Mỹ</t>
        </is>
      </c>
      <c r="G2784" s="22" t="inlineStr">
        <is>
          <t>POS</t>
        </is>
      </c>
      <c r="H2784" s="31" t="n">
        <v>2669.95</v>
      </c>
      <c r="I2784" s="31" t="n">
        <v>0</v>
      </c>
      <c r="J2784" s="31" t="n">
        <v>2669.95</v>
      </c>
      <c r="K2784" s="31" t="n">
        <v>20.6</v>
      </c>
      <c r="L2784" s="32" t="n">
        <v>2</v>
      </c>
      <c r="M2784" s="32" t="n">
        <v>19</v>
      </c>
      <c r="N2784" s="31" t="n">
        <v>2649.35</v>
      </c>
      <c r="O2784" s="31" t="n">
        <v>2669.95</v>
      </c>
      <c r="P2784" s="22" t="n">
        <v>0</v>
      </c>
      <c r="Q2784" s="22" t="n">
        <v>0</v>
      </c>
      <c r="R2784" s="22" t="n">
        <v>0</v>
      </c>
    </row>
    <row r="2785">
      <c r="A2785" s="22" t="n">
        <v>202010</v>
      </c>
      <c r="B2785" s="22" t="inlineStr">
        <is>
          <t>10/2020</t>
        </is>
      </c>
      <c r="C2785" s="22" t="n">
        <v>64</v>
      </c>
      <c r="D2785" s="22" t="inlineStr">
        <is>
          <t>S64</t>
        </is>
      </c>
      <c r="E2785" s="22" t="inlineStr">
        <is>
          <t>Nexa Washington DC (S64)</t>
        </is>
      </c>
      <c r="F2785" s="22" t="inlineStr">
        <is>
          <t>Mỹ</t>
        </is>
      </c>
      <c r="G2785" s="22" t="inlineStr">
        <is>
          <t>POS</t>
        </is>
      </c>
      <c r="H2785" s="31" t="n">
        <v>4309.99</v>
      </c>
      <c r="I2785" s="31" t="n">
        <v>0</v>
      </c>
      <c r="J2785" s="31" t="n">
        <v>4309.99</v>
      </c>
      <c r="K2785" s="31" t="n">
        <v>1003</v>
      </c>
      <c r="L2785" s="32" t="n">
        <v>3</v>
      </c>
      <c r="M2785" s="32" t="n">
        <v>23</v>
      </c>
      <c r="N2785" s="31" t="n">
        <v>3306.99</v>
      </c>
      <c r="O2785" s="31" t="n">
        <v>4309.99</v>
      </c>
      <c r="P2785" s="22" t="n">
        <v>0</v>
      </c>
      <c r="Q2785" s="22" t="n">
        <v>0</v>
      </c>
      <c r="R2785" s="22" t="n">
        <v>0</v>
      </c>
    </row>
    <row r="2786">
      <c r="A2786" s="22" t="n">
        <v>202010</v>
      </c>
      <c r="B2786" s="22" t="inlineStr">
        <is>
          <t>10/2020</t>
        </is>
      </c>
      <c r="C2786" s="22" t="n">
        <v>65</v>
      </c>
      <c r="D2786" s="22" t="inlineStr">
        <is>
          <t>S65</t>
        </is>
      </c>
      <c r="E2786" s="22" t="inlineStr">
        <is>
          <t>Nexa West Virginia (S65)</t>
        </is>
      </c>
      <c r="F2786" s="22" t="inlineStr">
        <is>
          <t>Mỹ</t>
        </is>
      </c>
      <c r="G2786" s="22" t="inlineStr">
        <is>
          <t>POS</t>
        </is>
      </c>
      <c r="H2786" s="31" t="n">
        <v>9129.26</v>
      </c>
      <c r="I2786" s="31" t="n">
        <v>0</v>
      </c>
      <c r="J2786" s="31" t="n">
        <v>9129.26</v>
      </c>
      <c r="K2786" s="31" t="n">
        <v>0</v>
      </c>
      <c r="L2786" s="32" t="n">
        <v>5</v>
      </c>
      <c r="M2786" s="32" t="n">
        <v>35</v>
      </c>
      <c r="N2786" s="31" t="n">
        <v>9129.26</v>
      </c>
      <c r="O2786" s="31" t="n">
        <v>9129.26</v>
      </c>
      <c r="P2786" s="22" t="n">
        <v>0</v>
      </c>
      <c r="Q2786" s="22" t="n">
        <v>0</v>
      </c>
      <c r="R2786" s="22" t="n">
        <v>0</v>
      </c>
    </row>
    <row r="2787">
      <c r="A2787" s="22" t="n">
        <v>202010</v>
      </c>
      <c r="B2787" s="22" t="inlineStr">
        <is>
          <t>10/2020</t>
        </is>
      </c>
      <c r="C2787" s="22" t="n">
        <v>66</v>
      </c>
      <c r="D2787" s="22" t="inlineStr">
        <is>
          <t>S66</t>
        </is>
      </c>
      <c r="E2787" s="22" t="inlineStr">
        <is>
          <t>Nexa Wyoming (S66)</t>
        </is>
      </c>
      <c r="F2787" s="22" t="inlineStr">
        <is>
          <t>Mỹ</t>
        </is>
      </c>
      <c r="G2787" s="22" t="inlineStr">
        <is>
          <t>POS</t>
        </is>
      </c>
      <c r="H2787" s="31" t="n">
        <v>1394.13</v>
      </c>
      <c r="I2787" s="31" t="n">
        <v>0</v>
      </c>
      <c r="J2787" s="31" t="n">
        <v>1394.13</v>
      </c>
      <c r="K2787" s="31" t="n">
        <v>0</v>
      </c>
      <c r="L2787" s="32" t="n">
        <v>3</v>
      </c>
      <c r="M2787" s="32" t="n">
        <v>6</v>
      </c>
      <c r="N2787" s="31" t="n">
        <v>1394.13</v>
      </c>
      <c r="O2787" s="31" t="n">
        <v>1394.13</v>
      </c>
      <c r="P2787" s="22" t="n">
        <v>0</v>
      </c>
      <c r="Q2787" s="22" t="n">
        <v>0</v>
      </c>
      <c r="R2787" s="22" t="n">
        <v>0</v>
      </c>
    </row>
    <row r="2788">
      <c r="A2788" s="22" t="n">
        <v>202011</v>
      </c>
      <c r="B2788" s="22" t="inlineStr">
        <is>
          <t>11/2020</t>
        </is>
      </c>
      <c r="C2788" s="22" t="n">
        <v>0</v>
      </c>
      <c r="D2788" s="22" t="inlineStr">
        <is>
          <t>ONL</t>
        </is>
      </c>
      <c r="E2788" s="22" t="inlineStr">
        <is>
          <t>Nexa Online (website/app)</t>
        </is>
      </c>
      <c r="F2788" s="22" t="inlineStr">
        <is>
          <t>Online</t>
        </is>
      </c>
      <c r="G2788" s="22" t="inlineStr">
        <is>
          <t>ONLINE</t>
        </is>
      </c>
      <c r="H2788" s="31" t="n">
        <v>44615.66</v>
      </c>
      <c r="I2788" s="31" t="n">
        <v>3010.53</v>
      </c>
      <c r="J2788" s="31" t="n">
        <v>41605.13</v>
      </c>
      <c r="K2788" s="31" t="n">
        <v>40.09</v>
      </c>
      <c r="L2788" s="32" t="n">
        <v>34</v>
      </c>
      <c r="M2788" s="32" t="n">
        <v>228</v>
      </c>
      <c r="N2788" s="31" t="n">
        <v>35987.57</v>
      </c>
      <c r="O2788" s="31" t="n">
        <v>36027.66</v>
      </c>
      <c r="P2788" s="22" t="n">
        <v>1</v>
      </c>
      <c r="Q2788" s="22" t="n">
        <v>0</v>
      </c>
      <c r="R2788" s="22" t="n">
        <v>0</v>
      </c>
    </row>
    <row r="2789">
      <c r="A2789" s="22" t="n">
        <v>202011</v>
      </c>
      <c r="B2789" s="22" t="inlineStr">
        <is>
          <t>11/2020</t>
        </is>
      </c>
      <c r="C2789" s="22" t="n">
        <v>1</v>
      </c>
      <c r="D2789" s="22" t="inlineStr">
        <is>
          <t>S01</t>
        </is>
      </c>
      <c r="E2789" s="22" t="inlineStr">
        <is>
          <t>Nexa Australian Capital Territory (S01)</t>
        </is>
      </c>
      <c r="F2789" s="22" t="inlineStr">
        <is>
          <t>Úc</t>
        </is>
      </c>
      <c r="G2789" s="22" t="inlineStr">
        <is>
          <t>POS</t>
        </is>
      </c>
      <c r="H2789" s="31" t="n">
        <v>1500.39</v>
      </c>
      <c r="I2789" s="31" t="n">
        <v>0</v>
      </c>
      <c r="J2789" s="31" t="n">
        <v>1500.39</v>
      </c>
      <c r="K2789" s="31" t="n">
        <v>0</v>
      </c>
      <c r="L2789" s="32" t="n">
        <v>1</v>
      </c>
      <c r="M2789" s="32" t="n">
        <v>8</v>
      </c>
      <c r="N2789" s="31" t="n">
        <v>1500.39</v>
      </c>
      <c r="O2789" s="31" t="n">
        <v>1500.39</v>
      </c>
      <c r="P2789" s="22" t="n">
        <v>0</v>
      </c>
      <c r="Q2789" s="22" t="n">
        <v>0</v>
      </c>
      <c r="R2789" s="22" t="n">
        <v>0</v>
      </c>
    </row>
    <row r="2790">
      <c r="A2790" s="22" t="n">
        <v>202011</v>
      </c>
      <c r="B2790" s="22" t="inlineStr">
        <is>
          <t>11/2020</t>
        </is>
      </c>
      <c r="C2790" s="22" t="n">
        <v>4</v>
      </c>
      <c r="D2790" s="22" t="inlineStr">
        <is>
          <t>S04</t>
        </is>
      </c>
      <c r="E2790" s="22" t="inlineStr">
        <is>
          <t>Nexa Tasmania (S04)</t>
        </is>
      </c>
      <c r="F2790" s="22" t="inlineStr">
        <is>
          <t>Úc</t>
        </is>
      </c>
      <c r="G2790" s="22" t="inlineStr">
        <is>
          <t>POS</t>
        </is>
      </c>
      <c r="H2790" s="31" t="n">
        <v>1058.94</v>
      </c>
      <c r="I2790" s="31" t="n">
        <v>0</v>
      </c>
      <c r="J2790" s="31" t="n">
        <v>1058.94</v>
      </c>
      <c r="K2790" s="31" t="n">
        <v>0</v>
      </c>
      <c r="L2790" s="32" t="n">
        <v>1</v>
      </c>
      <c r="M2790" s="32" t="n">
        <v>9</v>
      </c>
      <c r="N2790" s="31" t="n">
        <v>1058.94</v>
      </c>
      <c r="O2790" s="31" t="n">
        <v>1058.94</v>
      </c>
      <c r="P2790" s="22" t="n">
        <v>0</v>
      </c>
      <c r="Q2790" s="22" t="n">
        <v>0</v>
      </c>
      <c r="R2790" s="22" t="n">
        <v>0</v>
      </c>
    </row>
    <row r="2791">
      <c r="A2791" s="22" t="n">
        <v>202011</v>
      </c>
      <c r="B2791" s="22" t="inlineStr">
        <is>
          <t>11/2020</t>
        </is>
      </c>
      <c r="C2791" s="22" t="n">
        <v>5</v>
      </c>
      <c r="D2791" s="22" t="inlineStr">
        <is>
          <t>S05</t>
        </is>
      </c>
      <c r="E2791" s="22" t="inlineStr">
        <is>
          <t>Nexa Victoria (S05)</t>
        </is>
      </c>
      <c r="F2791" s="22" t="inlineStr">
        <is>
          <t>Úc</t>
        </is>
      </c>
      <c r="G2791" s="22" t="inlineStr">
        <is>
          <t>POS</t>
        </is>
      </c>
      <c r="H2791" s="31" t="n">
        <v>0</v>
      </c>
      <c r="I2791" s="31" t="n">
        <v>0</v>
      </c>
      <c r="J2791" s="31" t="n">
        <v>0</v>
      </c>
      <c r="K2791" s="31" t="n">
        <v>79.98</v>
      </c>
      <c r="L2791" s="32" t="n">
        <v>0</v>
      </c>
      <c r="M2791" s="32" t="n">
        <v>0</v>
      </c>
      <c r="N2791" s="31" t="n">
        <v>-79.98</v>
      </c>
      <c r="O2791" s="31" t="n">
        <v>0</v>
      </c>
      <c r="P2791" s="22" t="n">
        <v>0</v>
      </c>
      <c r="Q2791" s="22" t="n">
        <v>0</v>
      </c>
      <c r="R2791" s="22" t="n">
        <v>0</v>
      </c>
    </row>
    <row r="2792">
      <c r="A2792" s="22" t="n">
        <v>202011</v>
      </c>
      <c r="B2792" s="22" t="inlineStr">
        <is>
          <t>11/2020</t>
        </is>
      </c>
      <c r="C2792" s="22" t="n">
        <v>6</v>
      </c>
      <c r="D2792" s="22" t="inlineStr">
        <is>
          <t>S06</t>
        </is>
      </c>
      <c r="E2792" s="22" t="inlineStr">
        <is>
          <t>Nexa Western Australia (S06)</t>
        </is>
      </c>
      <c r="F2792" s="22" t="inlineStr">
        <is>
          <t>Úc</t>
        </is>
      </c>
      <c r="G2792" s="22" t="inlineStr">
        <is>
          <t>POS</t>
        </is>
      </c>
      <c r="H2792" s="31" t="n">
        <v>1401.68</v>
      </c>
      <c r="I2792" s="31" t="n">
        <v>0</v>
      </c>
      <c r="J2792" s="31" t="n">
        <v>1401.68</v>
      </c>
      <c r="K2792" s="31" t="n">
        <v>0</v>
      </c>
      <c r="L2792" s="32" t="n">
        <v>3</v>
      </c>
      <c r="M2792" s="32" t="n">
        <v>10</v>
      </c>
      <c r="N2792" s="31" t="n">
        <v>1401.68</v>
      </c>
      <c r="O2792" s="31" t="n">
        <v>1401.68</v>
      </c>
      <c r="P2792" s="22" t="n">
        <v>0</v>
      </c>
      <c r="Q2792" s="22" t="n">
        <v>0</v>
      </c>
      <c r="R2792" s="22" t="n">
        <v>0</v>
      </c>
    </row>
    <row r="2793">
      <c r="A2793" s="22" t="n">
        <v>202011</v>
      </c>
      <c r="B2793" s="22" t="inlineStr">
        <is>
          <t>11/2020</t>
        </is>
      </c>
      <c r="C2793" s="22" t="n">
        <v>8</v>
      </c>
      <c r="D2793" s="22" t="inlineStr">
        <is>
          <t>S08</t>
        </is>
      </c>
      <c r="E2793" s="22" t="inlineStr">
        <is>
          <t>Nexa Newfoundland and Labrador (S08)</t>
        </is>
      </c>
      <c r="F2793" s="22" t="inlineStr">
        <is>
          <t>Canada</t>
        </is>
      </c>
      <c r="G2793" s="22" t="inlineStr">
        <is>
          <t>POS</t>
        </is>
      </c>
      <c r="H2793" s="31" t="n">
        <v>6431.88</v>
      </c>
      <c r="I2793" s="31" t="n">
        <v>488.17</v>
      </c>
      <c r="J2793" s="31" t="n">
        <v>5943.71</v>
      </c>
      <c r="K2793" s="31" t="n">
        <v>0</v>
      </c>
      <c r="L2793" s="32" t="n">
        <v>6</v>
      </c>
      <c r="M2793" s="32" t="n">
        <v>49</v>
      </c>
      <c r="N2793" s="31" t="n">
        <v>5943.71</v>
      </c>
      <c r="O2793" s="31" t="n">
        <v>5943.71</v>
      </c>
      <c r="P2793" s="22" t="n">
        <v>0</v>
      </c>
      <c r="Q2793" s="22" t="n">
        <v>0</v>
      </c>
      <c r="R2793" s="22" t="n">
        <v>0</v>
      </c>
    </row>
    <row r="2794">
      <c r="A2794" s="22" t="n">
        <v>202011</v>
      </c>
      <c r="B2794" s="22" t="inlineStr">
        <is>
          <t>11/2020</t>
        </is>
      </c>
      <c r="C2794" s="22" t="n">
        <v>9</v>
      </c>
      <c r="D2794" s="22" t="inlineStr">
        <is>
          <t>S09</t>
        </is>
      </c>
      <c r="E2794" s="22" t="inlineStr">
        <is>
          <t>Nexa Northwest Territories (S09)</t>
        </is>
      </c>
      <c r="F2794" s="22" t="inlineStr">
        <is>
          <t>Canada</t>
        </is>
      </c>
      <c r="G2794" s="22" t="inlineStr">
        <is>
          <t>POS</t>
        </is>
      </c>
      <c r="H2794" s="31" t="n">
        <v>12284.54</v>
      </c>
      <c r="I2794" s="31" t="n">
        <v>0</v>
      </c>
      <c r="J2794" s="31" t="n">
        <v>12284.54</v>
      </c>
      <c r="K2794" s="31" t="n">
        <v>0</v>
      </c>
      <c r="L2794" s="32" t="n">
        <v>4</v>
      </c>
      <c r="M2794" s="32" t="n">
        <v>56</v>
      </c>
      <c r="N2794" s="31" t="n">
        <v>12284.54</v>
      </c>
      <c r="O2794" s="31" t="n">
        <v>12284.54</v>
      </c>
      <c r="P2794" s="22" t="n">
        <v>0</v>
      </c>
      <c r="Q2794" s="22" t="n">
        <v>0</v>
      </c>
      <c r="R2794" s="22" t="n">
        <v>0</v>
      </c>
    </row>
    <row r="2795">
      <c r="A2795" s="22" t="n">
        <v>202011</v>
      </c>
      <c r="B2795" s="22" t="inlineStr">
        <is>
          <t>11/2020</t>
        </is>
      </c>
      <c r="C2795" s="22" t="n">
        <v>10</v>
      </c>
      <c r="D2795" s="22" t="inlineStr">
        <is>
          <t>S10</t>
        </is>
      </c>
      <c r="E2795" s="22" t="inlineStr">
        <is>
          <t>Nexa Nunavut (S10)</t>
        </is>
      </c>
      <c r="F2795" s="22" t="inlineStr">
        <is>
          <t>Canada</t>
        </is>
      </c>
      <c r="G2795" s="22" t="inlineStr">
        <is>
          <t>POS</t>
        </is>
      </c>
      <c r="H2795" s="31" t="n">
        <v>5287.79</v>
      </c>
      <c r="I2795" s="31" t="n">
        <v>0</v>
      </c>
      <c r="J2795" s="31" t="n">
        <v>5287.79</v>
      </c>
      <c r="K2795" s="31" t="n">
        <v>0</v>
      </c>
      <c r="L2795" s="32" t="n">
        <v>3</v>
      </c>
      <c r="M2795" s="32" t="n">
        <v>21</v>
      </c>
      <c r="N2795" s="31" t="n">
        <v>5287.79</v>
      </c>
      <c r="O2795" s="31" t="n">
        <v>5287.79</v>
      </c>
      <c r="P2795" s="22" t="n">
        <v>0</v>
      </c>
      <c r="Q2795" s="22" t="n">
        <v>0</v>
      </c>
      <c r="R2795" s="22" t="n">
        <v>0</v>
      </c>
    </row>
    <row r="2796">
      <c r="A2796" s="22" t="n">
        <v>202011</v>
      </c>
      <c r="B2796" s="22" t="inlineStr">
        <is>
          <t>11/2020</t>
        </is>
      </c>
      <c r="C2796" s="22" t="n">
        <v>14</v>
      </c>
      <c r="D2796" s="22" t="inlineStr">
        <is>
          <t>S14</t>
        </is>
      </c>
      <c r="E2796" s="22" t="inlineStr">
        <is>
          <t>Nexa Franche-Comté (S14)</t>
        </is>
      </c>
      <c r="F2796" s="22" t="inlineStr">
        <is>
          <t>Pháp</t>
        </is>
      </c>
      <c r="G2796" s="22" t="inlineStr">
        <is>
          <t>POS</t>
        </is>
      </c>
      <c r="H2796" s="31" t="n">
        <v>454.89</v>
      </c>
      <c r="I2796" s="31" t="n">
        <v>0</v>
      </c>
      <c r="J2796" s="31" t="n">
        <v>454.89</v>
      </c>
      <c r="K2796" s="31" t="n">
        <v>0</v>
      </c>
      <c r="L2796" s="32" t="n">
        <v>1</v>
      </c>
      <c r="M2796" s="32" t="n">
        <v>3</v>
      </c>
      <c r="N2796" s="31" t="n">
        <v>454.89</v>
      </c>
      <c r="O2796" s="31" t="n">
        <v>454.89</v>
      </c>
      <c r="P2796" s="22" t="n">
        <v>0</v>
      </c>
      <c r="Q2796" s="22" t="n">
        <v>0</v>
      </c>
      <c r="R2796" s="22" t="n">
        <v>0</v>
      </c>
    </row>
    <row r="2797">
      <c r="A2797" s="22" t="n">
        <v>202011</v>
      </c>
      <c r="B2797" s="22" t="inlineStr">
        <is>
          <t>11/2020</t>
        </is>
      </c>
      <c r="C2797" s="22" t="n">
        <v>15</v>
      </c>
      <c r="D2797" s="22" t="inlineStr">
        <is>
          <t>S15</t>
        </is>
      </c>
      <c r="E2797" s="22" t="inlineStr">
        <is>
          <t>Nexa La Réunion (S15)</t>
        </is>
      </c>
      <c r="F2797" s="22" t="inlineStr">
        <is>
          <t>Pháp</t>
        </is>
      </c>
      <c r="G2797" s="22" t="inlineStr">
        <is>
          <t>POS</t>
        </is>
      </c>
      <c r="H2797" s="31" t="n">
        <v>830.64</v>
      </c>
      <c r="I2797" s="31" t="n">
        <v>0</v>
      </c>
      <c r="J2797" s="31" t="n">
        <v>830.64</v>
      </c>
      <c r="K2797" s="31" t="n">
        <v>173.64</v>
      </c>
      <c r="L2797" s="32" t="n">
        <v>1</v>
      </c>
      <c r="M2797" s="32" t="n">
        <v>6</v>
      </c>
      <c r="N2797" s="31" t="n">
        <v>657</v>
      </c>
      <c r="O2797" s="31" t="n">
        <v>830.64</v>
      </c>
      <c r="P2797" s="22" t="n">
        <v>0</v>
      </c>
      <c r="Q2797" s="22" t="n">
        <v>0</v>
      </c>
      <c r="R2797" s="22" t="n">
        <v>0</v>
      </c>
    </row>
    <row r="2798">
      <c r="A2798" s="22" t="n">
        <v>202011</v>
      </c>
      <c r="B2798" s="22" t="inlineStr">
        <is>
          <t>11/2020</t>
        </is>
      </c>
      <c r="C2798" s="22" t="n">
        <v>16</v>
      </c>
      <c r="D2798" s="22" t="inlineStr">
        <is>
          <t>S16</t>
        </is>
      </c>
      <c r="E2798" s="22" t="inlineStr">
        <is>
          <t>Nexa Limousin (S16)</t>
        </is>
      </c>
      <c r="F2798" s="22" t="inlineStr">
        <is>
          <t>Pháp</t>
        </is>
      </c>
      <c r="G2798" s="22" t="inlineStr">
        <is>
          <t>POS</t>
        </is>
      </c>
      <c r="H2798" s="31" t="n">
        <v>3226.86</v>
      </c>
      <c r="I2798" s="31" t="n">
        <v>0</v>
      </c>
      <c r="J2798" s="31" t="n">
        <v>3226.86</v>
      </c>
      <c r="K2798" s="31" t="n">
        <v>0</v>
      </c>
      <c r="L2798" s="32" t="n">
        <v>3</v>
      </c>
      <c r="M2798" s="32" t="n">
        <v>15</v>
      </c>
      <c r="N2798" s="31" t="n">
        <v>3226.86</v>
      </c>
      <c r="O2798" s="31" t="n">
        <v>3226.86</v>
      </c>
      <c r="P2798" s="22" t="n">
        <v>1</v>
      </c>
      <c r="Q2798" s="22" t="n">
        <v>0</v>
      </c>
      <c r="R2798" s="22" t="n">
        <v>0</v>
      </c>
    </row>
    <row r="2799">
      <c r="A2799" s="22" t="n">
        <v>202011</v>
      </c>
      <c r="B2799" s="22" t="inlineStr">
        <is>
          <t>11/2020</t>
        </is>
      </c>
      <c r="C2799" s="22" t="n">
        <v>17</v>
      </c>
      <c r="D2799" s="22" t="inlineStr">
        <is>
          <t>S17</t>
        </is>
      </c>
      <c r="E2799" s="22" t="inlineStr">
        <is>
          <t>Nexa Martinique (S17)</t>
        </is>
      </c>
      <c r="F2799" s="22" t="inlineStr">
        <is>
          <t>Pháp</t>
        </is>
      </c>
      <c r="G2799" s="22" t="inlineStr">
        <is>
          <t>POS</t>
        </is>
      </c>
      <c r="H2799" s="31" t="n">
        <v>877.5</v>
      </c>
      <c r="I2799" s="31" t="n">
        <v>131.62</v>
      </c>
      <c r="J2799" s="31" t="n">
        <v>745.88</v>
      </c>
      <c r="K2799" s="31" t="n">
        <v>0</v>
      </c>
      <c r="L2799" s="32" t="n">
        <v>1</v>
      </c>
      <c r="M2799" s="32" t="n">
        <v>1</v>
      </c>
      <c r="N2799" s="31" t="n">
        <v>745.88</v>
      </c>
      <c r="O2799" s="31" t="n">
        <v>745.88</v>
      </c>
      <c r="P2799" s="22" t="n">
        <v>0</v>
      </c>
      <c r="Q2799" s="22" t="n">
        <v>0</v>
      </c>
      <c r="R2799" s="22" t="n">
        <v>0</v>
      </c>
    </row>
    <row r="2800">
      <c r="A2800" s="22" t="n">
        <v>202011</v>
      </c>
      <c r="B2800" s="22" t="inlineStr">
        <is>
          <t>11/2020</t>
        </is>
      </c>
      <c r="C2800" s="22" t="n">
        <v>18</v>
      </c>
      <c r="D2800" s="22" t="inlineStr">
        <is>
          <t>S18</t>
        </is>
      </c>
      <c r="E2800" s="22" t="inlineStr">
        <is>
          <t>Nexa Mayotte (S18)</t>
        </is>
      </c>
      <c r="F2800" s="22" t="inlineStr">
        <is>
          <t>Pháp</t>
        </is>
      </c>
      <c r="G2800" s="22" t="inlineStr">
        <is>
          <t>POS</t>
        </is>
      </c>
      <c r="H2800" s="31" t="n">
        <v>555.74</v>
      </c>
      <c r="I2800" s="31" t="n">
        <v>0</v>
      </c>
      <c r="J2800" s="31" t="n">
        <v>555.74</v>
      </c>
      <c r="K2800" s="31" t="n">
        <v>0</v>
      </c>
      <c r="L2800" s="32" t="n">
        <v>1</v>
      </c>
      <c r="M2800" s="32" t="n">
        <v>4</v>
      </c>
      <c r="N2800" s="31" t="n">
        <v>555.74</v>
      </c>
      <c r="O2800" s="31" t="n">
        <v>555.74</v>
      </c>
      <c r="P2800" s="22" t="n">
        <v>0</v>
      </c>
      <c r="Q2800" s="22" t="n">
        <v>0</v>
      </c>
      <c r="R2800" s="22" t="n">
        <v>0</v>
      </c>
    </row>
    <row r="2801">
      <c r="A2801" s="22" t="n">
        <v>202011</v>
      </c>
      <c r="B2801" s="22" t="inlineStr">
        <is>
          <t>11/2020</t>
        </is>
      </c>
      <c r="C2801" s="22" t="n">
        <v>22</v>
      </c>
      <c r="D2801" s="22" t="inlineStr">
        <is>
          <t>S22</t>
        </is>
      </c>
      <c r="E2801" s="22" t="inlineStr">
        <is>
          <t>Nexa Freistaat Thüringen (S22)</t>
        </is>
      </c>
      <c r="F2801" s="22" t="inlineStr">
        <is>
          <t>Đức</t>
        </is>
      </c>
      <c r="G2801" s="22" t="inlineStr">
        <is>
          <t>POS</t>
        </is>
      </c>
      <c r="H2801" s="31" t="n">
        <v>1495</v>
      </c>
      <c r="I2801" s="31" t="n">
        <v>0</v>
      </c>
      <c r="J2801" s="31" t="n">
        <v>1495</v>
      </c>
      <c r="K2801" s="31" t="n">
        <v>0</v>
      </c>
      <c r="L2801" s="32" t="n">
        <v>1</v>
      </c>
      <c r="M2801" s="32" t="n">
        <v>5</v>
      </c>
      <c r="N2801" s="31" t="n">
        <v>1495</v>
      </c>
      <c r="O2801" s="31" t="n">
        <v>1495</v>
      </c>
      <c r="P2801" s="22" t="n">
        <v>0</v>
      </c>
      <c r="Q2801" s="22" t="n">
        <v>0</v>
      </c>
      <c r="R2801" s="22" t="n">
        <v>0</v>
      </c>
    </row>
    <row r="2802">
      <c r="A2802" s="22" t="n">
        <v>202011</v>
      </c>
      <c r="B2802" s="22" t="inlineStr">
        <is>
          <t>11/2020</t>
        </is>
      </c>
      <c r="C2802" s="22" t="n">
        <v>23</v>
      </c>
      <c r="D2802" s="22" t="inlineStr">
        <is>
          <t>S23</t>
        </is>
      </c>
      <c r="E2802" s="22" t="inlineStr">
        <is>
          <t>Nexa Hamburg (S23)</t>
        </is>
      </c>
      <c r="F2802" s="22" t="inlineStr">
        <is>
          <t>Đức</t>
        </is>
      </c>
      <c r="G2802" s="22" t="inlineStr">
        <is>
          <t>POS</t>
        </is>
      </c>
      <c r="H2802" s="31" t="n">
        <v>9139.040000000001</v>
      </c>
      <c r="I2802" s="31" t="n">
        <v>0</v>
      </c>
      <c r="J2802" s="31" t="n">
        <v>9139.040000000001</v>
      </c>
      <c r="K2802" s="31" t="n">
        <v>0</v>
      </c>
      <c r="L2802" s="32" t="n">
        <v>3</v>
      </c>
      <c r="M2802" s="32" t="n">
        <v>25</v>
      </c>
      <c r="N2802" s="31" t="n">
        <v>9139.040000000001</v>
      </c>
      <c r="O2802" s="31" t="n">
        <v>9139.040000000001</v>
      </c>
      <c r="P2802" s="22" t="n">
        <v>0</v>
      </c>
      <c r="Q2802" s="22" t="n">
        <v>0</v>
      </c>
      <c r="R2802" s="22" t="n">
        <v>0</v>
      </c>
    </row>
    <row r="2803">
      <c r="A2803" s="22" t="n">
        <v>202011</v>
      </c>
      <c r="B2803" s="22" t="inlineStr">
        <is>
          <t>11/2020</t>
        </is>
      </c>
      <c r="C2803" s="22" t="n">
        <v>24</v>
      </c>
      <c r="D2803" s="22" t="inlineStr">
        <is>
          <t>S24</t>
        </is>
      </c>
      <c r="E2803" s="22" t="inlineStr">
        <is>
          <t>Nexa Hessen (S24)</t>
        </is>
      </c>
      <c r="F2803" s="22" t="inlineStr">
        <is>
          <t>Đức</t>
        </is>
      </c>
      <c r="G2803" s="22" t="inlineStr">
        <is>
          <t>POS</t>
        </is>
      </c>
      <c r="H2803" s="31" t="n">
        <v>10608.56</v>
      </c>
      <c r="I2803" s="31" t="n">
        <v>0</v>
      </c>
      <c r="J2803" s="31" t="n">
        <v>10608.56</v>
      </c>
      <c r="K2803" s="31" t="n">
        <v>12.99</v>
      </c>
      <c r="L2803" s="32" t="n">
        <v>3</v>
      </c>
      <c r="M2803" s="32" t="n">
        <v>19</v>
      </c>
      <c r="N2803" s="31" t="n">
        <v>10595.57</v>
      </c>
      <c r="O2803" s="31" t="n">
        <v>10608.56</v>
      </c>
      <c r="P2803" s="22" t="n">
        <v>0</v>
      </c>
      <c r="Q2803" s="22" t="n">
        <v>0</v>
      </c>
      <c r="R2803" s="22" t="n">
        <v>0</v>
      </c>
    </row>
    <row r="2804">
      <c r="A2804" s="22" t="n">
        <v>202011</v>
      </c>
      <c r="B2804" s="22" t="inlineStr">
        <is>
          <t>11/2020</t>
        </is>
      </c>
      <c r="C2804" s="22" t="n">
        <v>26</v>
      </c>
      <c r="D2804" s="22" t="inlineStr">
        <is>
          <t>S26</t>
        </is>
      </c>
      <c r="E2804" s="22" t="inlineStr">
        <is>
          <t>Nexa Saarland (S26)</t>
        </is>
      </c>
      <c r="F2804" s="22" t="inlineStr">
        <is>
          <t>Đức</t>
        </is>
      </c>
      <c r="G2804" s="22" t="inlineStr">
        <is>
          <t>POS</t>
        </is>
      </c>
      <c r="H2804" s="31" t="n">
        <v>497.39</v>
      </c>
      <c r="I2804" s="31" t="n">
        <v>74.61</v>
      </c>
      <c r="J2804" s="31" t="n">
        <v>422.78</v>
      </c>
      <c r="K2804" s="31" t="n">
        <v>0</v>
      </c>
      <c r="L2804" s="32" t="n">
        <v>1</v>
      </c>
      <c r="M2804" s="32" t="n">
        <v>7</v>
      </c>
      <c r="N2804" s="31" t="n">
        <v>422.78</v>
      </c>
      <c r="O2804" s="31" t="n">
        <v>422.78</v>
      </c>
      <c r="P2804" s="22" t="n">
        <v>0</v>
      </c>
      <c r="Q2804" s="22" t="n">
        <v>0</v>
      </c>
      <c r="R2804" s="22" t="n">
        <v>0</v>
      </c>
    </row>
    <row r="2805">
      <c r="A2805" s="22" t="n">
        <v>202011</v>
      </c>
      <c r="B2805" s="22" t="inlineStr">
        <is>
          <t>11/2020</t>
        </is>
      </c>
      <c r="C2805" s="22" t="n">
        <v>27</v>
      </c>
      <c r="D2805" s="22" t="inlineStr">
        <is>
          <t>S27</t>
        </is>
      </c>
      <c r="E2805" s="22" t="inlineStr">
        <is>
          <t>Nexa Sachsen-Anhalt (S27)</t>
        </is>
      </c>
      <c r="F2805" s="22" t="inlineStr">
        <is>
          <t>Đức</t>
        </is>
      </c>
      <c r="G2805" s="22" t="inlineStr">
        <is>
          <t>POS</t>
        </is>
      </c>
      <c r="H2805" s="31" t="n">
        <v>5316.83</v>
      </c>
      <c r="I2805" s="31" t="n">
        <v>90</v>
      </c>
      <c r="J2805" s="31" t="n">
        <v>5226.83</v>
      </c>
      <c r="K2805" s="31" t="n">
        <v>499</v>
      </c>
      <c r="L2805" s="32" t="n">
        <v>2</v>
      </c>
      <c r="M2805" s="32" t="n">
        <v>23</v>
      </c>
      <c r="N2805" s="31" t="n">
        <v>4727.83</v>
      </c>
      <c r="O2805" s="31" t="n">
        <v>5226.83</v>
      </c>
      <c r="P2805" s="22" t="n">
        <v>0</v>
      </c>
      <c r="Q2805" s="22" t="n">
        <v>0</v>
      </c>
      <c r="R2805" s="22" t="n">
        <v>0</v>
      </c>
    </row>
    <row r="2806">
      <c r="A2806" s="22" t="n">
        <v>202011</v>
      </c>
      <c r="B2806" s="22" t="inlineStr">
        <is>
          <t>11/2020</t>
        </is>
      </c>
      <c r="C2806" s="22" t="n">
        <v>31</v>
      </c>
      <c r="D2806" s="22" t="inlineStr">
        <is>
          <t>S31</t>
        </is>
      </c>
      <c r="E2806" s="22" t="inlineStr">
        <is>
          <t>Nexa Drenthe (S31)</t>
        </is>
      </c>
      <c r="F2806" s="22" t="inlineStr">
        <is>
          <t>Hà Lan</t>
        </is>
      </c>
      <c r="G2806" s="22" t="inlineStr">
        <is>
          <t>POS</t>
        </is>
      </c>
      <c r="H2806" s="31" t="n">
        <v>442.16</v>
      </c>
      <c r="I2806" s="31" t="n">
        <v>66.31999999999999</v>
      </c>
      <c r="J2806" s="31" t="n">
        <v>375.84</v>
      </c>
      <c r="K2806" s="31" t="n">
        <v>0</v>
      </c>
      <c r="L2806" s="32" t="n">
        <v>1</v>
      </c>
      <c r="M2806" s="32" t="n">
        <v>8</v>
      </c>
      <c r="N2806" s="31" t="n">
        <v>375.84</v>
      </c>
      <c r="O2806" s="31" t="n">
        <v>375.84</v>
      </c>
      <c r="P2806" s="22" t="n">
        <v>0</v>
      </c>
      <c r="Q2806" s="22" t="n">
        <v>0</v>
      </c>
      <c r="R2806" s="22" t="n">
        <v>0</v>
      </c>
    </row>
    <row r="2807">
      <c r="A2807" s="22" t="n">
        <v>202011</v>
      </c>
      <c r="B2807" s="22" t="inlineStr">
        <is>
          <t>11/2020</t>
        </is>
      </c>
      <c r="C2807" s="22" t="n">
        <v>32</v>
      </c>
      <c r="D2807" s="22" t="inlineStr">
        <is>
          <t>S32</t>
        </is>
      </c>
      <c r="E2807" s="22" t="inlineStr">
        <is>
          <t>Nexa Flevoland (S32)</t>
        </is>
      </c>
      <c r="F2807" s="22" t="inlineStr">
        <is>
          <t>Hà Lan</t>
        </is>
      </c>
      <c r="G2807" s="22" t="inlineStr">
        <is>
          <t>POS</t>
        </is>
      </c>
      <c r="H2807" s="31" t="n">
        <v>4.74</v>
      </c>
      <c r="I2807" s="31" t="n">
        <v>0</v>
      </c>
      <c r="J2807" s="31" t="n">
        <v>4.74</v>
      </c>
      <c r="K2807" s="31" t="n">
        <v>4.74</v>
      </c>
      <c r="L2807" s="32" t="n">
        <v>1</v>
      </c>
      <c r="M2807" s="32" t="n">
        <v>1</v>
      </c>
      <c r="N2807" s="31" t="n">
        <v>0</v>
      </c>
      <c r="O2807" s="31" t="n">
        <v>4.74</v>
      </c>
      <c r="P2807" s="22" t="n">
        <v>0</v>
      </c>
      <c r="Q2807" s="22" t="n">
        <v>0</v>
      </c>
      <c r="R2807" s="22" t="n">
        <v>0</v>
      </c>
    </row>
    <row r="2808">
      <c r="A2808" s="22" t="n">
        <v>202011</v>
      </c>
      <c r="B2808" s="22" t="inlineStr">
        <is>
          <t>11/2020</t>
        </is>
      </c>
      <c r="C2808" s="22" t="n">
        <v>33</v>
      </c>
      <c r="D2808" s="22" t="inlineStr">
        <is>
          <t>S33</t>
        </is>
      </c>
      <c r="E2808" s="22" t="inlineStr">
        <is>
          <t>Nexa Friesland (S33)</t>
        </is>
      </c>
      <c r="F2808" s="22" t="inlineStr">
        <is>
          <t>Hà Lan</t>
        </is>
      </c>
      <c r="G2808" s="22" t="inlineStr">
        <is>
          <t>POS</t>
        </is>
      </c>
      <c r="H2808" s="31" t="n">
        <v>1623.78</v>
      </c>
      <c r="I2808" s="31" t="n">
        <v>0</v>
      </c>
      <c r="J2808" s="31" t="n">
        <v>1623.78</v>
      </c>
      <c r="K2808" s="31" t="n">
        <v>0</v>
      </c>
      <c r="L2808" s="32" t="n">
        <v>2</v>
      </c>
      <c r="M2808" s="32" t="n">
        <v>14</v>
      </c>
      <c r="N2808" s="31" t="n">
        <v>1623.78</v>
      </c>
      <c r="O2808" s="31" t="n">
        <v>1623.78</v>
      </c>
      <c r="P2808" s="22" t="n">
        <v>0</v>
      </c>
      <c r="Q2808" s="22" t="n">
        <v>0</v>
      </c>
      <c r="R2808" s="22" t="n">
        <v>0</v>
      </c>
    </row>
    <row r="2809">
      <c r="A2809" s="22" t="n">
        <v>202011</v>
      </c>
      <c r="B2809" s="22" t="inlineStr">
        <is>
          <t>11/2020</t>
        </is>
      </c>
      <c r="C2809" s="22" t="n">
        <v>37</v>
      </c>
      <c r="D2809" s="22" t="inlineStr">
        <is>
          <t>S37</t>
        </is>
      </c>
      <c r="E2809" s="22" t="inlineStr">
        <is>
          <t>Nexa Ayrshire (S37)</t>
        </is>
      </c>
      <c r="F2809" s="22" t="inlineStr">
        <is>
          <t>Anh</t>
        </is>
      </c>
      <c r="G2809" s="22" t="inlineStr">
        <is>
          <t>POS</t>
        </is>
      </c>
      <c r="H2809" s="31" t="n">
        <v>1778.89</v>
      </c>
      <c r="I2809" s="31" t="n">
        <v>239.83</v>
      </c>
      <c r="J2809" s="31" t="n">
        <v>1539.06</v>
      </c>
      <c r="K2809" s="31" t="n">
        <v>0</v>
      </c>
      <c r="L2809" s="32" t="n">
        <v>2</v>
      </c>
      <c r="M2809" s="32" t="n">
        <v>8</v>
      </c>
      <c r="N2809" s="31" t="n">
        <v>1539.06</v>
      </c>
      <c r="O2809" s="31" t="n">
        <v>1539.06</v>
      </c>
      <c r="P2809" s="22" t="n">
        <v>0</v>
      </c>
      <c r="Q2809" s="22" t="n">
        <v>0</v>
      </c>
      <c r="R2809" s="22" t="n">
        <v>0</v>
      </c>
    </row>
    <row r="2810">
      <c r="A2810" s="22" t="n">
        <v>202011</v>
      </c>
      <c r="B2810" s="22" t="inlineStr">
        <is>
          <t>11/2020</t>
        </is>
      </c>
      <c r="C2810" s="22" t="n">
        <v>38</v>
      </c>
      <c r="D2810" s="22" t="inlineStr">
        <is>
          <t>S38</t>
        </is>
      </c>
      <c r="E2810" s="22" t="inlineStr">
        <is>
          <t>Nexa Belfast (S38)</t>
        </is>
      </c>
      <c r="F2810" s="22" t="inlineStr">
        <is>
          <t>Anh</t>
        </is>
      </c>
      <c r="G2810" s="22" t="inlineStr">
        <is>
          <t>POS</t>
        </is>
      </c>
      <c r="H2810" s="31" t="n">
        <v>4315.38</v>
      </c>
      <c r="I2810" s="31" t="n">
        <v>557.76</v>
      </c>
      <c r="J2810" s="31" t="n">
        <v>3757.62</v>
      </c>
      <c r="K2810" s="31" t="n">
        <v>0</v>
      </c>
      <c r="L2810" s="32" t="n">
        <v>2</v>
      </c>
      <c r="M2810" s="32" t="n">
        <v>17</v>
      </c>
      <c r="N2810" s="31" t="n">
        <v>3757.62</v>
      </c>
      <c r="O2810" s="31" t="n">
        <v>3757.62</v>
      </c>
      <c r="P2810" s="22" t="n">
        <v>0</v>
      </c>
      <c r="Q2810" s="22" t="n">
        <v>0</v>
      </c>
      <c r="R2810" s="22" t="n">
        <v>0</v>
      </c>
    </row>
    <row r="2811">
      <c r="A2811" s="22" t="n">
        <v>202011</v>
      </c>
      <c r="B2811" s="22" t="inlineStr">
        <is>
          <t>11/2020</t>
        </is>
      </c>
      <c r="C2811" s="22" t="n">
        <v>39</v>
      </c>
      <c r="D2811" s="22" t="inlineStr">
        <is>
          <t>S39</t>
        </is>
      </c>
      <c r="E2811" s="22" t="inlineStr">
        <is>
          <t>Nexa Blaenau Gwent (S39)</t>
        </is>
      </c>
      <c r="F2811" s="22" t="inlineStr">
        <is>
          <t>Anh</t>
        </is>
      </c>
      <c r="G2811" s="22" t="inlineStr">
        <is>
          <t>POS</t>
        </is>
      </c>
      <c r="H2811" s="31" t="n">
        <v>700.23</v>
      </c>
      <c r="I2811" s="31" t="n">
        <v>0</v>
      </c>
      <c r="J2811" s="31" t="n">
        <v>700.23</v>
      </c>
      <c r="K2811" s="31" t="n">
        <v>0</v>
      </c>
      <c r="L2811" s="32" t="n">
        <v>2</v>
      </c>
      <c r="M2811" s="32" t="n">
        <v>13</v>
      </c>
      <c r="N2811" s="31" t="n">
        <v>700.23</v>
      </c>
      <c r="O2811" s="31" t="n">
        <v>700.23</v>
      </c>
      <c r="P2811" s="22" t="n">
        <v>0</v>
      </c>
      <c r="Q2811" s="22" t="n">
        <v>0</v>
      </c>
      <c r="R2811" s="22" t="n">
        <v>0</v>
      </c>
    </row>
    <row r="2812">
      <c r="A2812" s="22" t="n">
        <v>202011</v>
      </c>
      <c r="B2812" s="22" t="inlineStr">
        <is>
          <t>11/2020</t>
        </is>
      </c>
      <c r="C2812" s="22" t="n">
        <v>43</v>
      </c>
      <c r="D2812" s="22" t="inlineStr">
        <is>
          <t>S43</t>
        </is>
      </c>
      <c r="E2812" s="22" t="inlineStr">
        <is>
          <t>Nexa Alaska (S43)</t>
        </is>
      </c>
      <c r="F2812" s="22" t="inlineStr">
        <is>
          <t>Mỹ</t>
        </is>
      </c>
      <c r="G2812" s="22" t="inlineStr">
        <is>
          <t>POS</t>
        </is>
      </c>
      <c r="H2812" s="31" t="n">
        <v>9136.639999999999</v>
      </c>
      <c r="I2812" s="31" t="n">
        <v>0</v>
      </c>
      <c r="J2812" s="31" t="n">
        <v>9136.639999999999</v>
      </c>
      <c r="K2812" s="31" t="n">
        <v>0</v>
      </c>
      <c r="L2812" s="32" t="n">
        <v>5</v>
      </c>
      <c r="M2812" s="32" t="n">
        <v>40</v>
      </c>
      <c r="N2812" s="31" t="n">
        <v>9136.639999999999</v>
      </c>
      <c r="O2812" s="31" t="n">
        <v>9136.639999999999</v>
      </c>
      <c r="P2812" s="22" t="n">
        <v>0</v>
      </c>
      <c r="Q2812" s="22" t="n">
        <v>0</v>
      </c>
      <c r="R2812" s="22" t="n">
        <v>0</v>
      </c>
    </row>
    <row r="2813">
      <c r="A2813" s="22" t="n">
        <v>202011</v>
      </c>
      <c r="B2813" s="22" t="inlineStr">
        <is>
          <t>11/2020</t>
        </is>
      </c>
      <c r="C2813" s="22" t="n">
        <v>44</v>
      </c>
      <c r="D2813" s="22" t="inlineStr">
        <is>
          <t>S44</t>
        </is>
      </c>
      <c r="E2813" s="22" t="inlineStr">
        <is>
          <t>Nexa Arkansas (S44)</t>
        </is>
      </c>
      <c r="F2813" s="22" t="inlineStr">
        <is>
          <t>Mỹ</t>
        </is>
      </c>
      <c r="G2813" s="22" t="inlineStr">
        <is>
          <t>POS</t>
        </is>
      </c>
      <c r="H2813" s="31" t="n">
        <v>7865.94</v>
      </c>
      <c r="I2813" s="31" t="n">
        <v>270</v>
      </c>
      <c r="J2813" s="31" t="n">
        <v>7595.94</v>
      </c>
      <c r="K2813" s="31" t="n">
        <v>0</v>
      </c>
      <c r="L2813" s="32" t="n">
        <v>4</v>
      </c>
      <c r="M2813" s="32" t="n">
        <v>22</v>
      </c>
      <c r="N2813" s="31" t="n">
        <v>7595.94</v>
      </c>
      <c r="O2813" s="31" t="n">
        <v>7595.94</v>
      </c>
      <c r="P2813" s="22" t="n">
        <v>0</v>
      </c>
      <c r="Q2813" s="22" t="n">
        <v>0</v>
      </c>
      <c r="R2813" s="22" t="n">
        <v>1</v>
      </c>
    </row>
    <row r="2814">
      <c r="A2814" s="22" t="n">
        <v>202011</v>
      </c>
      <c r="B2814" s="22" t="inlineStr">
        <is>
          <t>11/2020</t>
        </is>
      </c>
      <c r="C2814" s="22" t="n">
        <v>45</v>
      </c>
      <c r="D2814" s="22" t="inlineStr">
        <is>
          <t>S45</t>
        </is>
      </c>
      <c r="E2814" s="22" t="inlineStr">
        <is>
          <t>Nexa Connecticut (S45)</t>
        </is>
      </c>
      <c r="F2814" s="22" t="inlineStr">
        <is>
          <t>Mỹ</t>
        </is>
      </c>
      <c r="G2814" s="22" t="inlineStr">
        <is>
          <t>POS</t>
        </is>
      </c>
      <c r="H2814" s="31" t="n">
        <v>6184.46</v>
      </c>
      <c r="I2814" s="31" t="n">
        <v>0</v>
      </c>
      <c r="J2814" s="31" t="n">
        <v>6184.46</v>
      </c>
      <c r="K2814" s="31" t="n">
        <v>269.9</v>
      </c>
      <c r="L2814" s="32" t="n">
        <v>2</v>
      </c>
      <c r="M2814" s="32" t="n">
        <v>18</v>
      </c>
      <c r="N2814" s="31" t="n">
        <v>5914.56</v>
      </c>
      <c r="O2814" s="31" t="n">
        <v>6184.46</v>
      </c>
      <c r="P2814" s="22" t="n">
        <v>0</v>
      </c>
      <c r="Q2814" s="22" t="n">
        <v>0</v>
      </c>
      <c r="R2814" s="22" t="n">
        <v>0</v>
      </c>
    </row>
    <row r="2815">
      <c r="A2815" s="22" t="n">
        <v>202011</v>
      </c>
      <c r="B2815" s="22" t="inlineStr">
        <is>
          <t>11/2020</t>
        </is>
      </c>
      <c r="C2815" s="22" t="n">
        <v>47</v>
      </c>
      <c r="D2815" s="22" t="inlineStr">
        <is>
          <t>S47</t>
        </is>
      </c>
      <c r="E2815" s="22" t="inlineStr">
        <is>
          <t>Nexa Hawaii (S47)</t>
        </is>
      </c>
      <c r="F2815" s="22" t="inlineStr">
        <is>
          <t>Mỹ</t>
        </is>
      </c>
      <c r="G2815" s="22" t="inlineStr">
        <is>
          <t>POS</t>
        </is>
      </c>
      <c r="H2815" s="31" t="n">
        <v>6244.11</v>
      </c>
      <c r="I2815" s="31" t="n">
        <v>0</v>
      </c>
      <c r="J2815" s="31" t="n">
        <v>6244.11</v>
      </c>
      <c r="K2815" s="31" t="n">
        <v>779.96</v>
      </c>
      <c r="L2815" s="32" t="n">
        <v>2</v>
      </c>
      <c r="M2815" s="32" t="n">
        <v>31</v>
      </c>
      <c r="N2815" s="31" t="n">
        <v>5464.15</v>
      </c>
      <c r="O2815" s="31" t="n">
        <v>6244.11</v>
      </c>
      <c r="P2815" s="22" t="n">
        <v>0</v>
      </c>
      <c r="Q2815" s="22" t="n">
        <v>0</v>
      </c>
      <c r="R2815" s="22" t="n">
        <v>0</v>
      </c>
    </row>
    <row r="2816">
      <c r="A2816" s="22" t="n">
        <v>202011</v>
      </c>
      <c r="B2816" s="22" t="inlineStr">
        <is>
          <t>11/2020</t>
        </is>
      </c>
      <c r="C2816" s="22" t="n">
        <v>48</v>
      </c>
      <c r="D2816" s="22" t="inlineStr">
        <is>
          <t>S48</t>
        </is>
      </c>
      <c r="E2816" s="22" t="inlineStr">
        <is>
          <t>Nexa Idaho (S48)</t>
        </is>
      </c>
      <c r="F2816" s="22" t="inlineStr">
        <is>
          <t>Mỹ</t>
        </is>
      </c>
      <c r="G2816" s="22" t="inlineStr">
        <is>
          <t>POS</t>
        </is>
      </c>
      <c r="H2816" s="31" t="n">
        <v>2364.28</v>
      </c>
      <c r="I2816" s="31" t="n">
        <v>0</v>
      </c>
      <c r="J2816" s="31" t="n">
        <v>2364.28</v>
      </c>
      <c r="K2816" s="31" t="n">
        <v>0</v>
      </c>
      <c r="L2816" s="32" t="n">
        <v>2</v>
      </c>
      <c r="M2816" s="32" t="n">
        <v>19</v>
      </c>
      <c r="N2816" s="31" t="n">
        <v>2364.28</v>
      </c>
      <c r="O2816" s="31" t="n">
        <v>2364.28</v>
      </c>
      <c r="P2816" s="22" t="n">
        <v>1</v>
      </c>
      <c r="Q2816" s="22" t="n">
        <v>0</v>
      </c>
      <c r="R2816" s="22" t="n">
        <v>0</v>
      </c>
    </row>
    <row r="2817">
      <c r="A2817" s="22" t="n">
        <v>202011</v>
      </c>
      <c r="B2817" s="22" t="inlineStr">
        <is>
          <t>11/2020</t>
        </is>
      </c>
      <c r="C2817" s="22" t="n">
        <v>49</v>
      </c>
      <c r="D2817" s="22" t="inlineStr">
        <is>
          <t>S49</t>
        </is>
      </c>
      <c r="E2817" s="22" t="inlineStr">
        <is>
          <t>Nexa Iowa (S49)</t>
        </is>
      </c>
      <c r="F2817" s="22" t="inlineStr">
        <is>
          <t>Mỹ</t>
        </is>
      </c>
      <c r="G2817" s="22" t="inlineStr">
        <is>
          <t>POS</t>
        </is>
      </c>
      <c r="H2817" s="31" t="n">
        <v>4464.7</v>
      </c>
      <c r="I2817" s="31" t="n">
        <v>41.55</v>
      </c>
      <c r="J2817" s="31" t="n">
        <v>4423.15</v>
      </c>
      <c r="K2817" s="31" t="n">
        <v>0</v>
      </c>
      <c r="L2817" s="32" t="n">
        <v>2</v>
      </c>
      <c r="M2817" s="32" t="n">
        <v>23</v>
      </c>
      <c r="N2817" s="31" t="n">
        <v>4423.15</v>
      </c>
      <c r="O2817" s="31" t="n">
        <v>4423.15</v>
      </c>
      <c r="P2817" s="22" t="n">
        <v>0</v>
      </c>
      <c r="Q2817" s="22" t="n">
        <v>0</v>
      </c>
      <c r="R2817" s="22" t="n">
        <v>0</v>
      </c>
    </row>
    <row r="2818">
      <c r="A2818" s="22" t="n">
        <v>202011</v>
      </c>
      <c r="B2818" s="22" t="inlineStr">
        <is>
          <t>11/2020</t>
        </is>
      </c>
      <c r="C2818" s="22" t="n">
        <v>50</v>
      </c>
      <c r="D2818" s="22" t="inlineStr">
        <is>
          <t>S50</t>
        </is>
      </c>
      <c r="E2818" s="22" t="inlineStr">
        <is>
          <t>Nexa Kansas (S50)</t>
        </is>
      </c>
      <c r="F2818" s="22" t="inlineStr">
        <is>
          <t>Mỹ</t>
        </is>
      </c>
      <c r="G2818" s="22" t="inlineStr">
        <is>
          <t>POS</t>
        </is>
      </c>
      <c r="H2818" s="31" t="n">
        <v>6888.92</v>
      </c>
      <c r="I2818" s="31" t="n">
        <v>287.08</v>
      </c>
      <c r="J2818" s="31" t="n">
        <v>6601.84</v>
      </c>
      <c r="K2818" s="31" t="n">
        <v>0</v>
      </c>
      <c r="L2818" s="32" t="n">
        <v>5</v>
      </c>
      <c r="M2818" s="32" t="n">
        <v>49</v>
      </c>
      <c r="N2818" s="31" t="n">
        <v>6601.84</v>
      </c>
      <c r="O2818" s="31" t="n">
        <v>6601.84</v>
      </c>
      <c r="P2818" s="22" t="n">
        <v>0</v>
      </c>
      <c r="Q2818" s="22" t="n">
        <v>0</v>
      </c>
      <c r="R2818" s="22" t="n">
        <v>0</v>
      </c>
    </row>
    <row r="2819">
      <c r="A2819" s="22" t="n">
        <v>202011</v>
      </c>
      <c r="B2819" s="22" t="inlineStr">
        <is>
          <t>11/2020</t>
        </is>
      </c>
      <c r="C2819" s="22" t="n">
        <v>53</v>
      </c>
      <c r="D2819" s="22" t="inlineStr">
        <is>
          <t>S53</t>
        </is>
      </c>
      <c r="E2819" s="22" t="inlineStr">
        <is>
          <t>Nexa Montana (S53)</t>
        </is>
      </c>
      <c r="F2819" s="22" t="inlineStr">
        <is>
          <t>Mỹ</t>
        </is>
      </c>
      <c r="G2819" s="22" t="inlineStr">
        <is>
          <t>POS</t>
        </is>
      </c>
      <c r="H2819" s="31" t="n">
        <v>10216.34</v>
      </c>
      <c r="I2819" s="31" t="n">
        <v>0</v>
      </c>
      <c r="J2819" s="31" t="n">
        <v>10216.34</v>
      </c>
      <c r="K2819" s="31" t="n">
        <v>0</v>
      </c>
      <c r="L2819" s="32" t="n">
        <v>2</v>
      </c>
      <c r="M2819" s="32" t="n">
        <v>17</v>
      </c>
      <c r="N2819" s="31" t="n">
        <v>10216.34</v>
      </c>
      <c r="O2819" s="31" t="n">
        <v>10216.34</v>
      </c>
      <c r="P2819" s="22" t="n">
        <v>0</v>
      </c>
      <c r="Q2819" s="22" t="n">
        <v>0</v>
      </c>
      <c r="R2819" s="22" t="n">
        <v>0</v>
      </c>
    </row>
    <row r="2820">
      <c r="A2820" s="22" t="n">
        <v>202011</v>
      </c>
      <c r="B2820" s="22" t="inlineStr">
        <is>
          <t>11/2020</t>
        </is>
      </c>
      <c r="C2820" s="22" t="n">
        <v>54</v>
      </c>
      <c r="D2820" s="22" t="inlineStr">
        <is>
          <t>S54</t>
        </is>
      </c>
      <c r="E2820" s="22" t="inlineStr">
        <is>
          <t>Nexa Nebraska (S54)</t>
        </is>
      </c>
      <c r="F2820" s="22" t="inlineStr">
        <is>
          <t>Mỹ</t>
        </is>
      </c>
      <c r="G2820" s="22" t="inlineStr">
        <is>
          <t>POS</t>
        </is>
      </c>
      <c r="H2820" s="31" t="n">
        <v>3857.08</v>
      </c>
      <c r="I2820" s="31" t="n">
        <v>0</v>
      </c>
      <c r="J2820" s="31" t="n">
        <v>3857.08</v>
      </c>
      <c r="K2820" s="31" t="n">
        <v>1340</v>
      </c>
      <c r="L2820" s="32" t="n">
        <v>3</v>
      </c>
      <c r="M2820" s="32" t="n">
        <v>18</v>
      </c>
      <c r="N2820" s="31" t="n">
        <v>2517.08</v>
      </c>
      <c r="O2820" s="31" t="n">
        <v>3857.08</v>
      </c>
      <c r="P2820" s="22" t="n">
        <v>0</v>
      </c>
      <c r="Q2820" s="22" t="n">
        <v>0</v>
      </c>
      <c r="R2820" s="22" t="n">
        <v>0</v>
      </c>
    </row>
    <row r="2821">
      <c r="A2821" s="22" t="n">
        <v>202011</v>
      </c>
      <c r="B2821" s="22" t="inlineStr">
        <is>
          <t>11/2020</t>
        </is>
      </c>
      <c r="C2821" s="22" t="n">
        <v>55</v>
      </c>
      <c r="D2821" s="22" t="inlineStr">
        <is>
          <t>S55</t>
        </is>
      </c>
      <c r="E2821" s="22" t="inlineStr">
        <is>
          <t>Nexa Nevada (S55)</t>
        </is>
      </c>
      <c r="F2821" s="22" t="inlineStr">
        <is>
          <t>Mỹ</t>
        </is>
      </c>
      <c r="G2821" s="22" t="inlineStr">
        <is>
          <t>POS</t>
        </is>
      </c>
      <c r="H2821" s="31" t="n">
        <v>14924.95</v>
      </c>
      <c r="I2821" s="31" t="n">
        <v>1194.93</v>
      </c>
      <c r="J2821" s="31" t="n">
        <v>13730.02</v>
      </c>
      <c r="K2821" s="31" t="n">
        <v>0</v>
      </c>
      <c r="L2821" s="32" t="n">
        <v>5</v>
      </c>
      <c r="M2821" s="32" t="n">
        <v>35</v>
      </c>
      <c r="N2821" s="31" t="n">
        <v>13730.02</v>
      </c>
      <c r="O2821" s="31" t="n">
        <v>13730.02</v>
      </c>
      <c r="P2821" s="22" t="n">
        <v>0</v>
      </c>
      <c r="Q2821" s="22" t="n">
        <v>0</v>
      </c>
      <c r="R2821" s="22" t="n">
        <v>0</v>
      </c>
    </row>
    <row r="2822">
      <c r="A2822" s="22" t="n">
        <v>202011</v>
      </c>
      <c r="B2822" s="22" t="inlineStr">
        <is>
          <t>11/2020</t>
        </is>
      </c>
      <c r="C2822" s="22" t="n">
        <v>56</v>
      </c>
      <c r="D2822" s="22" t="inlineStr">
        <is>
          <t>S56</t>
        </is>
      </c>
      <c r="E2822" s="22" t="inlineStr">
        <is>
          <t>Nexa New Hampshire (S56)</t>
        </is>
      </c>
      <c r="F2822" s="22" t="inlineStr">
        <is>
          <t>Mỹ</t>
        </is>
      </c>
      <c r="G2822" s="22" t="inlineStr">
        <is>
          <t>POS</t>
        </is>
      </c>
      <c r="H2822" s="31" t="n">
        <v>3053.54</v>
      </c>
      <c r="I2822" s="31" t="n">
        <v>11.65</v>
      </c>
      <c r="J2822" s="31" t="n">
        <v>3041.89</v>
      </c>
      <c r="K2822" s="31" t="n">
        <v>0</v>
      </c>
      <c r="L2822" s="32" t="n">
        <v>4</v>
      </c>
      <c r="M2822" s="32" t="n">
        <v>12</v>
      </c>
      <c r="N2822" s="31" t="n">
        <v>3041.89</v>
      </c>
      <c r="O2822" s="31" t="n">
        <v>3041.89</v>
      </c>
      <c r="P2822" s="22" t="n">
        <v>0</v>
      </c>
      <c r="Q2822" s="22" t="n">
        <v>0</v>
      </c>
      <c r="R2822" s="22" t="n">
        <v>0</v>
      </c>
    </row>
    <row r="2823">
      <c r="A2823" s="22" t="n">
        <v>202011</v>
      </c>
      <c r="B2823" s="22" t="inlineStr">
        <is>
          <t>11/2020</t>
        </is>
      </c>
      <c r="C2823" s="22" t="n">
        <v>57</v>
      </c>
      <c r="D2823" s="22" t="inlineStr">
        <is>
          <t>S57</t>
        </is>
      </c>
      <c r="E2823" s="22" t="inlineStr">
        <is>
          <t>Nexa New Mexico (S57)</t>
        </is>
      </c>
      <c r="F2823" s="22" t="inlineStr">
        <is>
          <t>Mỹ</t>
        </is>
      </c>
      <c r="G2823" s="22" t="inlineStr">
        <is>
          <t>POS</t>
        </is>
      </c>
      <c r="H2823" s="31" t="n">
        <v>3390.2</v>
      </c>
      <c r="I2823" s="31" t="n">
        <v>224.92</v>
      </c>
      <c r="J2823" s="31" t="n">
        <v>3165.28</v>
      </c>
      <c r="K2823" s="31" t="n">
        <v>0</v>
      </c>
      <c r="L2823" s="32" t="n">
        <v>4</v>
      </c>
      <c r="M2823" s="32" t="n">
        <v>16</v>
      </c>
      <c r="N2823" s="31" t="n">
        <v>3165.28</v>
      </c>
      <c r="O2823" s="31" t="n">
        <v>3165.28</v>
      </c>
      <c r="P2823" s="22" t="n">
        <v>0</v>
      </c>
      <c r="Q2823" s="22" t="n">
        <v>0</v>
      </c>
      <c r="R2823" s="22" t="n">
        <v>0</v>
      </c>
    </row>
    <row r="2824">
      <c r="A2824" s="22" t="n">
        <v>202011</v>
      </c>
      <c r="B2824" s="22" t="inlineStr">
        <is>
          <t>11/2020</t>
        </is>
      </c>
      <c r="C2824" s="22" t="n">
        <v>59</v>
      </c>
      <c r="D2824" s="22" t="inlineStr">
        <is>
          <t>S59</t>
        </is>
      </c>
      <c r="E2824" s="22" t="inlineStr">
        <is>
          <t>Nexa Oregon (S59)</t>
        </is>
      </c>
      <c r="F2824" s="22" t="inlineStr">
        <is>
          <t>Mỹ</t>
        </is>
      </c>
      <c r="G2824" s="22" t="inlineStr">
        <is>
          <t>POS</t>
        </is>
      </c>
      <c r="H2824" s="31" t="n">
        <v>8582.870000000001</v>
      </c>
      <c r="I2824" s="31" t="n">
        <v>40.2</v>
      </c>
      <c r="J2824" s="31" t="n">
        <v>8542.67</v>
      </c>
      <c r="K2824" s="31" t="n">
        <v>219.98</v>
      </c>
      <c r="L2824" s="32" t="n">
        <v>7</v>
      </c>
      <c r="M2824" s="32" t="n">
        <v>44</v>
      </c>
      <c r="N2824" s="31" t="n">
        <v>8322.690000000001</v>
      </c>
      <c r="O2824" s="31" t="n">
        <v>8542.67</v>
      </c>
      <c r="P2824" s="22" t="n">
        <v>1</v>
      </c>
      <c r="Q2824" s="22" t="n">
        <v>0</v>
      </c>
      <c r="R2824" s="22" t="n">
        <v>0</v>
      </c>
    </row>
    <row r="2825">
      <c r="A2825" s="22" t="n">
        <v>202011</v>
      </c>
      <c r="B2825" s="22" t="inlineStr">
        <is>
          <t>11/2020</t>
        </is>
      </c>
      <c r="C2825" s="22" t="n">
        <v>61</v>
      </c>
      <c r="D2825" s="22" t="inlineStr">
        <is>
          <t>S61</t>
        </is>
      </c>
      <c r="E2825" s="22" t="inlineStr">
        <is>
          <t>Nexa South Carolina (S61)</t>
        </is>
      </c>
      <c r="F2825" s="22" t="inlineStr">
        <is>
          <t>Mỹ</t>
        </is>
      </c>
      <c r="G2825" s="22" t="inlineStr">
        <is>
          <t>POS</t>
        </is>
      </c>
      <c r="H2825" s="31" t="n">
        <v>2858</v>
      </c>
      <c r="I2825" s="31" t="n">
        <v>0</v>
      </c>
      <c r="J2825" s="31" t="n">
        <v>2858</v>
      </c>
      <c r="K2825" s="31" t="n">
        <v>0</v>
      </c>
      <c r="L2825" s="32" t="n">
        <v>2</v>
      </c>
      <c r="M2825" s="32" t="n">
        <v>12</v>
      </c>
      <c r="N2825" s="31" t="n">
        <v>2858</v>
      </c>
      <c r="O2825" s="31" t="n">
        <v>2858</v>
      </c>
      <c r="P2825" s="22" t="n">
        <v>0</v>
      </c>
      <c r="Q2825" s="22" t="n">
        <v>0</v>
      </c>
      <c r="R2825" s="22" t="n">
        <v>0</v>
      </c>
    </row>
    <row r="2826">
      <c r="A2826" s="22" t="n">
        <v>202011</v>
      </c>
      <c r="B2826" s="22" t="inlineStr">
        <is>
          <t>11/2020</t>
        </is>
      </c>
      <c r="C2826" s="22" t="n">
        <v>62</v>
      </c>
      <c r="D2826" s="22" t="inlineStr">
        <is>
          <t>S62</t>
        </is>
      </c>
      <c r="E2826" s="22" t="inlineStr">
        <is>
          <t>Nexa South Dakota (S62)</t>
        </is>
      </c>
      <c r="F2826" s="22" t="inlineStr">
        <is>
          <t>Mỹ</t>
        </is>
      </c>
      <c r="G2826" s="22" t="inlineStr">
        <is>
          <t>POS</t>
        </is>
      </c>
      <c r="H2826" s="31" t="n">
        <v>8963.49</v>
      </c>
      <c r="I2826" s="31" t="n">
        <v>275.83</v>
      </c>
      <c r="J2826" s="31" t="n">
        <v>8687.66</v>
      </c>
      <c r="K2826" s="31" t="n">
        <v>0</v>
      </c>
      <c r="L2826" s="32" t="n">
        <v>4</v>
      </c>
      <c r="M2826" s="32" t="n">
        <v>34</v>
      </c>
      <c r="N2826" s="31" t="n">
        <v>8687.66</v>
      </c>
      <c r="O2826" s="31" t="n">
        <v>8687.66</v>
      </c>
      <c r="P2826" s="22" t="n">
        <v>0</v>
      </c>
      <c r="Q2826" s="22" t="n">
        <v>0</v>
      </c>
      <c r="R2826" s="22" t="n">
        <v>0</v>
      </c>
    </row>
    <row r="2827">
      <c r="A2827" s="22" t="n">
        <v>202011</v>
      </c>
      <c r="B2827" s="22" t="inlineStr">
        <is>
          <t>11/2020</t>
        </is>
      </c>
      <c r="C2827" s="22" t="n">
        <v>64</v>
      </c>
      <c r="D2827" s="22" t="inlineStr">
        <is>
          <t>S64</t>
        </is>
      </c>
      <c r="E2827" s="22" t="inlineStr">
        <is>
          <t>Nexa Washington DC (S64)</t>
        </is>
      </c>
      <c r="F2827" s="22" t="inlineStr">
        <is>
          <t>Mỹ</t>
        </is>
      </c>
      <c r="G2827" s="22" t="inlineStr">
        <is>
          <t>POS</t>
        </is>
      </c>
      <c r="H2827" s="31" t="n">
        <v>1904.92</v>
      </c>
      <c r="I2827" s="31" t="n">
        <v>205.04</v>
      </c>
      <c r="J2827" s="31" t="n">
        <v>1699.88</v>
      </c>
      <c r="K2827" s="31" t="n">
        <v>0</v>
      </c>
      <c r="L2827" s="32" t="n">
        <v>2</v>
      </c>
      <c r="M2827" s="32" t="n">
        <v>13</v>
      </c>
      <c r="N2827" s="31" t="n">
        <v>1699.88</v>
      </c>
      <c r="O2827" s="31" t="n">
        <v>1699.88</v>
      </c>
      <c r="P2827" s="22" t="n">
        <v>0</v>
      </c>
      <c r="Q2827" s="22" t="n">
        <v>0</v>
      </c>
      <c r="R2827" s="22" t="n">
        <v>0</v>
      </c>
    </row>
    <row r="2828">
      <c r="A2828" s="22" t="n">
        <v>202011</v>
      </c>
      <c r="B2828" s="22" t="inlineStr">
        <is>
          <t>11/2020</t>
        </is>
      </c>
      <c r="C2828" s="22" t="n">
        <v>65</v>
      </c>
      <c r="D2828" s="22" t="inlineStr">
        <is>
          <t>S65</t>
        </is>
      </c>
      <c r="E2828" s="22" t="inlineStr">
        <is>
          <t>Nexa West Virginia (S65)</t>
        </is>
      </c>
      <c r="F2828" s="22" t="inlineStr">
        <is>
          <t>Mỹ</t>
        </is>
      </c>
      <c r="G2828" s="22" t="inlineStr">
        <is>
          <t>POS</t>
        </is>
      </c>
      <c r="H2828" s="31" t="n">
        <v>8660.440000000001</v>
      </c>
      <c r="I2828" s="31" t="n">
        <v>194.24</v>
      </c>
      <c r="J2828" s="31" t="n">
        <v>8466.200000000001</v>
      </c>
      <c r="K2828" s="31" t="n">
        <v>0</v>
      </c>
      <c r="L2828" s="32" t="n">
        <v>5</v>
      </c>
      <c r="M2828" s="32" t="n">
        <v>38</v>
      </c>
      <c r="N2828" s="31" t="n">
        <v>8466.200000000001</v>
      </c>
      <c r="O2828" s="31" t="n">
        <v>8466.200000000001</v>
      </c>
      <c r="P2828" s="22" t="n">
        <v>0</v>
      </c>
      <c r="Q2828" s="22" t="n">
        <v>0</v>
      </c>
      <c r="R2828" s="22" t="n">
        <v>0</v>
      </c>
    </row>
    <row r="2829">
      <c r="A2829" s="22" t="n">
        <v>202011</v>
      </c>
      <c r="B2829" s="22" t="inlineStr">
        <is>
          <t>11/2020</t>
        </is>
      </c>
      <c r="C2829" s="22" t="n">
        <v>66</v>
      </c>
      <c r="D2829" s="22" t="inlineStr">
        <is>
          <t>S66</t>
        </is>
      </c>
      <c r="E2829" s="22" t="inlineStr">
        <is>
          <t>Nexa Wyoming (S66)</t>
        </is>
      </c>
      <c r="F2829" s="22" t="inlineStr">
        <is>
          <t>Mỹ</t>
        </is>
      </c>
      <c r="G2829" s="22" t="inlineStr">
        <is>
          <t>POS</t>
        </is>
      </c>
      <c r="H2829" s="31" t="n">
        <v>28941.37</v>
      </c>
      <c r="I2829" s="31" t="n">
        <v>4089.52</v>
      </c>
      <c r="J2829" s="31" t="n">
        <v>24851.85</v>
      </c>
      <c r="K2829" s="31" t="n">
        <v>0</v>
      </c>
      <c r="L2829" s="32" t="n">
        <v>6</v>
      </c>
      <c r="M2829" s="32" t="n">
        <v>40</v>
      </c>
      <c r="N2829" s="31" t="n">
        <v>24851.85</v>
      </c>
      <c r="O2829" s="31" t="n">
        <v>24851.85</v>
      </c>
      <c r="P2829" s="22" t="n">
        <v>0</v>
      </c>
      <c r="Q2829" s="22" t="n">
        <v>0</v>
      </c>
      <c r="R2829" s="22" t="n">
        <v>0</v>
      </c>
    </row>
    <row r="2830">
      <c r="A2830" s="22" t="n">
        <v>202012</v>
      </c>
      <c r="B2830" s="22" t="inlineStr">
        <is>
          <t>12/2020</t>
        </is>
      </c>
      <c r="C2830" s="22" t="n">
        <v>0</v>
      </c>
      <c r="D2830" s="22" t="inlineStr">
        <is>
          <t>ONL</t>
        </is>
      </c>
      <c r="E2830" s="22" t="inlineStr">
        <is>
          <t>Nexa Online (website/app)</t>
        </is>
      </c>
      <c r="F2830" s="22" t="inlineStr">
        <is>
          <t>Online</t>
        </is>
      </c>
      <c r="G2830" s="22" t="inlineStr">
        <is>
          <t>ONLINE</t>
        </is>
      </c>
      <c r="H2830" s="31" t="n">
        <v>162631.75</v>
      </c>
      <c r="I2830" s="31" t="n">
        <v>7738.79</v>
      </c>
      <c r="J2830" s="31" t="n">
        <v>154892.96</v>
      </c>
      <c r="K2830" s="31" t="n">
        <v>1779.77</v>
      </c>
      <c r="L2830" s="32" t="n">
        <v>86</v>
      </c>
      <c r="M2830" s="32" t="n">
        <v>629</v>
      </c>
      <c r="N2830" s="31" t="n">
        <v>130301</v>
      </c>
      <c r="O2830" s="31" t="n">
        <v>132080.77</v>
      </c>
      <c r="P2830" s="22" t="n">
        <v>0</v>
      </c>
      <c r="Q2830" s="22" t="n">
        <v>0</v>
      </c>
      <c r="R2830" s="22" t="n">
        <v>0</v>
      </c>
    </row>
    <row r="2831">
      <c r="A2831" s="22" t="n">
        <v>202012</v>
      </c>
      <c r="B2831" s="22" t="inlineStr">
        <is>
          <t>12/2020</t>
        </is>
      </c>
      <c r="C2831" s="22" t="n">
        <v>1</v>
      </c>
      <c r="D2831" s="22" t="inlineStr">
        <is>
          <t>S01</t>
        </is>
      </c>
      <c r="E2831" s="22" t="inlineStr">
        <is>
          <t>Nexa Australian Capital Territory (S01)</t>
        </is>
      </c>
      <c r="F2831" s="22" t="inlineStr">
        <is>
          <t>Úc</t>
        </is>
      </c>
      <c r="G2831" s="22" t="inlineStr">
        <is>
          <t>POS</t>
        </is>
      </c>
      <c r="H2831" s="31" t="n">
        <v>4728.82</v>
      </c>
      <c r="I2831" s="31" t="n">
        <v>382.92</v>
      </c>
      <c r="J2831" s="31" t="n">
        <v>4345.9</v>
      </c>
      <c r="K2831" s="31" t="n">
        <v>277.2</v>
      </c>
      <c r="L2831" s="32" t="n">
        <v>3</v>
      </c>
      <c r="M2831" s="32" t="n">
        <v>18</v>
      </c>
      <c r="N2831" s="31" t="n">
        <v>4068.7</v>
      </c>
      <c r="O2831" s="31" t="n">
        <v>4345.9</v>
      </c>
      <c r="P2831" s="22" t="n">
        <v>0</v>
      </c>
      <c r="Q2831" s="22" t="n">
        <v>0</v>
      </c>
      <c r="R2831" s="22" t="n">
        <v>0</v>
      </c>
    </row>
    <row r="2832">
      <c r="A2832" s="22" t="n">
        <v>202012</v>
      </c>
      <c r="B2832" s="22" t="inlineStr">
        <is>
          <t>12/2020</t>
        </is>
      </c>
      <c r="C2832" s="22" t="n">
        <v>5</v>
      </c>
      <c r="D2832" s="22" t="inlineStr">
        <is>
          <t>S05</t>
        </is>
      </c>
      <c r="E2832" s="22" t="inlineStr">
        <is>
          <t>Nexa Victoria (S05)</t>
        </is>
      </c>
      <c r="F2832" s="22" t="inlineStr">
        <is>
          <t>Úc</t>
        </is>
      </c>
      <c r="G2832" s="22" t="inlineStr">
        <is>
          <t>POS</t>
        </is>
      </c>
      <c r="H2832" s="31" t="n">
        <v>5762.5</v>
      </c>
      <c r="I2832" s="31" t="n">
        <v>0</v>
      </c>
      <c r="J2832" s="31" t="n">
        <v>5762.5</v>
      </c>
      <c r="K2832" s="31" t="n">
        <v>0</v>
      </c>
      <c r="L2832" s="32" t="n">
        <v>2</v>
      </c>
      <c r="M2832" s="32" t="n">
        <v>23</v>
      </c>
      <c r="N2832" s="31" t="n">
        <v>5762.5</v>
      </c>
      <c r="O2832" s="31" t="n">
        <v>5762.5</v>
      </c>
      <c r="P2832" s="22" t="n">
        <v>0</v>
      </c>
      <c r="Q2832" s="22" t="n">
        <v>0</v>
      </c>
      <c r="R2832" s="22" t="n">
        <v>0</v>
      </c>
    </row>
    <row r="2833">
      <c r="A2833" s="22" t="n">
        <v>202012</v>
      </c>
      <c r="B2833" s="22" t="inlineStr">
        <is>
          <t>12/2020</t>
        </is>
      </c>
      <c r="C2833" s="22" t="n">
        <v>6</v>
      </c>
      <c r="D2833" s="22" t="inlineStr">
        <is>
          <t>S06</t>
        </is>
      </c>
      <c r="E2833" s="22" t="inlineStr">
        <is>
          <t>Nexa Western Australia (S06)</t>
        </is>
      </c>
      <c r="F2833" s="22" t="inlineStr">
        <is>
          <t>Úc</t>
        </is>
      </c>
      <c r="G2833" s="22" t="inlineStr">
        <is>
          <t>POS</t>
        </is>
      </c>
      <c r="H2833" s="31" t="n">
        <v>13058.68</v>
      </c>
      <c r="I2833" s="31" t="n">
        <v>938.98</v>
      </c>
      <c r="J2833" s="31" t="n">
        <v>12119.7</v>
      </c>
      <c r="K2833" s="31" t="n">
        <v>64</v>
      </c>
      <c r="L2833" s="32" t="n">
        <v>2</v>
      </c>
      <c r="M2833" s="32" t="n">
        <v>22</v>
      </c>
      <c r="N2833" s="31" t="n">
        <v>12055.7</v>
      </c>
      <c r="O2833" s="31" t="n">
        <v>12119.7</v>
      </c>
      <c r="P2833" s="22" t="n">
        <v>0</v>
      </c>
      <c r="Q2833" s="22" t="n">
        <v>0</v>
      </c>
      <c r="R2833" s="22" t="n">
        <v>0</v>
      </c>
    </row>
    <row r="2834">
      <c r="A2834" s="22" t="n">
        <v>202012</v>
      </c>
      <c r="B2834" s="22" t="inlineStr">
        <is>
          <t>12/2020</t>
        </is>
      </c>
      <c r="C2834" s="22" t="n">
        <v>8</v>
      </c>
      <c r="D2834" s="22" t="inlineStr">
        <is>
          <t>S08</t>
        </is>
      </c>
      <c r="E2834" s="22" t="inlineStr">
        <is>
          <t>Nexa Newfoundland and Labrador (S08)</t>
        </is>
      </c>
      <c r="F2834" s="22" t="inlineStr">
        <is>
          <t>Canada</t>
        </is>
      </c>
      <c r="G2834" s="22" t="inlineStr">
        <is>
          <t>POS</t>
        </is>
      </c>
      <c r="H2834" s="31" t="n">
        <v>22010.48</v>
      </c>
      <c r="I2834" s="31" t="n">
        <v>1723.39</v>
      </c>
      <c r="J2834" s="31" t="n">
        <v>20287.09</v>
      </c>
      <c r="K2834" s="31" t="n">
        <v>11.04</v>
      </c>
      <c r="L2834" s="32" t="n">
        <v>3</v>
      </c>
      <c r="M2834" s="32" t="n">
        <v>32</v>
      </c>
      <c r="N2834" s="31" t="n">
        <v>20276.05</v>
      </c>
      <c r="O2834" s="31" t="n">
        <v>20287.09</v>
      </c>
      <c r="P2834" s="22" t="n">
        <v>0</v>
      </c>
      <c r="Q2834" s="22" t="n">
        <v>0</v>
      </c>
      <c r="R2834" s="22" t="n">
        <v>0</v>
      </c>
    </row>
    <row r="2835">
      <c r="A2835" s="22" t="n">
        <v>202012</v>
      </c>
      <c r="B2835" s="22" t="inlineStr">
        <is>
          <t>12/2020</t>
        </is>
      </c>
      <c r="C2835" s="22" t="n">
        <v>9</v>
      </c>
      <c r="D2835" s="22" t="inlineStr">
        <is>
          <t>S09</t>
        </is>
      </c>
      <c r="E2835" s="22" t="inlineStr">
        <is>
          <t>Nexa Northwest Territories (S09)</t>
        </is>
      </c>
      <c r="F2835" s="22" t="inlineStr">
        <is>
          <t>Canada</t>
        </is>
      </c>
      <c r="G2835" s="22" t="inlineStr">
        <is>
          <t>POS</t>
        </is>
      </c>
      <c r="H2835" s="31" t="n">
        <v>23365.88</v>
      </c>
      <c r="I2835" s="31" t="n">
        <v>244.7</v>
      </c>
      <c r="J2835" s="31" t="n">
        <v>23121.18</v>
      </c>
      <c r="K2835" s="31" t="n">
        <v>0</v>
      </c>
      <c r="L2835" s="32" t="n">
        <v>11</v>
      </c>
      <c r="M2835" s="32" t="n">
        <v>98</v>
      </c>
      <c r="N2835" s="31" t="n">
        <v>23121.18</v>
      </c>
      <c r="O2835" s="31" t="n">
        <v>23121.18</v>
      </c>
      <c r="P2835" s="22" t="n">
        <v>0</v>
      </c>
      <c r="Q2835" s="22" t="n">
        <v>0</v>
      </c>
      <c r="R2835" s="22" t="n">
        <v>0</v>
      </c>
    </row>
    <row r="2836">
      <c r="A2836" s="22" t="n">
        <v>202012</v>
      </c>
      <c r="B2836" s="22" t="inlineStr">
        <is>
          <t>12/2020</t>
        </is>
      </c>
      <c r="C2836" s="22" t="n">
        <v>10</v>
      </c>
      <c r="D2836" s="22" t="inlineStr">
        <is>
          <t>S10</t>
        </is>
      </c>
      <c r="E2836" s="22" t="inlineStr">
        <is>
          <t>Nexa Nunavut (S10)</t>
        </is>
      </c>
      <c r="F2836" s="22" t="inlineStr">
        <is>
          <t>Canada</t>
        </is>
      </c>
      <c r="G2836" s="22" t="inlineStr">
        <is>
          <t>POS</t>
        </is>
      </c>
      <c r="H2836" s="31" t="n">
        <v>5972.68</v>
      </c>
      <c r="I2836" s="31" t="n">
        <v>0</v>
      </c>
      <c r="J2836" s="31" t="n">
        <v>5972.68</v>
      </c>
      <c r="K2836" s="31" t="n">
        <v>0</v>
      </c>
      <c r="L2836" s="32" t="n">
        <v>5</v>
      </c>
      <c r="M2836" s="32" t="n">
        <v>30</v>
      </c>
      <c r="N2836" s="31" t="n">
        <v>5972.68</v>
      </c>
      <c r="O2836" s="31" t="n">
        <v>5972.68</v>
      </c>
      <c r="P2836" s="22" t="n">
        <v>0</v>
      </c>
      <c r="Q2836" s="22" t="n">
        <v>0</v>
      </c>
      <c r="R2836" s="22" t="n">
        <v>0</v>
      </c>
    </row>
    <row r="2837">
      <c r="A2837" s="22" t="n">
        <v>202012</v>
      </c>
      <c r="B2837" s="22" t="inlineStr">
        <is>
          <t>12/2020</t>
        </is>
      </c>
      <c r="C2837" s="22" t="n">
        <v>12</v>
      </c>
      <c r="D2837" s="22" t="inlineStr">
        <is>
          <t>S12</t>
        </is>
      </c>
      <c r="E2837" s="22" t="inlineStr">
        <is>
          <t>Nexa Basse-Normandie (S12)</t>
        </is>
      </c>
      <c r="F2837" s="22" t="inlineStr">
        <is>
          <t>Pháp</t>
        </is>
      </c>
      <c r="G2837" s="22" t="inlineStr">
        <is>
          <t>POS</t>
        </is>
      </c>
      <c r="H2837" s="31" t="n">
        <v>21980.13</v>
      </c>
      <c r="I2837" s="31" t="n">
        <v>1126.78</v>
      </c>
      <c r="J2837" s="31" t="n">
        <v>20853.35</v>
      </c>
      <c r="K2837" s="31" t="n">
        <v>0</v>
      </c>
      <c r="L2837" s="32" t="n">
        <v>3</v>
      </c>
      <c r="M2837" s="32" t="n">
        <v>44</v>
      </c>
      <c r="N2837" s="31" t="n">
        <v>30994.39</v>
      </c>
      <c r="O2837" s="31" t="n">
        <v>20853.35</v>
      </c>
      <c r="P2837" s="22" t="n">
        <v>0</v>
      </c>
      <c r="Q2837" s="22" t="n">
        <v>0</v>
      </c>
      <c r="R2837" s="22" t="n">
        <v>0</v>
      </c>
    </row>
    <row r="2838">
      <c r="A2838" s="22" t="n">
        <v>202012</v>
      </c>
      <c r="B2838" s="22" t="inlineStr">
        <is>
          <t>12/2020</t>
        </is>
      </c>
      <c r="C2838" s="22" t="n">
        <v>13</v>
      </c>
      <c r="D2838" s="22" t="inlineStr">
        <is>
          <t>S13</t>
        </is>
      </c>
      <c r="E2838" s="22" t="inlineStr">
        <is>
          <t>Nexa Corse (S13)</t>
        </is>
      </c>
      <c r="F2838" s="22" t="inlineStr">
        <is>
          <t>Pháp</t>
        </is>
      </c>
      <c r="G2838" s="22" t="inlineStr">
        <is>
          <t>POS</t>
        </is>
      </c>
      <c r="H2838" s="31" t="n">
        <v>160.23</v>
      </c>
      <c r="I2838" s="31" t="n">
        <v>16.02</v>
      </c>
      <c r="J2838" s="31" t="n">
        <v>144.21</v>
      </c>
      <c r="K2838" s="31" t="n">
        <v>0</v>
      </c>
      <c r="L2838" s="32" t="n">
        <v>1</v>
      </c>
      <c r="M2838" s="32" t="n">
        <v>7</v>
      </c>
      <c r="N2838" s="31" t="n">
        <v>144.21</v>
      </c>
      <c r="O2838" s="31" t="n">
        <v>144.21</v>
      </c>
      <c r="P2838" s="22" t="n">
        <v>0</v>
      </c>
      <c r="Q2838" s="22" t="n">
        <v>0</v>
      </c>
      <c r="R2838" s="22" t="n">
        <v>0</v>
      </c>
    </row>
    <row r="2839">
      <c r="A2839" s="22" t="n">
        <v>202012</v>
      </c>
      <c r="B2839" s="22" t="inlineStr">
        <is>
          <t>12/2020</t>
        </is>
      </c>
      <c r="C2839" s="22" t="n">
        <v>14</v>
      </c>
      <c r="D2839" s="22" t="inlineStr">
        <is>
          <t>S14</t>
        </is>
      </c>
      <c r="E2839" s="22" t="inlineStr">
        <is>
          <t>Nexa Franche-Comté (S14)</t>
        </is>
      </c>
      <c r="F2839" s="22" t="inlineStr">
        <is>
          <t>Pháp</t>
        </is>
      </c>
      <c r="G2839" s="22" t="inlineStr">
        <is>
          <t>POS</t>
        </is>
      </c>
      <c r="H2839" s="31" t="n">
        <v>4272.39</v>
      </c>
      <c r="I2839" s="31" t="n">
        <v>427.24</v>
      </c>
      <c r="J2839" s="31" t="n">
        <v>3845.15</v>
      </c>
      <c r="K2839" s="31" t="n">
        <v>0</v>
      </c>
      <c r="L2839" s="32" t="n">
        <v>1</v>
      </c>
      <c r="M2839" s="32" t="n">
        <v>12</v>
      </c>
      <c r="N2839" s="31" t="n">
        <v>3845.15</v>
      </c>
      <c r="O2839" s="31" t="n">
        <v>3845.15</v>
      </c>
      <c r="P2839" s="22" t="n">
        <v>0</v>
      </c>
      <c r="Q2839" s="22" t="n">
        <v>0</v>
      </c>
      <c r="R2839" s="22" t="n">
        <v>0</v>
      </c>
    </row>
    <row r="2840">
      <c r="A2840" s="22" t="n">
        <v>202012</v>
      </c>
      <c r="B2840" s="22" t="inlineStr">
        <is>
          <t>12/2020</t>
        </is>
      </c>
      <c r="C2840" s="22" t="n">
        <v>16</v>
      </c>
      <c r="D2840" s="22" t="inlineStr">
        <is>
          <t>S16</t>
        </is>
      </c>
      <c r="E2840" s="22" t="inlineStr">
        <is>
          <t>Nexa Limousin (S16)</t>
        </is>
      </c>
      <c r="F2840" s="22" t="inlineStr">
        <is>
          <t>Pháp</t>
        </is>
      </c>
      <c r="G2840" s="22" t="inlineStr">
        <is>
          <t>POS</t>
        </is>
      </c>
      <c r="H2840" s="31" t="n">
        <v>4305.63</v>
      </c>
      <c r="I2840" s="31" t="n">
        <v>0</v>
      </c>
      <c r="J2840" s="31" t="n">
        <v>4305.63</v>
      </c>
      <c r="K2840" s="31" t="n">
        <v>0</v>
      </c>
      <c r="L2840" s="32" t="n">
        <v>2</v>
      </c>
      <c r="M2840" s="32" t="n">
        <v>6</v>
      </c>
      <c r="N2840" s="31" t="n">
        <v>4305.63</v>
      </c>
      <c r="O2840" s="31" t="n">
        <v>4305.63</v>
      </c>
      <c r="P2840" s="22" t="n">
        <v>0</v>
      </c>
      <c r="Q2840" s="22" t="n">
        <v>0</v>
      </c>
      <c r="R2840" s="22" t="n">
        <v>0</v>
      </c>
    </row>
    <row r="2841">
      <c r="A2841" s="22" t="n">
        <v>202012</v>
      </c>
      <c r="B2841" s="22" t="inlineStr">
        <is>
          <t>12/2020</t>
        </is>
      </c>
      <c r="C2841" s="22" t="n">
        <v>18</v>
      </c>
      <c r="D2841" s="22" t="inlineStr">
        <is>
          <t>S18</t>
        </is>
      </c>
      <c r="E2841" s="22" t="inlineStr">
        <is>
          <t>Nexa Mayotte (S18)</t>
        </is>
      </c>
      <c r="F2841" s="22" t="inlineStr">
        <is>
          <t>Pháp</t>
        </is>
      </c>
      <c r="G2841" s="22" t="inlineStr">
        <is>
          <t>POS</t>
        </is>
      </c>
      <c r="H2841" s="31" t="n">
        <v>5172.17</v>
      </c>
      <c r="I2841" s="31" t="n">
        <v>517.22</v>
      </c>
      <c r="J2841" s="31" t="n">
        <v>4654.95</v>
      </c>
      <c r="K2841" s="31" t="n">
        <v>0</v>
      </c>
      <c r="L2841" s="32" t="n">
        <v>1</v>
      </c>
      <c r="M2841" s="32" t="n">
        <v>7</v>
      </c>
      <c r="N2841" s="31" t="n">
        <v>4654.95</v>
      </c>
      <c r="O2841" s="31" t="n">
        <v>4654.95</v>
      </c>
      <c r="P2841" s="22" t="n">
        <v>0</v>
      </c>
      <c r="Q2841" s="22" t="n">
        <v>0</v>
      </c>
      <c r="R2841" s="22" t="n">
        <v>0</v>
      </c>
    </row>
    <row r="2842">
      <c r="A2842" s="22" t="n">
        <v>202012</v>
      </c>
      <c r="B2842" s="22" t="inlineStr">
        <is>
          <t>12/2020</t>
        </is>
      </c>
      <c r="C2842" s="22" t="n">
        <v>19</v>
      </c>
      <c r="D2842" s="22" t="inlineStr">
        <is>
          <t>S19</t>
        </is>
      </c>
      <c r="E2842" s="22" t="inlineStr">
        <is>
          <t>Nexa Berlin (S19)</t>
        </is>
      </c>
      <c r="F2842" s="22" t="inlineStr">
        <is>
          <t>Đức</t>
        </is>
      </c>
      <c r="G2842" s="22" t="inlineStr">
        <is>
          <t>POS</t>
        </is>
      </c>
      <c r="H2842" s="31" t="n">
        <v>6052.92</v>
      </c>
      <c r="I2842" s="31" t="n">
        <v>0</v>
      </c>
      <c r="J2842" s="31" t="n">
        <v>6052.92</v>
      </c>
      <c r="K2842" s="31" t="n">
        <v>0</v>
      </c>
      <c r="L2842" s="32" t="n">
        <v>2</v>
      </c>
      <c r="M2842" s="32" t="n">
        <v>14</v>
      </c>
      <c r="N2842" s="31" t="n">
        <v>6052.92</v>
      </c>
      <c r="O2842" s="31" t="n">
        <v>6052.92</v>
      </c>
      <c r="P2842" s="22" t="n">
        <v>0</v>
      </c>
      <c r="Q2842" s="22" t="n">
        <v>0</v>
      </c>
      <c r="R2842" s="22" t="n">
        <v>0</v>
      </c>
    </row>
    <row r="2843">
      <c r="A2843" s="22" t="n">
        <v>202012</v>
      </c>
      <c r="B2843" s="22" t="inlineStr">
        <is>
          <t>12/2020</t>
        </is>
      </c>
      <c r="C2843" s="22" t="n">
        <v>21</v>
      </c>
      <c r="D2843" s="22" t="inlineStr">
        <is>
          <t>S21</t>
        </is>
      </c>
      <c r="E2843" s="22" t="inlineStr">
        <is>
          <t>Nexa Freie Hansestadt Bremen (S21)</t>
        </is>
      </c>
      <c r="F2843" s="22" t="inlineStr">
        <is>
          <t>Đức</t>
        </is>
      </c>
      <c r="G2843" s="22" t="inlineStr">
        <is>
          <t>POS</t>
        </is>
      </c>
      <c r="H2843" s="31" t="n">
        <v>1032.43</v>
      </c>
      <c r="I2843" s="31" t="n">
        <v>0</v>
      </c>
      <c r="J2843" s="31" t="n">
        <v>1032.43</v>
      </c>
      <c r="K2843" s="31" t="n">
        <v>0</v>
      </c>
      <c r="L2843" s="32" t="n">
        <v>1</v>
      </c>
      <c r="M2843" s="32" t="n">
        <v>12</v>
      </c>
      <c r="N2843" s="31" t="n">
        <v>1032.43</v>
      </c>
      <c r="O2843" s="31" t="n">
        <v>1032.43</v>
      </c>
      <c r="P2843" s="22" t="n">
        <v>0</v>
      </c>
      <c r="Q2843" s="22" t="n">
        <v>0</v>
      </c>
      <c r="R2843" s="22" t="n">
        <v>0</v>
      </c>
    </row>
    <row r="2844">
      <c r="A2844" s="22" t="n">
        <v>202012</v>
      </c>
      <c r="B2844" s="22" t="inlineStr">
        <is>
          <t>12/2020</t>
        </is>
      </c>
      <c r="C2844" s="22" t="n">
        <v>22</v>
      </c>
      <c r="D2844" s="22" t="inlineStr">
        <is>
          <t>S22</t>
        </is>
      </c>
      <c r="E2844" s="22" t="inlineStr">
        <is>
          <t>Nexa Freistaat Thüringen (S22)</t>
        </is>
      </c>
      <c r="F2844" s="22" t="inlineStr">
        <is>
          <t>Đức</t>
        </is>
      </c>
      <c r="G2844" s="22" t="inlineStr">
        <is>
          <t>POS</t>
        </is>
      </c>
      <c r="H2844" s="31" t="n">
        <v>8522</v>
      </c>
      <c r="I2844" s="31" t="n">
        <v>352.37</v>
      </c>
      <c r="J2844" s="31" t="n">
        <v>8169.63</v>
      </c>
      <c r="K2844" s="31" t="n">
        <v>0</v>
      </c>
      <c r="L2844" s="32" t="n">
        <v>5</v>
      </c>
      <c r="M2844" s="32" t="n">
        <v>22</v>
      </c>
      <c r="N2844" s="31" t="n">
        <v>8169.63</v>
      </c>
      <c r="O2844" s="31" t="n">
        <v>8169.63</v>
      </c>
      <c r="P2844" s="22" t="n">
        <v>0</v>
      </c>
      <c r="Q2844" s="22" t="n">
        <v>0</v>
      </c>
      <c r="R2844" s="22" t="n">
        <v>0</v>
      </c>
    </row>
    <row r="2845">
      <c r="A2845" s="22" t="n">
        <v>202012</v>
      </c>
      <c r="B2845" s="22" t="inlineStr">
        <is>
          <t>12/2020</t>
        </is>
      </c>
      <c r="C2845" s="22" t="n">
        <v>23</v>
      </c>
      <c r="D2845" s="22" t="inlineStr">
        <is>
          <t>S23</t>
        </is>
      </c>
      <c r="E2845" s="22" t="inlineStr">
        <is>
          <t>Nexa Hamburg (S23)</t>
        </is>
      </c>
      <c r="F2845" s="22" t="inlineStr">
        <is>
          <t>Đức</t>
        </is>
      </c>
      <c r="G2845" s="22" t="inlineStr">
        <is>
          <t>POS</t>
        </is>
      </c>
      <c r="H2845" s="31" t="n">
        <v>17836.7</v>
      </c>
      <c r="I2845" s="31" t="n">
        <v>0</v>
      </c>
      <c r="J2845" s="31" t="n">
        <v>17836.7</v>
      </c>
      <c r="K2845" s="31" t="n">
        <v>0</v>
      </c>
      <c r="L2845" s="32" t="n">
        <v>1</v>
      </c>
      <c r="M2845" s="32" t="n">
        <v>12</v>
      </c>
      <c r="N2845" s="31" t="n">
        <v>17836.7</v>
      </c>
      <c r="O2845" s="31" t="n">
        <v>17836.7</v>
      </c>
      <c r="P2845" s="22" t="n">
        <v>0</v>
      </c>
      <c r="Q2845" s="22" t="n">
        <v>0</v>
      </c>
      <c r="R2845" s="22" t="n">
        <v>0</v>
      </c>
    </row>
    <row r="2846">
      <c r="A2846" s="22" t="n">
        <v>202012</v>
      </c>
      <c r="B2846" s="22" t="inlineStr">
        <is>
          <t>12/2020</t>
        </is>
      </c>
      <c r="C2846" s="22" t="n">
        <v>24</v>
      </c>
      <c r="D2846" s="22" t="inlineStr">
        <is>
          <t>S24</t>
        </is>
      </c>
      <c r="E2846" s="22" t="inlineStr">
        <is>
          <t>Nexa Hessen (S24)</t>
        </is>
      </c>
      <c r="F2846" s="22" t="inlineStr">
        <is>
          <t>Đức</t>
        </is>
      </c>
      <c r="G2846" s="22" t="inlineStr">
        <is>
          <t>POS</t>
        </is>
      </c>
      <c r="H2846" s="31" t="n">
        <v>2090.91</v>
      </c>
      <c r="I2846" s="31" t="n">
        <v>179.29</v>
      </c>
      <c r="J2846" s="31" t="n">
        <v>1911.62</v>
      </c>
      <c r="K2846" s="31" t="n">
        <v>0</v>
      </c>
      <c r="L2846" s="32" t="n">
        <v>2</v>
      </c>
      <c r="M2846" s="32" t="n">
        <v>14</v>
      </c>
      <c r="N2846" s="31" t="n">
        <v>1911.62</v>
      </c>
      <c r="O2846" s="31" t="n">
        <v>1911.62</v>
      </c>
      <c r="P2846" s="22" t="n">
        <v>0</v>
      </c>
      <c r="Q2846" s="22" t="n">
        <v>0</v>
      </c>
      <c r="R2846" s="22" t="n">
        <v>0</v>
      </c>
    </row>
    <row r="2847">
      <c r="A2847" s="22" t="n">
        <v>202012</v>
      </c>
      <c r="B2847" s="22" t="inlineStr">
        <is>
          <t>12/2020</t>
        </is>
      </c>
      <c r="C2847" s="22" t="n">
        <v>26</v>
      </c>
      <c r="D2847" s="22" t="inlineStr">
        <is>
          <t>S26</t>
        </is>
      </c>
      <c r="E2847" s="22" t="inlineStr">
        <is>
          <t>Nexa Saarland (S26)</t>
        </is>
      </c>
      <c r="F2847" s="22" t="inlineStr">
        <is>
          <t>Đức</t>
        </is>
      </c>
      <c r="G2847" s="22" t="inlineStr">
        <is>
          <t>POS</t>
        </is>
      </c>
      <c r="H2847" s="31" t="n">
        <v>7684.29</v>
      </c>
      <c r="I2847" s="31" t="n">
        <v>183.99</v>
      </c>
      <c r="J2847" s="31" t="n">
        <v>7500.3</v>
      </c>
      <c r="K2847" s="31" t="n">
        <v>0</v>
      </c>
      <c r="L2847" s="32" t="n">
        <v>3</v>
      </c>
      <c r="M2847" s="32" t="n">
        <v>26</v>
      </c>
      <c r="N2847" s="31" t="n">
        <v>7500.3</v>
      </c>
      <c r="O2847" s="31" t="n">
        <v>7500.3</v>
      </c>
      <c r="P2847" s="22" t="n">
        <v>0</v>
      </c>
      <c r="Q2847" s="22" t="n">
        <v>0</v>
      </c>
      <c r="R2847" s="22" t="n">
        <v>0</v>
      </c>
    </row>
    <row r="2848">
      <c r="A2848" s="22" t="n">
        <v>202012</v>
      </c>
      <c r="B2848" s="22" t="inlineStr">
        <is>
          <t>12/2020</t>
        </is>
      </c>
      <c r="C2848" s="22" t="n">
        <v>27</v>
      </c>
      <c r="D2848" s="22" t="inlineStr">
        <is>
          <t>S27</t>
        </is>
      </c>
      <c r="E2848" s="22" t="inlineStr">
        <is>
          <t>Nexa Sachsen-Anhalt (S27)</t>
        </is>
      </c>
      <c r="F2848" s="22" t="inlineStr">
        <is>
          <t>Đức</t>
        </is>
      </c>
      <c r="G2848" s="22" t="inlineStr">
        <is>
          <t>POS</t>
        </is>
      </c>
      <c r="H2848" s="31" t="n">
        <v>19067.66</v>
      </c>
      <c r="I2848" s="31" t="n">
        <v>1199.57</v>
      </c>
      <c r="J2848" s="31" t="n">
        <v>17868.09</v>
      </c>
      <c r="K2848" s="31" t="n">
        <v>0</v>
      </c>
      <c r="L2848" s="32" t="n">
        <v>4</v>
      </c>
      <c r="M2848" s="32" t="n">
        <v>42</v>
      </c>
      <c r="N2848" s="31" t="n">
        <v>17868.09</v>
      </c>
      <c r="O2848" s="31" t="n">
        <v>17868.09</v>
      </c>
      <c r="P2848" s="22" t="n">
        <v>0</v>
      </c>
      <c r="Q2848" s="22" t="n">
        <v>0</v>
      </c>
      <c r="R2848" s="22" t="n">
        <v>0</v>
      </c>
    </row>
    <row r="2849">
      <c r="A2849" s="22" t="n">
        <v>202012</v>
      </c>
      <c r="B2849" s="22" t="inlineStr">
        <is>
          <t>12/2020</t>
        </is>
      </c>
      <c r="C2849" s="22" t="n">
        <v>29</v>
      </c>
      <c r="D2849" s="22" t="inlineStr">
        <is>
          <t>S29</t>
        </is>
      </c>
      <c r="E2849" s="22" t="inlineStr">
        <is>
          <t>Nexa Enna (S29)</t>
        </is>
      </c>
      <c r="F2849" s="22" t="inlineStr">
        <is>
          <t>Ý</t>
        </is>
      </c>
      <c r="G2849" s="22" t="inlineStr">
        <is>
          <t>POS</t>
        </is>
      </c>
      <c r="H2849" s="31" t="n">
        <v>5897.63</v>
      </c>
      <c r="I2849" s="31" t="n">
        <v>509.58</v>
      </c>
      <c r="J2849" s="31" t="n">
        <v>5388.05</v>
      </c>
      <c r="K2849" s="31" t="n">
        <v>0</v>
      </c>
      <c r="L2849" s="32" t="n">
        <v>2</v>
      </c>
      <c r="M2849" s="32" t="n">
        <v>15</v>
      </c>
      <c r="N2849" s="31" t="n">
        <v>5388.05</v>
      </c>
      <c r="O2849" s="31" t="n">
        <v>5388.05</v>
      </c>
      <c r="P2849" s="22" t="n">
        <v>0</v>
      </c>
      <c r="Q2849" s="22" t="n">
        <v>0</v>
      </c>
      <c r="R2849" s="22" t="n">
        <v>0</v>
      </c>
    </row>
    <row r="2850">
      <c r="A2850" s="22" t="n">
        <v>202012</v>
      </c>
      <c r="B2850" s="22" t="inlineStr">
        <is>
          <t>12/2020</t>
        </is>
      </c>
      <c r="C2850" s="22" t="n">
        <v>30</v>
      </c>
      <c r="D2850" s="22" t="inlineStr">
        <is>
          <t>S30</t>
        </is>
      </c>
      <c r="E2850" s="22" t="inlineStr">
        <is>
          <t>Nexa Pesaro (S30)</t>
        </is>
      </c>
      <c r="F2850" s="22" t="inlineStr">
        <is>
          <t>Ý</t>
        </is>
      </c>
      <c r="G2850" s="22" t="inlineStr">
        <is>
          <t>POS</t>
        </is>
      </c>
      <c r="H2850" s="31" t="n">
        <v>8822.08</v>
      </c>
      <c r="I2850" s="31" t="n">
        <v>554.76</v>
      </c>
      <c r="J2850" s="31" t="n">
        <v>8267.32</v>
      </c>
      <c r="K2850" s="31" t="n">
        <v>0</v>
      </c>
      <c r="L2850" s="32" t="n">
        <v>3</v>
      </c>
      <c r="M2850" s="32" t="n">
        <v>58</v>
      </c>
      <c r="N2850" s="31" t="n">
        <v>8267.32</v>
      </c>
      <c r="O2850" s="31" t="n">
        <v>8267.32</v>
      </c>
      <c r="P2850" s="22" t="n">
        <v>0</v>
      </c>
      <c r="Q2850" s="22" t="n">
        <v>0</v>
      </c>
      <c r="R2850" s="22" t="n">
        <v>0</v>
      </c>
    </row>
    <row r="2851">
      <c r="A2851" s="22" t="n">
        <v>202012</v>
      </c>
      <c r="B2851" s="22" t="inlineStr">
        <is>
          <t>12/2020</t>
        </is>
      </c>
      <c r="C2851" s="22" t="n">
        <v>31</v>
      </c>
      <c r="D2851" s="22" t="inlineStr">
        <is>
          <t>S31</t>
        </is>
      </c>
      <c r="E2851" s="22" t="inlineStr">
        <is>
          <t>Nexa Drenthe (S31)</t>
        </is>
      </c>
      <c r="F2851" s="22" t="inlineStr">
        <is>
          <t>Hà Lan</t>
        </is>
      </c>
      <c r="G2851" s="22" t="inlineStr">
        <is>
          <t>POS</t>
        </is>
      </c>
      <c r="H2851" s="31" t="n">
        <v>879.8200000000001</v>
      </c>
      <c r="I2851" s="31" t="n">
        <v>0</v>
      </c>
      <c r="J2851" s="31" t="n">
        <v>879.8200000000001</v>
      </c>
      <c r="K2851" s="31" t="n">
        <v>0</v>
      </c>
      <c r="L2851" s="32" t="n">
        <v>2</v>
      </c>
      <c r="M2851" s="32" t="n">
        <v>15</v>
      </c>
      <c r="N2851" s="31" t="n">
        <v>879.8200000000001</v>
      </c>
      <c r="O2851" s="31" t="n">
        <v>879.8200000000001</v>
      </c>
      <c r="P2851" s="22" t="n">
        <v>0</v>
      </c>
      <c r="Q2851" s="22" t="n">
        <v>0</v>
      </c>
      <c r="R2851" s="22" t="n">
        <v>0</v>
      </c>
    </row>
    <row r="2852">
      <c r="A2852" s="22" t="n">
        <v>202012</v>
      </c>
      <c r="B2852" s="22" t="inlineStr">
        <is>
          <t>12/2020</t>
        </is>
      </c>
      <c r="C2852" s="22" t="n">
        <v>32</v>
      </c>
      <c r="D2852" s="22" t="inlineStr">
        <is>
          <t>S32</t>
        </is>
      </c>
      <c r="E2852" s="22" t="inlineStr">
        <is>
          <t>Nexa Flevoland (S32)</t>
        </is>
      </c>
      <c r="F2852" s="22" t="inlineStr">
        <is>
          <t>Hà Lan</t>
        </is>
      </c>
      <c r="G2852" s="22" t="inlineStr">
        <is>
          <t>POS</t>
        </is>
      </c>
      <c r="H2852" s="31" t="n">
        <v>4499.04</v>
      </c>
      <c r="I2852" s="31" t="n">
        <v>0</v>
      </c>
      <c r="J2852" s="31" t="n">
        <v>4499.04</v>
      </c>
      <c r="K2852" s="31" t="n">
        <v>0</v>
      </c>
      <c r="L2852" s="32" t="n">
        <v>4</v>
      </c>
      <c r="M2852" s="32" t="n">
        <v>25</v>
      </c>
      <c r="N2852" s="31" t="n">
        <v>4499.04</v>
      </c>
      <c r="O2852" s="31" t="n">
        <v>4499.04</v>
      </c>
      <c r="P2852" s="22" t="n">
        <v>0</v>
      </c>
      <c r="Q2852" s="22" t="n">
        <v>0</v>
      </c>
      <c r="R2852" s="22" t="n">
        <v>0</v>
      </c>
    </row>
    <row r="2853">
      <c r="A2853" s="22" t="n">
        <v>202012</v>
      </c>
      <c r="B2853" s="22" t="inlineStr">
        <is>
          <t>12/2020</t>
        </is>
      </c>
      <c r="C2853" s="22" t="n">
        <v>33</v>
      </c>
      <c r="D2853" s="22" t="inlineStr">
        <is>
          <t>S33</t>
        </is>
      </c>
      <c r="E2853" s="22" t="inlineStr">
        <is>
          <t>Nexa Friesland (S33)</t>
        </is>
      </c>
      <c r="F2853" s="22" t="inlineStr">
        <is>
          <t>Hà Lan</t>
        </is>
      </c>
      <c r="G2853" s="22" t="inlineStr">
        <is>
          <t>POS</t>
        </is>
      </c>
      <c r="H2853" s="31" t="n">
        <v>299</v>
      </c>
      <c r="I2853" s="31" t="n">
        <v>0</v>
      </c>
      <c r="J2853" s="31" t="n">
        <v>299</v>
      </c>
      <c r="K2853" s="31" t="n">
        <v>0</v>
      </c>
      <c r="L2853" s="32" t="n">
        <v>1</v>
      </c>
      <c r="M2853" s="32" t="n">
        <v>1</v>
      </c>
      <c r="N2853" s="31" t="n">
        <v>299</v>
      </c>
      <c r="O2853" s="31" t="n">
        <v>299</v>
      </c>
      <c r="P2853" s="22" t="n">
        <v>0</v>
      </c>
      <c r="Q2853" s="22" t="n">
        <v>0</v>
      </c>
      <c r="R2853" s="22" t="n">
        <v>0</v>
      </c>
    </row>
    <row r="2854">
      <c r="A2854" s="22" t="n">
        <v>202012</v>
      </c>
      <c r="B2854" s="22" t="inlineStr">
        <is>
          <t>12/2020</t>
        </is>
      </c>
      <c r="C2854" s="22" t="n">
        <v>34</v>
      </c>
      <c r="D2854" s="22" t="inlineStr">
        <is>
          <t>S34</t>
        </is>
      </c>
      <c r="E2854" s="22" t="inlineStr">
        <is>
          <t>Nexa Groningen (S34)</t>
        </is>
      </c>
      <c r="F2854" s="22" t="inlineStr">
        <is>
          <t>Hà Lan</t>
        </is>
      </c>
      <c r="G2854" s="22" t="inlineStr">
        <is>
          <t>POS</t>
        </is>
      </c>
      <c r="H2854" s="31" t="n">
        <v>126.01</v>
      </c>
      <c r="I2854" s="31" t="n">
        <v>0.8100000000000001</v>
      </c>
      <c r="J2854" s="31" t="n">
        <v>125.2</v>
      </c>
      <c r="K2854" s="31" t="n">
        <v>22.89</v>
      </c>
      <c r="L2854" s="32" t="n">
        <v>2</v>
      </c>
      <c r="M2854" s="32" t="n">
        <v>4</v>
      </c>
      <c r="N2854" s="31" t="n">
        <v>102.31</v>
      </c>
      <c r="O2854" s="31" t="n">
        <v>125.2</v>
      </c>
      <c r="P2854" s="22" t="n">
        <v>0</v>
      </c>
      <c r="Q2854" s="22" t="n">
        <v>0</v>
      </c>
      <c r="R2854" s="22" t="n">
        <v>0</v>
      </c>
    </row>
    <row r="2855">
      <c r="A2855" s="22" t="n">
        <v>202012</v>
      </c>
      <c r="B2855" s="22" t="inlineStr">
        <is>
          <t>12/2020</t>
        </is>
      </c>
      <c r="C2855" s="22" t="n">
        <v>36</v>
      </c>
      <c r="D2855" s="22" t="inlineStr">
        <is>
          <t>S36</t>
        </is>
      </c>
      <c r="E2855" s="22" t="inlineStr">
        <is>
          <t>Nexa Armagh (S36)</t>
        </is>
      </c>
      <c r="F2855" s="22" t="inlineStr">
        <is>
          <t>Anh</t>
        </is>
      </c>
      <c r="G2855" s="22" t="inlineStr">
        <is>
          <t>POS</t>
        </is>
      </c>
      <c r="H2855" s="31" t="n">
        <v>8947.549999999999</v>
      </c>
      <c r="I2855" s="31" t="n">
        <v>2.07</v>
      </c>
      <c r="J2855" s="31" t="n">
        <v>8945.48</v>
      </c>
      <c r="K2855" s="31" t="n">
        <v>780</v>
      </c>
      <c r="L2855" s="32" t="n">
        <v>5</v>
      </c>
      <c r="M2855" s="32" t="n">
        <v>27</v>
      </c>
      <c r="N2855" s="31" t="n">
        <v>8165.48</v>
      </c>
      <c r="O2855" s="31" t="n">
        <v>8945.48</v>
      </c>
      <c r="P2855" s="22" t="n">
        <v>0</v>
      </c>
      <c r="Q2855" s="22" t="n">
        <v>0</v>
      </c>
      <c r="R2855" s="22" t="n">
        <v>0</v>
      </c>
    </row>
    <row r="2856">
      <c r="A2856" s="22" t="n">
        <v>202012</v>
      </c>
      <c r="B2856" s="22" t="inlineStr">
        <is>
          <t>12/2020</t>
        </is>
      </c>
      <c r="C2856" s="22" t="n">
        <v>37</v>
      </c>
      <c r="D2856" s="22" t="inlineStr">
        <is>
          <t>S37</t>
        </is>
      </c>
      <c r="E2856" s="22" t="inlineStr">
        <is>
          <t>Nexa Ayrshire (S37)</t>
        </is>
      </c>
      <c r="F2856" s="22" t="inlineStr">
        <is>
          <t>Anh</t>
        </is>
      </c>
      <c r="G2856" s="22" t="inlineStr">
        <is>
          <t>POS</t>
        </is>
      </c>
      <c r="H2856" s="31" t="n">
        <v>459.8</v>
      </c>
      <c r="I2856" s="31" t="n">
        <v>45.98</v>
      </c>
      <c r="J2856" s="31" t="n">
        <v>413.82</v>
      </c>
      <c r="K2856" s="31" t="n">
        <v>0</v>
      </c>
      <c r="L2856" s="32" t="n">
        <v>1</v>
      </c>
      <c r="M2856" s="32" t="n">
        <v>2</v>
      </c>
      <c r="N2856" s="31" t="n">
        <v>413.82</v>
      </c>
      <c r="O2856" s="31" t="n">
        <v>413.82</v>
      </c>
      <c r="P2856" s="22" t="n">
        <v>0</v>
      </c>
      <c r="Q2856" s="22" t="n">
        <v>0</v>
      </c>
      <c r="R2856" s="22" t="n">
        <v>0</v>
      </c>
    </row>
    <row r="2857">
      <c r="A2857" s="22" t="n">
        <v>202012</v>
      </c>
      <c r="B2857" s="22" t="inlineStr">
        <is>
          <t>12/2020</t>
        </is>
      </c>
      <c r="C2857" s="22" t="n">
        <v>38</v>
      </c>
      <c r="D2857" s="22" t="inlineStr">
        <is>
          <t>S38</t>
        </is>
      </c>
      <c r="E2857" s="22" t="inlineStr">
        <is>
          <t>Nexa Belfast (S38)</t>
        </is>
      </c>
      <c r="F2857" s="22" t="inlineStr">
        <is>
          <t>Anh</t>
        </is>
      </c>
      <c r="G2857" s="22" t="inlineStr">
        <is>
          <t>POS</t>
        </is>
      </c>
      <c r="H2857" s="31" t="n">
        <v>20241.17</v>
      </c>
      <c r="I2857" s="31" t="n">
        <v>278.65</v>
      </c>
      <c r="J2857" s="31" t="n">
        <v>19962.52</v>
      </c>
      <c r="K2857" s="31" t="n">
        <v>0</v>
      </c>
      <c r="L2857" s="32" t="n">
        <v>8</v>
      </c>
      <c r="M2857" s="32" t="n">
        <v>35</v>
      </c>
      <c r="N2857" s="31" t="n">
        <v>19962.52</v>
      </c>
      <c r="O2857" s="31" t="n">
        <v>19962.52</v>
      </c>
      <c r="P2857" s="22" t="n">
        <v>0</v>
      </c>
      <c r="Q2857" s="22" t="n">
        <v>0</v>
      </c>
      <c r="R2857" s="22" t="n">
        <v>0</v>
      </c>
    </row>
    <row r="2858">
      <c r="A2858" s="22" t="n">
        <v>202012</v>
      </c>
      <c r="B2858" s="22" t="inlineStr">
        <is>
          <t>12/2020</t>
        </is>
      </c>
      <c r="C2858" s="22" t="n">
        <v>39</v>
      </c>
      <c r="D2858" s="22" t="inlineStr">
        <is>
          <t>S39</t>
        </is>
      </c>
      <c r="E2858" s="22" t="inlineStr">
        <is>
          <t>Nexa Blaenau Gwent (S39)</t>
        </is>
      </c>
      <c r="F2858" s="22" t="inlineStr">
        <is>
          <t>Anh</t>
        </is>
      </c>
      <c r="G2858" s="22" t="inlineStr">
        <is>
          <t>POS</t>
        </is>
      </c>
      <c r="H2858" s="31" t="n">
        <v>2958.83</v>
      </c>
      <c r="I2858" s="31" t="n">
        <v>0</v>
      </c>
      <c r="J2858" s="31" t="n">
        <v>2958.83</v>
      </c>
      <c r="K2858" s="31" t="n">
        <v>0</v>
      </c>
      <c r="L2858" s="32" t="n">
        <v>4</v>
      </c>
      <c r="M2858" s="32" t="n">
        <v>33</v>
      </c>
      <c r="N2858" s="31" t="n">
        <v>2958.83</v>
      </c>
      <c r="O2858" s="31" t="n">
        <v>2958.83</v>
      </c>
      <c r="P2858" s="22" t="n">
        <v>0</v>
      </c>
      <c r="Q2858" s="22" t="n">
        <v>0</v>
      </c>
      <c r="R2858" s="22" t="n">
        <v>0</v>
      </c>
    </row>
    <row r="2859">
      <c r="A2859" s="22" t="n">
        <v>202012</v>
      </c>
      <c r="B2859" s="22" t="inlineStr">
        <is>
          <t>12/2020</t>
        </is>
      </c>
      <c r="C2859" s="22" t="n">
        <v>40</v>
      </c>
      <c r="D2859" s="22" t="inlineStr">
        <is>
          <t>S40</t>
        </is>
      </c>
      <c r="E2859" s="22" t="inlineStr">
        <is>
          <t>Nexa Dungannon and South Tyrone (S40)</t>
        </is>
      </c>
      <c r="F2859" s="22" t="inlineStr">
        <is>
          <t>Anh</t>
        </is>
      </c>
      <c r="G2859" s="22" t="inlineStr">
        <is>
          <t>POS</t>
        </is>
      </c>
      <c r="H2859" s="31" t="n">
        <v>4397.56</v>
      </c>
      <c r="I2859" s="31" t="n">
        <v>0</v>
      </c>
      <c r="J2859" s="31" t="n">
        <v>4397.56</v>
      </c>
      <c r="K2859" s="31" t="n">
        <v>293</v>
      </c>
      <c r="L2859" s="32" t="n">
        <v>4</v>
      </c>
      <c r="M2859" s="32" t="n">
        <v>21</v>
      </c>
      <c r="N2859" s="31" t="n">
        <v>4104.56</v>
      </c>
      <c r="O2859" s="31" t="n">
        <v>4397.56</v>
      </c>
      <c r="P2859" s="22" t="n">
        <v>0</v>
      </c>
      <c r="Q2859" s="22" t="n">
        <v>0</v>
      </c>
      <c r="R2859" s="22" t="n">
        <v>0</v>
      </c>
    </row>
    <row r="2860">
      <c r="A2860" s="22" t="n">
        <v>202012</v>
      </c>
      <c r="B2860" s="22" t="inlineStr">
        <is>
          <t>12/2020</t>
        </is>
      </c>
      <c r="C2860" s="22" t="n">
        <v>42</v>
      </c>
      <c r="D2860" s="22" t="inlineStr">
        <is>
          <t>S42</t>
        </is>
      </c>
      <c r="E2860" s="22" t="inlineStr">
        <is>
          <t>Nexa North Down (S42)</t>
        </is>
      </c>
      <c r="F2860" s="22" t="inlineStr">
        <is>
          <t>Anh</t>
        </is>
      </c>
      <c r="G2860" s="22" t="inlineStr">
        <is>
          <t>POS</t>
        </is>
      </c>
      <c r="H2860" s="31" t="n">
        <v>2438.8</v>
      </c>
      <c r="I2860" s="31" t="n">
        <v>0</v>
      </c>
      <c r="J2860" s="31" t="n">
        <v>2438.8</v>
      </c>
      <c r="K2860" s="31" t="n">
        <v>0</v>
      </c>
      <c r="L2860" s="32" t="n">
        <v>2</v>
      </c>
      <c r="M2860" s="32" t="n">
        <v>17</v>
      </c>
      <c r="N2860" s="31" t="n">
        <v>2438.8</v>
      </c>
      <c r="O2860" s="31" t="n">
        <v>2438.8</v>
      </c>
      <c r="P2860" s="22" t="n">
        <v>0</v>
      </c>
      <c r="Q2860" s="22" t="n">
        <v>0</v>
      </c>
      <c r="R2860" s="22" t="n">
        <v>0</v>
      </c>
    </row>
    <row r="2861">
      <c r="A2861" s="22" t="n">
        <v>202012</v>
      </c>
      <c r="B2861" s="22" t="inlineStr">
        <is>
          <t>12/2020</t>
        </is>
      </c>
      <c r="C2861" s="22" t="n">
        <v>43</v>
      </c>
      <c r="D2861" s="22" t="inlineStr">
        <is>
          <t>S43</t>
        </is>
      </c>
      <c r="E2861" s="22" t="inlineStr">
        <is>
          <t>Nexa Alaska (S43)</t>
        </is>
      </c>
      <c r="F2861" s="22" t="inlineStr">
        <is>
          <t>Mỹ</t>
        </is>
      </c>
      <c r="G2861" s="22" t="inlineStr">
        <is>
          <t>POS</t>
        </is>
      </c>
      <c r="H2861" s="31" t="n">
        <v>8053.03</v>
      </c>
      <c r="I2861" s="31" t="n">
        <v>281.29</v>
      </c>
      <c r="J2861" s="31" t="n">
        <v>7771.74</v>
      </c>
      <c r="K2861" s="31" t="n">
        <v>332.1</v>
      </c>
      <c r="L2861" s="32" t="n">
        <v>9</v>
      </c>
      <c r="M2861" s="32" t="n">
        <v>60</v>
      </c>
      <c r="N2861" s="31" t="n">
        <v>7439.64</v>
      </c>
      <c r="O2861" s="31" t="n">
        <v>7771.74</v>
      </c>
      <c r="P2861" s="22" t="n">
        <v>0</v>
      </c>
      <c r="Q2861" s="22" t="n">
        <v>0</v>
      </c>
      <c r="R2861" s="22" t="n">
        <v>0</v>
      </c>
    </row>
    <row r="2862">
      <c r="A2862" s="22" t="n">
        <v>202012</v>
      </c>
      <c r="B2862" s="22" t="inlineStr">
        <is>
          <t>12/2020</t>
        </is>
      </c>
      <c r="C2862" s="22" t="n">
        <v>44</v>
      </c>
      <c r="D2862" s="22" t="inlineStr">
        <is>
          <t>S44</t>
        </is>
      </c>
      <c r="E2862" s="22" t="inlineStr">
        <is>
          <t>Nexa Arkansas (S44)</t>
        </is>
      </c>
      <c r="F2862" s="22" t="inlineStr">
        <is>
          <t>Mỹ</t>
        </is>
      </c>
      <c r="G2862" s="22" t="inlineStr">
        <is>
          <t>POS</t>
        </is>
      </c>
      <c r="H2862" s="31" t="n">
        <v>11170</v>
      </c>
      <c r="I2862" s="31" t="n">
        <v>392.14</v>
      </c>
      <c r="J2862" s="31" t="n">
        <v>10777.86</v>
      </c>
      <c r="K2862" s="31" t="n">
        <v>3392.99</v>
      </c>
      <c r="L2862" s="32" t="n">
        <v>6</v>
      </c>
      <c r="M2862" s="32" t="n">
        <v>72</v>
      </c>
      <c r="N2862" s="31" t="n">
        <v>7384.87</v>
      </c>
      <c r="O2862" s="31" t="n">
        <v>10777.86</v>
      </c>
      <c r="P2862" s="22" t="n">
        <v>0</v>
      </c>
      <c r="Q2862" s="22" t="n">
        <v>0</v>
      </c>
      <c r="R2862" s="22" t="n">
        <v>0</v>
      </c>
    </row>
    <row r="2863">
      <c r="A2863" s="22" t="n">
        <v>202012</v>
      </c>
      <c r="B2863" s="22" t="inlineStr">
        <is>
          <t>12/2020</t>
        </is>
      </c>
      <c r="C2863" s="22" t="n">
        <v>45</v>
      </c>
      <c r="D2863" s="22" t="inlineStr">
        <is>
          <t>S45</t>
        </is>
      </c>
      <c r="E2863" s="22" t="inlineStr">
        <is>
          <t>Nexa Connecticut (S45)</t>
        </is>
      </c>
      <c r="F2863" s="22" t="inlineStr">
        <is>
          <t>Mỹ</t>
        </is>
      </c>
      <c r="G2863" s="22" t="inlineStr">
        <is>
          <t>POS</t>
        </is>
      </c>
      <c r="H2863" s="31" t="n">
        <v>13813.09</v>
      </c>
      <c r="I2863" s="31" t="n">
        <v>136.1</v>
      </c>
      <c r="J2863" s="31" t="n">
        <v>13676.99</v>
      </c>
      <c r="K2863" s="31" t="n">
        <v>0</v>
      </c>
      <c r="L2863" s="32" t="n">
        <v>5</v>
      </c>
      <c r="M2863" s="32" t="n">
        <v>61</v>
      </c>
      <c r="N2863" s="31" t="n">
        <v>13676.99</v>
      </c>
      <c r="O2863" s="31" t="n">
        <v>13676.99</v>
      </c>
      <c r="P2863" s="22" t="n">
        <v>1</v>
      </c>
      <c r="Q2863" s="22" t="n">
        <v>0</v>
      </c>
      <c r="R2863" s="22" t="n">
        <v>0</v>
      </c>
    </row>
    <row r="2864">
      <c r="A2864" s="22" t="n">
        <v>202012</v>
      </c>
      <c r="B2864" s="22" t="inlineStr">
        <is>
          <t>12/2020</t>
        </is>
      </c>
      <c r="C2864" s="22" t="n">
        <v>47</v>
      </c>
      <c r="D2864" s="22" t="inlineStr">
        <is>
          <t>S47</t>
        </is>
      </c>
      <c r="E2864" s="22" t="inlineStr">
        <is>
          <t>Nexa Hawaii (S47)</t>
        </is>
      </c>
      <c r="F2864" s="22" t="inlineStr">
        <is>
          <t>Mỹ</t>
        </is>
      </c>
      <c r="G2864" s="22" t="inlineStr">
        <is>
          <t>POS</t>
        </is>
      </c>
      <c r="H2864" s="31" t="n">
        <v>24842.56</v>
      </c>
      <c r="I2864" s="31" t="n">
        <v>887.48</v>
      </c>
      <c r="J2864" s="31" t="n">
        <v>23955.08</v>
      </c>
      <c r="K2864" s="31" t="n">
        <v>1533</v>
      </c>
      <c r="L2864" s="32" t="n">
        <v>11</v>
      </c>
      <c r="M2864" s="32" t="n">
        <v>93</v>
      </c>
      <c r="N2864" s="31" t="n">
        <v>22422.08</v>
      </c>
      <c r="O2864" s="31" t="n">
        <v>23955.08</v>
      </c>
      <c r="P2864" s="22" t="n">
        <v>0</v>
      </c>
      <c r="Q2864" s="22" t="n">
        <v>0</v>
      </c>
      <c r="R2864" s="22" t="n">
        <v>0</v>
      </c>
    </row>
    <row r="2865">
      <c r="A2865" s="22" t="n">
        <v>202012</v>
      </c>
      <c r="B2865" s="22" t="inlineStr">
        <is>
          <t>12/2020</t>
        </is>
      </c>
      <c r="C2865" s="22" t="n">
        <v>48</v>
      </c>
      <c r="D2865" s="22" t="inlineStr">
        <is>
          <t>S48</t>
        </is>
      </c>
      <c r="E2865" s="22" t="inlineStr">
        <is>
          <t>Nexa Idaho (S48)</t>
        </is>
      </c>
      <c r="F2865" s="22" t="inlineStr">
        <is>
          <t>Mỹ</t>
        </is>
      </c>
      <c r="G2865" s="22" t="inlineStr">
        <is>
          <t>POS</t>
        </is>
      </c>
      <c r="H2865" s="31" t="n">
        <v>3458.48</v>
      </c>
      <c r="I2865" s="31" t="n">
        <v>5</v>
      </c>
      <c r="J2865" s="31" t="n">
        <v>3453.48</v>
      </c>
      <c r="K2865" s="31" t="n">
        <v>0</v>
      </c>
      <c r="L2865" s="32" t="n">
        <v>6</v>
      </c>
      <c r="M2865" s="32" t="n">
        <v>29</v>
      </c>
      <c r="N2865" s="31" t="n">
        <v>3453.48</v>
      </c>
      <c r="O2865" s="31" t="n">
        <v>3453.48</v>
      </c>
      <c r="P2865" s="22" t="n">
        <v>0</v>
      </c>
      <c r="Q2865" s="22" t="n">
        <v>0</v>
      </c>
      <c r="R2865" s="22" t="n">
        <v>0</v>
      </c>
    </row>
    <row r="2866">
      <c r="A2866" s="22" t="n">
        <v>202012</v>
      </c>
      <c r="B2866" s="22" t="inlineStr">
        <is>
          <t>12/2020</t>
        </is>
      </c>
      <c r="C2866" s="22" t="n">
        <v>49</v>
      </c>
      <c r="D2866" s="22" t="inlineStr">
        <is>
          <t>S49</t>
        </is>
      </c>
      <c r="E2866" s="22" t="inlineStr">
        <is>
          <t>Nexa Iowa (S49)</t>
        </is>
      </c>
      <c r="F2866" s="22" t="inlineStr">
        <is>
          <t>Mỹ</t>
        </is>
      </c>
      <c r="G2866" s="22" t="inlineStr">
        <is>
          <t>POS</t>
        </is>
      </c>
      <c r="H2866" s="31" t="n">
        <v>16390.72</v>
      </c>
      <c r="I2866" s="31" t="n">
        <v>700.01</v>
      </c>
      <c r="J2866" s="31" t="n">
        <v>15690.71</v>
      </c>
      <c r="K2866" s="31" t="n">
        <v>0</v>
      </c>
      <c r="L2866" s="32" t="n">
        <v>9</v>
      </c>
      <c r="M2866" s="32" t="n">
        <v>67</v>
      </c>
      <c r="N2866" s="31" t="n">
        <v>15690.71</v>
      </c>
      <c r="O2866" s="31" t="n">
        <v>15690.71</v>
      </c>
      <c r="P2866" s="22" t="n">
        <v>0</v>
      </c>
      <c r="Q2866" s="22" t="n">
        <v>0</v>
      </c>
      <c r="R2866" s="22" t="n">
        <v>0</v>
      </c>
    </row>
    <row r="2867">
      <c r="A2867" s="22" t="n">
        <v>202012</v>
      </c>
      <c r="B2867" s="22" t="inlineStr">
        <is>
          <t>12/2020</t>
        </is>
      </c>
      <c r="C2867" s="22" t="n">
        <v>50</v>
      </c>
      <c r="D2867" s="22" t="inlineStr">
        <is>
          <t>S50</t>
        </is>
      </c>
      <c r="E2867" s="22" t="inlineStr">
        <is>
          <t>Nexa Kansas (S50)</t>
        </is>
      </c>
      <c r="F2867" s="22" t="inlineStr">
        <is>
          <t>Mỹ</t>
        </is>
      </c>
      <c r="G2867" s="22" t="inlineStr">
        <is>
          <t>POS</t>
        </is>
      </c>
      <c r="H2867" s="31" t="n">
        <v>16959.6</v>
      </c>
      <c r="I2867" s="31" t="n">
        <v>1577.76</v>
      </c>
      <c r="J2867" s="31" t="n">
        <v>15381.84</v>
      </c>
      <c r="K2867" s="31" t="n">
        <v>315.14</v>
      </c>
      <c r="L2867" s="32" t="n">
        <v>5</v>
      </c>
      <c r="M2867" s="32" t="n">
        <v>36</v>
      </c>
      <c r="N2867" s="31" t="n">
        <v>15066.7</v>
      </c>
      <c r="O2867" s="31" t="n">
        <v>15381.84</v>
      </c>
      <c r="P2867" s="22" t="n">
        <v>0</v>
      </c>
      <c r="Q2867" s="22" t="n">
        <v>0</v>
      </c>
      <c r="R2867" s="22" t="n">
        <v>0</v>
      </c>
    </row>
    <row r="2868">
      <c r="A2868" s="22" t="n">
        <v>202012</v>
      </c>
      <c r="B2868" s="22" t="inlineStr">
        <is>
          <t>12/2020</t>
        </is>
      </c>
      <c r="C2868" s="22" t="n">
        <v>51</v>
      </c>
      <c r="D2868" s="22" t="inlineStr">
        <is>
          <t>S51</t>
        </is>
      </c>
      <c r="E2868" s="22" t="inlineStr">
        <is>
          <t>Nexa Maine (S51)</t>
        </is>
      </c>
      <c r="F2868" s="22" t="inlineStr">
        <is>
          <t>Mỹ</t>
        </is>
      </c>
      <c r="G2868" s="22" t="inlineStr">
        <is>
          <t>POS</t>
        </is>
      </c>
      <c r="H2868" s="31" t="n">
        <v>17475.74</v>
      </c>
      <c r="I2868" s="31" t="n">
        <v>573.4</v>
      </c>
      <c r="J2868" s="31" t="n">
        <v>16902.34</v>
      </c>
      <c r="K2868" s="31" t="n">
        <v>0</v>
      </c>
      <c r="L2868" s="32" t="n">
        <v>9</v>
      </c>
      <c r="M2868" s="32" t="n">
        <v>75</v>
      </c>
      <c r="N2868" s="31" t="n">
        <v>16902.34</v>
      </c>
      <c r="O2868" s="31" t="n">
        <v>16902.34</v>
      </c>
      <c r="P2868" s="22" t="n">
        <v>2</v>
      </c>
      <c r="Q2868" s="22" t="n">
        <v>0</v>
      </c>
      <c r="R2868" s="22" t="n">
        <v>0</v>
      </c>
    </row>
    <row r="2869">
      <c r="A2869" s="22" t="n">
        <v>202012</v>
      </c>
      <c r="B2869" s="22" t="inlineStr">
        <is>
          <t>12/2020</t>
        </is>
      </c>
      <c r="C2869" s="22" t="n">
        <v>53</v>
      </c>
      <c r="D2869" s="22" t="inlineStr">
        <is>
          <t>S53</t>
        </is>
      </c>
      <c r="E2869" s="22" t="inlineStr">
        <is>
          <t>Nexa Montana (S53)</t>
        </is>
      </c>
      <c r="F2869" s="22" t="inlineStr">
        <is>
          <t>Mỹ</t>
        </is>
      </c>
      <c r="G2869" s="22" t="inlineStr">
        <is>
          <t>POS</t>
        </is>
      </c>
      <c r="H2869" s="31" t="n">
        <v>27498.2</v>
      </c>
      <c r="I2869" s="31" t="n">
        <v>189.2</v>
      </c>
      <c r="J2869" s="31" t="n">
        <v>27309</v>
      </c>
      <c r="K2869" s="31" t="n">
        <v>0</v>
      </c>
      <c r="L2869" s="32" t="n">
        <v>9</v>
      </c>
      <c r="M2869" s="32" t="n">
        <v>65</v>
      </c>
      <c r="N2869" s="31" t="n">
        <v>27309</v>
      </c>
      <c r="O2869" s="31" t="n">
        <v>27309</v>
      </c>
      <c r="P2869" s="22" t="n">
        <v>1</v>
      </c>
      <c r="Q2869" s="22" t="n">
        <v>0</v>
      </c>
      <c r="R2869" s="22" t="n">
        <v>0</v>
      </c>
    </row>
    <row r="2870">
      <c r="A2870" s="22" t="n">
        <v>202012</v>
      </c>
      <c r="B2870" s="22" t="inlineStr">
        <is>
          <t>12/2020</t>
        </is>
      </c>
      <c r="C2870" s="22" t="n">
        <v>54</v>
      </c>
      <c r="D2870" s="22" t="inlineStr">
        <is>
          <t>S54</t>
        </is>
      </c>
      <c r="E2870" s="22" t="inlineStr">
        <is>
          <t>Nexa Nebraska (S54)</t>
        </is>
      </c>
      <c r="F2870" s="22" t="inlineStr">
        <is>
          <t>Mỹ</t>
        </is>
      </c>
      <c r="G2870" s="22" t="inlineStr">
        <is>
          <t>POS</t>
        </is>
      </c>
      <c r="H2870" s="31" t="n">
        <v>35094.88</v>
      </c>
      <c r="I2870" s="31" t="n">
        <v>746.95</v>
      </c>
      <c r="J2870" s="31" t="n">
        <v>34347.93</v>
      </c>
      <c r="K2870" s="31" t="n">
        <v>67.40000000000001</v>
      </c>
      <c r="L2870" s="32" t="n">
        <v>11</v>
      </c>
      <c r="M2870" s="32" t="n">
        <v>117</v>
      </c>
      <c r="N2870" s="31" t="n">
        <v>34280.53</v>
      </c>
      <c r="O2870" s="31" t="n">
        <v>34347.93</v>
      </c>
      <c r="P2870" s="22" t="n">
        <v>0</v>
      </c>
      <c r="Q2870" s="22" t="n">
        <v>0</v>
      </c>
      <c r="R2870" s="22" t="n">
        <v>0</v>
      </c>
    </row>
    <row r="2871">
      <c r="A2871" s="22" t="n">
        <v>202012</v>
      </c>
      <c r="B2871" s="22" t="inlineStr">
        <is>
          <t>12/2020</t>
        </is>
      </c>
      <c r="C2871" s="22" t="n">
        <v>55</v>
      </c>
      <c r="D2871" s="22" t="inlineStr">
        <is>
          <t>S55</t>
        </is>
      </c>
      <c r="E2871" s="22" t="inlineStr">
        <is>
          <t>Nexa Nevada (S55)</t>
        </is>
      </c>
      <c r="F2871" s="22" t="inlineStr">
        <is>
          <t>Mỹ</t>
        </is>
      </c>
      <c r="G2871" s="22" t="inlineStr">
        <is>
          <t>POS</t>
        </is>
      </c>
      <c r="H2871" s="31" t="n">
        <v>5398.79</v>
      </c>
      <c r="I2871" s="31" t="n">
        <v>0</v>
      </c>
      <c r="J2871" s="31" t="n">
        <v>5398.79</v>
      </c>
      <c r="K2871" s="31" t="n">
        <v>0</v>
      </c>
      <c r="L2871" s="32" t="n">
        <v>3</v>
      </c>
      <c r="M2871" s="32" t="n">
        <v>35</v>
      </c>
      <c r="N2871" s="31" t="n">
        <v>5398.79</v>
      </c>
      <c r="O2871" s="31" t="n">
        <v>5398.79</v>
      </c>
      <c r="P2871" s="22" t="n">
        <v>1</v>
      </c>
      <c r="Q2871" s="22" t="n">
        <v>0</v>
      </c>
      <c r="R2871" s="22" t="n">
        <v>0</v>
      </c>
    </row>
    <row r="2872">
      <c r="A2872" s="22" t="n">
        <v>202012</v>
      </c>
      <c r="B2872" s="22" t="inlineStr">
        <is>
          <t>12/2020</t>
        </is>
      </c>
      <c r="C2872" s="22" t="n">
        <v>56</v>
      </c>
      <c r="D2872" s="22" t="inlineStr">
        <is>
          <t>S56</t>
        </is>
      </c>
      <c r="E2872" s="22" t="inlineStr">
        <is>
          <t>Nexa New Hampshire (S56)</t>
        </is>
      </c>
      <c r="F2872" s="22" t="inlineStr">
        <is>
          <t>Mỹ</t>
        </is>
      </c>
      <c r="G2872" s="22" t="inlineStr">
        <is>
          <t>POS</t>
        </is>
      </c>
      <c r="H2872" s="31" t="n">
        <v>10887.68</v>
      </c>
      <c r="I2872" s="31" t="n">
        <v>795.75</v>
      </c>
      <c r="J2872" s="31" t="n">
        <v>10091.93</v>
      </c>
      <c r="K2872" s="31" t="n">
        <v>0</v>
      </c>
      <c r="L2872" s="32" t="n">
        <v>5</v>
      </c>
      <c r="M2872" s="32" t="n">
        <v>52</v>
      </c>
      <c r="N2872" s="31" t="n">
        <v>10091.93</v>
      </c>
      <c r="O2872" s="31" t="n">
        <v>10091.93</v>
      </c>
      <c r="P2872" s="22" t="n">
        <v>1</v>
      </c>
      <c r="Q2872" s="22" t="n">
        <v>0</v>
      </c>
      <c r="R2872" s="22" t="n">
        <v>0</v>
      </c>
    </row>
    <row r="2873">
      <c r="A2873" s="22" t="n">
        <v>202012</v>
      </c>
      <c r="B2873" s="22" t="inlineStr">
        <is>
          <t>12/2020</t>
        </is>
      </c>
      <c r="C2873" s="22" t="n">
        <v>57</v>
      </c>
      <c r="D2873" s="22" t="inlineStr">
        <is>
          <t>S57</t>
        </is>
      </c>
      <c r="E2873" s="22" t="inlineStr">
        <is>
          <t>Nexa New Mexico (S57)</t>
        </is>
      </c>
      <c r="F2873" s="22" t="inlineStr">
        <is>
          <t>Mỹ</t>
        </is>
      </c>
      <c r="G2873" s="22" t="inlineStr">
        <is>
          <t>POS</t>
        </is>
      </c>
      <c r="H2873" s="31" t="n">
        <v>6201.54</v>
      </c>
      <c r="I2873" s="31" t="n">
        <v>384.2</v>
      </c>
      <c r="J2873" s="31" t="n">
        <v>5817.34</v>
      </c>
      <c r="K2873" s="31" t="n">
        <v>0</v>
      </c>
      <c r="L2873" s="32" t="n">
        <v>10</v>
      </c>
      <c r="M2873" s="32" t="n">
        <v>37</v>
      </c>
      <c r="N2873" s="31" t="n">
        <v>5817.34</v>
      </c>
      <c r="O2873" s="31" t="n">
        <v>5817.34</v>
      </c>
      <c r="P2873" s="22" t="n">
        <v>0</v>
      </c>
      <c r="Q2873" s="22" t="n">
        <v>0</v>
      </c>
      <c r="R2873" s="22" t="n">
        <v>0</v>
      </c>
    </row>
    <row r="2874">
      <c r="A2874" s="22" t="n">
        <v>202012</v>
      </c>
      <c r="B2874" s="22" t="inlineStr">
        <is>
          <t>12/2020</t>
        </is>
      </c>
      <c r="C2874" s="22" t="n">
        <v>59</v>
      </c>
      <c r="D2874" s="22" t="inlineStr">
        <is>
          <t>S59</t>
        </is>
      </c>
      <c r="E2874" s="22" t="inlineStr">
        <is>
          <t>Nexa Oregon (S59)</t>
        </is>
      </c>
      <c r="F2874" s="22" t="inlineStr">
        <is>
          <t>Mỹ</t>
        </is>
      </c>
      <c r="G2874" s="22" t="inlineStr">
        <is>
          <t>POS</t>
        </is>
      </c>
      <c r="H2874" s="31" t="n">
        <v>7176.88</v>
      </c>
      <c r="I2874" s="31" t="n">
        <v>167.4</v>
      </c>
      <c r="J2874" s="31" t="n">
        <v>7009.48</v>
      </c>
      <c r="K2874" s="31" t="n">
        <v>0</v>
      </c>
      <c r="L2874" s="32" t="n">
        <v>5</v>
      </c>
      <c r="M2874" s="32" t="n">
        <v>32</v>
      </c>
      <c r="N2874" s="31" t="n">
        <v>7009.48</v>
      </c>
      <c r="O2874" s="31" t="n">
        <v>7009.48</v>
      </c>
      <c r="P2874" s="22" t="n">
        <v>0</v>
      </c>
      <c r="Q2874" s="22" t="n">
        <v>0</v>
      </c>
      <c r="R2874" s="22" t="n">
        <v>0</v>
      </c>
    </row>
    <row r="2875">
      <c r="A2875" s="22" t="n">
        <v>202012</v>
      </c>
      <c r="B2875" s="22" t="inlineStr">
        <is>
          <t>12/2020</t>
        </is>
      </c>
      <c r="C2875" s="22" t="n">
        <v>61</v>
      </c>
      <c r="D2875" s="22" t="inlineStr">
        <is>
          <t>S61</t>
        </is>
      </c>
      <c r="E2875" s="22" t="inlineStr">
        <is>
          <t>Nexa South Carolina (S61)</t>
        </is>
      </c>
      <c r="F2875" s="22" t="inlineStr">
        <is>
          <t>Mỹ</t>
        </is>
      </c>
      <c r="G2875" s="22" t="inlineStr">
        <is>
          <t>POS</t>
        </is>
      </c>
      <c r="H2875" s="31" t="n">
        <v>4006.58</v>
      </c>
      <c r="I2875" s="31" t="n">
        <v>167.49</v>
      </c>
      <c r="J2875" s="31" t="n">
        <v>3839.09</v>
      </c>
      <c r="K2875" s="31" t="n">
        <v>0</v>
      </c>
      <c r="L2875" s="32" t="n">
        <v>6</v>
      </c>
      <c r="M2875" s="32" t="n">
        <v>25</v>
      </c>
      <c r="N2875" s="31" t="n">
        <v>3839.09</v>
      </c>
      <c r="O2875" s="31" t="n">
        <v>3839.09</v>
      </c>
      <c r="P2875" s="22" t="n">
        <v>0</v>
      </c>
      <c r="Q2875" s="22" t="n">
        <v>0</v>
      </c>
      <c r="R2875" s="22" t="n">
        <v>0</v>
      </c>
    </row>
    <row r="2876">
      <c r="A2876" s="22" t="n">
        <v>202012</v>
      </c>
      <c r="B2876" s="22" t="inlineStr">
        <is>
          <t>12/2020</t>
        </is>
      </c>
      <c r="C2876" s="22" t="n">
        <v>62</v>
      </c>
      <c r="D2876" s="22" t="inlineStr">
        <is>
          <t>S62</t>
        </is>
      </c>
      <c r="E2876" s="22" t="inlineStr">
        <is>
          <t>Nexa South Dakota (S62)</t>
        </is>
      </c>
      <c r="F2876" s="22" t="inlineStr">
        <is>
          <t>Mỹ</t>
        </is>
      </c>
      <c r="G2876" s="22" t="inlineStr">
        <is>
          <t>POS</t>
        </is>
      </c>
      <c r="H2876" s="31" t="n">
        <v>6402.13</v>
      </c>
      <c r="I2876" s="31" t="n">
        <v>83.98</v>
      </c>
      <c r="J2876" s="31" t="n">
        <v>6318.15</v>
      </c>
      <c r="K2876" s="31" t="n">
        <v>126.23</v>
      </c>
      <c r="L2876" s="32" t="n">
        <v>7</v>
      </c>
      <c r="M2876" s="32" t="n">
        <v>42</v>
      </c>
      <c r="N2876" s="31" t="n">
        <v>6278.89</v>
      </c>
      <c r="O2876" s="31" t="n">
        <v>6318.15</v>
      </c>
      <c r="P2876" s="22" t="n">
        <v>1</v>
      </c>
      <c r="Q2876" s="22" t="n">
        <v>0</v>
      </c>
      <c r="R2876" s="22" t="n">
        <v>0</v>
      </c>
    </row>
    <row r="2877">
      <c r="A2877" s="22" t="n">
        <v>202012</v>
      </c>
      <c r="B2877" s="22" t="inlineStr">
        <is>
          <t>12/2020</t>
        </is>
      </c>
      <c r="C2877" s="22" t="n">
        <v>64</v>
      </c>
      <c r="D2877" s="22" t="inlineStr">
        <is>
          <t>S64</t>
        </is>
      </c>
      <c r="E2877" s="22" t="inlineStr">
        <is>
          <t>Nexa Washington DC (S64)</t>
        </is>
      </c>
      <c r="F2877" s="22" t="inlineStr">
        <is>
          <t>Mỹ</t>
        </is>
      </c>
      <c r="G2877" s="22" t="inlineStr">
        <is>
          <t>POS</t>
        </is>
      </c>
      <c r="H2877" s="31" t="n">
        <v>12245.07</v>
      </c>
      <c r="I2877" s="31" t="n">
        <v>98.39</v>
      </c>
      <c r="J2877" s="31" t="n">
        <v>12146.68</v>
      </c>
      <c r="K2877" s="31" t="n">
        <v>302.94</v>
      </c>
      <c r="L2877" s="32" t="n">
        <v>7</v>
      </c>
      <c r="M2877" s="32" t="n">
        <v>43</v>
      </c>
      <c r="N2877" s="31" t="n">
        <v>11891.69</v>
      </c>
      <c r="O2877" s="31" t="n">
        <v>12146.68</v>
      </c>
      <c r="P2877" s="22" t="n">
        <v>0</v>
      </c>
      <c r="Q2877" s="22" t="n">
        <v>0</v>
      </c>
      <c r="R2877" s="22" t="n">
        <v>0</v>
      </c>
    </row>
    <row r="2878">
      <c r="A2878" s="22" t="n">
        <v>202012</v>
      </c>
      <c r="B2878" s="22" t="inlineStr">
        <is>
          <t>12/2020</t>
        </is>
      </c>
      <c r="C2878" s="22" t="n">
        <v>65</v>
      </c>
      <c r="D2878" s="22" t="inlineStr">
        <is>
          <t>S65</t>
        </is>
      </c>
      <c r="E2878" s="22" t="inlineStr">
        <is>
          <t>Nexa West Virginia (S65)</t>
        </is>
      </c>
      <c r="F2878" s="22" t="inlineStr">
        <is>
          <t>Mỹ</t>
        </is>
      </c>
      <c r="G2878" s="22" t="inlineStr">
        <is>
          <t>POS</t>
        </is>
      </c>
      <c r="H2878" s="31" t="n">
        <v>13082.58</v>
      </c>
      <c r="I2878" s="31" t="n">
        <v>657.92</v>
      </c>
      <c r="J2878" s="31" t="n">
        <v>12424.66</v>
      </c>
      <c r="K2878" s="31" t="n">
        <v>388.97</v>
      </c>
      <c r="L2878" s="32" t="n">
        <v>9</v>
      </c>
      <c r="M2878" s="32" t="n">
        <v>75</v>
      </c>
      <c r="N2878" s="31" t="n">
        <v>12035.69</v>
      </c>
      <c r="O2878" s="31" t="n">
        <v>12424.66</v>
      </c>
      <c r="P2878" s="22" t="n">
        <v>1</v>
      </c>
      <c r="Q2878" s="22" t="n">
        <v>0</v>
      </c>
      <c r="R2878" s="22" t="n">
        <v>0</v>
      </c>
    </row>
    <row r="2879">
      <c r="A2879" s="22" t="n">
        <v>202012</v>
      </c>
      <c r="B2879" s="22" t="inlineStr">
        <is>
          <t>12/2020</t>
        </is>
      </c>
      <c r="C2879" s="22" t="n">
        <v>66</v>
      </c>
      <c r="D2879" s="22" t="inlineStr">
        <is>
          <t>S66</t>
        </is>
      </c>
      <c r="E2879" s="22" t="inlineStr">
        <is>
          <t>Nexa Wyoming (S66)</t>
        </is>
      </c>
      <c r="F2879" s="22" t="inlineStr">
        <is>
          <t>Mỹ</t>
        </is>
      </c>
      <c r="G2879" s="22" t="inlineStr">
        <is>
          <t>POS</t>
        </is>
      </c>
      <c r="H2879" s="31" t="n">
        <v>4718.02</v>
      </c>
      <c r="I2879" s="31" t="n">
        <v>471.8</v>
      </c>
      <c r="J2879" s="31" t="n">
        <v>4246.22</v>
      </c>
      <c r="K2879" s="31" t="n">
        <v>0</v>
      </c>
      <c r="L2879" s="32" t="n">
        <v>2</v>
      </c>
      <c r="M2879" s="32" t="n">
        <v>20</v>
      </c>
      <c r="N2879" s="31" t="n">
        <v>4246.22</v>
      </c>
      <c r="O2879" s="31" t="n">
        <v>4246.22</v>
      </c>
      <c r="P2879" s="22" t="n">
        <v>0</v>
      </c>
      <c r="Q2879" s="22" t="n">
        <v>0</v>
      </c>
      <c r="R2879" s="22" t="n">
        <v>0</v>
      </c>
    </row>
    <row r="2880">
      <c r="A2880" s="22" t="n">
        <v>202101</v>
      </c>
      <c r="B2880" s="22" t="inlineStr">
        <is>
          <t>01/2021</t>
        </is>
      </c>
      <c r="C2880" s="22" t="n">
        <v>0</v>
      </c>
      <c r="D2880" s="22" t="inlineStr">
        <is>
          <t>ONL</t>
        </is>
      </c>
      <c r="E2880" s="22" t="inlineStr">
        <is>
          <t>Nexa Online (website/app)</t>
        </is>
      </c>
      <c r="F2880" s="22" t="inlineStr">
        <is>
          <t>Online</t>
        </is>
      </c>
      <c r="G2880" s="22" t="inlineStr">
        <is>
          <t>ONLINE</t>
        </is>
      </c>
      <c r="H2880" s="31" t="n">
        <v>144595.56</v>
      </c>
      <c r="I2880" s="31" t="n">
        <v>4159.06</v>
      </c>
      <c r="J2880" s="31" t="n">
        <v>140436.5</v>
      </c>
      <c r="K2880" s="31" t="n">
        <v>1086.21</v>
      </c>
      <c r="L2880" s="32" t="n">
        <v>66</v>
      </c>
      <c r="M2880" s="32" t="n">
        <v>470</v>
      </c>
      <c r="N2880" s="31" t="n">
        <v>142114.97</v>
      </c>
      <c r="O2880" s="31" t="n">
        <v>143201.18</v>
      </c>
      <c r="P2880" s="22" t="n">
        <v>2</v>
      </c>
      <c r="Q2880" s="22" t="n">
        <v>0</v>
      </c>
      <c r="R2880" s="22" t="n">
        <v>1</v>
      </c>
    </row>
    <row r="2881">
      <c r="A2881" s="22" t="n">
        <v>202101</v>
      </c>
      <c r="B2881" s="22" t="inlineStr">
        <is>
          <t>01/2021</t>
        </is>
      </c>
      <c r="C2881" s="22" t="n">
        <v>4</v>
      </c>
      <c r="D2881" s="22" t="inlineStr">
        <is>
          <t>S04</t>
        </is>
      </c>
      <c r="E2881" s="22" t="inlineStr">
        <is>
          <t>Nexa Tasmania (S04)</t>
        </is>
      </c>
      <c r="F2881" s="22" t="inlineStr">
        <is>
          <t>Úc</t>
        </is>
      </c>
      <c r="G2881" s="22" t="inlineStr">
        <is>
          <t>POS</t>
        </is>
      </c>
      <c r="H2881" s="31" t="n">
        <v>3354</v>
      </c>
      <c r="I2881" s="31" t="n">
        <v>27.8</v>
      </c>
      <c r="J2881" s="31" t="n">
        <v>3326.2</v>
      </c>
      <c r="K2881" s="31" t="n">
        <v>0</v>
      </c>
      <c r="L2881" s="32" t="n">
        <v>2</v>
      </c>
      <c r="M2881" s="32" t="n">
        <v>7</v>
      </c>
      <c r="N2881" s="31" t="n">
        <v>3326.2</v>
      </c>
      <c r="O2881" s="31" t="n">
        <v>3326.2</v>
      </c>
      <c r="P2881" s="22" t="n">
        <v>0</v>
      </c>
      <c r="Q2881" s="22" t="n">
        <v>0</v>
      </c>
      <c r="R2881" s="22" t="n">
        <v>0</v>
      </c>
    </row>
    <row r="2882">
      <c r="A2882" s="22" t="n">
        <v>202101</v>
      </c>
      <c r="B2882" s="22" t="inlineStr">
        <is>
          <t>01/2021</t>
        </is>
      </c>
      <c r="C2882" s="22" t="n">
        <v>5</v>
      </c>
      <c r="D2882" s="22" t="inlineStr">
        <is>
          <t>S05</t>
        </is>
      </c>
      <c r="E2882" s="22" t="inlineStr">
        <is>
          <t>Nexa Victoria (S05)</t>
        </is>
      </c>
      <c r="F2882" s="22" t="inlineStr">
        <is>
          <t>Úc</t>
        </is>
      </c>
      <c r="G2882" s="22" t="inlineStr">
        <is>
          <t>POS</t>
        </is>
      </c>
      <c r="H2882" s="31" t="n">
        <v>7465.7</v>
      </c>
      <c r="I2882" s="31" t="n">
        <v>99.87</v>
      </c>
      <c r="J2882" s="31" t="n">
        <v>7365.83</v>
      </c>
      <c r="K2882" s="31" t="n">
        <v>0</v>
      </c>
      <c r="L2882" s="32" t="n">
        <v>7</v>
      </c>
      <c r="M2882" s="32" t="n">
        <v>38</v>
      </c>
      <c r="N2882" s="31" t="n">
        <v>7365.83</v>
      </c>
      <c r="O2882" s="31" t="n">
        <v>7365.83</v>
      </c>
      <c r="P2882" s="22" t="n">
        <v>0</v>
      </c>
      <c r="Q2882" s="22" t="n">
        <v>0</v>
      </c>
      <c r="R2882" s="22" t="n">
        <v>0</v>
      </c>
    </row>
    <row r="2883">
      <c r="A2883" s="22" t="n">
        <v>202101</v>
      </c>
      <c r="B2883" s="22" t="inlineStr">
        <is>
          <t>01/2021</t>
        </is>
      </c>
      <c r="C2883" s="22" t="n">
        <v>6</v>
      </c>
      <c r="D2883" s="22" t="inlineStr">
        <is>
          <t>S06</t>
        </is>
      </c>
      <c r="E2883" s="22" t="inlineStr">
        <is>
          <t>Nexa Western Australia (S06)</t>
        </is>
      </c>
      <c r="F2883" s="22" t="inlineStr">
        <is>
          <t>Úc</t>
        </is>
      </c>
      <c r="G2883" s="22" t="inlineStr">
        <is>
          <t>POS</t>
        </is>
      </c>
      <c r="H2883" s="31" t="n">
        <v>1496.83</v>
      </c>
      <c r="I2883" s="31" t="n">
        <v>0</v>
      </c>
      <c r="J2883" s="31" t="n">
        <v>1496.83</v>
      </c>
      <c r="K2883" s="31" t="n">
        <v>369</v>
      </c>
      <c r="L2883" s="32" t="n">
        <v>1</v>
      </c>
      <c r="M2883" s="32" t="n">
        <v>16</v>
      </c>
      <c r="N2883" s="31" t="n">
        <v>1127.83</v>
      </c>
      <c r="O2883" s="31" t="n">
        <v>1496.83</v>
      </c>
      <c r="P2883" s="22" t="n">
        <v>0</v>
      </c>
      <c r="Q2883" s="22" t="n">
        <v>0</v>
      </c>
      <c r="R2883" s="22" t="n">
        <v>0</v>
      </c>
    </row>
    <row r="2884">
      <c r="A2884" s="22" t="n">
        <v>202101</v>
      </c>
      <c r="B2884" s="22" t="inlineStr">
        <is>
          <t>01/2021</t>
        </is>
      </c>
      <c r="C2884" s="22" t="n">
        <v>8</v>
      </c>
      <c r="D2884" s="22" t="inlineStr">
        <is>
          <t>S08</t>
        </is>
      </c>
      <c r="E2884" s="22" t="inlineStr">
        <is>
          <t>Nexa Newfoundland and Labrador (S08)</t>
        </is>
      </c>
      <c r="F2884" s="22" t="inlineStr">
        <is>
          <t>Canada</t>
        </is>
      </c>
      <c r="G2884" s="22" t="inlineStr">
        <is>
          <t>POS</t>
        </is>
      </c>
      <c r="H2884" s="31" t="n">
        <v>18822.32</v>
      </c>
      <c r="I2884" s="31" t="n">
        <v>491.7</v>
      </c>
      <c r="J2884" s="31" t="n">
        <v>18330.62</v>
      </c>
      <c r="K2884" s="31" t="n">
        <v>432</v>
      </c>
      <c r="L2884" s="32" t="n">
        <v>6</v>
      </c>
      <c r="M2884" s="32" t="n">
        <v>70</v>
      </c>
      <c r="N2884" s="31" t="n">
        <v>17898.62</v>
      </c>
      <c r="O2884" s="31" t="n">
        <v>18330.62</v>
      </c>
      <c r="P2884" s="22" t="n">
        <v>0</v>
      </c>
      <c r="Q2884" s="22" t="n">
        <v>0</v>
      </c>
      <c r="R2884" s="22" t="n">
        <v>0</v>
      </c>
    </row>
    <row r="2885">
      <c r="A2885" s="22" t="n">
        <v>202101</v>
      </c>
      <c r="B2885" s="22" t="inlineStr">
        <is>
          <t>01/2021</t>
        </is>
      </c>
      <c r="C2885" s="22" t="n">
        <v>9</v>
      </c>
      <c r="D2885" s="22" t="inlineStr">
        <is>
          <t>S09</t>
        </is>
      </c>
      <c r="E2885" s="22" t="inlineStr">
        <is>
          <t>Nexa Northwest Territories (S09)</t>
        </is>
      </c>
      <c r="F2885" s="22" t="inlineStr">
        <is>
          <t>Canada</t>
        </is>
      </c>
      <c r="G2885" s="22" t="inlineStr">
        <is>
          <t>POS</t>
        </is>
      </c>
      <c r="H2885" s="31" t="n">
        <v>11543.4</v>
      </c>
      <c r="I2885" s="31" t="n">
        <v>66.05</v>
      </c>
      <c r="J2885" s="31" t="n">
        <v>11477.35</v>
      </c>
      <c r="K2885" s="31" t="n">
        <v>0</v>
      </c>
      <c r="L2885" s="32" t="n">
        <v>8</v>
      </c>
      <c r="M2885" s="32" t="n">
        <v>41</v>
      </c>
      <c r="N2885" s="31" t="n">
        <v>11477.35</v>
      </c>
      <c r="O2885" s="31" t="n">
        <v>11477.35</v>
      </c>
      <c r="P2885" s="22" t="n">
        <v>1</v>
      </c>
      <c r="Q2885" s="22" t="n">
        <v>0</v>
      </c>
      <c r="R2885" s="22" t="n">
        <v>1</v>
      </c>
    </row>
    <row r="2886">
      <c r="A2886" s="22" t="n">
        <v>202101</v>
      </c>
      <c r="B2886" s="22" t="inlineStr">
        <is>
          <t>01/2021</t>
        </is>
      </c>
      <c r="C2886" s="22" t="n">
        <v>10</v>
      </c>
      <c r="D2886" s="22" t="inlineStr">
        <is>
          <t>S10</t>
        </is>
      </c>
      <c r="E2886" s="22" t="inlineStr">
        <is>
          <t>Nexa Nunavut (S10)</t>
        </is>
      </c>
      <c r="F2886" s="22" t="inlineStr">
        <is>
          <t>Canada</t>
        </is>
      </c>
      <c r="G2886" s="22" t="inlineStr">
        <is>
          <t>POS</t>
        </is>
      </c>
      <c r="H2886" s="31" t="n">
        <v>4860.9</v>
      </c>
      <c r="I2886" s="31" t="n">
        <v>146.06</v>
      </c>
      <c r="J2886" s="31" t="n">
        <v>4714.84</v>
      </c>
      <c r="K2886" s="31" t="n">
        <v>0</v>
      </c>
      <c r="L2886" s="32" t="n">
        <v>3</v>
      </c>
      <c r="M2886" s="32" t="n">
        <v>22</v>
      </c>
      <c r="N2886" s="31" t="n">
        <v>4714.84</v>
      </c>
      <c r="O2886" s="31" t="n">
        <v>4714.84</v>
      </c>
      <c r="P2886" s="22" t="n">
        <v>0</v>
      </c>
      <c r="Q2886" s="22" t="n">
        <v>0</v>
      </c>
      <c r="R2886" s="22" t="n">
        <v>0</v>
      </c>
    </row>
    <row r="2887">
      <c r="A2887" s="22" t="n">
        <v>202101</v>
      </c>
      <c r="B2887" s="22" t="inlineStr">
        <is>
          <t>01/2021</t>
        </is>
      </c>
      <c r="C2887" s="22" t="n">
        <v>12</v>
      </c>
      <c r="D2887" s="22" t="inlineStr">
        <is>
          <t>S12</t>
        </is>
      </c>
      <c r="E2887" s="22" t="inlineStr">
        <is>
          <t>Nexa Basse-Normandie (S12)</t>
        </is>
      </c>
      <c r="F2887" s="22" t="inlineStr">
        <is>
          <t>Pháp</t>
        </is>
      </c>
      <c r="G2887" s="22" t="inlineStr">
        <is>
          <t>POS</t>
        </is>
      </c>
      <c r="H2887" s="31" t="n">
        <v>876</v>
      </c>
      <c r="I2887" s="31" t="n">
        <v>0</v>
      </c>
      <c r="J2887" s="31" t="n">
        <v>876</v>
      </c>
      <c r="K2887" s="31" t="n">
        <v>345</v>
      </c>
      <c r="L2887" s="32" t="n">
        <v>1</v>
      </c>
      <c r="M2887" s="32" t="n">
        <v>4</v>
      </c>
      <c r="N2887" s="31" t="n">
        <v>531</v>
      </c>
      <c r="O2887" s="31" t="n">
        <v>876</v>
      </c>
      <c r="P2887" s="22" t="n">
        <v>0</v>
      </c>
      <c r="Q2887" s="22" t="n">
        <v>0</v>
      </c>
      <c r="R2887" s="22" t="n">
        <v>0</v>
      </c>
    </row>
    <row r="2888">
      <c r="A2888" s="22" t="n">
        <v>202101</v>
      </c>
      <c r="B2888" s="22" t="inlineStr">
        <is>
          <t>01/2021</t>
        </is>
      </c>
      <c r="C2888" s="22" t="n">
        <v>13</v>
      </c>
      <c r="D2888" s="22" t="inlineStr">
        <is>
          <t>S13</t>
        </is>
      </c>
      <c r="E2888" s="22" t="inlineStr">
        <is>
          <t>Nexa Corse (S13)</t>
        </is>
      </c>
      <c r="F2888" s="22" t="inlineStr">
        <is>
          <t>Pháp</t>
        </is>
      </c>
      <c r="G2888" s="22" t="inlineStr">
        <is>
          <t>POS</t>
        </is>
      </c>
      <c r="H2888" s="31" t="n">
        <v>1407.73</v>
      </c>
      <c r="I2888" s="31" t="n">
        <v>69.36</v>
      </c>
      <c r="J2888" s="31" t="n">
        <v>1338.37</v>
      </c>
      <c r="K2888" s="31" t="n">
        <v>0</v>
      </c>
      <c r="L2888" s="32" t="n">
        <v>3</v>
      </c>
      <c r="M2888" s="32" t="n">
        <v>13</v>
      </c>
      <c r="N2888" s="31" t="n">
        <v>1338.37</v>
      </c>
      <c r="O2888" s="31" t="n">
        <v>1338.37</v>
      </c>
      <c r="P2888" s="22" t="n">
        <v>0</v>
      </c>
      <c r="Q2888" s="22" t="n">
        <v>0</v>
      </c>
      <c r="R2888" s="22" t="n">
        <v>0</v>
      </c>
    </row>
    <row r="2889">
      <c r="A2889" s="22" t="n">
        <v>202101</v>
      </c>
      <c r="B2889" s="22" t="inlineStr">
        <is>
          <t>01/2021</t>
        </is>
      </c>
      <c r="C2889" s="22" t="n">
        <v>15</v>
      </c>
      <c r="D2889" s="22" t="inlineStr">
        <is>
          <t>S15</t>
        </is>
      </c>
      <c r="E2889" s="22" t="inlineStr">
        <is>
          <t>Nexa La Réunion (S15)</t>
        </is>
      </c>
      <c r="F2889" s="22" t="inlineStr">
        <is>
          <t>Pháp</t>
        </is>
      </c>
      <c r="G2889" s="22" t="inlineStr">
        <is>
          <t>POS</t>
        </is>
      </c>
      <c r="H2889" s="31" t="n">
        <v>3591.65</v>
      </c>
      <c r="I2889" s="31" t="n">
        <v>0</v>
      </c>
      <c r="J2889" s="31" t="n">
        <v>3591.65</v>
      </c>
      <c r="K2889" s="31" t="n">
        <v>0</v>
      </c>
      <c r="L2889" s="32" t="n">
        <v>2</v>
      </c>
      <c r="M2889" s="32" t="n">
        <v>18</v>
      </c>
      <c r="N2889" s="31" t="n">
        <v>3591.65</v>
      </c>
      <c r="O2889" s="31" t="n">
        <v>3591.65</v>
      </c>
      <c r="P2889" s="22" t="n">
        <v>0</v>
      </c>
      <c r="Q2889" s="22" t="n">
        <v>0</v>
      </c>
      <c r="R2889" s="22" t="n">
        <v>0</v>
      </c>
    </row>
    <row r="2890">
      <c r="A2890" s="22" t="n">
        <v>202101</v>
      </c>
      <c r="B2890" s="22" t="inlineStr">
        <is>
          <t>01/2021</t>
        </is>
      </c>
      <c r="C2890" s="22" t="n">
        <v>17</v>
      </c>
      <c r="D2890" s="22" t="inlineStr">
        <is>
          <t>S17</t>
        </is>
      </c>
      <c r="E2890" s="22" t="inlineStr">
        <is>
          <t>Nexa Martinique (S17)</t>
        </is>
      </c>
      <c r="F2890" s="22" t="inlineStr">
        <is>
          <t>Pháp</t>
        </is>
      </c>
      <c r="G2890" s="22" t="inlineStr">
        <is>
          <t>POS</t>
        </is>
      </c>
      <c r="H2890" s="31" t="n">
        <v>2978.77</v>
      </c>
      <c r="I2890" s="31" t="n">
        <v>61.04</v>
      </c>
      <c r="J2890" s="31" t="n">
        <v>2917.73</v>
      </c>
      <c r="K2890" s="31" t="n">
        <v>0</v>
      </c>
      <c r="L2890" s="32" t="n">
        <v>2</v>
      </c>
      <c r="M2890" s="32" t="n">
        <v>8</v>
      </c>
      <c r="N2890" s="31" t="n">
        <v>2917.73</v>
      </c>
      <c r="O2890" s="31" t="n">
        <v>2917.73</v>
      </c>
      <c r="P2890" s="22" t="n">
        <v>0</v>
      </c>
      <c r="Q2890" s="22" t="n">
        <v>0</v>
      </c>
      <c r="R2890" s="22" t="n">
        <v>0</v>
      </c>
    </row>
    <row r="2891">
      <c r="A2891" s="22" t="n">
        <v>202101</v>
      </c>
      <c r="B2891" s="22" t="inlineStr">
        <is>
          <t>01/2021</t>
        </is>
      </c>
      <c r="C2891" s="22" t="n">
        <v>19</v>
      </c>
      <c r="D2891" s="22" t="inlineStr">
        <is>
          <t>S19</t>
        </is>
      </c>
      <c r="E2891" s="22" t="inlineStr">
        <is>
          <t>Nexa Berlin (S19)</t>
        </is>
      </c>
      <c r="F2891" s="22" t="inlineStr">
        <is>
          <t>Đức</t>
        </is>
      </c>
      <c r="G2891" s="22" t="inlineStr">
        <is>
          <t>POS</t>
        </is>
      </c>
      <c r="H2891" s="31" t="n">
        <v>4702.62</v>
      </c>
      <c r="I2891" s="31" t="n">
        <v>112.03</v>
      </c>
      <c r="J2891" s="31" t="n">
        <v>4590.59</v>
      </c>
      <c r="K2891" s="31" t="n">
        <v>326</v>
      </c>
      <c r="L2891" s="32" t="n">
        <v>3</v>
      </c>
      <c r="M2891" s="32" t="n">
        <v>23</v>
      </c>
      <c r="N2891" s="31" t="n">
        <v>4264.59</v>
      </c>
      <c r="O2891" s="31" t="n">
        <v>4590.59</v>
      </c>
      <c r="P2891" s="22" t="n">
        <v>0</v>
      </c>
      <c r="Q2891" s="22" t="n">
        <v>0</v>
      </c>
      <c r="R2891" s="22" t="n">
        <v>0</v>
      </c>
    </row>
    <row r="2892">
      <c r="A2892" s="22" t="n">
        <v>202101</v>
      </c>
      <c r="B2892" s="22" t="inlineStr">
        <is>
          <t>01/2021</t>
        </is>
      </c>
      <c r="C2892" s="22" t="n">
        <v>21</v>
      </c>
      <c r="D2892" s="22" t="inlineStr">
        <is>
          <t>S21</t>
        </is>
      </c>
      <c r="E2892" s="22" t="inlineStr">
        <is>
          <t>Nexa Freie Hansestadt Bremen (S21)</t>
        </is>
      </c>
      <c r="F2892" s="22" t="inlineStr">
        <is>
          <t>Đức</t>
        </is>
      </c>
      <c r="G2892" s="22" t="inlineStr">
        <is>
          <t>POS</t>
        </is>
      </c>
      <c r="H2892" s="31" t="n">
        <v>5151.86</v>
      </c>
      <c r="I2892" s="31" t="n">
        <v>166.8</v>
      </c>
      <c r="J2892" s="31" t="n">
        <v>4985.06</v>
      </c>
      <c r="K2892" s="31" t="n">
        <v>0</v>
      </c>
      <c r="L2892" s="32" t="n">
        <v>2</v>
      </c>
      <c r="M2892" s="32" t="n">
        <v>21</v>
      </c>
      <c r="N2892" s="31" t="n">
        <v>4985.06</v>
      </c>
      <c r="O2892" s="31" t="n">
        <v>4985.06</v>
      </c>
      <c r="P2892" s="22" t="n">
        <v>0</v>
      </c>
      <c r="Q2892" s="22" t="n">
        <v>0</v>
      </c>
      <c r="R2892" s="22" t="n">
        <v>0</v>
      </c>
    </row>
    <row r="2893">
      <c r="A2893" s="22" t="n">
        <v>202101</v>
      </c>
      <c r="B2893" s="22" t="inlineStr">
        <is>
          <t>01/2021</t>
        </is>
      </c>
      <c r="C2893" s="22" t="n">
        <v>22</v>
      </c>
      <c r="D2893" s="22" t="inlineStr">
        <is>
          <t>S22</t>
        </is>
      </c>
      <c r="E2893" s="22" t="inlineStr">
        <is>
          <t>Nexa Freistaat Thüringen (S22)</t>
        </is>
      </c>
      <c r="F2893" s="22" t="inlineStr">
        <is>
          <t>Đức</t>
        </is>
      </c>
      <c r="G2893" s="22" t="inlineStr">
        <is>
          <t>POS</t>
        </is>
      </c>
      <c r="H2893" s="31" t="n">
        <v>7028.96</v>
      </c>
      <c r="I2893" s="31" t="n">
        <v>0</v>
      </c>
      <c r="J2893" s="31" t="n">
        <v>7028.96</v>
      </c>
      <c r="K2893" s="31" t="n">
        <v>0</v>
      </c>
      <c r="L2893" s="32" t="n">
        <v>1</v>
      </c>
      <c r="M2893" s="32" t="n">
        <v>7</v>
      </c>
      <c r="N2893" s="31" t="n">
        <v>7028.96</v>
      </c>
      <c r="O2893" s="31" t="n">
        <v>7028.96</v>
      </c>
      <c r="P2893" s="22" t="n">
        <v>0</v>
      </c>
      <c r="Q2893" s="22" t="n">
        <v>0</v>
      </c>
      <c r="R2893" s="22" t="n">
        <v>0</v>
      </c>
    </row>
    <row r="2894">
      <c r="A2894" s="22" t="n">
        <v>202101</v>
      </c>
      <c r="B2894" s="22" t="inlineStr">
        <is>
          <t>01/2021</t>
        </is>
      </c>
      <c r="C2894" s="22" t="n">
        <v>23</v>
      </c>
      <c r="D2894" s="22" t="inlineStr">
        <is>
          <t>S23</t>
        </is>
      </c>
      <c r="E2894" s="22" t="inlineStr">
        <is>
          <t>Nexa Hamburg (S23)</t>
        </is>
      </c>
      <c r="F2894" s="22" t="inlineStr">
        <is>
          <t>Đức</t>
        </is>
      </c>
      <c r="G2894" s="22" t="inlineStr">
        <is>
          <t>POS</t>
        </is>
      </c>
      <c r="H2894" s="31" t="n">
        <v>4711.99</v>
      </c>
      <c r="I2894" s="31" t="n">
        <v>235.6</v>
      </c>
      <c r="J2894" s="31" t="n">
        <v>4476.39</v>
      </c>
      <c r="K2894" s="31" t="n">
        <v>0</v>
      </c>
      <c r="L2894" s="32" t="n">
        <v>2</v>
      </c>
      <c r="M2894" s="32" t="n">
        <v>9</v>
      </c>
      <c r="N2894" s="31" t="n">
        <v>4476.39</v>
      </c>
      <c r="O2894" s="31" t="n">
        <v>4476.39</v>
      </c>
      <c r="P2894" s="22" t="n">
        <v>0</v>
      </c>
      <c r="Q2894" s="22" t="n">
        <v>0</v>
      </c>
      <c r="R2894" s="22" t="n">
        <v>0</v>
      </c>
    </row>
    <row r="2895">
      <c r="A2895" s="22" t="n">
        <v>202101</v>
      </c>
      <c r="B2895" s="22" t="inlineStr">
        <is>
          <t>01/2021</t>
        </is>
      </c>
      <c r="C2895" s="22" t="n">
        <v>24</v>
      </c>
      <c r="D2895" s="22" t="inlineStr">
        <is>
          <t>S24</t>
        </is>
      </c>
      <c r="E2895" s="22" t="inlineStr">
        <is>
          <t>Nexa Hessen (S24)</t>
        </is>
      </c>
      <c r="F2895" s="22" t="inlineStr">
        <is>
          <t>Đức</t>
        </is>
      </c>
      <c r="G2895" s="22" t="inlineStr">
        <is>
          <t>POS</t>
        </is>
      </c>
      <c r="H2895" s="31" t="n">
        <v>7913.52</v>
      </c>
      <c r="I2895" s="31" t="n">
        <v>232.89</v>
      </c>
      <c r="J2895" s="31" t="n">
        <v>7680.63</v>
      </c>
      <c r="K2895" s="31" t="n">
        <v>252.7</v>
      </c>
      <c r="L2895" s="32" t="n">
        <v>4</v>
      </c>
      <c r="M2895" s="32" t="n">
        <v>27</v>
      </c>
      <c r="N2895" s="31" t="n">
        <v>7427.93</v>
      </c>
      <c r="O2895" s="31" t="n">
        <v>7680.63</v>
      </c>
      <c r="P2895" s="22" t="n">
        <v>0</v>
      </c>
      <c r="Q2895" s="22" t="n">
        <v>0</v>
      </c>
      <c r="R2895" s="22" t="n">
        <v>0</v>
      </c>
    </row>
    <row r="2896">
      <c r="A2896" s="22" t="n">
        <v>202101</v>
      </c>
      <c r="B2896" s="22" t="inlineStr">
        <is>
          <t>01/2021</t>
        </is>
      </c>
      <c r="C2896" s="22" t="n">
        <v>26</v>
      </c>
      <c r="D2896" s="22" t="inlineStr">
        <is>
          <t>S26</t>
        </is>
      </c>
      <c r="E2896" s="22" t="inlineStr">
        <is>
          <t>Nexa Saarland (S26)</t>
        </is>
      </c>
      <c r="F2896" s="22" t="inlineStr">
        <is>
          <t>Đức</t>
        </is>
      </c>
      <c r="G2896" s="22" t="inlineStr">
        <is>
          <t>POS</t>
        </is>
      </c>
      <c r="H2896" s="31" t="n">
        <v>2065.73</v>
      </c>
      <c r="I2896" s="31" t="n">
        <v>88.39</v>
      </c>
      <c r="J2896" s="31" t="n">
        <v>1977.34</v>
      </c>
      <c r="K2896" s="31" t="n">
        <v>0</v>
      </c>
      <c r="L2896" s="32" t="n">
        <v>2</v>
      </c>
      <c r="M2896" s="32" t="n">
        <v>11</v>
      </c>
      <c r="N2896" s="31" t="n">
        <v>1977.34</v>
      </c>
      <c r="O2896" s="31" t="n">
        <v>1977.34</v>
      </c>
      <c r="P2896" s="22" t="n">
        <v>0</v>
      </c>
      <c r="Q2896" s="22" t="n">
        <v>0</v>
      </c>
      <c r="R2896" s="22" t="n">
        <v>0</v>
      </c>
    </row>
    <row r="2897">
      <c r="A2897" s="22" t="n">
        <v>202101</v>
      </c>
      <c r="B2897" s="22" t="inlineStr">
        <is>
          <t>01/2021</t>
        </is>
      </c>
      <c r="C2897" s="22" t="n">
        <v>30</v>
      </c>
      <c r="D2897" s="22" t="inlineStr">
        <is>
          <t>S30</t>
        </is>
      </c>
      <c r="E2897" s="22" t="inlineStr">
        <is>
          <t>Nexa Pesaro (S30)</t>
        </is>
      </c>
      <c r="F2897" s="22" t="inlineStr">
        <is>
          <t>Ý</t>
        </is>
      </c>
      <c r="G2897" s="22" t="inlineStr">
        <is>
          <t>POS</t>
        </is>
      </c>
      <c r="H2897" s="31" t="n">
        <v>0</v>
      </c>
      <c r="I2897" s="31" t="n">
        <v>0</v>
      </c>
      <c r="J2897" s="31" t="n">
        <v>0</v>
      </c>
      <c r="K2897" s="31" t="n">
        <v>41.2</v>
      </c>
      <c r="L2897" s="32" t="n">
        <v>0</v>
      </c>
      <c r="M2897" s="32" t="n">
        <v>0</v>
      </c>
      <c r="N2897" s="31" t="n">
        <v>-41.2</v>
      </c>
      <c r="O2897" s="31" t="n">
        <v>0</v>
      </c>
      <c r="P2897" s="22" t="n">
        <v>0</v>
      </c>
      <c r="Q2897" s="22" t="n">
        <v>0</v>
      </c>
      <c r="R2897" s="22" t="n">
        <v>0</v>
      </c>
    </row>
    <row r="2898">
      <c r="A2898" s="22" t="n">
        <v>202101</v>
      </c>
      <c r="B2898" s="22" t="inlineStr">
        <is>
          <t>01/2021</t>
        </is>
      </c>
      <c r="C2898" s="22" t="n">
        <v>31</v>
      </c>
      <c r="D2898" s="22" t="inlineStr">
        <is>
          <t>S31</t>
        </is>
      </c>
      <c r="E2898" s="22" t="inlineStr">
        <is>
          <t>Nexa Drenthe (S31)</t>
        </is>
      </c>
      <c r="F2898" s="22" t="inlineStr">
        <is>
          <t>Hà Lan</t>
        </is>
      </c>
      <c r="G2898" s="22" t="inlineStr">
        <is>
          <t>POS</t>
        </is>
      </c>
      <c r="H2898" s="31" t="n">
        <v>1701.9</v>
      </c>
      <c r="I2898" s="31" t="n">
        <v>0</v>
      </c>
      <c r="J2898" s="31" t="n">
        <v>1701.9</v>
      </c>
      <c r="K2898" s="31" t="n">
        <v>0</v>
      </c>
      <c r="L2898" s="32" t="n">
        <v>1</v>
      </c>
      <c r="M2898" s="32" t="n">
        <v>9</v>
      </c>
      <c r="N2898" s="31" t="n">
        <v>1701.9</v>
      </c>
      <c r="O2898" s="31" t="n">
        <v>1701.9</v>
      </c>
      <c r="P2898" s="22" t="n">
        <v>0</v>
      </c>
      <c r="Q2898" s="22" t="n">
        <v>0</v>
      </c>
      <c r="R2898" s="22" t="n">
        <v>0</v>
      </c>
    </row>
    <row r="2899">
      <c r="A2899" s="22" t="n">
        <v>202101</v>
      </c>
      <c r="B2899" s="22" t="inlineStr">
        <is>
          <t>01/2021</t>
        </is>
      </c>
      <c r="C2899" s="22" t="n">
        <v>32</v>
      </c>
      <c r="D2899" s="22" t="inlineStr">
        <is>
          <t>S32</t>
        </is>
      </c>
      <c r="E2899" s="22" t="inlineStr">
        <is>
          <t>Nexa Flevoland (S32)</t>
        </is>
      </c>
      <c r="F2899" s="22" t="inlineStr">
        <is>
          <t>Hà Lan</t>
        </is>
      </c>
      <c r="G2899" s="22" t="inlineStr">
        <is>
          <t>POS</t>
        </is>
      </c>
      <c r="H2899" s="31" t="n">
        <v>969</v>
      </c>
      <c r="I2899" s="31" t="n">
        <v>48.45</v>
      </c>
      <c r="J2899" s="31" t="n">
        <v>920.55</v>
      </c>
      <c r="K2899" s="31" t="n">
        <v>278</v>
      </c>
      <c r="L2899" s="32" t="n">
        <v>1</v>
      </c>
      <c r="M2899" s="32" t="n">
        <v>1</v>
      </c>
      <c r="N2899" s="31" t="n">
        <v>642.55</v>
      </c>
      <c r="O2899" s="31" t="n">
        <v>920.55</v>
      </c>
      <c r="P2899" s="22" t="n">
        <v>0</v>
      </c>
      <c r="Q2899" s="22" t="n">
        <v>0</v>
      </c>
      <c r="R2899" s="22" t="n">
        <v>0</v>
      </c>
    </row>
    <row r="2900">
      <c r="A2900" s="22" t="n">
        <v>202101</v>
      </c>
      <c r="B2900" s="22" t="inlineStr">
        <is>
          <t>01/2021</t>
        </is>
      </c>
      <c r="C2900" s="22" t="n">
        <v>33</v>
      </c>
      <c r="D2900" s="22" t="inlineStr">
        <is>
          <t>S33</t>
        </is>
      </c>
      <c r="E2900" s="22" t="inlineStr">
        <is>
          <t>Nexa Friesland (S33)</t>
        </is>
      </c>
      <c r="F2900" s="22" t="inlineStr">
        <is>
          <t>Hà Lan</t>
        </is>
      </c>
      <c r="G2900" s="22" t="inlineStr">
        <is>
          <t>POS</t>
        </is>
      </c>
      <c r="H2900" s="31" t="n">
        <v>710.8200000000001</v>
      </c>
      <c r="I2900" s="31" t="n">
        <v>35.07</v>
      </c>
      <c r="J2900" s="31" t="n">
        <v>675.75</v>
      </c>
      <c r="K2900" s="31" t="n">
        <v>0</v>
      </c>
      <c r="L2900" s="32" t="n">
        <v>2</v>
      </c>
      <c r="M2900" s="32" t="n">
        <v>6</v>
      </c>
      <c r="N2900" s="31" t="n">
        <v>675.75</v>
      </c>
      <c r="O2900" s="31" t="n">
        <v>675.75</v>
      </c>
      <c r="P2900" s="22" t="n">
        <v>0</v>
      </c>
      <c r="Q2900" s="22" t="n">
        <v>0</v>
      </c>
      <c r="R2900" s="22" t="n">
        <v>0</v>
      </c>
    </row>
    <row r="2901">
      <c r="A2901" s="22" t="n">
        <v>202101</v>
      </c>
      <c r="B2901" s="22" t="inlineStr">
        <is>
          <t>01/2021</t>
        </is>
      </c>
      <c r="C2901" s="22" t="n">
        <v>34</v>
      </c>
      <c r="D2901" s="22" t="inlineStr">
        <is>
          <t>S34</t>
        </is>
      </c>
      <c r="E2901" s="22" t="inlineStr">
        <is>
          <t>Nexa Groningen (S34)</t>
        </is>
      </c>
      <c r="F2901" s="22" t="inlineStr">
        <is>
          <t>Hà Lan</t>
        </is>
      </c>
      <c r="G2901" s="22" t="inlineStr">
        <is>
          <t>POS</t>
        </is>
      </c>
      <c r="H2901" s="31" t="n">
        <v>6286.8</v>
      </c>
      <c r="I2901" s="31" t="n">
        <v>26.99</v>
      </c>
      <c r="J2901" s="31" t="n">
        <v>6259.81</v>
      </c>
      <c r="K2901" s="31" t="n">
        <v>0</v>
      </c>
      <c r="L2901" s="32" t="n">
        <v>2</v>
      </c>
      <c r="M2901" s="32" t="n">
        <v>15</v>
      </c>
      <c r="N2901" s="31" t="n">
        <v>6259.81</v>
      </c>
      <c r="O2901" s="31" t="n">
        <v>6259.81</v>
      </c>
      <c r="P2901" s="22" t="n">
        <v>0</v>
      </c>
      <c r="Q2901" s="22" t="n">
        <v>0</v>
      </c>
      <c r="R2901" s="22" t="n">
        <v>0</v>
      </c>
    </row>
    <row r="2902">
      <c r="A2902" s="22" t="n">
        <v>202101</v>
      </c>
      <c r="B2902" s="22" t="inlineStr">
        <is>
          <t>01/2021</t>
        </is>
      </c>
      <c r="C2902" s="22" t="n">
        <v>36</v>
      </c>
      <c r="D2902" s="22" t="inlineStr">
        <is>
          <t>S36</t>
        </is>
      </c>
      <c r="E2902" s="22" t="inlineStr">
        <is>
          <t>Nexa Armagh (S36)</t>
        </is>
      </c>
      <c r="F2902" s="22" t="inlineStr">
        <is>
          <t>Anh</t>
        </is>
      </c>
      <c r="G2902" s="22" t="inlineStr">
        <is>
          <t>POS</t>
        </is>
      </c>
      <c r="H2902" s="31" t="n">
        <v>15964.52</v>
      </c>
      <c r="I2902" s="31" t="n">
        <v>314.27</v>
      </c>
      <c r="J2902" s="31" t="n">
        <v>15650.25</v>
      </c>
      <c r="K2902" s="31" t="n">
        <v>4365.25</v>
      </c>
      <c r="L2902" s="32" t="n">
        <v>4</v>
      </c>
      <c r="M2902" s="32" t="n">
        <v>49</v>
      </c>
      <c r="N2902" s="31" t="n">
        <v>11285</v>
      </c>
      <c r="O2902" s="31" t="n">
        <v>15650.25</v>
      </c>
      <c r="P2902" s="22" t="n">
        <v>0</v>
      </c>
      <c r="Q2902" s="22" t="n">
        <v>0</v>
      </c>
      <c r="R2902" s="22" t="n">
        <v>0</v>
      </c>
    </row>
    <row r="2903">
      <c r="A2903" s="22" t="n">
        <v>202101</v>
      </c>
      <c r="B2903" s="22" t="inlineStr">
        <is>
          <t>01/2021</t>
        </is>
      </c>
      <c r="C2903" s="22" t="n">
        <v>37</v>
      </c>
      <c r="D2903" s="22" t="inlineStr">
        <is>
          <t>S37</t>
        </is>
      </c>
      <c r="E2903" s="22" t="inlineStr">
        <is>
          <t>Nexa Ayrshire (S37)</t>
        </is>
      </c>
      <c r="F2903" s="22" t="inlineStr">
        <is>
          <t>Anh</t>
        </is>
      </c>
      <c r="G2903" s="22" t="inlineStr">
        <is>
          <t>POS</t>
        </is>
      </c>
      <c r="H2903" s="31" t="n">
        <v>4609.92</v>
      </c>
      <c r="I2903" s="31" t="n">
        <v>75.40000000000001</v>
      </c>
      <c r="J2903" s="31" t="n">
        <v>4534.52</v>
      </c>
      <c r="K2903" s="31" t="n">
        <v>0</v>
      </c>
      <c r="L2903" s="32" t="n">
        <v>5</v>
      </c>
      <c r="M2903" s="32" t="n">
        <v>38</v>
      </c>
      <c r="N2903" s="31" t="n">
        <v>4534.52</v>
      </c>
      <c r="O2903" s="31" t="n">
        <v>4534.52</v>
      </c>
      <c r="P2903" s="22" t="n">
        <v>0</v>
      </c>
      <c r="Q2903" s="22" t="n">
        <v>0</v>
      </c>
      <c r="R2903" s="22" t="n">
        <v>0</v>
      </c>
    </row>
    <row r="2904">
      <c r="A2904" s="22" t="n">
        <v>202101</v>
      </c>
      <c r="B2904" s="22" t="inlineStr">
        <is>
          <t>01/2021</t>
        </is>
      </c>
      <c r="C2904" s="22" t="n">
        <v>38</v>
      </c>
      <c r="D2904" s="22" t="inlineStr">
        <is>
          <t>S38</t>
        </is>
      </c>
      <c r="E2904" s="22" t="inlineStr">
        <is>
          <t>Nexa Belfast (S38)</t>
        </is>
      </c>
      <c r="F2904" s="22" t="inlineStr">
        <is>
          <t>Anh</t>
        </is>
      </c>
      <c r="G2904" s="22" t="inlineStr">
        <is>
          <t>POS</t>
        </is>
      </c>
      <c r="H2904" s="31" t="n">
        <v>137</v>
      </c>
      <c r="I2904" s="31" t="n">
        <v>0</v>
      </c>
      <c r="J2904" s="31" t="n">
        <v>137</v>
      </c>
      <c r="K2904" s="31" t="n">
        <v>0</v>
      </c>
      <c r="L2904" s="32" t="n">
        <v>1</v>
      </c>
      <c r="M2904" s="32" t="n">
        <v>8</v>
      </c>
      <c r="N2904" s="31" t="n">
        <v>137</v>
      </c>
      <c r="O2904" s="31" t="n">
        <v>137</v>
      </c>
      <c r="P2904" s="22" t="n">
        <v>0</v>
      </c>
      <c r="Q2904" s="22" t="n">
        <v>0</v>
      </c>
      <c r="R2904" s="22" t="n">
        <v>0</v>
      </c>
    </row>
    <row r="2905">
      <c r="A2905" s="22" t="n">
        <v>202101</v>
      </c>
      <c r="B2905" s="22" t="inlineStr">
        <is>
          <t>01/2021</t>
        </is>
      </c>
      <c r="C2905" s="22" t="n">
        <v>39</v>
      </c>
      <c r="D2905" s="22" t="inlineStr">
        <is>
          <t>S39</t>
        </is>
      </c>
      <c r="E2905" s="22" t="inlineStr">
        <is>
          <t>Nexa Blaenau Gwent (S39)</t>
        </is>
      </c>
      <c r="F2905" s="22" t="inlineStr">
        <is>
          <t>Anh</t>
        </is>
      </c>
      <c r="G2905" s="22" t="inlineStr">
        <is>
          <t>POS</t>
        </is>
      </c>
      <c r="H2905" s="31" t="n">
        <v>13788.45</v>
      </c>
      <c r="I2905" s="31" t="n">
        <v>296.39</v>
      </c>
      <c r="J2905" s="31" t="n">
        <v>13492.06</v>
      </c>
      <c r="K2905" s="31" t="n">
        <v>0</v>
      </c>
      <c r="L2905" s="32" t="n">
        <v>5</v>
      </c>
      <c r="M2905" s="32" t="n">
        <v>28</v>
      </c>
      <c r="N2905" s="31" t="n">
        <v>13492.06</v>
      </c>
      <c r="O2905" s="31" t="n">
        <v>13492.06</v>
      </c>
      <c r="P2905" s="22" t="n">
        <v>0</v>
      </c>
      <c r="Q2905" s="22" t="n">
        <v>0</v>
      </c>
      <c r="R2905" s="22" t="n">
        <v>0</v>
      </c>
    </row>
    <row r="2906">
      <c r="A2906" s="22" t="n">
        <v>202101</v>
      </c>
      <c r="B2906" s="22" t="inlineStr">
        <is>
          <t>01/2021</t>
        </is>
      </c>
      <c r="C2906" s="22" t="n">
        <v>40</v>
      </c>
      <c r="D2906" s="22" t="inlineStr">
        <is>
          <t>S40</t>
        </is>
      </c>
      <c r="E2906" s="22" t="inlineStr">
        <is>
          <t>Nexa Dungannon and South Tyrone (S40)</t>
        </is>
      </c>
      <c r="F2906" s="22" t="inlineStr">
        <is>
          <t>Anh</t>
        </is>
      </c>
      <c r="G2906" s="22" t="inlineStr">
        <is>
          <t>POS</t>
        </is>
      </c>
      <c r="H2906" s="31" t="n">
        <v>9560.68</v>
      </c>
      <c r="I2906" s="31" t="n">
        <v>147.5</v>
      </c>
      <c r="J2906" s="31" t="n">
        <v>9413.18</v>
      </c>
      <c r="K2906" s="31" t="n">
        <v>16.75</v>
      </c>
      <c r="L2906" s="32" t="n">
        <v>5</v>
      </c>
      <c r="M2906" s="32" t="n">
        <v>29</v>
      </c>
      <c r="N2906" s="31" t="n">
        <v>9396.43</v>
      </c>
      <c r="O2906" s="31" t="n">
        <v>9413.18</v>
      </c>
      <c r="P2906" s="22" t="n">
        <v>0</v>
      </c>
      <c r="Q2906" s="22" t="n">
        <v>0</v>
      </c>
      <c r="R2906" s="22" t="n">
        <v>0</v>
      </c>
    </row>
    <row r="2907">
      <c r="A2907" s="22" t="n">
        <v>202101</v>
      </c>
      <c r="B2907" s="22" t="inlineStr">
        <is>
          <t>01/2021</t>
        </is>
      </c>
      <c r="C2907" s="22" t="n">
        <v>42</v>
      </c>
      <c r="D2907" s="22" t="inlineStr">
        <is>
          <t>S42</t>
        </is>
      </c>
      <c r="E2907" s="22" t="inlineStr">
        <is>
          <t>Nexa North Down (S42)</t>
        </is>
      </c>
      <c r="F2907" s="22" t="inlineStr">
        <is>
          <t>Anh</t>
        </is>
      </c>
      <c r="G2907" s="22" t="inlineStr">
        <is>
          <t>POS</t>
        </is>
      </c>
      <c r="H2907" s="31" t="n">
        <v>6286.14</v>
      </c>
      <c r="I2907" s="31" t="n">
        <v>100.75</v>
      </c>
      <c r="J2907" s="31" t="n">
        <v>6185.39</v>
      </c>
      <c r="K2907" s="31" t="n">
        <v>179.8</v>
      </c>
      <c r="L2907" s="32" t="n">
        <v>6</v>
      </c>
      <c r="M2907" s="32" t="n">
        <v>41</v>
      </c>
      <c r="N2907" s="31" t="n">
        <v>6005.59</v>
      </c>
      <c r="O2907" s="31" t="n">
        <v>6185.39</v>
      </c>
      <c r="P2907" s="22" t="n">
        <v>0</v>
      </c>
      <c r="Q2907" s="22" t="n">
        <v>0</v>
      </c>
      <c r="R2907" s="22" t="n">
        <v>0</v>
      </c>
    </row>
    <row r="2908">
      <c r="A2908" s="22" t="n">
        <v>202101</v>
      </c>
      <c r="B2908" s="22" t="inlineStr">
        <is>
          <t>01/2021</t>
        </is>
      </c>
      <c r="C2908" s="22" t="n">
        <v>43</v>
      </c>
      <c r="D2908" s="22" t="inlineStr">
        <is>
          <t>S43</t>
        </is>
      </c>
      <c r="E2908" s="22" t="inlineStr">
        <is>
          <t>Nexa Alaska (S43)</t>
        </is>
      </c>
      <c r="F2908" s="22" t="inlineStr">
        <is>
          <t>Mỹ</t>
        </is>
      </c>
      <c r="G2908" s="22" t="inlineStr">
        <is>
          <t>POS</t>
        </is>
      </c>
      <c r="H2908" s="31" t="n">
        <v>21929.16</v>
      </c>
      <c r="I2908" s="31" t="n">
        <v>8.4</v>
      </c>
      <c r="J2908" s="31" t="n">
        <v>21920.76</v>
      </c>
      <c r="K2908" s="31" t="n">
        <v>726.1</v>
      </c>
      <c r="L2908" s="32" t="n">
        <v>6</v>
      </c>
      <c r="M2908" s="32" t="n">
        <v>36</v>
      </c>
      <c r="N2908" s="31" t="n">
        <v>21275.76</v>
      </c>
      <c r="O2908" s="31" t="n">
        <v>21920.76</v>
      </c>
      <c r="P2908" s="22" t="n">
        <v>0</v>
      </c>
      <c r="Q2908" s="22" t="n">
        <v>0</v>
      </c>
      <c r="R2908" s="22" t="n">
        <v>0</v>
      </c>
    </row>
    <row r="2909">
      <c r="A2909" s="22" t="n">
        <v>202101</v>
      </c>
      <c r="B2909" s="22" t="inlineStr">
        <is>
          <t>01/2021</t>
        </is>
      </c>
      <c r="C2909" s="22" t="n">
        <v>44</v>
      </c>
      <c r="D2909" s="22" t="inlineStr">
        <is>
          <t>S44</t>
        </is>
      </c>
      <c r="E2909" s="22" t="inlineStr">
        <is>
          <t>Nexa Arkansas (S44)</t>
        </is>
      </c>
      <c r="F2909" s="22" t="inlineStr">
        <is>
          <t>Mỹ</t>
        </is>
      </c>
      <c r="G2909" s="22" t="inlineStr">
        <is>
          <t>POS</t>
        </is>
      </c>
      <c r="H2909" s="31" t="n">
        <v>5748.12</v>
      </c>
      <c r="I2909" s="31" t="n">
        <v>165.12</v>
      </c>
      <c r="J2909" s="31" t="n">
        <v>5583</v>
      </c>
      <c r="K2909" s="31" t="n">
        <v>0</v>
      </c>
      <c r="L2909" s="32" t="n">
        <v>8</v>
      </c>
      <c r="M2909" s="32" t="n">
        <v>47</v>
      </c>
      <c r="N2909" s="31" t="n">
        <v>5583</v>
      </c>
      <c r="O2909" s="31" t="n">
        <v>5583</v>
      </c>
      <c r="P2909" s="22" t="n">
        <v>0</v>
      </c>
      <c r="Q2909" s="22" t="n">
        <v>0</v>
      </c>
      <c r="R2909" s="22" t="n">
        <v>0</v>
      </c>
    </row>
    <row r="2910">
      <c r="A2910" s="22" t="n">
        <v>202101</v>
      </c>
      <c r="B2910" s="22" t="inlineStr">
        <is>
          <t>01/2021</t>
        </is>
      </c>
      <c r="C2910" s="22" t="n">
        <v>45</v>
      </c>
      <c r="D2910" s="22" t="inlineStr">
        <is>
          <t>S45</t>
        </is>
      </c>
      <c r="E2910" s="22" t="inlineStr">
        <is>
          <t>Nexa Connecticut (S45)</t>
        </is>
      </c>
      <c r="F2910" s="22" t="inlineStr">
        <is>
          <t>Mỹ</t>
        </is>
      </c>
      <c r="G2910" s="22" t="inlineStr">
        <is>
          <t>POS</t>
        </is>
      </c>
      <c r="H2910" s="31" t="n">
        <v>4761.84</v>
      </c>
      <c r="I2910" s="31" t="n">
        <v>0</v>
      </c>
      <c r="J2910" s="31" t="n">
        <v>4761.84</v>
      </c>
      <c r="K2910" s="31" t="n">
        <v>0</v>
      </c>
      <c r="L2910" s="32" t="n">
        <v>2</v>
      </c>
      <c r="M2910" s="32" t="n">
        <v>21</v>
      </c>
      <c r="N2910" s="31" t="n">
        <v>4761.84</v>
      </c>
      <c r="O2910" s="31" t="n">
        <v>4761.84</v>
      </c>
      <c r="P2910" s="22" t="n">
        <v>0</v>
      </c>
      <c r="Q2910" s="22" t="n">
        <v>0</v>
      </c>
      <c r="R2910" s="22" t="n">
        <v>0</v>
      </c>
    </row>
    <row r="2911">
      <c r="A2911" s="22" t="n">
        <v>202101</v>
      </c>
      <c r="B2911" s="22" t="inlineStr">
        <is>
          <t>01/2021</t>
        </is>
      </c>
      <c r="C2911" s="22" t="n">
        <v>47</v>
      </c>
      <c r="D2911" s="22" t="inlineStr">
        <is>
          <t>S47</t>
        </is>
      </c>
      <c r="E2911" s="22" t="inlineStr">
        <is>
          <t>Nexa Hawaii (S47)</t>
        </is>
      </c>
      <c r="F2911" s="22" t="inlineStr">
        <is>
          <t>Mỹ</t>
        </is>
      </c>
      <c r="G2911" s="22" t="inlineStr">
        <is>
          <t>POS</t>
        </is>
      </c>
      <c r="H2911" s="31" t="n">
        <v>6455.6</v>
      </c>
      <c r="I2911" s="31" t="n">
        <v>282.34</v>
      </c>
      <c r="J2911" s="31" t="n">
        <v>6173.26</v>
      </c>
      <c r="K2911" s="31" t="n">
        <v>0</v>
      </c>
      <c r="L2911" s="32" t="n">
        <v>4</v>
      </c>
      <c r="M2911" s="32" t="n">
        <v>30</v>
      </c>
      <c r="N2911" s="31" t="n">
        <v>6173.26</v>
      </c>
      <c r="O2911" s="31" t="n">
        <v>6173.26</v>
      </c>
      <c r="P2911" s="22" t="n">
        <v>0</v>
      </c>
      <c r="Q2911" s="22" t="n">
        <v>0</v>
      </c>
      <c r="R2911" s="22" t="n">
        <v>0</v>
      </c>
    </row>
    <row r="2912">
      <c r="A2912" s="22" t="n">
        <v>202101</v>
      </c>
      <c r="B2912" s="22" t="inlineStr">
        <is>
          <t>01/2021</t>
        </is>
      </c>
      <c r="C2912" s="22" t="n">
        <v>48</v>
      </c>
      <c r="D2912" s="22" t="inlineStr">
        <is>
          <t>S48</t>
        </is>
      </c>
      <c r="E2912" s="22" t="inlineStr">
        <is>
          <t>Nexa Idaho (S48)</t>
        </is>
      </c>
      <c r="F2912" s="22" t="inlineStr">
        <is>
          <t>Mỹ</t>
        </is>
      </c>
      <c r="G2912" s="22" t="inlineStr">
        <is>
          <t>POS</t>
        </is>
      </c>
      <c r="H2912" s="31" t="n">
        <v>9929.549999999999</v>
      </c>
      <c r="I2912" s="31" t="n">
        <v>219.83</v>
      </c>
      <c r="J2912" s="31" t="n">
        <v>9709.719999999999</v>
      </c>
      <c r="K2912" s="31" t="n">
        <v>0</v>
      </c>
      <c r="L2912" s="32" t="n">
        <v>5</v>
      </c>
      <c r="M2912" s="32" t="n">
        <v>32</v>
      </c>
      <c r="N2912" s="31" t="n">
        <v>9709.719999999999</v>
      </c>
      <c r="O2912" s="31" t="n">
        <v>9709.719999999999</v>
      </c>
      <c r="P2912" s="22" t="n">
        <v>0</v>
      </c>
      <c r="Q2912" s="22" t="n">
        <v>0</v>
      </c>
      <c r="R2912" s="22" t="n">
        <v>0</v>
      </c>
    </row>
    <row r="2913">
      <c r="A2913" s="22" t="n">
        <v>202101</v>
      </c>
      <c r="B2913" s="22" t="inlineStr">
        <is>
          <t>01/2021</t>
        </is>
      </c>
      <c r="C2913" s="22" t="n">
        <v>49</v>
      </c>
      <c r="D2913" s="22" t="inlineStr">
        <is>
          <t>S49</t>
        </is>
      </c>
      <c r="E2913" s="22" t="inlineStr">
        <is>
          <t>Nexa Iowa (S49)</t>
        </is>
      </c>
      <c r="F2913" s="22" t="inlineStr">
        <is>
          <t>Mỹ</t>
        </is>
      </c>
      <c r="G2913" s="22" t="inlineStr">
        <is>
          <t>POS</t>
        </is>
      </c>
      <c r="H2913" s="31" t="n">
        <v>18632.52</v>
      </c>
      <c r="I2913" s="31" t="n">
        <v>119.3</v>
      </c>
      <c r="J2913" s="31" t="n">
        <v>18513.22</v>
      </c>
      <c r="K2913" s="31" t="n">
        <v>0</v>
      </c>
      <c r="L2913" s="32" t="n">
        <v>8</v>
      </c>
      <c r="M2913" s="32" t="n">
        <v>62</v>
      </c>
      <c r="N2913" s="31" t="n">
        <v>18513.22</v>
      </c>
      <c r="O2913" s="31" t="n">
        <v>18513.22</v>
      </c>
      <c r="P2913" s="22" t="n">
        <v>0</v>
      </c>
      <c r="Q2913" s="22" t="n">
        <v>0</v>
      </c>
      <c r="R2913" s="22" t="n">
        <v>0</v>
      </c>
    </row>
    <row r="2914">
      <c r="A2914" s="22" t="n">
        <v>202101</v>
      </c>
      <c r="B2914" s="22" t="inlineStr">
        <is>
          <t>01/2021</t>
        </is>
      </c>
      <c r="C2914" s="22" t="n">
        <v>50</v>
      </c>
      <c r="D2914" s="22" t="inlineStr">
        <is>
          <t>S50</t>
        </is>
      </c>
      <c r="E2914" s="22" t="inlineStr">
        <is>
          <t>Nexa Kansas (S50)</t>
        </is>
      </c>
      <c r="F2914" s="22" t="inlineStr">
        <is>
          <t>Mỹ</t>
        </is>
      </c>
      <c r="G2914" s="22" t="inlineStr">
        <is>
          <t>POS</t>
        </is>
      </c>
      <c r="H2914" s="31" t="n">
        <v>10133.52</v>
      </c>
      <c r="I2914" s="31" t="n">
        <v>285.08</v>
      </c>
      <c r="J2914" s="31" t="n">
        <v>9848.440000000001</v>
      </c>
      <c r="K2914" s="31" t="n">
        <v>0</v>
      </c>
      <c r="L2914" s="32" t="n">
        <v>3</v>
      </c>
      <c r="M2914" s="32" t="n">
        <v>41</v>
      </c>
      <c r="N2914" s="31" t="n">
        <v>9848.440000000001</v>
      </c>
      <c r="O2914" s="31" t="n">
        <v>9848.440000000001</v>
      </c>
      <c r="P2914" s="22" t="n">
        <v>0</v>
      </c>
      <c r="Q2914" s="22" t="n">
        <v>0</v>
      </c>
      <c r="R2914" s="22" t="n">
        <v>0</v>
      </c>
    </row>
    <row r="2915">
      <c r="A2915" s="22" t="n">
        <v>202101</v>
      </c>
      <c r="B2915" s="22" t="inlineStr">
        <is>
          <t>01/2021</t>
        </is>
      </c>
      <c r="C2915" s="22" t="n">
        <v>51</v>
      </c>
      <c r="D2915" s="22" t="inlineStr">
        <is>
          <t>S51</t>
        </is>
      </c>
      <c r="E2915" s="22" t="inlineStr">
        <is>
          <t>Nexa Maine (S51)</t>
        </is>
      </c>
      <c r="F2915" s="22" t="inlineStr">
        <is>
          <t>Mỹ</t>
        </is>
      </c>
      <c r="G2915" s="22" t="inlineStr">
        <is>
          <t>POS</t>
        </is>
      </c>
      <c r="H2915" s="31" t="n">
        <v>2824.12</v>
      </c>
      <c r="I2915" s="31" t="n">
        <v>141.21</v>
      </c>
      <c r="J2915" s="31" t="n">
        <v>2682.91</v>
      </c>
      <c r="K2915" s="31" t="n">
        <v>56.99</v>
      </c>
      <c r="L2915" s="32" t="n">
        <v>3</v>
      </c>
      <c r="M2915" s="32" t="n">
        <v>32</v>
      </c>
      <c r="N2915" s="31" t="n">
        <v>2625.92</v>
      </c>
      <c r="O2915" s="31" t="n">
        <v>2682.91</v>
      </c>
      <c r="P2915" s="22" t="n">
        <v>0</v>
      </c>
      <c r="Q2915" s="22" t="n">
        <v>0</v>
      </c>
      <c r="R2915" s="22" t="n">
        <v>0</v>
      </c>
    </row>
    <row r="2916">
      <c r="A2916" s="22" t="n">
        <v>202101</v>
      </c>
      <c r="B2916" s="22" t="inlineStr">
        <is>
          <t>01/2021</t>
        </is>
      </c>
      <c r="C2916" s="22" t="n">
        <v>53</v>
      </c>
      <c r="D2916" s="22" t="inlineStr">
        <is>
          <t>S53</t>
        </is>
      </c>
      <c r="E2916" s="22" t="inlineStr">
        <is>
          <t>Nexa Montana (S53)</t>
        </is>
      </c>
      <c r="F2916" s="22" t="inlineStr">
        <is>
          <t>Mỹ</t>
        </is>
      </c>
      <c r="G2916" s="22" t="inlineStr">
        <is>
          <t>POS</t>
        </is>
      </c>
      <c r="H2916" s="31" t="n">
        <v>13356.01</v>
      </c>
      <c r="I2916" s="31" t="n">
        <v>4.8</v>
      </c>
      <c r="J2916" s="31" t="n">
        <v>13351.21</v>
      </c>
      <c r="K2916" s="31" t="n">
        <v>162.9</v>
      </c>
      <c r="L2916" s="32" t="n">
        <v>6</v>
      </c>
      <c r="M2916" s="32" t="n">
        <v>35</v>
      </c>
      <c r="N2916" s="31" t="n">
        <v>13188.31</v>
      </c>
      <c r="O2916" s="31" t="n">
        <v>13351.21</v>
      </c>
      <c r="P2916" s="22" t="n">
        <v>0</v>
      </c>
      <c r="Q2916" s="22" t="n">
        <v>0</v>
      </c>
      <c r="R2916" s="22" t="n">
        <v>0</v>
      </c>
    </row>
    <row r="2917">
      <c r="A2917" s="22" t="n">
        <v>202101</v>
      </c>
      <c r="B2917" s="22" t="inlineStr">
        <is>
          <t>01/2021</t>
        </is>
      </c>
      <c r="C2917" s="22" t="n">
        <v>54</v>
      </c>
      <c r="D2917" s="22" t="inlineStr">
        <is>
          <t>S54</t>
        </is>
      </c>
      <c r="E2917" s="22" t="inlineStr">
        <is>
          <t>Nexa Nebraska (S54)</t>
        </is>
      </c>
      <c r="F2917" s="22" t="inlineStr">
        <is>
          <t>Mỹ</t>
        </is>
      </c>
      <c r="G2917" s="22" t="inlineStr">
        <is>
          <t>POS</t>
        </is>
      </c>
      <c r="H2917" s="31" t="n">
        <v>8311.610000000001</v>
      </c>
      <c r="I2917" s="31" t="n">
        <v>144.3</v>
      </c>
      <c r="J2917" s="31" t="n">
        <v>8167.31</v>
      </c>
      <c r="K2917" s="31" t="n">
        <v>5034.09</v>
      </c>
      <c r="L2917" s="32" t="n">
        <v>4</v>
      </c>
      <c r="M2917" s="32" t="n">
        <v>24</v>
      </c>
      <c r="N2917" s="31" t="n">
        <v>3133.22</v>
      </c>
      <c r="O2917" s="31" t="n">
        <v>8167.31</v>
      </c>
      <c r="P2917" s="22" t="n">
        <v>0</v>
      </c>
      <c r="Q2917" s="22" t="n">
        <v>0</v>
      </c>
      <c r="R2917" s="22" t="n">
        <v>1</v>
      </c>
    </row>
    <row r="2918">
      <c r="A2918" s="22" t="n">
        <v>202101</v>
      </c>
      <c r="B2918" s="22" t="inlineStr">
        <is>
          <t>01/2021</t>
        </is>
      </c>
      <c r="C2918" s="22" t="n">
        <v>55</v>
      </c>
      <c r="D2918" s="22" t="inlineStr">
        <is>
          <t>S55</t>
        </is>
      </c>
      <c r="E2918" s="22" t="inlineStr">
        <is>
          <t>Nexa Nevada (S55)</t>
        </is>
      </c>
      <c r="F2918" s="22" t="inlineStr">
        <is>
          <t>Mỹ</t>
        </is>
      </c>
      <c r="G2918" s="22" t="inlineStr">
        <is>
          <t>POS</t>
        </is>
      </c>
      <c r="H2918" s="31" t="n">
        <v>19202.44</v>
      </c>
      <c r="I2918" s="31" t="n">
        <v>278.18</v>
      </c>
      <c r="J2918" s="31" t="n">
        <v>18924.26</v>
      </c>
      <c r="K2918" s="31" t="n">
        <v>182.97</v>
      </c>
      <c r="L2918" s="32" t="n">
        <v>8</v>
      </c>
      <c r="M2918" s="32" t="n">
        <v>75</v>
      </c>
      <c r="N2918" s="31" t="n">
        <v>18741.29</v>
      </c>
      <c r="O2918" s="31" t="n">
        <v>18924.26</v>
      </c>
      <c r="P2918" s="22" t="n">
        <v>0</v>
      </c>
      <c r="Q2918" s="22" t="n">
        <v>0</v>
      </c>
      <c r="R2918" s="22" t="n">
        <v>0</v>
      </c>
    </row>
    <row r="2919">
      <c r="A2919" s="22" t="n">
        <v>202101</v>
      </c>
      <c r="B2919" s="22" t="inlineStr">
        <is>
          <t>01/2021</t>
        </is>
      </c>
      <c r="C2919" s="22" t="n">
        <v>56</v>
      </c>
      <c r="D2919" s="22" t="inlineStr">
        <is>
          <t>S56</t>
        </is>
      </c>
      <c r="E2919" s="22" t="inlineStr">
        <is>
          <t>Nexa New Hampshire (S56)</t>
        </is>
      </c>
      <c r="F2919" s="22" t="inlineStr">
        <is>
          <t>Mỹ</t>
        </is>
      </c>
      <c r="G2919" s="22" t="inlineStr">
        <is>
          <t>POS</t>
        </is>
      </c>
      <c r="H2919" s="31" t="n">
        <v>2183.93</v>
      </c>
      <c r="I2919" s="31" t="n">
        <v>0</v>
      </c>
      <c r="J2919" s="31" t="n">
        <v>2183.93</v>
      </c>
      <c r="K2919" s="31" t="n">
        <v>620.62</v>
      </c>
      <c r="L2919" s="32" t="n">
        <v>2</v>
      </c>
      <c r="M2919" s="32" t="n">
        <v>10</v>
      </c>
      <c r="N2919" s="31" t="n">
        <v>1563.31</v>
      </c>
      <c r="O2919" s="31" t="n">
        <v>2183.93</v>
      </c>
      <c r="P2919" s="22" t="n">
        <v>0</v>
      </c>
      <c r="Q2919" s="22" t="n">
        <v>0</v>
      </c>
      <c r="R2919" s="22" t="n">
        <v>0</v>
      </c>
    </row>
    <row r="2920">
      <c r="A2920" s="22" t="n">
        <v>202101</v>
      </c>
      <c r="B2920" s="22" t="inlineStr">
        <is>
          <t>01/2021</t>
        </is>
      </c>
      <c r="C2920" s="22" t="n">
        <v>57</v>
      </c>
      <c r="D2920" s="22" t="inlineStr">
        <is>
          <t>S57</t>
        </is>
      </c>
      <c r="E2920" s="22" t="inlineStr">
        <is>
          <t>Nexa New Mexico (S57)</t>
        </is>
      </c>
      <c r="F2920" s="22" t="inlineStr">
        <is>
          <t>Mỹ</t>
        </is>
      </c>
      <c r="G2920" s="22" t="inlineStr">
        <is>
          <t>POS</t>
        </is>
      </c>
      <c r="H2920" s="31" t="n">
        <v>8603.959999999999</v>
      </c>
      <c r="I2920" s="31" t="n">
        <v>158.15</v>
      </c>
      <c r="J2920" s="31" t="n">
        <v>8445.809999999999</v>
      </c>
      <c r="K2920" s="31" t="n">
        <v>0</v>
      </c>
      <c r="L2920" s="32" t="n">
        <v>6</v>
      </c>
      <c r="M2920" s="32" t="n">
        <v>32</v>
      </c>
      <c r="N2920" s="31" t="n">
        <v>8445.809999999999</v>
      </c>
      <c r="O2920" s="31" t="n">
        <v>8445.809999999999</v>
      </c>
      <c r="P2920" s="22" t="n">
        <v>0</v>
      </c>
      <c r="Q2920" s="22" t="n">
        <v>0</v>
      </c>
      <c r="R2920" s="22" t="n">
        <v>0</v>
      </c>
    </row>
    <row r="2921">
      <c r="A2921" s="22" t="n">
        <v>202101</v>
      </c>
      <c r="B2921" s="22" t="inlineStr">
        <is>
          <t>01/2021</t>
        </is>
      </c>
      <c r="C2921" s="22" t="n">
        <v>59</v>
      </c>
      <c r="D2921" s="22" t="inlineStr">
        <is>
          <t>S59</t>
        </is>
      </c>
      <c r="E2921" s="22" t="inlineStr">
        <is>
          <t>Nexa Oregon (S59)</t>
        </is>
      </c>
      <c r="F2921" s="22" t="inlineStr">
        <is>
          <t>Mỹ</t>
        </is>
      </c>
      <c r="G2921" s="22" t="inlineStr">
        <is>
          <t>POS</t>
        </is>
      </c>
      <c r="H2921" s="31" t="n">
        <v>15807.43</v>
      </c>
      <c r="I2921" s="31" t="n">
        <v>295.43</v>
      </c>
      <c r="J2921" s="31" t="n">
        <v>15512</v>
      </c>
      <c r="K2921" s="31" t="n">
        <v>1420.1</v>
      </c>
      <c r="L2921" s="32" t="n">
        <v>5</v>
      </c>
      <c r="M2921" s="32" t="n">
        <v>59</v>
      </c>
      <c r="N2921" s="31" t="n">
        <v>14091.9</v>
      </c>
      <c r="O2921" s="31" t="n">
        <v>15512</v>
      </c>
      <c r="P2921" s="22" t="n">
        <v>1</v>
      </c>
      <c r="Q2921" s="22" t="n">
        <v>0</v>
      </c>
      <c r="R2921" s="22" t="n">
        <v>0</v>
      </c>
    </row>
    <row r="2922">
      <c r="A2922" s="22" t="n">
        <v>202101</v>
      </c>
      <c r="B2922" s="22" t="inlineStr">
        <is>
          <t>01/2021</t>
        </is>
      </c>
      <c r="C2922" s="22" t="n">
        <v>61</v>
      </c>
      <c r="D2922" s="22" t="inlineStr">
        <is>
          <t>S61</t>
        </is>
      </c>
      <c r="E2922" s="22" t="inlineStr">
        <is>
          <t>Nexa South Carolina (S61)</t>
        </is>
      </c>
      <c r="F2922" s="22" t="inlineStr">
        <is>
          <t>Mỹ</t>
        </is>
      </c>
      <c r="G2922" s="22" t="inlineStr">
        <is>
          <t>POS</t>
        </is>
      </c>
      <c r="H2922" s="31" t="n">
        <v>10721.2</v>
      </c>
      <c r="I2922" s="31" t="n">
        <v>334.7</v>
      </c>
      <c r="J2922" s="31" t="n">
        <v>10386.5</v>
      </c>
      <c r="K2922" s="31" t="n">
        <v>1002.86</v>
      </c>
      <c r="L2922" s="32" t="n">
        <v>8</v>
      </c>
      <c r="M2922" s="32" t="n">
        <v>49</v>
      </c>
      <c r="N2922" s="31" t="n">
        <v>9383.639999999999</v>
      </c>
      <c r="O2922" s="31" t="n">
        <v>10386.5</v>
      </c>
      <c r="P2922" s="22" t="n">
        <v>0</v>
      </c>
      <c r="Q2922" s="22" t="n">
        <v>0</v>
      </c>
      <c r="R2922" s="22" t="n">
        <v>0</v>
      </c>
    </row>
    <row r="2923">
      <c r="A2923" s="22" t="n">
        <v>202101</v>
      </c>
      <c r="B2923" s="22" t="inlineStr">
        <is>
          <t>01/2021</t>
        </is>
      </c>
      <c r="C2923" s="22" t="n">
        <v>62</v>
      </c>
      <c r="D2923" s="22" t="inlineStr">
        <is>
          <t>S62</t>
        </is>
      </c>
      <c r="E2923" s="22" t="inlineStr">
        <is>
          <t>Nexa South Dakota (S62)</t>
        </is>
      </c>
      <c r="F2923" s="22" t="inlineStr">
        <is>
          <t>Mỹ</t>
        </is>
      </c>
      <c r="G2923" s="22" t="inlineStr">
        <is>
          <t>POS</t>
        </is>
      </c>
      <c r="H2923" s="31" t="n">
        <v>11498.58</v>
      </c>
      <c r="I2923" s="31" t="n">
        <v>18.61</v>
      </c>
      <c r="J2923" s="31" t="n">
        <v>11479.97</v>
      </c>
      <c r="K2923" s="31" t="n">
        <v>0</v>
      </c>
      <c r="L2923" s="32" t="n">
        <v>5</v>
      </c>
      <c r="M2923" s="32" t="n">
        <v>43</v>
      </c>
      <c r="N2923" s="31" t="n">
        <v>11479.97</v>
      </c>
      <c r="O2923" s="31" t="n">
        <v>11479.97</v>
      </c>
      <c r="P2923" s="22" t="n">
        <v>0</v>
      </c>
      <c r="Q2923" s="22" t="n">
        <v>0</v>
      </c>
      <c r="R2923" s="22" t="n">
        <v>0</v>
      </c>
    </row>
    <row r="2924">
      <c r="A2924" s="22" t="n">
        <v>202101</v>
      </c>
      <c r="B2924" s="22" t="inlineStr">
        <is>
          <t>01/2021</t>
        </is>
      </c>
      <c r="C2924" s="22" t="n">
        <v>64</v>
      </c>
      <c r="D2924" s="22" t="inlineStr">
        <is>
          <t>S64</t>
        </is>
      </c>
      <c r="E2924" s="22" t="inlineStr">
        <is>
          <t>Nexa Washington DC (S64)</t>
        </is>
      </c>
      <c r="F2924" s="22" t="inlineStr">
        <is>
          <t>Mỹ</t>
        </is>
      </c>
      <c r="G2924" s="22" t="inlineStr">
        <is>
          <t>POS</t>
        </is>
      </c>
      <c r="H2924" s="31" t="n">
        <v>16888.56</v>
      </c>
      <c r="I2924" s="31" t="n">
        <v>195.8</v>
      </c>
      <c r="J2924" s="31" t="n">
        <v>16692.76</v>
      </c>
      <c r="K2924" s="31" t="n">
        <v>0</v>
      </c>
      <c r="L2924" s="32" t="n">
        <v>8</v>
      </c>
      <c r="M2924" s="32" t="n">
        <v>59</v>
      </c>
      <c r="N2924" s="31" t="n">
        <v>16644.81</v>
      </c>
      <c r="O2924" s="31" t="n">
        <v>16692.76</v>
      </c>
      <c r="P2924" s="22" t="n">
        <v>1</v>
      </c>
      <c r="Q2924" s="22" t="n">
        <v>0</v>
      </c>
      <c r="R2924" s="22" t="n">
        <v>0</v>
      </c>
    </row>
    <row r="2925">
      <c r="A2925" s="22" t="n">
        <v>202101</v>
      </c>
      <c r="B2925" s="22" t="inlineStr">
        <is>
          <t>01/2021</t>
        </is>
      </c>
      <c r="C2925" s="22" t="n">
        <v>65</v>
      </c>
      <c r="D2925" s="22" t="inlineStr">
        <is>
          <t>S65</t>
        </is>
      </c>
      <c r="E2925" s="22" t="inlineStr">
        <is>
          <t>Nexa West Virginia (S65)</t>
        </is>
      </c>
      <c r="F2925" s="22" t="inlineStr">
        <is>
          <t>Mỹ</t>
        </is>
      </c>
      <c r="G2925" s="22" t="inlineStr">
        <is>
          <t>POS</t>
        </is>
      </c>
      <c r="H2925" s="31" t="n">
        <v>11993.78</v>
      </c>
      <c r="I2925" s="31" t="n">
        <v>251.34</v>
      </c>
      <c r="J2925" s="31" t="n">
        <v>11742.44</v>
      </c>
      <c r="K2925" s="31" t="n">
        <v>169.1</v>
      </c>
      <c r="L2925" s="32" t="n">
        <v>8</v>
      </c>
      <c r="M2925" s="32" t="n">
        <v>64</v>
      </c>
      <c r="N2925" s="31" t="n">
        <v>11573.34</v>
      </c>
      <c r="O2925" s="31" t="n">
        <v>11742.44</v>
      </c>
      <c r="P2925" s="22" t="n">
        <v>1</v>
      </c>
      <c r="Q2925" s="22" t="n">
        <v>0</v>
      </c>
      <c r="R2925" s="22" t="n">
        <v>0</v>
      </c>
    </row>
    <row r="2926">
      <c r="A2926" s="22" t="n">
        <v>202101</v>
      </c>
      <c r="B2926" s="22" t="inlineStr">
        <is>
          <t>01/2021</t>
        </is>
      </c>
      <c r="C2926" s="22" t="n">
        <v>66</v>
      </c>
      <c r="D2926" s="22" t="inlineStr">
        <is>
          <t>S66</t>
        </is>
      </c>
      <c r="E2926" s="22" t="inlineStr">
        <is>
          <t>Nexa Wyoming (S66)</t>
        </is>
      </c>
      <c r="F2926" s="22" t="inlineStr">
        <is>
          <t>Mỹ</t>
        </is>
      </c>
      <c r="G2926" s="22" t="inlineStr">
        <is>
          <t>POS</t>
        </is>
      </c>
      <c r="H2926" s="31" t="n">
        <v>8107.66</v>
      </c>
      <c r="I2926" s="31" t="n">
        <v>0</v>
      </c>
      <c r="J2926" s="31" t="n">
        <v>8107.66</v>
      </c>
      <c r="K2926" s="31" t="n">
        <v>728.45</v>
      </c>
      <c r="L2926" s="32" t="n">
        <v>4</v>
      </c>
      <c r="M2926" s="32" t="n">
        <v>19</v>
      </c>
      <c r="N2926" s="31" t="n">
        <v>7379.21</v>
      </c>
      <c r="O2926" s="31" t="n">
        <v>8107.66</v>
      </c>
      <c r="P2926" s="22" t="n">
        <v>0</v>
      </c>
      <c r="Q2926" s="22" t="n">
        <v>0</v>
      </c>
      <c r="R2926" s="22" t="n">
        <v>0</v>
      </c>
    </row>
    <row r="2927">
      <c r="A2927" s="22" t="n">
        <v>202102</v>
      </c>
      <c r="B2927" s="22" t="inlineStr">
        <is>
          <t>02/2021</t>
        </is>
      </c>
      <c r="C2927" s="22" t="n">
        <v>0</v>
      </c>
      <c r="D2927" s="22" t="inlineStr">
        <is>
          <t>ONL</t>
        </is>
      </c>
      <c r="E2927" s="22" t="inlineStr">
        <is>
          <t>Nexa Online (website/app)</t>
        </is>
      </c>
      <c r="F2927" s="22" t="inlineStr">
        <is>
          <t>Online</t>
        </is>
      </c>
      <c r="G2927" s="22" t="inlineStr">
        <is>
          <t>ONLINE</t>
        </is>
      </c>
      <c r="H2927" s="31" t="n">
        <v>60853.33</v>
      </c>
      <c r="I2927" s="31" t="n">
        <v>1740.28</v>
      </c>
      <c r="J2927" s="31" t="n">
        <v>59113.05</v>
      </c>
      <c r="K2927" s="31" t="n">
        <v>909.84</v>
      </c>
      <c r="L2927" s="32" t="n">
        <v>41</v>
      </c>
      <c r="M2927" s="32" t="n">
        <v>250</v>
      </c>
      <c r="N2927" s="31" t="n">
        <v>85636.27</v>
      </c>
      <c r="O2927" s="31" t="n">
        <v>86546.11</v>
      </c>
      <c r="P2927" s="22" t="n">
        <v>0</v>
      </c>
      <c r="Q2927" s="22" t="n">
        <v>29</v>
      </c>
      <c r="R2927" s="22" t="n">
        <v>0</v>
      </c>
    </row>
    <row r="2928">
      <c r="A2928" s="22" t="n">
        <v>202102</v>
      </c>
      <c r="B2928" s="22" t="inlineStr">
        <is>
          <t>02/2021</t>
        </is>
      </c>
      <c r="C2928" s="22" t="n">
        <v>1</v>
      </c>
      <c r="D2928" s="22" t="inlineStr">
        <is>
          <t>S01</t>
        </is>
      </c>
      <c r="E2928" s="22" t="inlineStr">
        <is>
          <t>Nexa Australian Capital Territory (S01)</t>
        </is>
      </c>
      <c r="F2928" s="22" t="inlineStr">
        <is>
          <t>Úc</t>
        </is>
      </c>
      <c r="G2928" s="22" t="inlineStr">
        <is>
          <t>POS</t>
        </is>
      </c>
      <c r="H2928" s="31" t="n">
        <v>4634.93</v>
      </c>
      <c r="I2928" s="31" t="n">
        <v>0</v>
      </c>
      <c r="J2928" s="31" t="n">
        <v>4634.93</v>
      </c>
      <c r="K2928" s="31" t="n">
        <v>0</v>
      </c>
      <c r="L2928" s="32" t="n">
        <v>2</v>
      </c>
      <c r="M2928" s="32" t="n">
        <v>20</v>
      </c>
      <c r="N2928" s="31" t="n">
        <v>4634.93</v>
      </c>
      <c r="O2928" s="31" t="n">
        <v>4634.93</v>
      </c>
      <c r="P2928" s="22" t="n">
        <v>0</v>
      </c>
      <c r="Q2928" s="22" t="n">
        <v>0</v>
      </c>
      <c r="R2928" s="22" t="n">
        <v>0</v>
      </c>
    </row>
    <row r="2929">
      <c r="A2929" s="22" t="n">
        <v>202102</v>
      </c>
      <c r="B2929" s="22" t="inlineStr">
        <is>
          <t>02/2021</t>
        </is>
      </c>
      <c r="C2929" s="22" t="n">
        <v>4</v>
      </c>
      <c r="D2929" s="22" t="inlineStr">
        <is>
          <t>S04</t>
        </is>
      </c>
      <c r="E2929" s="22" t="inlineStr">
        <is>
          <t>Nexa Tasmania (S04)</t>
        </is>
      </c>
      <c r="F2929" s="22" t="inlineStr">
        <is>
          <t>Úc</t>
        </is>
      </c>
      <c r="G2929" s="22" t="inlineStr">
        <is>
          <t>POS</t>
        </is>
      </c>
      <c r="H2929" s="31" t="n">
        <v>1026.88</v>
      </c>
      <c r="I2929" s="31" t="n">
        <v>0</v>
      </c>
      <c r="J2929" s="31" t="n">
        <v>1026.88</v>
      </c>
      <c r="K2929" s="31" t="n">
        <v>0</v>
      </c>
      <c r="L2929" s="32" t="n">
        <v>1</v>
      </c>
      <c r="M2929" s="32" t="n">
        <v>2</v>
      </c>
      <c r="N2929" s="31" t="n">
        <v>1026.88</v>
      </c>
      <c r="O2929" s="31" t="n">
        <v>1026.88</v>
      </c>
      <c r="P2929" s="22" t="n">
        <v>0</v>
      </c>
      <c r="Q2929" s="22" t="n">
        <v>0</v>
      </c>
      <c r="R2929" s="22" t="n">
        <v>0</v>
      </c>
    </row>
    <row r="2930">
      <c r="A2930" s="22" t="n">
        <v>202102</v>
      </c>
      <c r="B2930" s="22" t="inlineStr">
        <is>
          <t>02/2021</t>
        </is>
      </c>
      <c r="C2930" s="22" t="n">
        <v>5</v>
      </c>
      <c r="D2930" s="22" t="inlineStr">
        <is>
          <t>S05</t>
        </is>
      </c>
      <c r="E2930" s="22" t="inlineStr">
        <is>
          <t>Nexa Victoria (S05)</t>
        </is>
      </c>
      <c r="F2930" s="22" t="inlineStr">
        <is>
          <t>Úc</t>
        </is>
      </c>
      <c r="G2930" s="22" t="inlineStr">
        <is>
          <t>POS</t>
        </is>
      </c>
      <c r="H2930" s="31" t="n">
        <v>6754.78</v>
      </c>
      <c r="I2930" s="31" t="n">
        <v>0</v>
      </c>
      <c r="J2930" s="31" t="n">
        <v>6754.78</v>
      </c>
      <c r="K2930" s="31" t="n">
        <v>0</v>
      </c>
      <c r="L2930" s="32" t="n">
        <v>2</v>
      </c>
      <c r="M2930" s="32" t="n">
        <v>25</v>
      </c>
      <c r="N2930" s="31" t="n">
        <v>6754.78</v>
      </c>
      <c r="O2930" s="31" t="n">
        <v>6754.78</v>
      </c>
      <c r="P2930" s="22" t="n">
        <v>0</v>
      </c>
      <c r="Q2930" s="22" t="n">
        <v>0</v>
      </c>
      <c r="R2930" s="22" t="n">
        <v>0</v>
      </c>
    </row>
    <row r="2931">
      <c r="A2931" s="22" t="n">
        <v>202102</v>
      </c>
      <c r="B2931" s="22" t="inlineStr">
        <is>
          <t>02/2021</t>
        </is>
      </c>
      <c r="C2931" s="22" t="n">
        <v>6</v>
      </c>
      <c r="D2931" s="22" t="inlineStr">
        <is>
          <t>S06</t>
        </is>
      </c>
      <c r="E2931" s="22" t="inlineStr">
        <is>
          <t>Nexa Western Australia (S06)</t>
        </is>
      </c>
      <c r="F2931" s="22" t="inlineStr">
        <is>
          <t>Úc</t>
        </is>
      </c>
      <c r="G2931" s="22" t="inlineStr">
        <is>
          <t>POS</t>
        </is>
      </c>
      <c r="H2931" s="31" t="n">
        <v>109</v>
      </c>
      <c r="I2931" s="31" t="n">
        <v>0</v>
      </c>
      <c r="J2931" s="31" t="n">
        <v>109</v>
      </c>
      <c r="K2931" s="31" t="n">
        <v>0</v>
      </c>
      <c r="L2931" s="32" t="n">
        <v>1</v>
      </c>
      <c r="M2931" s="32" t="n">
        <v>1</v>
      </c>
      <c r="N2931" s="31" t="n">
        <v>109</v>
      </c>
      <c r="O2931" s="31" t="n">
        <v>109</v>
      </c>
      <c r="P2931" s="22" t="n">
        <v>0</v>
      </c>
      <c r="Q2931" s="22" t="n">
        <v>0</v>
      </c>
      <c r="R2931" s="22" t="n">
        <v>0</v>
      </c>
    </row>
    <row r="2932">
      <c r="A2932" s="22" t="n">
        <v>202102</v>
      </c>
      <c r="B2932" s="22" t="inlineStr">
        <is>
          <t>02/2021</t>
        </is>
      </c>
      <c r="C2932" s="22" t="n">
        <v>8</v>
      </c>
      <c r="D2932" s="22" t="inlineStr">
        <is>
          <t>S08</t>
        </is>
      </c>
      <c r="E2932" s="22" t="inlineStr">
        <is>
          <t>Nexa Newfoundland and Labrador (S08)</t>
        </is>
      </c>
      <c r="F2932" s="22" t="inlineStr">
        <is>
          <t>Canada</t>
        </is>
      </c>
      <c r="G2932" s="22" t="inlineStr">
        <is>
          <t>POS</t>
        </is>
      </c>
      <c r="H2932" s="31" t="n">
        <v>9929.139999999999</v>
      </c>
      <c r="I2932" s="31" t="n">
        <v>0</v>
      </c>
      <c r="J2932" s="31" t="n">
        <v>9929.139999999999</v>
      </c>
      <c r="K2932" s="31" t="n">
        <v>0</v>
      </c>
      <c r="L2932" s="32" t="n">
        <v>5</v>
      </c>
      <c r="M2932" s="32" t="n">
        <v>40</v>
      </c>
      <c r="N2932" s="31" t="n">
        <v>9929.139999999999</v>
      </c>
      <c r="O2932" s="31" t="n">
        <v>9929.139999999999</v>
      </c>
      <c r="P2932" s="22" t="n">
        <v>0</v>
      </c>
      <c r="Q2932" s="22" t="n">
        <v>0</v>
      </c>
      <c r="R2932" s="22" t="n">
        <v>0</v>
      </c>
    </row>
    <row r="2933">
      <c r="A2933" s="22" t="n">
        <v>202102</v>
      </c>
      <c r="B2933" s="22" t="inlineStr">
        <is>
          <t>02/2021</t>
        </is>
      </c>
      <c r="C2933" s="22" t="n">
        <v>9</v>
      </c>
      <c r="D2933" s="22" t="inlineStr">
        <is>
          <t>S09</t>
        </is>
      </c>
      <c r="E2933" s="22" t="inlineStr">
        <is>
          <t>Nexa Northwest Territories (S09)</t>
        </is>
      </c>
      <c r="F2933" s="22" t="inlineStr">
        <is>
          <t>Canada</t>
        </is>
      </c>
      <c r="G2933" s="22" t="inlineStr">
        <is>
          <t>POS</t>
        </is>
      </c>
      <c r="H2933" s="31" t="n">
        <v>14525.44</v>
      </c>
      <c r="I2933" s="31" t="n">
        <v>0</v>
      </c>
      <c r="J2933" s="31" t="n">
        <v>14525.44</v>
      </c>
      <c r="K2933" s="31" t="n">
        <v>42.97</v>
      </c>
      <c r="L2933" s="32" t="n">
        <v>9</v>
      </c>
      <c r="M2933" s="32" t="n">
        <v>70</v>
      </c>
      <c r="N2933" s="31" t="n">
        <v>14482.47</v>
      </c>
      <c r="O2933" s="31" t="n">
        <v>14525.44</v>
      </c>
      <c r="P2933" s="22" t="n">
        <v>0</v>
      </c>
      <c r="Q2933" s="22" t="n">
        <v>0</v>
      </c>
      <c r="R2933" s="22" t="n">
        <v>1</v>
      </c>
    </row>
    <row r="2934">
      <c r="A2934" s="22" t="n">
        <v>202102</v>
      </c>
      <c r="B2934" s="22" t="inlineStr">
        <is>
          <t>02/2021</t>
        </is>
      </c>
      <c r="C2934" s="22" t="n">
        <v>10</v>
      </c>
      <c r="D2934" s="22" t="inlineStr">
        <is>
          <t>S10</t>
        </is>
      </c>
      <c r="E2934" s="22" t="inlineStr">
        <is>
          <t>Nexa Nunavut (S10)</t>
        </is>
      </c>
      <c r="F2934" s="22" t="inlineStr">
        <is>
          <t>Canada</t>
        </is>
      </c>
      <c r="G2934" s="22" t="inlineStr">
        <is>
          <t>POS</t>
        </is>
      </c>
      <c r="H2934" s="31" t="n">
        <v>5070.29</v>
      </c>
      <c r="I2934" s="31" t="n">
        <v>0</v>
      </c>
      <c r="J2934" s="31" t="n">
        <v>5070.29</v>
      </c>
      <c r="K2934" s="31" t="n">
        <v>0</v>
      </c>
      <c r="L2934" s="32" t="n">
        <v>3</v>
      </c>
      <c r="M2934" s="32" t="n">
        <v>31</v>
      </c>
      <c r="N2934" s="31" t="n">
        <v>5070.29</v>
      </c>
      <c r="O2934" s="31" t="n">
        <v>5070.29</v>
      </c>
      <c r="P2934" s="22" t="n">
        <v>0</v>
      </c>
      <c r="Q2934" s="22" t="n">
        <v>0</v>
      </c>
      <c r="R2934" s="22" t="n">
        <v>0</v>
      </c>
    </row>
    <row r="2935">
      <c r="A2935" s="22" t="n">
        <v>202102</v>
      </c>
      <c r="B2935" s="22" t="inlineStr">
        <is>
          <t>02/2021</t>
        </is>
      </c>
      <c r="C2935" s="22" t="n">
        <v>12</v>
      </c>
      <c r="D2935" s="22" t="inlineStr">
        <is>
          <t>S12</t>
        </is>
      </c>
      <c r="E2935" s="22" t="inlineStr">
        <is>
          <t>Nexa Basse-Normandie (S12)</t>
        </is>
      </c>
      <c r="F2935" s="22" t="inlineStr">
        <is>
          <t>Pháp</t>
        </is>
      </c>
      <c r="G2935" s="22" t="inlineStr">
        <is>
          <t>POS</t>
        </is>
      </c>
      <c r="H2935" s="31" t="n">
        <v>2852.53</v>
      </c>
      <c r="I2935" s="31" t="n">
        <v>0</v>
      </c>
      <c r="J2935" s="31" t="n">
        <v>2852.53</v>
      </c>
      <c r="K2935" s="31" t="n">
        <v>0</v>
      </c>
      <c r="L2935" s="32" t="n">
        <v>2</v>
      </c>
      <c r="M2935" s="32" t="n">
        <v>20</v>
      </c>
      <c r="N2935" s="31" t="n">
        <v>2852.53</v>
      </c>
      <c r="O2935" s="31" t="n">
        <v>2852.53</v>
      </c>
      <c r="P2935" s="22" t="n">
        <v>0</v>
      </c>
      <c r="Q2935" s="22" t="n">
        <v>0</v>
      </c>
      <c r="R2935" s="22" t="n">
        <v>0</v>
      </c>
    </row>
    <row r="2936">
      <c r="A2936" s="22" t="n">
        <v>202102</v>
      </c>
      <c r="B2936" s="22" t="inlineStr">
        <is>
          <t>02/2021</t>
        </is>
      </c>
      <c r="C2936" s="22" t="n">
        <v>13</v>
      </c>
      <c r="D2936" s="22" t="inlineStr">
        <is>
          <t>S13</t>
        </is>
      </c>
      <c r="E2936" s="22" t="inlineStr">
        <is>
          <t>Nexa Corse (S13)</t>
        </is>
      </c>
      <c r="F2936" s="22" t="inlineStr">
        <is>
          <t>Pháp</t>
        </is>
      </c>
      <c r="G2936" s="22" t="inlineStr">
        <is>
          <t>POS</t>
        </is>
      </c>
      <c r="H2936" s="31" t="n">
        <v>2799.02</v>
      </c>
      <c r="I2936" s="31" t="n">
        <v>0</v>
      </c>
      <c r="J2936" s="31" t="n">
        <v>2799.02</v>
      </c>
      <c r="K2936" s="31" t="n">
        <v>0</v>
      </c>
      <c r="L2936" s="32" t="n">
        <v>1</v>
      </c>
      <c r="M2936" s="32" t="n">
        <v>9</v>
      </c>
      <c r="N2936" s="31" t="n">
        <v>2799.02</v>
      </c>
      <c r="O2936" s="31" t="n">
        <v>2799.02</v>
      </c>
      <c r="P2936" s="22" t="n">
        <v>0</v>
      </c>
      <c r="Q2936" s="22" t="n">
        <v>0</v>
      </c>
      <c r="R2936" s="22" t="n">
        <v>0</v>
      </c>
    </row>
    <row r="2937">
      <c r="A2937" s="22" t="n">
        <v>202102</v>
      </c>
      <c r="B2937" s="22" t="inlineStr">
        <is>
          <t>02/2021</t>
        </is>
      </c>
      <c r="C2937" s="22" t="n">
        <v>14</v>
      </c>
      <c r="D2937" s="22" t="inlineStr">
        <is>
          <t>S14</t>
        </is>
      </c>
      <c r="E2937" s="22" t="inlineStr">
        <is>
          <t>Nexa Franche-Comté (S14)</t>
        </is>
      </c>
      <c r="F2937" s="22" t="inlineStr">
        <is>
          <t>Pháp</t>
        </is>
      </c>
      <c r="G2937" s="22" t="inlineStr">
        <is>
          <t>POS</t>
        </is>
      </c>
      <c r="H2937" s="31" t="n">
        <v>317.07</v>
      </c>
      <c r="I2937" s="31" t="n">
        <v>0</v>
      </c>
      <c r="J2937" s="31" t="n">
        <v>317.07</v>
      </c>
      <c r="K2937" s="31" t="n">
        <v>0</v>
      </c>
      <c r="L2937" s="32" t="n">
        <v>1</v>
      </c>
      <c r="M2937" s="32" t="n">
        <v>4</v>
      </c>
      <c r="N2937" s="31" t="n">
        <v>317.07</v>
      </c>
      <c r="O2937" s="31" t="n">
        <v>317.07</v>
      </c>
      <c r="P2937" s="22" t="n">
        <v>0</v>
      </c>
      <c r="Q2937" s="22" t="n">
        <v>0</v>
      </c>
      <c r="R2937" s="22" t="n">
        <v>0</v>
      </c>
    </row>
    <row r="2938">
      <c r="A2938" s="22" t="n">
        <v>202102</v>
      </c>
      <c r="B2938" s="22" t="inlineStr">
        <is>
          <t>02/2021</t>
        </is>
      </c>
      <c r="C2938" s="22" t="n">
        <v>15</v>
      </c>
      <c r="D2938" s="22" t="inlineStr">
        <is>
          <t>S15</t>
        </is>
      </c>
      <c r="E2938" s="22" t="inlineStr">
        <is>
          <t>Nexa La Réunion (S15)</t>
        </is>
      </c>
      <c r="F2938" s="22" t="inlineStr">
        <is>
          <t>Pháp</t>
        </is>
      </c>
      <c r="G2938" s="22" t="inlineStr">
        <is>
          <t>POS</t>
        </is>
      </c>
      <c r="H2938" s="31" t="n">
        <v>5508</v>
      </c>
      <c r="I2938" s="31" t="n">
        <v>0</v>
      </c>
      <c r="J2938" s="31" t="n">
        <v>5508</v>
      </c>
      <c r="K2938" s="31" t="n">
        <v>0</v>
      </c>
      <c r="L2938" s="32" t="n">
        <v>1</v>
      </c>
      <c r="M2938" s="32" t="n">
        <v>18</v>
      </c>
      <c r="N2938" s="31" t="n">
        <v>5508</v>
      </c>
      <c r="O2938" s="31" t="n">
        <v>5508</v>
      </c>
      <c r="P2938" s="22" t="n">
        <v>0</v>
      </c>
      <c r="Q2938" s="22" t="n">
        <v>0</v>
      </c>
      <c r="R2938" s="22" t="n">
        <v>0</v>
      </c>
    </row>
    <row r="2939">
      <c r="A2939" s="22" t="n">
        <v>202102</v>
      </c>
      <c r="B2939" s="22" t="inlineStr">
        <is>
          <t>02/2021</t>
        </is>
      </c>
      <c r="C2939" s="22" t="n">
        <v>17</v>
      </c>
      <c r="D2939" s="22" t="inlineStr">
        <is>
          <t>S17</t>
        </is>
      </c>
      <c r="E2939" s="22" t="inlineStr">
        <is>
          <t>Nexa Martinique (S17)</t>
        </is>
      </c>
      <c r="F2939" s="22" t="inlineStr">
        <is>
          <t>Pháp</t>
        </is>
      </c>
      <c r="G2939" s="22" t="inlineStr">
        <is>
          <t>POS</t>
        </is>
      </c>
      <c r="H2939" s="31" t="n">
        <v>2604</v>
      </c>
      <c r="I2939" s="31" t="n">
        <v>0</v>
      </c>
      <c r="J2939" s="31" t="n">
        <v>2604</v>
      </c>
      <c r="K2939" s="31" t="n">
        <v>1138.1</v>
      </c>
      <c r="L2939" s="32" t="n">
        <v>1</v>
      </c>
      <c r="M2939" s="32" t="n">
        <v>7</v>
      </c>
      <c r="N2939" s="31" t="n">
        <v>1465.9</v>
      </c>
      <c r="O2939" s="31" t="n">
        <v>2604</v>
      </c>
      <c r="P2939" s="22" t="n">
        <v>0</v>
      </c>
      <c r="Q2939" s="22" t="n">
        <v>0</v>
      </c>
      <c r="R2939" s="22" t="n">
        <v>0</v>
      </c>
    </row>
    <row r="2940">
      <c r="A2940" s="22" t="n">
        <v>202102</v>
      </c>
      <c r="B2940" s="22" t="inlineStr">
        <is>
          <t>02/2021</t>
        </is>
      </c>
      <c r="C2940" s="22" t="n">
        <v>18</v>
      </c>
      <c r="D2940" s="22" t="inlineStr">
        <is>
          <t>S18</t>
        </is>
      </c>
      <c r="E2940" s="22" t="inlineStr">
        <is>
          <t>Nexa Mayotte (S18)</t>
        </is>
      </c>
      <c r="F2940" s="22" t="inlineStr">
        <is>
          <t>Pháp</t>
        </is>
      </c>
      <c r="G2940" s="22" t="inlineStr">
        <is>
          <t>POS</t>
        </is>
      </c>
      <c r="H2940" s="31" t="n">
        <v>4092.69</v>
      </c>
      <c r="I2940" s="31" t="n">
        <v>0</v>
      </c>
      <c r="J2940" s="31" t="n">
        <v>4092.69</v>
      </c>
      <c r="K2940" s="31" t="n">
        <v>0</v>
      </c>
      <c r="L2940" s="32" t="n">
        <v>1</v>
      </c>
      <c r="M2940" s="32" t="n">
        <v>18</v>
      </c>
      <c r="N2940" s="31" t="n">
        <v>4092.69</v>
      </c>
      <c r="O2940" s="31" t="n">
        <v>4092.69</v>
      </c>
      <c r="P2940" s="22" t="n">
        <v>0</v>
      </c>
      <c r="Q2940" s="22" t="n">
        <v>0</v>
      </c>
      <c r="R2940" s="22" t="n">
        <v>0</v>
      </c>
    </row>
    <row r="2941">
      <c r="A2941" s="22" t="n">
        <v>202102</v>
      </c>
      <c r="B2941" s="22" t="inlineStr">
        <is>
          <t>02/2021</t>
        </is>
      </c>
      <c r="C2941" s="22" t="n">
        <v>19</v>
      </c>
      <c r="D2941" s="22" t="inlineStr">
        <is>
          <t>S19</t>
        </is>
      </c>
      <c r="E2941" s="22" t="inlineStr">
        <is>
          <t>Nexa Berlin (S19)</t>
        </is>
      </c>
      <c r="F2941" s="22" t="inlineStr">
        <is>
          <t>Đức</t>
        </is>
      </c>
      <c r="G2941" s="22" t="inlineStr">
        <is>
          <t>POS</t>
        </is>
      </c>
      <c r="H2941" s="31" t="n">
        <v>13312.83</v>
      </c>
      <c r="I2941" s="31" t="n">
        <v>0</v>
      </c>
      <c r="J2941" s="31" t="n">
        <v>13312.83</v>
      </c>
      <c r="K2941" s="31" t="n">
        <v>0</v>
      </c>
      <c r="L2941" s="32" t="n">
        <v>1</v>
      </c>
      <c r="M2941" s="32" t="n">
        <v>13</v>
      </c>
      <c r="N2941" s="31" t="n">
        <v>13312.83</v>
      </c>
      <c r="O2941" s="31" t="n">
        <v>13312.83</v>
      </c>
      <c r="P2941" s="22" t="n">
        <v>2</v>
      </c>
      <c r="Q2941" s="22" t="n">
        <v>0</v>
      </c>
      <c r="R2941" s="22" t="n">
        <v>0</v>
      </c>
    </row>
    <row r="2942">
      <c r="A2942" s="22" t="n">
        <v>202102</v>
      </c>
      <c r="B2942" s="22" t="inlineStr">
        <is>
          <t>02/2021</t>
        </is>
      </c>
      <c r="C2942" s="22" t="n">
        <v>22</v>
      </c>
      <c r="D2942" s="22" t="inlineStr">
        <is>
          <t>S22</t>
        </is>
      </c>
      <c r="E2942" s="22" t="inlineStr">
        <is>
          <t>Nexa Freistaat Thüringen (S22)</t>
        </is>
      </c>
      <c r="F2942" s="22" t="inlineStr">
        <is>
          <t>Đức</t>
        </is>
      </c>
      <c r="G2942" s="22" t="inlineStr">
        <is>
          <t>POS</t>
        </is>
      </c>
      <c r="H2942" s="31" t="n">
        <v>2320.92</v>
      </c>
      <c r="I2942" s="31" t="n">
        <v>0</v>
      </c>
      <c r="J2942" s="31" t="n">
        <v>2320.92</v>
      </c>
      <c r="K2942" s="31" t="n">
        <v>0</v>
      </c>
      <c r="L2942" s="32" t="n">
        <v>2</v>
      </c>
      <c r="M2942" s="32" t="n">
        <v>12</v>
      </c>
      <c r="N2942" s="31" t="n">
        <v>2320.92</v>
      </c>
      <c r="O2942" s="31" t="n">
        <v>2320.92</v>
      </c>
      <c r="P2942" s="22" t="n">
        <v>0</v>
      </c>
      <c r="Q2942" s="22" t="n">
        <v>0</v>
      </c>
      <c r="R2942" s="22" t="n">
        <v>0</v>
      </c>
    </row>
    <row r="2943">
      <c r="A2943" s="22" t="n">
        <v>202102</v>
      </c>
      <c r="B2943" s="22" t="inlineStr">
        <is>
          <t>02/2021</t>
        </is>
      </c>
      <c r="C2943" s="22" t="n">
        <v>24</v>
      </c>
      <c r="D2943" s="22" t="inlineStr">
        <is>
          <t>S24</t>
        </is>
      </c>
      <c r="E2943" s="22" t="inlineStr">
        <is>
          <t>Nexa Hessen (S24)</t>
        </is>
      </c>
      <c r="F2943" s="22" t="inlineStr">
        <is>
          <t>Đức</t>
        </is>
      </c>
      <c r="G2943" s="22" t="inlineStr">
        <is>
          <t>POS</t>
        </is>
      </c>
      <c r="H2943" s="31" t="n">
        <v>880.83</v>
      </c>
      <c r="I2943" s="31" t="n">
        <v>0</v>
      </c>
      <c r="J2943" s="31" t="n">
        <v>880.83</v>
      </c>
      <c r="K2943" s="31" t="n">
        <v>0</v>
      </c>
      <c r="L2943" s="32" t="n">
        <v>2</v>
      </c>
      <c r="M2943" s="32" t="n">
        <v>9</v>
      </c>
      <c r="N2943" s="31" t="n">
        <v>880.83</v>
      </c>
      <c r="O2943" s="31" t="n">
        <v>880.83</v>
      </c>
      <c r="P2943" s="22" t="n">
        <v>0</v>
      </c>
      <c r="Q2943" s="22" t="n">
        <v>0</v>
      </c>
      <c r="R2943" s="22" t="n">
        <v>0</v>
      </c>
    </row>
    <row r="2944">
      <c r="A2944" s="22" t="n">
        <v>202102</v>
      </c>
      <c r="B2944" s="22" t="inlineStr">
        <is>
          <t>02/2021</t>
        </is>
      </c>
      <c r="C2944" s="22" t="n">
        <v>26</v>
      </c>
      <c r="D2944" s="22" t="inlineStr">
        <is>
          <t>S26</t>
        </is>
      </c>
      <c r="E2944" s="22" t="inlineStr">
        <is>
          <t>Nexa Saarland (S26)</t>
        </is>
      </c>
      <c r="F2944" s="22" t="inlineStr">
        <is>
          <t>Đức</t>
        </is>
      </c>
      <c r="G2944" s="22" t="inlineStr">
        <is>
          <t>POS</t>
        </is>
      </c>
      <c r="H2944" s="31" t="n">
        <v>10331.46</v>
      </c>
      <c r="I2944" s="31" t="n">
        <v>0</v>
      </c>
      <c r="J2944" s="31" t="n">
        <v>10331.46</v>
      </c>
      <c r="K2944" s="31" t="n">
        <v>0</v>
      </c>
      <c r="L2944" s="32" t="n">
        <v>2</v>
      </c>
      <c r="M2944" s="32" t="n">
        <v>26</v>
      </c>
      <c r="N2944" s="31" t="n">
        <v>10331.46</v>
      </c>
      <c r="O2944" s="31" t="n">
        <v>10331.46</v>
      </c>
      <c r="P2944" s="22" t="n">
        <v>0</v>
      </c>
      <c r="Q2944" s="22" t="n">
        <v>0</v>
      </c>
      <c r="R2944" s="22" t="n">
        <v>0</v>
      </c>
    </row>
    <row r="2945">
      <c r="A2945" s="22" t="n">
        <v>202102</v>
      </c>
      <c r="B2945" s="22" t="inlineStr">
        <is>
          <t>02/2021</t>
        </is>
      </c>
      <c r="C2945" s="22" t="n">
        <v>29</v>
      </c>
      <c r="D2945" s="22" t="inlineStr">
        <is>
          <t>S29</t>
        </is>
      </c>
      <c r="E2945" s="22" t="inlineStr">
        <is>
          <t>Nexa Enna (S29)</t>
        </is>
      </c>
      <c r="F2945" s="22" t="inlineStr">
        <is>
          <t>Ý</t>
        </is>
      </c>
      <c r="G2945" s="22" t="inlineStr">
        <is>
          <t>POS</t>
        </is>
      </c>
      <c r="H2945" s="31" t="n">
        <v>8348.610000000001</v>
      </c>
      <c r="I2945" s="31" t="n">
        <v>0</v>
      </c>
      <c r="J2945" s="31" t="n">
        <v>8348.610000000001</v>
      </c>
      <c r="K2945" s="31" t="n">
        <v>0</v>
      </c>
      <c r="L2945" s="32" t="n">
        <v>5</v>
      </c>
      <c r="M2945" s="32" t="n">
        <v>58</v>
      </c>
      <c r="N2945" s="31" t="n">
        <v>8348.610000000001</v>
      </c>
      <c r="O2945" s="31" t="n">
        <v>8348.610000000001</v>
      </c>
      <c r="P2945" s="22" t="n">
        <v>0</v>
      </c>
      <c r="Q2945" s="22" t="n">
        <v>0</v>
      </c>
      <c r="R2945" s="22" t="n">
        <v>0</v>
      </c>
    </row>
    <row r="2946">
      <c r="A2946" s="22" t="n">
        <v>202102</v>
      </c>
      <c r="B2946" s="22" t="inlineStr">
        <is>
          <t>02/2021</t>
        </is>
      </c>
      <c r="C2946" s="22" t="n">
        <v>30</v>
      </c>
      <c r="D2946" s="22" t="inlineStr">
        <is>
          <t>S30</t>
        </is>
      </c>
      <c r="E2946" s="22" t="inlineStr">
        <is>
          <t>Nexa Pesaro (S30)</t>
        </is>
      </c>
      <c r="F2946" s="22" t="inlineStr">
        <is>
          <t>Ý</t>
        </is>
      </c>
      <c r="G2946" s="22" t="inlineStr">
        <is>
          <t>POS</t>
        </is>
      </c>
      <c r="H2946" s="31" t="n">
        <v>6803.91</v>
      </c>
      <c r="I2946" s="31" t="n">
        <v>0</v>
      </c>
      <c r="J2946" s="31" t="n">
        <v>6803.91</v>
      </c>
      <c r="K2946" s="31" t="n">
        <v>0</v>
      </c>
      <c r="L2946" s="32" t="n">
        <v>1</v>
      </c>
      <c r="M2946" s="32" t="n">
        <v>18</v>
      </c>
      <c r="N2946" s="31" t="n">
        <v>6803.91</v>
      </c>
      <c r="O2946" s="31" t="n">
        <v>6803.91</v>
      </c>
      <c r="P2946" s="22" t="n">
        <v>0</v>
      </c>
      <c r="Q2946" s="22" t="n">
        <v>0</v>
      </c>
      <c r="R2946" s="22" t="n">
        <v>0</v>
      </c>
    </row>
    <row r="2947">
      <c r="A2947" s="22" t="n">
        <v>202102</v>
      </c>
      <c r="B2947" s="22" t="inlineStr">
        <is>
          <t>02/2021</t>
        </is>
      </c>
      <c r="C2947" s="22" t="n">
        <v>31</v>
      </c>
      <c r="D2947" s="22" t="inlineStr">
        <is>
          <t>S31</t>
        </is>
      </c>
      <c r="E2947" s="22" t="inlineStr">
        <is>
          <t>Nexa Drenthe (S31)</t>
        </is>
      </c>
      <c r="F2947" s="22" t="inlineStr">
        <is>
          <t>Hà Lan</t>
        </is>
      </c>
      <c r="G2947" s="22" t="inlineStr">
        <is>
          <t>POS</t>
        </is>
      </c>
      <c r="H2947" s="31" t="n">
        <v>1808.63</v>
      </c>
      <c r="I2947" s="31" t="n">
        <v>0</v>
      </c>
      <c r="J2947" s="31" t="n">
        <v>1808.63</v>
      </c>
      <c r="K2947" s="31" t="n">
        <v>0</v>
      </c>
      <c r="L2947" s="32" t="n">
        <v>2</v>
      </c>
      <c r="M2947" s="32" t="n">
        <v>26</v>
      </c>
      <c r="N2947" s="31" t="n">
        <v>1808.63</v>
      </c>
      <c r="O2947" s="31" t="n">
        <v>1808.63</v>
      </c>
      <c r="P2947" s="22" t="n">
        <v>0</v>
      </c>
      <c r="Q2947" s="22" t="n">
        <v>0</v>
      </c>
      <c r="R2947" s="22" t="n">
        <v>0</v>
      </c>
    </row>
    <row r="2948">
      <c r="A2948" s="22" t="n">
        <v>202102</v>
      </c>
      <c r="B2948" s="22" t="inlineStr">
        <is>
          <t>02/2021</t>
        </is>
      </c>
      <c r="C2948" s="22" t="n">
        <v>32</v>
      </c>
      <c r="D2948" s="22" t="inlineStr">
        <is>
          <t>S32</t>
        </is>
      </c>
      <c r="E2948" s="22" t="inlineStr">
        <is>
          <t>Nexa Flevoland (S32)</t>
        </is>
      </c>
      <c r="F2948" s="22" t="inlineStr">
        <is>
          <t>Hà Lan</t>
        </is>
      </c>
      <c r="G2948" s="22" t="inlineStr">
        <is>
          <t>POS</t>
        </is>
      </c>
      <c r="H2948" s="31" t="n">
        <v>9446.940000000001</v>
      </c>
      <c r="I2948" s="31" t="n">
        <v>0</v>
      </c>
      <c r="J2948" s="31" t="n">
        <v>9446.940000000001</v>
      </c>
      <c r="K2948" s="31" t="n">
        <v>0</v>
      </c>
      <c r="L2948" s="32" t="n">
        <v>3</v>
      </c>
      <c r="M2948" s="32" t="n">
        <v>40</v>
      </c>
      <c r="N2948" s="31" t="n">
        <v>9446.940000000001</v>
      </c>
      <c r="O2948" s="31" t="n">
        <v>9446.940000000001</v>
      </c>
      <c r="P2948" s="22" t="n">
        <v>0</v>
      </c>
      <c r="Q2948" s="22" t="n">
        <v>0</v>
      </c>
      <c r="R2948" s="22" t="n">
        <v>0</v>
      </c>
    </row>
    <row r="2949">
      <c r="A2949" s="22" t="n">
        <v>202102</v>
      </c>
      <c r="B2949" s="22" t="inlineStr">
        <is>
          <t>02/2021</t>
        </is>
      </c>
      <c r="C2949" s="22" t="n">
        <v>33</v>
      </c>
      <c r="D2949" s="22" t="inlineStr">
        <is>
          <t>S33</t>
        </is>
      </c>
      <c r="E2949" s="22" t="inlineStr">
        <is>
          <t>Nexa Friesland (S33)</t>
        </is>
      </c>
      <c r="F2949" s="22" t="inlineStr">
        <is>
          <t>Hà Lan</t>
        </is>
      </c>
      <c r="G2949" s="22" t="inlineStr">
        <is>
          <t>POS</t>
        </is>
      </c>
      <c r="H2949" s="31" t="n">
        <v>713.97</v>
      </c>
      <c r="I2949" s="31" t="n">
        <v>0</v>
      </c>
      <c r="J2949" s="31" t="n">
        <v>713.97</v>
      </c>
      <c r="K2949" s="31" t="n">
        <v>0</v>
      </c>
      <c r="L2949" s="32" t="n">
        <v>1</v>
      </c>
      <c r="M2949" s="32" t="n">
        <v>4</v>
      </c>
      <c r="N2949" s="31" t="n">
        <v>713.97</v>
      </c>
      <c r="O2949" s="31" t="n">
        <v>713.97</v>
      </c>
      <c r="P2949" s="22" t="n">
        <v>0</v>
      </c>
      <c r="Q2949" s="22" t="n">
        <v>0</v>
      </c>
      <c r="R2949" s="22" t="n">
        <v>0</v>
      </c>
    </row>
    <row r="2950">
      <c r="A2950" s="22" t="n">
        <v>202102</v>
      </c>
      <c r="B2950" s="22" t="inlineStr">
        <is>
          <t>02/2021</t>
        </is>
      </c>
      <c r="C2950" s="22" t="n">
        <v>34</v>
      </c>
      <c r="D2950" s="22" t="inlineStr">
        <is>
          <t>S34</t>
        </is>
      </c>
      <c r="E2950" s="22" t="inlineStr">
        <is>
          <t>Nexa Groningen (S34)</t>
        </is>
      </c>
      <c r="F2950" s="22" t="inlineStr">
        <is>
          <t>Hà Lan</t>
        </is>
      </c>
      <c r="G2950" s="22" t="inlineStr">
        <is>
          <t>POS</t>
        </is>
      </c>
      <c r="H2950" s="31" t="n">
        <v>0</v>
      </c>
      <c r="I2950" s="31" t="n">
        <v>0</v>
      </c>
      <c r="J2950" s="31" t="n">
        <v>0</v>
      </c>
      <c r="K2950" s="31" t="n">
        <v>0</v>
      </c>
      <c r="L2950" s="32" t="n">
        <v>0</v>
      </c>
      <c r="M2950" s="32" t="n">
        <v>0</v>
      </c>
      <c r="N2950" s="31" t="n">
        <v>0</v>
      </c>
      <c r="O2950" s="31" t="n">
        <v>0</v>
      </c>
      <c r="P2950" s="22" t="n">
        <v>1</v>
      </c>
      <c r="Q2950" s="22" t="n">
        <v>0</v>
      </c>
      <c r="R2950" s="22" t="n">
        <v>0</v>
      </c>
    </row>
    <row r="2951">
      <c r="A2951" s="22" t="n">
        <v>202102</v>
      </c>
      <c r="B2951" s="22" t="inlineStr">
        <is>
          <t>02/2021</t>
        </is>
      </c>
      <c r="C2951" s="22" t="n">
        <v>36</v>
      </c>
      <c r="D2951" s="22" t="inlineStr">
        <is>
          <t>S36</t>
        </is>
      </c>
      <c r="E2951" s="22" t="inlineStr">
        <is>
          <t>Nexa Armagh (S36)</t>
        </is>
      </c>
      <c r="F2951" s="22" t="inlineStr">
        <is>
          <t>Anh</t>
        </is>
      </c>
      <c r="G2951" s="22" t="inlineStr">
        <is>
          <t>POS</t>
        </is>
      </c>
      <c r="H2951" s="31" t="n">
        <v>4719.99</v>
      </c>
      <c r="I2951" s="31" t="n">
        <v>0</v>
      </c>
      <c r="J2951" s="31" t="n">
        <v>4719.99</v>
      </c>
      <c r="K2951" s="31" t="n">
        <v>109.99</v>
      </c>
      <c r="L2951" s="32" t="n">
        <v>3</v>
      </c>
      <c r="M2951" s="32" t="n">
        <v>21</v>
      </c>
      <c r="N2951" s="31" t="n">
        <v>4610</v>
      </c>
      <c r="O2951" s="31" t="n">
        <v>4719.99</v>
      </c>
      <c r="P2951" s="22" t="n">
        <v>0</v>
      </c>
      <c r="Q2951" s="22" t="n">
        <v>0</v>
      </c>
      <c r="R2951" s="22" t="n">
        <v>0</v>
      </c>
    </row>
    <row r="2952">
      <c r="A2952" s="22" t="n">
        <v>202102</v>
      </c>
      <c r="B2952" s="22" t="inlineStr">
        <is>
          <t>02/2021</t>
        </is>
      </c>
      <c r="C2952" s="22" t="n">
        <v>37</v>
      </c>
      <c r="D2952" s="22" t="inlineStr">
        <is>
          <t>S37</t>
        </is>
      </c>
      <c r="E2952" s="22" t="inlineStr">
        <is>
          <t>Nexa Ayrshire (S37)</t>
        </is>
      </c>
      <c r="F2952" s="22" t="inlineStr">
        <is>
          <t>Anh</t>
        </is>
      </c>
      <c r="G2952" s="22" t="inlineStr">
        <is>
          <t>POS</t>
        </is>
      </c>
      <c r="H2952" s="31" t="n">
        <v>6056.29</v>
      </c>
      <c r="I2952" s="31" t="n">
        <v>0</v>
      </c>
      <c r="J2952" s="31" t="n">
        <v>6056.29</v>
      </c>
      <c r="K2952" s="31" t="n">
        <v>0</v>
      </c>
      <c r="L2952" s="32" t="n">
        <v>4</v>
      </c>
      <c r="M2952" s="32" t="n">
        <v>24</v>
      </c>
      <c r="N2952" s="31" t="n">
        <v>6056.29</v>
      </c>
      <c r="O2952" s="31" t="n">
        <v>6056.29</v>
      </c>
      <c r="P2952" s="22" t="n">
        <v>0</v>
      </c>
      <c r="Q2952" s="22" t="n">
        <v>0</v>
      </c>
      <c r="R2952" s="22" t="n">
        <v>0</v>
      </c>
    </row>
    <row r="2953">
      <c r="A2953" s="22" t="n">
        <v>202102</v>
      </c>
      <c r="B2953" s="22" t="inlineStr">
        <is>
          <t>02/2021</t>
        </is>
      </c>
      <c r="C2953" s="22" t="n">
        <v>39</v>
      </c>
      <c r="D2953" s="22" t="inlineStr">
        <is>
          <t>S39</t>
        </is>
      </c>
      <c r="E2953" s="22" t="inlineStr">
        <is>
          <t>Nexa Blaenau Gwent (S39)</t>
        </is>
      </c>
      <c r="F2953" s="22" t="inlineStr">
        <is>
          <t>Anh</t>
        </is>
      </c>
      <c r="G2953" s="22" t="inlineStr">
        <is>
          <t>POS</t>
        </is>
      </c>
      <c r="H2953" s="31" t="n">
        <v>2439.8</v>
      </c>
      <c r="I2953" s="31" t="n">
        <v>0</v>
      </c>
      <c r="J2953" s="31" t="n">
        <v>2439.8</v>
      </c>
      <c r="K2953" s="31" t="n">
        <v>0</v>
      </c>
      <c r="L2953" s="32" t="n">
        <v>4</v>
      </c>
      <c r="M2953" s="32" t="n">
        <v>8</v>
      </c>
      <c r="N2953" s="31" t="n">
        <v>2439.8</v>
      </c>
      <c r="O2953" s="31" t="n">
        <v>2439.8</v>
      </c>
      <c r="P2953" s="22" t="n">
        <v>0</v>
      </c>
      <c r="Q2953" s="22" t="n">
        <v>0</v>
      </c>
      <c r="R2953" s="22" t="n">
        <v>0</v>
      </c>
    </row>
    <row r="2954">
      <c r="A2954" s="22" t="n">
        <v>202102</v>
      </c>
      <c r="B2954" s="22" t="inlineStr">
        <is>
          <t>02/2021</t>
        </is>
      </c>
      <c r="C2954" s="22" t="n">
        <v>40</v>
      </c>
      <c r="D2954" s="22" t="inlineStr">
        <is>
          <t>S40</t>
        </is>
      </c>
      <c r="E2954" s="22" t="inlineStr">
        <is>
          <t>Nexa Dungannon and South Tyrone (S40)</t>
        </is>
      </c>
      <c r="F2954" s="22" t="inlineStr">
        <is>
          <t>Anh</t>
        </is>
      </c>
      <c r="G2954" s="22" t="inlineStr">
        <is>
          <t>POS</t>
        </is>
      </c>
      <c r="H2954" s="31" t="n">
        <v>7587.63</v>
      </c>
      <c r="I2954" s="31" t="n">
        <v>0</v>
      </c>
      <c r="J2954" s="31" t="n">
        <v>7587.63</v>
      </c>
      <c r="K2954" s="31" t="n">
        <v>0</v>
      </c>
      <c r="L2954" s="32" t="n">
        <v>3</v>
      </c>
      <c r="M2954" s="32" t="n">
        <v>28</v>
      </c>
      <c r="N2954" s="31" t="n">
        <v>7587.63</v>
      </c>
      <c r="O2954" s="31" t="n">
        <v>7587.63</v>
      </c>
      <c r="P2954" s="22" t="n">
        <v>0</v>
      </c>
      <c r="Q2954" s="22" t="n">
        <v>0</v>
      </c>
      <c r="R2954" s="22" t="n">
        <v>0</v>
      </c>
    </row>
    <row r="2955">
      <c r="A2955" s="22" t="n">
        <v>202102</v>
      </c>
      <c r="B2955" s="22" t="inlineStr">
        <is>
          <t>02/2021</t>
        </is>
      </c>
      <c r="C2955" s="22" t="n">
        <v>42</v>
      </c>
      <c r="D2955" s="22" t="inlineStr">
        <is>
          <t>S42</t>
        </is>
      </c>
      <c r="E2955" s="22" t="inlineStr">
        <is>
          <t>Nexa North Down (S42)</t>
        </is>
      </c>
      <c r="F2955" s="22" t="inlineStr">
        <is>
          <t>Anh</t>
        </is>
      </c>
      <c r="G2955" s="22" t="inlineStr">
        <is>
          <t>POS</t>
        </is>
      </c>
      <c r="H2955" s="31" t="n">
        <v>0</v>
      </c>
      <c r="I2955" s="31" t="n">
        <v>0</v>
      </c>
      <c r="J2955" s="31" t="n">
        <v>0</v>
      </c>
      <c r="K2955" s="31" t="n">
        <v>0</v>
      </c>
      <c r="L2955" s="32" t="n">
        <v>0</v>
      </c>
      <c r="M2955" s="32" t="n">
        <v>0</v>
      </c>
      <c r="N2955" s="31" t="n">
        <v>0</v>
      </c>
      <c r="O2955" s="31" t="n">
        <v>0</v>
      </c>
      <c r="P2955" s="22" t="n">
        <v>1</v>
      </c>
      <c r="Q2955" s="22" t="n">
        <v>0</v>
      </c>
      <c r="R2955" s="22" t="n">
        <v>0</v>
      </c>
    </row>
    <row r="2956">
      <c r="A2956" s="22" t="n">
        <v>202102</v>
      </c>
      <c r="B2956" s="22" t="inlineStr">
        <is>
          <t>02/2021</t>
        </is>
      </c>
      <c r="C2956" s="22" t="n">
        <v>43</v>
      </c>
      <c r="D2956" s="22" t="inlineStr">
        <is>
          <t>S43</t>
        </is>
      </c>
      <c r="E2956" s="22" t="inlineStr">
        <is>
          <t>Nexa Alaska (S43)</t>
        </is>
      </c>
      <c r="F2956" s="22" t="inlineStr">
        <is>
          <t>Mỹ</t>
        </is>
      </c>
      <c r="G2956" s="22" t="inlineStr">
        <is>
          <t>POS</t>
        </is>
      </c>
      <c r="H2956" s="31" t="n">
        <v>8529.969999999999</v>
      </c>
      <c r="I2956" s="31" t="n">
        <v>0</v>
      </c>
      <c r="J2956" s="31" t="n">
        <v>8529.969999999999</v>
      </c>
      <c r="K2956" s="31" t="n">
        <v>109</v>
      </c>
      <c r="L2956" s="32" t="n">
        <v>4</v>
      </c>
      <c r="M2956" s="32" t="n">
        <v>20</v>
      </c>
      <c r="N2956" s="31" t="n">
        <v>8339.870000000001</v>
      </c>
      <c r="O2956" s="31" t="n">
        <v>8529.969999999999</v>
      </c>
      <c r="P2956" s="22" t="n">
        <v>0</v>
      </c>
      <c r="Q2956" s="22" t="n">
        <v>0</v>
      </c>
      <c r="R2956" s="22" t="n">
        <v>0</v>
      </c>
    </row>
    <row r="2957">
      <c r="A2957" s="22" t="n">
        <v>202102</v>
      </c>
      <c r="B2957" s="22" t="inlineStr">
        <is>
          <t>02/2021</t>
        </is>
      </c>
      <c r="C2957" s="22" t="n">
        <v>44</v>
      </c>
      <c r="D2957" s="22" t="inlineStr">
        <is>
          <t>S44</t>
        </is>
      </c>
      <c r="E2957" s="22" t="inlineStr">
        <is>
          <t>Nexa Arkansas (S44)</t>
        </is>
      </c>
      <c r="F2957" s="22" t="inlineStr">
        <is>
          <t>Mỹ</t>
        </is>
      </c>
      <c r="G2957" s="22" t="inlineStr">
        <is>
          <t>POS</t>
        </is>
      </c>
      <c r="H2957" s="31" t="n">
        <v>12424.68</v>
      </c>
      <c r="I2957" s="31" t="n">
        <v>0</v>
      </c>
      <c r="J2957" s="31" t="n">
        <v>12424.68</v>
      </c>
      <c r="K2957" s="31" t="n">
        <v>0</v>
      </c>
      <c r="L2957" s="32" t="n">
        <v>2</v>
      </c>
      <c r="M2957" s="32" t="n">
        <v>33</v>
      </c>
      <c r="N2957" s="31" t="n">
        <v>12424.68</v>
      </c>
      <c r="O2957" s="31" t="n">
        <v>12424.68</v>
      </c>
      <c r="P2957" s="22" t="n">
        <v>0</v>
      </c>
      <c r="Q2957" s="22" t="n">
        <v>0</v>
      </c>
      <c r="R2957" s="22" t="n">
        <v>0</v>
      </c>
    </row>
    <row r="2958">
      <c r="A2958" s="22" t="n">
        <v>202102</v>
      </c>
      <c r="B2958" s="22" t="inlineStr">
        <is>
          <t>02/2021</t>
        </is>
      </c>
      <c r="C2958" s="22" t="n">
        <v>45</v>
      </c>
      <c r="D2958" s="22" t="inlineStr">
        <is>
          <t>S45</t>
        </is>
      </c>
      <c r="E2958" s="22" t="inlineStr">
        <is>
          <t>Nexa Connecticut (S45)</t>
        </is>
      </c>
      <c r="F2958" s="22" t="inlineStr">
        <is>
          <t>Mỹ</t>
        </is>
      </c>
      <c r="G2958" s="22" t="inlineStr">
        <is>
          <t>POS</t>
        </is>
      </c>
      <c r="H2958" s="31" t="n">
        <v>24575.88</v>
      </c>
      <c r="I2958" s="31" t="n">
        <v>0</v>
      </c>
      <c r="J2958" s="31" t="n">
        <v>24575.88</v>
      </c>
      <c r="K2958" s="31" t="n">
        <v>0</v>
      </c>
      <c r="L2958" s="32" t="n">
        <v>7</v>
      </c>
      <c r="M2958" s="32" t="n">
        <v>71</v>
      </c>
      <c r="N2958" s="31" t="n">
        <v>24575.88</v>
      </c>
      <c r="O2958" s="31" t="n">
        <v>24575.88</v>
      </c>
      <c r="P2958" s="22" t="n">
        <v>0</v>
      </c>
      <c r="Q2958" s="22" t="n">
        <v>0</v>
      </c>
      <c r="R2958" s="22" t="n">
        <v>0</v>
      </c>
    </row>
    <row r="2959">
      <c r="A2959" s="22" t="n">
        <v>202102</v>
      </c>
      <c r="B2959" s="22" t="inlineStr">
        <is>
          <t>02/2021</t>
        </is>
      </c>
      <c r="C2959" s="22" t="n">
        <v>47</v>
      </c>
      <c r="D2959" s="22" t="inlineStr">
        <is>
          <t>S47</t>
        </is>
      </c>
      <c r="E2959" s="22" t="inlineStr">
        <is>
          <t>Nexa Hawaii (S47)</t>
        </is>
      </c>
      <c r="F2959" s="22" t="inlineStr">
        <is>
          <t>Mỹ</t>
        </is>
      </c>
      <c r="G2959" s="22" t="inlineStr">
        <is>
          <t>POS</t>
        </is>
      </c>
      <c r="H2959" s="31" t="n">
        <v>10105.44</v>
      </c>
      <c r="I2959" s="31" t="n">
        <v>0</v>
      </c>
      <c r="J2959" s="31" t="n">
        <v>10105.44</v>
      </c>
      <c r="K2959" s="31" t="n">
        <v>568.1</v>
      </c>
      <c r="L2959" s="32" t="n">
        <v>5</v>
      </c>
      <c r="M2959" s="32" t="n">
        <v>50</v>
      </c>
      <c r="N2959" s="31" t="n">
        <v>9537.34</v>
      </c>
      <c r="O2959" s="31" t="n">
        <v>10105.44</v>
      </c>
      <c r="P2959" s="22" t="n">
        <v>0</v>
      </c>
      <c r="Q2959" s="22" t="n">
        <v>0</v>
      </c>
      <c r="R2959" s="22" t="n">
        <v>0</v>
      </c>
    </row>
    <row r="2960">
      <c r="A2960" s="22" t="n">
        <v>202102</v>
      </c>
      <c r="B2960" s="22" t="inlineStr">
        <is>
          <t>02/2021</t>
        </is>
      </c>
      <c r="C2960" s="22" t="n">
        <v>48</v>
      </c>
      <c r="D2960" s="22" t="inlineStr">
        <is>
          <t>S48</t>
        </is>
      </c>
      <c r="E2960" s="22" t="inlineStr">
        <is>
          <t>Nexa Idaho (S48)</t>
        </is>
      </c>
      <c r="F2960" s="22" t="inlineStr">
        <is>
          <t>Mỹ</t>
        </is>
      </c>
      <c r="G2960" s="22" t="inlineStr">
        <is>
          <t>POS</t>
        </is>
      </c>
      <c r="H2960" s="31" t="n">
        <v>2180</v>
      </c>
      <c r="I2960" s="31" t="n">
        <v>0</v>
      </c>
      <c r="J2960" s="31" t="n">
        <v>2180</v>
      </c>
      <c r="K2960" s="31" t="n">
        <v>0</v>
      </c>
      <c r="L2960" s="32" t="n">
        <v>2</v>
      </c>
      <c r="M2960" s="32" t="n">
        <v>7</v>
      </c>
      <c r="N2960" s="31" t="n">
        <v>2180</v>
      </c>
      <c r="O2960" s="31" t="n">
        <v>2180</v>
      </c>
      <c r="P2960" s="22" t="n">
        <v>0</v>
      </c>
      <c r="Q2960" s="22" t="n">
        <v>0</v>
      </c>
      <c r="R2960" s="22" t="n">
        <v>1</v>
      </c>
    </row>
    <row r="2961">
      <c r="A2961" s="22" t="n">
        <v>202102</v>
      </c>
      <c r="B2961" s="22" t="inlineStr">
        <is>
          <t>02/2021</t>
        </is>
      </c>
      <c r="C2961" s="22" t="n">
        <v>49</v>
      </c>
      <c r="D2961" s="22" t="inlineStr">
        <is>
          <t>S49</t>
        </is>
      </c>
      <c r="E2961" s="22" t="inlineStr">
        <is>
          <t>Nexa Iowa (S49)</t>
        </is>
      </c>
      <c r="F2961" s="22" t="inlineStr">
        <is>
          <t>Mỹ</t>
        </is>
      </c>
      <c r="G2961" s="22" t="inlineStr">
        <is>
          <t>POS</t>
        </is>
      </c>
      <c r="H2961" s="31" t="n">
        <v>14295.16</v>
      </c>
      <c r="I2961" s="31" t="n">
        <v>0</v>
      </c>
      <c r="J2961" s="31" t="n">
        <v>14295.16</v>
      </c>
      <c r="K2961" s="31" t="n">
        <v>0</v>
      </c>
      <c r="L2961" s="32" t="n">
        <v>6</v>
      </c>
      <c r="M2961" s="32" t="n">
        <v>46</v>
      </c>
      <c r="N2961" s="31" t="n">
        <v>14295.16</v>
      </c>
      <c r="O2961" s="31" t="n">
        <v>14295.16</v>
      </c>
      <c r="P2961" s="22" t="n">
        <v>0</v>
      </c>
      <c r="Q2961" s="22" t="n">
        <v>0</v>
      </c>
      <c r="R2961" s="22" t="n">
        <v>0</v>
      </c>
    </row>
    <row r="2962">
      <c r="A2962" s="22" t="n">
        <v>202102</v>
      </c>
      <c r="B2962" s="22" t="inlineStr">
        <is>
          <t>02/2021</t>
        </is>
      </c>
      <c r="C2962" s="22" t="n">
        <v>50</v>
      </c>
      <c r="D2962" s="22" t="inlineStr">
        <is>
          <t>S50</t>
        </is>
      </c>
      <c r="E2962" s="22" t="inlineStr">
        <is>
          <t>Nexa Kansas (S50)</t>
        </is>
      </c>
      <c r="F2962" s="22" t="inlineStr">
        <is>
          <t>Mỹ</t>
        </is>
      </c>
      <c r="G2962" s="22" t="inlineStr">
        <is>
          <t>POS</t>
        </is>
      </c>
      <c r="H2962" s="31" t="n">
        <v>6933.36</v>
      </c>
      <c r="I2962" s="31" t="n">
        <v>0</v>
      </c>
      <c r="J2962" s="31" t="n">
        <v>6933.36</v>
      </c>
      <c r="K2962" s="31" t="n">
        <v>0</v>
      </c>
      <c r="L2962" s="32" t="n">
        <v>6</v>
      </c>
      <c r="M2962" s="32" t="n">
        <v>40</v>
      </c>
      <c r="N2962" s="31" t="n">
        <v>6933.36</v>
      </c>
      <c r="O2962" s="31" t="n">
        <v>6933.36</v>
      </c>
      <c r="P2962" s="22" t="n">
        <v>0</v>
      </c>
      <c r="Q2962" s="22" t="n">
        <v>0</v>
      </c>
      <c r="R2962" s="22" t="n">
        <v>0</v>
      </c>
    </row>
    <row r="2963">
      <c r="A2963" s="22" t="n">
        <v>202102</v>
      </c>
      <c r="B2963" s="22" t="inlineStr">
        <is>
          <t>02/2021</t>
        </is>
      </c>
      <c r="C2963" s="22" t="n">
        <v>51</v>
      </c>
      <c r="D2963" s="22" t="inlineStr">
        <is>
          <t>S51</t>
        </is>
      </c>
      <c r="E2963" s="22" t="inlineStr">
        <is>
          <t>Nexa Maine (S51)</t>
        </is>
      </c>
      <c r="F2963" s="22" t="inlineStr">
        <is>
          <t>Mỹ</t>
        </is>
      </c>
      <c r="G2963" s="22" t="inlineStr">
        <is>
          <t>POS</t>
        </is>
      </c>
      <c r="H2963" s="31" t="n">
        <v>6773.36</v>
      </c>
      <c r="I2963" s="31" t="n">
        <v>0</v>
      </c>
      <c r="J2963" s="31" t="n">
        <v>6773.36</v>
      </c>
      <c r="K2963" s="31" t="n">
        <v>0</v>
      </c>
      <c r="L2963" s="32" t="n">
        <v>7</v>
      </c>
      <c r="M2963" s="32" t="n">
        <v>30</v>
      </c>
      <c r="N2963" s="31" t="n">
        <v>6773.36</v>
      </c>
      <c r="O2963" s="31" t="n">
        <v>6773.36</v>
      </c>
      <c r="P2963" s="22" t="n">
        <v>0</v>
      </c>
      <c r="Q2963" s="22" t="n">
        <v>0</v>
      </c>
      <c r="R2963" s="22" t="n">
        <v>0</v>
      </c>
    </row>
    <row r="2964">
      <c r="A2964" s="22" t="n">
        <v>202102</v>
      </c>
      <c r="B2964" s="22" t="inlineStr">
        <is>
          <t>02/2021</t>
        </is>
      </c>
      <c r="C2964" s="22" t="n">
        <v>53</v>
      </c>
      <c r="D2964" s="22" t="inlineStr">
        <is>
          <t>S53</t>
        </is>
      </c>
      <c r="E2964" s="22" t="inlineStr">
        <is>
          <t>Nexa Montana (S53)</t>
        </is>
      </c>
      <c r="F2964" s="22" t="inlineStr">
        <is>
          <t>Mỹ</t>
        </is>
      </c>
      <c r="G2964" s="22" t="inlineStr">
        <is>
          <t>POS</t>
        </is>
      </c>
      <c r="H2964" s="31" t="n">
        <v>20970.64</v>
      </c>
      <c r="I2964" s="31" t="n">
        <v>0</v>
      </c>
      <c r="J2964" s="31" t="n">
        <v>20970.64</v>
      </c>
      <c r="K2964" s="31" t="n">
        <v>0</v>
      </c>
      <c r="L2964" s="32" t="n">
        <v>7</v>
      </c>
      <c r="M2964" s="32" t="n">
        <v>63</v>
      </c>
      <c r="N2964" s="31" t="n">
        <v>20970.64</v>
      </c>
      <c r="O2964" s="31" t="n">
        <v>20970.64</v>
      </c>
      <c r="P2964" s="22" t="n">
        <v>1</v>
      </c>
      <c r="Q2964" s="22" t="n">
        <v>0</v>
      </c>
      <c r="R2964" s="22" t="n">
        <v>0</v>
      </c>
    </row>
    <row r="2965">
      <c r="A2965" s="22" t="n">
        <v>202102</v>
      </c>
      <c r="B2965" s="22" t="inlineStr">
        <is>
          <t>02/2021</t>
        </is>
      </c>
      <c r="C2965" s="22" t="n">
        <v>54</v>
      </c>
      <c r="D2965" s="22" t="inlineStr">
        <is>
          <t>S54</t>
        </is>
      </c>
      <c r="E2965" s="22" t="inlineStr">
        <is>
          <t>Nexa Nebraska (S54)</t>
        </is>
      </c>
      <c r="F2965" s="22" t="inlineStr">
        <is>
          <t>Mỹ</t>
        </is>
      </c>
      <c r="G2965" s="22" t="inlineStr">
        <is>
          <t>POS</t>
        </is>
      </c>
      <c r="H2965" s="31" t="n">
        <v>6783.99</v>
      </c>
      <c r="I2965" s="31" t="n">
        <v>0</v>
      </c>
      <c r="J2965" s="31" t="n">
        <v>6783.99</v>
      </c>
      <c r="K2965" s="31" t="n">
        <v>2266</v>
      </c>
      <c r="L2965" s="32" t="n">
        <v>4</v>
      </c>
      <c r="M2965" s="32" t="n">
        <v>20</v>
      </c>
      <c r="N2965" s="31" t="n">
        <v>4517.99</v>
      </c>
      <c r="O2965" s="31" t="n">
        <v>6783.99</v>
      </c>
      <c r="P2965" s="22" t="n">
        <v>1</v>
      </c>
      <c r="Q2965" s="22" t="n">
        <v>0</v>
      </c>
      <c r="R2965" s="22" t="n">
        <v>0</v>
      </c>
    </row>
    <row r="2966">
      <c r="A2966" s="22" t="n">
        <v>202102</v>
      </c>
      <c r="B2966" s="22" t="inlineStr">
        <is>
          <t>02/2021</t>
        </is>
      </c>
      <c r="C2966" s="22" t="n">
        <v>55</v>
      </c>
      <c r="D2966" s="22" t="inlineStr">
        <is>
          <t>S55</t>
        </is>
      </c>
      <c r="E2966" s="22" t="inlineStr">
        <is>
          <t>Nexa Nevada (S55)</t>
        </is>
      </c>
      <c r="F2966" s="22" t="inlineStr">
        <is>
          <t>Mỹ</t>
        </is>
      </c>
      <c r="G2966" s="22" t="inlineStr">
        <is>
          <t>POS</t>
        </is>
      </c>
      <c r="H2966" s="31" t="n">
        <v>24184.22</v>
      </c>
      <c r="I2966" s="31" t="n">
        <v>0</v>
      </c>
      <c r="J2966" s="31" t="n">
        <v>24184.22</v>
      </c>
      <c r="K2966" s="31" t="n">
        <v>0</v>
      </c>
      <c r="L2966" s="32" t="n">
        <v>8</v>
      </c>
      <c r="M2966" s="32" t="n">
        <v>76</v>
      </c>
      <c r="N2966" s="31" t="n">
        <v>24184.22</v>
      </c>
      <c r="O2966" s="31" t="n">
        <v>24184.22</v>
      </c>
      <c r="P2966" s="22" t="n">
        <v>1</v>
      </c>
      <c r="Q2966" s="22" t="n">
        <v>0</v>
      </c>
      <c r="R2966" s="22" t="n">
        <v>0</v>
      </c>
    </row>
    <row r="2967">
      <c r="A2967" s="22" t="n">
        <v>202102</v>
      </c>
      <c r="B2967" s="22" t="inlineStr">
        <is>
          <t>02/2021</t>
        </is>
      </c>
      <c r="C2967" s="22" t="n">
        <v>56</v>
      </c>
      <c r="D2967" s="22" t="inlineStr">
        <is>
          <t>S56</t>
        </is>
      </c>
      <c r="E2967" s="22" t="inlineStr">
        <is>
          <t>Nexa New Hampshire (S56)</t>
        </is>
      </c>
      <c r="F2967" s="22" t="inlineStr">
        <is>
          <t>Mỹ</t>
        </is>
      </c>
      <c r="G2967" s="22" t="inlineStr">
        <is>
          <t>POS</t>
        </is>
      </c>
      <c r="H2967" s="31" t="n">
        <v>18501.45</v>
      </c>
      <c r="I2967" s="31" t="n">
        <v>0</v>
      </c>
      <c r="J2967" s="31" t="n">
        <v>18501.45</v>
      </c>
      <c r="K2967" s="31" t="n">
        <v>0</v>
      </c>
      <c r="L2967" s="32" t="n">
        <v>8</v>
      </c>
      <c r="M2967" s="32" t="n">
        <v>64</v>
      </c>
      <c r="N2967" s="31" t="n">
        <v>18501.45</v>
      </c>
      <c r="O2967" s="31" t="n">
        <v>18501.45</v>
      </c>
      <c r="P2967" s="22" t="n">
        <v>0</v>
      </c>
      <c r="Q2967" s="22" t="n">
        <v>0</v>
      </c>
      <c r="R2967" s="22" t="n">
        <v>0</v>
      </c>
    </row>
    <row r="2968">
      <c r="A2968" s="22" t="n">
        <v>202102</v>
      </c>
      <c r="B2968" s="22" t="inlineStr">
        <is>
          <t>02/2021</t>
        </is>
      </c>
      <c r="C2968" s="22" t="n">
        <v>57</v>
      </c>
      <c r="D2968" s="22" t="inlineStr">
        <is>
          <t>S57</t>
        </is>
      </c>
      <c r="E2968" s="22" t="inlineStr">
        <is>
          <t>Nexa New Mexico (S57)</t>
        </is>
      </c>
      <c r="F2968" s="22" t="inlineStr">
        <is>
          <t>Mỹ</t>
        </is>
      </c>
      <c r="G2968" s="22" t="inlineStr">
        <is>
          <t>POS</t>
        </is>
      </c>
      <c r="H2968" s="31" t="n">
        <v>1914</v>
      </c>
      <c r="I2968" s="31" t="n">
        <v>0</v>
      </c>
      <c r="J2968" s="31" t="n">
        <v>1914</v>
      </c>
      <c r="K2968" s="31" t="n">
        <v>0</v>
      </c>
      <c r="L2968" s="32" t="n">
        <v>4</v>
      </c>
      <c r="M2968" s="32" t="n">
        <v>30</v>
      </c>
      <c r="N2968" s="31" t="n">
        <v>1914</v>
      </c>
      <c r="O2968" s="31" t="n">
        <v>1914</v>
      </c>
      <c r="P2968" s="22" t="n">
        <v>0</v>
      </c>
      <c r="Q2968" s="22" t="n">
        <v>0</v>
      </c>
      <c r="R2968" s="22" t="n">
        <v>0</v>
      </c>
    </row>
    <row r="2969">
      <c r="A2969" s="22" t="n">
        <v>202102</v>
      </c>
      <c r="B2969" s="22" t="inlineStr">
        <is>
          <t>02/2021</t>
        </is>
      </c>
      <c r="C2969" s="22" t="n">
        <v>59</v>
      </c>
      <c r="D2969" s="22" t="inlineStr">
        <is>
          <t>S59</t>
        </is>
      </c>
      <c r="E2969" s="22" t="inlineStr">
        <is>
          <t>Nexa Oregon (S59)</t>
        </is>
      </c>
      <c r="F2969" s="22" t="inlineStr">
        <is>
          <t>Mỹ</t>
        </is>
      </c>
      <c r="G2969" s="22" t="inlineStr">
        <is>
          <t>POS</t>
        </is>
      </c>
      <c r="H2969" s="31" t="n">
        <v>5839.44</v>
      </c>
      <c r="I2969" s="31" t="n">
        <v>0</v>
      </c>
      <c r="J2969" s="31" t="n">
        <v>5839.44</v>
      </c>
      <c r="K2969" s="31" t="n">
        <v>0</v>
      </c>
      <c r="L2969" s="32" t="n">
        <v>5</v>
      </c>
      <c r="M2969" s="32" t="n">
        <v>23</v>
      </c>
      <c r="N2969" s="31" t="n">
        <v>5839.44</v>
      </c>
      <c r="O2969" s="31" t="n">
        <v>5839.44</v>
      </c>
      <c r="P2969" s="22" t="n">
        <v>0</v>
      </c>
      <c r="Q2969" s="22" t="n">
        <v>0</v>
      </c>
      <c r="R2969" s="22" t="n">
        <v>0</v>
      </c>
    </row>
    <row r="2970">
      <c r="A2970" s="22" t="n">
        <v>202102</v>
      </c>
      <c r="B2970" s="22" t="inlineStr">
        <is>
          <t>02/2021</t>
        </is>
      </c>
      <c r="C2970" s="22" t="n">
        <v>61</v>
      </c>
      <c r="D2970" s="22" t="inlineStr">
        <is>
          <t>S61</t>
        </is>
      </c>
      <c r="E2970" s="22" t="inlineStr">
        <is>
          <t>Nexa South Carolina (S61)</t>
        </is>
      </c>
      <c r="F2970" s="22" t="inlineStr">
        <is>
          <t>Mỹ</t>
        </is>
      </c>
      <c r="G2970" s="22" t="inlineStr">
        <is>
          <t>POS</t>
        </is>
      </c>
      <c r="H2970" s="31" t="n">
        <v>35187.53</v>
      </c>
      <c r="I2970" s="31" t="n">
        <v>0</v>
      </c>
      <c r="J2970" s="31" t="n">
        <v>35187.53</v>
      </c>
      <c r="K2970" s="31" t="n">
        <v>0</v>
      </c>
      <c r="L2970" s="32" t="n">
        <v>6</v>
      </c>
      <c r="M2970" s="32" t="n">
        <v>78</v>
      </c>
      <c r="N2970" s="31" t="n">
        <v>35187.53</v>
      </c>
      <c r="O2970" s="31" t="n">
        <v>35187.53</v>
      </c>
      <c r="P2970" s="22" t="n">
        <v>0</v>
      </c>
      <c r="Q2970" s="22" t="n">
        <v>0</v>
      </c>
      <c r="R2970" s="22" t="n">
        <v>1</v>
      </c>
    </row>
    <row r="2971">
      <c r="A2971" s="22" t="n">
        <v>202102</v>
      </c>
      <c r="B2971" s="22" t="inlineStr">
        <is>
          <t>02/2021</t>
        </is>
      </c>
      <c r="C2971" s="22" t="n">
        <v>62</v>
      </c>
      <c r="D2971" s="22" t="inlineStr">
        <is>
          <t>S62</t>
        </is>
      </c>
      <c r="E2971" s="22" t="inlineStr">
        <is>
          <t>Nexa South Dakota (S62)</t>
        </is>
      </c>
      <c r="F2971" s="22" t="inlineStr">
        <is>
          <t>Mỹ</t>
        </is>
      </c>
      <c r="G2971" s="22" t="inlineStr">
        <is>
          <t>POS</t>
        </is>
      </c>
      <c r="H2971" s="31" t="n">
        <v>23276.47</v>
      </c>
      <c r="I2971" s="31" t="n">
        <v>0</v>
      </c>
      <c r="J2971" s="31" t="n">
        <v>23276.47</v>
      </c>
      <c r="K2971" s="31" t="n">
        <v>0</v>
      </c>
      <c r="L2971" s="32" t="n">
        <v>7</v>
      </c>
      <c r="M2971" s="32" t="n">
        <v>51</v>
      </c>
      <c r="N2971" s="31" t="n">
        <v>23276.47</v>
      </c>
      <c r="O2971" s="31" t="n">
        <v>23276.47</v>
      </c>
      <c r="P2971" s="22" t="n">
        <v>0</v>
      </c>
      <c r="Q2971" s="22" t="n">
        <v>0</v>
      </c>
      <c r="R2971" s="22" t="n">
        <v>1</v>
      </c>
    </row>
    <row r="2972">
      <c r="A2972" s="22" t="n">
        <v>202102</v>
      </c>
      <c r="B2972" s="22" t="inlineStr">
        <is>
          <t>02/2021</t>
        </is>
      </c>
      <c r="C2972" s="22" t="n">
        <v>64</v>
      </c>
      <c r="D2972" s="22" t="inlineStr">
        <is>
          <t>S64</t>
        </is>
      </c>
      <c r="E2972" s="22" t="inlineStr">
        <is>
          <t>Nexa Washington DC (S64)</t>
        </is>
      </c>
      <c r="F2972" s="22" t="inlineStr">
        <is>
          <t>Mỹ</t>
        </is>
      </c>
      <c r="G2972" s="22" t="inlineStr">
        <is>
          <t>POS</t>
        </is>
      </c>
      <c r="H2972" s="31" t="n">
        <v>2054.78</v>
      </c>
      <c r="I2972" s="31" t="n">
        <v>0</v>
      </c>
      <c r="J2972" s="31" t="n">
        <v>2054.78</v>
      </c>
      <c r="K2972" s="31" t="n">
        <v>299</v>
      </c>
      <c r="L2972" s="32" t="n">
        <v>2</v>
      </c>
      <c r="M2972" s="32" t="n">
        <v>16</v>
      </c>
      <c r="N2972" s="31" t="n">
        <v>1755.78</v>
      </c>
      <c r="O2972" s="31" t="n">
        <v>2054.78</v>
      </c>
      <c r="P2972" s="22" t="n">
        <v>0</v>
      </c>
      <c r="Q2972" s="22" t="n">
        <v>0</v>
      </c>
      <c r="R2972" s="22" t="n">
        <v>0</v>
      </c>
    </row>
    <row r="2973">
      <c r="A2973" s="22" t="n">
        <v>202102</v>
      </c>
      <c r="B2973" s="22" t="inlineStr">
        <is>
          <t>02/2021</t>
        </is>
      </c>
      <c r="C2973" s="22" t="n">
        <v>65</v>
      </c>
      <c r="D2973" s="22" t="inlineStr">
        <is>
          <t>S65</t>
        </is>
      </c>
      <c r="E2973" s="22" t="inlineStr">
        <is>
          <t>Nexa West Virginia (S65)</t>
        </is>
      </c>
      <c r="F2973" s="22" t="inlineStr">
        <is>
          <t>Mỹ</t>
        </is>
      </c>
      <c r="G2973" s="22" t="inlineStr">
        <is>
          <t>POS</t>
        </is>
      </c>
      <c r="H2973" s="31" t="n">
        <v>12829.77</v>
      </c>
      <c r="I2973" s="31" t="n">
        <v>0</v>
      </c>
      <c r="J2973" s="31" t="n">
        <v>12829.77</v>
      </c>
      <c r="K2973" s="31" t="n">
        <v>254.6</v>
      </c>
      <c r="L2973" s="32" t="n">
        <v>6</v>
      </c>
      <c r="M2973" s="32" t="n">
        <v>39</v>
      </c>
      <c r="N2973" s="31" t="n">
        <v>12575.17</v>
      </c>
      <c r="O2973" s="31" t="n">
        <v>12829.77</v>
      </c>
      <c r="P2973" s="22" t="n">
        <v>0</v>
      </c>
      <c r="Q2973" s="22" t="n">
        <v>0</v>
      </c>
      <c r="R2973" s="22" t="n">
        <v>0</v>
      </c>
    </row>
    <row r="2974">
      <c r="A2974" s="22" t="n">
        <v>202102</v>
      </c>
      <c r="B2974" s="22" t="inlineStr">
        <is>
          <t>02/2021</t>
        </is>
      </c>
      <c r="C2974" s="22" t="n">
        <v>66</v>
      </c>
      <c r="D2974" s="22" t="inlineStr">
        <is>
          <t>S66</t>
        </is>
      </c>
      <c r="E2974" s="22" t="inlineStr">
        <is>
          <t>Nexa Wyoming (S66)</t>
        </is>
      </c>
      <c r="F2974" s="22" t="inlineStr">
        <is>
          <t>Mỹ</t>
        </is>
      </c>
      <c r="G2974" s="22" t="inlineStr">
        <is>
          <t>POS</t>
        </is>
      </c>
      <c r="H2974" s="31" t="n">
        <v>7747.56</v>
      </c>
      <c r="I2974" s="31" t="n">
        <v>0</v>
      </c>
      <c r="J2974" s="31" t="n">
        <v>7747.56</v>
      </c>
      <c r="K2974" s="31" t="n">
        <v>115.99</v>
      </c>
      <c r="L2974" s="32" t="n">
        <v>6</v>
      </c>
      <c r="M2974" s="32" t="n">
        <v>53</v>
      </c>
      <c r="N2974" s="31" t="n">
        <v>7631.57</v>
      </c>
      <c r="O2974" s="31" t="n">
        <v>7747.56</v>
      </c>
      <c r="P2974" s="22" t="n">
        <v>0</v>
      </c>
      <c r="Q2974" s="22" t="n">
        <v>0</v>
      </c>
      <c r="R2974" s="2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8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month_id</t>
        </is>
      </c>
      <c r="B1" s="24" t="inlineStr">
        <is>
          <t>channel</t>
        </is>
      </c>
      <c r="C1" s="24" t="inlineStr">
        <is>
          <t>category</t>
        </is>
      </c>
      <c r="D1" s="24" t="inlineStr">
        <is>
          <t>net_sales</t>
        </is>
      </c>
      <c r="E1" s="24" t="inlineStr">
        <is>
          <t>returns</t>
        </is>
      </c>
      <c r="F1" s="24" t="inlineStr">
        <is>
          <t>units</t>
        </is>
      </c>
    </row>
    <row r="2">
      <c r="A2" s="22" t="n">
        <v>201601</v>
      </c>
      <c r="B2" s="22" t="inlineStr">
        <is>
          <t>ONLINE</t>
        </is>
      </c>
      <c r="C2" s="22" t="inlineStr">
        <is>
          <t>Âm thanh</t>
        </is>
      </c>
      <c r="D2" s="22" t="n">
        <v>7280.92</v>
      </c>
      <c r="E2" s="22" t="n">
        <v>0</v>
      </c>
      <c r="F2" s="22" t="n">
        <v>34</v>
      </c>
    </row>
    <row r="3">
      <c r="A3" s="22" t="n">
        <v>201601</v>
      </c>
      <c r="B3" s="22" t="inlineStr">
        <is>
          <t>ONLINE</t>
        </is>
      </c>
      <c r="C3" s="22" t="inlineStr">
        <is>
          <t>Máy ảnh</t>
        </is>
      </c>
      <c r="D3" s="22" t="n">
        <v>9278.780000000001</v>
      </c>
      <c r="E3" s="22" t="n">
        <v>0</v>
      </c>
      <c r="F3" s="22" t="n">
        <v>33</v>
      </c>
    </row>
    <row r="4">
      <c r="A4" s="22" t="n">
        <v>201601</v>
      </c>
      <c r="B4" s="22" t="inlineStr">
        <is>
          <t>ONLINE</t>
        </is>
      </c>
      <c r="C4" s="22" t="inlineStr">
        <is>
          <t>Điện thoại</t>
        </is>
      </c>
      <c r="D4" s="22" t="n">
        <v>5930.33</v>
      </c>
      <c r="E4" s="22" t="n">
        <v>538.65</v>
      </c>
      <c r="F4" s="22" t="n">
        <v>41</v>
      </c>
    </row>
    <row r="5">
      <c r="A5" s="22" t="n">
        <v>201601</v>
      </c>
      <c r="B5" s="22" t="inlineStr">
        <is>
          <t>ONLINE</t>
        </is>
      </c>
      <c r="C5" s="22" t="inlineStr">
        <is>
          <t>Máy tính</t>
        </is>
      </c>
      <c r="D5" s="22" t="n">
        <v>13054.22</v>
      </c>
      <c r="E5" s="22" t="n">
        <v>0</v>
      </c>
      <c r="F5" s="22" t="n">
        <v>43</v>
      </c>
    </row>
    <row r="6">
      <c r="A6" s="22" t="n">
        <v>201601</v>
      </c>
      <c r="B6" s="22" t="inlineStr">
        <is>
          <t>ONLINE</t>
        </is>
      </c>
      <c r="C6" s="22" t="inlineStr">
        <is>
          <t>Game &amp; Đồ chơi</t>
        </is>
      </c>
      <c r="D6" s="22" t="n">
        <v>965.5700000000001</v>
      </c>
      <c r="E6" s="22" t="n">
        <v>0</v>
      </c>
      <c r="F6" s="22" t="n">
        <v>35</v>
      </c>
    </row>
    <row r="7">
      <c r="A7" s="22" t="n">
        <v>201601</v>
      </c>
      <c r="B7" s="22" t="inlineStr">
        <is>
          <t>ONLINE</t>
        </is>
      </c>
      <c r="C7" s="22" t="inlineStr">
        <is>
          <t>Gia dụng</t>
        </is>
      </c>
      <c r="D7" s="22" t="n">
        <v>5257.3</v>
      </c>
      <c r="E7" s="22" t="n">
        <v>0</v>
      </c>
      <c r="F7" s="22" t="n">
        <v>21</v>
      </c>
    </row>
    <row r="8">
      <c r="A8" s="22" t="n">
        <v>201601</v>
      </c>
      <c r="B8" s="22" t="inlineStr">
        <is>
          <t>ONLINE</t>
        </is>
      </c>
      <c r="C8" s="22" t="inlineStr">
        <is>
          <t>Nhạc, phim, sách nói</t>
        </is>
      </c>
      <c r="D8" s="22" t="n">
        <v>7011.23</v>
      </c>
      <c r="E8" s="22" t="n">
        <v>0</v>
      </c>
      <c r="F8" s="22" t="n">
        <v>65</v>
      </c>
    </row>
    <row r="9">
      <c r="A9" s="22" t="n">
        <v>201601</v>
      </c>
      <c r="B9" s="22" t="inlineStr">
        <is>
          <t>ONLINE</t>
        </is>
      </c>
      <c r="C9" s="22" t="inlineStr">
        <is>
          <t>TV &amp; Video</t>
        </is>
      </c>
      <c r="D9" s="22" t="n">
        <v>16671.01</v>
      </c>
      <c r="E9" s="22" t="n">
        <v>0</v>
      </c>
      <c r="F9" s="22" t="n">
        <v>27</v>
      </c>
    </row>
    <row r="10">
      <c r="A10" s="22" t="n">
        <v>201601</v>
      </c>
      <c r="B10" s="22" t="inlineStr">
        <is>
          <t>POS</t>
        </is>
      </c>
      <c r="C10" s="22" t="inlineStr">
        <is>
          <t>Âm thanh</t>
        </is>
      </c>
      <c r="D10" s="22" t="n">
        <v>19048.07</v>
      </c>
      <c r="E10" s="22" t="n">
        <v>293.66</v>
      </c>
      <c r="F10" s="22" t="n">
        <v>152</v>
      </c>
    </row>
    <row r="11">
      <c r="A11" s="22" t="n">
        <v>201601</v>
      </c>
      <c r="B11" s="22" t="inlineStr">
        <is>
          <t>POS</t>
        </is>
      </c>
      <c r="C11" s="22" t="inlineStr">
        <is>
          <t>Máy ảnh</t>
        </is>
      </c>
      <c r="D11" s="22" t="n">
        <v>128457.82</v>
      </c>
      <c r="E11" s="22" t="n">
        <v>1421</v>
      </c>
      <c r="F11" s="22" t="n">
        <v>273</v>
      </c>
    </row>
    <row r="12">
      <c r="A12" s="22" t="n">
        <v>201601</v>
      </c>
      <c r="B12" s="22" t="inlineStr">
        <is>
          <t>POS</t>
        </is>
      </c>
      <c r="C12" s="22" t="inlineStr">
        <is>
          <t>Điện thoại</t>
        </is>
      </c>
      <c r="D12" s="22" t="n">
        <v>19704.93</v>
      </c>
      <c r="E12" s="22" t="n">
        <v>23.72</v>
      </c>
      <c r="F12" s="22" t="n">
        <v>110</v>
      </c>
    </row>
    <row r="13">
      <c r="A13" s="22" t="n">
        <v>201601</v>
      </c>
      <c r="B13" s="22" t="inlineStr">
        <is>
          <t>POS</t>
        </is>
      </c>
      <c r="C13" s="22" t="inlineStr">
        <is>
          <t>Máy tính</t>
        </is>
      </c>
      <c r="D13" s="22" t="n">
        <v>62463.41</v>
      </c>
      <c r="E13" s="22" t="n">
        <v>238.85</v>
      </c>
      <c r="F13" s="22" t="n">
        <v>224</v>
      </c>
    </row>
    <row r="14">
      <c r="A14" s="22" t="n">
        <v>201601</v>
      </c>
      <c r="B14" s="22" t="inlineStr">
        <is>
          <t>POS</t>
        </is>
      </c>
      <c r="C14" s="22" t="inlineStr">
        <is>
          <t>Game &amp; Đồ chơi</t>
        </is>
      </c>
      <c r="D14" s="22" t="n">
        <v>5418.59</v>
      </c>
      <c r="E14" s="22" t="n">
        <v>129</v>
      </c>
      <c r="F14" s="22" t="n">
        <v>153</v>
      </c>
    </row>
    <row r="15">
      <c r="A15" s="22" t="n">
        <v>201601</v>
      </c>
      <c r="B15" s="22" t="inlineStr">
        <is>
          <t>POS</t>
        </is>
      </c>
      <c r="C15" s="22" t="inlineStr">
        <is>
          <t>Gia dụng</t>
        </is>
      </c>
      <c r="D15" s="22" t="n">
        <v>191949.52</v>
      </c>
      <c r="E15" s="22" t="n">
        <v>6079.98</v>
      </c>
      <c r="F15" s="22" t="n">
        <v>314</v>
      </c>
    </row>
    <row r="16">
      <c r="A16" s="22" t="n">
        <v>201601</v>
      </c>
      <c r="B16" s="22" t="inlineStr">
        <is>
          <t>POS</t>
        </is>
      </c>
      <c r="C16" s="22" t="inlineStr">
        <is>
          <t>Nhạc, phim, sách nói</t>
        </is>
      </c>
      <c r="D16" s="22" t="n">
        <v>41167.07</v>
      </c>
      <c r="E16" s="22" t="n">
        <v>322.46</v>
      </c>
      <c r="F16" s="22" t="n">
        <v>338</v>
      </c>
    </row>
    <row r="17">
      <c r="A17" s="22" t="n">
        <v>201601</v>
      </c>
      <c r="B17" s="22" t="inlineStr">
        <is>
          <t>POS</t>
        </is>
      </c>
      <c r="C17" s="22" t="inlineStr">
        <is>
          <t>TV &amp; Video</t>
        </is>
      </c>
      <c r="D17" s="22" t="n">
        <v>97006.22</v>
      </c>
      <c r="E17" s="22" t="n">
        <v>408.99</v>
      </c>
      <c r="F17" s="22" t="n">
        <v>218</v>
      </c>
    </row>
    <row r="18">
      <c r="A18" s="22" t="n">
        <v>201602</v>
      </c>
      <c r="B18" s="22" t="inlineStr">
        <is>
          <t>ONLINE</t>
        </is>
      </c>
      <c r="C18" s="22" t="inlineStr">
        <is>
          <t>Âm thanh</t>
        </is>
      </c>
      <c r="D18" s="22" t="n">
        <v>2948.95</v>
      </c>
      <c r="E18" s="22" t="n">
        <v>0</v>
      </c>
      <c r="F18" s="22" t="n">
        <v>26</v>
      </c>
    </row>
    <row r="19">
      <c r="A19" s="22" t="n">
        <v>201602</v>
      </c>
      <c r="B19" s="22" t="inlineStr">
        <is>
          <t>ONLINE</t>
        </is>
      </c>
      <c r="C19" s="22" t="inlineStr">
        <is>
          <t>Máy ảnh</t>
        </is>
      </c>
      <c r="D19" s="22" t="n">
        <v>14467.87</v>
      </c>
      <c r="E19" s="22" t="n">
        <v>0</v>
      </c>
      <c r="F19" s="22" t="n">
        <v>42</v>
      </c>
    </row>
    <row r="20">
      <c r="A20" s="22" t="n">
        <v>201602</v>
      </c>
      <c r="B20" s="22" t="inlineStr">
        <is>
          <t>ONLINE</t>
        </is>
      </c>
      <c r="C20" s="22" t="inlineStr">
        <is>
          <t>Điện thoại</t>
        </is>
      </c>
      <c r="D20" s="22" t="n">
        <v>3817.5</v>
      </c>
      <c r="E20" s="22" t="n">
        <v>559.12</v>
      </c>
      <c r="F20" s="22" t="n">
        <v>15</v>
      </c>
    </row>
    <row r="21">
      <c r="A21" s="22" t="n">
        <v>201602</v>
      </c>
      <c r="B21" s="22" t="inlineStr">
        <is>
          <t>ONLINE</t>
        </is>
      </c>
      <c r="C21" s="22" t="inlineStr">
        <is>
          <t>Máy tính</t>
        </is>
      </c>
      <c r="D21" s="22" t="n">
        <v>22399.17</v>
      </c>
      <c r="E21" s="22" t="n">
        <v>686</v>
      </c>
      <c r="F21" s="22" t="n">
        <v>55</v>
      </c>
    </row>
    <row r="22">
      <c r="A22" s="22" t="n">
        <v>201602</v>
      </c>
      <c r="B22" s="22" t="inlineStr">
        <is>
          <t>ONLINE</t>
        </is>
      </c>
      <c r="C22" s="22" t="inlineStr">
        <is>
          <t>Game &amp; Đồ chơi</t>
        </is>
      </c>
      <c r="D22" s="22" t="n">
        <v>1741.08</v>
      </c>
      <c r="E22" s="22" t="n">
        <v>0</v>
      </c>
      <c r="F22" s="22" t="n">
        <v>45</v>
      </c>
    </row>
    <row r="23">
      <c r="A23" s="22" t="n">
        <v>201602</v>
      </c>
      <c r="B23" s="22" t="inlineStr">
        <is>
          <t>ONLINE</t>
        </is>
      </c>
      <c r="C23" s="22" t="inlineStr">
        <is>
          <t>Gia dụng</t>
        </is>
      </c>
      <c r="D23" s="22" t="n">
        <v>25335.08</v>
      </c>
      <c r="E23" s="22" t="n">
        <v>257.5</v>
      </c>
      <c r="F23" s="22" t="n">
        <v>59</v>
      </c>
    </row>
    <row r="24">
      <c r="A24" s="22" t="n">
        <v>201602</v>
      </c>
      <c r="B24" s="22" t="inlineStr">
        <is>
          <t>ONLINE</t>
        </is>
      </c>
      <c r="C24" s="22" t="inlineStr">
        <is>
          <t>Nhạc, phim, sách nói</t>
        </is>
      </c>
      <c r="D24" s="22" t="n">
        <v>3228.93</v>
      </c>
      <c r="E24" s="22" t="n">
        <v>0</v>
      </c>
      <c r="F24" s="22" t="n">
        <v>62</v>
      </c>
    </row>
    <row r="25">
      <c r="A25" s="22" t="n">
        <v>201602</v>
      </c>
      <c r="B25" s="22" t="inlineStr">
        <is>
          <t>ONLINE</t>
        </is>
      </c>
      <c r="C25" s="22" t="inlineStr">
        <is>
          <t>TV &amp; Video</t>
        </is>
      </c>
      <c r="D25" s="22" t="n">
        <v>20262.36</v>
      </c>
      <c r="E25" s="22" t="n">
        <v>0</v>
      </c>
      <c r="F25" s="22" t="n">
        <v>26</v>
      </c>
    </row>
    <row r="26">
      <c r="A26" s="22" t="n">
        <v>201602</v>
      </c>
      <c r="B26" s="22" t="inlineStr">
        <is>
          <t>POS</t>
        </is>
      </c>
      <c r="C26" s="22" t="inlineStr">
        <is>
          <t>Âm thanh</t>
        </is>
      </c>
      <c r="D26" s="22" t="n">
        <v>31077.91</v>
      </c>
      <c r="E26" s="22" t="n">
        <v>589.74</v>
      </c>
      <c r="F26" s="22" t="n">
        <v>233</v>
      </c>
    </row>
    <row r="27">
      <c r="A27" s="22" t="n">
        <v>201602</v>
      </c>
      <c r="B27" s="22" t="inlineStr">
        <is>
          <t>POS</t>
        </is>
      </c>
      <c r="C27" s="22" t="inlineStr">
        <is>
          <t>Máy ảnh</t>
        </is>
      </c>
      <c r="D27" s="22" t="n">
        <v>106561.33</v>
      </c>
      <c r="E27" s="22" t="n">
        <v>4860</v>
      </c>
      <c r="F27" s="22" t="n">
        <v>294</v>
      </c>
    </row>
    <row r="28">
      <c r="A28" s="22" t="n">
        <v>201602</v>
      </c>
      <c r="B28" s="22" t="inlineStr">
        <is>
          <t>POS</t>
        </is>
      </c>
      <c r="C28" s="22" t="inlineStr">
        <is>
          <t>Điện thoại</t>
        </is>
      </c>
      <c r="D28" s="22" t="n">
        <v>47530.78</v>
      </c>
      <c r="E28" s="22" t="n">
        <v>1317.44</v>
      </c>
      <c r="F28" s="22" t="n">
        <v>262</v>
      </c>
    </row>
    <row r="29">
      <c r="A29" s="22" t="n">
        <v>201602</v>
      </c>
      <c r="B29" s="22" t="inlineStr">
        <is>
          <t>POS</t>
        </is>
      </c>
      <c r="C29" s="22" t="inlineStr">
        <is>
          <t>Máy tính</t>
        </is>
      </c>
      <c r="D29" s="22" t="n">
        <v>149286.03</v>
      </c>
      <c r="E29" s="22" t="n">
        <v>2347.95</v>
      </c>
      <c r="F29" s="22" t="n">
        <v>327</v>
      </c>
    </row>
    <row r="30">
      <c r="A30" s="22" t="n">
        <v>201602</v>
      </c>
      <c r="B30" s="22" t="inlineStr">
        <is>
          <t>POS</t>
        </is>
      </c>
      <c r="C30" s="22" t="inlineStr">
        <is>
          <t>Game &amp; Đồ chơi</t>
        </is>
      </c>
      <c r="D30" s="22" t="n">
        <v>4416.63</v>
      </c>
      <c r="E30" s="22" t="n">
        <v>0</v>
      </c>
      <c r="F30" s="22" t="n">
        <v>171</v>
      </c>
    </row>
    <row r="31">
      <c r="A31" s="22" t="n">
        <v>201602</v>
      </c>
      <c r="B31" s="22" t="inlineStr">
        <is>
          <t>POS</t>
        </is>
      </c>
      <c r="C31" s="22" t="inlineStr">
        <is>
          <t>Gia dụng</t>
        </is>
      </c>
      <c r="D31" s="22" t="n">
        <v>195323.82</v>
      </c>
      <c r="E31" s="22" t="n">
        <v>2668.96</v>
      </c>
      <c r="F31" s="22" t="n">
        <v>364</v>
      </c>
    </row>
    <row r="32">
      <c r="A32" s="22" t="n">
        <v>201602</v>
      </c>
      <c r="B32" s="22" t="inlineStr">
        <is>
          <t>POS</t>
        </is>
      </c>
      <c r="C32" s="22" t="inlineStr">
        <is>
          <t>Nhạc, phim, sách nói</t>
        </is>
      </c>
      <c r="D32" s="22" t="n">
        <v>36892.37</v>
      </c>
      <c r="E32" s="22" t="n">
        <v>173.64</v>
      </c>
      <c r="F32" s="22" t="n">
        <v>397</v>
      </c>
    </row>
    <row r="33">
      <c r="A33" s="22" t="n">
        <v>201602</v>
      </c>
      <c r="B33" s="22" t="inlineStr">
        <is>
          <t>POS</t>
        </is>
      </c>
      <c r="C33" s="22" t="inlineStr">
        <is>
          <t>TV &amp; Video</t>
        </is>
      </c>
      <c r="D33" s="22" t="n">
        <v>211451.66</v>
      </c>
      <c r="E33" s="22" t="n">
        <v>1073.77</v>
      </c>
      <c r="F33" s="22" t="n">
        <v>267</v>
      </c>
    </row>
    <row r="34">
      <c r="A34" s="22" t="n">
        <v>201603</v>
      </c>
      <c r="B34" s="22" t="inlineStr">
        <is>
          <t>ONLINE</t>
        </is>
      </c>
      <c r="C34" s="22" t="inlineStr">
        <is>
          <t>Âm thanh</t>
        </is>
      </c>
      <c r="D34" s="22" t="n">
        <v>1050.52</v>
      </c>
      <c r="E34" s="22" t="n">
        <v>37.95</v>
      </c>
      <c r="F34" s="22" t="n">
        <v>9</v>
      </c>
    </row>
    <row r="35">
      <c r="A35" s="22" t="n">
        <v>201603</v>
      </c>
      <c r="B35" s="22" t="inlineStr">
        <is>
          <t>ONLINE</t>
        </is>
      </c>
      <c r="C35" s="22" t="inlineStr">
        <is>
          <t>Máy ảnh</t>
        </is>
      </c>
      <c r="D35" s="22" t="n">
        <v>1002.5</v>
      </c>
      <c r="E35" s="22" t="n">
        <v>56</v>
      </c>
      <c r="F35" s="22" t="n">
        <v>3</v>
      </c>
    </row>
    <row r="36">
      <c r="A36" s="22" t="n">
        <v>201603</v>
      </c>
      <c r="B36" s="22" t="inlineStr">
        <is>
          <t>ONLINE</t>
        </is>
      </c>
      <c r="C36" s="22" t="inlineStr">
        <is>
          <t>Điện thoại</t>
        </is>
      </c>
      <c r="D36" s="22" t="n">
        <v>4.06</v>
      </c>
      <c r="E36" s="22" t="n">
        <v>0</v>
      </c>
      <c r="F36" s="22" t="n">
        <v>1</v>
      </c>
    </row>
    <row r="37">
      <c r="A37" s="22" t="n">
        <v>201603</v>
      </c>
      <c r="B37" s="22" t="inlineStr">
        <is>
          <t>ONLINE</t>
        </is>
      </c>
      <c r="C37" s="22" t="inlineStr">
        <is>
          <t>Máy tính</t>
        </is>
      </c>
      <c r="D37" s="22" t="n">
        <v>6560.95</v>
      </c>
      <c r="E37" s="22" t="n">
        <v>0</v>
      </c>
      <c r="F37" s="22" t="n">
        <v>13</v>
      </c>
    </row>
    <row r="38">
      <c r="A38" s="22" t="n">
        <v>201603</v>
      </c>
      <c r="B38" s="22" t="inlineStr">
        <is>
          <t>ONLINE</t>
        </is>
      </c>
      <c r="C38" s="22" t="inlineStr">
        <is>
          <t>Game &amp; Đồ chơi</t>
        </is>
      </c>
      <c r="D38" s="22" t="n">
        <v>132.1</v>
      </c>
      <c r="E38" s="22" t="n">
        <v>0</v>
      </c>
      <c r="F38" s="22" t="n">
        <v>2</v>
      </c>
    </row>
    <row r="39">
      <c r="A39" s="22" t="n">
        <v>201603</v>
      </c>
      <c r="B39" s="22" t="inlineStr">
        <is>
          <t>ONLINE</t>
        </is>
      </c>
      <c r="C39" s="22" t="inlineStr">
        <is>
          <t>Gia dụng</t>
        </is>
      </c>
      <c r="D39" s="22" t="n">
        <v>3879.05</v>
      </c>
      <c r="E39" s="22" t="n">
        <v>0</v>
      </c>
      <c r="F39" s="22" t="n">
        <v>20</v>
      </c>
    </row>
    <row r="40">
      <c r="A40" s="22" t="n">
        <v>201603</v>
      </c>
      <c r="B40" s="22" t="inlineStr">
        <is>
          <t>ONLINE</t>
        </is>
      </c>
      <c r="C40" s="22" t="inlineStr">
        <is>
          <t>Nhạc, phim, sách nói</t>
        </is>
      </c>
      <c r="D40" s="22" t="n">
        <v>1371.33</v>
      </c>
      <c r="E40" s="22" t="n">
        <v>69.93000000000001</v>
      </c>
      <c r="F40" s="22" t="n">
        <v>11</v>
      </c>
    </row>
    <row r="41">
      <c r="A41" s="22" t="n">
        <v>201603</v>
      </c>
      <c r="B41" s="22" t="inlineStr">
        <is>
          <t>ONLINE</t>
        </is>
      </c>
      <c r="C41" s="22" t="inlineStr">
        <is>
          <t>TV &amp; Video</t>
        </is>
      </c>
      <c r="D41" s="22" t="n">
        <v>7766.84</v>
      </c>
      <c r="E41" s="22" t="n">
        <v>899.97</v>
      </c>
      <c r="F41" s="22" t="n">
        <v>11</v>
      </c>
    </row>
    <row r="42">
      <c r="A42" s="22" t="n">
        <v>201603</v>
      </c>
      <c r="B42" s="22" t="inlineStr">
        <is>
          <t>POS</t>
        </is>
      </c>
      <c r="C42" s="22" t="inlineStr">
        <is>
          <t>Âm thanh</t>
        </is>
      </c>
      <c r="D42" s="22" t="n">
        <v>19212.86</v>
      </c>
      <c r="E42" s="22" t="n">
        <v>622.85</v>
      </c>
      <c r="F42" s="22" t="n">
        <v>99</v>
      </c>
    </row>
    <row r="43">
      <c r="A43" s="22" t="n">
        <v>201603</v>
      </c>
      <c r="B43" s="22" t="inlineStr">
        <is>
          <t>POS</t>
        </is>
      </c>
      <c r="C43" s="22" t="inlineStr">
        <is>
          <t>Máy ảnh</t>
        </is>
      </c>
      <c r="D43" s="22" t="n">
        <v>69983.32000000001</v>
      </c>
      <c r="E43" s="22" t="n">
        <v>184.5</v>
      </c>
      <c r="F43" s="22" t="n">
        <v>153</v>
      </c>
    </row>
    <row r="44">
      <c r="A44" s="22" t="n">
        <v>201603</v>
      </c>
      <c r="B44" s="22" t="inlineStr">
        <is>
          <t>POS</t>
        </is>
      </c>
      <c r="C44" s="22" t="inlineStr">
        <is>
          <t>Điện thoại</t>
        </is>
      </c>
      <c r="D44" s="22" t="n">
        <v>10897.67</v>
      </c>
      <c r="E44" s="22" t="n">
        <v>775.98</v>
      </c>
      <c r="F44" s="22" t="n">
        <v>58</v>
      </c>
    </row>
    <row r="45">
      <c r="A45" s="22" t="n">
        <v>201603</v>
      </c>
      <c r="B45" s="22" t="inlineStr">
        <is>
          <t>POS</t>
        </is>
      </c>
      <c r="C45" s="22" t="inlineStr">
        <is>
          <t>Máy tính</t>
        </is>
      </c>
      <c r="D45" s="22" t="n">
        <v>24160.5</v>
      </c>
      <c r="E45" s="22" t="n">
        <v>5324.6</v>
      </c>
      <c r="F45" s="22" t="n">
        <v>74</v>
      </c>
    </row>
    <row r="46">
      <c r="A46" s="22" t="n">
        <v>201603</v>
      </c>
      <c r="B46" s="22" t="inlineStr">
        <is>
          <t>POS</t>
        </is>
      </c>
      <c r="C46" s="22" t="inlineStr">
        <is>
          <t>Game &amp; Đồ chơi</t>
        </is>
      </c>
      <c r="D46" s="22" t="n">
        <v>2463.75</v>
      </c>
      <c r="E46" s="22" t="n">
        <v>354.5</v>
      </c>
      <c r="F46" s="22" t="n">
        <v>89</v>
      </c>
    </row>
    <row r="47">
      <c r="A47" s="22" t="n">
        <v>201603</v>
      </c>
      <c r="B47" s="22" t="inlineStr">
        <is>
          <t>POS</t>
        </is>
      </c>
      <c r="C47" s="22" t="inlineStr">
        <is>
          <t>Gia dụng</t>
        </is>
      </c>
      <c r="D47" s="22" t="n">
        <v>142893.84</v>
      </c>
      <c r="E47" s="22" t="n">
        <v>23327.9</v>
      </c>
      <c r="F47" s="22" t="n">
        <v>161</v>
      </c>
    </row>
    <row r="48">
      <c r="A48" s="22" t="n">
        <v>201603</v>
      </c>
      <c r="B48" s="22" t="inlineStr">
        <is>
          <t>POS</t>
        </is>
      </c>
      <c r="C48" s="22" t="inlineStr">
        <is>
          <t>Nhạc, phim, sách nói</t>
        </is>
      </c>
      <c r="D48" s="22" t="n">
        <v>13043.14</v>
      </c>
      <c r="E48" s="22" t="n">
        <v>417.86</v>
      </c>
      <c r="F48" s="22" t="n">
        <v>114</v>
      </c>
    </row>
    <row r="49">
      <c r="A49" s="22" t="n">
        <v>201603</v>
      </c>
      <c r="B49" s="22" t="inlineStr">
        <is>
          <t>POS</t>
        </is>
      </c>
      <c r="C49" s="22" t="inlineStr">
        <is>
          <t>TV &amp; Video</t>
        </is>
      </c>
      <c r="D49" s="22" t="n">
        <v>27725.04</v>
      </c>
      <c r="E49" s="22" t="n">
        <v>1049.95</v>
      </c>
      <c r="F49" s="22" t="n">
        <v>64</v>
      </c>
    </row>
    <row r="50">
      <c r="A50" s="22" t="n">
        <v>201604</v>
      </c>
      <c r="B50" s="22" t="inlineStr">
        <is>
          <t>ONLINE</t>
        </is>
      </c>
      <c r="C50" s="22" t="inlineStr">
        <is>
          <t>Máy ảnh</t>
        </is>
      </c>
      <c r="D50" s="22" t="n">
        <v>8537.99</v>
      </c>
      <c r="E50" s="22" t="n">
        <v>0</v>
      </c>
      <c r="F50" s="22" t="n">
        <v>15</v>
      </c>
    </row>
    <row r="51">
      <c r="A51" s="22" t="n">
        <v>201604</v>
      </c>
      <c r="B51" s="22" t="inlineStr">
        <is>
          <t>ONLINE</t>
        </is>
      </c>
      <c r="C51" s="22" t="inlineStr">
        <is>
          <t>Game &amp; Đồ chơi</t>
        </is>
      </c>
      <c r="D51" s="22" t="n">
        <v>0</v>
      </c>
      <c r="E51" s="22" t="n">
        <v>13.76</v>
      </c>
      <c r="F51" s="22" t="n">
        <v>0</v>
      </c>
    </row>
    <row r="52">
      <c r="A52" s="22" t="n">
        <v>201604</v>
      </c>
      <c r="B52" s="22" t="inlineStr">
        <is>
          <t>ONLINE</t>
        </is>
      </c>
      <c r="C52" s="22" t="inlineStr">
        <is>
          <t>Gia dụng</t>
        </is>
      </c>
      <c r="D52" s="22" t="n">
        <v>6049.25</v>
      </c>
      <c r="E52" s="22" t="n">
        <v>0</v>
      </c>
      <c r="F52" s="22" t="n">
        <v>18</v>
      </c>
    </row>
    <row r="53">
      <c r="A53" s="22" t="n">
        <v>201604</v>
      </c>
      <c r="B53" s="22" t="inlineStr">
        <is>
          <t>ONLINE</t>
        </is>
      </c>
      <c r="C53" s="22" t="inlineStr">
        <is>
          <t>Nhạc, phim, sách nói</t>
        </is>
      </c>
      <c r="D53" s="22" t="n">
        <v>0</v>
      </c>
      <c r="E53" s="22" t="n">
        <v>13.89</v>
      </c>
      <c r="F53" s="22" t="n">
        <v>0</v>
      </c>
    </row>
    <row r="54">
      <c r="A54" s="22" t="n">
        <v>201604</v>
      </c>
      <c r="B54" s="22" t="inlineStr">
        <is>
          <t>ONLINE</t>
        </is>
      </c>
      <c r="C54" s="22" t="inlineStr">
        <is>
          <t>TV &amp; Video</t>
        </is>
      </c>
      <c r="D54" s="22" t="n">
        <v>1310.98</v>
      </c>
      <c r="E54" s="22" t="n">
        <v>0</v>
      </c>
      <c r="F54" s="22" t="n">
        <v>11</v>
      </c>
    </row>
    <row r="55">
      <c r="A55" s="22" t="n">
        <v>201604</v>
      </c>
      <c r="B55" s="22" t="inlineStr">
        <is>
          <t>POS</t>
        </is>
      </c>
      <c r="C55" s="22" t="inlineStr">
        <is>
          <t>Âm thanh</t>
        </is>
      </c>
      <c r="D55" s="22" t="n">
        <v>10231.24</v>
      </c>
      <c r="E55" s="22" t="n">
        <v>999.96</v>
      </c>
      <c r="F55" s="22" t="n">
        <v>69</v>
      </c>
    </row>
    <row r="56">
      <c r="A56" s="22" t="n">
        <v>201604</v>
      </c>
      <c r="B56" s="22" t="inlineStr">
        <is>
          <t>POS</t>
        </is>
      </c>
      <c r="C56" s="22" t="inlineStr">
        <is>
          <t>Máy ảnh</t>
        </is>
      </c>
      <c r="D56" s="22" t="n">
        <v>14591.6</v>
      </c>
      <c r="E56" s="22" t="n">
        <v>1968</v>
      </c>
      <c r="F56" s="22" t="n">
        <v>35</v>
      </c>
    </row>
    <row r="57">
      <c r="A57" s="22" t="n">
        <v>201604</v>
      </c>
      <c r="B57" s="22" t="inlineStr">
        <is>
          <t>POS</t>
        </is>
      </c>
      <c r="C57" s="22" t="inlineStr">
        <is>
          <t>Điện thoại</t>
        </is>
      </c>
      <c r="D57" s="22" t="n">
        <v>3600.93</v>
      </c>
      <c r="E57" s="22" t="n">
        <v>0</v>
      </c>
      <c r="F57" s="22" t="n">
        <v>21</v>
      </c>
    </row>
    <row r="58">
      <c r="A58" s="22" t="n">
        <v>201604</v>
      </c>
      <c r="B58" s="22" t="inlineStr">
        <is>
          <t>POS</t>
        </is>
      </c>
      <c r="C58" s="22" t="inlineStr">
        <is>
          <t>Máy tính</t>
        </is>
      </c>
      <c r="D58" s="22" t="n">
        <v>22349.7</v>
      </c>
      <c r="E58" s="22" t="n">
        <v>469</v>
      </c>
      <c r="F58" s="22" t="n">
        <v>43</v>
      </c>
    </row>
    <row r="59">
      <c r="A59" s="22" t="n">
        <v>201604</v>
      </c>
      <c r="B59" s="22" t="inlineStr">
        <is>
          <t>POS</t>
        </is>
      </c>
      <c r="C59" s="22" t="inlineStr">
        <is>
          <t>Game &amp; Đồ chơi</t>
        </is>
      </c>
      <c r="D59" s="22" t="n">
        <v>337.86</v>
      </c>
      <c r="E59" s="22" t="n">
        <v>0</v>
      </c>
      <c r="F59" s="22" t="n">
        <v>16</v>
      </c>
    </row>
    <row r="60">
      <c r="A60" s="22" t="n">
        <v>201604</v>
      </c>
      <c r="B60" s="22" t="inlineStr">
        <is>
          <t>POS</t>
        </is>
      </c>
      <c r="C60" s="22" t="inlineStr">
        <is>
          <t>Gia dụng</t>
        </is>
      </c>
      <c r="D60" s="22" t="n">
        <v>11764.8</v>
      </c>
      <c r="E60" s="22" t="n">
        <v>163</v>
      </c>
      <c r="F60" s="22" t="n">
        <v>24</v>
      </c>
    </row>
    <row r="61">
      <c r="A61" s="22" t="n">
        <v>201604</v>
      </c>
      <c r="B61" s="22" t="inlineStr">
        <is>
          <t>POS</t>
        </is>
      </c>
      <c r="C61" s="22" t="inlineStr">
        <is>
          <t>Nhạc, phim, sách nói</t>
        </is>
      </c>
      <c r="D61" s="22" t="n">
        <v>3387.45</v>
      </c>
      <c r="E61" s="22" t="n">
        <v>0</v>
      </c>
      <c r="F61" s="22" t="n">
        <v>42</v>
      </c>
    </row>
    <row r="62">
      <c r="A62" s="22" t="n">
        <v>201604</v>
      </c>
      <c r="B62" s="22" t="inlineStr">
        <is>
          <t>POS</t>
        </is>
      </c>
      <c r="C62" s="22" t="inlineStr">
        <is>
          <t>TV &amp; Video</t>
        </is>
      </c>
      <c r="D62" s="22" t="n">
        <v>28429.83</v>
      </c>
      <c r="E62" s="22" t="n">
        <v>0</v>
      </c>
      <c r="F62" s="22" t="n">
        <v>32</v>
      </c>
    </row>
    <row r="63">
      <c r="A63" s="22" t="n">
        <v>201605</v>
      </c>
      <c r="B63" s="22" t="inlineStr">
        <is>
          <t>ONLINE</t>
        </is>
      </c>
      <c r="C63" s="22" t="inlineStr">
        <is>
          <t>Âm thanh</t>
        </is>
      </c>
      <c r="D63" s="22" t="n">
        <v>1741.66</v>
      </c>
      <c r="E63" s="22" t="n">
        <v>0</v>
      </c>
      <c r="F63" s="22" t="n">
        <v>18</v>
      </c>
    </row>
    <row r="64">
      <c r="A64" s="22" t="n">
        <v>201605</v>
      </c>
      <c r="B64" s="22" t="inlineStr">
        <is>
          <t>ONLINE</t>
        </is>
      </c>
      <c r="C64" s="22" t="inlineStr">
        <is>
          <t>Máy ảnh</t>
        </is>
      </c>
      <c r="D64" s="22" t="n">
        <v>3056</v>
      </c>
      <c r="E64" s="22" t="n">
        <v>0</v>
      </c>
      <c r="F64" s="22" t="n">
        <v>7</v>
      </c>
    </row>
    <row r="65">
      <c r="A65" s="22" t="n">
        <v>201605</v>
      </c>
      <c r="B65" s="22" t="inlineStr">
        <is>
          <t>ONLINE</t>
        </is>
      </c>
      <c r="C65" s="22" t="inlineStr">
        <is>
          <t>Điện thoại</t>
        </is>
      </c>
      <c r="D65" s="22" t="n">
        <v>8744.719999999999</v>
      </c>
      <c r="E65" s="22" t="n">
        <v>0</v>
      </c>
      <c r="F65" s="22" t="n">
        <v>30</v>
      </c>
    </row>
    <row r="66">
      <c r="A66" s="22" t="n">
        <v>201605</v>
      </c>
      <c r="B66" s="22" t="inlineStr">
        <is>
          <t>ONLINE</t>
        </is>
      </c>
      <c r="C66" s="22" t="inlineStr">
        <is>
          <t>Máy tính</t>
        </is>
      </c>
      <c r="D66" s="22" t="n">
        <v>11206.45</v>
      </c>
      <c r="E66" s="22" t="n">
        <v>0</v>
      </c>
      <c r="F66" s="22" t="n">
        <v>29</v>
      </c>
    </row>
    <row r="67">
      <c r="A67" s="22" t="n">
        <v>201605</v>
      </c>
      <c r="B67" s="22" t="inlineStr">
        <is>
          <t>ONLINE</t>
        </is>
      </c>
      <c r="C67" s="22" t="inlineStr">
        <is>
          <t>Game &amp; Đồ chơi</t>
        </is>
      </c>
      <c r="D67" s="22" t="n">
        <v>251.6</v>
      </c>
      <c r="E67" s="22" t="n">
        <v>0</v>
      </c>
      <c r="F67" s="22" t="n">
        <v>27</v>
      </c>
    </row>
    <row r="68">
      <c r="A68" s="22" t="n">
        <v>201605</v>
      </c>
      <c r="B68" s="22" t="inlineStr">
        <is>
          <t>ONLINE</t>
        </is>
      </c>
      <c r="C68" s="22" t="inlineStr">
        <is>
          <t>Gia dụng</t>
        </is>
      </c>
      <c r="D68" s="22" t="n">
        <v>9448.049999999999</v>
      </c>
      <c r="E68" s="22" t="n">
        <v>0</v>
      </c>
      <c r="F68" s="22" t="n">
        <v>15</v>
      </c>
    </row>
    <row r="69">
      <c r="A69" s="22" t="n">
        <v>201605</v>
      </c>
      <c r="B69" s="22" t="inlineStr">
        <is>
          <t>ONLINE</t>
        </is>
      </c>
      <c r="C69" s="22" t="inlineStr">
        <is>
          <t>Nhạc, phim, sách nói</t>
        </is>
      </c>
      <c r="D69" s="22" t="n">
        <v>5281.38</v>
      </c>
      <c r="E69" s="22" t="n">
        <v>0</v>
      </c>
      <c r="F69" s="22" t="n">
        <v>51</v>
      </c>
    </row>
    <row r="70">
      <c r="A70" s="22" t="n">
        <v>201605</v>
      </c>
      <c r="B70" s="22" t="inlineStr">
        <is>
          <t>ONLINE</t>
        </is>
      </c>
      <c r="C70" s="22" t="inlineStr">
        <is>
          <t>TV &amp; Video</t>
        </is>
      </c>
      <c r="D70" s="22" t="n">
        <v>11192.52</v>
      </c>
      <c r="E70" s="22" t="n">
        <v>0</v>
      </c>
      <c r="F70" s="22" t="n">
        <v>32</v>
      </c>
    </row>
    <row r="71">
      <c r="A71" s="22" t="n">
        <v>201605</v>
      </c>
      <c r="B71" s="22" t="inlineStr">
        <is>
          <t>POS</t>
        </is>
      </c>
      <c r="C71" s="22" t="inlineStr">
        <is>
          <t>Âm thanh</t>
        </is>
      </c>
      <c r="D71" s="22" t="n">
        <v>12037.34</v>
      </c>
      <c r="E71" s="22" t="n">
        <v>1537.89</v>
      </c>
      <c r="F71" s="22" t="n">
        <v>106</v>
      </c>
    </row>
    <row r="72">
      <c r="A72" s="22" t="n">
        <v>201605</v>
      </c>
      <c r="B72" s="22" t="inlineStr">
        <is>
          <t>POS</t>
        </is>
      </c>
      <c r="C72" s="22" t="inlineStr">
        <is>
          <t>Máy ảnh</t>
        </is>
      </c>
      <c r="D72" s="22" t="n">
        <v>63756.73</v>
      </c>
      <c r="E72" s="22" t="n">
        <v>1606</v>
      </c>
      <c r="F72" s="22" t="n">
        <v>217</v>
      </c>
    </row>
    <row r="73">
      <c r="A73" s="22" t="n">
        <v>201605</v>
      </c>
      <c r="B73" s="22" t="inlineStr">
        <is>
          <t>POS</t>
        </is>
      </c>
      <c r="C73" s="22" t="inlineStr">
        <is>
          <t>Điện thoại</t>
        </is>
      </c>
      <c r="D73" s="22" t="n">
        <v>34202.61</v>
      </c>
      <c r="E73" s="22" t="n">
        <v>0</v>
      </c>
      <c r="F73" s="22" t="n">
        <v>164</v>
      </c>
    </row>
    <row r="74">
      <c r="A74" s="22" t="n">
        <v>201605</v>
      </c>
      <c r="B74" s="22" t="inlineStr">
        <is>
          <t>POS</t>
        </is>
      </c>
      <c r="C74" s="22" t="inlineStr">
        <is>
          <t>Máy tính</t>
        </is>
      </c>
      <c r="D74" s="22" t="n">
        <v>115121.05</v>
      </c>
      <c r="E74" s="22" t="n">
        <v>1079.6</v>
      </c>
      <c r="F74" s="22" t="n">
        <v>231</v>
      </c>
    </row>
    <row r="75">
      <c r="A75" s="22" t="n">
        <v>201605</v>
      </c>
      <c r="B75" s="22" t="inlineStr">
        <is>
          <t>POS</t>
        </is>
      </c>
      <c r="C75" s="22" t="inlineStr">
        <is>
          <t>Game &amp; Đồ chơi</t>
        </is>
      </c>
      <c r="D75" s="22" t="n">
        <v>3248.4</v>
      </c>
      <c r="E75" s="22" t="n">
        <v>52.64</v>
      </c>
      <c r="F75" s="22" t="n">
        <v>101</v>
      </c>
    </row>
    <row r="76">
      <c r="A76" s="22" t="n">
        <v>201605</v>
      </c>
      <c r="B76" s="22" t="inlineStr">
        <is>
          <t>POS</t>
        </is>
      </c>
      <c r="C76" s="22" t="inlineStr">
        <is>
          <t>Gia dụng</t>
        </is>
      </c>
      <c r="D76" s="22" t="n">
        <v>207330.71</v>
      </c>
      <c r="E76" s="22" t="n">
        <v>125.98</v>
      </c>
      <c r="F76" s="22" t="n">
        <v>265</v>
      </c>
    </row>
    <row r="77">
      <c r="A77" s="22" t="n">
        <v>201605</v>
      </c>
      <c r="B77" s="22" t="inlineStr">
        <is>
          <t>POS</t>
        </is>
      </c>
      <c r="C77" s="22" t="inlineStr">
        <is>
          <t>Nhạc, phim, sách nói</t>
        </is>
      </c>
      <c r="D77" s="22" t="n">
        <v>20349.65</v>
      </c>
      <c r="E77" s="22" t="n">
        <v>57.99</v>
      </c>
      <c r="F77" s="22" t="n">
        <v>218</v>
      </c>
    </row>
    <row r="78">
      <c r="A78" s="22" t="n">
        <v>201605</v>
      </c>
      <c r="B78" s="22" t="inlineStr">
        <is>
          <t>POS</t>
        </is>
      </c>
      <c r="C78" s="22" t="inlineStr">
        <is>
          <t>TV &amp; Video</t>
        </is>
      </c>
      <c r="D78" s="22" t="n">
        <v>86286.92</v>
      </c>
      <c r="E78" s="22" t="n">
        <v>219</v>
      </c>
      <c r="F78" s="22" t="n">
        <v>120</v>
      </c>
    </row>
    <row r="79">
      <c r="A79" s="22" t="n">
        <v>201606</v>
      </c>
      <c r="B79" s="22" t="inlineStr">
        <is>
          <t>ONLINE</t>
        </is>
      </c>
      <c r="C79" s="22" t="inlineStr">
        <is>
          <t>Âm thanh</t>
        </is>
      </c>
      <c r="D79" s="22" t="n">
        <v>6783.99</v>
      </c>
      <c r="E79" s="22" t="n">
        <v>0</v>
      </c>
      <c r="F79" s="22" t="n">
        <v>52</v>
      </c>
    </row>
    <row r="80">
      <c r="A80" s="22" t="n">
        <v>201606</v>
      </c>
      <c r="B80" s="22" t="inlineStr">
        <is>
          <t>ONLINE</t>
        </is>
      </c>
      <c r="C80" s="22" t="inlineStr">
        <is>
          <t>Máy ảnh</t>
        </is>
      </c>
      <c r="D80" s="22" t="n">
        <v>17652.37</v>
      </c>
      <c r="E80" s="22" t="n">
        <v>0</v>
      </c>
      <c r="F80" s="22" t="n">
        <v>56</v>
      </c>
    </row>
    <row r="81">
      <c r="A81" s="22" t="n">
        <v>201606</v>
      </c>
      <c r="B81" s="22" t="inlineStr">
        <is>
          <t>ONLINE</t>
        </is>
      </c>
      <c r="C81" s="22" t="inlineStr">
        <is>
          <t>Điện thoại</t>
        </is>
      </c>
      <c r="D81" s="22" t="n">
        <v>10598.27</v>
      </c>
      <c r="E81" s="22" t="n">
        <v>0</v>
      </c>
      <c r="F81" s="22" t="n">
        <v>66</v>
      </c>
    </row>
    <row r="82">
      <c r="A82" s="22" t="n">
        <v>201606</v>
      </c>
      <c r="B82" s="22" t="inlineStr">
        <is>
          <t>ONLINE</t>
        </is>
      </c>
      <c r="C82" s="22" t="inlineStr">
        <is>
          <t>Máy tính</t>
        </is>
      </c>
      <c r="D82" s="22" t="n">
        <v>28339.76</v>
      </c>
      <c r="E82" s="22" t="n">
        <v>2097</v>
      </c>
      <c r="F82" s="22" t="n">
        <v>53</v>
      </c>
    </row>
    <row r="83">
      <c r="A83" s="22" t="n">
        <v>201606</v>
      </c>
      <c r="B83" s="22" t="inlineStr">
        <is>
          <t>ONLINE</t>
        </is>
      </c>
      <c r="C83" s="22" t="inlineStr">
        <is>
          <t>Game &amp; Đồ chơi</t>
        </is>
      </c>
      <c r="D83" s="22" t="n">
        <v>451.56</v>
      </c>
      <c r="E83" s="22" t="n">
        <v>0</v>
      </c>
      <c r="F83" s="22" t="n">
        <v>29</v>
      </c>
    </row>
    <row r="84">
      <c r="A84" s="22" t="n">
        <v>201606</v>
      </c>
      <c r="B84" s="22" t="inlineStr">
        <is>
          <t>ONLINE</t>
        </is>
      </c>
      <c r="C84" s="22" t="inlineStr">
        <is>
          <t>Gia dụng</t>
        </is>
      </c>
      <c r="D84" s="22" t="n">
        <v>10480.91</v>
      </c>
      <c r="E84" s="22" t="n">
        <v>0</v>
      </c>
      <c r="F84" s="22" t="n">
        <v>15</v>
      </c>
    </row>
    <row r="85">
      <c r="A85" s="22" t="n">
        <v>201606</v>
      </c>
      <c r="B85" s="22" t="inlineStr">
        <is>
          <t>ONLINE</t>
        </is>
      </c>
      <c r="C85" s="22" t="inlineStr">
        <is>
          <t>Nhạc, phim, sách nói</t>
        </is>
      </c>
      <c r="D85" s="22" t="n">
        <v>3815.47</v>
      </c>
      <c r="E85" s="22" t="n">
        <v>219</v>
      </c>
      <c r="F85" s="22" t="n">
        <v>37</v>
      </c>
    </row>
    <row r="86">
      <c r="A86" s="22" t="n">
        <v>201606</v>
      </c>
      <c r="B86" s="22" t="inlineStr">
        <is>
          <t>ONLINE</t>
        </is>
      </c>
      <c r="C86" s="22" t="inlineStr">
        <is>
          <t>TV &amp; Video</t>
        </is>
      </c>
      <c r="D86" s="22" t="n">
        <v>10730.39</v>
      </c>
      <c r="E86" s="22" t="n">
        <v>0</v>
      </c>
      <c r="F86" s="22" t="n">
        <v>27</v>
      </c>
    </row>
    <row r="87">
      <c r="A87" s="22" t="n">
        <v>201606</v>
      </c>
      <c r="B87" s="22" t="inlineStr">
        <is>
          <t>POS</t>
        </is>
      </c>
      <c r="C87" s="22" t="inlineStr">
        <is>
          <t>Âm thanh</t>
        </is>
      </c>
      <c r="D87" s="22" t="n">
        <v>20442.62</v>
      </c>
      <c r="E87" s="22" t="n">
        <v>439.8</v>
      </c>
      <c r="F87" s="22" t="n">
        <v>170</v>
      </c>
    </row>
    <row r="88">
      <c r="A88" s="22" t="n">
        <v>201606</v>
      </c>
      <c r="B88" s="22" t="inlineStr">
        <is>
          <t>POS</t>
        </is>
      </c>
      <c r="C88" s="22" t="inlineStr">
        <is>
          <t>Máy ảnh</t>
        </is>
      </c>
      <c r="D88" s="22" t="n">
        <v>57260.76</v>
      </c>
      <c r="E88" s="22" t="n">
        <v>3124</v>
      </c>
      <c r="F88" s="22" t="n">
        <v>146</v>
      </c>
    </row>
    <row r="89">
      <c r="A89" s="22" t="n">
        <v>201606</v>
      </c>
      <c r="B89" s="22" t="inlineStr">
        <is>
          <t>POS</t>
        </is>
      </c>
      <c r="C89" s="22" t="inlineStr">
        <is>
          <t>Điện thoại</t>
        </is>
      </c>
      <c r="D89" s="22" t="n">
        <v>20761.86</v>
      </c>
      <c r="E89" s="22" t="n">
        <v>0</v>
      </c>
      <c r="F89" s="22" t="n">
        <v>109</v>
      </c>
    </row>
    <row r="90">
      <c r="A90" s="22" t="n">
        <v>201606</v>
      </c>
      <c r="B90" s="22" t="inlineStr">
        <is>
          <t>POS</t>
        </is>
      </c>
      <c r="C90" s="22" t="inlineStr">
        <is>
          <t>Máy tính</t>
        </is>
      </c>
      <c r="D90" s="22" t="n">
        <v>81360</v>
      </c>
      <c r="E90" s="22" t="n">
        <v>118</v>
      </c>
      <c r="F90" s="22" t="n">
        <v>215</v>
      </c>
    </row>
    <row r="91">
      <c r="A91" s="22" t="n">
        <v>201606</v>
      </c>
      <c r="B91" s="22" t="inlineStr">
        <is>
          <t>POS</t>
        </is>
      </c>
      <c r="C91" s="22" t="inlineStr">
        <is>
          <t>Game &amp; Đồ chơi</t>
        </is>
      </c>
      <c r="D91" s="22" t="n">
        <v>5153.25</v>
      </c>
      <c r="E91" s="22" t="n">
        <v>43</v>
      </c>
      <c r="F91" s="22" t="n">
        <v>133</v>
      </c>
    </row>
    <row r="92">
      <c r="A92" s="22" t="n">
        <v>201606</v>
      </c>
      <c r="B92" s="22" t="inlineStr">
        <is>
          <t>POS</t>
        </is>
      </c>
      <c r="C92" s="22" t="inlineStr">
        <is>
          <t>Gia dụng</t>
        </is>
      </c>
      <c r="D92" s="22" t="n">
        <v>138318.78</v>
      </c>
      <c r="E92" s="22" t="n">
        <v>8610.950000000001</v>
      </c>
      <c r="F92" s="22" t="n">
        <v>301</v>
      </c>
    </row>
    <row r="93">
      <c r="A93" s="22" t="n">
        <v>201606</v>
      </c>
      <c r="B93" s="22" t="inlineStr">
        <is>
          <t>POS</t>
        </is>
      </c>
      <c r="C93" s="22" t="inlineStr">
        <is>
          <t>Nhạc, phim, sách nói</t>
        </is>
      </c>
      <c r="D93" s="22" t="n">
        <v>29085.86</v>
      </c>
      <c r="E93" s="22" t="n">
        <v>155.53</v>
      </c>
      <c r="F93" s="22" t="n">
        <v>276</v>
      </c>
    </row>
    <row r="94">
      <c r="A94" s="22" t="n">
        <v>201606</v>
      </c>
      <c r="B94" s="22" t="inlineStr">
        <is>
          <t>POS</t>
        </is>
      </c>
      <c r="C94" s="22" t="inlineStr">
        <is>
          <t>TV &amp; Video</t>
        </is>
      </c>
      <c r="D94" s="22" t="n">
        <v>68375.02</v>
      </c>
      <c r="E94" s="22" t="n">
        <v>299.99</v>
      </c>
      <c r="F94" s="22" t="n">
        <v>158</v>
      </c>
    </row>
    <row r="95">
      <c r="A95" s="22" t="n">
        <v>201607</v>
      </c>
      <c r="B95" s="22" t="inlineStr">
        <is>
          <t>ONLINE</t>
        </is>
      </c>
      <c r="C95" s="22" t="inlineStr">
        <is>
          <t>Âm thanh</t>
        </is>
      </c>
      <c r="D95" s="22" t="n">
        <v>2509.5</v>
      </c>
      <c r="E95" s="22" t="n">
        <v>299.94</v>
      </c>
      <c r="F95" s="22" t="n">
        <v>22</v>
      </c>
    </row>
    <row r="96">
      <c r="A96" s="22" t="n">
        <v>201607</v>
      </c>
      <c r="B96" s="22" t="inlineStr">
        <is>
          <t>ONLINE</t>
        </is>
      </c>
      <c r="C96" s="22" t="inlineStr">
        <is>
          <t>Máy ảnh</t>
        </is>
      </c>
      <c r="D96" s="22" t="n">
        <v>8532.190000000001</v>
      </c>
      <c r="E96" s="22" t="n">
        <v>0</v>
      </c>
      <c r="F96" s="22" t="n">
        <v>52</v>
      </c>
    </row>
    <row r="97">
      <c r="A97" s="22" t="n">
        <v>201607</v>
      </c>
      <c r="B97" s="22" t="inlineStr">
        <is>
          <t>ONLINE</t>
        </is>
      </c>
      <c r="C97" s="22" t="inlineStr">
        <is>
          <t>Điện thoại</t>
        </is>
      </c>
      <c r="D97" s="22" t="n">
        <v>4385.45</v>
      </c>
      <c r="E97" s="22" t="n">
        <v>0</v>
      </c>
      <c r="F97" s="22" t="n">
        <v>27</v>
      </c>
    </row>
    <row r="98">
      <c r="A98" s="22" t="n">
        <v>201607</v>
      </c>
      <c r="B98" s="22" t="inlineStr">
        <is>
          <t>ONLINE</t>
        </is>
      </c>
      <c r="C98" s="22" t="inlineStr">
        <is>
          <t>Máy tính</t>
        </is>
      </c>
      <c r="D98" s="22" t="n">
        <v>49606.17</v>
      </c>
      <c r="E98" s="22" t="n">
        <v>0</v>
      </c>
      <c r="F98" s="22" t="n">
        <v>74</v>
      </c>
    </row>
    <row r="99">
      <c r="A99" s="22" t="n">
        <v>201607</v>
      </c>
      <c r="B99" s="22" t="inlineStr">
        <is>
          <t>ONLINE</t>
        </is>
      </c>
      <c r="C99" s="22" t="inlineStr">
        <is>
          <t>Game &amp; Đồ chơi</t>
        </is>
      </c>
      <c r="D99" s="22" t="n">
        <v>1196.93</v>
      </c>
      <c r="E99" s="22" t="n">
        <v>0</v>
      </c>
      <c r="F99" s="22" t="n">
        <v>36</v>
      </c>
    </row>
    <row r="100">
      <c r="A100" s="22" t="n">
        <v>201607</v>
      </c>
      <c r="B100" s="22" t="inlineStr">
        <is>
          <t>ONLINE</t>
        </is>
      </c>
      <c r="C100" s="22" t="inlineStr">
        <is>
          <t>Gia dụng</t>
        </is>
      </c>
      <c r="D100" s="22" t="n">
        <v>19829.47</v>
      </c>
      <c r="E100" s="22" t="n">
        <v>0</v>
      </c>
      <c r="F100" s="22" t="n">
        <v>34</v>
      </c>
    </row>
    <row r="101">
      <c r="A101" s="22" t="n">
        <v>201607</v>
      </c>
      <c r="B101" s="22" t="inlineStr">
        <is>
          <t>ONLINE</t>
        </is>
      </c>
      <c r="C101" s="22" t="inlineStr">
        <is>
          <t>Nhạc, phim, sách nói</t>
        </is>
      </c>
      <c r="D101" s="22" t="n">
        <v>9631.26</v>
      </c>
      <c r="E101" s="22" t="n">
        <v>0</v>
      </c>
      <c r="F101" s="22" t="n">
        <v>62</v>
      </c>
    </row>
    <row r="102">
      <c r="A102" s="22" t="n">
        <v>201607</v>
      </c>
      <c r="B102" s="22" t="inlineStr">
        <is>
          <t>ONLINE</t>
        </is>
      </c>
      <c r="C102" s="22" t="inlineStr">
        <is>
          <t>TV &amp; Video</t>
        </is>
      </c>
      <c r="D102" s="22" t="n">
        <v>33744.39</v>
      </c>
      <c r="E102" s="22" t="n">
        <v>0</v>
      </c>
      <c r="F102" s="22" t="n">
        <v>59</v>
      </c>
    </row>
    <row r="103">
      <c r="A103" s="22" t="n">
        <v>201607</v>
      </c>
      <c r="B103" s="22" t="inlineStr">
        <is>
          <t>POS</t>
        </is>
      </c>
      <c r="C103" s="22" t="inlineStr">
        <is>
          <t>Âm thanh</t>
        </is>
      </c>
      <c r="D103" s="22" t="n">
        <v>32403.12</v>
      </c>
      <c r="E103" s="22" t="n">
        <v>296</v>
      </c>
      <c r="F103" s="22" t="n">
        <v>203</v>
      </c>
    </row>
    <row r="104">
      <c r="A104" s="22" t="n">
        <v>201607</v>
      </c>
      <c r="B104" s="22" t="inlineStr">
        <is>
          <t>POS</t>
        </is>
      </c>
      <c r="C104" s="22" t="inlineStr">
        <is>
          <t>Máy ảnh</t>
        </is>
      </c>
      <c r="D104" s="22" t="n">
        <v>40123.11</v>
      </c>
      <c r="E104" s="22" t="n">
        <v>0</v>
      </c>
      <c r="F104" s="22" t="n">
        <v>120</v>
      </c>
    </row>
    <row r="105">
      <c r="A105" s="22" t="n">
        <v>201607</v>
      </c>
      <c r="B105" s="22" t="inlineStr">
        <is>
          <t>POS</t>
        </is>
      </c>
      <c r="C105" s="22" t="inlineStr">
        <is>
          <t>Điện thoại</t>
        </is>
      </c>
      <c r="D105" s="22" t="n">
        <v>28654.1</v>
      </c>
      <c r="E105" s="22" t="n">
        <v>299</v>
      </c>
      <c r="F105" s="22" t="n">
        <v>128</v>
      </c>
    </row>
    <row r="106">
      <c r="A106" s="22" t="n">
        <v>201607</v>
      </c>
      <c r="B106" s="22" t="inlineStr">
        <is>
          <t>POS</t>
        </is>
      </c>
      <c r="C106" s="22" t="inlineStr">
        <is>
          <t>Máy tính</t>
        </is>
      </c>
      <c r="D106" s="22" t="n">
        <v>63417.39</v>
      </c>
      <c r="E106" s="22" t="n">
        <v>0</v>
      </c>
      <c r="F106" s="22" t="n">
        <v>161</v>
      </c>
    </row>
    <row r="107">
      <c r="A107" s="22" t="n">
        <v>201607</v>
      </c>
      <c r="B107" s="22" t="inlineStr">
        <is>
          <t>POS</t>
        </is>
      </c>
      <c r="C107" s="22" t="inlineStr">
        <is>
          <t>Game &amp; Đồ chơi</t>
        </is>
      </c>
      <c r="D107" s="22" t="n">
        <v>3437.32</v>
      </c>
      <c r="E107" s="22" t="n">
        <v>345.87</v>
      </c>
      <c r="F107" s="22" t="n">
        <v>108</v>
      </c>
    </row>
    <row r="108">
      <c r="A108" s="22" t="n">
        <v>201607</v>
      </c>
      <c r="B108" s="22" t="inlineStr">
        <is>
          <t>POS</t>
        </is>
      </c>
      <c r="C108" s="22" t="inlineStr">
        <is>
          <t>Gia dụng</t>
        </is>
      </c>
      <c r="D108" s="22" t="n">
        <v>69916.87</v>
      </c>
      <c r="E108" s="22" t="n">
        <v>3398.48</v>
      </c>
      <c r="F108" s="22" t="n">
        <v>149</v>
      </c>
    </row>
    <row r="109">
      <c r="A109" s="22" t="n">
        <v>201607</v>
      </c>
      <c r="B109" s="22" t="inlineStr">
        <is>
          <t>POS</t>
        </is>
      </c>
      <c r="C109" s="22" t="inlineStr">
        <is>
          <t>Nhạc, phim, sách nói</t>
        </is>
      </c>
      <c r="D109" s="22" t="n">
        <v>20381.7</v>
      </c>
      <c r="E109" s="22" t="n">
        <v>946.98</v>
      </c>
      <c r="F109" s="22" t="n">
        <v>194</v>
      </c>
    </row>
    <row r="110">
      <c r="A110" s="22" t="n">
        <v>201607</v>
      </c>
      <c r="B110" s="22" t="inlineStr">
        <is>
          <t>POS</t>
        </is>
      </c>
      <c r="C110" s="22" t="inlineStr">
        <is>
          <t>TV &amp; Video</t>
        </is>
      </c>
      <c r="D110" s="22" t="n">
        <v>55123.57</v>
      </c>
      <c r="E110" s="22" t="n">
        <v>616.99</v>
      </c>
      <c r="F110" s="22" t="n">
        <v>113</v>
      </c>
    </row>
    <row r="111">
      <c r="A111" s="22" t="n">
        <v>201608</v>
      </c>
      <c r="B111" s="22" t="inlineStr">
        <is>
          <t>ONLINE</t>
        </is>
      </c>
      <c r="C111" s="22" t="inlineStr">
        <is>
          <t>Âm thanh</t>
        </is>
      </c>
      <c r="D111" s="22" t="n">
        <v>3817.62</v>
      </c>
      <c r="E111" s="22" t="n">
        <v>0</v>
      </c>
      <c r="F111" s="22" t="n">
        <v>37</v>
      </c>
    </row>
    <row r="112">
      <c r="A112" s="22" t="n">
        <v>201608</v>
      </c>
      <c r="B112" s="22" t="inlineStr">
        <is>
          <t>ONLINE</t>
        </is>
      </c>
      <c r="C112" s="22" t="inlineStr">
        <is>
          <t>Máy ảnh</t>
        </is>
      </c>
      <c r="D112" s="22" t="n">
        <v>5474.19</v>
      </c>
      <c r="E112" s="22" t="n">
        <v>0</v>
      </c>
      <c r="F112" s="22" t="n">
        <v>20</v>
      </c>
    </row>
    <row r="113">
      <c r="A113" s="22" t="n">
        <v>201608</v>
      </c>
      <c r="B113" s="22" t="inlineStr">
        <is>
          <t>ONLINE</t>
        </is>
      </c>
      <c r="C113" s="22" t="inlineStr">
        <is>
          <t>Điện thoại</t>
        </is>
      </c>
      <c r="D113" s="22" t="n">
        <v>3879.36</v>
      </c>
      <c r="E113" s="22" t="n">
        <v>783</v>
      </c>
      <c r="F113" s="22" t="n">
        <v>16</v>
      </c>
    </row>
    <row r="114">
      <c r="A114" s="22" t="n">
        <v>201608</v>
      </c>
      <c r="B114" s="22" t="inlineStr">
        <is>
          <t>ONLINE</t>
        </is>
      </c>
      <c r="C114" s="22" t="inlineStr">
        <is>
          <t>Máy tính</t>
        </is>
      </c>
      <c r="D114" s="22" t="n">
        <v>17589.91</v>
      </c>
      <c r="E114" s="22" t="n">
        <v>738</v>
      </c>
      <c r="F114" s="22" t="n">
        <v>50</v>
      </c>
    </row>
    <row r="115">
      <c r="A115" s="22" t="n">
        <v>201608</v>
      </c>
      <c r="B115" s="22" t="inlineStr">
        <is>
          <t>ONLINE</t>
        </is>
      </c>
      <c r="C115" s="22" t="inlineStr">
        <is>
          <t>Game &amp; Đồ chơi</t>
        </is>
      </c>
      <c r="D115" s="22" t="n">
        <v>450.12</v>
      </c>
      <c r="E115" s="22" t="n">
        <v>0</v>
      </c>
      <c r="F115" s="22" t="n">
        <v>17</v>
      </c>
    </row>
    <row r="116">
      <c r="A116" s="22" t="n">
        <v>201608</v>
      </c>
      <c r="B116" s="22" t="inlineStr">
        <is>
          <t>ONLINE</t>
        </is>
      </c>
      <c r="C116" s="22" t="inlineStr">
        <is>
          <t>Gia dụng</t>
        </is>
      </c>
      <c r="D116" s="22" t="n">
        <v>25161.72</v>
      </c>
      <c r="E116" s="22" t="n">
        <v>0</v>
      </c>
      <c r="F116" s="22" t="n">
        <v>37</v>
      </c>
    </row>
    <row r="117">
      <c r="A117" s="22" t="n">
        <v>201608</v>
      </c>
      <c r="B117" s="22" t="inlineStr">
        <is>
          <t>ONLINE</t>
        </is>
      </c>
      <c r="C117" s="22" t="inlineStr">
        <is>
          <t>Nhạc, phim, sách nói</t>
        </is>
      </c>
      <c r="D117" s="22" t="n">
        <v>4168.02</v>
      </c>
      <c r="E117" s="22" t="n">
        <v>549.95</v>
      </c>
      <c r="F117" s="22" t="n">
        <v>49</v>
      </c>
    </row>
    <row r="118">
      <c r="A118" s="22" t="n">
        <v>201608</v>
      </c>
      <c r="B118" s="22" t="inlineStr">
        <is>
          <t>ONLINE</t>
        </is>
      </c>
      <c r="C118" s="22" t="inlineStr">
        <is>
          <t>TV &amp; Video</t>
        </is>
      </c>
      <c r="D118" s="22" t="n">
        <v>14408.8</v>
      </c>
      <c r="E118" s="22" t="n">
        <v>0</v>
      </c>
      <c r="F118" s="22" t="n">
        <v>36</v>
      </c>
    </row>
    <row r="119">
      <c r="A119" s="22" t="n">
        <v>201608</v>
      </c>
      <c r="B119" s="22" t="inlineStr">
        <is>
          <t>POS</t>
        </is>
      </c>
      <c r="C119" s="22" t="inlineStr">
        <is>
          <t>Âm thanh</t>
        </is>
      </c>
      <c r="D119" s="22" t="n">
        <v>19141.03</v>
      </c>
      <c r="E119" s="22" t="n">
        <v>119.69</v>
      </c>
      <c r="F119" s="22" t="n">
        <v>164</v>
      </c>
    </row>
    <row r="120">
      <c r="A120" s="22" t="n">
        <v>201608</v>
      </c>
      <c r="B120" s="22" t="inlineStr">
        <is>
          <t>POS</t>
        </is>
      </c>
      <c r="C120" s="22" t="inlineStr">
        <is>
          <t>Máy ảnh</t>
        </is>
      </c>
      <c r="D120" s="22" t="n">
        <v>57372.13</v>
      </c>
      <c r="E120" s="22" t="n">
        <v>393.8</v>
      </c>
      <c r="F120" s="22" t="n">
        <v>147</v>
      </c>
    </row>
    <row r="121">
      <c r="A121" s="22" t="n">
        <v>201608</v>
      </c>
      <c r="B121" s="22" t="inlineStr">
        <is>
          <t>POS</t>
        </is>
      </c>
      <c r="C121" s="22" t="inlineStr">
        <is>
          <t>Điện thoại</t>
        </is>
      </c>
      <c r="D121" s="22" t="n">
        <v>23709.6</v>
      </c>
      <c r="E121" s="22" t="n">
        <v>263.7</v>
      </c>
      <c r="F121" s="22" t="n">
        <v>138</v>
      </c>
    </row>
    <row r="122">
      <c r="A122" s="22" t="n">
        <v>201608</v>
      </c>
      <c r="B122" s="22" t="inlineStr">
        <is>
          <t>POS</t>
        </is>
      </c>
      <c r="C122" s="22" t="inlineStr">
        <is>
          <t>Máy tính</t>
        </is>
      </c>
      <c r="D122" s="22" t="n">
        <v>112025.54</v>
      </c>
      <c r="E122" s="22" t="n">
        <v>1007</v>
      </c>
      <c r="F122" s="22" t="n">
        <v>229</v>
      </c>
    </row>
    <row r="123">
      <c r="A123" s="22" t="n">
        <v>201608</v>
      </c>
      <c r="B123" s="22" t="inlineStr">
        <is>
          <t>POS</t>
        </is>
      </c>
      <c r="C123" s="22" t="inlineStr">
        <is>
          <t>Game &amp; Đồ chơi</t>
        </is>
      </c>
      <c r="D123" s="22" t="n">
        <v>2934.29</v>
      </c>
      <c r="E123" s="22" t="n">
        <v>34</v>
      </c>
      <c r="F123" s="22" t="n">
        <v>106</v>
      </c>
    </row>
    <row r="124">
      <c r="A124" s="22" t="n">
        <v>201608</v>
      </c>
      <c r="B124" s="22" t="inlineStr">
        <is>
          <t>POS</t>
        </is>
      </c>
      <c r="C124" s="22" t="inlineStr">
        <is>
          <t>Gia dụng</t>
        </is>
      </c>
      <c r="D124" s="22" t="n">
        <v>97548.17999999999</v>
      </c>
      <c r="E124" s="22" t="n">
        <v>654.48</v>
      </c>
      <c r="F124" s="22" t="n">
        <v>149</v>
      </c>
    </row>
    <row r="125">
      <c r="A125" s="22" t="n">
        <v>201608</v>
      </c>
      <c r="B125" s="22" t="inlineStr">
        <is>
          <t>POS</t>
        </is>
      </c>
      <c r="C125" s="22" t="inlineStr">
        <is>
          <t>Nhạc, phim, sách nói</t>
        </is>
      </c>
      <c r="D125" s="22" t="n">
        <v>25450.87</v>
      </c>
      <c r="E125" s="22" t="n">
        <v>0</v>
      </c>
      <c r="F125" s="22" t="n">
        <v>207</v>
      </c>
    </row>
    <row r="126">
      <c r="A126" s="22" t="n">
        <v>201608</v>
      </c>
      <c r="B126" s="22" t="inlineStr">
        <is>
          <t>POS</t>
        </is>
      </c>
      <c r="C126" s="22" t="inlineStr">
        <is>
          <t>TV &amp; Video</t>
        </is>
      </c>
      <c r="D126" s="22" t="n">
        <v>92235.00999999999</v>
      </c>
      <c r="E126" s="22" t="n">
        <v>2875.5</v>
      </c>
      <c r="F126" s="22" t="n">
        <v>162</v>
      </c>
    </row>
    <row r="127">
      <c r="A127" s="22" t="n">
        <v>201609</v>
      </c>
      <c r="B127" s="22" t="inlineStr">
        <is>
          <t>ONLINE</t>
        </is>
      </c>
      <c r="C127" s="22" t="inlineStr">
        <is>
          <t>Âm thanh</t>
        </is>
      </c>
      <c r="D127" s="22" t="n">
        <v>3070.84</v>
      </c>
      <c r="E127" s="22" t="n">
        <v>0</v>
      </c>
      <c r="F127" s="22" t="n">
        <v>29</v>
      </c>
    </row>
    <row r="128">
      <c r="A128" s="22" t="n">
        <v>201609</v>
      </c>
      <c r="B128" s="22" t="inlineStr">
        <is>
          <t>ONLINE</t>
        </is>
      </c>
      <c r="C128" s="22" t="inlineStr">
        <is>
          <t>Máy ảnh</t>
        </is>
      </c>
      <c r="D128" s="22" t="n">
        <v>8531.75</v>
      </c>
      <c r="E128" s="22" t="n">
        <v>0</v>
      </c>
      <c r="F128" s="22" t="n">
        <v>20</v>
      </c>
    </row>
    <row r="129">
      <c r="A129" s="22" t="n">
        <v>201609</v>
      </c>
      <c r="B129" s="22" t="inlineStr">
        <is>
          <t>ONLINE</t>
        </is>
      </c>
      <c r="C129" s="22" t="inlineStr">
        <is>
          <t>Điện thoại</t>
        </is>
      </c>
      <c r="D129" s="22" t="n">
        <v>8484.92</v>
      </c>
      <c r="E129" s="22" t="n">
        <v>0</v>
      </c>
      <c r="F129" s="22" t="n">
        <v>44</v>
      </c>
    </row>
    <row r="130">
      <c r="A130" s="22" t="n">
        <v>201609</v>
      </c>
      <c r="B130" s="22" t="inlineStr">
        <is>
          <t>ONLINE</t>
        </is>
      </c>
      <c r="C130" s="22" t="inlineStr">
        <is>
          <t>Máy tính</t>
        </is>
      </c>
      <c r="D130" s="22" t="n">
        <v>26056.97</v>
      </c>
      <c r="E130" s="22" t="n">
        <v>0</v>
      </c>
      <c r="F130" s="22" t="n">
        <v>39</v>
      </c>
    </row>
    <row r="131">
      <c r="A131" s="22" t="n">
        <v>201609</v>
      </c>
      <c r="B131" s="22" t="inlineStr">
        <is>
          <t>ONLINE</t>
        </is>
      </c>
      <c r="C131" s="22" t="inlineStr">
        <is>
          <t>Game &amp; Đồ chơi</t>
        </is>
      </c>
      <c r="D131" s="22" t="n">
        <v>401.1</v>
      </c>
      <c r="E131" s="22" t="n">
        <v>0</v>
      </c>
      <c r="F131" s="22" t="n">
        <v>17</v>
      </c>
    </row>
    <row r="132">
      <c r="A132" s="22" t="n">
        <v>201609</v>
      </c>
      <c r="B132" s="22" t="inlineStr">
        <is>
          <t>ONLINE</t>
        </is>
      </c>
      <c r="C132" s="22" t="inlineStr">
        <is>
          <t>Gia dụng</t>
        </is>
      </c>
      <c r="D132" s="22" t="n">
        <v>10618.33</v>
      </c>
      <c r="E132" s="22" t="n">
        <v>429.99</v>
      </c>
      <c r="F132" s="22" t="n">
        <v>33</v>
      </c>
    </row>
    <row r="133">
      <c r="A133" s="22" t="n">
        <v>201609</v>
      </c>
      <c r="B133" s="22" t="inlineStr">
        <is>
          <t>ONLINE</t>
        </is>
      </c>
      <c r="C133" s="22" t="inlineStr">
        <is>
          <t>Nhạc, phim, sách nói</t>
        </is>
      </c>
      <c r="D133" s="22" t="n">
        <v>3854.62</v>
      </c>
      <c r="E133" s="22" t="n">
        <v>73.16</v>
      </c>
      <c r="F133" s="22" t="n">
        <v>50</v>
      </c>
    </row>
    <row r="134">
      <c r="A134" s="22" t="n">
        <v>201609</v>
      </c>
      <c r="B134" s="22" t="inlineStr">
        <is>
          <t>ONLINE</t>
        </is>
      </c>
      <c r="C134" s="22" t="inlineStr">
        <is>
          <t>TV &amp; Video</t>
        </is>
      </c>
      <c r="D134" s="22" t="n">
        <v>9129.389999999999</v>
      </c>
      <c r="E134" s="22" t="n">
        <v>233.82</v>
      </c>
      <c r="F134" s="22" t="n">
        <v>35</v>
      </c>
    </row>
    <row r="135">
      <c r="A135" s="22" t="n">
        <v>201609</v>
      </c>
      <c r="B135" s="22" t="inlineStr">
        <is>
          <t>POS</t>
        </is>
      </c>
      <c r="C135" s="22" t="inlineStr">
        <is>
          <t>Âm thanh</t>
        </is>
      </c>
      <c r="D135" s="22" t="n">
        <v>24489.15</v>
      </c>
      <c r="E135" s="22" t="n">
        <v>1045.81</v>
      </c>
      <c r="F135" s="22" t="n">
        <v>171</v>
      </c>
    </row>
    <row r="136">
      <c r="A136" s="22" t="n">
        <v>201609</v>
      </c>
      <c r="B136" s="22" t="inlineStr">
        <is>
          <t>POS</t>
        </is>
      </c>
      <c r="C136" s="22" t="inlineStr">
        <is>
          <t>Máy ảnh</t>
        </is>
      </c>
      <c r="D136" s="22" t="n">
        <v>67652.69</v>
      </c>
      <c r="E136" s="22" t="n">
        <v>509.4</v>
      </c>
      <c r="F136" s="22" t="n">
        <v>193</v>
      </c>
    </row>
    <row r="137">
      <c r="A137" s="22" t="n">
        <v>201609</v>
      </c>
      <c r="B137" s="22" t="inlineStr">
        <is>
          <t>POS</t>
        </is>
      </c>
      <c r="C137" s="22" t="inlineStr">
        <is>
          <t>Điện thoại</t>
        </is>
      </c>
      <c r="D137" s="22" t="n">
        <v>31428.91</v>
      </c>
      <c r="E137" s="22" t="n">
        <v>301</v>
      </c>
      <c r="F137" s="22" t="n">
        <v>183</v>
      </c>
    </row>
    <row r="138">
      <c r="A138" s="22" t="n">
        <v>201609</v>
      </c>
      <c r="B138" s="22" t="inlineStr">
        <is>
          <t>POS</t>
        </is>
      </c>
      <c r="C138" s="22" t="inlineStr">
        <is>
          <t>Máy tính</t>
        </is>
      </c>
      <c r="D138" s="22" t="n">
        <v>123127.19</v>
      </c>
      <c r="E138" s="22" t="n">
        <v>4170.6</v>
      </c>
      <c r="F138" s="22" t="n">
        <v>267</v>
      </c>
    </row>
    <row r="139">
      <c r="A139" s="22" t="n">
        <v>201609</v>
      </c>
      <c r="B139" s="22" t="inlineStr">
        <is>
          <t>POS</t>
        </is>
      </c>
      <c r="C139" s="22" t="inlineStr">
        <is>
          <t>Game &amp; Đồ chơi</t>
        </is>
      </c>
      <c r="D139" s="22" t="n">
        <v>2818.9</v>
      </c>
      <c r="E139" s="22" t="n">
        <v>38.7</v>
      </c>
      <c r="F139" s="22" t="n">
        <v>118</v>
      </c>
    </row>
    <row r="140">
      <c r="A140" s="22" t="n">
        <v>201609</v>
      </c>
      <c r="B140" s="22" t="inlineStr">
        <is>
          <t>POS</t>
        </is>
      </c>
      <c r="C140" s="22" t="inlineStr">
        <is>
          <t>Gia dụng</t>
        </is>
      </c>
      <c r="D140" s="22" t="n">
        <v>114769.13</v>
      </c>
      <c r="E140" s="22" t="n">
        <v>1049.97</v>
      </c>
      <c r="F140" s="22" t="n">
        <v>235</v>
      </c>
    </row>
    <row r="141">
      <c r="A141" s="22" t="n">
        <v>201609</v>
      </c>
      <c r="B141" s="22" t="inlineStr">
        <is>
          <t>POS</t>
        </is>
      </c>
      <c r="C141" s="22" t="inlineStr">
        <is>
          <t>Nhạc, phim, sách nói</t>
        </is>
      </c>
      <c r="D141" s="22" t="n">
        <v>32183.73</v>
      </c>
      <c r="E141" s="22" t="n">
        <v>12.99</v>
      </c>
      <c r="F141" s="22" t="n">
        <v>265</v>
      </c>
    </row>
    <row r="142">
      <c r="A142" s="22" t="n">
        <v>201609</v>
      </c>
      <c r="B142" s="22" t="inlineStr">
        <is>
          <t>POS</t>
        </is>
      </c>
      <c r="C142" s="22" t="inlineStr">
        <is>
          <t>TV &amp; Video</t>
        </is>
      </c>
      <c r="D142" s="22" t="n">
        <v>64290.06</v>
      </c>
      <c r="E142" s="22" t="n">
        <v>1335.05</v>
      </c>
      <c r="F142" s="22" t="n">
        <v>161</v>
      </c>
    </row>
    <row r="143">
      <c r="A143" s="22" t="n">
        <v>201610</v>
      </c>
      <c r="B143" s="22" t="inlineStr">
        <is>
          <t>ONLINE</t>
        </is>
      </c>
      <c r="C143" s="22" t="inlineStr">
        <is>
          <t>Âm thanh</t>
        </is>
      </c>
      <c r="D143" s="22" t="n">
        <v>3202.81</v>
      </c>
      <c r="E143" s="22" t="n">
        <v>0</v>
      </c>
      <c r="F143" s="22" t="n">
        <v>27</v>
      </c>
    </row>
    <row r="144">
      <c r="A144" s="22" t="n">
        <v>201610</v>
      </c>
      <c r="B144" s="22" t="inlineStr">
        <is>
          <t>ONLINE</t>
        </is>
      </c>
      <c r="C144" s="22" t="inlineStr">
        <is>
          <t>Máy ảnh</t>
        </is>
      </c>
      <c r="D144" s="22" t="n">
        <v>17752.78</v>
      </c>
      <c r="E144" s="22" t="n">
        <v>0</v>
      </c>
      <c r="F144" s="22" t="n">
        <v>45</v>
      </c>
    </row>
    <row r="145">
      <c r="A145" s="22" t="n">
        <v>201610</v>
      </c>
      <c r="B145" s="22" t="inlineStr">
        <is>
          <t>ONLINE</t>
        </is>
      </c>
      <c r="C145" s="22" t="inlineStr">
        <is>
          <t>Điện thoại</t>
        </is>
      </c>
      <c r="D145" s="22" t="n">
        <v>7519.47</v>
      </c>
      <c r="E145" s="22" t="n">
        <v>802</v>
      </c>
      <c r="F145" s="22" t="n">
        <v>47</v>
      </c>
    </row>
    <row r="146">
      <c r="A146" s="22" t="n">
        <v>201610</v>
      </c>
      <c r="B146" s="22" t="inlineStr">
        <is>
          <t>ONLINE</t>
        </is>
      </c>
      <c r="C146" s="22" t="inlineStr">
        <is>
          <t>Máy tính</t>
        </is>
      </c>
      <c r="D146" s="22" t="n">
        <v>27498.41</v>
      </c>
      <c r="E146" s="22" t="n">
        <v>1411.9</v>
      </c>
      <c r="F146" s="22" t="n">
        <v>65</v>
      </c>
    </row>
    <row r="147">
      <c r="A147" s="22" t="n">
        <v>201610</v>
      </c>
      <c r="B147" s="22" t="inlineStr">
        <is>
          <t>ONLINE</t>
        </is>
      </c>
      <c r="C147" s="22" t="inlineStr">
        <is>
          <t>Game &amp; Đồ chơi</t>
        </is>
      </c>
      <c r="D147" s="22" t="n">
        <v>992.34</v>
      </c>
      <c r="E147" s="22" t="n">
        <v>0</v>
      </c>
      <c r="F147" s="22" t="n">
        <v>22</v>
      </c>
    </row>
    <row r="148">
      <c r="A148" s="22" t="n">
        <v>201610</v>
      </c>
      <c r="B148" s="22" t="inlineStr">
        <is>
          <t>ONLINE</t>
        </is>
      </c>
      <c r="C148" s="22" t="inlineStr">
        <is>
          <t>Gia dụng</t>
        </is>
      </c>
      <c r="D148" s="22" t="n">
        <v>61235.34</v>
      </c>
      <c r="E148" s="22" t="n">
        <v>3510</v>
      </c>
      <c r="F148" s="22" t="n">
        <v>60</v>
      </c>
    </row>
    <row r="149">
      <c r="A149" s="22" t="n">
        <v>201610</v>
      </c>
      <c r="B149" s="22" t="inlineStr">
        <is>
          <t>ONLINE</t>
        </is>
      </c>
      <c r="C149" s="22" t="inlineStr">
        <is>
          <t>Nhạc, phim, sách nói</t>
        </is>
      </c>
      <c r="D149" s="22" t="n">
        <v>6045.66</v>
      </c>
      <c r="E149" s="22" t="n">
        <v>1079.94</v>
      </c>
      <c r="F149" s="22" t="n">
        <v>48</v>
      </c>
    </row>
    <row r="150">
      <c r="A150" s="22" t="n">
        <v>201610</v>
      </c>
      <c r="B150" s="22" t="inlineStr">
        <is>
          <t>ONLINE</t>
        </is>
      </c>
      <c r="C150" s="22" t="inlineStr">
        <is>
          <t>TV &amp; Video</t>
        </is>
      </c>
      <c r="D150" s="22" t="n">
        <v>12509.47</v>
      </c>
      <c r="E150" s="22" t="n">
        <v>350.7</v>
      </c>
      <c r="F150" s="22" t="n">
        <v>30</v>
      </c>
    </row>
    <row r="151">
      <c r="A151" s="22" t="n">
        <v>201610</v>
      </c>
      <c r="B151" s="22" t="inlineStr">
        <is>
          <t>POS</t>
        </is>
      </c>
      <c r="C151" s="22" t="inlineStr">
        <is>
          <t>Âm thanh</t>
        </is>
      </c>
      <c r="D151" s="22" t="n">
        <v>25764.53</v>
      </c>
      <c r="E151" s="22" t="n">
        <v>322.4</v>
      </c>
      <c r="F151" s="22" t="n">
        <v>218</v>
      </c>
    </row>
    <row r="152">
      <c r="A152" s="22" t="n">
        <v>201610</v>
      </c>
      <c r="B152" s="22" t="inlineStr">
        <is>
          <t>POS</t>
        </is>
      </c>
      <c r="C152" s="22" t="inlineStr">
        <is>
          <t>Máy ảnh</t>
        </is>
      </c>
      <c r="D152" s="22" t="n">
        <v>65813.12</v>
      </c>
      <c r="E152" s="22" t="n">
        <v>5804</v>
      </c>
      <c r="F152" s="22" t="n">
        <v>196</v>
      </c>
    </row>
    <row r="153">
      <c r="A153" s="22" t="n">
        <v>201610</v>
      </c>
      <c r="B153" s="22" t="inlineStr">
        <is>
          <t>POS</t>
        </is>
      </c>
      <c r="C153" s="22" t="inlineStr">
        <is>
          <t>Điện thoại</t>
        </is>
      </c>
      <c r="D153" s="22" t="n">
        <v>23088.88</v>
      </c>
      <c r="E153" s="22" t="n">
        <v>1605.72</v>
      </c>
      <c r="F153" s="22" t="n">
        <v>122</v>
      </c>
    </row>
    <row r="154">
      <c r="A154" s="22" t="n">
        <v>201610</v>
      </c>
      <c r="B154" s="22" t="inlineStr">
        <is>
          <t>POS</t>
        </is>
      </c>
      <c r="C154" s="22" t="inlineStr">
        <is>
          <t>Máy tính</t>
        </is>
      </c>
      <c r="D154" s="22" t="n">
        <v>106688.84</v>
      </c>
      <c r="E154" s="22" t="n">
        <v>1633</v>
      </c>
      <c r="F154" s="22" t="n">
        <v>237</v>
      </c>
    </row>
    <row r="155">
      <c r="A155" s="22" t="n">
        <v>201610</v>
      </c>
      <c r="B155" s="22" t="inlineStr">
        <is>
          <t>POS</t>
        </is>
      </c>
      <c r="C155" s="22" t="inlineStr">
        <is>
          <t>Game &amp; Đồ chơi</t>
        </is>
      </c>
      <c r="D155" s="22" t="n">
        <v>4216.75</v>
      </c>
      <c r="E155" s="22" t="n">
        <v>153.4</v>
      </c>
      <c r="F155" s="22" t="n">
        <v>116</v>
      </c>
    </row>
    <row r="156">
      <c r="A156" s="22" t="n">
        <v>201610</v>
      </c>
      <c r="B156" s="22" t="inlineStr">
        <is>
          <t>POS</t>
        </is>
      </c>
      <c r="C156" s="22" t="inlineStr">
        <is>
          <t>Gia dụng</t>
        </is>
      </c>
      <c r="D156" s="22" t="n">
        <v>125374.53</v>
      </c>
      <c r="E156" s="22" t="n">
        <v>877.46</v>
      </c>
      <c r="F156" s="22" t="n">
        <v>267</v>
      </c>
    </row>
    <row r="157">
      <c r="A157" s="22" t="n">
        <v>201610</v>
      </c>
      <c r="B157" s="22" t="inlineStr">
        <is>
          <t>POS</t>
        </is>
      </c>
      <c r="C157" s="22" t="inlineStr">
        <is>
          <t>Nhạc, phim, sách nói</t>
        </is>
      </c>
      <c r="D157" s="22" t="n">
        <v>37602.34</v>
      </c>
      <c r="E157" s="22" t="n">
        <v>657</v>
      </c>
      <c r="F157" s="22" t="n">
        <v>292</v>
      </c>
    </row>
    <row r="158">
      <c r="A158" s="22" t="n">
        <v>201610</v>
      </c>
      <c r="B158" s="22" t="inlineStr">
        <is>
          <t>POS</t>
        </is>
      </c>
      <c r="C158" s="22" t="inlineStr">
        <is>
          <t>TV &amp; Video</t>
        </is>
      </c>
      <c r="D158" s="22" t="n">
        <v>73122.24000000001</v>
      </c>
      <c r="E158" s="22" t="n">
        <v>1026.99</v>
      </c>
      <c r="F158" s="22" t="n">
        <v>171</v>
      </c>
    </row>
    <row r="159">
      <c r="A159" s="22" t="n">
        <v>201611</v>
      </c>
      <c r="B159" s="22" t="inlineStr">
        <is>
          <t>ONLINE</t>
        </is>
      </c>
      <c r="C159" s="22" t="inlineStr">
        <is>
          <t>Âm thanh</t>
        </is>
      </c>
      <c r="D159" s="22" t="n">
        <v>8661.9</v>
      </c>
      <c r="E159" s="22" t="n">
        <v>0</v>
      </c>
      <c r="F159" s="22" t="n">
        <v>43</v>
      </c>
    </row>
    <row r="160">
      <c r="A160" s="22" t="n">
        <v>201611</v>
      </c>
      <c r="B160" s="22" t="inlineStr">
        <is>
          <t>ONLINE</t>
        </is>
      </c>
      <c r="C160" s="22" t="inlineStr">
        <is>
          <t>Máy ảnh</t>
        </is>
      </c>
      <c r="D160" s="22" t="n">
        <v>7179.53</v>
      </c>
      <c r="E160" s="22" t="n">
        <v>0</v>
      </c>
      <c r="F160" s="22" t="n">
        <v>30</v>
      </c>
    </row>
    <row r="161">
      <c r="A161" s="22" t="n">
        <v>201611</v>
      </c>
      <c r="B161" s="22" t="inlineStr">
        <is>
          <t>ONLINE</t>
        </is>
      </c>
      <c r="C161" s="22" t="inlineStr">
        <is>
          <t>Điện thoại</t>
        </is>
      </c>
      <c r="D161" s="22" t="n">
        <v>11521.13</v>
      </c>
      <c r="E161" s="22" t="n">
        <v>897</v>
      </c>
      <c r="F161" s="22" t="n">
        <v>50</v>
      </c>
    </row>
    <row r="162">
      <c r="A162" s="22" t="n">
        <v>201611</v>
      </c>
      <c r="B162" s="22" t="inlineStr">
        <is>
          <t>ONLINE</t>
        </is>
      </c>
      <c r="C162" s="22" t="inlineStr">
        <is>
          <t>Máy tính</t>
        </is>
      </c>
      <c r="D162" s="22" t="n">
        <v>21647.3</v>
      </c>
      <c r="E162" s="22" t="n">
        <v>0</v>
      </c>
      <c r="F162" s="22" t="n">
        <v>54</v>
      </c>
    </row>
    <row r="163">
      <c r="A163" s="22" t="n">
        <v>201611</v>
      </c>
      <c r="B163" s="22" t="inlineStr">
        <is>
          <t>ONLINE</t>
        </is>
      </c>
      <c r="C163" s="22" t="inlineStr">
        <is>
          <t>Game &amp; Đồ chơi</t>
        </is>
      </c>
      <c r="D163" s="22" t="n">
        <v>876.67</v>
      </c>
      <c r="E163" s="22" t="n">
        <v>0</v>
      </c>
      <c r="F163" s="22" t="n">
        <v>23</v>
      </c>
    </row>
    <row r="164">
      <c r="A164" s="22" t="n">
        <v>201611</v>
      </c>
      <c r="B164" s="22" t="inlineStr">
        <is>
          <t>ONLINE</t>
        </is>
      </c>
      <c r="C164" s="22" t="inlineStr">
        <is>
          <t>Gia dụng</t>
        </is>
      </c>
      <c r="D164" s="22" t="n">
        <v>61291.36</v>
      </c>
      <c r="E164" s="22" t="n">
        <v>1755</v>
      </c>
      <c r="F164" s="22" t="n">
        <v>62</v>
      </c>
    </row>
    <row r="165">
      <c r="A165" s="22" t="n">
        <v>201611</v>
      </c>
      <c r="B165" s="22" t="inlineStr">
        <is>
          <t>ONLINE</t>
        </is>
      </c>
      <c r="C165" s="22" t="inlineStr">
        <is>
          <t>Nhạc, phim, sách nói</t>
        </is>
      </c>
      <c r="D165" s="22" t="n">
        <v>5440.6</v>
      </c>
      <c r="E165" s="22" t="n">
        <v>56.97</v>
      </c>
      <c r="F165" s="22" t="n">
        <v>47</v>
      </c>
    </row>
    <row r="166">
      <c r="A166" s="22" t="n">
        <v>201611</v>
      </c>
      <c r="B166" s="22" t="inlineStr">
        <is>
          <t>ONLINE</t>
        </is>
      </c>
      <c r="C166" s="22" t="inlineStr">
        <is>
          <t>TV &amp; Video</t>
        </is>
      </c>
      <c r="D166" s="22" t="n">
        <v>15835.74</v>
      </c>
      <c r="E166" s="22" t="n">
        <v>349.95</v>
      </c>
      <c r="F166" s="22" t="n">
        <v>29</v>
      </c>
    </row>
    <row r="167">
      <c r="A167" s="22" t="n">
        <v>201611</v>
      </c>
      <c r="B167" s="22" t="inlineStr">
        <is>
          <t>POS</t>
        </is>
      </c>
      <c r="C167" s="22" t="inlineStr">
        <is>
          <t>Âm thanh</t>
        </is>
      </c>
      <c r="D167" s="22" t="n">
        <v>24162.43</v>
      </c>
      <c r="E167" s="22" t="n">
        <v>580.2</v>
      </c>
      <c r="F167" s="22" t="n">
        <v>189</v>
      </c>
    </row>
    <row r="168">
      <c r="A168" s="22" t="n">
        <v>201611</v>
      </c>
      <c r="B168" s="22" t="inlineStr">
        <is>
          <t>POS</t>
        </is>
      </c>
      <c r="C168" s="22" t="inlineStr">
        <is>
          <t>Máy ảnh</t>
        </is>
      </c>
      <c r="D168" s="22" t="n">
        <v>58455.54</v>
      </c>
      <c r="E168" s="22" t="n">
        <v>1832.75</v>
      </c>
      <c r="F168" s="22" t="n">
        <v>149</v>
      </c>
    </row>
    <row r="169">
      <c r="A169" s="22" t="n">
        <v>201611</v>
      </c>
      <c r="B169" s="22" t="inlineStr">
        <is>
          <t>POS</t>
        </is>
      </c>
      <c r="C169" s="22" t="inlineStr">
        <is>
          <t>Điện thoại</t>
        </is>
      </c>
      <c r="D169" s="22" t="n">
        <v>32928.84</v>
      </c>
      <c r="E169" s="22" t="n">
        <v>800.0599999999999</v>
      </c>
      <c r="F169" s="22" t="n">
        <v>204</v>
      </c>
    </row>
    <row r="170">
      <c r="A170" s="22" t="n">
        <v>201611</v>
      </c>
      <c r="B170" s="22" t="inlineStr">
        <is>
          <t>POS</t>
        </is>
      </c>
      <c r="C170" s="22" t="inlineStr">
        <is>
          <t>Máy tính</t>
        </is>
      </c>
      <c r="D170" s="22" t="n">
        <v>121981.32</v>
      </c>
      <c r="E170" s="22" t="n">
        <v>1451.75</v>
      </c>
      <c r="F170" s="22" t="n">
        <v>319</v>
      </c>
    </row>
    <row r="171">
      <c r="A171" s="22" t="n">
        <v>201611</v>
      </c>
      <c r="B171" s="22" t="inlineStr">
        <is>
          <t>POS</t>
        </is>
      </c>
      <c r="C171" s="22" t="inlineStr">
        <is>
          <t>Game &amp; Đồ chơi</t>
        </is>
      </c>
      <c r="D171" s="22" t="n">
        <v>3395.14</v>
      </c>
      <c r="E171" s="22" t="n">
        <v>155.36</v>
      </c>
      <c r="F171" s="22" t="n">
        <v>115</v>
      </c>
    </row>
    <row r="172">
      <c r="A172" s="22" t="n">
        <v>201611</v>
      </c>
      <c r="B172" s="22" t="inlineStr">
        <is>
          <t>POS</t>
        </is>
      </c>
      <c r="C172" s="22" t="inlineStr">
        <is>
          <t>Gia dụng</t>
        </is>
      </c>
      <c r="D172" s="22" t="n">
        <v>142927.23</v>
      </c>
      <c r="E172" s="22" t="n">
        <v>4233.47</v>
      </c>
      <c r="F172" s="22" t="n">
        <v>239</v>
      </c>
    </row>
    <row r="173">
      <c r="A173" s="22" t="n">
        <v>201611</v>
      </c>
      <c r="B173" s="22" t="inlineStr">
        <is>
          <t>POS</t>
        </is>
      </c>
      <c r="C173" s="22" t="inlineStr">
        <is>
          <t>Nhạc, phim, sách nói</t>
        </is>
      </c>
      <c r="D173" s="22" t="n">
        <v>21056.33</v>
      </c>
      <c r="E173" s="22" t="n">
        <v>903.85</v>
      </c>
      <c r="F173" s="22" t="n">
        <v>198</v>
      </c>
    </row>
    <row r="174">
      <c r="A174" s="22" t="n">
        <v>201611</v>
      </c>
      <c r="B174" s="22" t="inlineStr">
        <is>
          <t>POS</t>
        </is>
      </c>
      <c r="C174" s="22" t="inlineStr">
        <is>
          <t>TV &amp; Video</t>
        </is>
      </c>
      <c r="D174" s="22" t="n">
        <v>87561.3</v>
      </c>
      <c r="E174" s="22" t="n">
        <v>1184.97</v>
      </c>
      <c r="F174" s="22" t="n">
        <v>133</v>
      </c>
    </row>
    <row r="175">
      <c r="A175" s="22" t="n">
        <v>201612</v>
      </c>
      <c r="B175" s="22" t="inlineStr">
        <is>
          <t>ONLINE</t>
        </is>
      </c>
      <c r="C175" s="22" t="inlineStr">
        <is>
          <t>Âm thanh</t>
        </is>
      </c>
      <c r="D175" s="22" t="n">
        <v>9974.82</v>
      </c>
      <c r="E175" s="22" t="n">
        <v>1692</v>
      </c>
      <c r="F175" s="22" t="n">
        <v>69</v>
      </c>
    </row>
    <row r="176">
      <c r="A176" s="22" t="n">
        <v>201612</v>
      </c>
      <c r="B176" s="22" t="inlineStr">
        <is>
          <t>ONLINE</t>
        </is>
      </c>
      <c r="C176" s="22" t="inlineStr">
        <is>
          <t>Máy ảnh</t>
        </is>
      </c>
      <c r="D176" s="22" t="n">
        <v>27887.6</v>
      </c>
      <c r="E176" s="22" t="n">
        <v>0</v>
      </c>
      <c r="F176" s="22" t="n">
        <v>73</v>
      </c>
    </row>
    <row r="177">
      <c r="A177" s="22" t="n">
        <v>201612</v>
      </c>
      <c r="B177" s="22" t="inlineStr">
        <is>
          <t>ONLINE</t>
        </is>
      </c>
      <c r="C177" s="22" t="inlineStr">
        <is>
          <t>Điện thoại</t>
        </is>
      </c>
      <c r="D177" s="22" t="n">
        <v>17586.62</v>
      </c>
      <c r="E177" s="22" t="n">
        <v>0</v>
      </c>
      <c r="F177" s="22" t="n">
        <v>86</v>
      </c>
    </row>
    <row r="178">
      <c r="A178" s="22" t="n">
        <v>201612</v>
      </c>
      <c r="B178" s="22" t="inlineStr">
        <is>
          <t>ONLINE</t>
        </is>
      </c>
      <c r="C178" s="22" t="inlineStr">
        <is>
          <t>Máy tính</t>
        </is>
      </c>
      <c r="D178" s="22" t="n">
        <v>65226.92</v>
      </c>
      <c r="E178" s="22" t="n">
        <v>2812.45</v>
      </c>
      <c r="F178" s="22" t="n">
        <v>100</v>
      </c>
    </row>
    <row r="179">
      <c r="A179" s="22" t="n">
        <v>201612</v>
      </c>
      <c r="B179" s="22" t="inlineStr">
        <is>
          <t>ONLINE</t>
        </is>
      </c>
      <c r="C179" s="22" t="inlineStr">
        <is>
          <t>Game &amp; Đồ chơi</t>
        </is>
      </c>
      <c r="D179" s="22" t="n">
        <v>782.3200000000001</v>
      </c>
      <c r="E179" s="22" t="n">
        <v>0</v>
      </c>
      <c r="F179" s="22" t="n">
        <v>29</v>
      </c>
    </row>
    <row r="180">
      <c r="A180" s="22" t="n">
        <v>201612</v>
      </c>
      <c r="B180" s="22" t="inlineStr">
        <is>
          <t>ONLINE</t>
        </is>
      </c>
      <c r="C180" s="22" t="inlineStr">
        <is>
          <t>Gia dụng</t>
        </is>
      </c>
      <c r="D180" s="22" t="n">
        <v>51199.18</v>
      </c>
      <c r="E180" s="22" t="n">
        <v>0</v>
      </c>
      <c r="F180" s="22" t="n">
        <v>91</v>
      </c>
    </row>
    <row r="181">
      <c r="A181" s="22" t="n">
        <v>201612</v>
      </c>
      <c r="B181" s="22" t="inlineStr">
        <is>
          <t>ONLINE</t>
        </is>
      </c>
      <c r="C181" s="22" t="inlineStr">
        <is>
          <t>Nhạc, phim, sách nói</t>
        </is>
      </c>
      <c r="D181" s="22" t="n">
        <v>10528</v>
      </c>
      <c r="E181" s="22" t="n">
        <v>233.96</v>
      </c>
      <c r="F181" s="22" t="n">
        <v>109</v>
      </c>
    </row>
    <row r="182">
      <c r="A182" s="22" t="n">
        <v>201612</v>
      </c>
      <c r="B182" s="22" t="inlineStr">
        <is>
          <t>ONLINE</t>
        </is>
      </c>
      <c r="C182" s="22" t="inlineStr">
        <is>
          <t>TV &amp; Video</t>
        </is>
      </c>
      <c r="D182" s="22" t="n">
        <v>41092.15</v>
      </c>
      <c r="E182" s="22" t="n">
        <v>0</v>
      </c>
      <c r="F182" s="22" t="n">
        <v>96</v>
      </c>
    </row>
    <row r="183">
      <c r="A183" s="22" t="n">
        <v>201612</v>
      </c>
      <c r="B183" s="22" t="inlineStr">
        <is>
          <t>POS</t>
        </is>
      </c>
      <c r="C183" s="22" t="inlineStr">
        <is>
          <t>Âm thanh</t>
        </is>
      </c>
      <c r="D183" s="22" t="n">
        <v>37618.58</v>
      </c>
      <c r="E183" s="22" t="n">
        <v>743.09</v>
      </c>
      <c r="F183" s="22" t="n">
        <v>298</v>
      </c>
    </row>
    <row r="184">
      <c r="A184" s="22" t="n">
        <v>201612</v>
      </c>
      <c r="B184" s="22" t="inlineStr">
        <is>
          <t>POS</t>
        </is>
      </c>
      <c r="C184" s="22" t="inlineStr">
        <is>
          <t>Máy ảnh</t>
        </is>
      </c>
      <c r="D184" s="22" t="n">
        <v>66242.14</v>
      </c>
      <c r="E184" s="22" t="n">
        <v>1845</v>
      </c>
      <c r="F184" s="22" t="n">
        <v>218</v>
      </c>
    </row>
    <row r="185">
      <c r="A185" s="22" t="n">
        <v>201612</v>
      </c>
      <c r="B185" s="22" t="inlineStr">
        <is>
          <t>POS</t>
        </is>
      </c>
      <c r="C185" s="22" t="inlineStr">
        <is>
          <t>Điện thoại</t>
        </is>
      </c>
      <c r="D185" s="22" t="n">
        <v>53822.85</v>
      </c>
      <c r="E185" s="22" t="n">
        <v>407.29</v>
      </c>
      <c r="F185" s="22" t="n">
        <v>314</v>
      </c>
    </row>
    <row r="186">
      <c r="A186" s="22" t="n">
        <v>201612</v>
      </c>
      <c r="B186" s="22" t="inlineStr">
        <is>
          <t>POS</t>
        </is>
      </c>
      <c r="C186" s="22" t="inlineStr">
        <is>
          <t>Máy tính</t>
        </is>
      </c>
      <c r="D186" s="22" t="n">
        <v>186486.06</v>
      </c>
      <c r="E186" s="22" t="n">
        <v>4326.01</v>
      </c>
      <c r="F186" s="22" t="n">
        <v>501</v>
      </c>
    </row>
    <row r="187">
      <c r="A187" s="22" t="n">
        <v>201612</v>
      </c>
      <c r="B187" s="22" t="inlineStr">
        <is>
          <t>POS</t>
        </is>
      </c>
      <c r="C187" s="22" t="inlineStr">
        <is>
          <t>Game &amp; Đồ chơi</t>
        </is>
      </c>
      <c r="D187" s="22" t="n">
        <v>4224.74</v>
      </c>
      <c r="E187" s="22" t="n">
        <v>27.56</v>
      </c>
      <c r="F187" s="22" t="n">
        <v>152</v>
      </c>
    </row>
    <row r="188">
      <c r="A188" s="22" t="n">
        <v>201612</v>
      </c>
      <c r="B188" s="22" t="inlineStr">
        <is>
          <t>POS</t>
        </is>
      </c>
      <c r="C188" s="22" t="inlineStr">
        <is>
          <t>Gia dụng</t>
        </is>
      </c>
      <c r="D188" s="22" t="n">
        <v>195136.49</v>
      </c>
      <c r="E188" s="22" t="n">
        <v>4677.21</v>
      </c>
      <c r="F188" s="22" t="n">
        <v>361</v>
      </c>
    </row>
    <row r="189">
      <c r="A189" s="22" t="n">
        <v>201612</v>
      </c>
      <c r="B189" s="22" t="inlineStr">
        <is>
          <t>POS</t>
        </is>
      </c>
      <c r="C189" s="22" t="inlineStr">
        <is>
          <t>Nhạc, phim, sách nói</t>
        </is>
      </c>
      <c r="D189" s="22" t="n">
        <v>47964.25</v>
      </c>
      <c r="E189" s="22" t="n">
        <v>1193.87</v>
      </c>
      <c r="F189" s="22" t="n">
        <v>382</v>
      </c>
    </row>
    <row r="190">
      <c r="A190" s="22" t="n">
        <v>201612</v>
      </c>
      <c r="B190" s="22" t="inlineStr">
        <is>
          <t>POS</t>
        </is>
      </c>
      <c r="C190" s="22" t="inlineStr">
        <is>
          <t>TV &amp; Video</t>
        </is>
      </c>
      <c r="D190" s="22" t="n">
        <v>133718.34</v>
      </c>
      <c r="E190" s="22" t="n">
        <v>228</v>
      </c>
      <c r="F190" s="22" t="n">
        <v>248</v>
      </c>
    </row>
    <row r="191">
      <c r="A191" s="22" t="n">
        <v>201701</v>
      </c>
      <c r="B191" s="22" t="inlineStr">
        <is>
          <t>ONLINE</t>
        </is>
      </c>
      <c r="C191" s="22" t="inlineStr">
        <is>
          <t>Âm thanh</t>
        </is>
      </c>
      <c r="D191" s="22" t="n">
        <v>8606.370000000001</v>
      </c>
      <c r="E191" s="22" t="n">
        <v>246.79</v>
      </c>
      <c r="F191" s="22" t="n">
        <v>67</v>
      </c>
    </row>
    <row r="192">
      <c r="A192" s="22" t="n">
        <v>201701</v>
      </c>
      <c r="B192" s="22" t="inlineStr">
        <is>
          <t>ONLINE</t>
        </is>
      </c>
      <c r="C192" s="22" t="inlineStr">
        <is>
          <t>Máy ảnh</t>
        </is>
      </c>
      <c r="D192" s="22" t="n">
        <v>9246.290000000001</v>
      </c>
      <c r="E192" s="22" t="n">
        <v>1698.3</v>
      </c>
      <c r="F192" s="22" t="n">
        <v>21</v>
      </c>
    </row>
    <row r="193">
      <c r="A193" s="22" t="n">
        <v>201701</v>
      </c>
      <c r="B193" s="22" t="inlineStr">
        <is>
          <t>ONLINE</t>
        </is>
      </c>
      <c r="C193" s="22" t="inlineStr">
        <is>
          <t>Điện thoại</t>
        </is>
      </c>
      <c r="D193" s="22" t="n">
        <v>8392.41</v>
      </c>
      <c r="E193" s="22" t="n">
        <v>0</v>
      </c>
      <c r="F193" s="22" t="n">
        <v>45</v>
      </c>
    </row>
    <row r="194">
      <c r="A194" s="22" t="n">
        <v>201701</v>
      </c>
      <c r="B194" s="22" t="inlineStr">
        <is>
          <t>ONLINE</t>
        </is>
      </c>
      <c r="C194" s="22" t="inlineStr">
        <is>
          <t>Máy tính</t>
        </is>
      </c>
      <c r="D194" s="22" t="n">
        <v>22965.49</v>
      </c>
      <c r="E194" s="22" t="n">
        <v>474.9</v>
      </c>
      <c r="F194" s="22" t="n">
        <v>52</v>
      </c>
    </row>
    <row r="195">
      <c r="A195" s="22" t="n">
        <v>201701</v>
      </c>
      <c r="B195" s="22" t="inlineStr">
        <is>
          <t>ONLINE</t>
        </is>
      </c>
      <c r="C195" s="22" t="inlineStr">
        <is>
          <t>Game &amp; Đồ chơi</t>
        </is>
      </c>
      <c r="D195" s="22" t="n">
        <v>387.85</v>
      </c>
      <c r="E195" s="22" t="n">
        <v>45.6</v>
      </c>
      <c r="F195" s="22" t="n">
        <v>17</v>
      </c>
    </row>
    <row r="196">
      <c r="A196" s="22" t="n">
        <v>201701</v>
      </c>
      <c r="B196" s="22" t="inlineStr">
        <is>
          <t>ONLINE</t>
        </is>
      </c>
      <c r="C196" s="22" t="inlineStr">
        <is>
          <t>Gia dụng</t>
        </is>
      </c>
      <c r="D196" s="22" t="n">
        <v>36581.35</v>
      </c>
      <c r="E196" s="22" t="n">
        <v>0</v>
      </c>
      <c r="F196" s="22" t="n">
        <v>58</v>
      </c>
    </row>
    <row r="197">
      <c r="A197" s="22" t="n">
        <v>201701</v>
      </c>
      <c r="B197" s="22" t="inlineStr">
        <is>
          <t>ONLINE</t>
        </is>
      </c>
      <c r="C197" s="22" t="inlineStr">
        <is>
          <t>Nhạc, phim, sách nói</t>
        </is>
      </c>
      <c r="D197" s="22" t="n">
        <v>5971.54</v>
      </c>
      <c r="E197" s="22" t="n">
        <v>0</v>
      </c>
      <c r="F197" s="22" t="n">
        <v>48</v>
      </c>
    </row>
    <row r="198">
      <c r="A198" s="22" t="n">
        <v>201701</v>
      </c>
      <c r="B198" s="22" t="inlineStr">
        <is>
          <t>ONLINE</t>
        </is>
      </c>
      <c r="C198" s="22" t="inlineStr">
        <is>
          <t>TV &amp; Video</t>
        </is>
      </c>
      <c r="D198" s="22" t="n">
        <v>8112.17</v>
      </c>
      <c r="E198" s="22" t="n">
        <v>4089.71</v>
      </c>
      <c r="F198" s="22" t="n">
        <v>12</v>
      </c>
    </row>
    <row r="199">
      <c r="A199" s="22" t="n">
        <v>201701</v>
      </c>
      <c r="B199" s="22" t="inlineStr">
        <is>
          <t>POS</t>
        </is>
      </c>
      <c r="C199" s="22" t="inlineStr">
        <is>
          <t>Âm thanh</t>
        </is>
      </c>
      <c r="D199" s="22" t="n">
        <v>24564.77</v>
      </c>
      <c r="E199" s="22" t="n">
        <v>759.8099999999999</v>
      </c>
      <c r="F199" s="22" t="n">
        <v>197</v>
      </c>
    </row>
    <row r="200">
      <c r="A200" s="22" t="n">
        <v>201701</v>
      </c>
      <c r="B200" s="22" t="inlineStr">
        <is>
          <t>POS</t>
        </is>
      </c>
      <c r="C200" s="22" t="inlineStr">
        <is>
          <t>Máy ảnh</t>
        </is>
      </c>
      <c r="D200" s="22" t="n">
        <v>78221.39999999999</v>
      </c>
      <c r="E200" s="22" t="n">
        <v>3964.5</v>
      </c>
      <c r="F200" s="22" t="n">
        <v>198</v>
      </c>
    </row>
    <row r="201">
      <c r="A201" s="22" t="n">
        <v>201701</v>
      </c>
      <c r="B201" s="22" t="inlineStr">
        <is>
          <t>POS</t>
        </is>
      </c>
      <c r="C201" s="22" t="inlineStr">
        <is>
          <t>Điện thoại</t>
        </is>
      </c>
      <c r="D201" s="22" t="n">
        <v>40943.55</v>
      </c>
      <c r="E201" s="22" t="n">
        <v>554.28</v>
      </c>
      <c r="F201" s="22" t="n">
        <v>220</v>
      </c>
    </row>
    <row r="202">
      <c r="A202" s="22" t="n">
        <v>201701</v>
      </c>
      <c r="B202" s="22" t="inlineStr">
        <is>
          <t>POS</t>
        </is>
      </c>
      <c r="C202" s="22" t="inlineStr">
        <is>
          <t>Máy tính</t>
        </is>
      </c>
      <c r="D202" s="22" t="n">
        <v>140144.01</v>
      </c>
      <c r="E202" s="22" t="n">
        <v>1581.52</v>
      </c>
      <c r="F202" s="22" t="n">
        <v>346</v>
      </c>
    </row>
    <row r="203">
      <c r="A203" s="22" t="n">
        <v>201701</v>
      </c>
      <c r="B203" s="22" t="inlineStr">
        <is>
          <t>POS</t>
        </is>
      </c>
      <c r="C203" s="22" t="inlineStr">
        <is>
          <t>Game &amp; Đồ chơi</t>
        </is>
      </c>
      <c r="D203" s="22" t="n">
        <v>5062.86</v>
      </c>
      <c r="E203" s="22" t="n">
        <v>30.9</v>
      </c>
      <c r="F203" s="22" t="n">
        <v>135</v>
      </c>
    </row>
    <row r="204">
      <c r="A204" s="22" t="n">
        <v>201701</v>
      </c>
      <c r="B204" s="22" t="inlineStr">
        <is>
          <t>POS</t>
        </is>
      </c>
      <c r="C204" s="22" t="inlineStr">
        <is>
          <t>Gia dụng</t>
        </is>
      </c>
      <c r="D204" s="22" t="n">
        <v>123100.96</v>
      </c>
      <c r="E204" s="22" t="n">
        <v>2792.36</v>
      </c>
      <c r="F204" s="22" t="n">
        <v>273</v>
      </c>
    </row>
    <row r="205">
      <c r="A205" s="22" t="n">
        <v>201701</v>
      </c>
      <c r="B205" s="22" t="inlineStr">
        <is>
          <t>POS</t>
        </is>
      </c>
      <c r="C205" s="22" t="inlineStr">
        <is>
          <t>Nhạc, phim, sách nói</t>
        </is>
      </c>
      <c r="D205" s="22" t="n">
        <v>28028.25</v>
      </c>
      <c r="E205" s="22" t="n">
        <v>372.23</v>
      </c>
      <c r="F205" s="22" t="n">
        <v>325</v>
      </c>
    </row>
    <row r="206">
      <c r="A206" s="22" t="n">
        <v>201701</v>
      </c>
      <c r="B206" s="22" t="inlineStr">
        <is>
          <t>POS</t>
        </is>
      </c>
      <c r="C206" s="22" t="inlineStr">
        <is>
          <t>TV &amp; Video</t>
        </is>
      </c>
      <c r="D206" s="22" t="n">
        <v>71252.23</v>
      </c>
      <c r="E206" s="22" t="n">
        <v>89.09999999999999</v>
      </c>
      <c r="F206" s="22" t="n">
        <v>155</v>
      </c>
    </row>
    <row r="207">
      <c r="A207" s="22" t="n">
        <v>201702</v>
      </c>
      <c r="B207" s="22" t="inlineStr">
        <is>
          <t>ONLINE</t>
        </is>
      </c>
      <c r="C207" s="22" t="inlineStr">
        <is>
          <t>Âm thanh</t>
        </is>
      </c>
      <c r="D207" s="22" t="n">
        <v>6762.86</v>
      </c>
      <c r="E207" s="22" t="n">
        <v>0</v>
      </c>
      <c r="F207" s="22" t="n">
        <v>62</v>
      </c>
    </row>
    <row r="208">
      <c r="A208" s="22" t="n">
        <v>201702</v>
      </c>
      <c r="B208" s="22" t="inlineStr">
        <is>
          <t>ONLINE</t>
        </is>
      </c>
      <c r="C208" s="22" t="inlineStr">
        <is>
          <t>Máy ảnh</t>
        </is>
      </c>
      <c r="D208" s="22" t="n">
        <v>25607.58</v>
      </c>
      <c r="E208" s="22" t="n">
        <v>0</v>
      </c>
      <c r="F208" s="22" t="n">
        <v>42</v>
      </c>
    </row>
    <row r="209">
      <c r="A209" s="22" t="n">
        <v>201702</v>
      </c>
      <c r="B209" s="22" t="inlineStr">
        <is>
          <t>ONLINE</t>
        </is>
      </c>
      <c r="C209" s="22" t="inlineStr">
        <is>
          <t>Điện thoại</t>
        </is>
      </c>
      <c r="D209" s="22" t="n">
        <v>10690.78</v>
      </c>
      <c r="E209" s="22" t="n">
        <v>32.99</v>
      </c>
      <c r="F209" s="22" t="n">
        <v>58</v>
      </c>
    </row>
    <row r="210">
      <c r="A210" s="22" t="n">
        <v>201702</v>
      </c>
      <c r="B210" s="22" t="inlineStr">
        <is>
          <t>ONLINE</t>
        </is>
      </c>
      <c r="C210" s="22" t="inlineStr">
        <is>
          <t>Máy tính</t>
        </is>
      </c>
      <c r="D210" s="22" t="n">
        <v>31144.51</v>
      </c>
      <c r="E210" s="22" t="n">
        <v>198</v>
      </c>
      <c r="F210" s="22" t="n">
        <v>88</v>
      </c>
    </row>
    <row r="211">
      <c r="A211" s="22" t="n">
        <v>201702</v>
      </c>
      <c r="B211" s="22" t="inlineStr">
        <is>
          <t>ONLINE</t>
        </is>
      </c>
      <c r="C211" s="22" t="inlineStr">
        <is>
          <t>Game &amp; Đồ chơi</t>
        </is>
      </c>
      <c r="D211" s="22" t="n">
        <v>858.73</v>
      </c>
      <c r="E211" s="22" t="n">
        <v>0</v>
      </c>
      <c r="F211" s="22" t="n">
        <v>36</v>
      </c>
    </row>
    <row r="212">
      <c r="A212" s="22" t="n">
        <v>201702</v>
      </c>
      <c r="B212" s="22" t="inlineStr">
        <is>
          <t>ONLINE</t>
        </is>
      </c>
      <c r="C212" s="22" t="inlineStr">
        <is>
          <t>Gia dụng</t>
        </is>
      </c>
      <c r="D212" s="22" t="n">
        <v>30969.98</v>
      </c>
      <c r="E212" s="22" t="n">
        <v>0</v>
      </c>
      <c r="F212" s="22" t="n">
        <v>59</v>
      </c>
    </row>
    <row r="213">
      <c r="A213" s="22" t="n">
        <v>201702</v>
      </c>
      <c r="B213" s="22" t="inlineStr">
        <is>
          <t>ONLINE</t>
        </is>
      </c>
      <c r="C213" s="22" t="inlineStr">
        <is>
          <t>Nhạc, phim, sách nói</t>
        </is>
      </c>
      <c r="D213" s="22" t="n">
        <v>6165.1</v>
      </c>
      <c r="E213" s="22" t="n">
        <v>544.98</v>
      </c>
      <c r="F213" s="22" t="n">
        <v>57</v>
      </c>
    </row>
    <row r="214">
      <c r="A214" s="22" t="n">
        <v>201702</v>
      </c>
      <c r="B214" s="22" t="inlineStr">
        <is>
          <t>ONLINE</t>
        </is>
      </c>
      <c r="C214" s="22" t="inlineStr">
        <is>
          <t>TV &amp; Video</t>
        </is>
      </c>
      <c r="D214" s="22" t="n">
        <v>19676.13</v>
      </c>
      <c r="E214" s="22" t="n">
        <v>0</v>
      </c>
      <c r="F214" s="22" t="n">
        <v>46</v>
      </c>
    </row>
    <row r="215">
      <c r="A215" s="22" t="n">
        <v>201702</v>
      </c>
      <c r="B215" s="22" t="inlineStr">
        <is>
          <t>POS</t>
        </is>
      </c>
      <c r="C215" s="22" t="inlineStr">
        <is>
          <t>Âm thanh</t>
        </is>
      </c>
      <c r="D215" s="22" t="n">
        <v>35004.55</v>
      </c>
      <c r="E215" s="22" t="n">
        <v>163.36</v>
      </c>
      <c r="F215" s="22" t="n">
        <v>265</v>
      </c>
    </row>
    <row r="216">
      <c r="A216" s="22" t="n">
        <v>201702</v>
      </c>
      <c r="B216" s="22" t="inlineStr">
        <is>
          <t>POS</t>
        </is>
      </c>
      <c r="C216" s="22" t="inlineStr">
        <is>
          <t>Máy ảnh</t>
        </is>
      </c>
      <c r="D216" s="22" t="n">
        <v>69290.74000000001</v>
      </c>
      <c r="E216" s="22" t="n">
        <v>1489.37</v>
      </c>
      <c r="F216" s="22" t="n">
        <v>167</v>
      </c>
    </row>
    <row r="217">
      <c r="A217" s="22" t="n">
        <v>201702</v>
      </c>
      <c r="B217" s="22" t="inlineStr">
        <is>
          <t>POS</t>
        </is>
      </c>
      <c r="C217" s="22" t="inlineStr">
        <is>
          <t>Điện thoại</t>
        </is>
      </c>
      <c r="D217" s="22" t="n">
        <v>37337.23</v>
      </c>
      <c r="E217" s="22" t="n">
        <v>4026.91</v>
      </c>
      <c r="F217" s="22" t="n">
        <v>211</v>
      </c>
    </row>
    <row r="218">
      <c r="A218" s="22" t="n">
        <v>201702</v>
      </c>
      <c r="B218" s="22" t="inlineStr">
        <is>
          <t>POS</t>
        </is>
      </c>
      <c r="C218" s="22" t="inlineStr">
        <is>
          <t>Máy tính</t>
        </is>
      </c>
      <c r="D218" s="22" t="n">
        <v>170770.7</v>
      </c>
      <c r="E218" s="22" t="n">
        <v>158</v>
      </c>
      <c r="F218" s="22" t="n">
        <v>359</v>
      </c>
    </row>
    <row r="219">
      <c r="A219" s="22" t="n">
        <v>201702</v>
      </c>
      <c r="B219" s="22" t="inlineStr">
        <is>
          <t>POS</t>
        </is>
      </c>
      <c r="C219" s="22" t="inlineStr">
        <is>
          <t>Game &amp; Đồ chơi</t>
        </is>
      </c>
      <c r="D219" s="22" t="n">
        <v>4720.71</v>
      </c>
      <c r="E219" s="22" t="n">
        <v>34.95</v>
      </c>
      <c r="F219" s="22" t="n">
        <v>130</v>
      </c>
    </row>
    <row r="220">
      <c r="A220" s="22" t="n">
        <v>201702</v>
      </c>
      <c r="B220" s="22" t="inlineStr">
        <is>
          <t>POS</t>
        </is>
      </c>
      <c r="C220" s="22" t="inlineStr">
        <is>
          <t>Gia dụng</t>
        </is>
      </c>
      <c r="D220" s="22" t="n">
        <v>186707.33</v>
      </c>
      <c r="E220" s="22" t="n">
        <v>7312.97</v>
      </c>
      <c r="F220" s="22" t="n">
        <v>381</v>
      </c>
    </row>
    <row r="221">
      <c r="A221" s="22" t="n">
        <v>201702</v>
      </c>
      <c r="B221" s="22" t="inlineStr">
        <is>
          <t>POS</t>
        </is>
      </c>
      <c r="C221" s="22" t="inlineStr">
        <is>
          <t>Nhạc, phim, sách nói</t>
        </is>
      </c>
      <c r="D221" s="22" t="n">
        <v>33701.71</v>
      </c>
      <c r="E221" s="22" t="n">
        <v>1221.26</v>
      </c>
      <c r="F221" s="22" t="n">
        <v>315</v>
      </c>
    </row>
    <row r="222">
      <c r="A222" s="22" t="n">
        <v>201702</v>
      </c>
      <c r="B222" s="22" t="inlineStr">
        <is>
          <t>POS</t>
        </is>
      </c>
      <c r="C222" s="22" t="inlineStr">
        <is>
          <t>TV &amp; Video</t>
        </is>
      </c>
      <c r="D222" s="22" t="n">
        <v>71089.36</v>
      </c>
      <c r="E222" s="22" t="n">
        <v>4239.77</v>
      </c>
      <c r="F222" s="22" t="n">
        <v>168</v>
      </c>
    </row>
    <row r="223">
      <c r="A223" s="22" t="n">
        <v>201703</v>
      </c>
      <c r="B223" s="22" t="inlineStr">
        <is>
          <t>ONLINE</t>
        </is>
      </c>
      <c r="C223" s="22" t="inlineStr">
        <is>
          <t>Âm thanh</t>
        </is>
      </c>
      <c r="D223" s="22" t="n">
        <v>1811.83</v>
      </c>
      <c r="E223" s="22" t="n">
        <v>120</v>
      </c>
      <c r="F223" s="22" t="n">
        <v>19</v>
      </c>
    </row>
    <row r="224">
      <c r="A224" s="22" t="n">
        <v>201703</v>
      </c>
      <c r="B224" s="22" t="inlineStr">
        <is>
          <t>ONLINE</t>
        </is>
      </c>
      <c r="C224" s="22" t="inlineStr">
        <is>
          <t>Máy ảnh</t>
        </is>
      </c>
      <c r="D224" s="22" t="n">
        <v>2398.32</v>
      </c>
      <c r="E224" s="22" t="n">
        <v>0</v>
      </c>
      <c r="F224" s="22" t="n">
        <v>18</v>
      </c>
    </row>
    <row r="225">
      <c r="A225" s="22" t="n">
        <v>201703</v>
      </c>
      <c r="B225" s="22" t="inlineStr">
        <is>
          <t>ONLINE</t>
        </is>
      </c>
      <c r="C225" s="22" t="inlineStr">
        <is>
          <t>Điện thoại</t>
        </is>
      </c>
      <c r="D225" s="22" t="n">
        <v>446.32</v>
      </c>
      <c r="E225" s="22" t="n">
        <v>0</v>
      </c>
      <c r="F225" s="22" t="n">
        <v>5</v>
      </c>
    </row>
    <row r="226">
      <c r="A226" s="22" t="n">
        <v>201703</v>
      </c>
      <c r="B226" s="22" t="inlineStr">
        <is>
          <t>ONLINE</t>
        </is>
      </c>
      <c r="C226" s="22" t="inlineStr">
        <is>
          <t>Máy tính</t>
        </is>
      </c>
      <c r="D226" s="22" t="n">
        <v>16749.13</v>
      </c>
      <c r="E226" s="22" t="n">
        <v>2576.82</v>
      </c>
      <c r="F226" s="22" t="n">
        <v>55</v>
      </c>
    </row>
    <row r="227">
      <c r="A227" s="22" t="n">
        <v>201703</v>
      </c>
      <c r="B227" s="22" t="inlineStr">
        <is>
          <t>ONLINE</t>
        </is>
      </c>
      <c r="C227" s="22" t="inlineStr">
        <is>
          <t>Game &amp; Đồ chơi</t>
        </is>
      </c>
      <c r="D227" s="22" t="n">
        <v>643.08</v>
      </c>
      <c r="E227" s="22" t="n">
        <v>8.880000000000001</v>
      </c>
      <c r="F227" s="22" t="n">
        <v>28</v>
      </c>
    </row>
    <row r="228">
      <c r="A228" s="22" t="n">
        <v>201703</v>
      </c>
      <c r="B228" s="22" t="inlineStr">
        <is>
          <t>ONLINE</t>
        </is>
      </c>
      <c r="C228" s="22" t="inlineStr">
        <is>
          <t>Gia dụng</t>
        </is>
      </c>
      <c r="D228" s="22" t="n">
        <v>14809.47</v>
      </c>
      <c r="E228" s="22" t="n">
        <v>1475</v>
      </c>
      <c r="F228" s="22" t="n">
        <v>37</v>
      </c>
    </row>
    <row r="229">
      <c r="A229" s="22" t="n">
        <v>201703</v>
      </c>
      <c r="B229" s="22" t="inlineStr">
        <is>
          <t>ONLINE</t>
        </is>
      </c>
      <c r="C229" s="22" t="inlineStr">
        <is>
          <t>Nhạc, phim, sách nói</t>
        </is>
      </c>
      <c r="D229" s="22" t="n">
        <v>398.89</v>
      </c>
      <c r="E229" s="22" t="n">
        <v>0</v>
      </c>
      <c r="F229" s="22" t="n">
        <v>11</v>
      </c>
    </row>
    <row r="230">
      <c r="A230" s="22" t="n">
        <v>201703</v>
      </c>
      <c r="B230" s="22" t="inlineStr">
        <is>
          <t>ONLINE</t>
        </is>
      </c>
      <c r="C230" s="22" t="inlineStr">
        <is>
          <t>TV &amp; Video</t>
        </is>
      </c>
      <c r="D230" s="22" t="n">
        <v>3119.95</v>
      </c>
      <c r="E230" s="22" t="n">
        <v>449.99</v>
      </c>
      <c r="F230" s="22" t="n">
        <v>5</v>
      </c>
    </row>
    <row r="231">
      <c r="A231" s="22" t="n">
        <v>201703</v>
      </c>
      <c r="B231" s="22" t="inlineStr">
        <is>
          <t>POS</t>
        </is>
      </c>
      <c r="C231" s="22" t="inlineStr">
        <is>
          <t>Âm thanh</t>
        </is>
      </c>
      <c r="D231" s="22" t="n">
        <v>14821.78</v>
      </c>
      <c r="E231" s="22" t="n">
        <v>40.55</v>
      </c>
      <c r="F231" s="22" t="n">
        <v>102</v>
      </c>
    </row>
    <row r="232">
      <c r="A232" s="22" t="n">
        <v>201703</v>
      </c>
      <c r="B232" s="22" t="inlineStr">
        <is>
          <t>POS</t>
        </is>
      </c>
      <c r="C232" s="22" t="inlineStr">
        <is>
          <t>Máy ảnh</t>
        </is>
      </c>
      <c r="D232" s="22" t="n">
        <v>26325.61</v>
      </c>
      <c r="E232" s="22" t="n">
        <v>634.2</v>
      </c>
      <c r="F232" s="22" t="n">
        <v>72</v>
      </c>
    </row>
    <row r="233">
      <c r="A233" s="22" t="n">
        <v>201703</v>
      </c>
      <c r="B233" s="22" t="inlineStr">
        <is>
          <t>POS</t>
        </is>
      </c>
      <c r="C233" s="22" t="inlineStr">
        <is>
          <t>Điện thoại</t>
        </is>
      </c>
      <c r="D233" s="22" t="n">
        <v>23274.89</v>
      </c>
      <c r="E233" s="22" t="n">
        <v>858</v>
      </c>
      <c r="F233" s="22" t="n">
        <v>98</v>
      </c>
    </row>
    <row r="234">
      <c r="A234" s="22" t="n">
        <v>201703</v>
      </c>
      <c r="B234" s="22" t="inlineStr">
        <is>
          <t>POS</t>
        </is>
      </c>
      <c r="C234" s="22" t="inlineStr">
        <is>
          <t>Máy tính</t>
        </is>
      </c>
      <c r="D234" s="22" t="n">
        <v>82007.94</v>
      </c>
      <c r="E234" s="22" t="n">
        <v>6977.9</v>
      </c>
      <c r="F234" s="22" t="n">
        <v>158</v>
      </c>
    </row>
    <row r="235">
      <c r="A235" s="22" t="n">
        <v>201703</v>
      </c>
      <c r="B235" s="22" t="inlineStr">
        <is>
          <t>POS</t>
        </is>
      </c>
      <c r="C235" s="22" t="inlineStr">
        <is>
          <t>Game &amp; Đồ chơi</t>
        </is>
      </c>
      <c r="D235" s="22" t="n">
        <v>3008.51</v>
      </c>
      <c r="E235" s="22" t="n">
        <v>56</v>
      </c>
      <c r="F235" s="22" t="n">
        <v>71</v>
      </c>
    </row>
    <row r="236">
      <c r="A236" s="22" t="n">
        <v>201703</v>
      </c>
      <c r="B236" s="22" t="inlineStr">
        <is>
          <t>POS</t>
        </is>
      </c>
      <c r="C236" s="22" t="inlineStr">
        <is>
          <t>Gia dụng</t>
        </is>
      </c>
      <c r="D236" s="22" t="n">
        <v>84152.25</v>
      </c>
      <c r="E236" s="22" t="n">
        <v>9015.190000000001</v>
      </c>
      <c r="F236" s="22" t="n">
        <v>134</v>
      </c>
    </row>
    <row r="237">
      <c r="A237" s="22" t="n">
        <v>201703</v>
      </c>
      <c r="B237" s="22" t="inlineStr">
        <is>
          <t>POS</t>
        </is>
      </c>
      <c r="C237" s="22" t="inlineStr">
        <is>
          <t>Nhạc, phim, sách nói</t>
        </is>
      </c>
      <c r="D237" s="22" t="n">
        <v>23037.39</v>
      </c>
      <c r="E237" s="22" t="n">
        <v>282.88</v>
      </c>
      <c r="F237" s="22" t="n">
        <v>166</v>
      </c>
    </row>
    <row r="238">
      <c r="A238" s="22" t="n">
        <v>201703</v>
      </c>
      <c r="B238" s="22" t="inlineStr">
        <is>
          <t>POS</t>
        </is>
      </c>
      <c r="C238" s="22" t="inlineStr">
        <is>
          <t>TV &amp; Video</t>
        </is>
      </c>
      <c r="D238" s="22" t="n">
        <v>25170.56</v>
      </c>
      <c r="E238" s="22" t="n">
        <v>5643.35</v>
      </c>
      <c r="F238" s="22" t="n">
        <v>40</v>
      </c>
    </row>
    <row r="239">
      <c r="A239" s="22" t="n">
        <v>201704</v>
      </c>
      <c r="B239" s="22" t="inlineStr">
        <is>
          <t>ONLINE</t>
        </is>
      </c>
      <c r="C239" s="22" t="inlineStr">
        <is>
          <t>Âm thanh</t>
        </is>
      </c>
      <c r="D239" s="22" t="n">
        <v>569.95</v>
      </c>
      <c r="E239" s="22" t="n">
        <v>0</v>
      </c>
      <c r="F239" s="22" t="n">
        <v>5</v>
      </c>
    </row>
    <row r="240">
      <c r="A240" s="22" t="n">
        <v>201704</v>
      </c>
      <c r="B240" s="22" t="inlineStr">
        <is>
          <t>ONLINE</t>
        </is>
      </c>
      <c r="C240" s="22" t="inlineStr">
        <is>
          <t>Nhạc, phim, sách nói</t>
        </is>
      </c>
      <c r="D240" s="22" t="n">
        <v>1661.94</v>
      </c>
      <c r="E240" s="22" t="n">
        <v>0</v>
      </c>
      <c r="F240" s="22" t="n">
        <v>12</v>
      </c>
    </row>
    <row r="241">
      <c r="A241" s="22" t="n">
        <v>201704</v>
      </c>
      <c r="B241" s="22" t="inlineStr">
        <is>
          <t>ONLINE</t>
        </is>
      </c>
      <c r="C241" s="22" t="inlineStr">
        <is>
          <t>TV &amp; Video</t>
        </is>
      </c>
      <c r="D241" s="22" t="n">
        <v>287.1</v>
      </c>
      <c r="E241" s="22" t="n">
        <v>0</v>
      </c>
      <c r="F241" s="22" t="n">
        <v>1</v>
      </c>
    </row>
    <row r="242">
      <c r="A242" s="22" t="n">
        <v>201704</v>
      </c>
      <c r="B242" s="22" t="inlineStr">
        <is>
          <t>POS</t>
        </is>
      </c>
      <c r="C242" s="22" t="inlineStr">
        <is>
          <t>Âm thanh</t>
        </is>
      </c>
      <c r="D242" s="22" t="n">
        <v>1861.55</v>
      </c>
      <c r="E242" s="22" t="n">
        <v>299.9</v>
      </c>
      <c r="F242" s="22" t="n">
        <v>10</v>
      </c>
    </row>
    <row r="243">
      <c r="A243" s="22" t="n">
        <v>201704</v>
      </c>
      <c r="B243" s="22" t="inlineStr">
        <is>
          <t>POS</t>
        </is>
      </c>
      <c r="C243" s="22" t="inlineStr">
        <is>
          <t>Máy ảnh</t>
        </is>
      </c>
      <c r="D243" s="22" t="n">
        <v>1992</v>
      </c>
      <c r="E243" s="22" t="n">
        <v>0</v>
      </c>
      <c r="F243" s="22" t="n">
        <v>6</v>
      </c>
    </row>
    <row r="244">
      <c r="A244" s="22" t="n">
        <v>201704</v>
      </c>
      <c r="B244" s="22" t="inlineStr">
        <is>
          <t>POS</t>
        </is>
      </c>
      <c r="C244" s="22" t="inlineStr">
        <is>
          <t>Điện thoại</t>
        </is>
      </c>
      <c r="D244" s="22" t="n">
        <v>8223</v>
      </c>
      <c r="E244" s="22" t="n">
        <v>717</v>
      </c>
      <c r="F244" s="22" t="n">
        <v>33</v>
      </c>
    </row>
    <row r="245">
      <c r="A245" s="22" t="n">
        <v>201704</v>
      </c>
      <c r="B245" s="22" t="inlineStr">
        <is>
          <t>POS</t>
        </is>
      </c>
      <c r="C245" s="22" t="inlineStr">
        <is>
          <t>Máy tính</t>
        </is>
      </c>
      <c r="D245" s="22" t="n">
        <v>4973</v>
      </c>
      <c r="E245" s="22" t="n">
        <v>0</v>
      </c>
      <c r="F245" s="22" t="n">
        <v>24</v>
      </c>
    </row>
    <row r="246">
      <c r="A246" s="22" t="n">
        <v>201704</v>
      </c>
      <c r="B246" s="22" t="inlineStr">
        <is>
          <t>POS</t>
        </is>
      </c>
      <c r="C246" s="22" t="inlineStr">
        <is>
          <t>Game &amp; Đồ chơi</t>
        </is>
      </c>
      <c r="D246" s="22" t="n">
        <v>313.04</v>
      </c>
      <c r="E246" s="22" t="n">
        <v>86</v>
      </c>
      <c r="F246" s="22" t="n">
        <v>11</v>
      </c>
    </row>
    <row r="247">
      <c r="A247" s="22" t="n">
        <v>201704</v>
      </c>
      <c r="B247" s="22" t="inlineStr">
        <is>
          <t>POS</t>
        </is>
      </c>
      <c r="C247" s="22" t="inlineStr">
        <is>
          <t>Gia dụng</t>
        </is>
      </c>
      <c r="D247" s="22" t="n">
        <v>25788.34</v>
      </c>
      <c r="E247" s="22" t="n">
        <v>3115</v>
      </c>
      <c r="F247" s="22" t="n">
        <v>23</v>
      </c>
    </row>
    <row r="248">
      <c r="A248" s="22" t="n">
        <v>201704</v>
      </c>
      <c r="B248" s="22" t="inlineStr">
        <is>
          <t>POS</t>
        </is>
      </c>
      <c r="C248" s="22" t="inlineStr">
        <is>
          <t>Nhạc, phim, sách nói</t>
        </is>
      </c>
      <c r="D248" s="22" t="n">
        <v>2941.89</v>
      </c>
      <c r="E248" s="22" t="n">
        <v>113.98</v>
      </c>
      <c r="F248" s="22" t="n">
        <v>16</v>
      </c>
    </row>
    <row r="249">
      <c r="A249" s="22" t="n">
        <v>201704</v>
      </c>
      <c r="B249" s="22" t="inlineStr">
        <is>
          <t>POS</t>
        </is>
      </c>
      <c r="C249" s="22" t="inlineStr">
        <is>
          <t>TV &amp; Video</t>
        </is>
      </c>
      <c r="D249" s="22" t="n">
        <v>9936.360000000001</v>
      </c>
      <c r="E249" s="22" t="n">
        <v>0</v>
      </c>
      <c r="F249" s="22" t="n">
        <v>20</v>
      </c>
    </row>
    <row r="250">
      <c r="A250" s="22" t="n">
        <v>201705</v>
      </c>
      <c r="B250" s="22" t="inlineStr">
        <is>
          <t>ONLINE</t>
        </is>
      </c>
      <c r="C250" s="22" t="inlineStr">
        <is>
          <t>Âm thanh</t>
        </is>
      </c>
      <c r="D250" s="22" t="n">
        <v>4069.42</v>
      </c>
      <c r="E250" s="22" t="n">
        <v>0</v>
      </c>
      <c r="F250" s="22" t="n">
        <v>34</v>
      </c>
    </row>
    <row r="251">
      <c r="A251" s="22" t="n">
        <v>201705</v>
      </c>
      <c r="B251" s="22" t="inlineStr">
        <is>
          <t>ONLINE</t>
        </is>
      </c>
      <c r="C251" s="22" t="inlineStr">
        <is>
          <t>Máy ảnh</t>
        </is>
      </c>
      <c r="D251" s="22" t="n">
        <v>10200.08</v>
      </c>
      <c r="E251" s="22" t="n">
        <v>0</v>
      </c>
      <c r="F251" s="22" t="n">
        <v>30</v>
      </c>
    </row>
    <row r="252">
      <c r="A252" s="22" t="n">
        <v>201705</v>
      </c>
      <c r="B252" s="22" t="inlineStr">
        <is>
          <t>ONLINE</t>
        </is>
      </c>
      <c r="C252" s="22" t="inlineStr">
        <is>
          <t>Điện thoại</t>
        </is>
      </c>
      <c r="D252" s="22" t="n">
        <v>11360.04</v>
      </c>
      <c r="E252" s="22" t="n">
        <v>0</v>
      </c>
      <c r="F252" s="22" t="n">
        <v>53</v>
      </c>
    </row>
    <row r="253">
      <c r="A253" s="22" t="n">
        <v>201705</v>
      </c>
      <c r="B253" s="22" t="inlineStr">
        <is>
          <t>ONLINE</t>
        </is>
      </c>
      <c r="C253" s="22" t="inlineStr">
        <is>
          <t>Máy tính</t>
        </is>
      </c>
      <c r="D253" s="22" t="n">
        <v>36765.7</v>
      </c>
      <c r="E253" s="22" t="n">
        <v>0</v>
      </c>
      <c r="F253" s="22" t="n">
        <v>99</v>
      </c>
    </row>
    <row r="254">
      <c r="A254" s="22" t="n">
        <v>201705</v>
      </c>
      <c r="B254" s="22" t="inlineStr">
        <is>
          <t>ONLINE</t>
        </is>
      </c>
      <c r="C254" s="22" t="inlineStr">
        <is>
          <t>Game &amp; Đồ chơi</t>
        </is>
      </c>
      <c r="D254" s="22" t="n">
        <v>1760.21</v>
      </c>
      <c r="E254" s="22" t="n">
        <v>0</v>
      </c>
      <c r="F254" s="22" t="n">
        <v>36</v>
      </c>
    </row>
    <row r="255">
      <c r="A255" s="22" t="n">
        <v>201705</v>
      </c>
      <c r="B255" s="22" t="inlineStr">
        <is>
          <t>ONLINE</t>
        </is>
      </c>
      <c r="C255" s="22" t="inlineStr">
        <is>
          <t>Gia dụng</t>
        </is>
      </c>
      <c r="D255" s="22" t="n">
        <v>26878.63</v>
      </c>
      <c r="E255" s="22" t="n">
        <v>0</v>
      </c>
      <c r="F255" s="22" t="n">
        <v>42</v>
      </c>
    </row>
    <row r="256">
      <c r="A256" s="22" t="n">
        <v>201705</v>
      </c>
      <c r="B256" s="22" t="inlineStr">
        <is>
          <t>ONLINE</t>
        </is>
      </c>
      <c r="C256" s="22" t="inlineStr">
        <is>
          <t>Nhạc, phim, sách nói</t>
        </is>
      </c>
      <c r="D256" s="22" t="n">
        <v>3954.03</v>
      </c>
      <c r="E256" s="22" t="n">
        <v>71.95999999999999</v>
      </c>
      <c r="F256" s="22" t="n">
        <v>90</v>
      </c>
    </row>
    <row r="257">
      <c r="A257" s="22" t="n">
        <v>201705</v>
      </c>
      <c r="B257" s="22" t="inlineStr">
        <is>
          <t>ONLINE</t>
        </is>
      </c>
      <c r="C257" s="22" t="inlineStr">
        <is>
          <t>TV &amp; Video</t>
        </is>
      </c>
      <c r="D257" s="22" t="n">
        <v>17217.29</v>
      </c>
      <c r="E257" s="22" t="n">
        <v>0</v>
      </c>
      <c r="F257" s="22" t="n">
        <v>32</v>
      </c>
    </row>
    <row r="258">
      <c r="A258" s="22" t="n">
        <v>201705</v>
      </c>
      <c r="B258" s="22" t="inlineStr">
        <is>
          <t>POS</t>
        </is>
      </c>
      <c r="C258" s="22" t="inlineStr">
        <is>
          <t>Âm thanh</t>
        </is>
      </c>
      <c r="D258" s="22" t="n">
        <v>31284.12</v>
      </c>
      <c r="E258" s="22" t="n">
        <v>181</v>
      </c>
      <c r="F258" s="22" t="n">
        <v>228</v>
      </c>
    </row>
    <row r="259">
      <c r="A259" s="22" t="n">
        <v>201705</v>
      </c>
      <c r="B259" s="22" t="inlineStr">
        <is>
          <t>POS</t>
        </is>
      </c>
      <c r="C259" s="22" t="inlineStr">
        <is>
          <t>Máy ảnh</t>
        </is>
      </c>
      <c r="D259" s="22" t="n">
        <v>57396.35</v>
      </c>
      <c r="E259" s="22" t="n">
        <v>0</v>
      </c>
      <c r="F259" s="22" t="n">
        <v>119</v>
      </c>
    </row>
    <row r="260">
      <c r="A260" s="22" t="n">
        <v>201705</v>
      </c>
      <c r="B260" s="22" t="inlineStr">
        <is>
          <t>POS</t>
        </is>
      </c>
      <c r="C260" s="22" t="inlineStr">
        <is>
          <t>Điện thoại</t>
        </is>
      </c>
      <c r="D260" s="22" t="n">
        <v>38884.53</v>
      </c>
      <c r="E260" s="22" t="n">
        <v>48</v>
      </c>
      <c r="F260" s="22" t="n">
        <v>188</v>
      </c>
    </row>
    <row r="261">
      <c r="A261" s="22" t="n">
        <v>201705</v>
      </c>
      <c r="B261" s="22" t="inlineStr">
        <is>
          <t>POS</t>
        </is>
      </c>
      <c r="C261" s="22" t="inlineStr">
        <is>
          <t>Máy tính</t>
        </is>
      </c>
      <c r="D261" s="22" t="n">
        <v>160785.93</v>
      </c>
      <c r="E261" s="22" t="n">
        <v>1028.85</v>
      </c>
      <c r="F261" s="22" t="n">
        <v>349</v>
      </c>
    </row>
    <row r="262">
      <c r="A262" s="22" t="n">
        <v>201705</v>
      </c>
      <c r="B262" s="22" t="inlineStr">
        <is>
          <t>POS</t>
        </is>
      </c>
      <c r="C262" s="22" t="inlineStr">
        <is>
          <t>Game &amp; Đồ chơi</t>
        </is>
      </c>
      <c r="D262" s="22" t="n">
        <v>2431.07</v>
      </c>
      <c r="E262" s="22" t="n">
        <v>32</v>
      </c>
      <c r="F262" s="22" t="n">
        <v>76</v>
      </c>
    </row>
    <row r="263">
      <c r="A263" s="22" t="n">
        <v>201705</v>
      </c>
      <c r="B263" s="22" t="inlineStr">
        <is>
          <t>POS</t>
        </is>
      </c>
      <c r="C263" s="22" t="inlineStr">
        <is>
          <t>Gia dụng</t>
        </is>
      </c>
      <c r="D263" s="22" t="n">
        <v>108596.88</v>
      </c>
      <c r="E263" s="22" t="n">
        <v>4185.48</v>
      </c>
      <c r="F263" s="22" t="n">
        <v>198</v>
      </c>
    </row>
    <row r="264">
      <c r="A264" s="22" t="n">
        <v>201705</v>
      </c>
      <c r="B264" s="22" t="inlineStr">
        <is>
          <t>POS</t>
        </is>
      </c>
      <c r="C264" s="22" t="inlineStr">
        <is>
          <t>Nhạc, phim, sách nói</t>
        </is>
      </c>
      <c r="D264" s="22" t="n">
        <v>19797</v>
      </c>
      <c r="E264" s="22" t="n">
        <v>250.61</v>
      </c>
      <c r="F264" s="22" t="n">
        <v>210</v>
      </c>
    </row>
    <row r="265">
      <c r="A265" s="22" t="n">
        <v>201705</v>
      </c>
      <c r="B265" s="22" t="inlineStr">
        <is>
          <t>POS</t>
        </is>
      </c>
      <c r="C265" s="22" t="inlineStr">
        <is>
          <t>TV &amp; Video</t>
        </is>
      </c>
      <c r="D265" s="22" t="n">
        <v>76616.71000000001</v>
      </c>
      <c r="E265" s="22" t="n">
        <v>869</v>
      </c>
      <c r="F265" s="22" t="n">
        <v>143</v>
      </c>
    </row>
    <row r="266">
      <c r="A266" s="22" t="n">
        <v>201706</v>
      </c>
      <c r="B266" s="22" t="inlineStr">
        <is>
          <t>ONLINE</t>
        </is>
      </c>
      <c r="C266" s="22" t="inlineStr">
        <is>
          <t>Âm thanh</t>
        </is>
      </c>
      <c r="D266" s="22" t="n">
        <v>7360.01</v>
      </c>
      <c r="E266" s="22" t="n">
        <v>0</v>
      </c>
      <c r="F266" s="22" t="n">
        <v>48</v>
      </c>
    </row>
    <row r="267">
      <c r="A267" s="22" t="n">
        <v>201706</v>
      </c>
      <c r="B267" s="22" t="inlineStr">
        <is>
          <t>ONLINE</t>
        </is>
      </c>
      <c r="C267" s="22" t="inlineStr">
        <is>
          <t>Máy ảnh</t>
        </is>
      </c>
      <c r="D267" s="22" t="n">
        <v>8178.93</v>
      </c>
      <c r="E267" s="22" t="n">
        <v>0</v>
      </c>
      <c r="F267" s="22" t="n">
        <v>41</v>
      </c>
    </row>
    <row r="268">
      <c r="A268" s="22" t="n">
        <v>201706</v>
      </c>
      <c r="B268" s="22" t="inlineStr">
        <is>
          <t>ONLINE</t>
        </is>
      </c>
      <c r="C268" s="22" t="inlineStr">
        <is>
          <t>Điện thoại</t>
        </is>
      </c>
      <c r="D268" s="22" t="n">
        <v>3002.99</v>
      </c>
      <c r="E268" s="22" t="n">
        <v>268</v>
      </c>
      <c r="F268" s="22" t="n">
        <v>20</v>
      </c>
    </row>
    <row r="269">
      <c r="A269" s="22" t="n">
        <v>201706</v>
      </c>
      <c r="B269" s="22" t="inlineStr">
        <is>
          <t>ONLINE</t>
        </is>
      </c>
      <c r="C269" s="22" t="inlineStr">
        <is>
          <t>Máy tính</t>
        </is>
      </c>
      <c r="D269" s="22" t="n">
        <v>29293.26</v>
      </c>
      <c r="E269" s="22" t="n">
        <v>0</v>
      </c>
      <c r="F269" s="22" t="n">
        <v>66</v>
      </c>
    </row>
    <row r="270">
      <c r="A270" s="22" t="n">
        <v>201706</v>
      </c>
      <c r="B270" s="22" t="inlineStr">
        <is>
          <t>ONLINE</t>
        </is>
      </c>
      <c r="C270" s="22" t="inlineStr">
        <is>
          <t>Game &amp; Đồ chơi</t>
        </is>
      </c>
      <c r="D270" s="22" t="n">
        <v>1371.39</v>
      </c>
      <c r="E270" s="22" t="n">
        <v>0</v>
      </c>
      <c r="F270" s="22" t="n">
        <v>33</v>
      </c>
    </row>
    <row r="271">
      <c r="A271" s="22" t="n">
        <v>201706</v>
      </c>
      <c r="B271" s="22" t="inlineStr">
        <is>
          <t>ONLINE</t>
        </is>
      </c>
      <c r="C271" s="22" t="inlineStr">
        <is>
          <t>Gia dụng</t>
        </is>
      </c>
      <c r="D271" s="22" t="n">
        <v>28064.32</v>
      </c>
      <c r="E271" s="22" t="n">
        <v>0</v>
      </c>
      <c r="F271" s="22" t="n">
        <v>42</v>
      </c>
    </row>
    <row r="272">
      <c r="A272" s="22" t="n">
        <v>201706</v>
      </c>
      <c r="B272" s="22" t="inlineStr">
        <is>
          <t>ONLINE</t>
        </is>
      </c>
      <c r="C272" s="22" t="inlineStr">
        <is>
          <t>Nhạc, phim, sách nói</t>
        </is>
      </c>
      <c r="D272" s="22" t="n">
        <v>6265.92</v>
      </c>
      <c r="E272" s="22" t="n">
        <v>0</v>
      </c>
      <c r="F272" s="22" t="n">
        <v>51</v>
      </c>
    </row>
    <row r="273">
      <c r="A273" s="22" t="n">
        <v>201706</v>
      </c>
      <c r="B273" s="22" t="inlineStr">
        <is>
          <t>ONLINE</t>
        </is>
      </c>
      <c r="C273" s="22" t="inlineStr">
        <is>
          <t>TV &amp; Video</t>
        </is>
      </c>
      <c r="D273" s="22" t="n">
        <v>6918.15</v>
      </c>
      <c r="E273" s="22" t="n">
        <v>0</v>
      </c>
      <c r="F273" s="22" t="n">
        <v>13</v>
      </c>
    </row>
    <row r="274">
      <c r="A274" s="22" t="n">
        <v>201706</v>
      </c>
      <c r="B274" s="22" t="inlineStr">
        <is>
          <t>POS</t>
        </is>
      </c>
      <c r="C274" s="22" t="inlineStr">
        <is>
          <t>Âm thanh</t>
        </is>
      </c>
      <c r="D274" s="22" t="n">
        <v>26097.35</v>
      </c>
      <c r="E274" s="22" t="n">
        <v>115</v>
      </c>
      <c r="F274" s="22" t="n">
        <v>213</v>
      </c>
    </row>
    <row r="275">
      <c r="A275" s="22" t="n">
        <v>201706</v>
      </c>
      <c r="B275" s="22" t="inlineStr">
        <is>
          <t>POS</t>
        </is>
      </c>
      <c r="C275" s="22" t="inlineStr">
        <is>
          <t>Máy ảnh</t>
        </is>
      </c>
      <c r="D275" s="22" t="n">
        <v>42438.08</v>
      </c>
      <c r="E275" s="22" t="n">
        <v>0</v>
      </c>
      <c r="F275" s="22" t="n">
        <v>136</v>
      </c>
    </row>
    <row r="276">
      <c r="A276" s="22" t="n">
        <v>201706</v>
      </c>
      <c r="B276" s="22" t="inlineStr">
        <is>
          <t>POS</t>
        </is>
      </c>
      <c r="C276" s="22" t="inlineStr">
        <is>
          <t>Điện thoại</t>
        </is>
      </c>
      <c r="D276" s="22" t="n">
        <v>45854.5</v>
      </c>
      <c r="E276" s="22" t="n">
        <v>303.99</v>
      </c>
      <c r="F276" s="22" t="n">
        <v>231</v>
      </c>
    </row>
    <row r="277">
      <c r="A277" s="22" t="n">
        <v>201706</v>
      </c>
      <c r="B277" s="22" t="inlineStr">
        <is>
          <t>POS</t>
        </is>
      </c>
      <c r="C277" s="22" t="inlineStr">
        <is>
          <t>Máy tính</t>
        </is>
      </c>
      <c r="D277" s="22" t="n">
        <v>137940.7</v>
      </c>
      <c r="E277" s="22" t="n">
        <v>4376.5</v>
      </c>
      <c r="F277" s="22" t="n">
        <v>343</v>
      </c>
    </row>
    <row r="278">
      <c r="A278" s="22" t="n">
        <v>201706</v>
      </c>
      <c r="B278" s="22" t="inlineStr">
        <is>
          <t>POS</t>
        </is>
      </c>
      <c r="C278" s="22" t="inlineStr">
        <is>
          <t>Game &amp; Đồ chơi</t>
        </is>
      </c>
      <c r="D278" s="22" t="n">
        <v>2105.18</v>
      </c>
      <c r="E278" s="22" t="n">
        <v>0</v>
      </c>
      <c r="F278" s="22" t="n">
        <v>64</v>
      </c>
    </row>
    <row r="279">
      <c r="A279" s="22" t="n">
        <v>201706</v>
      </c>
      <c r="B279" s="22" t="inlineStr">
        <is>
          <t>POS</t>
        </is>
      </c>
      <c r="C279" s="22" t="inlineStr">
        <is>
          <t>Gia dụng</t>
        </is>
      </c>
      <c r="D279" s="22" t="n">
        <v>234224.95</v>
      </c>
      <c r="E279" s="22" t="n">
        <v>5873.97</v>
      </c>
      <c r="F279" s="22" t="n">
        <v>311</v>
      </c>
    </row>
    <row r="280">
      <c r="A280" s="22" t="n">
        <v>201706</v>
      </c>
      <c r="B280" s="22" t="inlineStr">
        <is>
          <t>POS</t>
        </is>
      </c>
      <c r="C280" s="22" t="inlineStr">
        <is>
          <t>Nhạc, phim, sách nói</t>
        </is>
      </c>
      <c r="D280" s="22" t="n">
        <v>24440.04</v>
      </c>
      <c r="E280" s="22" t="n">
        <v>1441.68</v>
      </c>
      <c r="F280" s="22" t="n">
        <v>215</v>
      </c>
    </row>
    <row r="281">
      <c r="A281" s="22" t="n">
        <v>201706</v>
      </c>
      <c r="B281" s="22" t="inlineStr">
        <is>
          <t>POS</t>
        </is>
      </c>
      <c r="C281" s="22" t="inlineStr">
        <is>
          <t>TV &amp; Video</t>
        </is>
      </c>
      <c r="D281" s="22" t="n">
        <v>20451.03</v>
      </c>
      <c r="E281" s="22" t="n">
        <v>329</v>
      </c>
      <c r="F281" s="22" t="n">
        <v>81</v>
      </c>
    </row>
    <row r="282">
      <c r="A282" s="22" t="n">
        <v>201707</v>
      </c>
      <c r="B282" s="22" t="inlineStr">
        <is>
          <t>ONLINE</t>
        </is>
      </c>
      <c r="C282" s="22" t="inlineStr">
        <is>
          <t>Âm thanh</t>
        </is>
      </c>
      <c r="D282" s="22" t="n">
        <v>5220.73</v>
      </c>
      <c r="E282" s="22" t="n">
        <v>362</v>
      </c>
      <c r="F282" s="22" t="n">
        <v>37</v>
      </c>
    </row>
    <row r="283">
      <c r="A283" s="22" t="n">
        <v>201707</v>
      </c>
      <c r="B283" s="22" t="inlineStr">
        <is>
          <t>ONLINE</t>
        </is>
      </c>
      <c r="C283" s="22" t="inlineStr">
        <is>
          <t>Máy ảnh</t>
        </is>
      </c>
      <c r="D283" s="22" t="n">
        <v>1140.53</v>
      </c>
      <c r="E283" s="22" t="n">
        <v>28</v>
      </c>
      <c r="F283" s="22" t="n">
        <v>6</v>
      </c>
    </row>
    <row r="284">
      <c r="A284" s="22" t="n">
        <v>201707</v>
      </c>
      <c r="B284" s="22" t="inlineStr">
        <is>
          <t>ONLINE</t>
        </is>
      </c>
      <c r="C284" s="22" t="inlineStr">
        <is>
          <t>Điện thoại</t>
        </is>
      </c>
      <c r="D284" s="22" t="n">
        <v>7114.33</v>
      </c>
      <c r="E284" s="22" t="n">
        <v>0</v>
      </c>
      <c r="F284" s="22" t="n">
        <v>59</v>
      </c>
    </row>
    <row r="285">
      <c r="A285" s="22" t="n">
        <v>201707</v>
      </c>
      <c r="B285" s="22" t="inlineStr">
        <is>
          <t>ONLINE</t>
        </is>
      </c>
      <c r="C285" s="22" t="inlineStr">
        <is>
          <t>Máy tính</t>
        </is>
      </c>
      <c r="D285" s="22" t="n">
        <v>32048.06</v>
      </c>
      <c r="E285" s="22" t="n">
        <v>0</v>
      </c>
      <c r="F285" s="22" t="n">
        <v>93</v>
      </c>
    </row>
    <row r="286">
      <c r="A286" s="22" t="n">
        <v>201707</v>
      </c>
      <c r="B286" s="22" t="inlineStr">
        <is>
          <t>ONLINE</t>
        </is>
      </c>
      <c r="C286" s="22" t="inlineStr">
        <is>
          <t>Game &amp; Đồ chơi</t>
        </is>
      </c>
      <c r="D286" s="22" t="n">
        <v>1085.1</v>
      </c>
      <c r="E286" s="22" t="n">
        <v>63.1</v>
      </c>
      <c r="F286" s="22" t="n">
        <v>24</v>
      </c>
    </row>
    <row r="287">
      <c r="A287" s="22" t="n">
        <v>201707</v>
      </c>
      <c r="B287" s="22" t="inlineStr">
        <is>
          <t>ONLINE</t>
        </is>
      </c>
      <c r="C287" s="22" t="inlineStr">
        <is>
          <t>Gia dụng</t>
        </is>
      </c>
      <c r="D287" s="22" t="n">
        <v>20160.23</v>
      </c>
      <c r="E287" s="22" t="n">
        <v>0</v>
      </c>
      <c r="F287" s="22" t="n">
        <v>42</v>
      </c>
    </row>
    <row r="288">
      <c r="A288" s="22" t="n">
        <v>201707</v>
      </c>
      <c r="B288" s="22" t="inlineStr">
        <is>
          <t>ONLINE</t>
        </is>
      </c>
      <c r="C288" s="22" t="inlineStr">
        <is>
          <t>Nhạc, phim, sách nói</t>
        </is>
      </c>
      <c r="D288" s="22" t="n">
        <v>7424.11</v>
      </c>
      <c r="E288" s="22" t="n">
        <v>0</v>
      </c>
      <c r="F288" s="22" t="n">
        <v>93</v>
      </c>
    </row>
    <row r="289">
      <c r="A289" s="22" t="n">
        <v>201707</v>
      </c>
      <c r="B289" s="22" t="inlineStr">
        <is>
          <t>ONLINE</t>
        </is>
      </c>
      <c r="C289" s="22" t="inlineStr">
        <is>
          <t>TV &amp; Video</t>
        </is>
      </c>
      <c r="D289" s="22" t="n">
        <v>5848.77</v>
      </c>
      <c r="E289" s="22" t="n">
        <v>0</v>
      </c>
      <c r="F289" s="22" t="n">
        <v>26</v>
      </c>
    </row>
    <row r="290">
      <c r="A290" s="22" t="n">
        <v>201707</v>
      </c>
      <c r="B290" s="22" t="inlineStr">
        <is>
          <t>POS</t>
        </is>
      </c>
      <c r="C290" s="22" t="inlineStr">
        <is>
          <t>Âm thanh</t>
        </is>
      </c>
      <c r="D290" s="22" t="n">
        <v>16545.24</v>
      </c>
      <c r="E290" s="22" t="n">
        <v>705.0599999999999</v>
      </c>
      <c r="F290" s="22" t="n">
        <v>126</v>
      </c>
    </row>
    <row r="291">
      <c r="A291" s="22" t="n">
        <v>201707</v>
      </c>
      <c r="B291" s="22" t="inlineStr">
        <is>
          <t>POS</t>
        </is>
      </c>
      <c r="C291" s="22" t="inlineStr">
        <is>
          <t>Máy ảnh</t>
        </is>
      </c>
      <c r="D291" s="22" t="n">
        <v>27592.6</v>
      </c>
      <c r="E291" s="22" t="n">
        <v>2197</v>
      </c>
      <c r="F291" s="22" t="n">
        <v>87</v>
      </c>
    </row>
    <row r="292">
      <c r="A292" s="22" t="n">
        <v>201707</v>
      </c>
      <c r="B292" s="22" t="inlineStr">
        <is>
          <t>POS</t>
        </is>
      </c>
      <c r="C292" s="22" t="inlineStr">
        <is>
          <t>Điện thoại</t>
        </is>
      </c>
      <c r="D292" s="22" t="n">
        <v>35462.37</v>
      </c>
      <c r="E292" s="22" t="n">
        <v>2313.94</v>
      </c>
      <c r="F292" s="22" t="n">
        <v>174</v>
      </c>
    </row>
    <row r="293">
      <c r="A293" s="22" t="n">
        <v>201707</v>
      </c>
      <c r="B293" s="22" t="inlineStr">
        <is>
          <t>POS</t>
        </is>
      </c>
      <c r="C293" s="22" t="inlineStr">
        <is>
          <t>Máy tính</t>
        </is>
      </c>
      <c r="D293" s="22" t="n">
        <v>122602.1</v>
      </c>
      <c r="E293" s="22" t="n">
        <v>892.8</v>
      </c>
      <c r="F293" s="22" t="n">
        <v>244</v>
      </c>
    </row>
    <row r="294">
      <c r="A294" s="22" t="n">
        <v>201707</v>
      </c>
      <c r="B294" s="22" t="inlineStr">
        <is>
          <t>POS</t>
        </is>
      </c>
      <c r="C294" s="22" t="inlineStr">
        <is>
          <t>Game &amp; Đồ chơi</t>
        </is>
      </c>
      <c r="D294" s="22" t="n">
        <v>2850.25</v>
      </c>
      <c r="E294" s="22" t="n">
        <v>6.99</v>
      </c>
      <c r="F294" s="22" t="n">
        <v>88</v>
      </c>
    </row>
    <row r="295">
      <c r="A295" s="22" t="n">
        <v>201707</v>
      </c>
      <c r="B295" s="22" t="inlineStr">
        <is>
          <t>POS</t>
        </is>
      </c>
      <c r="C295" s="22" t="inlineStr">
        <is>
          <t>Gia dụng</t>
        </is>
      </c>
      <c r="D295" s="22" t="n">
        <v>108894.11</v>
      </c>
      <c r="E295" s="22" t="n">
        <v>7114.46</v>
      </c>
      <c r="F295" s="22" t="n">
        <v>249</v>
      </c>
    </row>
    <row r="296">
      <c r="A296" s="22" t="n">
        <v>201707</v>
      </c>
      <c r="B296" s="22" t="inlineStr">
        <is>
          <t>POS</t>
        </is>
      </c>
      <c r="C296" s="22" t="inlineStr">
        <is>
          <t>Nhạc, phim, sách nói</t>
        </is>
      </c>
      <c r="D296" s="22" t="n">
        <v>21478.52</v>
      </c>
      <c r="E296" s="22" t="n">
        <v>63.96</v>
      </c>
      <c r="F296" s="22" t="n">
        <v>178</v>
      </c>
    </row>
    <row r="297">
      <c r="A297" s="22" t="n">
        <v>201707</v>
      </c>
      <c r="B297" s="22" t="inlineStr">
        <is>
          <t>POS</t>
        </is>
      </c>
      <c r="C297" s="22" t="inlineStr">
        <is>
          <t>TV &amp; Video</t>
        </is>
      </c>
      <c r="D297" s="22" t="n">
        <v>82859.81</v>
      </c>
      <c r="E297" s="22" t="n">
        <v>119</v>
      </c>
      <c r="F297" s="22" t="n">
        <v>132</v>
      </c>
    </row>
    <row r="298">
      <c r="A298" s="22" t="n">
        <v>201708</v>
      </c>
      <c r="B298" s="22" t="inlineStr">
        <is>
          <t>ONLINE</t>
        </is>
      </c>
      <c r="C298" s="22" t="inlineStr">
        <is>
          <t>Âm thanh</t>
        </is>
      </c>
      <c r="D298" s="22" t="n">
        <v>11165.54</v>
      </c>
      <c r="E298" s="22" t="n">
        <v>140.4</v>
      </c>
      <c r="F298" s="22" t="n">
        <v>91</v>
      </c>
    </row>
    <row r="299">
      <c r="A299" s="22" t="n">
        <v>201708</v>
      </c>
      <c r="B299" s="22" t="inlineStr">
        <is>
          <t>ONLINE</t>
        </is>
      </c>
      <c r="C299" s="22" t="inlineStr">
        <is>
          <t>Máy ảnh</t>
        </is>
      </c>
      <c r="D299" s="22" t="n">
        <v>18156.06</v>
      </c>
      <c r="E299" s="22" t="n">
        <v>0</v>
      </c>
      <c r="F299" s="22" t="n">
        <v>47</v>
      </c>
    </row>
    <row r="300">
      <c r="A300" s="22" t="n">
        <v>201708</v>
      </c>
      <c r="B300" s="22" t="inlineStr">
        <is>
          <t>ONLINE</t>
        </is>
      </c>
      <c r="C300" s="22" t="inlineStr">
        <is>
          <t>Điện thoại</t>
        </is>
      </c>
      <c r="D300" s="22" t="n">
        <v>2263.03</v>
      </c>
      <c r="E300" s="22" t="n">
        <v>75.59999999999999</v>
      </c>
      <c r="F300" s="22" t="n">
        <v>25</v>
      </c>
    </row>
    <row r="301">
      <c r="A301" s="22" t="n">
        <v>201708</v>
      </c>
      <c r="B301" s="22" t="inlineStr">
        <is>
          <t>ONLINE</t>
        </is>
      </c>
      <c r="C301" s="22" t="inlineStr">
        <is>
          <t>Máy tính</t>
        </is>
      </c>
      <c r="D301" s="22" t="n">
        <v>16914.28</v>
      </c>
      <c r="E301" s="22" t="n">
        <v>548.9</v>
      </c>
      <c r="F301" s="22" t="n">
        <v>63</v>
      </c>
    </row>
    <row r="302">
      <c r="A302" s="22" t="n">
        <v>201708</v>
      </c>
      <c r="B302" s="22" t="inlineStr">
        <is>
          <t>ONLINE</t>
        </is>
      </c>
      <c r="C302" s="22" t="inlineStr">
        <is>
          <t>Game &amp; Đồ chơi</t>
        </is>
      </c>
      <c r="D302" s="22" t="n">
        <v>872.08</v>
      </c>
      <c r="E302" s="22" t="n">
        <v>0</v>
      </c>
      <c r="F302" s="22" t="n">
        <v>38</v>
      </c>
    </row>
    <row r="303">
      <c r="A303" s="22" t="n">
        <v>201708</v>
      </c>
      <c r="B303" s="22" t="inlineStr">
        <is>
          <t>ONLINE</t>
        </is>
      </c>
      <c r="C303" s="22" t="inlineStr">
        <is>
          <t>Gia dụng</t>
        </is>
      </c>
      <c r="D303" s="22" t="n">
        <v>28903.11</v>
      </c>
      <c r="E303" s="22" t="n">
        <v>0</v>
      </c>
      <c r="F303" s="22" t="n">
        <v>49</v>
      </c>
    </row>
    <row r="304">
      <c r="A304" s="22" t="n">
        <v>201708</v>
      </c>
      <c r="B304" s="22" t="inlineStr">
        <is>
          <t>ONLINE</t>
        </is>
      </c>
      <c r="C304" s="22" t="inlineStr">
        <is>
          <t>Nhạc, phim, sách nói</t>
        </is>
      </c>
      <c r="D304" s="22" t="n">
        <v>4394.36</v>
      </c>
      <c r="E304" s="22" t="n">
        <v>0</v>
      </c>
      <c r="F304" s="22" t="n">
        <v>55</v>
      </c>
    </row>
    <row r="305">
      <c r="A305" s="22" t="n">
        <v>201708</v>
      </c>
      <c r="B305" s="22" t="inlineStr">
        <is>
          <t>ONLINE</t>
        </is>
      </c>
      <c r="C305" s="22" t="inlineStr">
        <is>
          <t>TV &amp; Video</t>
        </is>
      </c>
      <c r="D305" s="22" t="n">
        <v>7643.44</v>
      </c>
      <c r="E305" s="22" t="n">
        <v>0</v>
      </c>
      <c r="F305" s="22" t="n">
        <v>35</v>
      </c>
    </row>
    <row r="306">
      <c r="A306" s="22" t="n">
        <v>201708</v>
      </c>
      <c r="B306" s="22" t="inlineStr">
        <is>
          <t>POS</t>
        </is>
      </c>
      <c r="C306" s="22" t="inlineStr">
        <is>
          <t>Âm thanh</t>
        </is>
      </c>
      <c r="D306" s="22" t="n">
        <v>33126.93</v>
      </c>
      <c r="E306" s="22" t="n">
        <v>710.0700000000001</v>
      </c>
      <c r="F306" s="22" t="n">
        <v>262</v>
      </c>
    </row>
    <row r="307">
      <c r="A307" s="22" t="n">
        <v>201708</v>
      </c>
      <c r="B307" s="22" t="inlineStr">
        <is>
          <t>POS</t>
        </is>
      </c>
      <c r="C307" s="22" t="inlineStr">
        <is>
          <t>Máy ảnh</t>
        </is>
      </c>
      <c r="D307" s="22" t="n">
        <v>37566.93</v>
      </c>
      <c r="E307" s="22" t="n">
        <v>0</v>
      </c>
      <c r="F307" s="22" t="n">
        <v>86</v>
      </c>
    </row>
    <row r="308">
      <c r="A308" s="22" t="n">
        <v>201708</v>
      </c>
      <c r="B308" s="22" t="inlineStr">
        <is>
          <t>POS</t>
        </is>
      </c>
      <c r="C308" s="22" t="inlineStr">
        <is>
          <t>Điện thoại</t>
        </is>
      </c>
      <c r="D308" s="22" t="n">
        <v>47395.72</v>
      </c>
      <c r="E308" s="22" t="n">
        <v>794.2</v>
      </c>
      <c r="F308" s="22" t="n">
        <v>221</v>
      </c>
    </row>
    <row r="309">
      <c r="A309" s="22" t="n">
        <v>201708</v>
      </c>
      <c r="B309" s="22" t="inlineStr">
        <is>
          <t>POS</t>
        </is>
      </c>
      <c r="C309" s="22" t="inlineStr">
        <is>
          <t>Máy tính</t>
        </is>
      </c>
      <c r="D309" s="22" t="n">
        <v>141769.19</v>
      </c>
      <c r="E309" s="22" t="n">
        <v>782.1</v>
      </c>
      <c r="F309" s="22" t="n">
        <v>290</v>
      </c>
    </row>
    <row r="310">
      <c r="A310" s="22" t="n">
        <v>201708</v>
      </c>
      <c r="B310" s="22" t="inlineStr">
        <is>
          <t>POS</t>
        </is>
      </c>
      <c r="C310" s="22" t="inlineStr">
        <is>
          <t>Game &amp; Đồ chơi</t>
        </is>
      </c>
      <c r="D310" s="22" t="n">
        <v>3470.34</v>
      </c>
      <c r="E310" s="22" t="n">
        <v>239.92</v>
      </c>
      <c r="F310" s="22" t="n">
        <v>108</v>
      </c>
    </row>
    <row r="311">
      <c r="A311" s="22" t="n">
        <v>201708</v>
      </c>
      <c r="B311" s="22" t="inlineStr">
        <is>
          <t>POS</t>
        </is>
      </c>
      <c r="C311" s="22" t="inlineStr">
        <is>
          <t>Gia dụng</t>
        </is>
      </c>
      <c r="D311" s="22" t="n">
        <v>111517.69</v>
      </c>
      <c r="E311" s="22" t="n">
        <v>5174.46</v>
      </c>
      <c r="F311" s="22" t="n">
        <v>231</v>
      </c>
    </row>
    <row r="312">
      <c r="A312" s="22" t="n">
        <v>201708</v>
      </c>
      <c r="B312" s="22" t="inlineStr">
        <is>
          <t>POS</t>
        </is>
      </c>
      <c r="C312" s="22" t="inlineStr">
        <is>
          <t>Nhạc, phim, sách nói</t>
        </is>
      </c>
      <c r="D312" s="22" t="n">
        <v>30228.83</v>
      </c>
      <c r="E312" s="22" t="n">
        <v>1547.99</v>
      </c>
      <c r="F312" s="22" t="n">
        <v>253</v>
      </c>
    </row>
    <row r="313">
      <c r="A313" s="22" t="n">
        <v>201708</v>
      </c>
      <c r="B313" s="22" t="inlineStr">
        <is>
          <t>POS</t>
        </is>
      </c>
      <c r="C313" s="22" t="inlineStr">
        <is>
          <t>TV &amp; Video</t>
        </is>
      </c>
      <c r="D313" s="22" t="n">
        <v>62711.39</v>
      </c>
      <c r="E313" s="22" t="n">
        <v>0</v>
      </c>
      <c r="F313" s="22" t="n">
        <v>131</v>
      </c>
    </row>
    <row r="314">
      <c r="A314" s="22" t="n">
        <v>201709</v>
      </c>
      <c r="B314" s="22" t="inlineStr">
        <is>
          <t>ONLINE</t>
        </is>
      </c>
      <c r="C314" s="22" t="inlineStr">
        <is>
          <t>Âm thanh</t>
        </is>
      </c>
      <c r="D314" s="22" t="n">
        <v>8131.66</v>
      </c>
      <c r="E314" s="22" t="n">
        <v>620.6799999999999</v>
      </c>
      <c r="F314" s="22" t="n">
        <v>78</v>
      </c>
    </row>
    <row r="315">
      <c r="A315" s="22" t="n">
        <v>201709</v>
      </c>
      <c r="B315" s="22" t="inlineStr">
        <is>
          <t>ONLINE</t>
        </is>
      </c>
      <c r="C315" s="22" t="inlineStr">
        <is>
          <t>Máy ảnh</t>
        </is>
      </c>
      <c r="D315" s="22" t="n">
        <v>6869.69</v>
      </c>
      <c r="E315" s="22" t="n">
        <v>388.8</v>
      </c>
      <c r="F315" s="22" t="n">
        <v>29</v>
      </c>
    </row>
    <row r="316">
      <c r="A316" s="22" t="n">
        <v>201709</v>
      </c>
      <c r="B316" s="22" t="inlineStr">
        <is>
          <t>ONLINE</t>
        </is>
      </c>
      <c r="C316" s="22" t="inlineStr">
        <is>
          <t>Điện thoại</t>
        </is>
      </c>
      <c r="D316" s="22" t="n">
        <v>9221.33</v>
      </c>
      <c r="E316" s="22" t="n">
        <v>308.93</v>
      </c>
      <c r="F316" s="22" t="n">
        <v>69</v>
      </c>
    </row>
    <row r="317">
      <c r="A317" s="22" t="n">
        <v>201709</v>
      </c>
      <c r="B317" s="22" t="inlineStr">
        <is>
          <t>ONLINE</t>
        </is>
      </c>
      <c r="C317" s="22" t="inlineStr">
        <is>
          <t>Máy tính</t>
        </is>
      </c>
      <c r="D317" s="22" t="n">
        <v>25154.77</v>
      </c>
      <c r="E317" s="22" t="n">
        <v>539.91</v>
      </c>
      <c r="F317" s="22" t="n">
        <v>103</v>
      </c>
    </row>
    <row r="318">
      <c r="A318" s="22" t="n">
        <v>201709</v>
      </c>
      <c r="B318" s="22" t="inlineStr">
        <is>
          <t>ONLINE</t>
        </is>
      </c>
      <c r="C318" s="22" t="inlineStr">
        <is>
          <t>Game &amp; Đồ chơi</t>
        </is>
      </c>
      <c r="D318" s="22" t="n">
        <v>1033.81</v>
      </c>
      <c r="E318" s="22" t="n">
        <v>0</v>
      </c>
      <c r="F318" s="22" t="n">
        <v>42</v>
      </c>
    </row>
    <row r="319">
      <c r="A319" s="22" t="n">
        <v>201709</v>
      </c>
      <c r="B319" s="22" t="inlineStr">
        <is>
          <t>ONLINE</t>
        </is>
      </c>
      <c r="C319" s="22" t="inlineStr">
        <is>
          <t>Gia dụng</t>
        </is>
      </c>
      <c r="D319" s="22" t="n">
        <v>30220</v>
      </c>
      <c r="E319" s="22" t="n">
        <v>0</v>
      </c>
      <c r="F319" s="22" t="n">
        <v>51</v>
      </c>
    </row>
    <row r="320">
      <c r="A320" s="22" t="n">
        <v>201709</v>
      </c>
      <c r="B320" s="22" t="inlineStr">
        <is>
          <t>ONLINE</t>
        </is>
      </c>
      <c r="C320" s="22" t="inlineStr">
        <is>
          <t>Nhạc, phim, sách nói</t>
        </is>
      </c>
      <c r="D320" s="22" t="n">
        <v>9175.120000000001</v>
      </c>
      <c r="E320" s="22" t="n">
        <v>0</v>
      </c>
      <c r="F320" s="22" t="n">
        <v>65</v>
      </c>
    </row>
    <row r="321">
      <c r="A321" s="22" t="n">
        <v>201709</v>
      </c>
      <c r="B321" s="22" t="inlineStr">
        <is>
          <t>ONLINE</t>
        </is>
      </c>
      <c r="C321" s="22" t="inlineStr">
        <is>
          <t>TV &amp; Video</t>
        </is>
      </c>
      <c r="D321" s="22" t="n">
        <v>4861.43</v>
      </c>
      <c r="E321" s="22" t="n">
        <v>0</v>
      </c>
      <c r="F321" s="22" t="n">
        <v>3</v>
      </c>
    </row>
    <row r="322">
      <c r="A322" s="22" t="n">
        <v>201709</v>
      </c>
      <c r="B322" s="22" t="inlineStr">
        <is>
          <t>POS</t>
        </is>
      </c>
      <c r="C322" s="22" t="inlineStr">
        <is>
          <t>Âm thanh</t>
        </is>
      </c>
      <c r="D322" s="22" t="n">
        <v>29511.38</v>
      </c>
      <c r="E322" s="22" t="n">
        <v>0</v>
      </c>
      <c r="F322" s="22" t="n">
        <v>218</v>
      </c>
    </row>
    <row r="323">
      <c r="A323" s="22" t="n">
        <v>201709</v>
      </c>
      <c r="B323" s="22" t="inlineStr">
        <is>
          <t>POS</t>
        </is>
      </c>
      <c r="C323" s="22" t="inlineStr">
        <is>
          <t>Máy ảnh</t>
        </is>
      </c>
      <c r="D323" s="22" t="n">
        <v>50767.67</v>
      </c>
      <c r="E323" s="22" t="n">
        <v>22.49</v>
      </c>
      <c r="F323" s="22" t="n">
        <v>118</v>
      </c>
    </row>
    <row r="324">
      <c r="A324" s="22" t="n">
        <v>201709</v>
      </c>
      <c r="B324" s="22" t="inlineStr">
        <is>
          <t>POS</t>
        </is>
      </c>
      <c r="C324" s="22" t="inlineStr">
        <is>
          <t>Điện thoại</t>
        </is>
      </c>
      <c r="D324" s="22" t="n">
        <v>46445.55</v>
      </c>
      <c r="E324" s="22" t="n">
        <v>1333.02</v>
      </c>
      <c r="F324" s="22" t="n">
        <v>237</v>
      </c>
    </row>
    <row r="325">
      <c r="A325" s="22" t="n">
        <v>201709</v>
      </c>
      <c r="B325" s="22" t="inlineStr">
        <is>
          <t>POS</t>
        </is>
      </c>
      <c r="C325" s="22" t="inlineStr">
        <is>
          <t>Máy tính</t>
        </is>
      </c>
      <c r="D325" s="22" t="n">
        <v>159472.47</v>
      </c>
      <c r="E325" s="22" t="n">
        <v>6301.91</v>
      </c>
      <c r="F325" s="22" t="n">
        <v>353</v>
      </c>
    </row>
    <row r="326">
      <c r="A326" s="22" t="n">
        <v>201709</v>
      </c>
      <c r="B326" s="22" t="inlineStr">
        <is>
          <t>POS</t>
        </is>
      </c>
      <c r="C326" s="22" t="inlineStr">
        <is>
          <t>Game &amp; Đồ chơi</t>
        </is>
      </c>
      <c r="D326" s="22" t="n">
        <v>6282.05</v>
      </c>
      <c r="E326" s="22" t="n">
        <v>0</v>
      </c>
      <c r="F326" s="22" t="n">
        <v>135</v>
      </c>
    </row>
    <row r="327">
      <c r="A327" s="22" t="n">
        <v>201709</v>
      </c>
      <c r="B327" s="22" t="inlineStr">
        <is>
          <t>POS</t>
        </is>
      </c>
      <c r="C327" s="22" t="inlineStr">
        <is>
          <t>Gia dụng</t>
        </is>
      </c>
      <c r="D327" s="22" t="n">
        <v>186305.68</v>
      </c>
      <c r="E327" s="22" t="n">
        <v>1278</v>
      </c>
      <c r="F327" s="22" t="n">
        <v>269</v>
      </c>
    </row>
    <row r="328">
      <c r="A328" s="22" t="n">
        <v>201709</v>
      </c>
      <c r="B328" s="22" t="inlineStr">
        <is>
          <t>POS</t>
        </is>
      </c>
      <c r="C328" s="22" t="inlineStr">
        <is>
          <t>Nhạc, phim, sách nói</t>
        </is>
      </c>
      <c r="D328" s="22" t="n">
        <v>17742.87</v>
      </c>
      <c r="E328" s="22" t="n">
        <v>70.16</v>
      </c>
      <c r="F328" s="22" t="n">
        <v>212</v>
      </c>
    </row>
    <row r="329">
      <c r="A329" s="22" t="n">
        <v>201709</v>
      </c>
      <c r="B329" s="22" t="inlineStr">
        <is>
          <t>POS</t>
        </is>
      </c>
      <c r="C329" s="22" t="inlineStr">
        <is>
          <t>TV &amp; Video</t>
        </is>
      </c>
      <c r="D329" s="22" t="n">
        <v>55139.24</v>
      </c>
      <c r="E329" s="22" t="n">
        <v>119.99</v>
      </c>
      <c r="F329" s="22" t="n">
        <v>106</v>
      </c>
    </row>
    <row r="330">
      <c r="A330" s="22" t="n">
        <v>201710</v>
      </c>
      <c r="B330" s="22" t="inlineStr">
        <is>
          <t>ONLINE</t>
        </is>
      </c>
      <c r="C330" s="22" t="inlineStr">
        <is>
          <t>Âm thanh</t>
        </is>
      </c>
      <c r="D330" s="22" t="n">
        <v>7426.75</v>
      </c>
      <c r="E330" s="22" t="n">
        <v>37.95</v>
      </c>
      <c r="F330" s="22" t="n">
        <v>59</v>
      </c>
    </row>
    <row r="331">
      <c r="A331" s="22" t="n">
        <v>201710</v>
      </c>
      <c r="B331" s="22" t="inlineStr">
        <is>
          <t>ONLINE</t>
        </is>
      </c>
      <c r="C331" s="22" t="inlineStr">
        <is>
          <t>Máy ảnh</t>
        </is>
      </c>
      <c r="D331" s="22" t="n">
        <v>20633.06</v>
      </c>
      <c r="E331" s="22" t="n">
        <v>0</v>
      </c>
      <c r="F331" s="22" t="n">
        <v>45</v>
      </c>
    </row>
    <row r="332">
      <c r="A332" s="22" t="n">
        <v>201710</v>
      </c>
      <c r="B332" s="22" t="inlineStr">
        <is>
          <t>ONLINE</t>
        </is>
      </c>
      <c r="C332" s="22" t="inlineStr">
        <is>
          <t>Điện thoại</t>
        </is>
      </c>
      <c r="D332" s="22" t="n">
        <v>17311.26</v>
      </c>
      <c r="E332" s="22" t="n">
        <v>560.76</v>
      </c>
      <c r="F332" s="22" t="n">
        <v>80</v>
      </c>
    </row>
    <row r="333">
      <c r="A333" s="22" t="n">
        <v>201710</v>
      </c>
      <c r="B333" s="22" t="inlineStr">
        <is>
          <t>ONLINE</t>
        </is>
      </c>
      <c r="C333" s="22" t="inlineStr">
        <is>
          <t>Máy tính</t>
        </is>
      </c>
      <c r="D333" s="22" t="n">
        <v>47814.04</v>
      </c>
      <c r="E333" s="22" t="n">
        <v>0</v>
      </c>
      <c r="F333" s="22" t="n">
        <v>128</v>
      </c>
    </row>
    <row r="334">
      <c r="A334" s="22" t="n">
        <v>201710</v>
      </c>
      <c r="B334" s="22" t="inlineStr">
        <is>
          <t>ONLINE</t>
        </is>
      </c>
      <c r="C334" s="22" t="inlineStr">
        <is>
          <t>Game &amp; Đồ chơi</t>
        </is>
      </c>
      <c r="D334" s="22" t="n">
        <v>4800.87</v>
      </c>
      <c r="E334" s="22" t="n">
        <v>43</v>
      </c>
      <c r="F334" s="22" t="n">
        <v>38</v>
      </c>
    </row>
    <row r="335">
      <c r="A335" s="22" t="n">
        <v>201710</v>
      </c>
      <c r="B335" s="22" t="inlineStr">
        <is>
          <t>ONLINE</t>
        </is>
      </c>
      <c r="C335" s="22" t="inlineStr">
        <is>
          <t>Gia dụng</t>
        </is>
      </c>
      <c r="D335" s="22" t="n">
        <v>34434.92</v>
      </c>
      <c r="E335" s="22" t="n">
        <v>189.98</v>
      </c>
      <c r="F335" s="22" t="n">
        <v>84</v>
      </c>
    </row>
    <row r="336">
      <c r="A336" s="22" t="n">
        <v>201710</v>
      </c>
      <c r="B336" s="22" t="inlineStr">
        <is>
          <t>ONLINE</t>
        </is>
      </c>
      <c r="C336" s="22" t="inlineStr">
        <is>
          <t>Nhạc, phim, sách nói</t>
        </is>
      </c>
      <c r="D336" s="22" t="n">
        <v>4010.28</v>
      </c>
      <c r="E336" s="22" t="n">
        <v>757.96</v>
      </c>
      <c r="F336" s="22" t="n">
        <v>56</v>
      </c>
    </row>
    <row r="337">
      <c r="A337" s="22" t="n">
        <v>201710</v>
      </c>
      <c r="B337" s="22" t="inlineStr">
        <is>
          <t>ONLINE</t>
        </is>
      </c>
      <c r="C337" s="22" t="inlineStr">
        <is>
          <t>TV &amp; Video</t>
        </is>
      </c>
      <c r="D337" s="22" t="n">
        <v>11046.77</v>
      </c>
      <c r="E337" s="22" t="n">
        <v>357</v>
      </c>
      <c r="F337" s="22" t="n">
        <v>25</v>
      </c>
    </row>
    <row r="338">
      <c r="A338" s="22" t="n">
        <v>201710</v>
      </c>
      <c r="B338" s="22" t="inlineStr">
        <is>
          <t>POS</t>
        </is>
      </c>
      <c r="C338" s="22" t="inlineStr">
        <is>
          <t>Âm thanh</t>
        </is>
      </c>
      <c r="D338" s="22" t="n">
        <v>29261.78</v>
      </c>
      <c r="E338" s="22" t="n">
        <v>1595.98</v>
      </c>
      <c r="F338" s="22" t="n">
        <v>210</v>
      </c>
    </row>
    <row r="339">
      <c r="A339" s="22" t="n">
        <v>201710</v>
      </c>
      <c r="B339" s="22" t="inlineStr">
        <is>
          <t>POS</t>
        </is>
      </c>
      <c r="C339" s="22" t="inlineStr">
        <is>
          <t>Máy ảnh</t>
        </is>
      </c>
      <c r="D339" s="22" t="n">
        <v>40135.27</v>
      </c>
      <c r="E339" s="22" t="n">
        <v>2062.4</v>
      </c>
      <c r="F339" s="22" t="n">
        <v>112</v>
      </c>
    </row>
    <row r="340">
      <c r="A340" s="22" t="n">
        <v>201710</v>
      </c>
      <c r="B340" s="22" t="inlineStr">
        <is>
          <t>POS</t>
        </is>
      </c>
      <c r="C340" s="22" t="inlineStr">
        <is>
          <t>Điện thoại</t>
        </is>
      </c>
      <c r="D340" s="22" t="n">
        <v>42911.09</v>
      </c>
      <c r="E340" s="22" t="n">
        <v>1231.97</v>
      </c>
      <c r="F340" s="22" t="n">
        <v>218</v>
      </c>
    </row>
    <row r="341">
      <c r="A341" s="22" t="n">
        <v>201710</v>
      </c>
      <c r="B341" s="22" t="inlineStr">
        <is>
          <t>POS</t>
        </is>
      </c>
      <c r="C341" s="22" t="inlineStr">
        <is>
          <t>Máy tính</t>
        </is>
      </c>
      <c r="D341" s="22" t="n">
        <v>147181.12</v>
      </c>
      <c r="E341" s="22" t="n">
        <v>3811.04</v>
      </c>
      <c r="F341" s="22" t="n">
        <v>376</v>
      </c>
    </row>
    <row r="342">
      <c r="A342" s="22" t="n">
        <v>201710</v>
      </c>
      <c r="B342" s="22" t="inlineStr">
        <is>
          <t>POS</t>
        </is>
      </c>
      <c r="C342" s="22" t="inlineStr">
        <is>
          <t>Game &amp; Đồ chơi</t>
        </is>
      </c>
      <c r="D342" s="22" t="n">
        <v>5020.65</v>
      </c>
      <c r="E342" s="22" t="n">
        <v>96.98999999999999</v>
      </c>
      <c r="F342" s="22" t="n">
        <v>154</v>
      </c>
    </row>
    <row r="343">
      <c r="A343" s="22" t="n">
        <v>201710</v>
      </c>
      <c r="B343" s="22" t="inlineStr">
        <is>
          <t>POS</t>
        </is>
      </c>
      <c r="C343" s="22" t="inlineStr">
        <is>
          <t>Gia dụng</t>
        </is>
      </c>
      <c r="D343" s="22" t="n">
        <v>109441.29</v>
      </c>
      <c r="E343" s="22" t="n">
        <v>2791.38</v>
      </c>
      <c r="F343" s="22" t="n">
        <v>222</v>
      </c>
    </row>
    <row r="344">
      <c r="A344" s="22" t="n">
        <v>201710</v>
      </c>
      <c r="B344" s="22" t="inlineStr">
        <is>
          <t>POS</t>
        </is>
      </c>
      <c r="C344" s="22" t="inlineStr">
        <is>
          <t>Nhạc, phim, sách nói</t>
        </is>
      </c>
      <c r="D344" s="22" t="n">
        <v>35154.69</v>
      </c>
      <c r="E344" s="22" t="n">
        <v>655.39</v>
      </c>
      <c r="F344" s="22" t="n">
        <v>304</v>
      </c>
    </row>
    <row r="345">
      <c r="A345" s="22" t="n">
        <v>201710</v>
      </c>
      <c r="B345" s="22" t="inlineStr">
        <is>
          <t>POS</t>
        </is>
      </c>
      <c r="C345" s="22" t="inlineStr">
        <is>
          <t>TV &amp; Video</t>
        </is>
      </c>
      <c r="D345" s="22" t="n">
        <v>42488.68</v>
      </c>
      <c r="E345" s="22" t="n">
        <v>299.99</v>
      </c>
      <c r="F345" s="22" t="n">
        <v>96</v>
      </c>
    </row>
    <row r="346">
      <c r="A346" s="22" t="n">
        <v>201711</v>
      </c>
      <c r="B346" s="22" t="inlineStr">
        <is>
          <t>ONLINE</t>
        </is>
      </c>
      <c r="C346" s="22" t="inlineStr">
        <is>
          <t>Âm thanh</t>
        </is>
      </c>
      <c r="D346" s="22" t="n">
        <v>10308.32</v>
      </c>
      <c r="E346" s="22" t="n">
        <v>936</v>
      </c>
      <c r="F346" s="22" t="n">
        <v>72</v>
      </c>
    </row>
    <row r="347">
      <c r="A347" s="22" t="n">
        <v>201711</v>
      </c>
      <c r="B347" s="22" t="inlineStr">
        <is>
          <t>ONLINE</t>
        </is>
      </c>
      <c r="C347" s="22" t="inlineStr">
        <is>
          <t>Máy ảnh</t>
        </is>
      </c>
      <c r="D347" s="22" t="n">
        <v>5887.8</v>
      </c>
      <c r="E347" s="22" t="n">
        <v>980</v>
      </c>
      <c r="F347" s="22" t="n">
        <v>24</v>
      </c>
    </row>
    <row r="348">
      <c r="A348" s="22" t="n">
        <v>201711</v>
      </c>
      <c r="B348" s="22" t="inlineStr">
        <is>
          <t>ONLINE</t>
        </is>
      </c>
      <c r="C348" s="22" t="inlineStr">
        <is>
          <t>Điện thoại</t>
        </is>
      </c>
      <c r="D348" s="22" t="n">
        <v>12218.22</v>
      </c>
      <c r="E348" s="22" t="n">
        <v>262.74</v>
      </c>
      <c r="F348" s="22" t="n">
        <v>60</v>
      </c>
    </row>
    <row r="349">
      <c r="A349" s="22" t="n">
        <v>201711</v>
      </c>
      <c r="B349" s="22" t="inlineStr">
        <is>
          <t>ONLINE</t>
        </is>
      </c>
      <c r="C349" s="22" t="inlineStr">
        <is>
          <t>Máy tính</t>
        </is>
      </c>
      <c r="D349" s="22" t="n">
        <v>47949.47</v>
      </c>
      <c r="E349" s="22" t="n">
        <v>1138.95</v>
      </c>
      <c r="F349" s="22" t="n">
        <v>127</v>
      </c>
    </row>
    <row r="350">
      <c r="A350" s="22" t="n">
        <v>201711</v>
      </c>
      <c r="B350" s="22" t="inlineStr">
        <is>
          <t>ONLINE</t>
        </is>
      </c>
      <c r="C350" s="22" t="inlineStr">
        <is>
          <t>Game &amp; Đồ chơi</t>
        </is>
      </c>
      <c r="D350" s="22" t="n">
        <v>512.88</v>
      </c>
      <c r="E350" s="22" t="n">
        <v>0</v>
      </c>
      <c r="F350" s="22" t="n">
        <v>17</v>
      </c>
    </row>
    <row r="351">
      <c r="A351" s="22" t="n">
        <v>201711</v>
      </c>
      <c r="B351" s="22" t="inlineStr">
        <is>
          <t>ONLINE</t>
        </is>
      </c>
      <c r="C351" s="22" t="inlineStr">
        <is>
          <t>Gia dụng</t>
        </is>
      </c>
      <c r="D351" s="22" t="n">
        <v>16291.51</v>
      </c>
      <c r="E351" s="22" t="n">
        <v>0</v>
      </c>
      <c r="F351" s="22" t="n">
        <v>43</v>
      </c>
    </row>
    <row r="352">
      <c r="A352" s="22" t="n">
        <v>201711</v>
      </c>
      <c r="B352" s="22" t="inlineStr">
        <is>
          <t>ONLINE</t>
        </is>
      </c>
      <c r="C352" s="22" t="inlineStr">
        <is>
          <t>Nhạc, phim, sách nói</t>
        </is>
      </c>
      <c r="D352" s="22" t="n">
        <v>4447.81</v>
      </c>
      <c r="E352" s="22" t="n">
        <v>0</v>
      </c>
      <c r="F352" s="22" t="n">
        <v>65</v>
      </c>
    </row>
    <row r="353">
      <c r="A353" s="22" t="n">
        <v>201711</v>
      </c>
      <c r="B353" s="22" t="inlineStr">
        <is>
          <t>ONLINE</t>
        </is>
      </c>
      <c r="C353" s="22" t="inlineStr">
        <is>
          <t>TV &amp; Video</t>
        </is>
      </c>
      <c r="D353" s="22" t="n">
        <v>16558.82</v>
      </c>
      <c r="E353" s="22" t="n">
        <v>0</v>
      </c>
      <c r="F353" s="22" t="n">
        <v>22</v>
      </c>
    </row>
    <row r="354">
      <c r="A354" s="22" t="n">
        <v>201711</v>
      </c>
      <c r="B354" s="22" t="inlineStr">
        <is>
          <t>POS</t>
        </is>
      </c>
      <c r="C354" s="22" t="inlineStr">
        <is>
          <t>Âm thanh</t>
        </is>
      </c>
      <c r="D354" s="22" t="n">
        <v>41556.96</v>
      </c>
      <c r="E354" s="22" t="n">
        <v>343.7</v>
      </c>
      <c r="F354" s="22" t="n">
        <v>277</v>
      </c>
    </row>
    <row r="355">
      <c r="A355" s="22" t="n">
        <v>201711</v>
      </c>
      <c r="B355" s="22" t="inlineStr">
        <is>
          <t>POS</t>
        </is>
      </c>
      <c r="C355" s="22" t="inlineStr">
        <is>
          <t>Máy ảnh</t>
        </is>
      </c>
      <c r="D355" s="22" t="n">
        <v>47405.65</v>
      </c>
      <c r="E355" s="22" t="n">
        <v>2559.4</v>
      </c>
      <c r="F355" s="22" t="n">
        <v>121</v>
      </c>
    </row>
    <row r="356">
      <c r="A356" s="22" t="n">
        <v>201711</v>
      </c>
      <c r="B356" s="22" t="inlineStr">
        <is>
          <t>POS</t>
        </is>
      </c>
      <c r="C356" s="22" t="inlineStr">
        <is>
          <t>Điện thoại</t>
        </is>
      </c>
      <c r="D356" s="22" t="n">
        <v>48164.79</v>
      </c>
      <c r="E356" s="22" t="n">
        <v>14.19</v>
      </c>
      <c r="F356" s="22" t="n">
        <v>251</v>
      </c>
    </row>
    <row r="357">
      <c r="A357" s="22" t="n">
        <v>201711</v>
      </c>
      <c r="B357" s="22" t="inlineStr">
        <is>
          <t>POS</t>
        </is>
      </c>
      <c r="C357" s="22" t="inlineStr">
        <is>
          <t>Máy tính</t>
        </is>
      </c>
      <c r="D357" s="22" t="n">
        <v>157102.2</v>
      </c>
      <c r="E357" s="22" t="n">
        <v>5346</v>
      </c>
      <c r="F357" s="22" t="n">
        <v>465</v>
      </c>
    </row>
    <row r="358">
      <c r="A358" s="22" t="n">
        <v>201711</v>
      </c>
      <c r="B358" s="22" t="inlineStr">
        <is>
          <t>POS</t>
        </is>
      </c>
      <c r="C358" s="22" t="inlineStr">
        <is>
          <t>Game &amp; Đồ chơi</t>
        </is>
      </c>
      <c r="D358" s="22" t="n">
        <v>3789.14</v>
      </c>
      <c r="E358" s="22" t="n">
        <v>20.97</v>
      </c>
      <c r="F358" s="22" t="n">
        <v>150</v>
      </c>
    </row>
    <row r="359">
      <c r="A359" s="22" t="n">
        <v>201711</v>
      </c>
      <c r="B359" s="22" t="inlineStr">
        <is>
          <t>POS</t>
        </is>
      </c>
      <c r="C359" s="22" t="inlineStr">
        <is>
          <t>Gia dụng</t>
        </is>
      </c>
      <c r="D359" s="22" t="n">
        <v>108551.16</v>
      </c>
      <c r="E359" s="22" t="n">
        <v>468.9</v>
      </c>
      <c r="F359" s="22" t="n">
        <v>245</v>
      </c>
    </row>
    <row r="360">
      <c r="A360" s="22" t="n">
        <v>201711</v>
      </c>
      <c r="B360" s="22" t="inlineStr">
        <is>
          <t>POS</t>
        </is>
      </c>
      <c r="C360" s="22" t="inlineStr">
        <is>
          <t>Nhạc, phim, sách nói</t>
        </is>
      </c>
      <c r="D360" s="22" t="n">
        <v>25661.2</v>
      </c>
      <c r="E360" s="22" t="n">
        <v>169.98</v>
      </c>
      <c r="F360" s="22" t="n">
        <v>258</v>
      </c>
    </row>
    <row r="361">
      <c r="A361" s="22" t="n">
        <v>201711</v>
      </c>
      <c r="B361" s="22" t="inlineStr">
        <is>
          <t>POS</t>
        </is>
      </c>
      <c r="C361" s="22" t="inlineStr">
        <is>
          <t>TV &amp; Video</t>
        </is>
      </c>
      <c r="D361" s="22" t="n">
        <v>65319.35</v>
      </c>
      <c r="E361" s="22" t="n">
        <v>2899.99</v>
      </c>
      <c r="F361" s="22" t="n">
        <v>126</v>
      </c>
    </row>
    <row r="362">
      <c r="A362" s="22" t="n">
        <v>201712</v>
      </c>
      <c r="B362" s="22" t="inlineStr">
        <is>
          <t>ONLINE</t>
        </is>
      </c>
      <c r="C362" s="22" t="inlineStr">
        <is>
          <t>Âm thanh</t>
        </is>
      </c>
      <c r="D362" s="22" t="n">
        <v>19086.88</v>
      </c>
      <c r="E362" s="22" t="n">
        <v>0</v>
      </c>
      <c r="F362" s="22" t="n">
        <v>149</v>
      </c>
    </row>
    <row r="363">
      <c r="A363" s="22" t="n">
        <v>201712</v>
      </c>
      <c r="B363" s="22" t="inlineStr">
        <is>
          <t>ONLINE</t>
        </is>
      </c>
      <c r="C363" s="22" t="inlineStr">
        <is>
          <t>Máy ảnh</t>
        </is>
      </c>
      <c r="D363" s="22" t="n">
        <v>16305.06</v>
      </c>
      <c r="E363" s="22" t="n">
        <v>0</v>
      </c>
      <c r="F363" s="22" t="n">
        <v>70</v>
      </c>
    </row>
    <row r="364">
      <c r="A364" s="22" t="n">
        <v>201712</v>
      </c>
      <c r="B364" s="22" t="inlineStr">
        <is>
          <t>ONLINE</t>
        </is>
      </c>
      <c r="C364" s="22" t="inlineStr">
        <is>
          <t>Điện thoại</t>
        </is>
      </c>
      <c r="D364" s="22" t="n">
        <v>26539.22</v>
      </c>
      <c r="E364" s="22" t="n">
        <v>230.4</v>
      </c>
      <c r="F364" s="22" t="n">
        <v>126</v>
      </c>
    </row>
    <row r="365">
      <c r="A365" s="22" t="n">
        <v>201712</v>
      </c>
      <c r="B365" s="22" t="inlineStr">
        <is>
          <t>ONLINE</t>
        </is>
      </c>
      <c r="C365" s="22" t="inlineStr">
        <is>
          <t>Máy tính</t>
        </is>
      </c>
      <c r="D365" s="22" t="n">
        <v>63088.43</v>
      </c>
      <c r="E365" s="22" t="n">
        <v>2457</v>
      </c>
      <c r="F365" s="22" t="n">
        <v>163</v>
      </c>
    </row>
    <row r="366">
      <c r="A366" s="22" t="n">
        <v>201712</v>
      </c>
      <c r="B366" s="22" t="inlineStr">
        <is>
          <t>ONLINE</t>
        </is>
      </c>
      <c r="C366" s="22" t="inlineStr">
        <is>
          <t>Game &amp; Đồ chơi</t>
        </is>
      </c>
      <c r="D366" s="22" t="n">
        <v>902.3200000000001</v>
      </c>
      <c r="E366" s="22" t="n">
        <v>0</v>
      </c>
      <c r="F366" s="22" t="n">
        <v>33</v>
      </c>
    </row>
    <row r="367">
      <c r="A367" s="22" t="n">
        <v>201712</v>
      </c>
      <c r="B367" s="22" t="inlineStr">
        <is>
          <t>ONLINE</t>
        </is>
      </c>
      <c r="C367" s="22" t="inlineStr">
        <is>
          <t>Gia dụng</t>
        </is>
      </c>
      <c r="D367" s="22" t="n">
        <v>78527.47</v>
      </c>
      <c r="E367" s="22" t="n">
        <v>877.5</v>
      </c>
      <c r="F367" s="22" t="n">
        <v>139</v>
      </c>
    </row>
    <row r="368">
      <c r="A368" s="22" t="n">
        <v>201712</v>
      </c>
      <c r="B368" s="22" t="inlineStr">
        <is>
          <t>ONLINE</t>
        </is>
      </c>
      <c r="C368" s="22" t="inlineStr">
        <is>
          <t>Nhạc, phim, sách nói</t>
        </is>
      </c>
      <c r="D368" s="22" t="n">
        <v>12802.78</v>
      </c>
      <c r="E368" s="22" t="n">
        <v>0</v>
      </c>
      <c r="F368" s="22" t="n">
        <v>125</v>
      </c>
    </row>
    <row r="369">
      <c r="A369" s="22" t="n">
        <v>201712</v>
      </c>
      <c r="B369" s="22" t="inlineStr">
        <is>
          <t>ONLINE</t>
        </is>
      </c>
      <c r="C369" s="22" t="inlineStr">
        <is>
          <t>TV &amp; Video</t>
        </is>
      </c>
      <c r="D369" s="22" t="n">
        <v>33776.25</v>
      </c>
      <c r="E369" s="22" t="n">
        <v>0</v>
      </c>
      <c r="F369" s="22" t="n">
        <v>40</v>
      </c>
    </row>
    <row r="370">
      <c r="A370" s="22" t="n">
        <v>201712</v>
      </c>
      <c r="B370" s="22" t="inlineStr">
        <is>
          <t>POS</t>
        </is>
      </c>
      <c r="C370" s="22" t="inlineStr">
        <is>
          <t>Âm thanh</t>
        </is>
      </c>
      <c r="D370" s="22" t="n">
        <v>71001.71000000001</v>
      </c>
      <c r="E370" s="22" t="n">
        <v>510</v>
      </c>
      <c r="F370" s="22" t="n">
        <v>528</v>
      </c>
    </row>
    <row r="371">
      <c r="A371" s="22" t="n">
        <v>201712</v>
      </c>
      <c r="B371" s="22" t="inlineStr">
        <is>
          <t>POS</t>
        </is>
      </c>
      <c r="C371" s="22" t="inlineStr">
        <is>
          <t>Máy ảnh</t>
        </is>
      </c>
      <c r="D371" s="22" t="n">
        <v>88939.75</v>
      </c>
      <c r="E371" s="22" t="n">
        <v>392.58</v>
      </c>
      <c r="F371" s="22" t="n">
        <v>237</v>
      </c>
    </row>
    <row r="372">
      <c r="A372" s="22" t="n">
        <v>201712</v>
      </c>
      <c r="B372" s="22" t="inlineStr">
        <is>
          <t>POS</t>
        </is>
      </c>
      <c r="C372" s="22" t="inlineStr">
        <is>
          <t>Điện thoại</t>
        </is>
      </c>
      <c r="D372" s="22" t="n">
        <v>88732.47</v>
      </c>
      <c r="E372" s="22" t="n">
        <v>2834.11</v>
      </c>
      <c r="F372" s="22" t="n">
        <v>490</v>
      </c>
    </row>
    <row r="373">
      <c r="A373" s="22" t="n">
        <v>201712</v>
      </c>
      <c r="B373" s="22" t="inlineStr">
        <is>
          <t>POS</t>
        </is>
      </c>
      <c r="C373" s="22" t="inlineStr">
        <is>
          <t>Máy tính</t>
        </is>
      </c>
      <c r="D373" s="22" t="n">
        <v>289980.62</v>
      </c>
      <c r="E373" s="22" t="n">
        <v>3130.4</v>
      </c>
      <c r="F373" s="22" t="n">
        <v>739</v>
      </c>
    </row>
    <row r="374">
      <c r="A374" s="22" t="n">
        <v>201712</v>
      </c>
      <c r="B374" s="22" t="inlineStr">
        <is>
          <t>POS</t>
        </is>
      </c>
      <c r="C374" s="22" t="inlineStr">
        <is>
          <t>Game &amp; Đồ chơi</t>
        </is>
      </c>
      <c r="D374" s="22" t="n">
        <v>7846.78</v>
      </c>
      <c r="E374" s="22" t="n">
        <v>78.67</v>
      </c>
      <c r="F374" s="22" t="n">
        <v>250</v>
      </c>
    </row>
    <row r="375">
      <c r="A375" s="22" t="n">
        <v>201712</v>
      </c>
      <c r="B375" s="22" t="inlineStr">
        <is>
          <t>POS</t>
        </is>
      </c>
      <c r="C375" s="22" t="inlineStr">
        <is>
          <t>Gia dụng</t>
        </is>
      </c>
      <c r="D375" s="22" t="n">
        <v>247861.19</v>
      </c>
      <c r="E375" s="22" t="n">
        <v>8075.59</v>
      </c>
      <c r="F375" s="22" t="n">
        <v>414</v>
      </c>
    </row>
    <row r="376">
      <c r="A376" s="22" t="n">
        <v>201712</v>
      </c>
      <c r="B376" s="22" t="inlineStr">
        <is>
          <t>POS</t>
        </is>
      </c>
      <c r="C376" s="22" t="inlineStr">
        <is>
          <t>Nhạc, phim, sách nói</t>
        </is>
      </c>
      <c r="D376" s="22" t="n">
        <v>53006.27</v>
      </c>
      <c r="E376" s="22" t="n">
        <v>1021.15</v>
      </c>
      <c r="F376" s="22" t="n">
        <v>464</v>
      </c>
    </row>
    <row r="377">
      <c r="A377" s="22" t="n">
        <v>201712</v>
      </c>
      <c r="B377" s="22" t="inlineStr">
        <is>
          <t>POS</t>
        </is>
      </c>
      <c r="C377" s="22" t="inlineStr">
        <is>
          <t>TV &amp; Video</t>
        </is>
      </c>
      <c r="D377" s="22" t="n">
        <v>69627.53999999999</v>
      </c>
      <c r="E377" s="22" t="n">
        <v>1245.5</v>
      </c>
      <c r="F377" s="22" t="n">
        <v>169</v>
      </c>
    </row>
    <row r="378">
      <c r="A378" s="22" t="n">
        <v>201801</v>
      </c>
      <c r="B378" s="22" t="inlineStr">
        <is>
          <t>ONLINE</t>
        </is>
      </c>
      <c r="C378" s="22" t="inlineStr">
        <is>
          <t>Âm thanh</t>
        </is>
      </c>
      <c r="D378" s="22" t="n">
        <v>12475.79</v>
      </c>
      <c r="E378" s="22" t="n">
        <v>67.40000000000001</v>
      </c>
      <c r="F378" s="22" t="n">
        <v>90</v>
      </c>
    </row>
    <row r="379">
      <c r="A379" s="22" t="n">
        <v>201801</v>
      </c>
      <c r="B379" s="22" t="inlineStr">
        <is>
          <t>ONLINE</t>
        </is>
      </c>
      <c r="C379" s="22" t="inlineStr">
        <is>
          <t>Máy ảnh</t>
        </is>
      </c>
      <c r="D379" s="22" t="n">
        <v>11125.78</v>
      </c>
      <c r="E379" s="22" t="n">
        <v>245.1</v>
      </c>
      <c r="F379" s="22" t="n">
        <v>58</v>
      </c>
    </row>
    <row r="380">
      <c r="A380" s="22" t="n">
        <v>201801</v>
      </c>
      <c r="B380" s="22" t="inlineStr">
        <is>
          <t>ONLINE</t>
        </is>
      </c>
      <c r="C380" s="22" t="inlineStr">
        <is>
          <t>Điện thoại</t>
        </is>
      </c>
      <c r="D380" s="22" t="n">
        <v>22009.83</v>
      </c>
      <c r="E380" s="22" t="n">
        <v>15.29</v>
      </c>
      <c r="F380" s="22" t="n">
        <v>104</v>
      </c>
    </row>
    <row r="381">
      <c r="A381" s="22" t="n">
        <v>201801</v>
      </c>
      <c r="B381" s="22" t="inlineStr">
        <is>
          <t>ONLINE</t>
        </is>
      </c>
      <c r="C381" s="22" t="inlineStr">
        <is>
          <t>Máy tính</t>
        </is>
      </c>
      <c r="D381" s="22" t="n">
        <v>35451.84</v>
      </c>
      <c r="E381" s="22" t="n">
        <v>0</v>
      </c>
      <c r="F381" s="22" t="n">
        <v>96</v>
      </c>
    </row>
    <row r="382">
      <c r="A382" s="22" t="n">
        <v>201801</v>
      </c>
      <c r="B382" s="22" t="inlineStr">
        <is>
          <t>ONLINE</t>
        </is>
      </c>
      <c r="C382" s="22" t="inlineStr">
        <is>
          <t>Game &amp; Đồ chơi</t>
        </is>
      </c>
      <c r="D382" s="22" t="n">
        <v>1471.33</v>
      </c>
      <c r="E382" s="22" t="n">
        <v>181.74</v>
      </c>
      <c r="F382" s="22" t="n">
        <v>45</v>
      </c>
    </row>
    <row r="383">
      <c r="A383" s="22" t="n">
        <v>201801</v>
      </c>
      <c r="B383" s="22" t="inlineStr">
        <is>
          <t>ONLINE</t>
        </is>
      </c>
      <c r="C383" s="22" t="inlineStr">
        <is>
          <t>Gia dụng</t>
        </is>
      </c>
      <c r="D383" s="22" t="n">
        <v>18419.77</v>
      </c>
      <c r="E383" s="22" t="n">
        <v>1331.1</v>
      </c>
      <c r="F383" s="22" t="n">
        <v>65</v>
      </c>
    </row>
    <row r="384">
      <c r="A384" s="22" t="n">
        <v>201801</v>
      </c>
      <c r="B384" s="22" t="inlineStr">
        <is>
          <t>ONLINE</t>
        </is>
      </c>
      <c r="C384" s="22" t="inlineStr">
        <is>
          <t>Nhạc, phim, sách nói</t>
        </is>
      </c>
      <c r="D384" s="22" t="n">
        <v>9484.440000000001</v>
      </c>
      <c r="E384" s="22" t="n">
        <v>0</v>
      </c>
      <c r="F384" s="22" t="n">
        <v>112</v>
      </c>
    </row>
    <row r="385">
      <c r="A385" s="22" t="n">
        <v>201801</v>
      </c>
      <c r="B385" s="22" t="inlineStr">
        <is>
          <t>ONLINE</t>
        </is>
      </c>
      <c r="C385" s="22" t="inlineStr">
        <is>
          <t>TV &amp; Video</t>
        </is>
      </c>
      <c r="D385" s="22" t="n">
        <v>19723.02</v>
      </c>
      <c r="E385" s="22" t="n">
        <v>1244.82</v>
      </c>
      <c r="F385" s="22" t="n">
        <v>62</v>
      </c>
    </row>
    <row r="386">
      <c r="A386" s="22" t="n">
        <v>201801</v>
      </c>
      <c r="B386" s="22" t="inlineStr">
        <is>
          <t>POS</t>
        </is>
      </c>
      <c r="C386" s="22" t="inlineStr">
        <is>
          <t>Âm thanh</t>
        </is>
      </c>
      <c r="D386" s="22" t="n">
        <v>45735.66</v>
      </c>
      <c r="E386" s="22" t="n">
        <v>3117.74</v>
      </c>
      <c r="F386" s="22" t="n">
        <v>372</v>
      </c>
    </row>
    <row r="387">
      <c r="A387" s="22" t="n">
        <v>201801</v>
      </c>
      <c r="B387" s="22" t="inlineStr">
        <is>
          <t>POS</t>
        </is>
      </c>
      <c r="C387" s="22" t="inlineStr">
        <is>
          <t>Máy ảnh</t>
        </is>
      </c>
      <c r="D387" s="22" t="n">
        <v>61392.35</v>
      </c>
      <c r="E387" s="22" t="n">
        <v>1120.17</v>
      </c>
      <c r="F387" s="22" t="n">
        <v>145</v>
      </c>
    </row>
    <row r="388">
      <c r="A388" s="22" t="n">
        <v>201801</v>
      </c>
      <c r="B388" s="22" t="inlineStr">
        <is>
          <t>POS</t>
        </is>
      </c>
      <c r="C388" s="22" t="inlineStr">
        <is>
          <t>Điện thoại</t>
        </is>
      </c>
      <c r="D388" s="22" t="n">
        <v>69659.63</v>
      </c>
      <c r="E388" s="22" t="n">
        <v>1259.03</v>
      </c>
      <c r="F388" s="22" t="n">
        <v>360</v>
      </c>
    </row>
    <row r="389">
      <c r="A389" s="22" t="n">
        <v>201801</v>
      </c>
      <c r="B389" s="22" t="inlineStr">
        <is>
          <t>POS</t>
        </is>
      </c>
      <c r="C389" s="22" t="inlineStr">
        <is>
          <t>Máy tính</t>
        </is>
      </c>
      <c r="D389" s="22" t="n">
        <v>213264.55</v>
      </c>
      <c r="E389" s="22" t="n">
        <v>13197.7</v>
      </c>
      <c r="F389" s="22" t="n">
        <v>540</v>
      </c>
    </row>
    <row r="390">
      <c r="A390" s="22" t="n">
        <v>201801</v>
      </c>
      <c r="B390" s="22" t="inlineStr">
        <is>
          <t>POS</t>
        </is>
      </c>
      <c r="C390" s="22" t="inlineStr">
        <is>
          <t>Game &amp; Đồ chơi</t>
        </is>
      </c>
      <c r="D390" s="22" t="n">
        <v>4772.69</v>
      </c>
      <c r="E390" s="22" t="n">
        <v>44.1</v>
      </c>
      <c r="F390" s="22" t="n">
        <v>168</v>
      </c>
    </row>
    <row r="391">
      <c r="A391" s="22" t="n">
        <v>201801</v>
      </c>
      <c r="B391" s="22" t="inlineStr">
        <is>
          <t>POS</t>
        </is>
      </c>
      <c r="C391" s="22" t="inlineStr">
        <is>
          <t>Gia dụng</t>
        </is>
      </c>
      <c r="D391" s="22" t="n">
        <v>232887.14</v>
      </c>
      <c r="E391" s="22" t="n">
        <v>6634.76</v>
      </c>
      <c r="F391" s="22" t="n">
        <v>327</v>
      </c>
    </row>
    <row r="392">
      <c r="A392" s="22" t="n">
        <v>201801</v>
      </c>
      <c r="B392" s="22" t="inlineStr">
        <is>
          <t>POS</t>
        </is>
      </c>
      <c r="C392" s="22" t="inlineStr">
        <is>
          <t>Nhạc, phim, sách nói</t>
        </is>
      </c>
      <c r="D392" s="22" t="n">
        <v>39038.95</v>
      </c>
      <c r="E392" s="22" t="n">
        <v>1304.79</v>
      </c>
      <c r="F392" s="22" t="n">
        <v>392</v>
      </c>
    </row>
    <row r="393">
      <c r="A393" s="22" t="n">
        <v>201801</v>
      </c>
      <c r="B393" s="22" t="inlineStr">
        <is>
          <t>POS</t>
        </is>
      </c>
      <c r="C393" s="22" t="inlineStr">
        <is>
          <t>TV &amp; Video</t>
        </is>
      </c>
      <c r="D393" s="22" t="n">
        <v>53394.14</v>
      </c>
      <c r="E393" s="22" t="n">
        <v>2928.56</v>
      </c>
      <c r="F393" s="22" t="n">
        <v>167</v>
      </c>
    </row>
    <row r="394">
      <c r="A394" s="22" t="n">
        <v>201802</v>
      </c>
      <c r="B394" s="22" t="inlineStr">
        <is>
          <t>ONLINE</t>
        </is>
      </c>
      <c r="C394" s="22" t="inlineStr">
        <is>
          <t>Âm thanh</t>
        </is>
      </c>
      <c r="D394" s="22" t="n">
        <v>15061.91</v>
      </c>
      <c r="E394" s="22" t="n">
        <v>0</v>
      </c>
      <c r="F394" s="22" t="n">
        <v>125</v>
      </c>
    </row>
    <row r="395">
      <c r="A395" s="22" t="n">
        <v>201802</v>
      </c>
      <c r="B395" s="22" t="inlineStr">
        <is>
          <t>ONLINE</t>
        </is>
      </c>
      <c r="C395" s="22" t="inlineStr">
        <is>
          <t>Máy ảnh</t>
        </is>
      </c>
      <c r="D395" s="22" t="n">
        <v>37680.56</v>
      </c>
      <c r="E395" s="22" t="n">
        <v>0</v>
      </c>
      <c r="F395" s="22" t="n">
        <v>74</v>
      </c>
    </row>
    <row r="396">
      <c r="A396" s="22" t="n">
        <v>201802</v>
      </c>
      <c r="B396" s="22" t="inlineStr">
        <is>
          <t>ONLINE</t>
        </is>
      </c>
      <c r="C396" s="22" t="inlineStr">
        <is>
          <t>Điện thoại</t>
        </is>
      </c>
      <c r="D396" s="22" t="n">
        <v>18170.98</v>
      </c>
      <c r="E396" s="22" t="n">
        <v>18.37</v>
      </c>
      <c r="F396" s="22" t="n">
        <v>105</v>
      </c>
    </row>
    <row r="397">
      <c r="A397" s="22" t="n">
        <v>201802</v>
      </c>
      <c r="B397" s="22" t="inlineStr">
        <is>
          <t>ONLINE</t>
        </is>
      </c>
      <c r="C397" s="22" t="inlineStr">
        <is>
          <t>Máy tính</t>
        </is>
      </c>
      <c r="D397" s="22" t="n">
        <v>80361.19</v>
      </c>
      <c r="E397" s="22" t="n">
        <v>0</v>
      </c>
      <c r="F397" s="22" t="n">
        <v>167</v>
      </c>
    </row>
    <row r="398">
      <c r="A398" s="22" t="n">
        <v>201802</v>
      </c>
      <c r="B398" s="22" t="inlineStr">
        <is>
          <t>ONLINE</t>
        </is>
      </c>
      <c r="C398" s="22" t="inlineStr">
        <is>
          <t>Game &amp; Đồ chơi</t>
        </is>
      </c>
      <c r="D398" s="22" t="n">
        <v>2660.91</v>
      </c>
      <c r="E398" s="22" t="n">
        <v>74.73999999999999</v>
      </c>
      <c r="F398" s="22" t="n">
        <v>66</v>
      </c>
    </row>
    <row r="399">
      <c r="A399" s="22" t="n">
        <v>201802</v>
      </c>
      <c r="B399" s="22" t="inlineStr">
        <is>
          <t>ONLINE</t>
        </is>
      </c>
      <c r="C399" s="22" t="inlineStr">
        <is>
          <t>Gia dụng</t>
        </is>
      </c>
      <c r="D399" s="22" t="n">
        <v>70846.12</v>
      </c>
      <c r="E399" s="22" t="n">
        <v>508</v>
      </c>
      <c r="F399" s="22" t="n">
        <v>85</v>
      </c>
    </row>
    <row r="400">
      <c r="A400" s="22" t="n">
        <v>201802</v>
      </c>
      <c r="B400" s="22" t="inlineStr">
        <is>
          <t>ONLINE</t>
        </is>
      </c>
      <c r="C400" s="22" t="inlineStr">
        <is>
          <t>Nhạc, phim, sách nói</t>
        </is>
      </c>
      <c r="D400" s="22" t="n">
        <v>14363.15</v>
      </c>
      <c r="E400" s="22" t="n">
        <v>115.76</v>
      </c>
      <c r="F400" s="22" t="n">
        <v>85</v>
      </c>
    </row>
    <row r="401">
      <c r="A401" s="22" t="n">
        <v>201802</v>
      </c>
      <c r="B401" s="22" t="inlineStr">
        <is>
          <t>ONLINE</t>
        </is>
      </c>
      <c r="C401" s="22" t="inlineStr">
        <is>
          <t>TV &amp; Video</t>
        </is>
      </c>
      <c r="D401" s="22" t="n">
        <v>19635.9</v>
      </c>
      <c r="E401" s="22" t="n">
        <v>0</v>
      </c>
      <c r="F401" s="22" t="n">
        <v>47</v>
      </c>
    </row>
    <row r="402">
      <c r="A402" s="22" t="n">
        <v>201802</v>
      </c>
      <c r="B402" s="22" t="inlineStr">
        <is>
          <t>POS</t>
        </is>
      </c>
      <c r="C402" s="22" t="inlineStr">
        <is>
          <t>Âm thanh</t>
        </is>
      </c>
      <c r="D402" s="22" t="n">
        <v>58054.45</v>
      </c>
      <c r="E402" s="22" t="n">
        <v>217.35</v>
      </c>
      <c r="F402" s="22" t="n">
        <v>424</v>
      </c>
    </row>
    <row r="403">
      <c r="A403" s="22" t="n">
        <v>201802</v>
      </c>
      <c r="B403" s="22" t="inlineStr">
        <is>
          <t>POS</t>
        </is>
      </c>
      <c r="C403" s="22" t="inlineStr">
        <is>
          <t>Máy ảnh</t>
        </is>
      </c>
      <c r="D403" s="22" t="n">
        <v>88572.85000000001</v>
      </c>
      <c r="E403" s="22" t="n">
        <v>2015.5</v>
      </c>
      <c r="F403" s="22" t="n">
        <v>248</v>
      </c>
    </row>
    <row r="404">
      <c r="A404" s="22" t="n">
        <v>201802</v>
      </c>
      <c r="B404" s="22" t="inlineStr">
        <is>
          <t>POS</t>
        </is>
      </c>
      <c r="C404" s="22" t="inlineStr">
        <is>
          <t>Điện thoại</t>
        </is>
      </c>
      <c r="D404" s="22" t="n">
        <v>74653.72</v>
      </c>
      <c r="E404" s="22" t="n">
        <v>2182</v>
      </c>
      <c r="F404" s="22" t="n">
        <v>363</v>
      </c>
    </row>
    <row r="405">
      <c r="A405" s="22" t="n">
        <v>201802</v>
      </c>
      <c r="B405" s="22" t="inlineStr">
        <is>
          <t>POS</t>
        </is>
      </c>
      <c r="C405" s="22" t="inlineStr">
        <is>
          <t>Máy tính</t>
        </is>
      </c>
      <c r="D405" s="22" t="n">
        <v>315016.65</v>
      </c>
      <c r="E405" s="22" t="n">
        <v>4279.86</v>
      </c>
      <c r="F405" s="22" t="n">
        <v>717</v>
      </c>
    </row>
    <row r="406">
      <c r="A406" s="22" t="n">
        <v>201802</v>
      </c>
      <c r="B406" s="22" t="inlineStr">
        <is>
          <t>POS</t>
        </is>
      </c>
      <c r="C406" s="22" t="inlineStr">
        <is>
          <t>Game &amp; Đồ chơi</t>
        </is>
      </c>
      <c r="D406" s="22" t="n">
        <v>9438.549999999999</v>
      </c>
      <c r="E406" s="22" t="n">
        <v>78.94</v>
      </c>
      <c r="F406" s="22" t="n">
        <v>267</v>
      </c>
    </row>
    <row r="407">
      <c r="A407" s="22" t="n">
        <v>201802</v>
      </c>
      <c r="B407" s="22" t="inlineStr">
        <is>
          <t>POS</t>
        </is>
      </c>
      <c r="C407" s="22" t="inlineStr">
        <is>
          <t>Gia dụng</t>
        </is>
      </c>
      <c r="D407" s="22" t="n">
        <v>297487.81</v>
      </c>
      <c r="E407" s="22" t="n">
        <v>4495</v>
      </c>
      <c r="F407" s="22" t="n">
        <v>451</v>
      </c>
    </row>
    <row r="408">
      <c r="A408" s="22" t="n">
        <v>201802</v>
      </c>
      <c r="B408" s="22" t="inlineStr">
        <is>
          <t>POS</t>
        </is>
      </c>
      <c r="C408" s="22" t="inlineStr">
        <is>
          <t>Nhạc, phim, sách nói</t>
        </is>
      </c>
      <c r="D408" s="22" t="n">
        <v>58259.18</v>
      </c>
      <c r="E408" s="22" t="n">
        <v>470.89</v>
      </c>
      <c r="F408" s="22" t="n">
        <v>486</v>
      </c>
    </row>
    <row r="409">
      <c r="A409" s="22" t="n">
        <v>201802</v>
      </c>
      <c r="B409" s="22" t="inlineStr">
        <is>
          <t>POS</t>
        </is>
      </c>
      <c r="C409" s="22" t="inlineStr">
        <is>
          <t>TV &amp; Video</t>
        </is>
      </c>
      <c r="D409" s="22" t="n">
        <v>152934.32</v>
      </c>
      <c r="E409" s="22" t="n">
        <v>239.98</v>
      </c>
      <c r="F409" s="22" t="n">
        <v>227</v>
      </c>
    </row>
    <row r="410">
      <c r="A410" s="22" t="n">
        <v>201803</v>
      </c>
      <c r="B410" s="22" t="inlineStr">
        <is>
          <t>ONLINE</t>
        </is>
      </c>
      <c r="C410" s="22" t="inlineStr">
        <is>
          <t>Âm thanh</t>
        </is>
      </c>
      <c r="D410" s="22" t="n">
        <v>7013.3</v>
      </c>
      <c r="E410" s="22" t="n">
        <v>1389.6</v>
      </c>
      <c r="F410" s="22" t="n">
        <v>44</v>
      </c>
    </row>
    <row r="411">
      <c r="A411" s="22" t="n">
        <v>201803</v>
      </c>
      <c r="B411" s="22" t="inlineStr">
        <is>
          <t>ONLINE</t>
        </is>
      </c>
      <c r="C411" s="22" t="inlineStr">
        <is>
          <t>Máy ảnh</t>
        </is>
      </c>
      <c r="D411" s="22" t="n">
        <v>885.59</v>
      </c>
      <c r="E411" s="22" t="n">
        <v>756.5</v>
      </c>
      <c r="F411" s="22" t="n">
        <v>6</v>
      </c>
    </row>
    <row r="412">
      <c r="A412" s="22" t="n">
        <v>201803</v>
      </c>
      <c r="B412" s="22" t="inlineStr">
        <is>
          <t>ONLINE</t>
        </is>
      </c>
      <c r="C412" s="22" t="inlineStr">
        <is>
          <t>Điện thoại</t>
        </is>
      </c>
      <c r="D412" s="22" t="n">
        <v>4060.27</v>
      </c>
      <c r="E412" s="22" t="n">
        <v>0</v>
      </c>
      <c r="F412" s="22" t="n">
        <v>33</v>
      </c>
    </row>
    <row r="413">
      <c r="A413" s="22" t="n">
        <v>201803</v>
      </c>
      <c r="B413" s="22" t="inlineStr">
        <is>
          <t>ONLINE</t>
        </is>
      </c>
      <c r="C413" s="22" t="inlineStr">
        <is>
          <t>Máy tính</t>
        </is>
      </c>
      <c r="D413" s="22" t="n">
        <v>23658.7</v>
      </c>
      <c r="E413" s="22" t="n">
        <v>1388.7</v>
      </c>
      <c r="F413" s="22" t="n">
        <v>64</v>
      </c>
    </row>
    <row r="414">
      <c r="A414" s="22" t="n">
        <v>201803</v>
      </c>
      <c r="B414" s="22" t="inlineStr">
        <is>
          <t>ONLINE</t>
        </is>
      </c>
      <c r="C414" s="22" t="inlineStr">
        <is>
          <t>Game &amp; Đồ chơi</t>
        </is>
      </c>
      <c r="D414" s="22" t="n">
        <v>711.15</v>
      </c>
      <c r="E414" s="22" t="n">
        <v>0</v>
      </c>
      <c r="F414" s="22" t="n">
        <v>22</v>
      </c>
    </row>
    <row r="415">
      <c r="A415" s="22" t="n">
        <v>201803</v>
      </c>
      <c r="B415" s="22" t="inlineStr">
        <is>
          <t>ONLINE</t>
        </is>
      </c>
      <c r="C415" s="22" t="inlineStr">
        <is>
          <t>Gia dụng</t>
        </is>
      </c>
      <c r="D415" s="22" t="n">
        <v>17846.85</v>
      </c>
      <c r="E415" s="22" t="n">
        <v>299.97</v>
      </c>
      <c r="F415" s="22" t="n">
        <v>31</v>
      </c>
    </row>
    <row r="416">
      <c r="A416" s="22" t="n">
        <v>201803</v>
      </c>
      <c r="B416" s="22" t="inlineStr">
        <is>
          <t>ONLINE</t>
        </is>
      </c>
      <c r="C416" s="22" t="inlineStr">
        <is>
          <t>Nhạc, phim, sách nói</t>
        </is>
      </c>
      <c r="D416" s="22" t="n">
        <v>3114.71</v>
      </c>
      <c r="E416" s="22" t="n">
        <v>0</v>
      </c>
      <c r="F416" s="22" t="n">
        <v>38</v>
      </c>
    </row>
    <row r="417">
      <c r="A417" s="22" t="n">
        <v>201803</v>
      </c>
      <c r="B417" s="22" t="inlineStr">
        <is>
          <t>ONLINE</t>
        </is>
      </c>
      <c r="C417" s="22" t="inlineStr">
        <is>
          <t>TV &amp; Video</t>
        </is>
      </c>
      <c r="D417" s="22" t="n">
        <v>30854.79</v>
      </c>
      <c r="E417" s="22" t="n">
        <v>0</v>
      </c>
      <c r="F417" s="22" t="n">
        <v>21</v>
      </c>
    </row>
    <row r="418">
      <c r="A418" s="22" t="n">
        <v>201803</v>
      </c>
      <c r="B418" s="22" t="inlineStr">
        <is>
          <t>POS</t>
        </is>
      </c>
      <c r="C418" s="22" t="inlineStr">
        <is>
          <t>Âm thanh</t>
        </is>
      </c>
      <c r="D418" s="22" t="n">
        <v>16123.95</v>
      </c>
      <c r="E418" s="22" t="n">
        <v>2433.18</v>
      </c>
      <c r="F418" s="22" t="n">
        <v>134</v>
      </c>
    </row>
    <row r="419">
      <c r="A419" s="22" t="n">
        <v>201803</v>
      </c>
      <c r="B419" s="22" t="inlineStr">
        <is>
          <t>POS</t>
        </is>
      </c>
      <c r="C419" s="22" t="inlineStr">
        <is>
          <t>Máy ảnh</t>
        </is>
      </c>
      <c r="D419" s="22" t="n">
        <v>27528.71</v>
      </c>
      <c r="E419" s="22" t="n">
        <v>8715.5</v>
      </c>
      <c r="F419" s="22" t="n">
        <v>88</v>
      </c>
    </row>
    <row r="420">
      <c r="A420" s="22" t="n">
        <v>201803</v>
      </c>
      <c r="B420" s="22" t="inlineStr">
        <is>
          <t>POS</t>
        </is>
      </c>
      <c r="C420" s="22" t="inlineStr">
        <is>
          <t>Điện thoại</t>
        </is>
      </c>
      <c r="D420" s="22" t="n">
        <v>29544.67</v>
      </c>
      <c r="E420" s="22" t="n">
        <v>2397.99</v>
      </c>
      <c r="F420" s="22" t="n">
        <v>187</v>
      </c>
    </row>
    <row r="421">
      <c r="A421" s="22" t="n">
        <v>201803</v>
      </c>
      <c r="B421" s="22" t="inlineStr">
        <is>
          <t>POS</t>
        </is>
      </c>
      <c r="C421" s="22" t="inlineStr">
        <is>
          <t>Máy tính</t>
        </is>
      </c>
      <c r="D421" s="22" t="n">
        <v>129779.41</v>
      </c>
      <c r="E421" s="22" t="n">
        <v>706.5</v>
      </c>
      <c r="F421" s="22" t="n">
        <v>293</v>
      </c>
    </row>
    <row r="422">
      <c r="A422" s="22" t="n">
        <v>201803</v>
      </c>
      <c r="B422" s="22" t="inlineStr">
        <is>
          <t>POS</t>
        </is>
      </c>
      <c r="C422" s="22" t="inlineStr">
        <is>
          <t>Game &amp; Đồ chơi</t>
        </is>
      </c>
      <c r="D422" s="22" t="n">
        <v>3168.72</v>
      </c>
      <c r="E422" s="22" t="n">
        <v>426.28</v>
      </c>
      <c r="F422" s="22" t="n">
        <v>117</v>
      </c>
    </row>
    <row r="423">
      <c r="A423" s="22" t="n">
        <v>201803</v>
      </c>
      <c r="B423" s="22" t="inlineStr">
        <is>
          <t>POS</t>
        </is>
      </c>
      <c r="C423" s="22" t="inlineStr">
        <is>
          <t>Gia dụng</t>
        </is>
      </c>
      <c r="D423" s="22" t="n">
        <v>91625.02</v>
      </c>
      <c r="E423" s="22" t="n">
        <v>9257.709999999999</v>
      </c>
      <c r="F423" s="22" t="n">
        <v>110</v>
      </c>
    </row>
    <row r="424">
      <c r="A424" s="22" t="n">
        <v>201803</v>
      </c>
      <c r="B424" s="22" t="inlineStr">
        <is>
          <t>POS</t>
        </is>
      </c>
      <c r="C424" s="22" t="inlineStr">
        <is>
          <t>Nhạc, phim, sách nói</t>
        </is>
      </c>
      <c r="D424" s="22" t="n">
        <v>9165.389999999999</v>
      </c>
      <c r="E424" s="22" t="n">
        <v>1171</v>
      </c>
      <c r="F424" s="22" t="n">
        <v>153</v>
      </c>
    </row>
    <row r="425">
      <c r="A425" s="22" t="n">
        <v>201803</v>
      </c>
      <c r="B425" s="22" t="inlineStr">
        <is>
          <t>POS</t>
        </is>
      </c>
      <c r="C425" s="22" t="inlineStr">
        <is>
          <t>TV &amp; Video</t>
        </is>
      </c>
      <c r="D425" s="22" t="n">
        <v>27824.56</v>
      </c>
      <c r="E425" s="22" t="n">
        <v>3196</v>
      </c>
      <c r="F425" s="22" t="n">
        <v>72</v>
      </c>
    </row>
    <row r="426">
      <c r="A426" s="22" t="n">
        <v>201804</v>
      </c>
      <c r="B426" s="22" t="inlineStr">
        <is>
          <t>ONLINE</t>
        </is>
      </c>
      <c r="C426" s="22" t="inlineStr">
        <is>
          <t>Âm thanh</t>
        </is>
      </c>
      <c r="D426" s="22" t="n">
        <v>831.63</v>
      </c>
      <c r="E426" s="22" t="n">
        <v>199.98</v>
      </c>
      <c r="F426" s="22" t="n">
        <v>7</v>
      </c>
    </row>
    <row r="427">
      <c r="A427" s="22" t="n">
        <v>201804</v>
      </c>
      <c r="B427" s="22" t="inlineStr">
        <is>
          <t>ONLINE</t>
        </is>
      </c>
      <c r="C427" s="22" t="inlineStr">
        <is>
          <t>Máy ảnh</t>
        </is>
      </c>
      <c r="D427" s="22" t="n">
        <v>3440</v>
      </c>
      <c r="E427" s="22" t="n">
        <v>0</v>
      </c>
      <c r="F427" s="22" t="n">
        <v>4</v>
      </c>
    </row>
    <row r="428">
      <c r="A428" s="22" t="n">
        <v>201804</v>
      </c>
      <c r="B428" s="22" t="inlineStr">
        <is>
          <t>ONLINE</t>
        </is>
      </c>
      <c r="C428" s="22" t="inlineStr">
        <is>
          <t>Điện thoại</t>
        </is>
      </c>
      <c r="D428" s="22" t="n">
        <v>1540.45</v>
      </c>
      <c r="E428" s="22" t="n">
        <v>0</v>
      </c>
      <c r="F428" s="22" t="n">
        <v>11</v>
      </c>
    </row>
    <row r="429">
      <c r="A429" s="22" t="n">
        <v>201804</v>
      </c>
      <c r="B429" s="22" t="inlineStr">
        <is>
          <t>ONLINE</t>
        </is>
      </c>
      <c r="C429" s="22" t="inlineStr">
        <is>
          <t>Máy tính</t>
        </is>
      </c>
      <c r="D429" s="22" t="n">
        <v>2254</v>
      </c>
      <c r="E429" s="22" t="n">
        <v>0</v>
      </c>
      <c r="F429" s="22" t="n">
        <v>6</v>
      </c>
    </row>
    <row r="430">
      <c r="A430" s="22" t="n">
        <v>201804</v>
      </c>
      <c r="B430" s="22" t="inlineStr">
        <is>
          <t>ONLINE</t>
        </is>
      </c>
      <c r="C430" s="22" t="inlineStr">
        <is>
          <t>Game &amp; Đồ chơi</t>
        </is>
      </c>
      <c r="D430" s="22" t="n">
        <v>333.93</v>
      </c>
      <c r="E430" s="22" t="n">
        <v>4.98</v>
      </c>
      <c r="F430" s="22" t="n">
        <v>13</v>
      </c>
    </row>
    <row r="431">
      <c r="A431" s="22" t="n">
        <v>201804</v>
      </c>
      <c r="B431" s="22" t="inlineStr">
        <is>
          <t>ONLINE</t>
        </is>
      </c>
      <c r="C431" s="22" t="inlineStr">
        <is>
          <t>Gia dụng</t>
        </is>
      </c>
      <c r="D431" s="22" t="n">
        <v>0</v>
      </c>
      <c r="E431" s="22" t="n">
        <v>474.95</v>
      </c>
      <c r="F431" s="22" t="n">
        <v>0</v>
      </c>
    </row>
    <row r="432">
      <c r="A432" s="22" t="n">
        <v>201804</v>
      </c>
      <c r="B432" s="22" t="inlineStr">
        <is>
          <t>ONLINE</t>
        </is>
      </c>
      <c r="C432" s="22" t="inlineStr">
        <is>
          <t>Nhạc, phim, sách nói</t>
        </is>
      </c>
      <c r="D432" s="22" t="n">
        <v>438</v>
      </c>
      <c r="E432" s="22" t="n">
        <v>0</v>
      </c>
      <c r="F432" s="22" t="n">
        <v>2</v>
      </c>
    </row>
    <row r="433">
      <c r="A433" s="22" t="n">
        <v>201804</v>
      </c>
      <c r="B433" s="22" t="inlineStr">
        <is>
          <t>POS</t>
        </is>
      </c>
      <c r="C433" s="22" t="inlineStr">
        <is>
          <t>Âm thanh</t>
        </is>
      </c>
      <c r="D433" s="22" t="n">
        <v>3711.43</v>
      </c>
      <c r="E433" s="22" t="n">
        <v>255</v>
      </c>
      <c r="F433" s="22" t="n">
        <v>30</v>
      </c>
    </row>
    <row r="434">
      <c r="A434" s="22" t="n">
        <v>201804</v>
      </c>
      <c r="B434" s="22" t="inlineStr">
        <is>
          <t>POS</t>
        </is>
      </c>
      <c r="C434" s="22" t="inlineStr">
        <is>
          <t>Máy ảnh</t>
        </is>
      </c>
      <c r="D434" s="22" t="n">
        <v>1730</v>
      </c>
      <c r="E434" s="22" t="n">
        <v>0</v>
      </c>
      <c r="F434" s="22" t="n">
        <v>5</v>
      </c>
    </row>
    <row r="435">
      <c r="A435" s="22" t="n">
        <v>201804</v>
      </c>
      <c r="B435" s="22" t="inlineStr">
        <is>
          <t>POS</t>
        </is>
      </c>
      <c r="C435" s="22" t="inlineStr">
        <is>
          <t>Điện thoại</t>
        </is>
      </c>
      <c r="D435" s="22" t="n">
        <v>4652.21</v>
      </c>
      <c r="E435" s="22" t="n">
        <v>0</v>
      </c>
      <c r="F435" s="22" t="n">
        <v>39</v>
      </c>
    </row>
    <row r="436">
      <c r="A436" s="22" t="n">
        <v>201804</v>
      </c>
      <c r="B436" s="22" t="inlineStr">
        <is>
          <t>POS</t>
        </is>
      </c>
      <c r="C436" s="22" t="inlineStr">
        <is>
          <t>Máy tính</t>
        </is>
      </c>
      <c r="D436" s="22" t="n">
        <v>14343.9</v>
      </c>
      <c r="E436" s="22" t="n">
        <v>0</v>
      </c>
      <c r="F436" s="22" t="n">
        <v>41</v>
      </c>
    </row>
    <row r="437">
      <c r="A437" s="22" t="n">
        <v>201804</v>
      </c>
      <c r="B437" s="22" t="inlineStr">
        <is>
          <t>POS</t>
        </is>
      </c>
      <c r="C437" s="22" t="inlineStr">
        <is>
          <t>Game &amp; Đồ chơi</t>
        </is>
      </c>
      <c r="D437" s="22" t="n">
        <v>365.97</v>
      </c>
      <c r="E437" s="22" t="n">
        <v>135.92</v>
      </c>
      <c r="F437" s="22" t="n">
        <v>10</v>
      </c>
    </row>
    <row r="438">
      <c r="A438" s="22" t="n">
        <v>201804</v>
      </c>
      <c r="B438" s="22" t="inlineStr">
        <is>
          <t>POS</t>
        </is>
      </c>
      <c r="C438" s="22" t="inlineStr">
        <is>
          <t>Gia dụng</t>
        </is>
      </c>
      <c r="D438" s="22" t="n">
        <v>29433.01</v>
      </c>
      <c r="E438" s="22" t="n">
        <v>0</v>
      </c>
      <c r="F438" s="22" t="n">
        <v>41</v>
      </c>
    </row>
    <row r="439">
      <c r="A439" s="22" t="n">
        <v>201804</v>
      </c>
      <c r="B439" s="22" t="inlineStr">
        <is>
          <t>POS</t>
        </is>
      </c>
      <c r="C439" s="22" t="inlineStr">
        <is>
          <t>Nhạc, phim, sách nói</t>
        </is>
      </c>
      <c r="D439" s="22" t="n">
        <v>5063.62</v>
      </c>
      <c r="E439" s="22" t="n">
        <v>50.64</v>
      </c>
      <c r="F439" s="22" t="n">
        <v>36</v>
      </c>
    </row>
    <row r="440">
      <c r="A440" s="22" t="n">
        <v>201804</v>
      </c>
      <c r="B440" s="22" t="inlineStr">
        <is>
          <t>POS</t>
        </is>
      </c>
      <c r="C440" s="22" t="inlineStr">
        <is>
          <t>TV &amp; Video</t>
        </is>
      </c>
      <c r="D440" s="22" t="n">
        <v>2473.78</v>
      </c>
      <c r="E440" s="22" t="n">
        <v>0</v>
      </c>
      <c r="F440" s="22" t="n">
        <v>13</v>
      </c>
    </row>
    <row r="441">
      <c r="A441" s="22" t="n">
        <v>201805</v>
      </c>
      <c r="B441" s="22" t="inlineStr">
        <is>
          <t>ONLINE</t>
        </is>
      </c>
      <c r="C441" s="22" t="inlineStr">
        <is>
          <t>Âm thanh</t>
        </is>
      </c>
      <c r="D441" s="22" t="n">
        <v>7569.73</v>
      </c>
      <c r="E441" s="22" t="n">
        <v>354.99</v>
      </c>
      <c r="F441" s="22" t="n">
        <v>63</v>
      </c>
    </row>
    <row r="442">
      <c r="A442" s="22" t="n">
        <v>201805</v>
      </c>
      <c r="B442" s="22" t="inlineStr">
        <is>
          <t>ONLINE</t>
        </is>
      </c>
      <c r="C442" s="22" t="inlineStr">
        <is>
          <t>Máy ảnh</t>
        </is>
      </c>
      <c r="D442" s="22" t="n">
        <v>18337.18</v>
      </c>
      <c r="E442" s="22" t="n">
        <v>0</v>
      </c>
      <c r="F442" s="22" t="n">
        <v>60</v>
      </c>
    </row>
    <row r="443">
      <c r="A443" s="22" t="n">
        <v>201805</v>
      </c>
      <c r="B443" s="22" t="inlineStr">
        <is>
          <t>ONLINE</t>
        </is>
      </c>
      <c r="C443" s="22" t="inlineStr">
        <is>
          <t>Điện thoại</t>
        </is>
      </c>
      <c r="D443" s="22" t="n">
        <v>19424.86</v>
      </c>
      <c r="E443" s="22" t="n">
        <v>0</v>
      </c>
      <c r="F443" s="22" t="n">
        <v>85</v>
      </c>
    </row>
    <row r="444">
      <c r="A444" s="22" t="n">
        <v>201805</v>
      </c>
      <c r="B444" s="22" t="inlineStr">
        <is>
          <t>ONLINE</t>
        </is>
      </c>
      <c r="C444" s="22" t="inlineStr">
        <is>
          <t>Máy tính</t>
        </is>
      </c>
      <c r="D444" s="22" t="n">
        <v>56138.99</v>
      </c>
      <c r="E444" s="22" t="n">
        <v>539.1</v>
      </c>
      <c r="F444" s="22" t="n">
        <v>111</v>
      </c>
    </row>
    <row r="445">
      <c r="A445" s="22" t="n">
        <v>201805</v>
      </c>
      <c r="B445" s="22" t="inlineStr">
        <is>
          <t>ONLINE</t>
        </is>
      </c>
      <c r="C445" s="22" t="inlineStr">
        <is>
          <t>Game &amp; Đồ chơi</t>
        </is>
      </c>
      <c r="D445" s="22" t="n">
        <v>2224.31</v>
      </c>
      <c r="E445" s="22" t="n">
        <v>0</v>
      </c>
      <c r="F445" s="22" t="n">
        <v>67</v>
      </c>
    </row>
    <row r="446">
      <c r="A446" s="22" t="n">
        <v>201805</v>
      </c>
      <c r="B446" s="22" t="inlineStr">
        <is>
          <t>ONLINE</t>
        </is>
      </c>
      <c r="C446" s="22" t="inlineStr">
        <is>
          <t>Gia dụng</t>
        </is>
      </c>
      <c r="D446" s="22" t="n">
        <v>41076.24</v>
      </c>
      <c r="E446" s="22" t="n">
        <v>0</v>
      </c>
      <c r="F446" s="22" t="n">
        <v>66</v>
      </c>
    </row>
    <row r="447">
      <c r="A447" s="22" t="n">
        <v>201805</v>
      </c>
      <c r="B447" s="22" t="inlineStr">
        <is>
          <t>ONLINE</t>
        </is>
      </c>
      <c r="C447" s="22" t="inlineStr">
        <is>
          <t>Nhạc, phim, sách nói</t>
        </is>
      </c>
      <c r="D447" s="22" t="n">
        <v>9158.4</v>
      </c>
      <c r="E447" s="22" t="n">
        <v>0</v>
      </c>
      <c r="F447" s="22" t="n">
        <v>97</v>
      </c>
    </row>
    <row r="448">
      <c r="A448" s="22" t="n">
        <v>201805</v>
      </c>
      <c r="B448" s="22" t="inlineStr">
        <is>
          <t>ONLINE</t>
        </is>
      </c>
      <c r="C448" s="22" t="inlineStr">
        <is>
          <t>TV &amp; Video</t>
        </is>
      </c>
      <c r="D448" s="22" t="n">
        <v>17289.62</v>
      </c>
      <c r="E448" s="22" t="n">
        <v>0</v>
      </c>
      <c r="F448" s="22" t="n">
        <v>33</v>
      </c>
    </row>
    <row r="449">
      <c r="A449" s="22" t="n">
        <v>201805</v>
      </c>
      <c r="B449" s="22" t="inlineStr">
        <is>
          <t>POS</t>
        </is>
      </c>
      <c r="C449" s="22" t="inlineStr">
        <is>
          <t>Âm thanh</t>
        </is>
      </c>
      <c r="D449" s="22" t="n">
        <v>57154.3</v>
      </c>
      <c r="E449" s="22" t="n">
        <v>954.6900000000001</v>
      </c>
      <c r="F449" s="22" t="n">
        <v>417</v>
      </c>
    </row>
    <row r="450">
      <c r="A450" s="22" t="n">
        <v>201805</v>
      </c>
      <c r="B450" s="22" t="inlineStr">
        <is>
          <t>POS</t>
        </is>
      </c>
      <c r="C450" s="22" t="inlineStr">
        <is>
          <t>Máy ảnh</t>
        </is>
      </c>
      <c r="D450" s="22" t="n">
        <v>97222.39999999999</v>
      </c>
      <c r="E450" s="22" t="n">
        <v>69.98999999999999</v>
      </c>
      <c r="F450" s="22" t="n">
        <v>252</v>
      </c>
    </row>
    <row r="451">
      <c r="A451" s="22" t="n">
        <v>201805</v>
      </c>
      <c r="B451" s="22" t="inlineStr">
        <is>
          <t>POS</t>
        </is>
      </c>
      <c r="C451" s="22" t="inlineStr">
        <is>
          <t>Điện thoại</t>
        </is>
      </c>
      <c r="D451" s="22" t="n">
        <v>105498.15</v>
      </c>
      <c r="E451" s="22" t="n">
        <v>1235.99</v>
      </c>
      <c r="F451" s="22" t="n">
        <v>492</v>
      </c>
    </row>
    <row r="452">
      <c r="A452" s="22" t="n">
        <v>201805</v>
      </c>
      <c r="B452" s="22" t="inlineStr">
        <is>
          <t>POS</t>
        </is>
      </c>
      <c r="C452" s="22" t="inlineStr">
        <is>
          <t>Máy tính</t>
        </is>
      </c>
      <c r="D452" s="22" t="n">
        <v>294686.72</v>
      </c>
      <c r="E452" s="22" t="n">
        <v>6865.53</v>
      </c>
      <c r="F452" s="22" t="n">
        <v>637</v>
      </c>
    </row>
    <row r="453">
      <c r="A453" s="22" t="n">
        <v>201805</v>
      </c>
      <c r="B453" s="22" t="inlineStr">
        <is>
          <t>POS</t>
        </is>
      </c>
      <c r="C453" s="22" t="inlineStr">
        <is>
          <t>Game &amp; Đồ chơi</t>
        </is>
      </c>
      <c r="D453" s="22" t="n">
        <v>7412.01</v>
      </c>
      <c r="E453" s="22" t="n">
        <v>56</v>
      </c>
      <c r="F453" s="22" t="n">
        <v>280</v>
      </c>
    </row>
    <row r="454">
      <c r="A454" s="22" t="n">
        <v>201805</v>
      </c>
      <c r="B454" s="22" t="inlineStr">
        <is>
          <t>POS</t>
        </is>
      </c>
      <c r="C454" s="22" t="inlineStr">
        <is>
          <t>Gia dụng</t>
        </is>
      </c>
      <c r="D454" s="22" t="n">
        <v>201590.74</v>
      </c>
      <c r="E454" s="22" t="n">
        <v>5364.35</v>
      </c>
      <c r="F454" s="22" t="n">
        <v>339</v>
      </c>
    </row>
    <row r="455">
      <c r="A455" s="22" t="n">
        <v>201805</v>
      </c>
      <c r="B455" s="22" t="inlineStr">
        <is>
          <t>POS</t>
        </is>
      </c>
      <c r="C455" s="22" t="inlineStr">
        <is>
          <t>Nhạc, phim, sách nói</t>
        </is>
      </c>
      <c r="D455" s="22" t="n">
        <v>44365.81</v>
      </c>
      <c r="E455" s="22" t="n">
        <v>1921.56</v>
      </c>
      <c r="F455" s="22" t="n">
        <v>452</v>
      </c>
    </row>
    <row r="456">
      <c r="A456" s="22" t="n">
        <v>201805</v>
      </c>
      <c r="B456" s="22" t="inlineStr">
        <is>
          <t>POS</t>
        </is>
      </c>
      <c r="C456" s="22" t="inlineStr">
        <is>
          <t>TV &amp; Video</t>
        </is>
      </c>
      <c r="D456" s="22" t="n">
        <v>70795.27</v>
      </c>
      <c r="E456" s="22" t="n">
        <v>0</v>
      </c>
      <c r="F456" s="22" t="n">
        <v>167</v>
      </c>
    </row>
    <row r="457">
      <c r="A457" s="22" t="n">
        <v>201806</v>
      </c>
      <c r="B457" s="22" t="inlineStr">
        <is>
          <t>ONLINE</t>
        </is>
      </c>
      <c r="C457" s="22" t="inlineStr">
        <is>
          <t>Âm thanh</t>
        </is>
      </c>
      <c r="D457" s="22" t="n">
        <v>19698.78</v>
      </c>
      <c r="E457" s="22" t="n">
        <v>429.84</v>
      </c>
      <c r="F457" s="22" t="n">
        <v>128</v>
      </c>
    </row>
    <row r="458">
      <c r="A458" s="22" t="n">
        <v>201806</v>
      </c>
      <c r="B458" s="22" t="inlineStr">
        <is>
          <t>ONLINE</t>
        </is>
      </c>
      <c r="C458" s="22" t="inlineStr">
        <is>
          <t>Máy ảnh</t>
        </is>
      </c>
      <c r="D458" s="22" t="n">
        <v>9472.52</v>
      </c>
      <c r="E458" s="22" t="n">
        <v>0</v>
      </c>
      <c r="F458" s="22" t="n">
        <v>56</v>
      </c>
    </row>
    <row r="459">
      <c r="A459" s="22" t="n">
        <v>201806</v>
      </c>
      <c r="B459" s="22" t="inlineStr">
        <is>
          <t>ONLINE</t>
        </is>
      </c>
      <c r="C459" s="22" t="inlineStr">
        <is>
          <t>Điện thoại</t>
        </is>
      </c>
      <c r="D459" s="22" t="n">
        <v>24750.62</v>
      </c>
      <c r="E459" s="22" t="n">
        <v>0</v>
      </c>
      <c r="F459" s="22" t="n">
        <v>112</v>
      </c>
    </row>
    <row r="460">
      <c r="A460" s="22" t="n">
        <v>201806</v>
      </c>
      <c r="B460" s="22" t="inlineStr">
        <is>
          <t>ONLINE</t>
        </is>
      </c>
      <c r="C460" s="22" t="inlineStr">
        <is>
          <t>Máy tính</t>
        </is>
      </c>
      <c r="D460" s="22" t="n">
        <v>71465.71000000001</v>
      </c>
      <c r="E460" s="22" t="n">
        <v>0</v>
      </c>
      <c r="F460" s="22" t="n">
        <v>171</v>
      </c>
    </row>
    <row r="461">
      <c r="A461" s="22" t="n">
        <v>201806</v>
      </c>
      <c r="B461" s="22" t="inlineStr">
        <is>
          <t>ONLINE</t>
        </is>
      </c>
      <c r="C461" s="22" t="inlineStr">
        <is>
          <t>Game &amp; Đồ chơi</t>
        </is>
      </c>
      <c r="D461" s="22" t="n">
        <v>1928.23</v>
      </c>
      <c r="E461" s="22" t="n">
        <v>0</v>
      </c>
      <c r="F461" s="22" t="n">
        <v>61</v>
      </c>
    </row>
    <row r="462">
      <c r="A462" s="22" t="n">
        <v>201806</v>
      </c>
      <c r="B462" s="22" t="inlineStr">
        <is>
          <t>ONLINE</t>
        </is>
      </c>
      <c r="C462" s="22" t="inlineStr">
        <is>
          <t>Gia dụng</t>
        </is>
      </c>
      <c r="D462" s="22" t="n">
        <v>27491.96</v>
      </c>
      <c r="E462" s="22" t="n">
        <v>0</v>
      </c>
      <c r="F462" s="22" t="n">
        <v>71</v>
      </c>
    </row>
    <row r="463">
      <c r="A463" s="22" t="n">
        <v>201806</v>
      </c>
      <c r="B463" s="22" t="inlineStr">
        <is>
          <t>ONLINE</t>
        </is>
      </c>
      <c r="C463" s="22" t="inlineStr">
        <is>
          <t>Nhạc, phim, sách nói</t>
        </is>
      </c>
      <c r="D463" s="22" t="n">
        <v>14956.47</v>
      </c>
      <c r="E463" s="22" t="n">
        <v>0</v>
      </c>
      <c r="F463" s="22" t="n">
        <v>133</v>
      </c>
    </row>
    <row r="464">
      <c r="A464" s="22" t="n">
        <v>201806</v>
      </c>
      <c r="B464" s="22" t="inlineStr">
        <is>
          <t>ONLINE</t>
        </is>
      </c>
      <c r="C464" s="22" t="inlineStr">
        <is>
          <t>TV &amp; Video</t>
        </is>
      </c>
      <c r="D464" s="22" t="n">
        <v>12122.11</v>
      </c>
      <c r="E464" s="22" t="n">
        <v>0</v>
      </c>
      <c r="F464" s="22" t="n">
        <v>34</v>
      </c>
    </row>
    <row r="465">
      <c r="A465" s="22" t="n">
        <v>201806</v>
      </c>
      <c r="B465" s="22" t="inlineStr">
        <is>
          <t>POS</t>
        </is>
      </c>
      <c r="C465" s="22" t="inlineStr">
        <is>
          <t>Âm thanh</t>
        </is>
      </c>
      <c r="D465" s="22" t="n">
        <v>40845.78</v>
      </c>
      <c r="E465" s="22" t="n">
        <v>357.9</v>
      </c>
      <c r="F465" s="22" t="n">
        <v>320</v>
      </c>
    </row>
    <row r="466">
      <c r="A466" s="22" t="n">
        <v>201806</v>
      </c>
      <c r="B466" s="22" t="inlineStr">
        <is>
          <t>POS</t>
        </is>
      </c>
      <c r="C466" s="22" t="inlineStr">
        <is>
          <t>Máy ảnh</t>
        </is>
      </c>
      <c r="D466" s="22" t="n">
        <v>58879.81</v>
      </c>
      <c r="E466" s="22" t="n">
        <v>4274.7</v>
      </c>
      <c r="F466" s="22" t="n">
        <v>186</v>
      </c>
    </row>
    <row r="467">
      <c r="A467" s="22" t="n">
        <v>201806</v>
      </c>
      <c r="B467" s="22" t="inlineStr">
        <is>
          <t>POS</t>
        </is>
      </c>
      <c r="C467" s="22" t="inlineStr">
        <is>
          <t>Điện thoại</t>
        </is>
      </c>
      <c r="D467" s="22" t="n">
        <v>114794.53</v>
      </c>
      <c r="E467" s="22" t="n">
        <v>1297</v>
      </c>
      <c r="F467" s="22" t="n">
        <v>487</v>
      </c>
    </row>
    <row r="468">
      <c r="A468" s="22" t="n">
        <v>201806</v>
      </c>
      <c r="B468" s="22" t="inlineStr">
        <is>
          <t>POS</t>
        </is>
      </c>
      <c r="C468" s="22" t="inlineStr">
        <is>
          <t>Máy tính</t>
        </is>
      </c>
      <c r="D468" s="22" t="n">
        <v>307235.9</v>
      </c>
      <c r="E468" s="22" t="n">
        <v>7417.4</v>
      </c>
      <c r="F468" s="22" t="n">
        <v>643</v>
      </c>
    </row>
    <row r="469">
      <c r="A469" s="22" t="n">
        <v>201806</v>
      </c>
      <c r="B469" s="22" t="inlineStr">
        <is>
          <t>POS</t>
        </is>
      </c>
      <c r="C469" s="22" t="inlineStr">
        <is>
          <t>Game &amp; Đồ chơi</t>
        </is>
      </c>
      <c r="D469" s="22" t="n">
        <v>8793.65</v>
      </c>
      <c r="E469" s="22" t="n">
        <v>120.82</v>
      </c>
      <c r="F469" s="22" t="n">
        <v>291</v>
      </c>
    </row>
    <row r="470">
      <c r="A470" s="22" t="n">
        <v>201806</v>
      </c>
      <c r="B470" s="22" t="inlineStr">
        <is>
          <t>POS</t>
        </is>
      </c>
      <c r="C470" s="22" t="inlineStr">
        <is>
          <t>Gia dụng</t>
        </is>
      </c>
      <c r="D470" s="22" t="n">
        <v>117998.98</v>
      </c>
      <c r="E470" s="22" t="n">
        <v>3054.77</v>
      </c>
      <c r="F470" s="22" t="n">
        <v>224</v>
      </c>
    </row>
    <row r="471">
      <c r="A471" s="22" t="n">
        <v>201806</v>
      </c>
      <c r="B471" s="22" t="inlineStr">
        <is>
          <t>POS</t>
        </is>
      </c>
      <c r="C471" s="22" t="inlineStr">
        <is>
          <t>Nhạc, phim, sách nói</t>
        </is>
      </c>
      <c r="D471" s="22" t="n">
        <v>41499.38</v>
      </c>
      <c r="E471" s="22" t="n">
        <v>1600.5</v>
      </c>
      <c r="F471" s="22" t="n">
        <v>392</v>
      </c>
    </row>
    <row r="472">
      <c r="A472" s="22" t="n">
        <v>201806</v>
      </c>
      <c r="B472" s="22" t="inlineStr">
        <is>
          <t>POS</t>
        </is>
      </c>
      <c r="C472" s="22" t="inlineStr">
        <is>
          <t>TV &amp; Video</t>
        </is>
      </c>
      <c r="D472" s="22" t="n">
        <v>81478.89999999999</v>
      </c>
      <c r="E472" s="22" t="n">
        <v>0</v>
      </c>
      <c r="F472" s="22" t="n">
        <v>133</v>
      </c>
    </row>
    <row r="473">
      <c r="A473" s="22" t="n">
        <v>201807</v>
      </c>
      <c r="B473" s="22" t="inlineStr">
        <is>
          <t>ONLINE</t>
        </is>
      </c>
      <c r="C473" s="22" t="inlineStr">
        <is>
          <t>Âm thanh</t>
        </is>
      </c>
      <c r="D473" s="22" t="n">
        <v>14263.41</v>
      </c>
      <c r="E473" s="22" t="n">
        <v>955.8</v>
      </c>
      <c r="F473" s="22" t="n">
        <v>77</v>
      </c>
    </row>
    <row r="474">
      <c r="A474" s="22" t="n">
        <v>201807</v>
      </c>
      <c r="B474" s="22" t="inlineStr">
        <is>
          <t>ONLINE</t>
        </is>
      </c>
      <c r="C474" s="22" t="inlineStr">
        <is>
          <t>Máy ảnh</t>
        </is>
      </c>
      <c r="D474" s="22" t="n">
        <v>16141.99</v>
      </c>
      <c r="E474" s="22" t="n">
        <v>0</v>
      </c>
      <c r="F474" s="22" t="n">
        <v>60</v>
      </c>
    </row>
    <row r="475">
      <c r="A475" s="22" t="n">
        <v>201807</v>
      </c>
      <c r="B475" s="22" t="inlineStr">
        <is>
          <t>ONLINE</t>
        </is>
      </c>
      <c r="C475" s="22" t="inlineStr">
        <is>
          <t>Điện thoại</t>
        </is>
      </c>
      <c r="D475" s="22" t="n">
        <v>15345.89</v>
      </c>
      <c r="E475" s="22" t="n">
        <v>0</v>
      </c>
      <c r="F475" s="22" t="n">
        <v>102</v>
      </c>
    </row>
    <row r="476">
      <c r="A476" s="22" t="n">
        <v>201807</v>
      </c>
      <c r="B476" s="22" t="inlineStr">
        <is>
          <t>ONLINE</t>
        </is>
      </c>
      <c r="C476" s="22" t="inlineStr">
        <is>
          <t>Máy tính</t>
        </is>
      </c>
      <c r="D476" s="22" t="n">
        <v>51493.06</v>
      </c>
      <c r="E476" s="22" t="n">
        <v>978</v>
      </c>
      <c r="F476" s="22" t="n">
        <v>163</v>
      </c>
    </row>
    <row r="477">
      <c r="A477" s="22" t="n">
        <v>201807</v>
      </c>
      <c r="B477" s="22" t="inlineStr">
        <is>
          <t>ONLINE</t>
        </is>
      </c>
      <c r="C477" s="22" t="inlineStr">
        <is>
          <t>Game &amp; Đồ chơi</t>
        </is>
      </c>
      <c r="D477" s="22" t="n">
        <v>2113.26</v>
      </c>
      <c r="E477" s="22" t="n">
        <v>0</v>
      </c>
      <c r="F477" s="22" t="n">
        <v>76</v>
      </c>
    </row>
    <row r="478">
      <c r="A478" s="22" t="n">
        <v>201807</v>
      </c>
      <c r="B478" s="22" t="inlineStr">
        <is>
          <t>ONLINE</t>
        </is>
      </c>
      <c r="C478" s="22" t="inlineStr">
        <is>
          <t>Gia dụng</t>
        </is>
      </c>
      <c r="D478" s="22" t="n">
        <v>26190.81</v>
      </c>
      <c r="E478" s="22" t="n">
        <v>8171.97</v>
      </c>
      <c r="F478" s="22" t="n">
        <v>70</v>
      </c>
    </row>
    <row r="479">
      <c r="A479" s="22" t="n">
        <v>201807</v>
      </c>
      <c r="B479" s="22" t="inlineStr">
        <is>
          <t>ONLINE</t>
        </is>
      </c>
      <c r="C479" s="22" t="inlineStr">
        <is>
          <t>Nhạc, phim, sách nói</t>
        </is>
      </c>
      <c r="D479" s="22" t="n">
        <v>12565.8</v>
      </c>
      <c r="E479" s="22" t="n">
        <v>0</v>
      </c>
      <c r="F479" s="22" t="n">
        <v>120</v>
      </c>
    </row>
    <row r="480">
      <c r="A480" s="22" t="n">
        <v>201807</v>
      </c>
      <c r="B480" s="22" t="inlineStr">
        <is>
          <t>ONLINE</t>
        </is>
      </c>
      <c r="C480" s="22" t="inlineStr">
        <is>
          <t>TV &amp; Video</t>
        </is>
      </c>
      <c r="D480" s="22" t="n">
        <v>20414.21</v>
      </c>
      <c r="E480" s="22" t="n">
        <v>0</v>
      </c>
      <c r="F480" s="22" t="n">
        <v>45</v>
      </c>
    </row>
    <row r="481">
      <c r="A481" s="22" t="n">
        <v>201807</v>
      </c>
      <c r="B481" s="22" t="inlineStr">
        <is>
          <t>POS</t>
        </is>
      </c>
      <c r="C481" s="22" t="inlineStr">
        <is>
          <t>Âm thanh</t>
        </is>
      </c>
      <c r="D481" s="22" t="n">
        <v>37314.7</v>
      </c>
      <c r="E481" s="22" t="n">
        <v>1998.92</v>
      </c>
      <c r="F481" s="22" t="n">
        <v>291</v>
      </c>
    </row>
    <row r="482">
      <c r="A482" s="22" t="n">
        <v>201807</v>
      </c>
      <c r="B482" s="22" t="inlineStr">
        <is>
          <t>POS</t>
        </is>
      </c>
      <c r="C482" s="22" t="inlineStr">
        <is>
          <t>Máy ảnh</t>
        </is>
      </c>
      <c r="D482" s="22" t="n">
        <v>59404.46</v>
      </c>
      <c r="E482" s="22" t="n">
        <v>563.98</v>
      </c>
      <c r="F482" s="22" t="n">
        <v>169</v>
      </c>
    </row>
    <row r="483">
      <c r="A483" s="22" t="n">
        <v>201807</v>
      </c>
      <c r="B483" s="22" t="inlineStr">
        <is>
          <t>POS</t>
        </is>
      </c>
      <c r="C483" s="22" t="inlineStr">
        <is>
          <t>Điện thoại</t>
        </is>
      </c>
      <c r="D483" s="22" t="n">
        <v>67886.14</v>
      </c>
      <c r="E483" s="22" t="n">
        <v>1828.05</v>
      </c>
      <c r="F483" s="22" t="n">
        <v>407</v>
      </c>
    </row>
    <row r="484">
      <c r="A484" s="22" t="n">
        <v>201807</v>
      </c>
      <c r="B484" s="22" t="inlineStr">
        <is>
          <t>POS</t>
        </is>
      </c>
      <c r="C484" s="22" t="inlineStr">
        <is>
          <t>Máy tính</t>
        </is>
      </c>
      <c r="D484" s="22" t="n">
        <v>239154.66</v>
      </c>
      <c r="E484" s="22" t="n">
        <v>22236.5</v>
      </c>
      <c r="F484" s="22" t="n">
        <v>541</v>
      </c>
    </row>
    <row r="485">
      <c r="A485" s="22" t="n">
        <v>201807</v>
      </c>
      <c r="B485" s="22" t="inlineStr">
        <is>
          <t>POS</t>
        </is>
      </c>
      <c r="C485" s="22" t="inlineStr">
        <is>
          <t>Game &amp; Đồ chơi</t>
        </is>
      </c>
      <c r="D485" s="22" t="n">
        <v>8160.12</v>
      </c>
      <c r="E485" s="22" t="n">
        <v>232.25</v>
      </c>
      <c r="F485" s="22" t="n">
        <v>257</v>
      </c>
    </row>
    <row r="486">
      <c r="A486" s="22" t="n">
        <v>201807</v>
      </c>
      <c r="B486" s="22" t="inlineStr">
        <is>
          <t>POS</t>
        </is>
      </c>
      <c r="C486" s="22" t="inlineStr">
        <is>
          <t>Gia dụng</t>
        </is>
      </c>
      <c r="D486" s="22" t="n">
        <v>239518.54</v>
      </c>
      <c r="E486" s="22" t="n">
        <v>5127.79</v>
      </c>
      <c r="F486" s="22" t="n">
        <v>376</v>
      </c>
    </row>
    <row r="487">
      <c r="A487" s="22" t="n">
        <v>201807</v>
      </c>
      <c r="B487" s="22" t="inlineStr">
        <is>
          <t>POS</t>
        </is>
      </c>
      <c r="C487" s="22" t="inlineStr">
        <is>
          <t>Nhạc, phim, sách nói</t>
        </is>
      </c>
      <c r="D487" s="22" t="n">
        <v>37661.19</v>
      </c>
      <c r="E487" s="22" t="n">
        <v>696.86</v>
      </c>
      <c r="F487" s="22" t="n">
        <v>353</v>
      </c>
    </row>
    <row r="488">
      <c r="A488" s="22" t="n">
        <v>201807</v>
      </c>
      <c r="B488" s="22" t="inlineStr">
        <is>
          <t>POS</t>
        </is>
      </c>
      <c r="C488" s="22" t="inlineStr">
        <is>
          <t>TV &amp; Video</t>
        </is>
      </c>
      <c r="D488" s="22" t="n">
        <v>93957.92999999999</v>
      </c>
      <c r="E488" s="22" t="n">
        <v>11096.91</v>
      </c>
      <c r="F488" s="22" t="n">
        <v>197</v>
      </c>
    </row>
    <row r="489">
      <c r="A489" s="22" t="n">
        <v>201808</v>
      </c>
      <c r="B489" s="22" t="inlineStr">
        <is>
          <t>ONLINE</t>
        </is>
      </c>
      <c r="C489" s="22" t="inlineStr">
        <is>
          <t>Âm thanh</t>
        </is>
      </c>
      <c r="D489" s="22" t="n">
        <v>7598.1</v>
      </c>
      <c r="E489" s="22" t="n">
        <v>504.44</v>
      </c>
      <c r="F489" s="22" t="n">
        <v>72</v>
      </c>
    </row>
    <row r="490">
      <c r="A490" s="22" t="n">
        <v>201808</v>
      </c>
      <c r="B490" s="22" t="inlineStr">
        <is>
          <t>ONLINE</t>
        </is>
      </c>
      <c r="C490" s="22" t="inlineStr">
        <is>
          <t>Máy ảnh</t>
        </is>
      </c>
      <c r="D490" s="22" t="n">
        <v>20915.85</v>
      </c>
      <c r="E490" s="22" t="n">
        <v>0</v>
      </c>
      <c r="F490" s="22" t="n">
        <v>48</v>
      </c>
    </row>
    <row r="491">
      <c r="A491" s="22" t="n">
        <v>201808</v>
      </c>
      <c r="B491" s="22" t="inlineStr">
        <is>
          <t>ONLINE</t>
        </is>
      </c>
      <c r="C491" s="22" t="inlineStr">
        <is>
          <t>Điện thoại</t>
        </is>
      </c>
      <c r="D491" s="22" t="n">
        <v>18943.89</v>
      </c>
      <c r="E491" s="22" t="n">
        <v>290</v>
      </c>
      <c r="F491" s="22" t="n">
        <v>120</v>
      </c>
    </row>
    <row r="492">
      <c r="A492" s="22" t="n">
        <v>201808</v>
      </c>
      <c r="B492" s="22" t="inlineStr">
        <is>
          <t>ONLINE</t>
        </is>
      </c>
      <c r="C492" s="22" t="inlineStr">
        <is>
          <t>Máy tính</t>
        </is>
      </c>
      <c r="D492" s="22" t="n">
        <v>79361.32000000001</v>
      </c>
      <c r="E492" s="22" t="n">
        <v>0</v>
      </c>
      <c r="F492" s="22" t="n">
        <v>148</v>
      </c>
    </row>
    <row r="493">
      <c r="A493" s="22" t="n">
        <v>201808</v>
      </c>
      <c r="B493" s="22" t="inlineStr">
        <is>
          <t>ONLINE</t>
        </is>
      </c>
      <c r="C493" s="22" t="inlineStr">
        <is>
          <t>Game &amp; Đồ chơi</t>
        </is>
      </c>
      <c r="D493" s="22" t="n">
        <v>2155.74</v>
      </c>
      <c r="E493" s="22" t="n">
        <v>115.94</v>
      </c>
      <c r="F493" s="22" t="n">
        <v>76</v>
      </c>
    </row>
    <row r="494">
      <c r="A494" s="22" t="n">
        <v>201808</v>
      </c>
      <c r="B494" s="22" t="inlineStr">
        <is>
          <t>ONLINE</t>
        </is>
      </c>
      <c r="C494" s="22" t="inlineStr">
        <is>
          <t>Gia dụng</t>
        </is>
      </c>
      <c r="D494" s="22" t="n">
        <v>27302.8</v>
      </c>
      <c r="E494" s="22" t="n">
        <v>129.99</v>
      </c>
      <c r="F494" s="22" t="n">
        <v>51</v>
      </c>
    </row>
    <row r="495">
      <c r="A495" s="22" t="n">
        <v>201808</v>
      </c>
      <c r="B495" s="22" t="inlineStr">
        <is>
          <t>ONLINE</t>
        </is>
      </c>
      <c r="C495" s="22" t="inlineStr">
        <is>
          <t>Nhạc, phim, sách nói</t>
        </is>
      </c>
      <c r="D495" s="22" t="n">
        <v>11688.17</v>
      </c>
      <c r="E495" s="22" t="n">
        <v>502.76</v>
      </c>
      <c r="F495" s="22" t="n">
        <v>137</v>
      </c>
    </row>
    <row r="496">
      <c r="A496" s="22" t="n">
        <v>201808</v>
      </c>
      <c r="B496" s="22" t="inlineStr">
        <is>
          <t>ONLINE</t>
        </is>
      </c>
      <c r="C496" s="22" t="inlineStr">
        <is>
          <t>TV &amp; Video</t>
        </is>
      </c>
      <c r="D496" s="22" t="n">
        <v>15784.69</v>
      </c>
      <c r="E496" s="22" t="n">
        <v>279.99</v>
      </c>
      <c r="F496" s="22" t="n">
        <v>39</v>
      </c>
    </row>
    <row r="497">
      <c r="A497" s="22" t="n">
        <v>201808</v>
      </c>
      <c r="B497" s="22" t="inlineStr">
        <is>
          <t>POS</t>
        </is>
      </c>
      <c r="C497" s="22" t="inlineStr">
        <is>
          <t>Âm thanh</t>
        </is>
      </c>
      <c r="D497" s="22" t="n">
        <v>56115.07</v>
      </c>
      <c r="E497" s="22" t="n">
        <v>323.8</v>
      </c>
      <c r="F497" s="22" t="n">
        <v>433</v>
      </c>
    </row>
    <row r="498">
      <c r="A498" s="22" t="n">
        <v>201808</v>
      </c>
      <c r="B498" s="22" t="inlineStr">
        <is>
          <t>POS</t>
        </is>
      </c>
      <c r="C498" s="22" t="inlineStr">
        <is>
          <t>Máy ảnh</t>
        </is>
      </c>
      <c r="D498" s="22" t="n">
        <v>68299.86</v>
      </c>
      <c r="E498" s="22" t="n">
        <v>6237.8</v>
      </c>
      <c r="F498" s="22" t="n">
        <v>172</v>
      </c>
    </row>
    <row r="499">
      <c r="A499" s="22" t="n">
        <v>201808</v>
      </c>
      <c r="B499" s="22" t="inlineStr">
        <is>
          <t>POS</t>
        </is>
      </c>
      <c r="C499" s="22" t="inlineStr">
        <is>
          <t>Điện thoại</t>
        </is>
      </c>
      <c r="D499" s="22" t="n">
        <v>82229.23</v>
      </c>
      <c r="E499" s="22" t="n">
        <v>1868.99</v>
      </c>
      <c r="F499" s="22" t="n">
        <v>464</v>
      </c>
    </row>
    <row r="500">
      <c r="A500" s="22" t="n">
        <v>201808</v>
      </c>
      <c r="B500" s="22" t="inlineStr">
        <is>
          <t>POS</t>
        </is>
      </c>
      <c r="C500" s="22" t="inlineStr">
        <is>
          <t>Máy tính</t>
        </is>
      </c>
      <c r="D500" s="22" t="n">
        <v>319063.55</v>
      </c>
      <c r="E500" s="22" t="n">
        <v>6212.71</v>
      </c>
      <c r="F500" s="22" t="n">
        <v>761</v>
      </c>
    </row>
    <row r="501">
      <c r="A501" s="22" t="n">
        <v>201808</v>
      </c>
      <c r="B501" s="22" t="inlineStr">
        <is>
          <t>POS</t>
        </is>
      </c>
      <c r="C501" s="22" t="inlineStr">
        <is>
          <t>Game &amp; Đồ chơi</t>
        </is>
      </c>
      <c r="D501" s="22" t="n">
        <v>10691.89</v>
      </c>
      <c r="E501" s="22" t="n">
        <v>580.27</v>
      </c>
      <c r="F501" s="22" t="n">
        <v>263</v>
      </c>
    </row>
    <row r="502">
      <c r="A502" s="22" t="n">
        <v>201808</v>
      </c>
      <c r="B502" s="22" t="inlineStr">
        <is>
          <t>POS</t>
        </is>
      </c>
      <c r="C502" s="22" t="inlineStr">
        <is>
          <t>Gia dụng</t>
        </is>
      </c>
      <c r="D502" s="22" t="n">
        <v>156450.44</v>
      </c>
      <c r="E502" s="22" t="n">
        <v>477.43</v>
      </c>
      <c r="F502" s="22" t="n">
        <v>315</v>
      </c>
    </row>
    <row r="503">
      <c r="A503" s="22" t="n">
        <v>201808</v>
      </c>
      <c r="B503" s="22" t="inlineStr">
        <is>
          <t>POS</t>
        </is>
      </c>
      <c r="C503" s="22" t="inlineStr">
        <is>
          <t>Nhạc, phim, sách nói</t>
        </is>
      </c>
      <c r="D503" s="22" t="n">
        <v>34822.06</v>
      </c>
      <c r="E503" s="22" t="n">
        <v>2867.44</v>
      </c>
      <c r="F503" s="22" t="n">
        <v>395</v>
      </c>
    </row>
    <row r="504">
      <c r="A504" s="22" t="n">
        <v>201808</v>
      </c>
      <c r="B504" s="22" t="inlineStr">
        <is>
          <t>POS</t>
        </is>
      </c>
      <c r="C504" s="22" t="inlineStr">
        <is>
          <t>TV &amp; Video</t>
        </is>
      </c>
      <c r="D504" s="22" t="n">
        <v>43219.35</v>
      </c>
      <c r="E504" s="22" t="n">
        <v>0</v>
      </c>
      <c r="F504" s="22" t="n">
        <v>110</v>
      </c>
    </row>
    <row r="505">
      <c r="A505" s="22" t="n">
        <v>201809</v>
      </c>
      <c r="B505" s="22" t="inlineStr">
        <is>
          <t>ONLINE</t>
        </is>
      </c>
      <c r="C505" s="22" t="inlineStr">
        <is>
          <t>Âm thanh</t>
        </is>
      </c>
      <c r="D505" s="22" t="n">
        <v>20571.14</v>
      </c>
      <c r="E505" s="22" t="n">
        <v>0</v>
      </c>
      <c r="F505" s="22" t="n">
        <v>154</v>
      </c>
    </row>
    <row r="506">
      <c r="A506" s="22" t="n">
        <v>201809</v>
      </c>
      <c r="B506" s="22" t="inlineStr">
        <is>
          <t>ONLINE</t>
        </is>
      </c>
      <c r="C506" s="22" t="inlineStr">
        <is>
          <t>Máy ảnh</t>
        </is>
      </c>
      <c r="D506" s="22" t="n">
        <v>25602.08</v>
      </c>
      <c r="E506" s="22" t="n">
        <v>0</v>
      </c>
      <c r="F506" s="22" t="n">
        <v>78</v>
      </c>
    </row>
    <row r="507">
      <c r="A507" s="22" t="n">
        <v>201809</v>
      </c>
      <c r="B507" s="22" t="inlineStr">
        <is>
          <t>ONLINE</t>
        </is>
      </c>
      <c r="C507" s="22" t="inlineStr">
        <is>
          <t>Điện thoại</t>
        </is>
      </c>
      <c r="D507" s="22" t="n">
        <v>38622.37</v>
      </c>
      <c r="E507" s="22" t="n">
        <v>20.74</v>
      </c>
      <c r="F507" s="22" t="n">
        <v>199</v>
      </c>
    </row>
    <row r="508">
      <c r="A508" s="22" t="n">
        <v>201809</v>
      </c>
      <c r="B508" s="22" t="inlineStr">
        <is>
          <t>ONLINE</t>
        </is>
      </c>
      <c r="C508" s="22" t="inlineStr">
        <is>
          <t>Máy tính</t>
        </is>
      </c>
      <c r="D508" s="22" t="n">
        <v>86356.77</v>
      </c>
      <c r="E508" s="22" t="n">
        <v>847</v>
      </c>
      <c r="F508" s="22" t="n">
        <v>204</v>
      </c>
    </row>
    <row r="509">
      <c r="A509" s="22" t="n">
        <v>201809</v>
      </c>
      <c r="B509" s="22" t="inlineStr">
        <is>
          <t>ONLINE</t>
        </is>
      </c>
      <c r="C509" s="22" t="inlineStr">
        <is>
          <t>Game &amp; Đồ chơi</t>
        </is>
      </c>
      <c r="D509" s="22" t="n">
        <v>2598.29</v>
      </c>
      <c r="E509" s="22" t="n">
        <v>124.08</v>
      </c>
      <c r="F509" s="22" t="n">
        <v>94</v>
      </c>
    </row>
    <row r="510">
      <c r="A510" s="22" t="n">
        <v>201809</v>
      </c>
      <c r="B510" s="22" t="inlineStr">
        <is>
          <t>ONLINE</t>
        </is>
      </c>
      <c r="C510" s="22" t="inlineStr">
        <is>
          <t>Gia dụng</t>
        </is>
      </c>
      <c r="D510" s="22" t="n">
        <v>72343.31</v>
      </c>
      <c r="E510" s="22" t="n">
        <v>0</v>
      </c>
      <c r="F510" s="22" t="n">
        <v>139</v>
      </c>
    </row>
    <row r="511">
      <c r="A511" s="22" t="n">
        <v>201809</v>
      </c>
      <c r="B511" s="22" t="inlineStr">
        <is>
          <t>ONLINE</t>
        </is>
      </c>
      <c r="C511" s="22" t="inlineStr">
        <is>
          <t>Nhạc, phim, sách nói</t>
        </is>
      </c>
      <c r="D511" s="22" t="n">
        <v>14173.6</v>
      </c>
      <c r="E511" s="22" t="n">
        <v>0</v>
      </c>
      <c r="F511" s="22" t="n">
        <v>132</v>
      </c>
    </row>
    <row r="512">
      <c r="A512" s="22" t="n">
        <v>201809</v>
      </c>
      <c r="B512" s="22" t="inlineStr">
        <is>
          <t>ONLINE</t>
        </is>
      </c>
      <c r="C512" s="22" t="inlineStr">
        <is>
          <t>TV &amp; Video</t>
        </is>
      </c>
      <c r="D512" s="22" t="n">
        <v>16128.73</v>
      </c>
      <c r="E512" s="22" t="n">
        <v>304.2</v>
      </c>
      <c r="F512" s="22" t="n">
        <v>43</v>
      </c>
    </row>
    <row r="513">
      <c r="A513" s="22" t="n">
        <v>201809</v>
      </c>
      <c r="B513" s="22" t="inlineStr">
        <is>
          <t>POS</t>
        </is>
      </c>
      <c r="C513" s="22" t="inlineStr">
        <is>
          <t>Âm thanh</t>
        </is>
      </c>
      <c r="D513" s="22" t="n">
        <v>62406.43</v>
      </c>
      <c r="E513" s="22" t="n">
        <v>1693.74</v>
      </c>
      <c r="F513" s="22" t="n">
        <v>449</v>
      </c>
    </row>
    <row r="514">
      <c r="A514" s="22" t="n">
        <v>201809</v>
      </c>
      <c r="B514" s="22" t="inlineStr">
        <is>
          <t>POS</t>
        </is>
      </c>
      <c r="C514" s="22" t="inlineStr">
        <is>
          <t>Máy ảnh</t>
        </is>
      </c>
      <c r="D514" s="22" t="n">
        <v>68408.98</v>
      </c>
      <c r="E514" s="22" t="n">
        <v>0</v>
      </c>
      <c r="F514" s="22" t="n">
        <v>203</v>
      </c>
    </row>
    <row r="515">
      <c r="A515" s="22" t="n">
        <v>201809</v>
      </c>
      <c r="B515" s="22" t="inlineStr">
        <is>
          <t>POS</t>
        </is>
      </c>
      <c r="C515" s="22" t="inlineStr">
        <is>
          <t>Điện thoại</t>
        </is>
      </c>
      <c r="D515" s="22" t="n">
        <v>87254.52</v>
      </c>
      <c r="E515" s="22" t="n">
        <v>1675.9</v>
      </c>
      <c r="F515" s="22" t="n">
        <v>443</v>
      </c>
    </row>
    <row r="516">
      <c r="A516" s="22" t="n">
        <v>201809</v>
      </c>
      <c r="B516" s="22" t="inlineStr">
        <is>
          <t>POS</t>
        </is>
      </c>
      <c r="C516" s="22" t="inlineStr">
        <is>
          <t>Máy tính</t>
        </is>
      </c>
      <c r="D516" s="22" t="n">
        <v>329020.33</v>
      </c>
      <c r="E516" s="22" t="n">
        <v>19539.2</v>
      </c>
      <c r="F516" s="22" t="n">
        <v>762</v>
      </c>
    </row>
    <row r="517">
      <c r="A517" s="22" t="n">
        <v>201809</v>
      </c>
      <c r="B517" s="22" t="inlineStr">
        <is>
          <t>POS</t>
        </is>
      </c>
      <c r="C517" s="22" t="inlineStr">
        <is>
          <t>Game &amp; Đồ chơi</t>
        </is>
      </c>
      <c r="D517" s="22" t="n">
        <v>8573.01</v>
      </c>
      <c r="E517" s="22" t="n">
        <v>160.74</v>
      </c>
      <c r="F517" s="22" t="n">
        <v>287</v>
      </c>
    </row>
    <row r="518">
      <c r="A518" s="22" t="n">
        <v>201809</v>
      </c>
      <c r="B518" s="22" t="inlineStr">
        <is>
          <t>POS</t>
        </is>
      </c>
      <c r="C518" s="22" t="inlineStr">
        <is>
          <t>Gia dụng</t>
        </is>
      </c>
      <c r="D518" s="22" t="n">
        <v>160873.73</v>
      </c>
      <c r="E518" s="22" t="n">
        <v>2471.74</v>
      </c>
      <c r="F518" s="22" t="n">
        <v>356</v>
      </c>
    </row>
    <row r="519">
      <c r="A519" s="22" t="n">
        <v>201809</v>
      </c>
      <c r="B519" s="22" t="inlineStr">
        <is>
          <t>POS</t>
        </is>
      </c>
      <c r="C519" s="22" t="inlineStr">
        <is>
          <t>Nhạc, phim, sách nói</t>
        </is>
      </c>
      <c r="D519" s="22" t="n">
        <v>48458.61</v>
      </c>
      <c r="E519" s="22" t="n">
        <v>711.96</v>
      </c>
      <c r="F519" s="22" t="n">
        <v>486</v>
      </c>
    </row>
    <row r="520">
      <c r="A520" s="22" t="n">
        <v>201809</v>
      </c>
      <c r="B520" s="22" t="inlineStr">
        <is>
          <t>POS</t>
        </is>
      </c>
      <c r="C520" s="22" t="inlineStr">
        <is>
          <t>TV &amp; Video</t>
        </is>
      </c>
      <c r="D520" s="22" t="n">
        <v>75465.55</v>
      </c>
      <c r="E520" s="22" t="n">
        <v>917.95</v>
      </c>
      <c r="F520" s="22" t="n">
        <v>117</v>
      </c>
    </row>
    <row r="521">
      <c r="A521" s="22" t="n">
        <v>201810</v>
      </c>
      <c r="B521" s="22" t="inlineStr">
        <is>
          <t>ONLINE</t>
        </is>
      </c>
      <c r="C521" s="22" t="inlineStr">
        <is>
          <t>Âm thanh</t>
        </is>
      </c>
      <c r="D521" s="22" t="n">
        <v>15826.62</v>
      </c>
      <c r="E521" s="22" t="n">
        <v>415.79</v>
      </c>
      <c r="F521" s="22" t="n">
        <v>132</v>
      </c>
    </row>
    <row r="522">
      <c r="A522" s="22" t="n">
        <v>201810</v>
      </c>
      <c r="B522" s="22" t="inlineStr">
        <is>
          <t>ONLINE</t>
        </is>
      </c>
      <c r="C522" s="22" t="inlineStr">
        <is>
          <t>Máy ảnh</t>
        </is>
      </c>
      <c r="D522" s="22" t="n">
        <v>9961.540000000001</v>
      </c>
      <c r="E522" s="22" t="n">
        <v>0</v>
      </c>
      <c r="F522" s="22" t="n">
        <v>33</v>
      </c>
    </row>
    <row r="523">
      <c r="A523" s="22" t="n">
        <v>201810</v>
      </c>
      <c r="B523" s="22" t="inlineStr">
        <is>
          <t>ONLINE</t>
        </is>
      </c>
      <c r="C523" s="22" t="inlineStr">
        <is>
          <t>Điện thoại</t>
        </is>
      </c>
      <c r="D523" s="22" t="n">
        <v>33608.73</v>
      </c>
      <c r="E523" s="22" t="n">
        <v>883.99</v>
      </c>
      <c r="F523" s="22" t="n">
        <v>157</v>
      </c>
    </row>
    <row r="524">
      <c r="A524" s="22" t="n">
        <v>201810</v>
      </c>
      <c r="B524" s="22" t="inlineStr">
        <is>
          <t>ONLINE</t>
        </is>
      </c>
      <c r="C524" s="22" t="inlineStr">
        <is>
          <t>Máy tính</t>
        </is>
      </c>
      <c r="D524" s="22" t="n">
        <v>109530</v>
      </c>
      <c r="E524" s="22" t="n">
        <v>971.8200000000001</v>
      </c>
      <c r="F524" s="22" t="n">
        <v>255</v>
      </c>
    </row>
    <row r="525">
      <c r="A525" s="22" t="n">
        <v>201810</v>
      </c>
      <c r="B525" s="22" t="inlineStr">
        <is>
          <t>ONLINE</t>
        </is>
      </c>
      <c r="C525" s="22" t="inlineStr">
        <is>
          <t>Game &amp; Đồ chơi</t>
        </is>
      </c>
      <c r="D525" s="22" t="n">
        <v>3195.08</v>
      </c>
      <c r="E525" s="22" t="n">
        <v>111.8</v>
      </c>
      <c r="F525" s="22" t="n">
        <v>91</v>
      </c>
    </row>
    <row r="526">
      <c r="A526" s="22" t="n">
        <v>201810</v>
      </c>
      <c r="B526" s="22" t="inlineStr">
        <is>
          <t>ONLINE</t>
        </is>
      </c>
      <c r="C526" s="22" t="inlineStr">
        <is>
          <t>Gia dụng</t>
        </is>
      </c>
      <c r="D526" s="22" t="n">
        <v>29952.98</v>
      </c>
      <c r="E526" s="22" t="n">
        <v>508</v>
      </c>
      <c r="F526" s="22" t="n">
        <v>73</v>
      </c>
    </row>
    <row r="527">
      <c r="A527" s="22" t="n">
        <v>201810</v>
      </c>
      <c r="B527" s="22" t="inlineStr">
        <is>
          <t>ONLINE</t>
        </is>
      </c>
      <c r="C527" s="22" t="inlineStr">
        <is>
          <t>Nhạc, phim, sách nói</t>
        </is>
      </c>
      <c r="D527" s="22" t="n">
        <v>14545.51</v>
      </c>
      <c r="E527" s="22" t="n">
        <v>1590.38</v>
      </c>
      <c r="F527" s="22" t="n">
        <v>98</v>
      </c>
    </row>
    <row r="528">
      <c r="A528" s="22" t="n">
        <v>201810</v>
      </c>
      <c r="B528" s="22" t="inlineStr">
        <is>
          <t>ONLINE</t>
        </is>
      </c>
      <c r="C528" s="22" t="inlineStr">
        <is>
          <t>TV &amp; Video</t>
        </is>
      </c>
      <c r="D528" s="22" t="n">
        <v>21145.11</v>
      </c>
      <c r="E528" s="22" t="n">
        <v>69</v>
      </c>
      <c r="F528" s="22" t="n">
        <v>42</v>
      </c>
    </row>
    <row r="529">
      <c r="A529" s="22" t="n">
        <v>201810</v>
      </c>
      <c r="B529" s="22" t="inlineStr">
        <is>
          <t>POS</t>
        </is>
      </c>
      <c r="C529" s="22" t="inlineStr">
        <is>
          <t>Âm thanh</t>
        </is>
      </c>
      <c r="D529" s="22" t="n">
        <v>63367.4</v>
      </c>
      <c r="E529" s="22" t="n">
        <v>882.6799999999999</v>
      </c>
      <c r="F529" s="22" t="n">
        <v>471</v>
      </c>
    </row>
    <row r="530">
      <c r="A530" s="22" t="n">
        <v>201810</v>
      </c>
      <c r="B530" s="22" t="inlineStr">
        <is>
          <t>POS</t>
        </is>
      </c>
      <c r="C530" s="22" t="inlineStr">
        <is>
          <t>Máy ảnh</t>
        </is>
      </c>
      <c r="D530" s="22" t="n">
        <v>111718.21</v>
      </c>
      <c r="E530" s="22" t="n">
        <v>4485.4</v>
      </c>
      <c r="F530" s="22" t="n">
        <v>266</v>
      </c>
    </row>
    <row r="531">
      <c r="A531" s="22" t="n">
        <v>201810</v>
      </c>
      <c r="B531" s="22" t="inlineStr">
        <is>
          <t>POS</t>
        </is>
      </c>
      <c r="C531" s="22" t="inlineStr">
        <is>
          <t>Điện thoại</t>
        </is>
      </c>
      <c r="D531" s="22" t="n">
        <v>119788.02</v>
      </c>
      <c r="E531" s="22" t="n">
        <v>6277</v>
      </c>
      <c r="F531" s="22" t="n">
        <v>555</v>
      </c>
    </row>
    <row r="532">
      <c r="A532" s="22" t="n">
        <v>201810</v>
      </c>
      <c r="B532" s="22" t="inlineStr">
        <is>
          <t>POS</t>
        </is>
      </c>
      <c r="C532" s="22" t="inlineStr">
        <is>
          <t>Máy tính</t>
        </is>
      </c>
      <c r="D532" s="22" t="n">
        <v>356133.48</v>
      </c>
      <c r="E532" s="22" t="n">
        <v>10656.94</v>
      </c>
      <c r="F532" s="22" t="n">
        <v>876</v>
      </c>
    </row>
    <row r="533">
      <c r="A533" s="22" t="n">
        <v>201810</v>
      </c>
      <c r="B533" s="22" t="inlineStr">
        <is>
          <t>POS</t>
        </is>
      </c>
      <c r="C533" s="22" t="inlineStr">
        <is>
          <t>Game &amp; Đồ chơi</t>
        </is>
      </c>
      <c r="D533" s="22" t="n">
        <v>11323.14</v>
      </c>
      <c r="E533" s="22" t="n">
        <v>386.8</v>
      </c>
      <c r="F533" s="22" t="n">
        <v>357</v>
      </c>
    </row>
    <row r="534">
      <c r="A534" s="22" t="n">
        <v>201810</v>
      </c>
      <c r="B534" s="22" t="inlineStr">
        <is>
          <t>POS</t>
        </is>
      </c>
      <c r="C534" s="22" t="inlineStr">
        <is>
          <t>Gia dụng</t>
        </is>
      </c>
      <c r="D534" s="22" t="n">
        <v>159618.21</v>
      </c>
      <c r="E534" s="22" t="n">
        <v>284.97</v>
      </c>
      <c r="F534" s="22" t="n">
        <v>304</v>
      </c>
    </row>
    <row r="535">
      <c r="A535" s="22" t="n">
        <v>201810</v>
      </c>
      <c r="B535" s="22" t="inlineStr">
        <is>
          <t>POS</t>
        </is>
      </c>
      <c r="C535" s="22" t="inlineStr">
        <is>
          <t>Nhạc, phim, sách nói</t>
        </is>
      </c>
      <c r="D535" s="22" t="n">
        <v>57945.78</v>
      </c>
      <c r="E535" s="22" t="n">
        <v>1149.95</v>
      </c>
      <c r="F535" s="22" t="n">
        <v>506</v>
      </c>
    </row>
    <row r="536">
      <c r="A536" s="22" t="n">
        <v>201810</v>
      </c>
      <c r="B536" s="22" t="inlineStr">
        <is>
          <t>POS</t>
        </is>
      </c>
      <c r="C536" s="22" t="inlineStr">
        <is>
          <t>TV &amp; Video</t>
        </is>
      </c>
      <c r="D536" s="22" t="n">
        <v>87473.89</v>
      </c>
      <c r="E536" s="22" t="n">
        <v>2399.2</v>
      </c>
      <c r="F536" s="22" t="n">
        <v>176</v>
      </c>
    </row>
    <row r="537">
      <c r="A537" s="22" t="n">
        <v>201811</v>
      </c>
      <c r="B537" s="22" t="inlineStr">
        <is>
          <t>ONLINE</t>
        </is>
      </c>
      <c r="C537" s="22" t="inlineStr">
        <is>
          <t>Âm thanh</t>
        </is>
      </c>
      <c r="D537" s="22" t="n">
        <v>11559.41</v>
      </c>
      <c r="E537" s="22" t="n">
        <v>0</v>
      </c>
      <c r="F537" s="22" t="n">
        <v>103</v>
      </c>
    </row>
    <row r="538">
      <c r="A538" s="22" t="n">
        <v>201811</v>
      </c>
      <c r="B538" s="22" t="inlineStr">
        <is>
          <t>ONLINE</t>
        </is>
      </c>
      <c r="C538" s="22" t="inlineStr">
        <is>
          <t>Máy ảnh</t>
        </is>
      </c>
      <c r="D538" s="22" t="n">
        <v>23475.09</v>
      </c>
      <c r="E538" s="22" t="n">
        <v>59.99</v>
      </c>
      <c r="F538" s="22" t="n">
        <v>72</v>
      </c>
    </row>
    <row r="539">
      <c r="A539" s="22" t="n">
        <v>201811</v>
      </c>
      <c r="B539" s="22" t="inlineStr">
        <is>
          <t>ONLINE</t>
        </is>
      </c>
      <c r="C539" s="22" t="inlineStr">
        <is>
          <t>Điện thoại</t>
        </is>
      </c>
      <c r="D539" s="22" t="n">
        <v>29666.95</v>
      </c>
      <c r="E539" s="22" t="n">
        <v>348.44</v>
      </c>
      <c r="F539" s="22" t="n">
        <v>182</v>
      </c>
    </row>
    <row r="540">
      <c r="A540" s="22" t="n">
        <v>201811</v>
      </c>
      <c r="B540" s="22" t="inlineStr">
        <is>
          <t>ONLINE</t>
        </is>
      </c>
      <c r="C540" s="22" t="inlineStr">
        <is>
          <t>Máy tính</t>
        </is>
      </c>
      <c r="D540" s="22" t="n">
        <v>88455.24000000001</v>
      </c>
      <c r="E540" s="22" t="n">
        <v>6588.42</v>
      </c>
      <c r="F540" s="22" t="n">
        <v>234</v>
      </c>
    </row>
    <row r="541">
      <c r="A541" s="22" t="n">
        <v>201811</v>
      </c>
      <c r="B541" s="22" t="inlineStr">
        <is>
          <t>ONLINE</t>
        </is>
      </c>
      <c r="C541" s="22" t="inlineStr">
        <is>
          <t>Game &amp; Đồ chơi</t>
        </is>
      </c>
      <c r="D541" s="22" t="n">
        <v>2305.55</v>
      </c>
      <c r="E541" s="22" t="n">
        <v>0</v>
      </c>
      <c r="F541" s="22" t="n">
        <v>91</v>
      </c>
    </row>
    <row r="542">
      <c r="A542" s="22" t="n">
        <v>201811</v>
      </c>
      <c r="B542" s="22" t="inlineStr">
        <is>
          <t>ONLINE</t>
        </is>
      </c>
      <c r="C542" s="22" t="inlineStr">
        <is>
          <t>Gia dụng</t>
        </is>
      </c>
      <c r="D542" s="22" t="n">
        <v>76232.09</v>
      </c>
      <c r="E542" s="22" t="n">
        <v>0</v>
      </c>
      <c r="F542" s="22" t="n">
        <v>84</v>
      </c>
    </row>
    <row r="543">
      <c r="A543" s="22" t="n">
        <v>201811</v>
      </c>
      <c r="B543" s="22" t="inlineStr">
        <is>
          <t>ONLINE</t>
        </is>
      </c>
      <c r="C543" s="22" t="inlineStr">
        <is>
          <t>Nhạc, phim, sách nói</t>
        </is>
      </c>
      <c r="D543" s="22" t="n">
        <v>12610.36</v>
      </c>
      <c r="E543" s="22" t="n">
        <v>1015.93</v>
      </c>
      <c r="F543" s="22" t="n">
        <v>148</v>
      </c>
    </row>
    <row r="544">
      <c r="A544" s="22" t="n">
        <v>201811</v>
      </c>
      <c r="B544" s="22" t="inlineStr">
        <is>
          <t>ONLINE</t>
        </is>
      </c>
      <c r="C544" s="22" t="inlineStr">
        <is>
          <t>TV &amp; Video</t>
        </is>
      </c>
      <c r="D544" s="22" t="n">
        <v>4434.86</v>
      </c>
      <c r="E544" s="22" t="n">
        <v>119.99</v>
      </c>
      <c r="F544" s="22" t="n">
        <v>18</v>
      </c>
    </row>
    <row r="545">
      <c r="A545" s="22" t="n">
        <v>201811</v>
      </c>
      <c r="B545" s="22" t="inlineStr">
        <is>
          <t>POS</t>
        </is>
      </c>
      <c r="C545" s="22" t="inlineStr">
        <is>
          <t>Âm thanh</t>
        </is>
      </c>
      <c r="D545" s="22" t="n">
        <v>62679.27</v>
      </c>
      <c r="E545" s="22" t="n">
        <v>1031.86</v>
      </c>
      <c r="F545" s="22" t="n">
        <v>455</v>
      </c>
    </row>
    <row r="546">
      <c r="A546" s="22" t="n">
        <v>201811</v>
      </c>
      <c r="B546" s="22" t="inlineStr">
        <is>
          <t>POS</t>
        </is>
      </c>
      <c r="C546" s="22" t="inlineStr">
        <is>
          <t>Máy ảnh</t>
        </is>
      </c>
      <c r="D546" s="22" t="n">
        <v>140662.27</v>
      </c>
      <c r="E546" s="22" t="n">
        <v>10798.2</v>
      </c>
      <c r="F546" s="22" t="n">
        <v>329</v>
      </c>
    </row>
    <row r="547">
      <c r="A547" s="22" t="n">
        <v>201811</v>
      </c>
      <c r="B547" s="22" t="inlineStr">
        <is>
          <t>POS</t>
        </is>
      </c>
      <c r="C547" s="22" t="inlineStr">
        <is>
          <t>Điện thoại</t>
        </is>
      </c>
      <c r="D547" s="22" t="n">
        <v>113587.63</v>
      </c>
      <c r="E547" s="22" t="n">
        <v>2054.66</v>
      </c>
      <c r="F547" s="22" t="n">
        <v>661</v>
      </c>
    </row>
    <row r="548">
      <c r="A548" s="22" t="n">
        <v>201811</v>
      </c>
      <c r="B548" s="22" t="inlineStr">
        <is>
          <t>POS</t>
        </is>
      </c>
      <c r="C548" s="22" t="inlineStr">
        <is>
          <t>Máy tính</t>
        </is>
      </c>
      <c r="D548" s="22" t="n">
        <v>402199.72</v>
      </c>
      <c r="E548" s="22" t="n">
        <v>15803</v>
      </c>
      <c r="F548" s="22" t="n">
        <v>827</v>
      </c>
    </row>
    <row r="549">
      <c r="A549" s="22" t="n">
        <v>201811</v>
      </c>
      <c r="B549" s="22" t="inlineStr">
        <is>
          <t>POS</t>
        </is>
      </c>
      <c r="C549" s="22" t="inlineStr">
        <is>
          <t>Game &amp; Đồ chơi</t>
        </is>
      </c>
      <c r="D549" s="22" t="n">
        <v>13196.2</v>
      </c>
      <c r="E549" s="22" t="n">
        <v>172</v>
      </c>
      <c r="F549" s="22" t="n">
        <v>444</v>
      </c>
    </row>
    <row r="550">
      <c r="A550" s="22" t="n">
        <v>201811</v>
      </c>
      <c r="B550" s="22" t="inlineStr">
        <is>
          <t>POS</t>
        </is>
      </c>
      <c r="C550" s="22" t="inlineStr">
        <is>
          <t>Gia dụng</t>
        </is>
      </c>
      <c r="D550" s="22" t="n">
        <v>266370.73</v>
      </c>
      <c r="E550" s="22" t="n">
        <v>564.96</v>
      </c>
      <c r="F550" s="22" t="n">
        <v>356</v>
      </c>
    </row>
    <row r="551">
      <c r="A551" s="22" t="n">
        <v>201811</v>
      </c>
      <c r="B551" s="22" t="inlineStr">
        <is>
          <t>POS</t>
        </is>
      </c>
      <c r="C551" s="22" t="inlineStr">
        <is>
          <t>Nhạc, phim, sách nói</t>
        </is>
      </c>
      <c r="D551" s="22" t="n">
        <v>52092.62</v>
      </c>
      <c r="E551" s="22" t="n">
        <v>673.25</v>
      </c>
      <c r="F551" s="22" t="n">
        <v>445</v>
      </c>
    </row>
    <row r="552">
      <c r="A552" s="22" t="n">
        <v>201811</v>
      </c>
      <c r="B552" s="22" t="inlineStr">
        <is>
          <t>POS</t>
        </is>
      </c>
      <c r="C552" s="22" t="inlineStr">
        <is>
          <t>TV &amp; Video</t>
        </is>
      </c>
      <c r="D552" s="22" t="n">
        <v>88208.56</v>
      </c>
      <c r="E552" s="22" t="n">
        <v>588.97</v>
      </c>
      <c r="F552" s="22" t="n">
        <v>143</v>
      </c>
    </row>
    <row r="553">
      <c r="A553" s="22" t="n">
        <v>201812</v>
      </c>
      <c r="B553" s="22" t="inlineStr">
        <is>
          <t>ONLINE</t>
        </is>
      </c>
      <c r="C553" s="22" t="inlineStr">
        <is>
          <t>Âm thanh</t>
        </is>
      </c>
      <c r="D553" s="22" t="n">
        <v>26487.79</v>
      </c>
      <c r="E553" s="22" t="n">
        <v>114.58</v>
      </c>
      <c r="F553" s="22" t="n">
        <v>193</v>
      </c>
    </row>
    <row r="554">
      <c r="A554" s="22" t="n">
        <v>201812</v>
      </c>
      <c r="B554" s="22" t="inlineStr">
        <is>
          <t>ONLINE</t>
        </is>
      </c>
      <c r="C554" s="22" t="inlineStr">
        <is>
          <t>Máy ảnh</t>
        </is>
      </c>
      <c r="D554" s="22" t="n">
        <v>62831.03</v>
      </c>
      <c r="E554" s="22" t="n">
        <v>0</v>
      </c>
      <c r="F554" s="22" t="n">
        <v>181</v>
      </c>
    </row>
    <row r="555">
      <c r="A555" s="22" t="n">
        <v>201812</v>
      </c>
      <c r="B555" s="22" t="inlineStr">
        <is>
          <t>ONLINE</t>
        </is>
      </c>
      <c r="C555" s="22" t="inlineStr">
        <is>
          <t>Điện thoại</t>
        </is>
      </c>
      <c r="D555" s="22" t="n">
        <v>52158.17</v>
      </c>
      <c r="E555" s="22" t="n">
        <v>1571.72</v>
      </c>
      <c r="F555" s="22" t="n">
        <v>256</v>
      </c>
    </row>
    <row r="556">
      <c r="A556" s="22" t="n">
        <v>201812</v>
      </c>
      <c r="B556" s="22" t="inlineStr">
        <is>
          <t>ONLINE</t>
        </is>
      </c>
      <c r="C556" s="22" t="inlineStr">
        <is>
          <t>Máy tính</t>
        </is>
      </c>
      <c r="D556" s="22" t="n">
        <v>178328.72</v>
      </c>
      <c r="E556" s="22" t="n">
        <v>2344.53</v>
      </c>
      <c r="F556" s="22" t="n">
        <v>430</v>
      </c>
    </row>
    <row r="557">
      <c r="A557" s="22" t="n">
        <v>201812</v>
      </c>
      <c r="B557" s="22" t="inlineStr">
        <is>
          <t>ONLINE</t>
        </is>
      </c>
      <c r="C557" s="22" t="inlineStr">
        <is>
          <t>Game &amp; Đồ chơi</t>
        </is>
      </c>
      <c r="D557" s="22" t="n">
        <v>5223.87</v>
      </c>
      <c r="E557" s="22" t="n">
        <v>5.39</v>
      </c>
      <c r="F557" s="22" t="n">
        <v>183</v>
      </c>
    </row>
    <row r="558">
      <c r="A558" s="22" t="n">
        <v>201812</v>
      </c>
      <c r="B558" s="22" t="inlineStr">
        <is>
          <t>ONLINE</t>
        </is>
      </c>
      <c r="C558" s="22" t="inlineStr">
        <is>
          <t>Gia dụng</t>
        </is>
      </c>
      <c r="D558" s="22" t="n">
        <v>82991.48</v>
      </c>
      <c r="E558" s="22" t="n">
        <v>332.46</v>
      </c>
      <c r="F558" s="22" t="n">
        <v>136</v>
      </c>
    </row>
    <row r="559">
      <c r="A559" s="22" t="n">
        <v>201812</v>
      </c>
      <c r="B559" s="22" t="inlineStr">
        <is>
          <t>ONLINE</t>
        </is>
      </c>
      <c r="C559" s="22" t="inlineStr">
        <is>
          <t>Nhạc, phim, sách nói</t>
        </is>
      </c>
      <c r="D559" s="22" t="n">
        <v>16793.3</v>
      </c>
      <c r="E559" s="22" t="n">
        <v>249.89</v>
      </c>
      <c r="F559" s="22" t="n">
        <v>168</v>
      </c>
    </row>
    <row r="560">
      <c r="A560" s="22" t="n">
        <v>201812</v>
      </c>
      <c r="B560" s="22" t="inlineStr">
        <is>
          <t>ONLINE</t>
        </is>
      </c>
      <c r="C560" s="22" t="inlineStr">
        <is>
          <t>TV &amp; Video</t>
        </is>
      </c>
      <c r="D560" s="22" t="n">
        <v>38846.74</v>
      </c>
      <c r="E560" s="22" t="n">
        <v>0</v>
      </c>
      <c r="F560" s="22" t="n">
        <v>96</v>
      </c>
    </row>
    <row r="561">
      <c r="A561" s="22" t="n">
        <v>201812</v>
      </c>
      <c r="B561" s="22" t="inlineStr">
        <is>
          <t>POS</t>
        </is>
      </c>
      <c r="C561" s="22" t="inlineStr">
        <is>
          <t>Âm thanh</t>
        </is>
      </c>
      <c r="D561" s="22" t="n">
        <v>103097.97</v>
      </c>
      <c r="E561" s="22" t="n">
        <v>1181.69</v>
      </c>
      <c r="F561" s="22" t="n">
        <v>768</v>
      </c>
    </row>
    <row r="562">
      <c r="A562" s="22" t="n">
        <v>201812</v>
      </c>
      <c r="B562" s="22" t="inlineStr">
        <is>
          <t>POS</t>
        </is>
      </c>
      <c r="C562" s="22" t="inlineStr">
        <is>
          <t>Máy ảnh</t>
        </is>
      </c>
      <c r="D562" s="22" t="n">
        <v>178473.1</v>
      </c>
      <c r="E562" s="22" t="n">
        <v>8804.610000000001</v>
      </c>
      <c r="F562" s="22" t="n">
        <v>482</v>
      </c>
    </row>
    <row r="563">
      <c r="A563" s="22" t="n">
        <v>201812</v>
      </c>
      <c r="B563" s="22" t="inlineStr">
        <is>
          <t>POS</t>
        </is>
      </c>
      <c r="C563" s="22" t="inlineStr">
        <is>
          <t>Điện thoại</t>
        </is>
      </c>
      <c r="D563" s="22" t="n">
        <v>164166.56</v>
      </c>
      <c r="E563" s="22" t="n">
        <v>5594.7</v>
      </c>
      <c r="F563" s="22" t="n">
        <v>956</v>
      </c>
    </row>
    <row r="564">
      <c r="A564" s="22" t="n">
        <v>201812</v>
      </c>
      <c r="B564" s="22" t="inlineStr">
        <is>
          <t>POS</t>
        </is>
      </c>
      <c r="C564" s="22" t="inlineStr">
        <is>
          <t>Máy tính</t>
        </is>
      </c>
      <c r="D564" s="22" t="n">
        <v>547112.54</v>
      </c>
      <c r="E564" s="22" t="n">
        <v>9714</v>
      </c>
      <c r="F564" s="22" t="n">
        <v>1388</v>
      </c>
    </row>
    <row r="565">
      <c r="A565" s="22" t="n">
        <v>201812</v>
      </c>
      <c r="B565" s="22" t="inlineStr">
        <is>
          <t>POS</t>
        </is>
      </c>
      <c r="C565" s="22" t="inlineStr">
        <is>
          <t>Game &amp; Đồ chơi</t>
        </is>
      </c>
      <c r="D565" s="22" t="n">
        <v>24477.36</v>
      </c>
      <c r="E565" s="22" t="n">
        <v>300.43</v>
      </c>
      <c r="F565" s="22" t="n">
        <v>720</v>
      </c>
    </row>
    <row r="566">
      <c r="A566" s="22" t="n">
        <v>201812</v>
      </c>
      <c r="B566" s="22" t="inlineStr">
        <is>
          <t>POS</t>
        </is>
      </c>
      <c r="C566" s="22" t="inlineStr">
        <is>
          <t>Gia dụng</t>
        </is>
      </c>
      <c r="D566" s="22" t="n">
        <v>272163.46</v>
      </c>
      <c r="E566" s="22" t="n">
        <v>14454.63</v>
      </c>
      <c r="F566" s="22" t="n">
        <v>577</v>
      </c>
    </row>
    <row r="567">
      <c r="A567" s="22" t="n">
        <v>201812</v>
      </c>
      <c r="B567" s="22" t="inlineStr">
        <is>
          <t>POS</t>
        </is>
      </c>
      <c r="C567" s="22" t="inlineStr">
        <is>
          <t>Nhạc, phim, sách nói</t>
        </is>
      </c>
      <c r="D567" s="22" t="n">
        <v>93586.27</v>
      </c>
      <c r="E567" s="22" t="n">
        <v>2559.52</v>
      </c>
      <c r="F567" s="22" t="n">
        <v>873</v>
      </c>
    </row>
    <row r="568">
      <c r="A568" s="22" t="n">
        <v>201812</v>
      </c>
      <c r="B568" s="22" t="inlineStr">
        <is>
          <t>POS</t>
        </is>
      </c>
      <c r="C568" s="22" t="inlineStr">
        <is>
          <t>TV &amp; Video</t>
        </is>
      </c>
      <c r="D568" s="22" t="n">
        <v>147915.41</v>
      </c>
      <c r="E568" s="22" t="n">
        <v>109.65</v>
      </c>
      <c r="F568" s="22" t="n">
        <v>280</v>
      </c>
    </row>
    <row r="569">
      <c r="A569" s="22" t="n">
        <v>201901</v>
      </c>
      <c r="B569" s="22" t="inlineStr">
        <is>
          <t>ONLINE</t>
        </is>
      </c>
      <c r="C569" s="22" t="inlineStr">
        <is>
          <t>Âm thanh</t>
        </is>
      </c>
      <c r="D569" s="22" t="n">
        <v>21907.3</v>
      </c>
      <c r="E569" s="22" t="n">
        <v>1881.16</v>
      </c>
      <c r="F569" s="22" t="n">
        <v>171</v>
      </c>
    </row>
    <row r="570">
      <c r="A570" s="22" t="n">
        <v>201901</v>
      </c>
      <c r="B570" s="22" t="inlineStr">
        <is>
          <t>ONLINE</t>
        </is>
      </c>
      <c r="C570" s="22" t="inlineStr">
        <is>
          <t>Máy ảnh</t>
        </is>
      </c>
      <c r="D570" s="22" t="n">
        <v>28931.51</v>
      </c>
      <c r="E570" s="22" t="n">
        <v>136</v>
      </c>
      <c r="F570" s="22" t="n">
        <v>93</v>
      </c>
    </row>
    <row r="571">
      <c r="A571" s="22" t="n">
        <v>201901</v>
      </c>
      <c r="B571" s="22" t="inlineStr">
        <is>
          <t>ONLINE</t>
        </is>
      </c>
      <c r="C571" s="22" t="inlineStr">
        <is>
          <t>Điện thoại</t>
        </is>
      </c>
      <c r="D571" s="22" t="n">
        <v>51380.99</v>
      </c>
      <c r="E571" s="22" t="n">
        <v>1128.4</v>
      </c>
      <c r="F571" s="22" t="n">
        <v>277</v>
      </c>
    </row>
    <row r="572">
      <c r="A572" s="22" t="n">
        <v>201901</v>
      </c>
      <c r="B572" s="22" t="inlineStr">
        <is>
          <t>ONLINE</t>
        </is>
      </c>
      <c r="C572" s="22" t="inlineStr">
        <is>
          <t>Máy tính</t>
        </is>
      </c>
      <c r="D572" s="22" t="n">
        <v>119318.65</v>
      </c>
      <c r="E572" s="22" t="n">
        <v>6692.41</v>
      </c>
      <c r="F572" s="22" t="n">
        <v>253</v>
      </c>
    </row>
    <row r="573">
      <c r="A573" s="22" t="n">
        <v>201901</v>
      </c>
      <c r="B573" s="22" t="inlineStr">
        <is>
          <t>ONLINE</t>
        </is>
      </c>
      <c r="C573" s="22" t="inlineStr">
        <is>
          <t>Game &amp; Đồ chơi</t>
        </is>
      </c>
      <c r="D573" s="22" t="n">
        <v>4540.33</v>
      </c>
      <c r="E573" s="22" t="n">
        <v>123.56</v>
      </c>
      <c r="F573" s="22" t="n">
        <v>161</v>
      </c>
    </row>
    <row r="574">
      <c r="A574" s="22" t="n">
        <v>201901</v>
      </c>
      <c r="B574" s="22" t="inlineStr">
        <is>
          <t>ONLINE</t>
        </is>
      </c>
      <c r="C574" s="22" t="inlineStr">
        <is>
          <t>Gia dụng</t>
        </is>
      </c>
      <c r="D574" s="22" t="n">
        <v>75116.34</v>
      </c>
      <c r="E574" s="22" t="n">
        <v>0</v>
      </c>
      <c r="F574" s="22" t="n">
        <v>144</v>
      </c>
    </row>
    <row r="575">
      <c r="A575" s="22" t="n">
        <v>201901</v>
      </c>
      <c r="B575" s="22" t="inlineStr">
        <is>
          <t>ONLINE</t>
        </is>
      </c>
      <c r="C575" s="22" t="inlineStr">
        <is>
          <t>Nhạc, phim, sách nói</t>
        </is>
      </c>
      <c r="D575" s="22" t="n">
        <v>17611.23</v>
      </c>
      <c r="E575" s="22" t="n">
        <v>58.44</v>
      </c>
      <c r="F575" s="22" t="n">
        <v>145</v>
      </c>
    </row>
    <row r="576">
      <c r="A576" s="22" t="n">
        <v>201901</v>
      </c>
      <c r="B576" s="22" t="inlineStr">
        <is>
          <t>ONLINE</t>
        </is>
      </c>
      <c r="C576" s="22" t="inlineStr">
        <is>
          <t>TV &amp; Video</t>
        </is>
      </c>
      <c r="D576" s="22" t="n">
        <v>24519.69</v>
      </c>
      <c r="E576" s="22" t="n">
        <v>0</v>
      </c>
      <c r="F576" s="22" t="n">
        <v>52</v>
      </c>
    </row>
    <row r="577">
      <c r="A577" s="22" t="n">
        <v>201901</v>
      </c>
      <c r="B577" s="22" t="inlineStr">
        <is>
          <t>POS</t>
        </is>
      </c>
      <c r="C577" s="22" t="inlineStr">
        <is>
          <t>Âm thanh</t>
        </is>
      </c>
      <c r="D577" s="22" t="n">
        <v>97223.46000000001</v>
      </c>
      <c r="E577" s="22" t="n">
        <v>1040.32</v>
      </c>
      <c r="F577" s="22" t="n">
        <v>684</v>
      </c>
    </row>
    <row r="578">
      <c r="A578" s="22" t="n">
        <v>201901</v>
      </c>
      <c r="B578" s="22" t="inlineStr">
        <is>
          <t>POS</t>
        </is>
      </c>
      <c r="C578" s="22" t="inlineStr">
        <is>
          <t>Máy ảnh</t>
        </is>
      </c>
      <c r="D578" s="22" t="n">
        <v>162284.19</v>
      </c>
      <c r="E578" s="22" t="n">
        <v>3557.48</v>
      </c>
      <c r="F578" s="22" t="n">
        <v>483</v>
      </c>
    </row>
    <row r="579">
      <c r="A579" s="22" t="n">
        <v>201901</v>
      </c>
      <c r="B579" s="22" t="inlineStr">
        <is>
          <t>POS</t>
        </is>
      </c>
      <c r="C579" s="22" t="inlineStr">
        <is>
          <t>Điện thoại</t>
        </is>
      </c>
      <c r="D579" s="22" t="n">
        <v>195314.35</v>
      </c>
      <c r="E579" s="22" t="n">
        <v>3735.35</v>
      </c>
      <c r="F579" s="22" t="n">
        <v>942</v>
      </c>
    </row>
    <row r="580">
      <c r="A580" s="22" t="n">
        <v>201901</v>
      </c>
      <c r="B580" s="22" t="inlineStr">
        <is>
          <t>POS</t>
        </is>
      </c>
      <c r="C580" s="22" t="inlineStr">
        <is>
          <t>Máy tính</t>
        </is>
      </c>
      <c r="D580" s="22" t="n">
        <v>564796.22</v>
      </c>
      <c r="E580" s="22" t="n">
        <v>11494.6</v>
      </c>
      <c r="F580" s="22" t="n">
        <v>1331</v>
      </c>
    </row>
    <row r="581">
      <c r="A581" s="22" t="n">
        <v>201901</v>
      </c>
      <c r="B581" s="22" t="inlineStr">
        <is>
          <t>POS</t>
        </is>
      </c>
      <c r="C581" s="22" t="inlineStr">
        <is>
          <t>Game &amp; Đồ chơi</t>
        </is>
      </c>
      <c r="D581" s="22" t="n">
        <v>17973.15</v>
      </c>
      <c r="E581" s="22" t="n">
        <v>594.3</v>
      </c>
      <c r="F581" s="22" t="n">
        <v>593</v>
      </c>
    </row>
    <row r="582">
      <c r="A582" s="22" t="n">
        <v>201901</v>
      </c>
      <c r="B582" s="22" t="inlineStr">
        <is>
          <t>POS</t>
        </is>
      </c>
      <c r="C582" s="22" t="inlineStr">
        <is>
          <t>Gia dụng</t>
        </is>
      </c>
      <c r="D582" s="22" t="n">
        <v>264561.47</v>
      </c>
      <c r="E582" s="22" t="n">
        <v>9030.42</v>
      </c>
      <c r="F582" s="22" t="n">
        <v>472</v>
      </c>
    </row>
    <row r="583">
      <c r="A583" s="22" t="n">
        <v>201901</v>
      </c>
      <c r="B583" s="22" t="inlineStr">
        <is>
          <t>POS</t>
        </is>
      </c>
      <c r="C583" s="22" t="inlineStr">
        <is>
          <t>Nhạc, phim, sách nói</t>
        </is>
      </c>
      <c r="D583" s="22" t="n">
        <v>86262.52</v>
      </c>
      <c r="E583" s="22" t="n">
        <v>4472.65</v>
      </c>
      <c r="F583" s="22" t="n">
        <v>730</v>
      </c>
    </row>
    <row r="584">
      <c r="A584" s="22" t="n">
        <v>201901</v>
      </c>
      <c r="B584" s="22" t="inlineStr">
        <is>
          <t>POS</t>
        </is>
      </c>
      <c r="C584" s="22" t="inlineStr">
        <is>
          <t>TV &amp; Video</t>
        </is>
      </c>
      <c r="D584" s="22" t="n">
        <v>111557.54</v>
      </c>
      <c r="E584" s="22" t="n">
        <v>1384.98</v>
      </c>
      <c r="F584" s="22" t="n">
        <v>178</v>
      </c>
    </row>
    <row r="585">
      <c r="A585" s="22" t="n">
        <v>201902</v>
      </c>
      <c r="B585" s="22" t="inlineStr">
        <is>
          <t>ONLINE</t>
        </is>
      </c>
      <c r="C585" s="22" t="inlineStr">
        <is>
          <t>Âm thanh</t>
        </is>
      </c>
      <c r="D585" s="22" t="n">
        <v>24710.52</v>
      </c>
      <c r="E585" s="22" t="n">
        <v>293.43</v>
      </c>
      <c r="F585" s="22" t="n">
        <v>183</v>
      </c>
    </row>
    <row r="586">
      <c r="A586" s="22" t="n">
        <v>201902</v>
      </c>
      <c r="B586" s="22" t="inlineStr">
        <is>
          <t>ONLINE</t>
        </is>
      </c>
      <c r="C586" s="22" t="inlineStr">
        <is>
          <t>Máy ảnh</t>
        </is>
      </c>
      <c r="D586" s="22" t="n">
        <v>51108.86</v>
      </c>
      <c r="E586" s="22" t="n">
        <v>0</v>
      </c>
      <c r="F586" s="22" t="n">
        <v>129</v>
      </c>
    </row>
    <row r="587">
      <c r="A587" s="22" t="n">
        <v>201902</v>
      </c>
      <c r="B587" s="22" t="inlineStr">
        <is>
          <t>ONLINE</t>
        </is>
      </c>
      <c r="C587" s="22" t="inlineStr">
        <is>
          <t>Điện thoại</t>
        </is>
      </c>
      <c r="D587" s="22" t="n">
        <v>57178.85</v>
      </c>
      <c r="E587" s="22" t="n">
        <v>252.7</v>
      </c>
      <c r="F587" s="22" t="n">
        <v>287</v>
      </c>
    </row>
    <row r="588">
      <c r="A588" s="22" t="n">
        <v>201902</v>
      </c>
      <c r="B588" s="22" t="inlineStr">
        <is>
          <t>ONLINE</t>
        </is>
      </c>
      <c r="C588" s="22" t="inlineStr">
        <is>
          <t>Máy tính</t>
        </is>
      </c>
      <c r="D588" s="22" t="n">
        <v>197160.09</v>
      </c>
      <c r="E588" s="22" t="n">
        <v>2567.6</v>
      </c>
      <c r="F588" s="22" t="n">
        <v>381</v>
      </c>
    </row>
    <row r="589">
      <c r="A589" s="22" t="n">
        <v>201902</v>
      </c>
      <c r="B589" s="22" t="inlineStr">
        <is>
          <t>ONLINE</t>
        </is>
      </c>
      <c r="C589" s="22" t="inlineStr">
        <is>
          <t>Game &amp; Đồ chơi</t>
        </is>
      </c>
      <c r="D589" s="22" t="n">
        <v>5965.47</v>
      </c>
      <c r="E589" s="22" t="n">
        <v>50.97</v>
      </c>
      <c r="F589" s="22" t="n">
        <v>202</v>
      </c>
    </row>
    <row r="590">
      <c r="A590" s="22" t="n">
        <v>201902</v>
      </c>
      <c r="B590" s="22" t="inlineStr">
        <is>
          <t>ONLINE</t>
        </is>
      </c>
      <c r="C590" s="22" t="inlineStr">
        <is>
          <t>Gia dụng</t>
        </is>
      </c>
      <c r="D590" s="22" t="n">
        <v>80419.49000000001</v>
      </c>
      <c r="E590" s="22" t="n">
        <v>1401.25</v>
      </c>
      <c r="F590" s="22" t="n">
        <v>149</v>
      </c>
    </row>
    <row r="591">
      <c r="A591" s="22" t="n">
        <v>201902</v>
      </c>
      <c r="B591" s="22" t="inlineStr">
        <is>
          <t>ONLINE</t>
        </is>
      </c>
      <c r="C591" s="22" t="inlineStr">
        <is>
          <t>Nhạc, phim, sách nói</t>
        </is>
      </c>
      <c r="D591" s="22" t="n">
        <v>16487.8</v>
      </c>
      <c r="E591" s="22" t="n">
        <v>438</v>
      </c>
      <c r="F591" s="22" t="n">
        <v>165</v>
      </c>
    </row>
    <row r="592">
      <c r="A592" s="22" t="n">
        <v>201902</v>
      </c>
      <c r="B592" s="22" t="inlineStr">
        <is>
          <t>ONLINE</t>
        </is>
      </c>
      <c r="C592" s="22" t="inlineStr">
        <is>
          <t>TV &amp; Video</t>
        </is>
      </c>
      <c r="D592" s="22" t="n">
        <v>39211.05</v>
      </c>
      <c r="E592" s="22" t="n">
        <v>0</v>
      </c>
      <c r="F592" s="22" t="n">
        <v>80</v>
      </c>
    </row>
    <row r="593">
      <c r="A593" s="22" t="n">
        <v>201902</v>
      </c>
      <c r="B593" s="22" t="inlineStr">
        <is>
          <t>POS</t>
        </is>
      </c>
      <c r="C593" s="22" t="inlineStr">
        <is>
          <t>Âm thanh</t>
        </is>
      </c>
      <c r="D593" s="22" t="n">
        <v>94929.64999999999</v>
      </c>
      <c r="E593" s="22" t="n">
        <v>2764.43</v>
      </c>
      <c r="F593" s="22" t="n">
        <v>746</v>
      </c>
    </row>
    <row r="594">
      <c r="A594" s="22" t="n">
        <v>201902</v>
      </c>
      <c r="B594" s="22" t="inlineStr">
        <is>
          <t>POS</t>
        </is>
      </c>
      <c r="C594" s="22" t="inlineStr">
        <is>
          <t>Máy ảnh</t>
        </is>
      </c>
      <c r="D594" s="22" t="n">
        <v>155974.5</v>
      </c>
      <c r="E594" s="22" t="n">
        <v>9209.92</v>
      </c>
      <c r="F594" s="22" t="n">
        <v>453</v>
      </c>
    </row>
    <row r="595">
      <c r="A595" s="22" t="n">
        <v>201902</v>
      </c>
      <c r="B595" s="22" t="inlineStr">
        <is>
          <t>POS</t>
        </is>
      </c>
      <c r="C595" s="22" t="inlineStr">
        <is>
          <t>Điện thoại</t>
        </is>
      </c>
      <c r="D595" s="22" t="n">
        <v>195372.41</v>
      </c>
      <c r="E595" s="22" t="n">
        <v>6960.58</v>
      </c>
      <c r="F595" s="22" t="n">
        <v>986</v>
      </c>
    </row>
    <row r="596">
      <c r="A596" s="22" t="n">
        <v>201902</v>
      </c>
      <c r="B596" s="22" t="inlineStr">
        <is>
          <t>POS</t>
        </is>
      </c>
      <c r="C596" s="22" t="inlineStr">
        <is>
          <t>Máy tính</t>
        </is>
      </c>
      <c r="D596" s="22" t="n">
        <v>616383.54</v>
      </c>
      <c r="E596" s="22" t="n">
        <v>6269.5</v>
      </c>
      <c r="F596" s="22" t="n">
        <v>1365</v>
      </c>
    </row>
    <row r="597">
      <c r="A597" s="22" t="n">
        <v>201902</v>
      </c>
      <c r="B597" s="22" t="inlineStr">
        <is>
          <t>POS</t>
        </is>
      </c>
      <c r="C597" s="22" t="inlineStr">
        <is>
          <t>Game &amp; Đồ chơi</t>
        </is>
      </c>
      <c r="D597" s="22" t="n">
        <v>21639.43</v>
      </c>
      <c r="E597" s="22" t="n">
        <v>147.99</v>
      </c>
      <c r="F597" s="22" t="n">
        <v>656</v>
      </c>
    </row>
    <row r="598">
      <c r="A598" s="22" t="n">
        <v>201902</v>
      </c>
      <c r="B598" s="22" t="inlineStr">
        <is>
          <t>POS</t>
        </is>
      </c>
      <c r="C598" s="22" t="inlineStr">
        <is>
          <t>Gia dụng</t>
        </is>
      </c>
      <c r="D598" s="22" t="n">
        <v>264225.41</v>
      </c>
      <c r="E598" s="22" t="n">
        <v>19.99</v>
      </c>
      <c r="F598" s="22" t="n">
        <v>438</v>
      </c>
    </row>
    <row r="599">
      <c r="A599" s="22" t="n">
        <v>201902</v>
      </c>
      <c r="B599" s="22" t="inlineStr">
        <is>
          <t>POS</t>
        </is>
      </c>
      <c r="C599" s="22" t="inlineStr">
        <is>
          <t>Nhạc, phim, sách nói</t>
        </is>
      </c>
      <c r="D599" s="22" t="n">
        <v>75319.07000000001</v>
      </c>
      <c r="E599" s="22" t="n">
        <v>2335.83</v>
      </c>
      <c r="F599" s="22" t="n">
        <v>734</v>
      </c>
    </row>
    <row r="600">
      <c r="A600" s="22" t="n">
        <v>201902</v>
      </c>
      <c r="B600" s="22" t="inlineStr">
        <is>
          <t>POS</t>
        </is>
      </c>
      <c r="C600" s="22" t="inlineStr">
        <is>
          <t>TV &amp; Video</t>
        </is>
      </c>
      <c r="D600" s="22" t="n">
        <v>141194.73</v>
      </c>
      <c r="E600" s="22" t="n">
        <v>0</v>
      </c>
      <c r="F600" s="22" t="n">
        <v>255</v>
      </c>
    </row>
    <row r="601">
      <c r="A601" s="22" t="n">
        <v>201903</v>
      </c>
      <c r="B601" s="22" t="inlineStr">
        <is>
          <t>ONLINE</t>
        </is>
      </c>
      <c r="C601" s="22" t="inlineStr">
        <is>
          <t>Âm thanh</t>
        </is>
      </c>
      <c r="D601" s="22" t="n">
        <v>12133.28</v>
      </c>
      <c r="E601" s="22" t="n">
        <v>0</v>
      </c>
      <c r="F601" s="22" t="n">
        <v>86</v>
      </c>
    </row>
    <row r="602">
      <c r="A602" s="22" t="n">
        <v>201903</v>
      </c>
      <c r="B602" s="22" t="inlineStr">
        <is>
          <t>ONLINE</t>
        </is>
      </c>
      <c r="C602" s="22" t="inlineStr">
        <is>
          <t>Máy ảnh</t>
        </is>
      </c>
      <c r="D602" s="22" t="n">
        <v>17539.78</v>
      </c>
      <c r="E602" s="22" t="n">
        <v>2654</v>
      </c>
      <c r="F602" s="22" t="n">
        <v>22</v>
      </c>
    </row>
    <row r="603">
      <c r="A603" s="22" t="n">
        <v>201903</v>
      </c>
      <c r="B603" s="22" t="inlineStr">
        <is>
          <t>ONLINE</t>
        </is>
      </c>
      <c r="C603" s="22" t="inlineStr">
        <is>
          <t>Điện thoại</t>
        </is>
      </c>
      <c r="D603" s="22" t="n">
        <v>11856.24</v>
      </c>
      <c r="E603" s="22" t="n">
        <v>79.84999999999999</v>
      </c>
      <c r="F603" s="22" t="n">
        <v>77</v>
      </c>
    </row>
    <row r="604">
      <c r="A604" s="22" t="n">
        <v>201903</v>
      </c>
      <c r="B604" s="22" t="inlineStr">
        <is>
          <t>ONLINE</t>
        </is>
      </c>
      <c r="C604" s="22" t="inlineStr">
        <is>
          <t>Máy tính</t>
        </is>
      </c>
      <c r="D604" s="22" t="n">
        <v>51153.85</v>
      </c>
      <c r="E604" s="22" t="n">
        <v>10495.6</v>
      </c>
      <c r="F604" s="22" t="n">
        <v>125</v>
      </c>
    </row>
    <row r="605">
      <c r="A605" s="22" t="n">
        <v>201903</v>
      </c>
      <c r="B605" s="22" t="inlineStr">
        <is>
          <t>ONLINE</t>
        </is>
      </c>
      <c r="C605" s="22" t="inlineStr">
        <is>
          <t>Game &amp; Đồ chơi</t>
        </is>
      </c>
      <c r="D605" s="22" t="n">
        <v>2003.52</v>
      </c>
      <c r="E605" s="22" t="n">
        <v>119.25</v>
      </c>
      <c r="F605" s="22" t="n">
        <v>96</v>
      </c>
    </row>
    <row r="606">
      <c r="A606" s="22" t="n">
        <v>201903</v>
      </c>
      <c r="B606" s="22" t="inlineStr">
        <is>
          <t>ONLINE</t>
        </is>
      </c>
      <c r="C606" s="22" t="inlineStr">
        <is>
          <t>Gia dụng</t>
        </is>
      </c>
      <c r="D606" s="22" t="n">
        <v>52590.51</v>
      </c>
      <c r="E606" s="22" t="n">
        <v>3278</v>
      </c>
      <c r="F606" s="22" t="n">
        <v>81</v>
      </c>
    </row>
    <row r="607">
      <c r="A607" s="22" t="n">
        <v>201903</v>
      </c>
      <c r="B607" s="22" t="inlineStr">
        <is>
          <t>ONLINE</t>
        </is>
      </c>
      <c r="C607" s="22" t="inlineStr">
        <is>
          <t>Nhạc, phim, sách nói</t>
        </is>
      </c>
      <c r="D607" s="22" t="n">
        <v>11708.63</v>
      </c>
      <c r="E607" s="22" t="n">
        <v>958.86</v>
      </c>
      <c r="F607" s="22" t="n">
        <v>99</v>
      </c>
    </row>
    <row r="608">
      <c r="A608" s="22" t="n">
        <v>201903</v>
      </c>
      <c r="B608" s="22" t="inlineStr">
        <is>
          <t>ONLINE</t>
        </is>
      </c>
      <c r="C608" s="22" t="inlineStr">
        <is>
          <t>TV &amp; Video</t>
        </is>
      </c>
      <c r="D608" s="22" t="n">
        <v>11762.14</v>
      </c>
      <c r="E608" s="22" t="n">
        <v>214.2</v>
      </c>
      <c r="F608" s="22" t="n">
        <v>26</v>
      </c>
    </row>
    <row r="609">
      <c r="A609" s="22" t="n">
        <v>201903</v>
      </c>
      <c r="B609" s="22" t="inlineStr">
        <is>
          <t>POS</t>
        </is>
      </c>
      <c r="C609" s="22" t="inlineStr">
        <is>
          <t>Âm thanh</t>
        </is>
      </c>
      <c r="D609" s="22" t="n">
        <v>39173.96</v>
      </c>
      <c r="E609" s="22" t="n">
        <v>4289.8</v>
      </c>
      <c r="F609" s="22" t="n">
        <v>292</v>
      </c>
    </row>
    <row r="610">
      <c r="A610" s="22" t="n">
        <v>201903</v>
      </c>
      <c r="B610" s="22" t="inlineStr">
        <is>
          <t>POS</t>
        </is>
      </c>
      <c r="C610" s="22" t="inlineStr">
        <is>
          <t>Máy ảnh</t>
        </is>
      </c>
      <c r="D610" s="22" t="n">
        <v>70408.45</v>
      </c>
      <c r="E610" s="22" t="n">
        <v>2009.96</v>
      </c>
      <c r="F610" s="22" t="n">
        <v>206</v>
      </c>
    </row>
    <row r="611">
      <c r="A611" s="22" t="n">
        <v>201903</v>
      </c>
      <c r="B611" s="22" t="inlineStr">
        <is>
          <t>POS</t>
        </is>
      </c>
      <c r="C611" s="22" t="inlineStr">
        <is>
          <t>Điện thoại</t>
        </is>
      </c>
      <c r="D611" s="22" t="n">
        <v>73758.14999999999</v>
      </c>
      <c r="E611" s="22" t="n">
        <v>3673.7</v>
      </c>
      <c r="F611" s="22" t="n">
        <v>342</v>
      </c>
    </row>
    <row r="612">
      <c r="A612" s="22" t="n">
        <v>201903</v>
      </c>
      <c r="B612" s="22" t="inlineStr">
        <is>
          <t>POS</t>
        </is>
      </c>
      <c r="C612" s="22" t="inlineStr">
        <is>
          <t>Máy tính</t>
        </is>
      </c>
      <c r="D612" s="22" t="n">
        <v>239905.55</v>
      </c>
      <c r="E612" s="22" t="n">
        <v>13790.75</v>
      </c>
      <c r="F612" s="22" t="n">
        <v>555</v>
      </c>
    </row>
    <row r="613">
      <c r="A613" s="22" t="n">
        <v>201903</v>
      </c>
      <c r="B613" s="22" t="inlineStr">
        <is>
          <t>POS</t>
        </is>
      </c>
      <c r="C613" s="22" t="inlineStr">
        <is>
          <t>Game &amp; Đồ chơi</t>
        </is>
      </c>
      <c r="D613" s="22" t="n">
        <v>9492.35</v>
      </c>
      <c r="E613" s="22" t="n">
        <v>522.28</v>
      </c>
      <c r="F613" s="22" t="n">
        <v>325</v>
      </c>
    </row>
    <row r="614">
      <c r="A614" s="22" t="n">
        <v>201903</v>
      </c>
      <c r="B614" s="22" t="inlineStr">
        <is>
          <t>POS</t>
        </is>
      </c>
      <c r="C614" s="22" t="inlineStr">
        <is>
          <t>Gia dụng</t>
        </is>
      </c>
      <c r="D614" s="22" t="n">
        <v>139754.67</v>
      </c>
      <c r="E614" s="22" t="n">
        <v>28407.64</v>
      </c>
      <c r="F614" s="22" t="n">
        <v>240</v>
      </c>
    </row>
    <row r="615">
      <c r="A615" s="22" t="n">
        <v>201903</v>
      </c>
      <c r="B615" s="22" t="inlineStr">
        <is>
          <t>POS</t>
        </is>
      </c>
      <c r="C615" s="22" t="inlineStr">
        <is>
          <t>Nhạc, phim, sách nói</t>
        </is>
      </c>
      <c r="D615" s="22" t="n">
        <v>32221.01</v>
      </c>
      <c r="E615" s="22" t="n">
        <v>1518.6</v>
      </c>
      <c r="F615" s="22" t="n">
        <v>340</v>
      </c>
    </row>
    <row r="616">
      <c r="A616" s="22" t="n">
        <v>201903</v>
      </c>
      <c r="B616" s="22" t="inlineStr">
        <is>
          <t>POS</t>
        </is>
      </c>
      <c r="C616" s="22" t="inlineStr">
        <is>
          <t>TV &amp; Video</t>
        </is>
      </c>
      <c r="D616" s="22" t="n">
        <v>41948.74</v>
      </c>
      <c r="E616" s="22" t="n">
        <v>2692.25</v>
      </c>
      <c r="F616" s="22" t="n">
        <v>93</v>
      </c>
    </row>
    <row r="617">
      <c r="A617" s="22" t="n">
        <v>201904</v>
      </c>
      <c r="B617" s="22" t="inlineStr">
        <is>
          <t>ONLINE</t>
        </is>
      </c>
      <c r="C617" s="22" t="inlineStr">
        <is>
          <t>Âm thanh</t>
        </is>
      </c>
      <c r="D617" s="22" t="n">
        <v>539.96</v>
      </c>
      <c r="E617" s="22" t="n">
        <v>205.52</v>
      </c>
      <c r="F617" s="22" t="n">
        <v>4</v>
      </c>
    </row>
    <row r="618">
      <c r="A618" s="22" t="n">
        <v>201904</v>
      </c>
      <c r="B618" s="22" t="inlineStr">
        <is>
          <t>ONLINE</t>
        </is>
      </c>
      <c r="C618" s="22" t="inlineStr">
        <is>
          <t>Máy ảnh</t>
        </is>
      </c>
      <c r="D618" s="22" t="n">
        <v>8038</v>
      </c>
      <c r="E618" s="22" t="n">
        <v>589.5</v>
      </c>
      <c r="F618" s="22" t="n">
        <v>14</v>
      </c>
    </row>
    <row r="619">
      <c r="A619" s="22" t="n">
        <v>201904</v>
      </c>
      <c r="B619" s="22" t="inlineStr">
        <is>
          <t>ONLINE</t>
        </is>
      </c>
      <c r="C619" s="22" t="inlineStr">
        <is>
          <t>Điện thoại</t>
        </is>
      </c>
      <c r="D619" s="22" t="n">
        <v>6334.9</v>
      </c>
      <c r="E619" s="22" t="n">
        <v>0</v>
      </c>
      <c r="F619" s="22" t="n">
        <v>35</v>
      </c>
    </row>
    <row r="620">
      <c r="A620" s="22" t="n">
        <v>201904</v>
      </c>
      <c r="B620" s="22" t="inlineStr">
        <is>
          <t>ONLINE</t>
        </is>
      </c>
      <c r="C620" s="22" t="inlineStr">
        <is>
          <t>Máy tính</t>
        </is>
      </c>
      <c r="D620" s="22" t="n">
        <v>10287.48</v>
      </c>
      <c r="E620" s="22" t="n">
        <v>809.7</v>
      </c>
      <c r="F620" s="22" t="n">
        <v>32</v>
      </c>
    </row>
    <row r="621">
      <c r="A621" s="22" t="n">
        <v>201904</v>
      </c>
      <c r="B621" s="22" t="inlineStr">
        <is>
          <t>ONLINE</t>
        </is>
      </c>
      <c r="C621" s="22" t="inlineStr">
        <is>
          <t>Game &amp; Đồ chơi</t>
        </is>
      </c>
      <c r="D621" s="22" t="n">
        <v>868.67</v>
      </c>
      <c r="E621" s="22" t="n">
        <v>0</v>
      </c>
      <c r="F621" s="22" t="n">
        <v>14</v>
      </c>
    </row>
    <row r="622">
      <c r="A622" s="22" t="n">
        <v>201904</v>
      </c>
      <c r="B622" s="22" t="inlineStr">
        <is>
          <t>ONLINE</t>
        </is>
      </c>
      <c r="C622" s="22" t="inlineStr">
        <is>
          <t>Gia dụng</t>
        </is>
      </c>
      <c r="D622" s="22" t="n">
        <v>815.98</v>
      </c>
      <c r="E622" s="22" t="n">
        <v>0</v>
      </c>
      <c r="F622" s="22" t="n">
        <v>2</v>
      </c>
    </row>
    <row r="623">
      <c r="A623" s="22" t="n">
        <v>201904</v>
      </c>
      <c r="B623" s="22" t="inlineStr">
        <is>
          <t>ONLINE</t>
        </is>
      </c>
      <c r="C623" s="22" t="inlineStr">
        <is>
          <t>Nhạc, phim, sách nói</t>
        </is>
      </c>
      <c r="D623" s="22" t="n">
        <v>565.15</v>
      </c>
      <c r="E623" s="22" t="n">
        <v>465.99</v>
      </c>
      <c r="F623" s="22" t="n">
        <v>8</v>
      </c>
    </row>
    <row r="624">
      <c r="A624" s="22" t="n">
        <v>201904</v>
      </c>
      <c r="B624" s="22" t="inlineStr">
        <is>
          <t>ONLINE</t>
        </is>
      </c>
      <c r="C624" s="22" t="inlineStr">
        <is>
          <t>TV &amp; Video</t>
        </is>
      </c>
      <c r="D624" s="22" t="n">
        <v>1798.98</v>
      </c>
      <c r="E624" s="22" t="n">
        <v>0</v>
      </c>
      <c r="F624" s="22" t="n">
        <v>12</v>
      </c>
    </row>
    <row r="625">
      <c r="A625" s="22" t="n">
        <v>201904</v>
      </c>
      <c r="B625" s="22" t="inlineStr">
        <is>
          <t>POS</t>
        </is>
      </c>
      <c r="C625" s="22" t="inlineStr">
        <is>
          <t>Âm thanh</t>
        </is>
      </c>
      <c r="D625" s="22" t="n">
        <v>5606.88</v>
      </c>
      <c r="E625" s="22" t="n">
        <v>1685.22</v>
      </c>
      <c r="F625" s="22" t="n">
        <v>42</v>
      </c>
    </row>
    <row r="626">
      <c r="A626" s="22" t="n">
        <v>201904</v>
      </c>
      <c r="B626" s="22" t="inlineStr">
        <is>
          <t>POS</t>
        </is>
      </c>
      <c r="C626" s="22" t="inlineStr">
        <is>
          <t>Máy ảnh</t>
        </is>
      </c>
      <c r="D626" s="22" t="n">
        <v>21075.36</v>
      </c>
      <c r="E626" s="22" t="n">
        <v>13.9</v>
      </c>
      <c r="F626" s="22" t="n">
        <v>64</v>
      </c>
    </row>
    <row r="627">
      <c r="A627" s="22" t="n">
        <v>201904</v>
      </c>
      <c r="B627" s="22" t="inlineStr">
        <is>
          <t>POS</t>
        </is>
      </c>
      <c r="C627" s="22" t="inlineStr">
        <is>
          <t>Điện thoại</t>
        </is>
      </c>
      <c r="D627" s="22" t="n">
        <v>20331.25</v>
      </c>
      <c r="E627" s="22" t="n">
        <v>1104</v>
      </c>
      <c r="F627" s="22" t="n">
        <v>82</v>
      </c>
    </row>
    <row r="628">
      <c r="A628" s="22" t="n">
        <v>201904</v>
      </c>
      <c r="B628" s="22" t="inlineStr">
        <is>
          <t>POS</t>
        </is>
      </c>
      <c r="C628" s="22" t="inlineStr">
        <is>
          <t>Máy tính</t>
        </is>
      </c>
      <c r="D628" s="22" t="n">
        <v>44587.6</v>
      </c>
      <c r="E628" s="22" t="n">
        <v>51.8</v>
      </c>
      <c r="F628" s="22" t="n">
        <v>107</v>
      </c>
    </row>
    <row r="629">
      <c r="A629" s="22" t="n">
        <v>201904</v>
      </c>
      <c r="B629" s="22" t="inlineStr">
        <is>
          <t>POS</t>
        </is>
      </c>
      <c r="C629" s="22" t="inlineStr">
        <is>
          <t>Game &amp; Đồ chơi</t>
        </is>
      </c>
      <c r="D629" s="22" t="n">
        <v>849.52</v>
      </c>
      <c r="E629" s="22" t="n">
        <v>0</v>
      </c>
      <c r="F629" s="22" t="n">
        <v>45</v>
      </c>
    </row>
    <row r="630">
      <c r="A630" s="22" t="n">
        <v>201904</v>
      </c>
      <c r="B630" s="22" t="inlineStr">
        <is>
          <t>POS</t>
        </is>
      </c>
      <c r="C630" s="22" t="inlineStr">
        <is>
          <t>Gia dụng</t>
        </is>
      </c>
      <c r="D630" s="22" t="n">
        <v>5693.06</v>
      </c>
      <c r="E630" s="22" t="n">
        <v>139.99</v>
      </c>
      <c r="F630" s="22" t="n">
        <v>21</v>
      </c>
    </row>
    <row r="631">
      <c r="A631" s="22" t="n">
        <v>201904</v>
      </c>
      <c r="B631" s="22" t="inlineStr">
        <is>
          <t>POS</t>
        </is>
      </c>
      <c r="C631" s="22" t="inlineStr">
        <is>
          <t>Nhạc, phim, sách nói</t>
        </is>
      </c>
      <c r="D631" s="22" t="n">
        <v>4956.07</v>
      </c>
      <c r="E631" s="22" t="n">
        <v>207.95</v>
      </c>
      <c r="F631" s="22" t="n">
        <v>37</v>
      </c>
    </row>
    <row r="632">
      <c r="A632" s="22" t="n">
        <v>201904</v>
      </c>
      <c r="B632" s="22" t="inlineStr">
        <is>
          <t>POS</t>
        </is>
      </c>
      <c r="C632" s="22" t="inlineStr">
        <is>
          <t>TV &amp; Video</t>
        </is>
      </c>
      <c r="D632" s="22" t="n">
        <v>12442.8</v>
      </c>
      <c r="E632" s="22" t="n">
        <v>0</v>
      </c>
      <c r="F632" s="22" t="n">
        <v>32</v>
      </c>
    </row>
    <row r="633">
      <c r="A633" s="22" t="n">
        <v>201905</v>
      </c>
      <c r="B633" s="22" t="inlineStr">
        <is>
          <t>ONLINE</t>
        </is>
      </c>
      <c r="C633" s="22" t="inlineStr">
        <is>
          <t>Âm thanh</t>
        </is>
      </c>
      <c r="D633" s="22" t="n">
        <v>22953.23</v>
      </c>
      <c r="E633" s="22" t="n">
        <v>505.95</v>
      </c>
      <c r="F633" s="22" t="n">
        <v>171</v>
      </c>
    </row>
    <row r="634">
      <c r="A634" s="22" t="n">
        <v>201905</v>
      </c>
      <c r="B634" s="22" t="inlineStr">
        <is>
          <t>ONLINE</t>
        </is>
      </c>
      <c r="C634" s="22" t="inlineStr">
        <is>
          <t>Máy ảnh</t>
        </is>
      </c>
      <c r="D634" s="22" t="n">
        <v>42971.71</v>
      </c>
      <c r="E634" s="22" t="n">
        <v>0</v>
      </c>
      <c r="F634" s="22" t="n">
        <v>131</v>
      </c>
    </row>
    <row r="635">
      <c r="A635" s="22" t="n">
        <v>201905</v>
      </c>
      <c r="B635" s="22" t="inlineStr">
        <is>
          <t>ONLINE</t>
        </is>
      </c>
      <c r="C635" s="22" t="inlineStr">
        <is>
          <t>Điện thoại</t>
        </is>
      </c>
      <c r="D635" s="22" t="n">
        <v>43635.91</v>
      </c>
      <c r="E635" s="22" t="n">
        <v>600</v>
      </c>
      <c r="F635" s="22" t="n">
        <v>219</v>
      </c>
    </row>
    <row r="636">
      <c r="A636" s="22" t="n">
        <v>201905</v>
      </c>
      <c r="B636" s="22" t="inlineStr">
        <is>
          <t>ONLINE</t>
        </is>
      </c>
      <c r="C636" s="22" t="inlineStr">
        <is>
          <t>Máy tính</t>
        </is>
      </c>
      <c r="D636" s="22" t="n">
        <v>115872.27</v>
      </c>
      <c r="E636" s="22" t="n">
        <v>0</v>
      </c>
      <c r="F636" s="22" t="n">
        <v>282</v>
      </c>
    </row>
    <row r="637">
      <c r="A637" s="22" t="n">
        <v>201905</v>
      </c>
      <c r="B637" s="22" t="inlineStr">
        <is>
          <t>ONLINE</t>
        </is>
      </c>
      <c r="C637" s="22" t="inlineStr">
        <is>
          <t>Game &amp; Đồ chơi</t>
        </is>
      </c>
      <c r="D637" s="22" t="n">
        <v>4762.28</v>
      </c>
      <c r="E637" s="22" t="n">
        <v>0</v>
      </c>
      <c r="F637" s="22" t="n">
        <v>141</v>
      </c>
    </row>
    <row r="638">
      <c r="A638" s="22" t="n">
        <v>201905</v>
      </c>
      <c r="B638" s="22" t="inlineStr">
        <is>
          <t>ONLINE</t>
        </is>
      </c>
      <c r="C638" s="22" t="inlineStr">
        <is>
          <t>Gia dụng</t>
        </is>
      </c>
      <c r="D638" s="22" t="n">
        <v>68763.25999999999</v>
      </c>
      <c r="E638" s="22" t="n">
        <v>0</v>
      </c>
      <c r="F638" s="22" t="n">
        <v>112</v>
      </c>
    </row>
    <row r="639">
      <c r="A639" s="22" t="n">
        <v>201905</v>
      </c>
      <c r="B639" s="22" t="inlineStr">
        <is>
          <t>ONLINE</t>
        </is>
      </c>
      <c r="C639" s="22" t="inlineStr">
        <is>
          <t>Nhạc, phim, sách nói</t>
        </is>
      </c>
      <c r="D639" s="22" t="n">
        <v>20772.58</v>
      </c>
      <c r="E639" s="22" t="n">
        <v>0</v>
      </c>
      <c r="F639" s="22" t="n">
        <v>215</v>
      </c>
    </row>
    <row r="640">
      <c r="A640" s="22" t="n">
        <v>201905</v>
      </c>
      <c r="B640" s="22" t="inlineStr">
        <is>
          <t>ONLINE</t>
        </is>
      </c>
      <c r="C640" s="22" t="inlineStr">
        <is>
          <t>TV &amp; Video</t>
        </is>
      </c>
      <c r="D640" s="22" t="n">
        <v>9218.129999999999</v>
      </c>
      <c r="E640" s="22" t="n">
        <v>0</v>
      </c>
      <c r="F640" s="22" t="n">
        <v>32</v>
      </c>
    </row>
    <row r="641">
      <c r="A641" s="22" t="n">
        <v>201905</v>
      </c>
      <c r="B641" s="22" t="inlineStr">
        <is>
          <t>POS</t>
        </is>
      </c>
      <c r="C641" s="22" t="inlineStr">
        <is>
          <t>Âm thanh</t>
        </is>
      </c>
      <c r="D641" s="22" t="n">
        <v>69225.10000000001</v>
      </c>
      <c r="E641" s="22" t="n">
        <v>1150</v>
      </c>
      <c r="F641" s="22" t="n">
        <v>513</v>
      </c>
    </row>
    <row r="642">
      <c r="A642" s="22" t="n">
        <v>201905</v>
      </c>
      <c r="B642" s="22" t="inlineStr">
        <is>
          <t>POS</t>
        </is>
      </c>
      <c r="C642" s="22" t="inlineStr">
        <is>
          <t>Máy ảnh</t>
        </is>
      </c>
      <c r="D642" s="22" t="n">
        <v>121657.62</v>
      </c>
      <c r="E642" s="22" t="n">
        <v>484.96</v>
      </c>
      <c r="F642" s="22" t="n">
        <v>416</v>
      </c>
    </row>
    <row r="643">
      <c r="A643" s="22" t="n">
        <v>201905</v>
      </c>
      <c r="B643" s="22" t="inlineStr">
        <is>
          <t>POS</t>
        </is>
      </c>
      <c r="C643" s="22" t="inlineStr">
        <is>
          <t>Điện thoại</t>
        </is>
      </c>
      <c r="D643" s="22" t="n">
        <v>188267.57</v>
      </c>
      <c r="E643" s="22" t="n">
        <v>6765.73</v>
      </c>
      <c r="F643" s="22" t="n">
        <v>829</v>
      </c>
    </row>
    <row r="644">
      <c r="A644" s="22" t="n">
        <v>201905</v>
      </c>
      <c r="B644" s="22" t="inlineStr">
        <is>
          <t>POS</t>
        </is>
      </c>
      <c r="C644" s="22" t="inlineStr">
        <is>
          <t>Máy tính</t>
        </is>
      </c>
      <c r="D644" s="22" t="n">
        <v>441102.67</v>
      </c>
      <c r="E644" s="22" t="n">
        <v>2795.4</v>
      </c>
      <c r="F644" s="22" t="n">
        <v>1044</v>
      </c>
    </row>
    <row r="645">
      <c r="A645" s="22" t="n">
        <v>201905</v>
      </c>
      <c r="B645" s="22" t="inlineStr">
        <is>
          <t>POS</t>
        </is>
      </c>
      <c r="C645" s="22" t="inlineStr">
        <is>
          <t>Game &amp; Đồ chơi</t>
        </is>
      </c>
      <c r="D645" s="22" t="n">
        <v>19874.19</v>
      </c>
      <c r="E645" s="22" t="n">
        <v>121.06</v>
      </c>
      <c r="F645" s="22" t="n">
        <v>571</v>
      </c>
    </row>
    <row r="646">
      <c r="A646" s="22" t="n">
        <v>201905</v>
      </c>
      <c r="B646" s="22" t="inlineStr">
        <is>
          <t>POS</t>
        </is>
      </c>
      <c r="C646" s="22" t="inlineStr">
        <is>
          <t>Gia dụng</t>
        </is>
      </c>
      <c r="D646" s="22" t="n">
        <v>179212.25</v>
      </c>
      <c r="E646" s="22" t="n">
        <v>0</v>
      </c>
      <c r="F646" s="22" t="n">
        <v>323</v>
      </c>
    </row>
    <row r="647">
      <c r="A647" s="22" t="n">
        <v>201905</v>
      </c>
      <c r="B647" s="22" t="inlineStr">
        <is>
          <t>POS</t>
        </is>
      </c>
      <c r="C647" s="22" t="inlineStr">
        <is>
          <t>Nhạc, phim, sách nói</t>
        </is>
      </c>
      <c r="D647" s="22" t="n">
        <v>55251.24</v>
      </c>
      <c r="E647" s="22" t="n">
        <v>115.76</v>
      </c>
      <c r="F647" s="22" t="n">
        <v>532</v>
      </c>
    </row>
    <row r="648">
      <c r="A648" s="22" t="n">
        <v>201905</v>
      </c>
      <c r="B648" s="22" t="inlineStr">
        <is>
          <t>POS</t>
        </is>
      </c>
      <c r="C648" s="22" t="inlineStr">
        <is>
          <t>TV &amp; Video</t>
        </is>
      </c>
      <c r="D648" s="22" t="n">
        <v>133383.64</v>
      </c>
      <c r="E648" s="22" t="n">
        <v>9671.76</v>
      </c>
      <c r="F648" s="22" t="n">
        <v>226</v>
      </c>
    </row>
    <row r="649">
      <c r="A649" s="22" t="n">
        <v>201906</v>
      </c>
      <c r="B649" s="22" t="inlineStr">
        <is>
          <t>ONLINE</t>
        </is>
      </c>
      <c r="C649" s="22" t="inlineStr">
        <is>
          <t>Âm thanh</t>
        </is>
      </c>
      <c r="D649" s="22" t="n">
        <v>15778.92</v>
      </c>
      <c r="E649" s="22" t="n">
        <v>0</v>
      </c>
      <c r="F649" s="22" t="n">
        <v>132</v>
      </c>
    </row>
    <row r="650">
      <c r="A650" s="22" t="n">
        <v>201906</v>
      </c>
      <c r="B650" s="22" t="inlineStr">
        <is>
          <t>ONLINE</t>
        </is>
      </c>
      <c r="C650" s="22" t="inlineStr">
        <is>
          <t>Máy ảnh</t>
        </is>
      </c>
      <c r="D650" s="22" t="n">
        <v>33397.64</v>
      </c>
      <c r="E650" s="22" t="n">
        <v>1310</v>
      </c>
      <c r="F650" s="22" t="n">
        <v>125</v>
      </c>
    </row>
    <row r="651">
      <c r="A651" s="22" t="n">
        <v>201906</v>
      </c>
      <c r="B651" s="22" t="inlineStr">
        <is>
          <t>ONLINE</t>
        </is>
      </c>
      <c r="C651" s="22" t="inlineStr">
        <is>
          <t>Điện thoại</t>
        </is>
      </c>
      <c r="D651" s="22" t="n">
        <v>35973.63</v>
      </c>
      <c r="E651" s="22" t="n">
        <v>1311.38</v>
      </c>
      <c r="F651" s="22" t="n">
        <v>207</v>
      </c>
    </row>
    <row r="652">
      <c r="A652" s="22" t="n">
        <v>201906</v>
      </c>
      <c r="B652" s="22" t="inlineStr">
        <is>
          <t>ONLINE</t>
        </is>
      </c>
      <c r="C652" s="22" t="inlineStr">
        <is>
          <t>Máy tính</t>
        </is>
      </c>
      <c r="D652" s="22" t="n">
        <v>107269.02</v>
      </c>
      <c r="E652" s="22" t="n">
        <v>3734.06</v>
      </c>
      <c r="F652" s="22" t="n">
        <v>288</v>
      </c>
    </row>
    <row r="653">
      <c r="A653" s="22" t="n">
        <v>201906</v>
      </c>
      <c r="B653" s="22" t="inlineStr">
        <is>
          <t>ONLINE</t>
        </is>
      </c>
      <c r="C653" s="22" t="inlineStr">
        <is>
          <t>Game &amp; Đồ chơi</t>
        </is>
      </c>
      <c r="D653" s="22" t="n">
        <v>9906</v>
      </c>
      <c r="E653" s="22" t="n">
        <v>46.8</v>
      </c>
      <c r="F653" s="22" t="n">
        <v>191</v>
      </c>
    </row>
    <row r="654">
      <c r="A654" s="22" t="n">
        <v>201906</v>
      </c>
      <c r="B654" s="22" t="inlineStr">
        <is>
          <t>ONLINE</t>
        </is>
      </c>
      <c r="C654" s="22" t="inlineStr">
        <is>
          <t>Gia dụng</t>
        </is>
      </c>
      <c r="D654" s="22" t="n">
        <v>39682.5</v>
      </c>
      <c r="E654" s="22" t="n">
        <v>449.97</v>
      </c>
      <c r="F654" s="22" t="n">
        <v>80</v>
      </c>
    </row>
    <row r="655">
      <c r="A655" s="22" t="n">
        <v>201906</v>
      </c>
      <c r="B655" s="22" t="inlineStr">
        <is>
          <t>ONLINE</t>
        </is>
      </c>
      <c r="C655" s="22" t="inlineStr">
        <is>
          <t>Nhạc, phim, sách nói</t>
        </is>
      </c>
      <c r="D655" s="22" t="n">
        <v>23835.76</v>
      </c>
      <c r="E655" s="22" t="n">
        <v>418.97</v>
      </c>
      <c r="F655" s="22" t="n">
        <v>222</v>
      </c>
    </row>
    <row r="656">
      <c r="A656" s="22" t="n">
        <v>201906</v>
      </c>
      <c r="B656" s="22" t="inlineStr">
        <is>
          <t>ONLINE</t>
        </is>
      </c>
      <c r="C656" s="22" t="inlineStr">
        <is>
          <t>TV &amp; Video</t>
        </is>
      </c>
      <c r="D656" s="22" t="n">
        <v>36670</v>
      </c>
      <c r="E656" s="22" t="n">
        <v>0</v>
      </c>
      <c r="F656" s="22" t="n">
        <v>65</v>
      </c>
    </row>
    <row r="657">
      <c r="A657" s="22" t="n">
        <v>201906</v>
      </c>
      <c r="B657" s="22" t="inlineStr">
        <is>
          <t>POS</t>
        </is>
      </c>
      <c r="C657" s="22" t="inlineStr">
        <is>
          <t>Âm thanh</t>
        </is>
      </c>
      <c r="D657" s="22" t="n">
        <v>57020.49</v>
      </c>
      <c r="E657" s="22" t="n">
        <v>2226.6</v>
      </c>
      <c r="F657" s="22" t="n">
        <v>456</v>
      </c>
    </row>
    <row r="658">
      <c r="A658" s="22" t="n">
        <v>201906</v>
      </c>
      <c r="B658" s="22" t="inlineStr">
        <is>
          <t>POS</t>
        </is>
      </c>
      <c r="C658" s="22" t="inlineStr">
        <is>
          <t>Máy ảnh</t>
        </is>
      </c>
      <c r="D658" s="22" t="n">
        <v>162284.31</v>
      </c>
      <c r="E658" s="22" t="n">
        <v>704.99</v>
      </c>
      <c r="F658" s="22" t="n">
        <v>407</v>
      </c>
    </row>
    <row r="659">
      <c r="A659" s="22" t="n">
        <v>201906</v>
      </c>
      <c r="B659" s="22" t="inlineStr">
        <is>
          <t>POS</t>
        </is>
      </c>
      <c r="C659" s="22" t="inlineStr">
        <is>
          <t>Điện thoại</t>
        </is>
      </c>
      <c r="D659" s="22" t="n">
        <v>121379.3</v>
      </c>
      <c r="E659" s="22" t="n">
        <v>3316.33</v>
      </c>
      <c r="F659" s="22" t="n">
        <v>643</v>
      </c>
    </row>
    <row r="660">
      <c r="A660" s="22" t="n">
        <v>201906</v>
      </c>
      <c r="B660" s="22" t="inlineStr">
        <is>
          <t>POS</t>
        </is>
      </c>
      <c r="C660" s="22" t="inlineStr">
        <is>
          <t>Máy tính</t>
        </is>
      </c>
      <c r="D660" s="22" t="n">
        <v>420256.72</v>
      </c>
      <c r="E660" s="22" t="n">
        <v>15401.15</v>
      </c>
      <c r="F660" s="22" t="n">
        <v>954</v>
      </c>
    </row>
    <row r="661">
      <c r="A661" s="22" t="n">
        <v>201906</v>
      </c>
      <c r="B661" s="22" t="inlineStr">
        <is>
          <t>POS</t>
        </is>
      </c>
      <c r="C661" s="22" t="inlineStr">
        <is>
          <t>Game &amp; Đồ chơi</t>
        </is>
      </c>
      <c r="D661" s="22" t="n">
        <v>14154.4</v>
      </c>
      <c r="E661" s="22" t="n">
        <v>515.09</v>
      </c>
      <c r="F661" s="22" t="n">
        <v>540</v>
      </c>
    </row>
    <row r="662">
      <c r="A662" s="22" t="n">
        <v>201906</v>
      </c>
      <c r="B662" s="22" t="inlineStr">
        <is>
          <t>POS</t>
        </is>
      </c>
      <c r="C662" s="22" t="inlineStr">
        <is>
          <t>Gia dụng</t>
        </is>
      </c>
      <c r="D662" s="22" t="n">
        <v>130287.53</v>
      </c>
      <c r="E662" s="22" t="n">
        <v>4265.46</v>
      </c>
      <c r="F662" s="22" t="n">
        <v>233</v>
      </c>
    </row>
    <row r="663">
      <c r="A663" s="22" t="n">
        <v>201906</v>
      </c>
      <c r="B663" s="22" t="inlineStr">
        <is>
          <t>POS</t>
        </is>
      </c>
      <c r="C663" s="22" t="inlineStr">
        <is>
          <t>Nhạc, phim, sách nói</t>
        </is>
      </c>
      <c r="D663" s="22" t="n">
        <v>66450.35000000001</v>
      </c>
      <c r="E663" s="22" t="n">
        <v>896.04</v>
      </c>
      <c r="F663" s="22" t="n">
        <v>622</v>
      </c>
    </row>
    <row r="664">
      <c r="A664" s="22" t="n">
        <v>201906</v>
      </c>
      <c r="B664" s="22" t="inlineStr">
        <is>
          <t>POS</t>
        </is>
      </c>
      <c r="C664" s="22" t="inlineStr">
        <is>
          <t>TV &amp; Video</t>
        </is>
      </c>
      <c r="D664" s="22" t="n">
        <v>80286.05</v>
      </c>
      <c r="E664" s="22" t="n">
        <v>2799.9</v>
      </c>
      <c r="F664" s="22" t="n">
        <v>148</v>
      </c>
    </row>
    <row r="665">
      <c r="A665" s="22" t="n">
        <v>201907</v>
      </c>
      <c r="B665" s="22" t="inlineStr">
        <is>
          <t>ONLINE</t>
        </is>
      </c>
      <c r="C665" s="22" t="inlineStr">
        <is>
          <t>Âm thanh</t>
        </is>
      </c>
      <c r="D665" s="22" t="n">
        <v>13457.29</v>
      </c>
      <c r="E665" s="22" t="n">
        <v>825</v>
      </c>
      <c r="F665" s="22" t="n">
        <v>111</v>
      </c>
    </row>
    <row r="666">
      <c r="A666" s="22" t="n">
        <v>201907</v>
      </c>
      <c r="B666" s="22" t="inlineStr">
        <is>
          <t>ONLINE</t>
        </is>
      </c>
      <c r="C666" s="22" t="inlineStr">
        <is>
          <t>Máy ảnh</t>
        </is>
      </c>
      <c r="D666" s="22" t="n">
        <v>31878.13</v>
      </c>
      <c r="E666" s="22" t="n">
        <v>2817.2</v>
      </c>
      <c r="F666" s="22" t="n">
        <v>88</v>
      </c>
    </row>
    <row r="667">
      <c r="A667" s="22" t="n">
        <v>201907</v>
      </c>
      <c r="B667" s="22" t="inlineStr">
        <is>
          <t>ONLINE</t>
        </is>
      </c>
      <c r="C667" s="22" t="inlineStr">
        <is>
          <t>Điện thoại</t>
        </is>
      </c>
      <c r="D667" s="22" t="n">
        <v>36399.96</v>
      </c>
      <c r="E667" s="22" t="n">
        <v>0</v>
      </c>
      <c r="F667" s="22" t="n">
        <v>208</v>
      </c>
    </row>
    <row r="668">
      <c r="A668" s="22" t="n">
        <v>201907</v>
      </c>
      <c r="B668" s="22" t="inlineStr">
        <is>
          <t>ONLINE</t>
        </is>
      </c>
      <c r="C668" s="22" t="inlineStr">
        <is>
          <t>Máy tính</t>
        </is>
      </c>
      <c r="D668" s="22" t="n">
        <v>108707.97</v>
      </c>
      <c r="E668" s="22" t="n">
        <v>2168.88</v>
      </c>
      <c r="F668" s="22" t="n">
        <v>279</v>
      </c>
    </row>
    <row r="669">
      <c r="A669" s="22" t="n">
        <v>201907</v>
      </c>
      <c r="B669" s="22" t="inlineStr">
        <is>
          <t>ONLINE</t>
        </is>
      </c>
      <c r="C669" s="22" t="inlineStr">
        <is>
          <t>Game &amp; Đồ chơi</t>
        </is>
      </c>
      <c r="D669" s="22" t="n">
        <v>4661.56</v>
      </c>
      <c r="E669" s="22" t="n">
        <v>0</v>
      </c>
      <c r="F669" s="22" t="n">
        <v>134</v>
      </c>
    </row>
    <row r="670">
      <c r="A670" s="22" t="n">
        <v>201907</v>
      </c>
      <c r="B670" s="22" t="inlineStr">
        <is>
          <t>ONLINE</t>
        </is>
      </c>
      <c r="C670" s="22" t="inlineStr">
        <is>
          <t>Gia dụng</t>
        </is>
      </c>
      <c r="D670" s="22" t="n">
        <v>46356.34</v>
      </c>
      <c r="E670" s="22" t="n">
        <v>373.95</v>
      </c>
      <c r="F670" s="22" t="n">
        <v>92</v>
      </c>
    </row>
    <row r="671">
      <c r="A671" s="22" t="n">
        <v>201907</v>
      </c>
      <c r="B671" s="22" t="inlineStr">
        <is>
          <t>ONLINE</t>
        </is>
      </c>
      <c r="C671" s="22" t="inlineStr">
        <is>
          <t>Nhạc, phim, sách nói</t>
        </is>
      </c>
      <c r="D671" s="22" t="n">
        <v>10509.12</v>
      </c>
      <c r="E671" s="22" t="n">
        <v>220.38</v>
      </c>
      <c r="F671" s="22" t="n">
        <v>105</v>
      </c>
    </row>
    <row r="672">
      <c r="A672" s="22" t="n">
        <v>201907</v>
      </c>
      <c r="B672" s="22" t="inlineStr">
        <is>
          <t>ONLINE</t>
        </is>
      </c>
      <c r="C672" s="22" t="inlineStr">
        <is>
          <t>TV &amp; Video</t>
        </is>
      </c>
      <c r="D672" s="22" t="n">
        <v>8515.67</v>
      </c>
      <c r="E672" s="22" t="n">
        <v>0</v>
      </c>
      <c r="F672" s="22" t="n">
        <v>23</v>
      </c>
    </row>
    <row r="673">
      <c r="A673" s="22" t="n">
        <v>201907</v>
      </c>
      <c r="B673" s="22" t="inlineStr">
        <is>
          <t>POS</t>
        </is>
      </c>
      <c r="C673" s="22" t="inlineStr">
        <is>
          <t>Âm thanh</t>
        </is>
      </c>
      <c r="D673" s="22" t="n">
        <v>72152.38</v>
      </c>
      <c r="E673" s="22" t="n">
        <v>1595.96</v>
      </c>
      <c r="F673" s="22" t="n">
        <v>565</v>
      </c>
    </row>
    <row r="674">
      <c r="A674" s="22" t="n">
        <v>201907</v>
      </c>
      <c r="B674" s="22" t="inlineStr">
        <is>
          <t>POS</t>
        </is>
      </c>
      <c r="C674" s="22" t="inlineStr">
        <is>
          <t>Máy ảnh</t>
        </is>
      </c>
      <c r="D674" s="22" t="n">
        <v>98944.77</v>
      </c>
      <c r="E674" s="22" t="n">
        <v>1885.53</v>
      </c>
      <c r="F674" s="22" t="n">
        <v>293</v>
      </c>
    </row>
    <row r="675">
      <c r="A675" s="22" t="n">
        <v>201907</v>
      </c>
      <c r="B675" s="22" t="inlineStr">
        <is>
          <t>POS</t>
        </is>
      </c>
      <c r="C675" s="22" t="inlineStr">
        <is>
          <t>Điện thoại</t>
        </is>
      </c>
      <c r="D675" s="22" t="n">
        <v>125877.61</v>
      </c>
      <c r="E675" s="22" t="n">
        <v>4605.98</v>
      </c>
      <c r="F675" s="22" t="n">
        <v>696</v>
      </c>
    </row>
    <row r="676">
      <c r="A676" s="22" t="n">
        <v>201907</v>
      </c>
      <c r="B676" s="22" t="inlineStr">
        <is>
          <t>POS</t>
        </is>
      </c>
      <c r="C676" s="22" t="inlineStr">
        <is>
          <t>Máy tính</t>
        </is>
      </c>
      <c r="D676" s="22" t="n">
        <v>442856.05</v>
      </c>
      <c r="E676" s="22" t="n">
        <v>8673.450000000001</v>
      </c>
      <c r="F676" s="22" t="n">
        <v>1025</v>
      </c>
    </row>
    <row r="677">
      <c r="A677" s="22" t="n">
        <v>201907</v>
      </c>
      <c r="B677" s="22" t="inlineStr">
        <is>
          <t>POS</t>
        </is>
      </c>
      <c r="C677" s="22" t="inlineStr">
        <is>
          <t>Game &amp; Đồ chơi</t>
        </is>
      </c>
      <c r="D677" s="22" t="n">
        <v>26278.38</v>
      </c>
      <c r="E677" s="22" t="n">
        <v>562.54</v>
      </c>
      <c r="F677" s="22" t="n">
        <v>622</v>
      </c>
    </row>
    <row r="678">
      <c r="A678" s="22" t="n">
        <v>201907</v>
      </c>
      <c r="B678" s="22" t="inlineStr">
        <is>
          <t>POS</t>
        </is>
      </c>
      <c r="C678" s="22" t="inlineStr">
        <is>
          <t>Gia dụng</t>
        </is>
      </c>
      <c r="D678" s="22" t="n">
        <v>183130.71</v>
      </c>
      <c r="E678" s="22" t="n">
        <v>9520.98</v>
      </c>
      <c r="F678" s="22" t="n">
        <v>242</v>
      </c>
    </row>
    <row r="679">
      <c r="A679" s="22" t="n">
        <v>201907</v>
      </c>
      <c r="B679" s="22" t="inlineStr">
        <is>
          <t>POS</t>
        </is>
      </c>
      <c r="C679" s="22" t="inlineStr">
        <is>
          <t>Nhạc, phim, sách nói</t>
        </is>
      </c>
      <c r="D679" s="22" t="n">
        <v>50678.03</v>
      </c>
      <c r="E679" s="22" t="n">
        <v>2995.88</v>
      </c>
      <c r="F679" s="22" t="n">
        <v>508</v>
      </c>
    </row>
    <row r="680">
      <c r="A680" s="22" t="n">
        <v>201907</v>
      </c>
      <c r="B680" s="22" t="inlineStr">
        <is>
          <t>POS</t>
        </is>
      </c>
      <c r="C680" s="22" t="inlineStr">
        <is>
          <t>TV &amp; Video</t>
        </is>
      </c>
      <c r="D680" s="22" t="n">
        <v>102649.29</v>
      </c>
      <c r="E680" s="22" t="n">
        <v>3915.98</v>
      </c>
      <c r="F680" s="22" t="n">
        <v>175</v>
      </c>
    </row>
    <row r="681">
      <c r="A681" s="22" t="n">
        <v>201908</v>
      </c>
      <c r="B681" s="22" t="inlineStr">
        <is>
          <t>ONLINE</t>
        </is>
      </c>
      <c r="C681" s="22" t="inlineStr">
        <is>
          <t>Âm thanh</t>
        </is>
      </c>
      <c r="D681" s="22" t="n">
        <v>18990.67</v>
      </c>
      <c r="E681" s="22" t="n">
        <v>272.94</v>
      </c>
      <c r="F681" s="22" t="n">
        <v>171</v>
      </c>
    </row>
    <row r="682">
      <c r="A682" s="22" t="n">
        <v>201908</v>
      </c>
      <c r="B682" s="22" t="inlineStr">
        <is>
          <t>ONLINE</t>
        </is>
      </c>
      <c r="C682" s="22" t="inlineStr">
        <is>
          <t>Máy ảnh</t>
        </is>
      </c>
      <c r="D682" s="22" t="n">
        <v>39071.49</v>
      </c>
      <c r="E682" s="22" t="n">
        <v>860</v>
      </c>
      <c r="F682" s="22" t="n">
        <v>127</v>
      </c>
    </row>
    <row r="683">
      <c r="A683" s="22" t="n">
        <v>201908</v>
      </c>
      <c r="B683" s="22" t="inlineStr">
        <is>
          <t>ONLINE</t>
        </is>
      </c>
      <c r="C683" s="22" t="inlineStr">
        <is>
          <t>Điện thoại</t>
        </is>
      </c>
      <c r="D683" s="22" t="n">
        <v>37346.75</v>
      </c>
      <c r="E683" s="22" t="n">
        <v>927</v>
      </c>
      <c r="F683" s="22" t="n">
        <v>208</v>
      </c>
    </row>
    <row r="684">
      <c r="A684" s="22" t="n">
        <v>201908</v>
      </c>
      <c r="B684" s="22" t="inlineStr">
        <is>
          <t>ONLINE</t>
        </is>
      </c>
      <c r="C684" s="22" t="inlineStr">
        <is>
          <t>Máy tính</t>
        </is>
      </c>
      <c r="D684" s="22" t="n">
        <v>126801.2</v>
      </c>
      <c r="E684" s="22" t="n">
        <v>1538.85</v>
      </c>
      <c r="F684" s="22" t="n">
        <v>318</v>
      </c>
    </row>
    <row r="685">
      <c r="A685" s="22" t="n">
        <v>201908</v>
      </c>
      <c r="B685" s="22" t="inlineStr">
        <is>
          <t>ONLINE</t>
        </is>
      </c>
      <c r="C685" s="22" t="inlineStr">
        <is>
          <t>Game &amp; Đồ chơi</t>
        </is>
      </c>
      <c r="D685" s="22" t="n">
        <v>3577.44</v>
      </c>
      <c r="E685" s="22" t="n">
        <v>0</v>
      </c>
      <c r="F685" s="22" t="n">
        <v>151</v>
      </c>
    </row>
    <row r="686">
      <c r="A686" s="22" t="n">
        <v>201908</v>
      </c>
      <c r="B686" s="22" t="inlineStr">
        <is>
          <t>ONLINE</t>
        </is>
      </c>
      <c r="C686" s="22" t="inlineStr">
        <is>
          <t>Gia dụng</t>
        </is>
      </c>
      <c r="D686" s="22" t="n">
        <v>65998.88</v>
      </c>
      <c r="E686" s="22" t="n">
        <v>0</v>
      </c>
      <c r="F686" s="22" t="n">
        <v>87</v>
      </c>
    </row>
    <row r="687">
      <c r="A687" s="22" t="n">
        <v>201908</v>
      </c>
      <c r="B687" s="22" t="inlineStr">
        <is>
          <t>ONLINE</t>
        </is>
      </c>
      <c r="C687" s="22" t="inlineStr">
        <is>
          <t>Nhạc, phim, sách nói</t>
        </is>
      </c>
      <c r="D687" s="22" t="n">
        <v>15736.31</v>
      </c>
      <c r="E687" s="22" t="n">
        <v>12.66</v>
      </c>
      <c r="F687" s="22" t="n">
        <v>178</v>
      </c>
    </row>
    <row r="688">
      <c r="A688" s="22" t="n">
        <v>201908</v>
      </c>
      <c r="B688" s="22" t="inlineStr">
        <is>
          <t>ONLINE</t>
        </is>
      </c>
      <c r="C688" s="22" t="inlineStr">
        <is>
          <t>TV &amp; Video</t>
        </is>
      </c>
      <c r="D688" s="22" t="n">
        <v>22103.48</v>
      </c>
      <c r="E688" s="22" t="n">
        <v>0</v>
      </c>
      <c r="F688" s="22" t="n">
        <v>33</v>
      </c>
    </row>
    <row r="689">
      <c r="A689" s="22" t="n">
        <v>201908</v>
      </c>
      <c r="B689" s="22" t="inlineStr">
        <is>
          <t>POS</t>
        </is>
      </c>
      <c r="C689" s="22" t="inlineStr">
        <is>
          <t>Âm thanh</t>
        </is>
      </c>
      <c r="D689" s="22" t="n">
        <v>64533.97</v>
      </c>
      <c r="E689" s="22" t="n">
        <v>2853.83</v>
      </c>
      <c r="F689" s="22" t="n">
        <v>530</v>
      </c>
    </row>
    <row r="690">
      <c r="A690" s="22" t="n">
        <v>201908</v>
      </c>
      <c r="B690" s="22" t="inlineStr">
        <is>
          <t>POS</t>
        </is>
      </c>
      <c r="C690" s="22" t="inlineStr">
        <is>
          <t>Máy ảnh</t>
        </is>
      </c>
      <c r="D690" s="22" t="n">
        <v>152874.88</v>
      </c>
      <c r="E690" s="22" t="n">
        <v>5179</v>
      </c>
      <c r="F690" s="22" t="n">
        <v>375</v>
      </c>
    </row>
    <row r="691">
      <c r="A691" s="22" t="n">
        <v>201908</v>
      </c>
      <c r="B691" s="22" t="inlineStr">
        <is>
          <t>POS</t>
        </is>
      </c>
      <c r="C691" s="22" t="inlineStr">
        <is>
          <t>Điện thoại</t>
        </is>
      </c>
      <c r="D691" s="22" t="n">
        <v>124766.92</v>
      </c>
      <c r="E691" s="22" t="n">
        <v>2274.66</v>
      </c>
      <c r="F691" s="22" t="n">
        <v>687</v>
      </c>
    </row>
    <row r="692">
      <c r="A692" s="22" t="n">
        <v>201908</v>
      </c>
      <c r="B692" s="22" t="inlineStr">
        <is>
          <t>POS</t>
        </is>
      </c>
      <c r="C692" s="22" t="inlineStr">
        <is>
          <t>Máy tính</t>
        </is>
      </c>
      <c r="D692" s="22" t="n">
        <v>418795.8</v>
      </c>
      <c r="E692" s="22" t="n">
        <v>15658.31</v>
      </c>
      <c r="F692" s="22" t="n">
        <v>1109</v>
      </c>
    </row>
    <row r="693">
      <c r="A693" s="22" t="n">
        <v>201908</v>
      </c>
      <c r="B693" s="22" t="inlineStr">
        <is>
          <t>POS</t>
        </is>
      </c>
      <c r="C693" s="22" t="inlineStr">
        <is>
          <t>Game &amp; Đồ chơi</t>
        </is>
      </c>
      <c r="D693" s="22" t="n">
        <v>16741.15</v>
      </c>
      <c r="E693" s="22" t="n">
        <v>740.27</v>
      </c>
      <c r="F693" s="22" t="n">
        <v>688</v>
      </c>
    </row>
    <row r="694">
      <c r="A694" s="22" t="n">
        <v>201908</v>
      </c>
      <c r="B694" s="22" t="inlineStr">
        <is>
          <t>POS</t>
        </is>
      </c>
      <c r="C694" s="22" t="inlineStr">
        <is>
          <t>Gia dụng</t>
        </is>
      </c>
      <c r="D694" s="22" t="n">
        <v>119338.03</v>
      </c>
      <c r="E694" s="22" t="n">
        <v>2623.18</v>
      </c>
      <c r="F694" s="22" t="n">
        <v>260</v>
      </c>
    </row>
    <row r="695">
      <c r="A695" s="22" t="n">
        <v>201908</v>
      </c>
      <c r="B695" s="22" t="inlineStr">
        <is>
          <t>POS</t>
        </is>
      </c>
      <c r="C695" s="22" t="inlineStr">
        <is>
          <t>Nhạc, phim, sách nói</t>
        </is>
      </c>
      <c r="D695" s="22" t="n">
        <v>59418.08</v>
      </c>
      <c r="E695" s="22" t="n">
        <v>1621.97</v>
      </c>
      <c r="F695" s="22" t="n">
        <v>639</v>
      </c>
    </row>
    <row r="696">
      <c r="A696" s="22" t="n">
        <v>201908</v>
      </c>
      <c r="B696" s="22" t="inlineStr">
        <is>
          <t>POS</t>
        </is>
      </c>
      <c r="C696" s="22" t="inlineStr">
        <is>
          <t>TV &amp; Video</t>
        </is>
      </c>
      <c r="D696" s="22" t="n">
        <v>88308.87</v>
      </c>
      <c r="E696" s="22" t="n">
        <v>538</v>
      </c>
      <c r="F696" s="22" t="n">
        <v>192</v>
      </c>
    </row>
    <row r="697">
      <c r="A697" s="22" t="n">
        <v>201909</v>
      </c>
      <c r="B697" s="22" t="inlineStr">
        <is>
          <t>ONLINE</t>
        </is>
      </c>
      <c r="C697" s="22" t="inlineStr">
        <is>
          <t>Âm thanh</t>
        </is>
      </c>
      <c r="D697" s="22" t="n">
        <v>20417.79</v>
      </c>
      <c r="E697" s="22" t="n">
        <v>956.58</v>
      </c>
      <c r="F697" s="22" t="n">
        <v>144</v>
      </c>
    </row>
    <row r="698">
      <c r="A698" s="22" t="n">
        <v>201909</v>
      </c>
      <c r="B698" s="22" t="inlineStr">
        <is>
          <t>ONLINE</t>
        </is>
      </c>
      <c r="C698" s="22" t="inlineStr">
        <is>
          <t>Máy ảnh</t>
        </is>
      </c>
      <c r="D698" s="22" t="n">
        <v>46003.5</v>
      </c>
      <c r="E698" s="22" t="n">
        <v>1022.2</v>
      </c>
      <c r="F698" s="22" t="n">
        <v>122</v>
      </c>
    </row>
    <row r="699">
      <c r="A699" s="22" t="n">
        <v>201909</v>
      </c>
      <c r="B699" s="22" t="inlineStr">
        <is>
          <t>ONLINE</t>
        </is>
      </c>
      <c r="C699" s="22" t="inlineStr">
        <is>
          <t>Điện thoại</t>
        </is>
      </c>
      <c r="D699" s="22" t="n">
        <v>43868.38</v>
      </c>
      <c r="E699" s="22" t="n">
        <v>37.45</v>
      </c>
      <c r="F699" s="22" t="n">
        <v>228</v>
      </c>
    </row>
    <row r="700">
      <c r="A700" s="22" t="n">
        <v>201909</v>
      </c>
      <c r="B700" s="22" t="inlineStr">
        <is>
          <t>ONLINE</t>
        </is>
      </c>
      <c r="C700" s="22" t="inlineStr">
        <is>
          <t>Máy tính</t>
        </is>
      </c>
      <c r="D700" s="22" t="n">
        <v>108457.84</v>
      </c>
      <c r="E700" s="22" t="n">
        <v>1461.78</v>
      </c>
      <c r="F700" s="22" t="n">
        <v>287</v>
      </c>
    </row>
    <row r="701">
      <c r="A701" s="22" t="n">
        <v>201909</v>
      </c>
      <c r="B701" s="22" t="inlineStr">
        <is>
          <t>ONLINE</t>
        </is>
      </c>
      <c r="C701" s="22" t="inlineStr">
        <is>
          <t>Game &amp; Đồ chơi</t>
        </is>
      </c>
      <c r="D701" s="22" t="n">
        <v>6259.98</v>
      </c>
      <c r="E701" s="22" t="n">
        <v>162.68</v>
      </c>
      <c r="F701" s="22" t="n">
        <v>199</v>
      </c>
    </row>
    <row r="702">
      <c r="A702" s="22" t="n">
        <v>201909</v>
      </c>
      <c r="B702" s="22" t="inlineStr">
        <is>
          <t>ONLINE</t>
        </is>
      </c>
      <c r="C702" s="22" t="inlineStr">
        <is>
          <t>Gia dụng</t>
        </is>
      </c>
      <c r="D702" s="22" t="n">
        <v>14762.72</v>
      </c>
      <c r="E702" s="22" t="n">
        <v>0</v>
      </c>
      <c r="F702" s="22" t="n">
        <v>32</v>
      </c>
    </row>
    <row r="703">
      <c r="A703" s="22" t="n">
        <v>201909</v>
      </c>
      <c r="B703" s="22" t="inlineStr">
        <is>
          <t>ONLINE</t>
        </is>
      </c>
      <c r="C703" s="22" t="inlineStr">
        <is>
          <t>Nhạc, phim, sách nói</t>
        </is>
      </c>
      <c r="D703" s="22" t="n">
        <v>14791.97</v>
      </c>
      <c r="E703" s="22" t="n">
        <v>16.19</v>
      </c>
      <c r="F703" s="22" t="n">
        <v>162</v>
      </c>
    </row>
    <row r="704">
      <c r="A704" s="22" t="n">
        <v>201909</v>
      </c>
      <c r="B704" s="22" t="inlineStr">
        <is>
          <t>ONLINE</t>
        </is>
      </c>
      <c r="C704" s="22" t="inlineStr">
        <is>
          <t>TV &amp; Video</t>
        </is>
      </c>
      <c r="D704" s="22" t="n">
        <v>30398.2</v>
      </c>
      <c r="E704" s="22" t="n">
        <v>0</v>
      </c>
      <c r="F704" s="22" t="n">
        <v>56</v>
      </c>
    </row>
    <row r="705">
      <c r="A705" s="22" t="n">
        <v>201909</v>
      </c>
      <c r="B705" s="22" t="inlineStr">
        <is>
          <t>POS</t>
        </is>
      </c>
      <c r="C705" s="22" t="inlineStr">
        <is>
          <t>Âm thanh</t>
        </is>
      </c>
      <c r="D705" s="22" t="n">
        <v>68260.12</v>
      </c>
      <c r="E705" s="22" t="n">
        <v>2485.82</v>
      </c>
      <c r="F705" s="22" t="n">
        <v>489</v>
      </c>
    </row>
    <row r="706">
      <c r="A706" s="22" t="n">
        <v>201909</v>
      </c>
      <c r="B706" s="22" t="inlineStr">
        <is>
          <t>POS</t>
        </is>
      </c>
      <c r="C706" s="22" t="inlineStr">
        <is>
          <t>Máy ảnh</t>
        </is>
      </c>
      <c r="D706" s="22" t="n">
        <v>173933.64</v>
      </c>
      <c r="E706" s="22" t="n">
        <v>4658.78</v>
      </c>
      <c r="F706" s="22" t="n">
        <v>482</v>
      </c>
    </row>
    <row r="707">
      <c r="A707" s="22" t="n">
        <v>201909</v>
      </c>
      <c r="B707" s="22" t="inlineStr">
        <is>
          <t>POS</t>
        </is>
      </c>
      <c r="C707" s="22" t="inlineStr">
        <is>
          <t>Điện thoại</t>
        </is>
      </c>
      <c r="D707" s="22" t="n">
        <v>128204.64</v>
      </c>
      <c r="E707" s="22" t="n">
        <v>1291.64</v>
      </c>
      <c r="F707" s="22" t="n">
        <v>780</v>
      </c>
    </row>
    <row r="708">
      <c r="A708" s="22" t="n">
        <v>201909</v>
      </c>
      <c r="B708" s="22" t="inlineStr">
        <is>
          <t>POS</t>
        </is>
      </c>
      <c r="C708" s="22" t="inlineStr">
        <is>
          <t>Máy tính</t>
        </is>
      </c>
      <c r="D708" s="22" t="n">
        <v>439214.81</v>
      </c>
      <c r="E708" s="22" t="n">
        <v>4335.8</v>
      </c>
      <c r="F708" s="22" t="n">
        <v>1040</v>
      </c>
    </row>
    <row r="709">
      <c r="A709" s="22" t="n">
        <v>201909</v>
      </c>
      <c r="B709" s="22" t="inlineStr">
        <is>
          <t>POS</t>
        </is>
      </c>
      <c r="C709" s="22" t="inlineStr">
        <is>
          <t>Game &amp; Đồ chơi</t>
        </is>
      </c>
      <c r="D709" s="22" t="n">
        <v>16580.89</v>
      </c>
      <c r="E709" s="22" t="n">
        <v>456.97</v>
      </c>
      <c r="F709" s="22" t="n">
        <v>655</v>
      </c>
    </row>
    <row r="710">
      <c r="A710" s="22" t="n">
        <v>201909</v>
      </c>
      <c r="B710" s="22" t="inlineStr">
        <is>
          <t>POS</t>
        </is>
      </c>
      <c r="C710" s="22" t="inlineStr">
        <is>
          <t>Gia dụng</t>
        </is>
      </c>
      <c r="D710" s="22" t="n">
        <v>147532.82</v>
      </c>
      <c r="E710" s="22" t="n">
        <v>10906.43</v>
      </c>
      <c r="F710" s="22" t="n">
        <v>223</v>
      </c>
    </row>
    <row r="711">
      <c r="A711" s="22" t="n">
        <v>201909</v>
      </c>
      <c r="B711" s="22" t="inlineStr">
        <is>
          <t>POS</t>
        </is>
      </c>
      <c r="C711" s="22" t="inlineStr">
        <is>
          <t>Nhạc, phim, sách nói</t>
        </is>
      </c>
      <c r="D711" s="22" t="n">
        <v>78853.02</v>
      </c>
      <c r="E711" s="22" t="n">
        <v>926.53</v>
      </c>
      <c r="F711" s="22" t="n">
        <v>763</v>
      </c>
    </row>
    <row r="712">
      <c r="A712" s="22" t="n">
        <v>201909</v>
      </c>
      <c r="B712" s="22" t="inlineStr">
        <is>
          <t>POS</t>
        </is>
      </c>
      <c r="C712" s="22" t="inlineStr">
        <is>
          <t>TV &amp; Video</t>
        </is>
      </c>
      <c r="D712" s="22" t="n">
        <v>124082.62</v>
      </c>
      <c r="E712" s="22" t="n">
        <v>2677.11</v>
      </c>
      <c r="F712" s="22" t="n">
        <v>175</v>
      </c>
    </row>
    <row r="713">
      <c r="A713" s="22" t="n">
        <v>201910</v>
      </c>
      <c r="B713" s="22" t="inlineStr">
        <is>
          <t>ONLINE</t>
        </is>
      </c>
      <c r="C713" s="22" t="inlineStr">
        <is>
          <t>Âm thanh</t>
        </is>
      </c>
      <c r="D713" s="22" t="n">
        <v>19185.33</v>
      </c>
      <c r="E713" s="22" t="n">
        <v>1228.5</v>
      </c>
      <c r="F713" s="22" t="n">
        <v>162</v>
      </c>
    </row>
    <row r="714">
      <c r="A714" s="22" t="n">
        <v>201910</v>
      </c>
      <c r="B714" s="22" t="inlineStr">
        <is>
          <t>ONLINE</t>
        </is>
      </c>
      <c r="C714" s="22" t="inlineStr">
        <is>
          <t>Máy ảnh</t>
        </is>
      </c>
      <c r="D714" s="22" t="n">
        <v>36455.97</v>
      </c>
      <c r="E714" s="22" t="n">
        <v>1354.42</v>
      </c>
      <c r="F714" s="22" t="n">
        <v>112</v>
      </c>
    </row>
    <row r="715">
      <c r="A715" s="22" t="n">
        <v>201910</v>
      </c>
      <c r="B715" s="22" t="inlineStr">
        <is>
          <t>ONLINE</t>
        </is>
      </c>
      <c r="C715" s="22" t="inlineStr">
        <is>
          <t>Điện thoại</t>
        </is>
      </c>
      <c r="D715" s="22" t="n">
        <v>38045.78</v>
      </c>
      <c r="E715" s="22" t="n">
        <v>839.98</v>
      </c>
      <c r="F715" s="22" t="n">
        <v>193</v>
      </c>
    </row>
    <row r="716">
      <c r="A716" s="22" t="n">
        <v>201910</v>
      </c>
      <c r="B716" s="22" t="inlineStr">
        <is>
          <t>ONLINE</t>
        </is>
      </c>
      <c r="C716" s="22" t="inlineStr">
        <is>
          <t>Máy tính</t>
        </is>
      </c>
      <c r="D716" s="22" t="n">
        <v>135534.91</v>
      </c>
      <c r="E716" s="22" t="n">
        <v>5801.55</v>
      </c>
      <c r="F716" s="22" t="n">
        <v>313</v>
      </c>
    </row>
    <row r="717">
      <c r="A717" s="22" t="n">
        <v>201910</v>
      </c>
      <c r="B717" s="22" t="inlineStr">
        <is>
          <t>ONLINE</t>
        </is>
      </c>
      <c r="C717" s="22" t="inlineStr">
        <is>
          <t>Game &amp; Đồ chơi</t>
        </is>
      </c>
      <c r="D717" s="22" t="n">
        <v>8629.68</v>
      </c>
      <c r="E717" s="22" t="n">
        <v>182.13</v>
      </c>
      <c r="F717" s="22" t="n">
        <v>213</v>
      </c>
    </row>
    <row r="718">
      <c r="A718" s="22" t="n">
        <v>201910</v>
      </c>
      <c r="B718" s="22" t="inlineStr">
        <is>
          <t>ONLINE</t>
        </is>
      </c>
      <c r="C718" s="22" t="inlineStr">
        <is>
          <t>Gia dụng</t>
        </is>
      </c>
      <c r="D718" s="22" t="n">
        <v>12793.31</v>
      </c>
      <c r="E718" s="22" t="n">
        <v>0</v>
      </c>
      <c r="F718" s="22" t="n">
        <v>52</v>
      </c>
    </row>
    <row r="719">
      <c r="A719" s="22" t="n">
        <v>201910</v>
      </c>
      <c r="B719" s="22" t="inlineStr">
        <is>
          <t>ONLINE</t>
        </is>
      </c>
      <c r="C719" s="22" t="inlineStr">
        <is>
          <t>Nhạc, phim, sách nói</t>
        </is>
      </c>
      <c r="D719" s="22" t="n">
        <v>12392.31</v>
      </c>
      <c r="E719" s="22" t="n">
        <v>0</v>
      </c>
      <c r="F719" s="22" t="n">
        <v>125</v>
      </c>
    </row>
    <row r="720">
      <c r="A720" s="22" t="n">
        <v>201910</v>
      </c>
      <c r="B720" s="22" t="inlineStr">
        <is>
          <t>ONLINE</t>
        </is>
      </c>
      <c r="C720" s="22" t="inlineStr">
        <is>
          <t>TV &amp; Video</t>
        </is>
      </c>
      <c r="D720" s="22" t="n">
        <v>38182.23</v>
      </c>
      <c r="E720" s="22" t="n">
        <v>0</v>
      </c>
      <c r="F720" s="22" t="n">
        <v>78</v>
      </c>
    </row>
    <row r="721">
      <c r="A721" s="22" t="n">
        <v>201910</v>
      </c>
      <c r="B721" s="22" t="inlineStr">
        <is>
          <t>POS</t>
        </is>
      </c>
      <c r="C721" s="22" t="inlineStr">
        <is>
          <t>Âm thanh</t>
        </is>
      </c>
      <c r="D721" s="22" t="n">
        <v>66639.72</v>
      </c>
      <c r="E721" s="22" t="n">
        <v>313.93</v>
      </c>
      <c r="F721" s="22" t="n">
        <v>534</v>
      </c>
    </row>
    <row r="722">
      <c r="A722" s="22" t="n">
        <v>201910</v>
      </c>
      <c r="B722" s="22" t="inlineStr">
        <is>
          <t>POS</t>
        </is>
      </c>
      <c r="C722" s="22" t="inlineStr">
        <is>
          <t>Máy ảnh</t>
        </is>
      </c>
      <c r="D722" s="22" t="n">
        <v>194762.9</v>
      </c>
      <c r="E722" s="22" t="n">
        <v>3064</v>
      </c>
      <c r="F722" s="22" t="n">
        <v>458</v>
      </c>
    </row>
    <row r="723">
      <c r="A723" s="22" t="n">
        <v>201910</v>
      </c>
      <c r="B723" s="22" t="inlineStr">
        <is>
          <t>POS</t>
        </is>
      </c>
      <c r="C723" s="22" t="inlineStr">
        <is>
          <t>Điện thoại</t>
        </is>
      </c>
      <c r="D723" s="22" t="n">
        <v>153817.5</v>
      </c>
      <c r="E723" s="22" t="n">
        <v>3324.9</v>
      </c>
      <c r="F723" s="22" t="n">
        <v>885</v>
      </c>
    </row>
    <row r="724">
      <c r="A724" s="22" t="n">
        <v>201910</v>
      </c>
      <c r="B724" s="22" t="inlineStr">
        <is>
          <t>POS</t>
        </is>
      </c>
      <c r="C724" s="22" t="inlineStr">
        <is>
          <t>Máy tính</t>
        </is>
      </c>
      <c r="D724" s="22" t="n">
        <v>449864.55</v>
      </c>
      <c r="E724" s="22" t="n">
        <v>14544.29</v>
      </c>
      <c r="F724" s="22" t="n">
        <v>1130</v>
      </c>
    </row>
    <row r="725">
      <c r="A725" s="22" t="n">
        <v>201910</v>
      </c>
      <c r="B725" s="22" t="inlineStr">
        <is>
          <t>POS</t>
        </is>
      </c>
      <c r="C725" s="22" t="inlineStr">
        <is>
          <t>Game &amp; Đồ chơi</t>
        </is>
      </c>
      <c r="D725" s="22" t="n">
        <v>23567.99</v>
      </c>
      <c r="E725" s="22" t="n">
        <v>669.8200000000001</v>
      </c>
      <c r="F725" s="22" t="n">
        <v>706</v>
      </c>
    </row>
    <row r="726">
      <c r="A726" s="22" t="n">
        <v>201910</v>
      </c>
      <c r="B726" s="22" t="inlineStr">
        <is>
          <t>POS</t>
        </is>
      </c>
      <c r="C726" s="22" t="inlineStr">
        <is>
          <t>Gia dụng</t>
        </is>
      </c>
      <c r="D726" s="22" t="n">
        <v>151690.65</v>
      </c>
      <c r="E726" s="22" t="n">
        <v>2375.24</v>
      </c>
      <c r="F726" s="22" t="n">
        <v>285</v>
      </c>
    </row>
    <row r="727">
      <c r="A727" s="22" t="n">
        <v>201910</v>
      </c>
      <c r="B727" s="22" t="inlineStr">
        <is>
          <t>POS</t>
        </is>
      </c>
      <c r="C727" s="22" t="inlineStr">
        <is>
          <t>Nhạc, phim, sách nói</t>
        </is>
      </c>
      <c r="D727" s="22" t="n">
        <v>82242.49000000001</v>
      </c>
      <c r="E727" s="22" t="n">
        <v>2261.62</v>
      </c>
      <c r="F727" s="22" t="n">
        <v>735</v>
      </c>
    </row>
    <row r="728">
      <c r="A728" s="22" t="n">
        <v>201910</v>
      </c>
      <c r="B728" s="22" t="inlineStr">
        <is>
          <t>POS</t>
        </is>
      </c>
      <c r="C728" s="22" t="inlineStr">
        <is>
          <t>TV &amp; Video</t>
        </is>
      </c>
      <c r="D728" s="22" t="n">
        <v>100460.93</v>
      </c>
      <c r="E728" s="22" t="n">
        <v>0</v>
      </c>
      <c r="F728" s="22" t="n">
        <v>235</v>
      </c>
    </row>
    <row r="729">
      <c r="A729" s="22" t="n">
        <v>201911</v>
      </c>
      <c r="B729" s="22" t="inlineStr">
        <is>
          <t>ONLINE</t>
        </is>
      </c>
      <c r="C729" s="22" t="inlineStr">
        <is>
          <t>Âm thanh</t>
        </is>
      </c>
      <c r="D729" s="22" t="n">
        <v>21937.25</v>
      </c>
      <c r="E729" s="22" t="n">
        <v>282.94</v>
      </c>
      <c r="F729" s="22" t="n">
        <v>140</v>
      </c>
    </row>
    <row r="730">
      <c r="A730" s="22" t="n">
        <v>201911</v>
      </c>
      <c r="B730" s="22" t="inlineStr">
        <is>
          <t>ONLINE</t>
        </is>
      </c>
      <c r="C730" s="22" t="inlineStr">
        <is>
          <t>Máy ảnh</t>
        </is>
      </c>
      <c r="D730" s="22" t="n">
        <v>41836.09</v>
      </c>
      <c r="E730" s="22" t="n">
        <v>723.6</v>
      </c>
      <c r="F730" s="22" t="n">
        <v>114</v>
      </c>
    </row>
    <row r="731">
      <c r="A731" s="22" t="n">
        <v>201911</v>
      </c>
      <c r="B731" s="22" t="inlineStr">
        <is>
          <t>ONLINE</t>
        </is>
      </c>
      <c r="C731" s="22" t="inlineStr">
        <is>
          <t>Điện thoại</t>
        </is>
      </c>
      <c r="D731" s="22" t="n">
        <v>56529.51</v>
      </c>
      <c r="E731" s="22" t="n">
        <v>668</v>
      </c>
      <c r="F731" s="22" t="n">
        <v>272</v>
      </c>
    </row>
    <row r="732">
      <c r="A732" s="22" t="n">
        <v>201911</v>
      </c>
      <c r="B732" s="22" t="inlineStr">
        <is>
          <t>ONLINE</t>
        </is>
      </c>
      <c r="C732" s="22" t="inlineStr">
        <is>
          <t>Máy tính</t>
        </is>
      </c>
      <c r="D732" s="22" t="n">
        <v>173559.56</v>
      </c>
      <c r="E732" s="22" t="n">
        <v>5224.24</v>
      </c>
      <c r="F732" s="22" t="n">
        <v>367</v>
      </c>
    </row>
    <row r="733">
      <c r="A733" s="22" t="n">
        <v>201911</v>
      </c>
      <c r="B733" s="22" t="inlineStr">
        <is>
          <t>ONLINE</t>
        </is>
      </c>
      <c r="C733" s="22" t="inlineStr">
        <is>
          <t>Game &amp; Đồ chơi</t>
        </is>
      </c>
      <c r="D733" s="22" t="n">
        <v>7212.04</v>
      </c>
      <c r="E733" s="22" t="n">
        <v>43</v>
      </c>
      <c r="F733" s="22" t="n">
        <v>255</v>
      </c>
    </row>
    <row r="734">
      <c r="A734" s="22" t="n">
        <v>201911</v>
      </c>
      <c r="B734" s="22" t="inlineStr">
        <is>
          <t>ONLINE</t>
        </is>
      </c>
      <c r="C734" s="22" t="inlineStr">
        <is>
          <t>Gia dụng</t>
        </is>
      </c>
      <c r="D734" s="22" t="n">
        <v>54522.92</v>
      </c>
      <c r="E734" s="22" t="n">
        <v>800.04</v>
      </c>
      <c r="F734" s="22" t="n">
        <v>82</v>
      </c>
    </row>
    <row r="735">
      <c r="A735" s="22" t="n">
        <v>201911</v>
      </c>
      <c r="B735" s="22" t="inlineStr">
        <is>
          <t>ONLINE</t>
        </is>
      </c>
      <c r="C735" s="22" t="inlineStr">
        <is>
          <t>Nhạc, phim, sách nói</t>
        </is>
      </c>
      <c r="D735" s="22" t="n">
        <v>19844.77</v>
      </c>
      <c r="E735" s="22" t="n">
        <v>57.88</v>
      </c>
      <c r="F735" s="22" t="n">
        <v>162</v>
      </c>
    </row>
    <row r="736">
      <c r="A736" s="22" t="n">
        <v>201911</v>
      </c>
      <c r="B736" s="22" t="inlineStr">
        <is>
          <t>ONLINE</t>
        </is>
      </c>
      <c r="C736" s="22" t="inlineStr">
        <is>
          <t>TV &amp; Video</t>
        </is>
      </c>
      <c r="D736" s="22" t="n">
        <v>38154.54</v>
      </c>
      <c r="E736" s="22" t="n">
        <v>0</v>
      </c>
      <c r="F736" s="22" t="n">
        <v>53</v>
      </c>
    </row>
    <row r="737">
      <c r="A737" s="22" t="n">
        <v>201911</v>
      </c>
      <c r="B737" s="22" t="inlineStr">
        <is>
          <t>POS</t>
        </is>
      </c>
      <c r="C737" s="22" t="inlineStr">
        <is>
          <t>Âm thanh</t>
        </is>
      </c>
      <c r="D737" s="22" t="n">
        <v>70896.88</v>
      </c>
      <c r="E737" s="22" t="n">
        <v>2443.72</v>
      </c>
      <c r="F737" s="22" t="n">
        <v>492</v>
      </c>
    </row>
    <row r="738">
      <c r="A738" s="22" t="n">
        <v>201911</v>
      </c>
      <c r="B738" s="22" t="inlineStr">
        <is>
          <t>POS</t>
        </is>
      </c>
      <c r="C738" s="22" t="inlineStr">
        <is>
          <t>Máy ảnh</t>
        </is>
      </c>
      <c r="D738" s="22" t="n">
        <v>120271.03</v>
      </c>
      <c r="E738" s="22" t="n">
        <v>2481</v>
      </c>
      <c r="F738" s="22" t="n">
        <v>346</v>
      </c>
    </row>
    <row r="739">
      <c r="A739" s="22" t="n">
        <v>201911</v>
      </c>
      <c r="B739" s="22" t="inlineStr">
        <is>
          <t>POS</t>
        </is>
      </c>
      <c r="C739" s="22" t="inlineStr">
        <is>
          <t>Điện thoại</t>
        </is>
      </c>
      <c r="D739" s="22" t="n">
        <v>150736.54</v>
      </c>
      <c r="E739" s="22" t="n">
        <v>5673.42</v>
      </c>
      <c r="F739" s="22" t="n">
        <v>803</v>
      </c>
    </row>
    <row r="740">
      <c r="A740" s="22" t="n">
        <v>201911</v>
      </c>
      <c r="B740" s="22" t="inlineStr">
        <is>
          <t>POS</t>
        </is>
      </c>
      <c r="C740" s="22" t="inlineStr">
        <is>
          <t>Máy tính</t>
        </is>
      </c>
      <c r="D740" s="22" t="n">
        <v>442800.29</v>
      </c>
      <c r="E740" s="22" t="n">
        <v>13930.45</v>
      </c>
      <c r="F740" s="22" t="n">
        <v>1052</v>
      </c>
    </row>
    <row r="741">
      <c r="A741" s="22" t="n">
        <v>201911</v>
      </c>
      <c r="B741" s="22" t="inlineStr">
        <is>
          <t>POS</t>
        </is>
      </c>
      <c r="C741" s="22" t="inlineStr">
        <is>
          <t>Game &amp; Đồ chơi</t>
        </is>
      </c>
      <c r="D741" s="22" t="n">
        <v>19231.7</v>
      </c>
      <c r="E741" s="22" t="n">
        <v>528.28</v>
      </c>
      <c r="F741" s="22" t="n">
        <v>629</v>
      </c>
    </row>
    <row r="742">
      <c r="A742" s="22" t="n">
        <v>201911</v>
      </c>
      <c r="B742" s="22" t="inlineStr">
        <is>
          <t>POS</t>
        </is>
      </c>
      <c r="C742" s="22" t="inlineStr">
        <is>
          <t>Gia dụng</t>
        </is>
      </c>
      <c r="D742" s="22" t="n">
        <v>144865.43</v>
      </c>
      <c r="E742" s="22" t="n">
        <v>4458.74</v>
      </c>
      <c r="F742" s="22" t="n">
        <v>259</v>
      </c>
    </row>
    <row r="743">
      <c r="A743" s="22" t="n">
        <v>201911</v>
      </c>
      <c r="B743" s="22" t="inlineStr">
        <is>
          <t>POS</t>
        </is>
      </c>
      <c r="C743" s="22" t="inlineStr">
        <is>
          <t>Nhạc, phim, sách nói</t>
        </is>
      </c>
      <c r="D743" s="22" t="n">
        <v>68573.33</v>
      </c>
      <c r="E743" s="22" t="n">
        <v>555.59</v>
      </c>
      <c r="F743" s="22" t="n">
        <v>661</v>
      </c>
    </row>
    <row r="744">
      <c r="A744" s="22" t="n">
        <v>201911</v>
      </c>
      <c r="B744" s="22" t="inlineStr">
        <is>
          <t>POS</t>
        </is>
      </c>
      <c r="C744" s="22" t="inlineStr">
        <is>
          <t>TV &amp; Video</t>
        </is>
      </c>
      <c r="D744" s="22" t="n">
        <v>170278.88</v>
      </c>
      <c r="E744" s="22" t="n">
        <v>0</v>
      </c>
      <c r="F744" s="22" t="n">
        <v>239</v>
      </c>
    </row>
    <row r="745">
      <c r="A745" s="22" t="n">
        <v>201912</v>
      </c>
      <c r="B745" s="22" t="inlineStr">
        <is>
          <t>ONLINE</t>
        </is>
      </c>
      <c r="C745" s="22" t="inlineStr">
        <is>
          <t>Âm thanh</t>
        </is>
      </c>
      <c r="D745" s="22" t="n">
        <v>24699.49</v>
      </c>
      <c r="E745" s="22" t="n">
        <v>86.28</v>
      </c>
      <c r="F745" s="22" t="n">
        <v>199</v>
      </c>
    </row>
    <row r="746">
      <c r="A746" s="22" t="n">
        <v>201912</v>
      </c>
      <c r="B746" s="22" t="inlineStr">
        <is>
          <t>ONLINE</t>
        </is>
      </c>
      <c r="C746" s="22" t="inlineStr">
        <is>
          <t>Máy ảnh</t>
        </is>
      </c>
      <c r="D746" s="22" t="n">
        <v>52684.39</v>
      </c>
      <c r="E746" s="22" t="n">
        <v>1635.26</v>
      </c>
      <c r="F746" s="22" t="n">
        <v>209</v>
      </c>
    </row>
    <row r="747">
      <c r="A747" s="22" t="n">
        <v>201912</v>
      </c>
      <c r="B747" s="22" t="inlineStr">
        <is>
          <t>ONLINE</t>
        </is>
      </c>
      <c r="C747" s="22" t="inlineStr">
        <is>
          <t>Điện thoại</t>
        </is>
      </c>
      <c r="D747" s="22" t="n">
        <v>66386.44</v>
      </c>
      <c r="E747" s="22" t="n">
        <v>300</v>
      </c>
      <c r="F747" s="22" t="n">
        <v>340</v>
      </c>
    </row>
    <row r="748">
      <c r="A748" s="22" t="n">
        <v>201912</v>
      </c>
      <c r="B748" s="22" t="inlineStr">
        <is>
          <t>ONLINE</t>
        </is>
      </c>
      <c r="C748" s="22" t="inlineStr">
        <is>
          <t>Máy tính</t>
        </is>
      </c>
      <c r="D748" s="22" t="n">
        <v>167908.74</v>
      </c>
      <c r="E748" s="22" t="n">
        <v>1301.19</v>
      </c>
      <c r="F748" s="22" t="n">
        <v>473</v>
      </c>
    </row>
    <row r="749">
      <c r="A749" s="22" t="n">
        <v>201912</v>
      </c>
      <c r="B749" s="22" t="inlineStr">
        <is>
          <t>ONLINE</t>
        </is>
      </c>
      <c r="C749" s="22" t="inlineStr">
        <is>
          <t>Game &amp; Đồ chơi</t>
        </is>
      </c>
      <c r="D749" s="22" t="n">
        <v>7132.69</v>
      </c>
      <c r="E749" s="22" t="n">
        <v>272.57</v>
      </c>
      <c r="F749" s="22" t="n">
        <v>315</v>
      </c>
    </row>
    <row r="750">
      <c r="A750" s="22" t="n">
        <v>201912</v>
      </c>
      <c r="B750" s="22" t="inlineStr">
        <is>
          <t>ONLINE</t>
        </is>
      </c>
      <c r="C750" s="22" t="inlineStr">
        <is>
          <t>Gia dụng</t>
        </is>
      </c>
      <c r="D750" s="22" t="n">
        <v>54953.42</v>
      </c>
      <c r="E750" s="22" t="n">
        <v>0</v>
      </c>
      <c r="F750" s="22" t="n">
        <v>130</v>
      </c>
    </row>
    <row r="751">
      <c r="A751" s="22" t="n">
        <v>201912</v>
      </c>
      <c r="B751" s="22" t="inlineStr">
        <is>
          <t>ONLINE</t>
        </is>
      </c>
      <c r="C751" s="22" t="inlineStr">
        <is>
          <t>Nhạc, phim, sách nói</t>
        </is>
      </c>
      <c r="D751" s="22" t="n">
        <v>32158.59</v>
      </c>
      <c r="E751" s="22" t="n">
        <v>0</v>
      </c>
      <c r="F751" s="22" t="n">
        <v>280</v>
      </c>
    </row>
    <row r="752">
      <c r="A752" s="22" t="n">
        <v>201912</v>
      </c>
      <c r="B752" s="22" t="inlineStr">
        <is>
          <t>ONLINE</t>
        </is>
      </c>
      <c r="C752" s="22" t="inlineStr">
        <is>
          <t>TV &amp; Video</t>
        </is>
      </c>
      <c r="D752" s="22" t="n">
        <v>31463.06</v>
      </c>
      <c r="E752" s="22" t="n">
        <v>4244.47</v>
      </c>
      <c r="F752" s="22" t="n">
        <v>78</v>
      </c>
    </row>
    <row r="753">
      <c r="A753" s="22" t="n">
        <v>201912</v>
      </c>
      <c r="B753" s="22" t="inlineStr">
        <is>
          <t>POS</t>
        </is>
      </c>
      <c r="C753" s="22" t="inlineStr">
        <is>
          <t>Âm thanh</t>
        </is>
      </c>
      <c r="D753" s="22" t="n">
        <v>96986.2</v>
      </c>
      <c r="E753" s="22" t="n">
        <v>2728.04</v>
      </c>
      <c r="F753" s="22" t="n">
        <v>742</v>
      </c>
    </row>
    <row r="754">
      <c r="A754" s="22" t="n">
        <v>201912</v>
      </c>
      <c r="B754" s="22" t="inlineStr">
        <is>
          <t>POS</t>
        </is>
      </c>
      <c r="C754" s="22" t="inlineStr">
        <is>
          <t>Máy ảnh</t>
        </is>
      </c>
      <c r="D754" s="22" t="n">
        <v>262992.01</v>
      </c>
      <c r="E754" s="22" t="n">
        <v>1589.58</v>
      </c>
      <c r="F754" s="22" t="n">
        <v>696</v>
      </c>
    </row>
    <row r="755">
      <c r="A755" s="22" t="n">
        <v>201912</v>
      </c>
      <c r="B755" s="22" t="inlineStr">
        <is>
          <t>POS</t>
        </is>
      </c>
      <c r="C755" s="22" t="inlineStr">
        <is>
          <t>Điện thoại</t>
        </is>
      </c>
      <c r="D755" s="22" t="n">
        <v>243130.96</v>
      </c>
      <c r="E755" s="22" t="n">
        <v>3417.85</v>
      </c>
      <c r="F755" s="22" t="n">
        <v>1205</v>
      </c>
    </row>
    <row r="756">
      <c r="A756" s="22" t="n">
        <v>201912</v>
      </c>
      <c r="B756" s="22" t="inlineStr">
        <is>
          <t>POS</t>
        </is>
      </c>
      <c r="C756" s="22" t="inlineStr">
        <is>
          <t>Máy tính</t>
        </is>
      </c>
      <c r="D756" s="22" t="n">
        <v>669919.33</v>
      </c>
      <c r="E756" s="22" t="n">
        <v>28151.03</v>
      </c>
      <c r="F756" s="22" t="n">
        <v>1627</v>
      </c>
    </row>
    <row r="757">
      <c r="A757" s="22" t="n">
        <v>201912</v>
      </c>
      <c r="B757" s="22" t="inlineStr">
        <is>
          <t>POS</t>
        </is>
      </c>
      <c r="C757" s="22" t="inlineStr">
        <is>
          <t>Game &amp; Đồ chơi</t>
        </is>
      </c>
      <c r="D757" s="22" t="n">
        <v>27672.8</v>
      </c>
      <c r="E757" s="22" t="n">
        <v>381.15</v>
      </c>
      <c r="F757" s="22" t="n">
        <v>946</v>
      </c>
    </row>
    <row r="758">
      <c r="A758" s="22" t="n">
        <v>201912</v>
      </c>
      <c r="B758" s="22" t="inlineStr">
        <is>
          <t>POS</t>
        </is>
      </c>
      <c r="C758" s="22" t="inlineStr">
        <is>
          <t>Gia dụng</t>
        </is>
      </c>
      <c r="D758" s="22" t="n">
        <v>283508.97</v>
      </c>
      <c r="E758" s="22" t="n">
        <v>2066.74</v>
      </c>
      <c r="F758" s="22" t="n">
        <v>469</v>
      </c>
    </row>
    <row r="759">
      <c r="A759" s="22" t="n">
        <v>201912</v>
      </c>
      <c r="B759" s="22" t="inlineStr">
        <is>
          <t>POS</t>
        </is>
      </c>
      <c r="C759" s="22" t="inlineStr">
        <is>
          <t>Nhạc, phim, sách nói</t>
        </is>
      </c>
      <c r="D759" s="22" t="n">
        <v>106632.26</v>
      </c>
      <c r="E759" s="22" t="n">
        <v>892.16</v>
      </c>
      <c r="F759" s="22" t="n">
        <v>1071</v>
      </c>
    </row>
    <row r="760">
      <c r="A760" s="22" t="n">
        <v>201912</v>
      </c>
      <c r="B760" s="22" t="inlineStr">
        <is>
          <t>POS</t>
        </is>
      </c>
      <c r="C760" s="22" t="inlineStr">
        <is>
          <t>TV &amp; Video</t>
        </is>
      </c>
      <c r="D760" s="22" t="n">
        <v>188202.25</v>
      </c>
      <c r="E760" s="22" t="n">
        <v>5950.31</v>
      </c>
      <c r="F760" s="22" t="n">
        <v>343</v>
      </c>
    </row>
    <row r="761">
      <c r="A761" s="22" t="n">
        <v>202001</v>
      </c>
      <c r="B761" s="22" t="inlineStr">
        <is>
          <t>ONLINE</t>
        </is>
      </c>
      <c r="C761" s="22" t="inlineStr">
        <is>
          <t>Âm thanh</t>
        </is>
      </c>
      <c r="D761" s="22" t="n">
        <v>26203.04</v>
      </c>
      <c r="E761" s="22" t="n">
        <v>338.99</v>
      </c>
      <c r="F761" s="22" t="n">
        <v>179</v>
      </c>
    </row>
    <row r="762">
      <c r="A762" s="22" t="n">
        <v>202001</v>
      </c>
      <c r="B762" s="22" t="inlineStr">
        <is>
          <t>ONLINE</t>
        </is>
      </c>
      <c r="C762" s="22" t="inlineStr">
        <is>
          <t>Máy ảnh</t>
        </is>
      </c>
      <c r="D762" s="22" t="n">
        <v>54713.99</v>
      </c>
      <c r="E762" s="22" t="n">
        <v>31.6</v>
      </c>
      <c r="F762" s="22" t="n">
        <v>173</v>
      </c>
    </row>
    <row r="763">
      <c r="A763" s="22" t="n">
        <v>202001</v>
      </c>
      <c r="B763" s="22" t="inlineStr">
        <is>
          <t>ONLINE</t>
        </is>
      </c>
      <c r="C763" s="22" t="inlineStr">
        <is>
          <t>Điện thoại</t>
        </is>
      </c>
      <c r="D763" s="22" t="n">
        <v>53237.45</v>
      </c>
      <c r="E763" s="22" t="n">
        <v>854.1799999999999</v>
      </c>
      <c r="F763" s="22" t="n">
        <v>271</v>
      </c>
    </row>
    <row r="764">
      <c r="A764" s="22" t="n">
        <v>202001</v>
      </c>
      <c r="B764" s="22" t="inlineStr">
        <is>
          <t>ONLINE</t>
        </is>
      </c>
      <c r="C764" s="22" t="inlineStr">
        <is>
          <t>Máy tính</t>
        </is>
      </c>
      <c r="D764" s="22" t="n">
        <v>126136.83</v>
      </c>
      <c r="E764" s="22" t="n">
        <v>8037.45</v>
      </c>
      <c r="F764" s="22" t="n">
        <v>324</v>
      </c>
    </row>
    <row r="765">
      <c r="A765" s="22" t="n">
        <v>202001</v>
      </c>
      <c r="B765" s="22" t="inlineStr">
        <is>
          <t>ONLINE</t>
        </is>
      </c>
      <c r="C765" s="22" t="inlineStr">
        <is>
          <t>Game &amp; Đồ chơi</t>
        </is>
      </c>
      <c r="D765" s="22" t="n">
        <v>5276.64</v>
      </c>
      <c r="E765" s="22" t="n">
        <v>175.89</v>
      </c>
      <c r="F765" s="22" t="n">
        <v>216</v>
      </c>
    </row>
    <row r="766">
      <c r="A766" s="22" t="n">
        <v>202001</v>
      </c>
      <c r="B766" s="22" t="inlineStr">
        <is>
          <t>ONLINE</t>
        </is>
      </c>
      <c r="C766" s="22" t="inlineStr">
        <is>
          <t>Gia dụng</t>
        </is>
      </c>
      <c r="D766" s="22" t="n">
        <v>63137.69</v>
      </c>
      <c r="E766" s="22" t="n">
        <v>0</v>
      </c>
      <c r="F766" s="22" t="n">
        <v>86</v>
      </c>
    </row>
    <row r="767">
      <c r="A767" s="22" t="n">
        <v>202001</v>
      </c>
      <c r="B767" s="22" t="inlineStr">
        <is>
          <t>ONLINE</t>
        </is>
      </c>
      <c r="C767" s="22" t="inlineStr">
        <is>
          <t>Nhạc, phim, sách nói</t>
        </is>
      </c>
      <c r="D767" s="22" t="n">
        <v>21080.34</v>
      </c>
      <c r="E767" s="22" t="n">
        <v>761.34</v>
      </c>
      <c r="F767" s="22" t="n">
        <v>197</v>
      </c>
    </row>
    <row r="768">
      <c r="A768" s="22" t="n">
        <v>202001</v>
      </c>
      <c r="B768" s="22" t="inlineStr">
        <is>
          <t>ONLINE</t>
        </is>
      </c>
      <c r="C768" s="22" t="inlineStr">
        <is>
          <t>TV &amp; Video</t>
        </is>
      </c>
      <c r="D768" s="22" t="n">
        <v>42124.82</v>
      </c>
      <c r="E768" s="22" t="n">
        <v>113.99</v>
      </c>
      <c r="F768" s="22" t="n">
        <v>90</v>
      </c>
    </row>
    <row r="769">
      <c r="A769" s="22" t="n">
        <v>202001</v>
      </c>
      <c r="B769" s="22" t="inlineStr">
        <is>
          <t>POS</t>
        </is>
      </c>
      <c r="C769" s="22" t="inlineStr">
        <is>
          <t>Âm thanh</t>
        </is>
      </c>
      <c r="D769" s="22" t="n">
        <v>91140.05</v>
      </c>
      <c r="E769" s="22" t="n">
        <v>1769.55</v>
      </c>
      <c r="F769" s="22" t="n">
        <v>667</v>
      </c>
    </row>
    <row r="770">
      <c r="A770" s="22" t="n">
        <v>202001</v>
      </c>
      <c r="B770" s="22" t="inlineStr">
        <is>
          <t>POS</t>
        </is>
      </c>
      <c r="C770" s="22" t="inlineStr">
        <is>
          <t>Máy ảnh</t>
        </is>
      </c>
      <c r="D770" s="22" t="n">
        <v>251422.39</v>
      </c>
      <c r="E770" s="22" t="n">
        <v>2417.47</v>
      </c>
      <c r="F770" s="22" t="n">
        <v>581</v>
      </c>
    </row>
    <row r="771">
      <c r="A771" s="22" t="n">
        <v>202001</v>
      </c>
      <c r="B771" s="22" t="inlineStr">
        <is>
          <t>POS</t>
        </is>
      </c>
      <c r="C771" s="22" t="inlineStr">
        <is>
          <t>Điện thoại</t>
        </is>
      </c>
      <c r="D771" s="22" t="n">
        <v>207471.4</v>
      </c>
      <c r="E771" s="22" t="n">
        <v>9368.440000000001</v>
      </c>
      <c r="F771" s="22" t="n">
        <v>1055</v>
      </c>
    </row>
    <row r="772">
      <c r="A772" s="22" t="n">
        <v>202001</v>
      </c>
      <c r="B772" s="22" t="inlineStr">
        <is>
          <t>POS</t>
        </is>
      </c>
      <c r="C772" s="22" t="inlineStr">
        <is>
          <t>Máy tính</t>
        </is>
      </c>
      <c r="D772" s="22" t="n">
        <v>581335.72</v>
      </c>
      <c r="E772" s="22" t="n">
        <v>13763.64</v>
      </c>
      <c r="F772" s="22" t="n">
        <v>1311</v>
      </c>
    </row>
    <row r="773">
      <c r="A773" s="22" t="n">
        <v>202001</v>
      </c>
      <c r="B773" s="22" t="inlineStr">
        <is>
          <t>POS</t>
        </is>
      </c>
      <c r="C773" s="22" t="inlineStr">
        <is>
          <t>Game &amp; Đồ chơi</t>
        </is>
      </c>
      <c r="D773" s="22" t="n">
        <v>28165.73</v>
      </c>
      <c r="E773" s="22" t="n">
        <v>1085.91</v>
      </c>
      <c r="F773" s="22" t="n">
        <v>888</v>
      </c>
    </row>
    <row r="774">
      <c r="A774" s="22" t="n">
        <v>202001</v>
      </c>
      <c r="B774" s="22" t="inlineStr">
        <is>
          <t>POS</t>
        </is>
      </c>
      <c r="C774" s="22" t="inlineStr">
        <is>
          <t>Gia dụng</t>
        </is>
      </c>
      <c r="D774" s="22" t="n">
        <v>186652.96</v>
      </c>
      <c r="E774" s="22" t="n">
        <v>7155.51</v>
      </c>
      <c r="F774" s="22" t="n">
        <v>320</v>
      </c>
    </row>
    <row r="775">
      <c r="A775" s="22" t="n">
        <v>202001</v>
      </c>
      <c r="B775" s="22" t="inlineStr">
        <is>
          <t>POS</t>
        </is>
      </c>
      <c r="C775" s="22" t="inlineStr">
        <is>
          <t>Nhạc, phim, sách nói</t>
        </is>
      </c>
      <c r="D775" s="22" t="n">
        <v>92110.21000000001</v>
      </c>
      <c r="E775" s="22" t="n">
        <v>3114.86</v>
      </c>
      <c r="F775" s="22" t="n">
        <v>840</v>
      </c>
    </row>
    <row r="776">
      <c r="A776" s="22" t="n">
        <v>202001</v>
      </c>
      <c r="B776" s="22" t="inlineStr">
        <is>
          <t>POS</t>
        </is>
      </c>
      <c r="C776" s="22" t="inlineStr">
        <is>
          <t>TV &amp; Video</t>
        </is>
      </c>
      <c r="D776" s="22" t="n">
        <v>135035.32</v>
      </c>
      <c r="E776" s="22" t="n">
        <v>4920.84</v>
      </c>
      <c r="F776" s="22" t="n">
        <v>291</v>
      </c>
    </row>
    <row r="777">
      <c r="A777" s="22" t="n">
        <v>202002</v>
      </c>
      <c r="B777" s="22" t="inlineStr">
        <is>
          <t>ONLINE</t>
        </is>
      </c>
      <c r="C777" s="22" t="inlineStr">
        <is>
          <t>Âm thanh</t>
        </is>
      </c>
      <c r="D777" s="22" t="n">
        <v>22236.55</v>
      </c>
      <c r="E777" s="22" t="n">
        <v>0</v>
      </c>
      <c r="F777" s="22" t="n">
        <v>169</v>
      </c>
    </row>
    <row r="778">
      <c r="A778" s="22" t="n">
        <v>202002</v>
      </c>
      <c r="B778" s="22" t="inlineStr">
        <is>
          <t>ONLINE</t>
        </is>
      </c>
      <c r="C778" s="22" t="inlineStr">
        <is>
          <t>Máy ảnh</t>
        </is>
      </c>
      <c r="D778" s="22" t="n">
        <v>36512.69</v>
      </c>
      <c r="E778" s="22" t="n">
        <v>516</v>
      </c>
      <c r="F778" s="22" t="n">
        <v>134</v>
      </c>
    </row>
    <row r="779">
      <c r="A779" s="22" t="n">
        <v>202002</v>
      </c>
      <c r="B779" s="22" t="inlineStr">
        <is>
          <t>ONLINE</t>
        </is>
      </c>
      <c r="C779" s="22" t="inlineStr">
        <is>
          <t>Điện thoại</t>
        </is>
      </c>
      <c r="D779" s="22" t="n">
        <v>62023.48</v>
      </c>
      <c r="E779" s="22" t="n">
        <v>2132.99</v>
      </c>
      <c r="F779" s="22" t="n">
        <v>339</v>
      </c>
    </row>
    <row r="780">
      <c r="A780" s="22" t="n">
        <v>202002</v>
      </c>
      <c r="B780" s="22" t="inlineStr">
        <is>
          <t>ONLINE</t>
        </is>
      </c>
      <c r="C780" s="22" t="inlineStr">
        <is>
          <t>Máy tính</t>
        </is>
      </c>
      <c r="D780" s="22" t="n">
        <v>177558.31</v>
      </c>
      <c r="E780" s="22" t="n">
        <v>0</v>
      </c>
      <c r="F780" s="22" t="n">
        <v>400</v>
      </c>
    </row>
    <row r="781">
      <c r="A781" s="22" t="n">
        <v>202002</v>
      </c>
      <c r="B781" s="22" t="inlineStr">
        <is>
          <t>ONLINE</t>
        </is>
      </c>
      <c r="C781" s="22" t="inlineStr">
        <is>
          <t>Game &amp; Đồ chơi</t>
        </is>
      </c>
      <c r="D781" s="22" t="n">
        <v>6015.03</v>
      </c>
      <c r="E781" s="22" t="n">
        <v>6.89</v>
      </c>
      <c r="F781" s="22" t="n">
        <v>241</v>
      </c>
    </row>
    <row r="782">
      <c r="A782" s="22" t="n">
        <v>202002</v>
      </c>
      <c r="B782" s="22" t="inlineStr">
        <is>
          <t>ONLINE</t>
        </is>
      </c>
      <c r="C782" s="22" t="inlineStr">
        <is>
          <t>Gia dụng</t>
        </is>
      </c>
      <c r="D782" s="22" t="n">
        <v>52754.37</v>
      </c>
      <c r="E782" s="22" t="n">
        <v>0</v>
      </c>
      <c r="F782" s="22" t="n">
        <v>82</v>
      </c>
    </row>
    <row r="783">
      <c r="A783" s="22" t="n">
        <v>202002</v>
      </c>
      <c r="B783" s="22" t="inlineStr">
        <is>
          <t>ONLINE</t>
        </is>
      </c>
      <c r="C783" s="22" t="inlineStr">
        <is>
          <t>Nhạc, phim, sách nói</t>
        </is>
      </c>
      <c r="D783" s="22" t="n">
        <v>26721.42</v>
      </c>
      <c r="E783" s="22" t="n">
        <v>9.99</v>
      </c>
      <c r="F783" s="22" t="n">
        <v>249</v>
      </c>
    </row>
    <row r="784">
      <c r="A784" s="22" t="n">
        <v>202002</v>
      </c>
      <c r="B784" s="22" t="inlineStr">
        <is>
          <t>ONLINE</t>
        </is>
      </c>
      <c r="C784" s="22" t="inlineStr">
        <is>
          <t>TV &amp; Video</t>
        </is>
      </c>
      <c r="D784" s="22" t="n">
        <v>35322.95</v>
      </c>
      <c r="E784" s="22" t="n">
        <v>772.2</v>
      </c>
      <c r="F784" s="22" t="n">
        <v>72</v>
      </c>
    </row>
    <row r="785">
      <c r="A785" s="22" t="n">
        <v>202002</v>
      </c>
      <c r="B785" s="22" t="inlineStr">
        <is>
          <t>POS</t>
        </is>
      </c>
      <c r="C785" s="22" t="inlineStr">
        <is>
          <t>Âm thanh</t>
        </is>
      </c>
      <c r="D785" s="22" t="n">
        <v>100755.86</v>
      </c>
      <c r="E785" s="22" t="n">
        <v>1181.28</v>
      </c>
      <c r="F785" s="22" t="n">
        <v>689</v>
      </c>
    </row>
    <row r="786">
      <c r="A786" s="22" t="n">
        <v>202002</v>
      </c>
      <c r="B786" s="22" t="inlineStr">
        <is>
          <t>POS</t>
        </is>
      </c>
      <c r="C786" s="22" t="inlineStr">
        <is>
          <t>Máy ảnh</t>
        </is>
      </c>
      <c r="D786" s="22" t="n">
        <v>181278.42</v>
      </c>
      <c r="E786" s="22" t="n">
        <v>1195.08</v>
      </c>
      <c r="F786" s="22" t="n">
        <v>572</v>
      </c>
    </row>
    <row r="787">
      <c r="A787" s="22" t="n">
        <v>202002</v>
      </c>
      <c r="B787" s="22" t="inlineStr">
        <is>
          <t>POS</t>
        </is>
      </c>
      <c r="C787" s="22" t="inlineStr">
        <is>
          <t>Điện thoại</t>
        </is>
      </c>
      <c r="D787" s="22" t="n">
        <v>214648.45</v>
      </c>
      <c r="E787" s="22" t="n">
        <v>4355.51</v>
      </c>
      <c r="F787" s="22" t="n">
        <v>1126</v>
      </c>
    </row>
    <row r="788">
      <c r="A788" s="22" t="n">
        <v>202002</v>
      </c>
      <c r="B788" s="22" t="inlineStr">
        <is>
          <t>POS</t>
        </is>
      </c>
      <c r="C788" s="22" t="inlineStr">
        <is>
          <t>Máy tính</t>
        </is>
      </c>
      <c r="D788" s="22" t="n">
        <v>726874.02</v>
      </c>
      <c r="E788" s="22" t="n">
        <v>7398.8</v>
      </c>
      <c r="F788" s="22" t="n">
        <v>1542</v>
      </c>
    </row>
    <row r="789">
      <c r="A789" s="22" t="n">
        <v>202002</v>
      </c>
      <c r="B789" s="22" t="inlineStr">
        <is>
          <t>POS</t>
        </is>
      </c>
      <c r="C789" s="22" t="inlineStr">
        <is>
          <t>Game &amp; Đồ chơi</t>
        </is>
      </c>
      <c r="D789" s="22" t="n">
        <v>35783.99</v>
      </c>
      <c r="E789" s="22" t="n">
        <v>1440.07</v>
      </c>
      <c r="F789" s="22" t="n">
        <v>1017</v>
      </c>
    </row>
    <row r="790">
      <c r="A790" s="22" t="n">
        <v>202002</v>
      </c>
      <c r="B790" s="22" t="inlineStr">
        <is>
          <t>POS</t>
        </is>
      </c>
      <c r="C790" s="22" t="inlineStr">
        <is>
          <t>Gia dụng</t>
        </is>
      </c>
      <c r="D790" s="22" t="n">
        <v>246728.5</v>
      </c>
      <c r="E790" s="22" t="n">
        <v>1795.94</v>
      </c>
      <c r="F790" s="22" t="n">
        <v>388</v>
      </c>
    </row>
    <row r="791">
      <c r="A791" s="22" t="n">
        <v>202002</v>
      </c>
      <c r="B791" s="22" t="inlineStr">
        <is>
          <t>POS</t>
        </is>
      </c>
      <c r="C791" s="22" t="inlineStr">
        <is>
          <t>Nhạc, phim, sách nói</t>
        </is>
      </c>
      <c r="D791" s="22" t="n">
        <v>103014.62</v>
      </c>
      <c r="E791" s="22" t="n">
        <v>1859.1</v>
      </c>
      <c r="F791" s="22" t="n">
        <v>915</v>
      </c>
    </row>
    <row r="792">
      <c r="A792" s="22" t="n">
        <v>202002</v>
      </c>
      <c r="B792" s="22" t="inlineStr">
        <is>
          <t>POS</t>
        </is>
      </c>
      <c r="C792" s="22" t="inlineStr">
        <is>
          <t>TV &amp; Video</t>
        </is>
      </c>
      <c r="D792" s="22" t="n">
        <v>154668.87</v>
      </c>
      <c r="E792" s="22" t="n">
        <v>1971.5</v>
      </c>
      <c r="F792" s="22" t="n">
        <v>296</v>
      </c>
    </row>
    <row r="793">
      <c r="A793" s="22" t="n">
        <v>202003</v>
      </c>
      <c r="B793" s="22" t="inlineStr">
        <is>
          <t>ONLINE</t>
        </is>
      </c>
      <c r="C793" s="22" t="inlineStr">
        <is>
          <t>Âm thanh</t>
        </is>
      </c>
      <c r="D793" s="22" t="n">
        <v>8000.72</v>
      </c>
      <c r="E793" s="22" t="n">
        <v>410.39</v>
      </c>
      <c r="F793" s="22" t="n">
        <v>63</v>
      </c>
    </row>
    <row r="794">
      <c r="A794" s="22" t="n">
        <v>202003</v>
      </c>
      <c r="B794" s="22" t="inlineStr">
        <is>
          <t>ONLINE</t>
        </is>
      </c>
      <c r="C794" s="22" t="inlineStr">
        <is>
          <t>Máy ảnh</t>
        </is>
      </c>
      <c r="D794" s="22" t="n">
        <v>15255.87</v>
      </c>
      <c r="E794" s="22" t="n">
        <v>3783</v>
      </c>
      <c r="F794" s="22" t="n">
        <v>52</v>
      </c>
    </row>
    <row r="795">
      <c r="A795" s="22" t="n">
        <v>202003</v>
      </c>
      <c r="B795" s="22" t="inlineStr">
        <is>
          <t>ONLINE</t>
        </is>
      </c>
      <c r="C795" s="22" t="inlineStr">
        <is>
          <t>Điện thoại</t>
        </is>
      </c>
      <c r="D795" s="22" t="n">
        <v>32199.59</v>
      </c>
      <c r="E795" s="22" t="n">
        <v>1115.9</v>
      </c>
      <c r="F795" s="22" t="n">
        <v>145</v>
      </c>
    </row>
    <row r="796">
      <c r="A796" s="22" t="n">
        <v>202003</v>
      </c>
      <c r="B796" s="22" t="inlineStr">
        <is>
          <t>ONLINE</t>
        </is>
      </c>
      <c r="C796" s="22" t="inlineStr">
        <is>
          <t>Máy tính</t>
        </is>
      </c>
      <c r="D796" s="22" t="n">
        <v>88973.34</v>
      </c>
      <c r="E796" s="22" t="n">
        <v>1474.11</v>
      </c>
      <c r="F796" s="22" t="n">
        <v>190</v>
      </c>
    </row>
    <row r="797">
      <c r="A797" s="22" t="n">
        <v>202003</v>
      </c>
      <c r="B797" s="22" t="inlineStr">
        <is>
          <t>ONLINE</t>
        </is>
      </c>
      <c r="C797" s="22" t="inlineStr">
        <is>
          <t>Game &amp; Đồ chơi</t>
        </is>
      </c>
      <c r="D797" s="22" t="n">
        <v>3712.58</v>
      </c>
      <c r="E797" s="22" t="n">
        <v>0</v>
      </c>
      <c r="F797" s="22" t="n">
        <v>105</v>
      </c>
    </row>
    <row r="798">
      <c r="A798" s="22" t="n">
        <v>202003</v>
      </c>
      <c r="B798" s="22" t="inlineStr">
        <is>
          <t>ONLINE</t>
        </is>
      </c>
      <c r="C798" s="22" t="inlineStr">
        <is>
          <t>Gia dụng</t>
        </is>
      </c>
      <c r="D798" s="22" t="n">
        <v>9580.309999999999</v>
      </c>
      <c r="E798" s="22" t="n">
        <v>2512.99</v>
      </c>
      <c r="F798" s="22" t="n">
        <v>28</v>
      </c>
    </row>
    <row r="799">
      <c r="A799" s="22" t="n">
        <v>202003</v>
      </c>
      <c r="B799" s="22" t="inlineStr">
        <is>
          <t>ONLINE</t>
        </is>
      </c>
      <c r="C799" s="22" t="inlineStr">
        <is>
          <t>Nhạc, phim, sách nói</t>
        </is>
      </c>
      <c r="D799" s="22" t="n">
        <v>7081.85</v>
      </c>
      <c r="E799" s="22" t="n">
        <v>598.91</v>
      </c>
      <c r="F799" s="22" t="n">
        <v>83</v>
      </c>
    </row>
    <row r="800">
      <c r="A800" s="22" t="n">
        <v>202003</v>
      </c>
      <c r="B800" s="22" t="inlineStr">
        <is>
          <t>ONLINE</t>
        </is>
      </c>
      <c r="C800" s="22" t="inlineStr">
        <is>
          <t>TV &amp; Video</t>
        </is>
      </c>
      <c r="D800" s="22" t="n">
        <v>9208.26</v>
      </c>
      <c r="E800" s="22" t="n">
        <v>143.4</v>
      </c>
      <c r="F800" s="22" t="n">
        <v>21</v>
      </c>
    </row>
    <row r="801">
      <c r="A801" s="22" t="n">
        <v>202003</v>
      </c>
      <c r="B801" s="22" t="inlineStr">
        <is>
          <t>POS</t>
        </is>
      </c>
      <c r="C801" s="22" t="inlineStr">
        <is>
          <t>Âm thanh</t>
        </is>
      </c>
      <c r="D801" s="22" t="n">
        <v>21581.93</v>
      </c>
      <c r="E801" s="22" t="n">
        <v>1128.25</v>
      </c>
      <c r="F801" s="22" t="n">
        <v>142</v>
      </c>
    </row>
    <row r="802">
      <c r="A802" s="22" t="n">
        <v>202003</v>
      </c>
      <c r="B802" s="22" t="inlineStr">
        <is>
          <t>POS</t>
        </is>
      </c>
      <c r="C802" s="22" t="inlineStr">
        <is>
          <t>Máy ảnh</t>
        </is>
      </c>
      <c r="D802" s="22" t="n">
        <v>100679.67</v>
      </c>
      <c r="E802" s="22" t="n">
        <v>5521.48</v>
      </c>
      <c r="F802" s="22" t="n">
        <v>206</v>
      </c>
    </row>
    <row r="803">
      <c r="A803" s="22" t="n">
        <v>202003</v>
      </c>
      <c r="B803" s="22" t="inlineStr">
        <is>
          <t>POS</t>
        </is>
      </c>
      <c r="C803" s="22" t="inlineStr">
        <is>
          <t>Điện thoại</t>
        </is>
      </c>
      <c r="D803" s="22" t="n">
        <v>65907.56</v>
      </c>
      <c r="E803" s="22" t="n">
        <v>1719.15</v>
      </c>
      <c r="F803" s="22" t="n">
        <v>311</v>
      </c>
    </row>
    <row r="804">
      <c r="A804" s="22" t="n">
        <v>202003</v>
      </c>
      <c r="B804" s="22" t="inlineStr">
        <is>
          <t>POS</t>
        </is>
      </c>
      <c r="C804" s="22" t="inlineStr">
        <is>
          <t>Máy tính</t>
        </is>
      </c>
      <c r="D804" s="22" t="n">
        <v>164574.3</v>
      </c>
      <c r="E804" s="22" t="n">
        <v>9988.15</v>
      </c>
      <c r="F804" s="22" t="n">
        <v>368</v>
      </c>
    </row>
    <row r="805">
      <c r="A805" s="22" t="n">
        <v>202003</v>
      </c>
      <c r="B805" s="22" t="inlineStr">
        <is>
          <t>POS</t>
        </is>
      </c>
      <c r="C805" s="22" t="inlineStr">
        <is>
          <t>Game &amp; Đồ chơi</t>
        </is>
      </c>
      <c r="D805" s="22" t="n">
        <v>6349.06</v>
      </c>
      <c r="E805" s="22" t="n">
        <v>572.6900000000001</v>
      </c>
      <c r="F805" s="22" t="n">
        <v>219</v>
      </c>
    </row>
    <row r="806">
      <c r="A806" s="22" t="n">
        <v>202003</v>
      </c>
      <c r="B806" s="22" t="inlineStr">
        <is>
          <t>POS</t>
        </is>
      </c>
      <c r="C806" s="22" t="inlineStr">
        <is>
          <t>Gia dụng</t>
        </is>
      </c>
      <c r="D806" s="22" t="n">
        <v>50730.05</v>
      </c>
      <c r="E806" s="22" t="n">
        <v>1690</v>
      </c>
      <c r="F806" s="22" t="n">
        <v>78</v>
      </c>
    </row>
    <row r="807">
      <c r="A807" s="22" t="n">
        <v>202003</v>
      </c>
      <c r="B807" s="22" t="inlineStr">
        <is>
          <t>POS</t>
        </is>
      </c>
      <c r="C807" s="22" t="inlineStr">
        <is>
          <t>Nhạc, phim, sách nói</t>
        </is>
      </c>
      <c r="D807" s="22" t="n">
        <v>29017.22</v>
      </c>
      <c r="E807" s="22" t="n">
        <v>2867.7</v>
      </c>
      <c r="F807" s="22" t="n">
        <v>252</v>
      </c>
    </row>
    <row r="808">
      <c r="A808" s="22" t="n">
        <v>202003</v>
      </c>
      <c r="B808" s="22" t="inlineStr">
        <is>
          <t>POS</t>
        </is>
      </c>
      <c r="C808" s="22" t="inlineStr">
        <is>
          <t>TV &amp; Video</t>
        </is>
      </c>
      <c r="D808" s="22" t="n">
        <v>40520.57</v>
      </c>
      <c r="E808" s="22" t="n">
        <v>5701.55</v>
      </c>
      <c r="F808" s="22" t="n">
        <v>79</v>
      </c>
    </row>
    <row r="809">
      <c r="A809" s="22" t="n">
        <v>202004</v>
      </c>
      <c r="B809" s="22" t="inlineStr">
        <is>
          <t>ONLINE</t>
        </is>
      </c>
      <c r="C809" s="22" t="inlineStr">
        <is>
          <t>Âm thanh</t>
        </is>
      </c>
      <c r="D809" s="22" t="n">
        <v>1955.16</v>
      </c>
      <c r="E809" s="22" t="n">
        <v>0</v>
      </c>
      <c r="F809" s="22" t="n">
        <v>17</v>
      </c>
    </row>
    <row r="810">
      <c r="A810" s="22" t="n">
        <v>202004</v>
      </c>
      <c r="B810" s="22" t="inlineStr">
        <is>
          <t>ONLINE</t>
        </is>
      </c>
      <c r="C810" s="22" t="inlineStr">
        <is>
          <t>Máy ảnh</t>
        </is>
      </c>
      <c r="D810" s="22" t="n">
        <v>9938.5</v>
      </c>
      <c r="E810" s="22" t="n">
        <v>0</v>
      </c>
      <c r="F810" s="22" t="n">
        <v>28</v>
      </c>
    </row>
    <row r="811">
      <c r="A811" s="22" t="n">
        <v>202004</v>
      </c>
      <c r="B811" s="22" t="inlineStr">
        <is>
          <t>ONLINE</t>
        </is>
      </c>
      <c r="C811" s="22" t="inlineStr">
        <is>
          <t>Điện thoại</t>
        </is>
      </c>
      <c r="D811" s="22" t="n">
        <v>7962.72</v>
      </c>
      <c r="E811" s="22" t="n">
        <v>718.99</v>
      </c>
      <c r="F811" s="22" t="n">
        <v>39</v>
      </c>
    </row>
    <row r="812">
      <c r="A812" s="22" t="n">
        <v>202004</v>
      </c>
      <c r="B812" s="22" t="inlineStr">
        <is>
          <t>ONLINE</t>
        </is>
      </c>
      <c r="C812" s="22" t="inlineStr">
        <is>
          <t>Máy tính</t>
        </is>
      </c>
      <c r="D812" s="22" t="n">
        <v>11428.9</v>
      </c>
      <c r="E812" s="22" t="n">
        <v>0</v>
      </c>
      <c r="F812" s="22" t="n">
        <v>23</v>
      </c>
    </row>
    <row r="813">
      <c r="A813" s="22" t="n">
        <v>202004</v>
      </c>
      <c r="B813" s="22" t="inlineStr">
        <is>
          <t>ONLINE</t>
        </is>
      </c>
      <c r="C813" s="22" t="inlineStr">
        <is>
          <t>Game &amp; Đồ chơi</t>
        </is>
      </c>
      <c r="D813" s="22" t="n">
        <v>403.12</v>
      </c>
      <c r="E813" s="22" t="n">
        <v>0</v>
      </c>
      <c r="F813" s="22" t="n">
        <v>16</v>
      </c>
    </row>
    <row r="814">
      <c r="A814" s="22" t="n">
        <v>202004</v>
      </c>
      <c r="B814" s="22" t="inlineStr">
        <is>
          <t>ONLINE</t>
        </is>
      </c>
      <c r="C814" s="22" t="inlineStr">
        <is>
          <t>Gia dụng</t>
        </is>
      </c>
      <c r="D814" s="22" t="n">
        <v>26059.33</v>
      </c>
      <c r="E814" s="22" t="n">
        <v>0</v>
      </c>
      <c r="F814" s="22" t="n">
        <v>17</v>
      </c>
    </row>
    <row r="815">
      <c r="A815" s="22" t="n">
        <v>202004</v>
      </c>
      <c r="B815" s="22" t="inlineStr">
        <is>
          <t>ONLINE</t>
        </is>
      </c>
      <c r="C815" s="22" t="inlineStr">
        <is>
          <t>Nhạc, phim, sách nói</t>
        </is>
      </c>
      <c r="D815" s="22" t="n">
        <v>3430.51</v>
      </c>
      <c r="E815" s="22" t="n">
        <v>0</v>
      </c>
      <c r="F815" s="22" t="n">
        <v>34</v>
      </c>
    </row>
    <row r="816">
      <c r="A816" s="22" t="n">
        <v>202004</v>
      </c>
      <c r="B816" s="22" t="inlineStr">
        <is>
          <t>ONLINE</t>
        </is>
      </c>
      <c r="C816" s="22" t="inlineStr">
        <is>
          <t>TV &amp; Video</t>
        </is>
      </c>
      <c r="D816" s="22" t="n">
        <v>4276.27</v>
      </c>
      <c r="E816" s="22" t="n">
        <v>0</v>
      </c>
      <c r="F816" s="22" t="n">
        <v>17</v>
      </c>
    </row>
    <row r="817">
      <c r="A817" s="22" t="n">
        <v>202004</v>
      </c>
      <c r="B817" s="22" t="inlineStr">
        <is>
          <t>POS</t>
        </is>
      </c>
      <c r="C817" s="22" t="inlineStr">
        <is>
          <t>Âm thanh</t>
        </is>
      </c>
      <c r="D817" s="22" t="n">
        <v>6354.43</v>
      </c>
      <c r="E817" s="22" t="n">
        <v>0</v>
      </c>
      <c r="F817" s="22" t="n">
        <v>45</v>
      </c>
    </row>
    <row r="818">
      <c r="A818" s="22" t="n">
        <v>202004</v>
      </c>
      <c r="B818" s="22" t="inlineStr">
        <is>
          <t>POS</t>
        </is>
      </c>
      <c r="C818" s="22" t="inlineStr">
        <is>
          <t>Máy ảnh</t>
        </is>
      </c>
      <c r="D818" s="22" t="n">
        <v>28972.7</v>
      </c>
      <c r="E818" s="22" t="n">
        <v>5927.46</v>
      </c>
      <c r="F818" s="22" t="n">
        <v>70</v>
      </c>
    </row>
    <row r="819">
      <c r="A819" s="22" t="n">
        <v>202004</v>
      </c>
      <c r="B819" s="22" t="inlineStr">
        <is>
          <t>POS</t>
        </is>
      </c>
      <c r="C819" s="22" t="inlineStr">
        <is>
          <t>Điện thoại</t>
        </is>
      </c>
      <c r="D819" s="22" t="n">
        <v>22680.02</v>
      </c>
      <c r="E819" s="22" t="n">
        <v>129.99</v>
      </c>
      <c r="F819" s="22" t="n">
        <v>103</v>
      </c>
    </row>
    <row r="820">
      <c r="A820" s="22" t="n">
        <v>202004</v>
      </c>
      <c r="B820" s="22" t="inlineStr">
        <is>
          <t>POS</t>
        </is>
      </c>
      <c r="C820" s="22" t="inlineStr">
        <is>
          <t>Máy tính</t>
        </is>
      </c>
      <c r="D820" s="22" t="n">
        <v>40615.44</v>
      </c>
      <c r="E820" s="22" t="n">
        <v>2647.7</v>
      </c>
      <c r="F820" s="22" t="n">
        <v>86</v>
      </c>
    </row>
    <row r="821">
      <c r="A821" s="22" t="n">
        <v>202004</v>
      </c>
      <c r="B821" s="22" t="inlineStr">
        <is>
          <t>POS</t>
        </is>
      </c>
      <c r="C821" s="22" t="inlineStr">
        <is>
          <t>Game &amp; Đồ chơi</t>
        </is>
      </c>
      <c r="D821" s="22" t="n">
        <v>2003.73</v>
      </c>
      <c r="E821" s="22" t="n">
        <v>192</v>
      </c>
      <c r="F821" s="22" t="n">
        <v>69</v>
      </c>
    </row>
    <row r="822">
      <c r="A822" s="22" t="n">
        <v>202004</v>
      </c>
      <c r="B822" s="22" t="inlineStr">
        <is>
          <t>POS</t>
        </is>
      </c>
      <c r="C822" s="22" t="inlineStr">
        <is>
          <t>Gia dụng</t>
        </is>
      </c>
      <c r="D822" s="22" t="n">
        <v>27647.86</v>
      </c>
      <c r="E822" s="22" t="n">
        <v>0</v>
      </c>
      <c r="F822" s="22" t="n">
        <v>39</v>
      </c>
    </row>
    <row r="823">
      <c r="A823" s="22" t="n">
        <v>202004</v>
      </c>
      <c r="B823" s="22" t="inlineStr">
        <is>
          <t>POS</t>
        </is>
      </c>
      <c r="C823" s="22" t="inlineStr">
        <is>
          <t>Nhạc, phim, sách nói</t>
        </is>
      </c>
      <c r="D823" s="22" t="n">
        <v>8052.8</v>
      </c>
      <c r="E823" s="22" t="n">
        <v>159.99</v>
      </c>
      <c r="F823" s="22" t="n">
        <v>50</v>
      </c>
    </row>
    <row r="824">
      <c r="A824" s="22" t="n">
        <v>202004</v>
      </c>
      <c r="B824" s="22" t="inlineStr">
        <is>
          <t>POS</t>
        </is>
      </c>
      <c r="C824" s="22" t="inlineStr">
        <is>
          <t>TV &amp; Video</t>
        </is>
      </c>
      <c r="D824" s="22" t="n">
        <v>10936.85</v>
      </c>
      <c r="E824" s="22" t="n">
        <v>0</v>
      </c>
      <c r="F824" s="22" t="n">
        <v>31</v>
      </c>
    </row>
    <row r="825">
      <c r="A825" s="22" t="n">
        <v>202005</v>
      </c>
      <c r="B825" s="22" t="inlineStr">
        <is>
          <t>ONLINE</t>
        </is>
      </c>
      <c r="C825" s="22" t="inlineStr">
        <is>
          <t>Âm thanh</t>
        </is>
      </c>
      <c r="D825" s="22" t="n">
        <v>7599.14</v>
      </c>
      <c r="E825" s="22" t="n">
        <v>0</v>
      </c>
      <c r="F825" s="22" t="n">
        <v>67</v>
      </c>
    </row>
    <row r="826">
      <c r="A826" s="22" t="n">
        <v>202005</v>
      </c>
      <c r="B826" s="22" t="inlineStr">
        <is>
          <t>ONLINE</t>
        </is>
      </c>
      <c r="C826" s="22" t="inlineStr">
        <is>
          <t>Máy ảnh</t>
        </is>
      </c>
      <c r="D826" s="22" t="n">
        <v>35895.14</v>
      </c>
      <c r="E826" s="22" t="n">
        <v>1717.9</v>
      </c>
      <c r="F826" s="22" t="n">
        <v>75</v>
      </c>
    </row>
    <row r="827">
      <c r="A827" s="22" t="n">
        <v>202005</v>
      </c>
      <c r="B827" s="22" t="inlineStr">
        <is>
          <t>ONLINE</t>
        </is>
      </c>
      <c r="C827" s="22" t="inlineStr">
        <is>
          <t>Điện thoại</t>
        </is>
      </c>
      <c r="D827" s="22" t="n">
        <v>39121.37</v>
      </c>
      <c r="E827" s="22" t="n">
        <v>433.99</v>
      </c>
      <c r="F827" s="22" t="n">
        <v>195</v>
      </c>
    </row>
    <row r="828">
      <c r="A828" s="22" t="n">
        <v>202005</v>
      </c>
      <c r="B828" s="22" t="inlineStr">
        <is>
          <t>ONLINE</t>
        </is>
      </c>
      <c r="C828" s="22" t="inlineStr">
        <is>
          <t>Máy tính</t>
        </is>
      </c>
      <c r="D828" s="22" t="n">
        <v>62931.93</v>
      </c>
      <c r="E828" s="22" t="n">
        <v>4393</v>
      </c>
      <c r="F828" s="22" t="n">
        <v>125</v>
      </c>
    </row>
    <row r="829">
      <c r="A829" s="22" t="n">
        <v>202005</v>
      </c>
      <c r="B829" s="22" t="inlineStr">
        <is>
          <t>ONLINE</t>
        </is>
      </c>
      <c r="C829" s="22" t="inlineStr">
        <is>
          <t>Game &amp; Đồ chơi</t>
        </is>
      </c>
      <c r="D829" s="22" t="n">
        <v>2674.39</v>
      </c>
      <c r="E829" s="22" t="n">
        <v>20.19</v>
      </c>
      <c r="F829" s="22" t="n">
        <v>86</v>
      </c>
    </row>
    <row r="830">
      <c r="A830" s="22" t="n">
        <v>202005</v>
      </c>
      <c r="B830" s="22" t="inlineStr">
        <is>
          <t>ONLINE</t>
        </is>
      </c>
      <c r="C830" s="22" t="inlineStr">
        <is>
          <t>Gia dụng</t>
        </is>
      </c>
      <c r="D830" s="22" t="n">
        <v>16468.08</v>
      </c>
      <c r="E830" s="22" t="n">
        <v>508</v>
      </c>
      <c r="F830" s="22" t="n">
        <v>27</v>
      </c>
    </row>
    <row r="831">
      <c r="A831" s="22" t="n">
        <v>202005</v>
      </c>
      <c r="B831" s="22" t="inlineStr">
        <is>
          <t>ONLINE</t>
        </is>
      </c>
      <c r="C831" s="22" t="inlineStr">
        <is>
          <t>Nhạc, phim, sách nói</t>
        </is>
      </c>
      <c r="D831" s="22" t="n">
        <v>10218.69</v>
      </c>
      <c r="E831" s="22" t="n">
        <v>0</v>
      </c>
      <c r="F831" s="22" t="n">
        <v>108</v>
      </c>
    </row>
    <row r="832">
      <c r="A832" s="22" t="n">
        <v>202005</v>
      </c>
      <c r="B832" s="22" t="inlineStr">
        <is>
          <t>ONLINE</t>
        </is>
      </c>
      <c r="C832" s="22" t="inlineStr">
        <is>
          <t>TV &amp; Video</t>
        </is>
      </c>
      <c r="D832" s="22" t="n">
        <v>22200.8</v>
      </c>
      <c r="E832" s="22" t="n">
        <v>0</v>
      </c>
      <c r="F832" s="22" t="n">
        <v>38</v>
      </c>
    </row>
    <row r="833">
      <c r="A833" s="22" t="n">
        <v>202005</v>
      </c>
      <c r="B833" s="22" t="inlineStr">
        <is>
          <t>POS</t>
        </is>
      </c>
      <c r="C833" s="22" t="inlineStr">
        <is>
          <t>Âm thanh</t>
        </is>
      </c>
      <c r="D833" s="22" t="n">
        <v>26172.48</v>
      </c>
      <c r="E833" s="22" t="n">
        <v>115</v>
      </c>
      <c r="F833" s="22" t="n">
        <v>204</v>
      </c>
    </row>
    <row r="834">
      <c r="A834" s="22" t="n">
        <v>202005</v>
      </c>
      <c r="B834" s="22" t="inlineStr">
        <is>
          <t>POS</t>
        </is>
      </c>
      <c r="C834" s="22" t="inlineStr">
        <is>
          <t>Máy ảnh</t>
        </is>
      </c>
      <c r="D834" s="22" t="n">
        <v>100584.72</v>
      </c>
      <c r="E834" s="22" t="n">
        <v>562</v>
      </c>
      <c r="F834" s="22" t="n">
        <v>282</v>
      </c>
    </row>
    <row r="835">
      <c r="A835" s="22" t="n">
        <v>202005</v>
      </c>
      <c r="B835" s="22" t="inlineStr">
        <is>
          <t>POS</t>
        </is>
      </c>
      <c r="C835" s="22" t="inlineStr">
        <is>
          <t>Điện thoại</t>
        </is>
      </c>
      <c r="D835" s="22" t="n">
        <v>73254.96000000001</v>
      </c>
      <c r="E835" s="22" t="n">
        <v>314.06</v>
      </c>
      <c r="F835" s="22" t="n">
        <v>428</v>
      </c>
    </row>
    <row r="836">
      <c r="A836" s="22" t="n">
        <v>202005</v>
      </c>
      <c r="B836" s="22" t="inlineStr">
        <is>
          <t>POS</t>
        </is>
      </c>
      <c r="C836" s="22" t="inlineStr">
        <is>
          <t>Máy tính</t>
        </is>
      </c>
      <c r="D836" s="22" t="n">
        <v>261763.04</v>
      </c>
      <c r="E836" s="22" t="n">
        <v>4242.85</v>
      </c>
      <c r="F836" s="22" t="n">
        <v>592</v>
      </c>
    </row>
    <row r="837">
      <c r="A837" s="22" t="n">
        <v>202005</v>
      </c>
      <c r="B837" s="22" t="inlineStr">
        <is>
          <t>POS</t>
        </is>
      </c>
      <c r="C837" s="22" t="inlineStr">
        <is>
          <t>Game &amp; Đồ chơi</t>
        </is>
      </c>
      <c r="D837" s="22" t="n">
        <v>14167.71</v>
      </c>
      <c r="E837" s="22" t="n">
        <v>213.85</v>
      </c>
      <c r="F837" s="22" t="n">
        <v>336</v>
      </c>
    </row>
    <row r="838">
      <c r="A838" s="22" t="n">
        <v>202005</v>
      </c>
      <c r="B838" s="22" t="inlineStr">
        <is>
          <t>POS</t>
        </is>
      </c>
      <c r="C838" s="22" t="inlineStr">
        <is>
          <t>Gia dụng</t>
        </is>
      </c>
      <c r="D838" s="22" t="n">
        <v>71114.32000000001</v>
      </c>
      <c r="E838" s="22" t="n">
        <v>3840.97</v>
      </c>
      <c r="F838" s="22" t="n">
        <v>130</v>
      </c>
    </row>
    <row r="839">
      <c r="A839" s="22" t="n">
        <v>202005</v>
      </c>
      <c r="B839" s="22" t="inlineStr">
        <is>
          <t>POS</t>
        </is>
      </c>
      <c r="C839" s="22" t="inlineStr">
        <is>
          <t>Nhạc, phim, sách nói</t>
        </is>
      </c>
      <c r="D839" s="22" t="n">
        <v>43894.11</v>
      </c>
      <c r="E839" s="22" t="n">
        <v>259.64</v>
      </c>
      <c r="F839" s="22" t="n">
        <v>390</v>
      </c>
    </row>
    <row r="840">
      <c r="A840" s="22" t="n">
        <v>202005</v>
      </c>
      <c r="B840" s="22" t="inlineStr">
        <is>
          <t>POS</t>
        </is>
      </c>
      <c r="C840" s="22" t="inlineStr">
        <is>
          <t>TV &amp; Video</t>
        </is>
      </c>
      <c r="D840" s="22" t="n">
        <v>69763.78</v>
      </c>
      <c r="E840" s="22" t="n">
        <v>3892.95</v>
      </c>
      <c r="F840" s="22" t="n">
        <v>118</v>
      </c>
    </row>
    <row r="841">
      <c r="A841" s="22" t="n">
        <v>202006</v>
      </c>
      <c r="B841" s="22" t="inlineStr">
        <is>
          <t>ONLINE</t>
        </is>
      </c>
      <c r="C841" s="22" t="inlineStr">
        <is>
          <t>Âm thanh</t>
        </is>
      </c>
      <c r="D841" s="22" t="n">
        <v>7477.69</v>
      </c>
      <c r="E841" s="22" t="n">
        <v>0</v>
      </c>
      <c r="F841" s="22" t="n">
        <v>59</v>
      </c>
    </row>
    <row r="842">
      <c r="A842" s="22" t="n">
        <v>202006</v>
      </c>
      <c r="B842" s="22" t="inlineStr">
        <is>
          <t>ONLINE</t>
        </is>
      </c>
      <c r="C842" s="22" t="inlineStr">
        <is>
          <t>Máy ảnh</t>
        </is>
      </c>
      <c r="D842" s="22" t="n">
        <v>19786.45</v>
      </c>
      <c r="E842" s="22" t="n">
        <v>70.19</v>
      </c>
      <c r="F842" s="22" t="n">
        <v>61</v>
      </c>
    </row>
    <row r="843">
      <c r="A843" s="22" t="n">
        <v>202006</v>
      </c>
      <c r="B843" s="22" t="inlineStr">
        <is>
          <t>ONLINE</t>
        </is>
      </c>
      <c r="C843" s="22" t="inlineStr">
        <is>
          <t>Điện thoại</t>
        </is>
      </c>
      <c r="D843" s="22" t="n">
        <v>22470.56</v>
      </c>
      <c r="E843" s="22" t="n">
        <v>799.96</v>
      </c>
      <c r="F843" s="22" t="n">
        <v>110</v>
      </c>
    </row>
    <row r="844">
      <c r="A844" s="22" t="n">
        <v>202006</v>
      </c>
      <c r="B844" s="22" t="inlineStr">
        <is>
          <t>ONLINE</t>
        </is>
      </c>
      <c r="C844" s="22" t="inlineStr">
        <is>
          <t>Máy tính</t>
        </is>
      </c>
      <c r="D844" s="22" t="n">
        <v>66390.85000000001</v>
      </c>
      <c r="E844" s="22" t="n">
        <v>1546.85</v>
      </c>
      <c r="F844" s="22" t="n">
        <v>126</v>
      </c>
    </row>
    <row r="845">
      <c r="A845" s="22" t="n">
        <v>202006</v>
      </c>
      <c r="B845" s="22" t="inlineStr">
        <is>
          <t>ONLINE</t>
        </is>
      </c>
      <c r="C845" s="22" t="inlineStr">
        <is>
          <t>Game &amp; Đồ chơi</t>
        </is>
      </c>
      <c r="D845" s="22" t="n">
        <v>2101.09</v>
      </c>
      <c r="E845" s="22" t="n">
        <v>430.15</v>
      </c>
      <c r="F845" s="22" t="n">
        <v>71</v>
      </c>
    </row>
    <row r="846">
      <c r="A846" s="22" t="n">
        <v>202006</v>
      </c>
      <c r="B846" s="22" t="inlineStr">
        <is>
          <t>ONLINE</t>
        </is>
      </c>
      <c r="C846" s="22" t="inlineStr">
        <is>
          <t>Gia dụng</t>
        </is>
      </c>
      <c r="D846" s="22" t="n">
        <v>37001.9</v>
      </c>
      <c r="E846" s="22" t="n">
        <v>0</v>
      </c>
      <c r="F846" s="22" t="n">
        <v>44</v>
      </c>
    </row>
    <row r="847">
      <c r="A847" s="22" t="n">
        <v>202006</v>
      </c>
      <c r="B847" s="22" t="inlineStr">
        <is>
          <t>ONLINE</t>
        </is>
      </c>
      <c r="C847" s="22" t="inlineStr">
        <is>
          <t>Nhạc, phim, sách nói</t>
        </is>
      </c>
      <c r="D847" s="22" t="n">
        <v>11191.19</v>
      </c>
      <c r="E847" s="22" t="n">
        <v>233.99</v>
      </c>
      <c r="F847" s="22" t="n">
        <v>92</v>
      </c>
    </row>
    <row r="848">
      <c r="A848" s="22" t="n">
        <v>202006</v>
      </c>
      <c r="B848" s="22" t="inlineStr">
        <is>
          <t>ONLINE</t>
        </is>
      </c>
      <c r="C848" s="22" t="inlineStr">
        <is>
          <t>TV &amp; Video</t>
        </is>
      </c>
      <c r="D848" s="22" t="n">
        <v>18150.69</v>
      </c>
      <c r="E848" s="22" t="n">
        <v>253.8</v>
      </c>
      <c r="F848" s="22" t="n">
        <v>22</v>
      </c>
    </row>
    <row r="849">
      <c r="A849" s="22" t="n">
        <v>202006</v>
      </c>
      <c r="B849" s="22" t="inlineStr">
        <is>
          <t>POS</t>
        </is>
      </c>
      <c r="C849" s="22" t="inlineStr">
        <is>
          <t>Âm thanh</t>
        </is>
      </c>
      <c r="D849" s="22" t="n">
        <v>26635.06</v>
      </c>
      <c r="E849" s="22" t="n">
        <v>324.92</v>
      </c>
      <c r="F849" s="22" t="n">
        <v>201</v>
      </c>
    </row>
    <row r="850">
      <c r="A850" s="22" t="n">
        <v>202006</v>
      </c>
      <c r="B850" s="22" t="inlineStr">
        <is>
          <t>POS</t>
        </is>
      </c>
      <c r="C850" s="22" t="inlineStr">
        <is>
          <t>Máy ảnh</t>
        </is>
      </c>
      <c r="D850" s="22" t="n">
        <v>65148.9</v>
      </c>
      <c r="E850" s="22" t="n">
        <v>2210.69</v>
      </c>
      <c r="F850" s="22" t="n">
        <v>168</v>
      </c>
    </row>
    <row r="851">
      <c r="A851" s="22" t="n">
        <v>202006</v>
      </c>
      <c r="B851" s="22" t="inlineStr">
        <is>
          <t>POS</t>
        </is>
      </c>
      <c r="C851" s="22" t="inlineStr">
        <is>
          <t>Điện thoại</t>
        </is>
      </c>
      <c r="D851" s="22" t="n">
        <v>94506.05</v>
      </c>
      <c r="E851" s="22" t="n">
        <v>1501.7</v>
      </c>
      <c r="F851" s="22" t="n">
        <v>465</v>
      </c>
    </row>
    <row r="852">
      <c r="A852" s="22" t="n">
        <v>202006</v>
      </c>
      <c r="B852" s="22" t="inlineStr">
        <is>
          <t>POS</t>
        </is>
      </c>
      <c r="C852" s="22" t="inlineStr">
        <is>
          <t>Máy tính</t>
        </is>
      </c>
      <c r="D852" s="22" t="n">
        <v>223994.06</v>
      </c>
      <c r="E852" s="22" t="n">
        <v>4692.5</v>
      </c>
      <c r="F852" s="22" t="n">
        <v>472</v>
      </c>
    </row>
    <row r="853">
      <c r="A853" s="22" t="n">
        <v>202006</v>
      </c>
      <c r="B853" s="22" t="inlineStr">
        <is>
          <t>POS</t>
        </is>
      </c>
      <c r="C853" s="22" t="inlineStr">
        <is>
          <t>Game &amp; Đồ chơi</t>
        </is>
      </c>
      <c r="D853" s="22" t="n">
        <v>8658.27</v>
      </c>
      <c r="E853" s="22" t="n">
        <v>98.86</v>
      </c>
      <c r="F853" s="22" t="n">
        <v>277</v>
      </c>
    </row>
    <row r="854">
      <c r="A854" s="22" t="n">
        <v>202006</v>
      </c>
      <c r="B854" s="22" t="inlineStr">
        <is>
          <t>POS</t>
        </is>
      </c>
      <c r="C854" s="22" t="inlineStr">
        <is>
          <t>Gia dụng</t>
        </is>
      </c>
      <c r="D854" s="22" t="n">
        <v>55212.33</v>
      </c>
      <c r="E854" s="22" t="n">
        <v>1077.48</v>
      </c>
      <c r="F854" s="22" t="n">
        <v>109</v>
      </c>
    </row>
    <row r="855">
      <c r="A855" s="22" t="n">
        <v>202006</v>
      </c>
      <c r="B855" s="22" t="inlineStr">
        <is>
          <t>POS</t>
        </is>
      </c>
      <c r="C855" s="22" t="inlineStr">
        <is>
          <t>Nhạc, phim, sách nói</t>
        </is>
      </c>
      <c r="D855" s="22" t="n">
        <v>20115.14</v>
      </c>
      <c r="E855" s="22" t="n">
        <v>878.61</v>
      </c>
      <c r="F855" s="22" t="n">
        <v>237</v>
      </c>
    </row>
    <row r="856">
      <c r="A856" s="22" t="n">
        <v>202006</v>
      </c>
      <c r="B856" s="22" t="inlineStr">
        <is>
          <t>POS</t>
        </is>
      </c>
      <c r="C856" s="22" t="inlineStr">
        <is>
          <t>TV &amp; Video</t>
        </is>
      </c>
      <c r="D856" s="22" t="n">
        <v>51372.78</v>
      </c>
      <c r="E856" s="22" t="n">
        <v>1759.91</v>
      </c>
      <c r="F856" s="22" t="n">
        <v>112</v>
      </c>
    </row>
    <row r="857">
      <c r="A857" s="22" t="n">
        <v>202007</v>
      </c>
      <c r="B857" s="22" t="inlineStr">
        <is>
          <t>ONLINE</t>
        </is>
      </c>
      <c r="C857" s="22" t="inlineStr">
        <is>
          <t>Âm thanh</t>
        </is>
      </c>
      <c r="D857" s="22" t="n">
        <v>5267.88</v>
      </c>
      <c r="E857" s="22" t="n">
        <v>0</v>
      </c>
      <c r="F857" s="22" t="n">
        <v>49</v>
      </c>
    </row>
    <row r="858">
      <c r="A858" s="22" t="n">
        <v>202007</v>
      </c>
      <c r="B858" s="22" t="inlineStr">
        <is>
          <t>ONLINE</t>
        </is>
      </c>
      <c r="C858" s="22" t="inlineStr">
        <is>
          <t>Máy ảnh</t>
        </is>
      </c>
      <c r="D858" s="22" t="n">
        <v>10362.37</v>
      </c>
      <c r="E858" s="22" t="n">
        <v>0</v>
      </c>
      <c r="F858" s="22" t="n">
        <v>39</v>
      </c>
    </row>
    <row r="859">
      <c r="A859" s="22" t="n">
        <v>202007</v>
      </c>
      <c r="B859" s="22" t="inlineStr">
        <is>
          <t>ONLINE</t>
        </is>
      </c>
      <c r="C859" s="22" t="inlineStr">
        <is>
          <t>Điện thoại</t>
        </is>
      </c>
      <c r="D859" s="22" t="n">
        <v>27979.14</v>
      </c>
      <c r="E859" s="22" t="n">
        <v>208</v>
      </c>
      <c r="F859" s="22" t="n">
        <v>132</v>
      </c>
    </row>
    <row r="860">
      <c r="A860" s="22" t="n">
        <v>202007</v>
      </c>
      <c r="B860" s="22" t="inlineStr">
        <is>
          <t>ONLINE</t>
        </is>
      </c>
      <c r="C860" s="22" t="inlineStr">
        <is>
          <t>Máy tính</t>
        </is>
      </c>
      <c r="D860" s="22" t="n">
        <v>52064.79</v>
      </c>
      <c r="E860" s="22" t="n">
        <v>1229.21</v>
      </c>
      <c r="F860" s="22" t="n">
        <v>84</v>
      </c>
    </row>
    <row r="861">
      <c r="A861" s="22" t="n">
        <v>202007</v>
      </c>
      <c r="B861" s="22" t="inlineStr">
        <is>
          <t>ONLINE</t>
        </is>
      </c>
      <c r="C861" s="22" t="inlineStr">
        <is>
          <t>Game &amp; Đồ chơi</t>
        </is>
      </c>
      <c r="D861" s="22" t="n">
        <v>1388.07</v>
      </c>
      <c r="E861" s="22" t="n">
        <v>0</v>
      </c>
      <c r="F861" s="22" t="n">
        <v>64</v>
      </c>
    </row>
    <row r="862">
      <c r="A862" s="22" t="n">
        <v>202007</v>
      </c>
      <c r="B862" s="22" t="inlineStr">
        <is>
          <t>ONLINE</t>
        </is>
      </c>
      <c r="C862" s="22" t="inlineStr">
        <is>
          <t>Gia dụng</t>
        </is>
      </c>
      <c r="D862" s="22" t="n">
        <v>6476.86</v>
      </c>
      <c r="E862" s="22" t="n">
        <v>99.98999999999999</v>
      </c>
      <c r="F862" s="22" t="n">
        <v>7</v>
      </c>
    </row>
    <row r="863">
      <c r="A863" s="22" t="n">
        <v>202007</v>
      </c>
      <c r="B863" s="22" t="inlineStr">
        <is>
          <t>ONLINE</t>
        </is>
      </c>
      <c r="C863" s="22" t="inlineStr">
        <is>
          <t>Nhạc, phim, sách nói</t>
        </is>
      </c>
      <c r="D863" s="22" t="n">
        <v>7090.91</v>
      </c>
      <c r="E863" s="22" t="n">
        <v>302.48</v>
      </c>
      <c r="F863" s="22" t="n">
        <v>55</v>
      </c>
    </row>
    <row r="864">
      <c r="A864" s="22" t="n">
        <v>202007</v>
      </c>
      <c r="B864" s="22" t="inlineStr">
        <is>
          <t>ONLINE</t>
        </is>
      </c>
      <c r="C864" s="22" t="inlineStr">
        <is>
          <t>TV &amp; Video</t>
        </is>
      </c>
      <c r="D864" s="22" t="n">
        <v>7129.49</v>
      </c>
      <c r="E864" s="22" t="n">
        <v>558</v>
      </c>
      <c r="F864" s="22" t="n">
        <v>30</v>
      </c>
    </row>
    <row r="865">
      <c r="A865" s="22" t="n">
        <v>202007</v>
      </c>
      <c r="B865" s="22" t="inlineStr">
        <is>
          <t>POS</t>
        </is>
      </c>
      <c r="C865" s="22" t="inlineStr">
        <is>
          <t>Âm thanh</t>
        </is>
      </c>
      <c r="D865" s="22" t="n">
        <v>10880.51</v>
      </c>
      <c r="E865" s="22" t="n">
        <v>1040.05</v>
      </c>
      <c r="F865" s="22" t="n">
        <v>115</v>
      </c>
    </row>
    <row r="866">
      <c r="A866" s="22" t="n">
        <v>202007</v>
      </c>
      <c r="B866" s="22" t="inlineStr">
        <is>
          <t>POS</t>
        </is>
      </c>
      <c r="C866" s="22" t="inlineStr">
        <is>
          <t>Máy ảnh</t>
        </is>
      </c>
      <c r="D866" s="22" t="n">
        <v>53374.32</v>
      </c>
      <c r="E866" s="22" t="n">
        <v>1308.98</v>
      </c>
      <c r="F866" s="22" t="n">
        <v>148</v>
      </c>
    </row>
    <row r="867">
      <c r="A867" s="22" t="n">
        <v>202007</v>
      </c>
      <c r="B867" s="22" t="inlineStr">
        <is>
          <t>POS</t>
        </is>
      </c>
      <c r="C867" s="22" t="inlineStr">
        <is>
          <t>Điện thoại</t>
        </is>
      </c>
      <c r="D867" s="22" t="n">
        <v>41223.89</v>
      </c>
      <c r="E867" s="22" t="n">
        <v>3354.99</v>
      </c>
      <c r="F867" s="22" t="n">
        <v>216</v>
      </c>
    </row>
    <row r="868">
      <c r="A868" s="22" t="n">
        <v>202007</v>
      </c>
      <c r="B868" s="22" t="inlineStr">
        <is>
          <t>POS</t>
        </is>
      </c>
      <c r="C868" s="22" t="inlineStr">
        <is>
          <t>Máy tính</t>
        </is>
      </c>
      <c r="D868" s="22" t="n">
        <v>146866.02</v>
      </c>
      <c r="E868" s="22" t="n">
        <v>2719.1</v>
      </c>
      <c r="F868" s="22" t="n">
        <v>306</v>
      </c>
    </row>
    <row r="869">
      <c r="A869" s="22" t="n">
        <v>202007</v>
      </c>
      <c r="B869" s="22" t="inlineStr">
        <is>
          <t>POS</t>
        </is>
      </c>
      <c r="C869" s="22" t="inlineStr">
        <is>
          <t>Game &amp; Đồ chơi</t>
        </is>
      </c>
      <c r="D869" s="22" t="n">
        <v>6066.82</v>
      </c>
      <c r="E869" s="22" t="n">
        <v>235.08</v>
      </c>
      <c r="F869" s="22" t="n">
        <v>237</v>
      </c>
    </row>
    <row r="870">
      <c r="A870" s="22" t="n">
        <v>202007</v>
      </c>
      <c r="B870" s="22" t="inlineStr">
        <is>
          <t>POS</t>
        </is>
      </c>
      <c r="C870" s="22" t="inlineStr">
        <is>
          <t>Gia dụng</t>
        </is>
      </c>
      <c r="D870" s="22" t="n">
        <v>46614.03</v>
      </c>
      <c r="E870" s="22" t="n">
        <v>3940</v>
      </c>
      <c r="F870" s="22" t="n">
        <v>68</v>
      </c>
    </row>
    <row r="871">
      <c r="A871" s="22" t="n">
        <v>202007</v>
      </c>
      <c r="B871" s="22" t="inlineStr">
        <is>
          <t>POS</t>
        </is>
      </c>
      <c r="C871" s="22" t="inlineStr">
        <is>
          <t>Nhạc, phim, sách nói</t>
        </is>
      </c>
      <c r="D871" s="22" t="n">
        <v>26857.93</v>
      </c>
      <c r="E871" s="22" t="n">
        <v>1092.88</v>
      </c>
      <c r="F871" s="22" t="n">
        <v>217</v>
      </c>
    </row>
    <row r="872">
      <c r="A872" s="22" t="n">
        <v>202007</v>
      </c>
      <c r="B872" s="22" t="inlineStr">
        <is>
          <t>POS</t>
        </is>
      </c>
      <c r="C872" s="22" t="inlineStr">
        <is>
          <t>TV &amp; Video</t>
        </is>
      </c>
      <c r="D872" s="22" t="n">
        <v>44469.4</v>
      </c>
      <c r="E872" s="22" t="n">
        <v>960</v>
      </c>
      <c r="F872" s="22" t="n">
        <v>92</v>
      </c>
    </row>
    <row r="873">
      <c r="A873" s="22" t="n">
        <v>202008</v>
      </c>
      <c r="B873" s="22" t="inlineStr">
        <is>
          <t>ONLINE</t>
        </is>
      </c>
      <c r="C873" s="22" t="inlineStr">
        <is>
          <t>Âm thanh</t>
        </is>
      </c>
      <c r="D873" s="22" t="n">
        <v>3622.32</v>
      </c>
      <c r="E873" s="22" t="n">
        <v>0</v>
      </c>
      <c r="F873" s="22" t="n">
        <v>21</v>
      </c>
    </row>
    <row r="874">
      <c r="A874" s="22" t="n">
        <v>202008</v>
      </c>
      <c r="B874" s="22" t="inlineStr">
        <is>
          <t>ONLINE</t>
        </is>
      </c>
      <c r="C874" s="22" t="inlineStr">
        <is>
          <t>Máy ảnh</t>
        </is>
      </c>
      <c r="D874" s="22" t="n">
        <v>3642.18</v>
      </c>
      <c r="E874" s="22" t="n">
        <v>393.8</v>
      </c>
      <c r="F874" s="22" t="n">
        <v>17</v>
      </c>
    </row>
    <row r="875">
      <c r="A875" s="22" t="n">
        <v>202008</v>
      </c>
      <c r="B875" s="22" t="inlineStr">
        <is>
          <t>ONLINE</t>
        </is>
      </c>
      <c r="C875" s="22" t="inlineStr">
        <is>
          <t>Điện thoại</t>
        </is>
      </c>
      <c r="D875" s="22" t="n">
        <v>5006.21</v>
      </c>
      <c r="E875" s="22" t="n">
        <v>520.2</v>
      </c>
      <c r="F875" s="22" t="n">
        <v>33</v>
      </c>
    </row>
    <row r="876">
      <c r="A876" s="22" t="n">
        <v>202008</v>
      </c>
      <c r="B876" s="22" t="inlineStr">
        <is>
          <t>ONLINE</t>
        </is>
      </c>
      <c r="C876" s="22" t="inlineStr">
        <is>
          <t>Máy tính</t>
        </is>
      </c>
      <c r="D876" s="22" t="n">
        <v>24616.58</v>
      </c>
      <c r="E876" s="22" t="n">
        <v>0</v>
      </c>
      <c r="F876" s="22" t="n">
        <v>57</v>
      </c>
    </row>
    <row r="877">
      <c r="A877" s="22" t="n">
        <v>202008</v>
      </c>
      <c r="B877" s="22" t="inlineStr">
        <is>
          <t>ONLINE</t>
        </is>
      </c>
      <c r="C877" s="22" t="inlineStr">
        <is>
          <t>Game &amp; Đồ chơi</t>
        </is>
      </c>
      <c r="D877" s="22" t="n">
        <v>385.89</v>
      </c>
      <c r="E877" s="22" t="n">
        <v>123</v>
      </c>
      <c r="F877" s="22" t="n">
        <v>39</v>
      </c>
    </row>
    <row r="878">
      <c r="A878" s="22" t="n">
        <v>202008</v>
      </c>
      <c r="B878" s="22" t="inlineStr">
        <is>
          <t>ONLINE</t>
        </is>
      </c>
      <c r="C878" s="22" t="inlineStr">
        <is>
          <t>Nhạc, phim, sách nói</t>
        </is>
      </c>
      <c r="D878" s="22" t="n">
        <v>7537.52</v>
      </c>
      <c r="E878" s="22" t="n">
        <v>289.99</v>
      </c>
      <c r="F878" s="22" t="n">
        <v>43</v>
      </c>
    </row>
    <row r="879">
      <c r="A879" s="22" t="n">
        <v>202008</v>
      </c>
      <c r="B879" s="22" t="inlineStr">
        <is>
          <t>ONLINE</t>
        </is>
      </c>
      <c r="C879" s="22" t="inlineStr">
        <is>
          <t>TV &amp; Video</t>
        </is>
      </c>
      <c r="D879" s="22" t="n">
        <v>12727.22</v>
      </c>
      <c r="E879" s="22" t="n">
        <v>927.3</v>
      </c>
      <c r="F879" s="22" t="n">
        <v>19</v>
      </c>
    </row>
    <row r="880">
      <c r="A880" s="22" t="n">
        <v>202008</v>
      </c>
      <c r="B880" s="22" t="inlineStr">
        <is>
          <t>POS</t>
        </is>
      </c>
      <c r="C880" s="22" t="inlineStr">
        <is>
          <t>Âm thanh</t>
        </is>
      </c>
      <c r="D880" s="22" t="n">
        <v>16603.25</v>
      </c>
      <c r="E880" s="22" t="n">
        <v>1523.4</v>
      </c>
      <c r="F880" s="22" t="n">
        <v>133</v>
      </c>
    </row>
    <row r="881">
      <c r="A881" s="22" t="n">
        <v>202008</v>
      </c>
      <c r="B881" s="22" t="inlineStr">
        <is>
          <t>POS</t>
        </is>
      </c>
      <c r="C881" s="22" t="inlineStr">
        <is>
          <t>Máy ảnh</t>
        </is>
      </c>
      <c r="D881" s="22" t="n">
        <v>44568.04</v>
      </c>
      <c r="E881" s="22" t="n">
        <v>568</v>
      </c>
      <c r="F881" s="22" t="n">
        <v>124</v>
      </c>
    </row>
    <row r="882">
      <c r="A882" s="22" t="n">
        <v>202008</v>
      </c>
      <c r="B882" s="22" t="inlineStr">
        <is>
          <t>POS</t>
        </is>
      </c>
      <c r="C882" s="22" t="inlineStr">
        <is>
          <t>Điện thoại</t>
        </is>
      </c>
      <c r="D882" s="22" t="n">
        <v>34206.48</v>
      </c>
      <c r="E882" s="22" t="n">
        <v>239.4</v>
      </c>
      <c r="F882" s="22" t="n">
        <v>213</v>
      </c>
    </row>
    <row r="883">
      <c r="A883" s="22" t="n">
        <v>202008</v>
      </c>
      <c r="B883" s="22" t="inlineStr">
        <is>
          <t>POS</t>
        </is>
      </c>
      <c r="C883" s="22" t="inlineStr">
        <is>
          <t>Máy tính</t>
        </is>
      </c>
      <c r="D883" s="22" t="n">
        <v>150127.49</v>
      </c>
      <c r="E883" s="22" t="n">
        <v>3077.7</v>
      </c>
      <c r="F883" s="22" t="n">
        <v>335</v>
      </c>
    </row>
    <row r="884">
      <c r="A884" s="22" t="n">
        <v>202008</v>
      </c>
      <c r="B884" s="22" t="inlineStr">
        <is>
          <t>POS</t>
        </is>
      </c>
      <c r="C884" s="22" t="inlineStr">
        <is>
          <t>Game &amp; Đồ chơi</t>
        </is>
      </c>
      <c r="D884" s="22" t="n">
        <v>4962.94</v>
      </c>
      <c r="E884" s="22" t="n">
        <v>68.73</v>
      </c>
      <c r="F884" s="22" t="n">
        <v>168</v>
      </c>
    </row>
    <row r="885">
      <c r="A885" s="22" t="n">
        <v>202008</v>
      </c>
      <c r="B885" s="22" t="inlineStr">
        <is>
          <t>POS</t>
        </is>
      </c>
      <c r="C885" s="22" t="inlineStr">
        <is>
          <t>Gia dụng</t>
        </is>
      </c>
      <c r="D885" s="22" t="n">
        <v>27666.3</v>
      </c>
      <c r="E885" s="22" t="n">
        <v>99.98999999999999</v>
      </c>
      <c r="F885" s="22" t="n">
        <v>54</v>
      </c>
    </row>
    <row r="886">
      <c r="A886" s="22" t="n">
        <v>202008</v>
      </c>
      <c r="B886" s="22" t="inlineStr">
        <is>
          <t>POS</t>
        </is>
      </c>
      <c r="C886" s="22" t="inlineStr">
        <is>
          <t>Nhạc, phim, sách nói</t>
        </is>
      </c>
      <c r="D886" s="22" t="n">
        <v>16015.91</v>
      </c>
      <c r="E886" s="22" t="n">
        <v>22.65</v>
      </c>
      <c r="F886" s="22" t="n">
        <v>187</v>
      </c>
    </row>
    <row r="887">
      <c r="A887" s="22" t="n">
        <v>202008</v>
      </c>
      <c r="B887" s="22" t="inlineStr">
        <is>
          <t>POS</t>
        </is>
      </c>
      <c r="C887" s="22" t="inlineStr">
        <is>
          <t>TV &amp; Video</t>
        </is>
      </c>
      <c r="D887" s="22" t="n">
        <v>35294.72</v>
      </c>
      <c r="E887" s="22" t="n">
        <v>699</v>
      </c>
      <c r="F887" s="22" t="n">
        <v>53</v>
      </c>
    </row>
    <row r="888">
      <c r="A888" s="22" t="n">
        <v>202009</v>
      </c>
      <c r="B888" s="22" t="inlineStr">
        <is>
          <t>ONLINE</t>
        </is>
      </c>
      <c r="C888" s="22" t="inlineStr">
        <is>
          <t>Âm thanh</t>
        </is>
      </c>
      <c r="D888" s="22" t="n">
        <v>5545.08</v>
      </c>
      <c r="E888" s="22" t="n">
        <v>0</v>
      </c>
      <c r="F888" s="22" t="n">
        <v>34</v>
      </c>
    </row>
    <row r="889">
      <c r="A889" s="22" t="n">
        <v>202009</v>
      </c>
      <c r="B889" s="22" t="inlineStr">
        <is>
          <t>ONLINE</t>
        </is>
      </c>
      <c r="C889" s="22" t="inlineStr">
        <is>
          <t>Máy ảnh</t>
        </is>
      </c>
      <c r="D889" s="22" t="n">
        <v>2719.76</v>
      </c>
      <c r="E889" s="22" t="n">
        <v>0</v>
      </c>
      <c r="F889" s="22" t="n">
        <v>25</v>
      </c>
    </row>
    <row r="890">
      <c r="A890" s="22" t="n">
        <v>202009</v>
      </c>
      <c r="B890" s="22" t="inlineStr">
        <is>
          <t>ONLINE</t>
        </is>
      </c>
      <c r="C890" s="22" t="inlineStr">
        <is>
          <t>Điện thoại</t>
        </is>
      </c>
      <c r="D890" s="22" t="n">
        <v>13983.34</v>
      </c>
      <c r="E890" s="22" t="n">
        <v>0</v>
      </c>
      <c r="F890" s="22" t="n">
        <v>73</v>
      </c>
    </row>
    <row r="891">
      <c r="A891" s="22" t="n">
        <v>202009</v>
      </c>
      <c r="B891" s="22" t="inlineStr">
        <is>
          <t>ONLINE</t>
        </is>
      </c>
      <c r="C891" s="22" t="inlineStr">
        <is>
          <t>Máy tính</t>
        </is>
      </c>
      <c r="D891" s="22" t="n">
        <v>42744.27</v>
      </c>
      <c r="E891" s="22" t="n">
        <v>0</v>
      </c>
      <c r="F891" s="22" t="n">
        <v>91</v>
      </c>
    </row>
    <row r="892">
      <c r="A892" s="22" t="n">
        <v>202009</v>
      </c>
      <c r="B892" s="22" t="inlineStr">
        <is>
          <t>ONLINE</t>
        </is>
      </c>
      <c r="C892" s="22" t="inlineStr">
        <is>
          <t>Game &amp; Đồ chơi</t>
        </is>
      </c>
      <c r="D892" s="22" t="n">
        <v>1596.05</v>
      </c>
      <c r="E892" s="22" t="n">
        <v>0</v>
      </c>
      <c r="F892" s="22" t="n">
        <v>50</v>
      </c>
    </row>
    <row r="893">
      <c r="A893" s="22" t="n">
        <v>202009</v>
      </c>
      <c r="B893" s="22" t="inlineStr">
        <is>
          <t>ONLINE</t>
        </is>
      </c>
      <c r="C893" s="22" t="inlineStr">
        <is>
          <t>Gia dụng</t>
        </is>
      </c>
      <c r="D893" s="22" t="n">
        <v>9780.48</v>
      </c>
      <c r="E893" s="22" t="n">
        <v>0</v>
      </c>
      <c r="F893" s="22" t="n">
        <v>18</v>
      </c>
    </row>
    <row r="894">
      <c r="A894" s="22" t="n">
        <v>202009</v>
      </c>
      <c r="B894" s="22" t="inlineStr">
        <is>
          <t>ONLINE</t>
        </is>
      </c>
      <c r="C894" s="22" t="inlineStr">
        <is>
          <t>Nhạc, phim, sách nói</t>
        </is>
      </c>
      <c r="D894" s="22" t="n">
        <v>4073.77</v>
      </c>
      <c r="E894" s="22" t="n">
        <v>0</v>
      </c>
      <c r="F894" s="22" t="n">
        <v>36</v>
      </c>
    </row>
    <row r="895">
      <c r="A895" s="22" t="n">
        <v>202009</v>
      </c>
      <c r="B895" s="22" t="inlineStr">
        <is>
          <t>ONLINE</t>
        </is>
      </c>
      <c r="C895" s="22" t="inlineStr">
        <is>
          <t>TV &amp; Video</t>
        </is>
      </c>
      <c r="D895" s="22" t="n">
        <v>5310.34</v>
      </c>
      <c r="E895" s="22" t="n">
        <v>0</v>
      </c>
      <c r="F895" s="22" t="n">
        <v>17</v>
      </c>
    </row>
    <row r="896">
      <c r="A896" s="22" t="n">
        <v>202009</v>
      </c>
      <c r="B896" s="22" t="inlineStr">
        <is>
          <t>POS</t>
        </is>
      </c>
      <c r="C896" s="22" t="inlineStr">
        <is>
          <t>Âm thanh</t>
        </is>
      </c>
      <c r="D896" s="22" t="n">
        <v>7289.69</v>
      </c>
      <c r="E896" s="22" t="n">
        <v>168.99</v>
      </c>
      <c r="F896" s="22" t="n">
        <v>77</v>
      </c>
    </row>
    <row r="897">
      <c r="A897" s="22" t="n">
        <v>202009</v>
      </c>
      <c r="B897" s="22" t="inlineStr">
        <is>
          <t>POS</t>
        </is>
      </c>
      <c r="C897" s="22" t="inlineStr">
        <is>
          <t>Máy ảnh</t>
        </is>
      </c>
      <c r="D897" s="22" t="n">
        <v>24026.75</v>
      </c>
      <c r="E897" s="22" t="n">
        <v>251.99</v>
      </c>
      <c r="F897" s="22" t="n">
        <v>65</v>
      </c>
    </row>
    <row r="898">
      <c r="A898" s="22" t="n">
        <v>202009</v>
      </c>
      <c r="B898" s="22" t="inlineStr">
        <is>
          <t>POS</t>
        </is>
      </c>
      <c r="C898" s="22" t="inlineStr">
        <is>
          <t>Điện thoại</t>
        </is>
      </c>
      <c r="D898" s="22" t="n">
        <v>36312.87</v>
      </c>
      <c r="E898" s="22" t="n">
        <v>321.98</v>
      </c>
      <c r="F898" s="22" t="n">
        <v>190</v>
      </c>
    </row>
    <row r="899">
      <c r="A899" s="22" t="n">
        <v>202009</v>
      </c>
      <c r="B899" s="22" t="inlineStr">
        <is>
          <t>POS</t>
        </is>
      </c>
      <c r="C899" s="22" t="inlineStr">
        <is>
          <t>Máy tính</t>
        </is>
      </c>
      <c r="D899" s="22" t="n">
        <v>96403.39</v>
      </c>
      <c r="E899" s="22" t="n">
        <v>427.85</v>
      </c>
      <c r="F899" s="22" t="n">
        <v>262</v>
      </c>
    </row>
    <row r="900">
      <c r="A900" s="22" t="n">
        <v>202009</v>
      </c>
      <c r="B900" s="22" t="inlineStr">
        <is>
          <t>POS</t>
        </is>
      </c>
      <c r="C900" s="22" t="inlineStr">
        <is>
          <t>Game &amp; Đồ chơi</t>
        </is>
      </c>
      <c r="D900" s="22" t="n">
        <v>3586.4</v>
      </c>
      <c r="E900" s="22" t="n">
        <v>0</v>
      </c>
      <c r="F900" s="22" t="n">
        <v>106</v>
      </c>
    </row>
    <row r="901">
      <c r="A901" s="22" t="n">
        <v>202009</v>
      </c>
      <c r="B901" s="22" t="inlineStr">
        <is>
          <t>POS</t>
        </is>
      </c>
      <c r="C901" s="22" t="inlineStr">
        <is>
          <t>Gia dụng</t>
        </is>
      </c>
      <c r="D901" s="22" t="n">
        <v>39234.58</v>
      </c>
      <c r="E901" s="22" t="n">
        <v>0</v>
      </c>
      <c r="F901" s="22" t="n">
        <v>52</v>
      </c>
    </row>
    <row r="902">
      <c r="A902" s="22" t="n">
        <v>202009</v>
      </c>
      <c r="B902" s="22" t="inlineStr">
        <is>
          <t>POS</t>
        </is>
      </c>
      <c r="C902" s="22" t="inlineStr">
        <is>
          <t>Nhạc, phim, sách nói</t>
        </is>
      </c>
      <c r="D902" s="22" t="n">
        <v>15472.84</v>
      </c>
      <c r="E902" s="22" t="n">
        <v>260.99</v>
      </c>
      <c r="F902" s="22" t="n">
        <v>130</v>
      </c>
    </row>
    <row r="903">
      <c r="A903" s="22" t="n">
        <v>202009</v>
      </c>
      <c r="B903" s="22" t="inlineStr">
        <is>
          <t>POS</t>
        </is>
      </c>
      <c r="C903" s="22" t="inlineStr">
        <is>
          <t>TV &amp; Video</t>
        </is>
      </c>
      <c r="D903" s="22" t="n">
        <v>51108.22</v>
      </c>
      <c r="E903" s="22" t="n">
        <v>119</v>
      </c>
      <c r="F903" s="22" t="n">
        <v>65</v>
      </c>
    </row>
    <row r="904">
      <c r="A904" s="22" t="n">
        <v>202010</v>
      </c>
      <c r="B904" s="22" t="inlineStr">
        <is>
          <t>ONLINE</t>
        </is>
      </c>
      <c r="C904" s="22" t="inlineStr">
        <is>
          <t>Âm thanh</t>
        </is>
      </c>
      <c r="D904" s="22" t="n">
        <v>3066.81</v>
      </c>
      <c r="E904" s="22" t="n">
        <v>0</v>
      </c>
      <c r="F904" s="22" t="n">
        <v>31</v>
      </c>
    </row>
    <row r="905">
      <c r="A905" s="22" t="n">
        <v>202010</v>
      </c>
      <c r="B905" s="22" t="inlineStr">
        <is>
          <t>ONLINE</t>
        </is>
      </c>
      <c r="C905" s="22" t="inlineStr">
        <is>
          <t>Máy ảnh</t>
        </is>
      </c>
      <c r="D905" s="22" t="n">
        <v>13098.66</v>
      </c>
      <c r="E905" s="22" t="n">
        <v>0</v>
      </c>
      <c r="F905" s="22" t="n">
        <v>32</v>
      </c>
    </row>
    <row r="906">
      <c r="A906" s="22" t="n">
        <v>202010</v>
      </c>
      <c r="B906" s="22" t="inlineStr">
        <is>
          <t>ONLINE</t>
        </is>
      </c>
      <c r="C906" s="22" t="inlineStr">
        <is>
          <t>Điện thoại</t>
        </is>
      </c>
      <c r="D906" s="22" t="n">
        <v>6532.91</v>
      </c>
      <c r="E906" s="22" t="n">
        <v>620</v>
      </c>
      <c r="F906" s="22" t="n">
        <v>36</v>
      </c>
    </row>
    <row r="907">
      <c r="A907" s="22" t="n">
        <v>202010</v>
      </c>
      <c r="B907" s="22" t="inlineStr">
        <is>
          <t>ONLINE</t>
        </is>
      </c>
      <c r="C907" s="22" t="inlineStr">
        <is>
          <t>Máy tính</t>
        </is>
      </c>
      <c r="D907" s="22" t="n">
        <v>29358.38</v>
      </c>
      <c r="E907" s="22" t="n">
        <v>0</v>
      </c>
      <c r="F907" s="22" t="n">
        <v>60</v>
      </c>
    </row>
    <row r="908">
      <c r="A908" s="22" t="n">
        <v>202010</v>
      </c>
      <c r="B908" s="22" t="inlineStr">
        <is>
          <t>ONLINE</t>
        </is>
      </c>
      <c r="C908" s="22" t="inlineStr">
        <is>
          <t>Game &amp; Đồ chơi</t>
        </is>
      </c>
      <c r="D908" s="22" t="n">
        <v>433.32</v>
      </c>
      <c r="E908" s="22" t="n">
        <v>0</v>
      </c>
      <c r="F908" s="22" t="n">
        <v>32</v>
      </c>
    </row>
    <row r="909">
      <c r="A909" s="22" t="n">
        <v>202010</v>
      </c>
      <c r="B909" s="22" t="inlineStr">
        <is>
          <t>ONLINE</t>
        </is>
      </c>
      <c r="C909" s="22" t="inlineStr">
        <is>
          <t>Gia dụng</t>
        </is>
      </c>
      <c r="D909" s="22" t="n">
        <v>760.9299999999999</v>
      </c>
      <c r="E909" s="22" t="n">
        <v>0</v>
      </c>
      <c r="F909" s="22" t="n">
        <v>2</v>
      </c>
    </row>
    <row r="910">
      <c r="A910" s="22" t="n">
        <v>202010</v>
      </c>
      <c r="B910" s="22" t="inlineStr">
        <is>
          <t>ONLINE</t>
        </is>
      </c>
      <c r="C910" s="22" t="inlineStr">
        <is>
          <t>Nhạc, phim, sách nói</t>
        </is>
      </c>
      <c r="D910" s="22" t="n">
        <v>2856.19</v>
      </c>
      <c r="E910" s="22" t="n">
        <v>12.5</v>
      </c>
      <c r="F910" s="22" t="n">
        <v>31</v>
      </c>
    </row>
    <row r="911">
      <c r="A911" s="22" t="n">
        <v>202010</v>
      </c>
      <c r="B911" s="22" t="inlineStr">
        <is>
          <t>ONLINE</t>
        </is>
      </c>
      <c r="C911" s="22" t="inlineStr">
        <is>
          <t>TV &amp; Video</t>
        </is>
      </c>
      <c r="D911" s="22" t="n">
        <v>2695</v>
      </c>
      <c r="E911" s="22" t="n">
        <v>0</v>
      </c>
      <c r="F911" s="22" t="n">
        <v>5</v>
      </c>
    </row>
    <row r="912">
      <c r="A912" s="22" t="n">
        <v>202010</v>
      </c>
      <c r="B912" s="22" t="inlineStr">
        <is>
          <t>POS</t>
        </is>
      </c>
      <c r="C912" s="22" t="inlineStr">
        <is>
          <t>Âm thanh</t>
        </is>
      </c>
      <c r="D912" s="22" t="n">
        <v>6706.87</v>
      </c>
      <c r="E912" s="22" t="n">
        <v>399.9</v>
      </c>
      <c r="F912" s="22" t="n">
        <v>75</v>
      </c>
    </row>
    <row r="913">
      <c r="A913" s="22" t="n">
        <v>202010</v>
      </c>
      <c r="B913" s="22" t="inlineStr">
        <is>
          <t>POS</t>
        </is>
      </c>
      <c r="C913" s="22" t="inlineStr">
        <is>
          <t>Máy ảnh</t>
        </is>
      </c>
      <c r="D913" s="22" t="n">
        <v>15476.94</v>
      </c>
      <c r="E913" s="22" t="n">
        <v>1141</v>
      </c>
      <c r="F913" s="22" t="n">
        <v>70</v>
      </c>
    </row>
    <row r="914">
      <c r="A914" s="22" t="n">
        <v>202010</v>
      </c>
      <c r="B914" s="22" t="inlineStr">
        <is>
          <t>POS</t>
        </is>
      </c>
      <c r="C914" s="22" t="inlineStr">
        <is>
          <t>Điện thoại</t>
        </is>
      </c>
      <c r="D914" s="22" t="n">
        <v>32167.86</v>
      </c>
      <c r="E914" s="22" t="n">
        <v>230</v>
      </c>
      <c r="F914" s="22" t="n">
        <v>138</v>
      </c>
    </row>
    <row r="915">
      <c r="A915" s="22" t="n">
        <v>202010</v>
      </c>
      <c r="B915" s="22" t="inlineStr">
        <is>
          <t>POS</t>
        </is>
      </c>
      <c r="C915" s="22" t="inlineStr">
        <is>
          <t>Máy tính</t>
        </is>
      </c>
      <c r="D915" s="22" t="n">
        <v>79524.97</v>
      </c>
      <c r="E915" s="22" t="n">
        <v>1323.17</v>
      </c>
      <c r="F915" s="22" t="n">
        <v>200</v>
      </c>
    </row>
    <row r="916">
      <c r="A916" s="22" t="n">
        <v>202010</v>
      </c>
      <c r="B916" s="22" t="inlineStr">
        <is>
          <t>POS</t>
        </is>
      </c>
      <c r="C916" s="22" t="inlineStr">
        <is>
          <t>Game &amp; Đồ chơi</t>
        </is>
      </c>
      <c r="D916" s="22" t="n">
        <v>3778.91</v>
      </c>
      <c r="E916" s="22" t="n">
        <v>187.36</v>
      </c>
      <c r="F916" s="22" t="n">
        <v>145</v>
      </c>
    </row>
    <row r="917">
      <c r="A917" s="22" t="n">
        <v>202010</v>
      </c>
      <c r="B917" s="22" t="inlineStr">
        <is>
          <t>POS</t>
        </is>
      </c>
      <c r="C917" s="22" t="inlineStr">
        <is>
          <t>Gia dụng</t>
        </is>
      </c>
      <c r="D917" s="22" t="n">
        <v>17504.77</v>
      </c>
      <c r="E917" s="22" t="n">
        <v>0</v>
      </c>
      <c r="F917" s="22" t="n">
        <v>36</v>
      </c>
    </row>
    <row r="918">
      <c r="A918" s="22" t="n">
        <v>202010</v>
      </c>
      <c r="B918" s="22" t="inlineStr">
        <is>
          <t>POS</t>
        </is>
      </c>
      <c r="C918" s="22" t="inlineStr">
        <is>
          <t>Nhạc, phim, sách nói</t>
        </is>
      </c>
      <c r="D918" s="22" t="n">
        <v>14624.82</v>
      </c>
      <c r="E918" s="22" t="n">
        <v>310.59</v>
      </c>
      <c r="F918" s="22" t="n">
        <v>114</v>
      </c>
    </row>
    <row r="919">
      <c r="A919" s="22" t="n">
        <v>202010</v>
      </c>
      <c r="B919" s="22" t="inlineStr">
        <is>
          <t>POS</t>
        </is>
      </c>
      <c r="C919" s="22" t="inlineStr">
        <is>
          <t>TV &amp; Video</t>
        </is>
      </c>
      <c r="D919" s="22" t="n">
        <v>13002.89</v>
      </c>
      <c r="E919" s="22" t="n">
        <v>238</v>
      </c>
      <c r="F919" s="22" t="n">
        <v>26</v>
      </c>
    </row>
    <row r="920">
      <c r="A920" s="22" t="n">
        <v>202011</v>
      </c>
      <c r="B920" s="22" t="inlineStr">
        <is>
          <t>ONLINE</t>
        </is>
      </c>
      <c r="C920" s="22" t="inlineStr">
        <is>
          <t>Âm thanh</t>
        </is>
      </c>
      <c r="D920" s="22" t="n">
        <v>1985.69</v>
      </c>
      <c r="E920" s="22" t="n">
        <v>0</v>
      </c>
      <c r="F920" s="22" t="n">
        <v>12</v>
      </c>
    </row>
    <row r="921">
      <c r="A921" s="22" t="n">
        <v>202011</v>
      </c>
      <c r="B921" s="22" t="inlineStr">
        <is>
          <t>ONLINE</t>
        </is>
      </c>
      <c r="C921" s="22" t="inlineStr">
        <is>
          <t>Máy ảnh</t>
        </is>
      </c>
      <c r="D921" s="22" t="n">
        <v>5486.76</v>
      </c>
      <c r="E921" s="22" t="n">
        <v>0</v>
      </c>
      <c r="F921" s="22" t="n">
        <v>16</v>
      </c>
    </row>
    <row r="922">
      <c r="A922" s="22" t="n">
        <v>202011</v>
      </c>
      <c r="B922" s="22" t="inlineStr">
        <is>
          <t>ONLINE</t>
        </is>
      </c>
      <c r="C922" s="22" t="inlineStr">
        <is>
          <t>Điện thoại</t>
        </is>
      </c>
      <c r="D922" s="22" t="n">
        <v>6044.73</v>
      </c>
      <c r="E922" s="22" t="n">
        <v>0</v>
      </c>
      <c r="F922" s="22" t="n">
        <v>27</v>
      </c>
    </row>
    <row r="923">
      <c r="A923" s="22" t="n">
        <v>202011</v>
      </c>
      <c r="B923" s="22" t="inlineStr">
        <is>
          <t>ONLINE</t>
        </is>
      </c>
      <c r="C923" s="22" t="inlineStr">
        <is>
          <t>Máy tính</t>
        </is>
      </c>
      <c r="D923" s="22" t="n">
        <v>19164.72</v>
      </c>
      <c r="E923" s="22" t="n">
        <v>0</v>
      </c>
      <c r="F923" s="22" t="n">
        <v>62</v>
      </c>
    </row>
    <row r="924">
      <c r="A924" s="22" t="n">
        <v>202011</v>
      </c>
      <c r="B924" s="22" t="inlineStr">
        <is>
          <t>ONLINE</t>
        </is>
      </c>
      <c r="C924" s="22" t="inlineStr">
        <is>
          <t>Game &amp; Đồ chơi</t>
        </is>
      </c>
      <c r="D924" s="22" t="n">
        <v>957.51</v>
      </c>
      <c r="E924" s="22" t="n">
        <v>40.09</v>
      </c>
      <c r="F924" s="22" t="n">
        <v>48</v>
      </c>
    </row>
    <row r="925">
      <c r="A925" s="22" t="n">
        <v>202011</v>
      </c>
      <c r="B925" s="22" t="inlineStr">
        <is>
          <t>ONLINE</t>
        </is>
      </c>
      <c r="C925" s="22" t="inlineStr">
        <is>
          <t>Gia dụng</t>
        </is>
      </c>
      <c r="D925" s="22" t="n">
        <v>4741.44</v>
      </c>
      <c r="E925" s="22" t="n">
        <v>0</v>
      </c>
      <c r="F925" s="22" t="n">
        <v>12</v>
      </c>
    </row>
    <row r="926">
      <c r="A926" s="22" t="n">
        <v>202011</v>
      </c>
      <c r="B926" s="22" t="inlineStr">
        <is>
          <t>ONLINE</t>
        </is>
      </c>
      <c r="C926" s="22" t="inlineStr">
        <is>
          <t>Nhạc, phim, sách nói</t>
        </is>
      </c>
      <c r="D926" s="22" t="n">
        <v>2115.28</v>
      </c>
      <c r="E926" s="22" t="n">
        <v>0</v>
      </c>
      <c r="F926" s="22" t="n">
        <v>50</v>
      </c>
    </row>
    <row r="927">
      <c r="A927" s="22" t="n">
        <v>202011</v>
      </c>
      <c r="B927" s="22" t="inlineStr">
        <is>
          <t>ONLINE</t>
        </is>
      </c>
      <c r="C927" s="22" t="inlineStr">
        <is>
          <t>TV &amp; Video</t>
        </is>
      </c>
      <c r="D927" s="22" t="n">
        <v>1109</v>
      </c>
      <c r="E927" s="22" t="n">
        <v>0</v>
      </c>
      <c r="F927" s="22" t="n">
        <v>1</v>
      </c>
    </row>
    <row r="928">
      <c r="A928" s="22" t="n">
        <v>202011</v>
      </c>
      <c r="B928" s="22" t="inlineStr">
        <is>
          <t>POS</t>
        </is>
      </c>
      <c r="C928" s="22" t="inlineStr">
        <is>
          <t>Âm thanh</t>
        </is>
      </c>
      <c r="D928" s="22" t="n">
        <v>7901.21</v>
      </c>
      <c r="E928" s="22" t="n">
        <v>0</v>
      </c>
      <c r="F928" s="22" t="n">
        <v>61</v>
      </c>
    </row>
    <row r="929">
      <c r="A929" s="22" t="n">
        <v>202011</v>
      </c>
      <c r="B929" s="22" t="inlineStr">
        <is>
          <t>POS</t>
        </is>
      </c>
      <c r="C929" s="22" t="inlineStr">
        <is>
          <t>Máy ảnh</t>
        </is>
      </c>
      <c r="D929" s="22" t="n">
        <v>29987.99</v>
      </c>
      <c r="E929" s="22" t="n">
        <v>1340</v>
      </c>
      <c r="F929" s="22" t="n">
        <v>62</v>
      </c>
    </row>
    <row r="930">
      <c r="A930" s="22" t="n">
        <v>202011</v>
      </c>
      <c r="B930" s="22" t="inlineStr">
        <is>
          <t>POS</t>
        </is>
      </c>
      <c r="C930" s="22" t="inlineStr">
        <is>
          <t>Điện thoại</t>
        </is>
      </c>
      <c r="D930" s="22" t="n">
        <v>38046.16</v>
      </c>
      <c r="E930" s="22" t="n">
        <v>864.6799999999999</v>
      </c>
      <c r="F930" s="22" t="n">
        <v>205</v>
      </c>
    </row>
    <row r="931">
      <c r="A931" s="22" t="n">
        <v>202011</v>
      </c>
      <c r="B931" s="22" t="inlineStr">
        <is>
          <t>POS</t>
        </is>
      </c>
      <c r="C931" s="22" t="inlineStr">
        <is>
          <t>Máy tính</t>
        </is>
      </c>
      <c r="D931" s="22" t="n">
        <v>71488.86</v>
      </c>
      <c r="E931" s="22" t="n">
        <v>768.9</v>
      </c>
      <c r="F931" s="22" t="n">
        <v>142</v>
      </c>
    </row>
    <row r="932">
      <c r="A932" s="22" t="n">
        <v>202011</v>
      </c>
      <c r="B932" s="22" t="inlineStr">
        <is>
          <t>POS</t>
        </is>
      </c>
      <c r="C932" s="22" t="inlineStr">
        <is>
          <t>Game &amp; Đồ chơi</t>
        </is>
      </c>
      <c r="D932" s="22" t="n">
        <v>3253.08</v>
      </c>
      <c r="E932" s="22" t="n">
        <v>0</v>
      </c>
      <c r="F932" s="22" t="n">
        <v>97</v>
      </c>
    </row>
    <row r="933">
      <c r="A933" s="22" t="n">
        <v>202011</v>
      </c>
      <c r="B933" s="22" t="inlineStr">
        <is>
          <t>POS</t>
        </is>
      </c>
      <c r="C933" s="22" t="inlineStr">
        <is>
          <t>Gia dụng</t>
        </is>
      </c>
      <c r="D933" s="22" t="n">
        <v>19022.39</v>
      </c>
      <c r="E933" s="22" t="n">
        <v>0</v>
      </c>
      <c r="F933" s="22" t="n">
        <v>40</v>
      </c>
    </row>
    <row r="934">
      <c r="A934" s="22" t="n">
        <v>202011</v>
      </c>
      <c r="B934" s="22" t="inlineStr">
        <is>
          <t>POS</t>
        </is>
      </c>
      <c r="C934" s="22" t="inlineStr">
        <is>
          <t>Nhạc, phim, sách nói</t>
        </is>
      </c>
      <c r="D934" s="22" t="n">
        <v>14633.35</v>
      </c>
      <c r="E934" s="22" t="n">
        <v>406.61</v>
      </c>
      <c r="F934" s="22" t="n">
        <v>153</v>
      </c>
    </row>
    <row r="935">
      <c r="A935" s="22" t="n">
        <v>202011</v>
      </c>
      <c r="B935" s="22" t="inlineStr">
        <is>
          <t>POS</t>
        </is>
      </c>
      <c r="C935" s="22" t="inlineStr">
        <is>
          <t>TV &amp; Video</t>
        </is>
      </c>
      <c r="D935" s="22" t="n">
        <v>15518.79</v>
      </c>
      <c r="E935" s="22" t="n">
        <v>0</v>
      </c>
      <c r="F935" s="22" t="n">
        <v>43</v>
      </c>
    </row>
    <row r="936">
      <c r="A936" s="22" t="n">
        <v>202012</v>
      </c>
      <c r="B936" s="22" t="inlineStr">
        <is>
          <t>ONLINE</t>
        </is>
      </c>
      <c r="C936" s="22" t="inlineStr">
        <is>
          <t>Âm thanh</t>
        </is>
      </c>
      <c r="D936" s="22" t="n">
        <v>5163.68</v>
      </c>
      <c r="E936" s="22" t="n">
        <v>0</v>
      </c>
      <c r="F936" s="22" t="n">
        <v>48</v>
      </c>
    </row>
    <row r="937">
      <c r="A937" s="22" t="n">
        <v>202012</v>
      </c>
      <c r="B937" s="22" t="inlineStr">
        <is>
          <t>ONLINE</t>
        </is>
      </c>
      <c r="C937" s="22" t="inlineStr">
        <is>
          <t>Máy ảnh</t>
        </is>
      </c>
      <c r="D937" s="22" t="n">
        <v>15495.15</v>
      </c>
      <c r="E937" s="22" t="n">
        <v>1225.28</v>
      </c>
      <c r="F937" s="22" t="n">
        <v>52</v>
      </c>
    </row>
    <row r="938">
      <c r="A938" s="22" t="n">
        <v>202012</v>
      </c>
      <c r="B938" s="22" t="inlineStr">
        <is>
          <t>ONLINE</t>
        </is>
      </c>
      <c r="C938" s="22" t="inlineStr">
        <is>
          <t>Điện thoại</t>
        </is>
      </c>
      <c r="D938" s="22" t="n">
        <v>18063.33</v>
      </c>
      <c r="E938" s="22" t="n">
        <v>0</v>
      </c>
      <c r="F938" s="22" t="n">
        <v>98</v>
      </c>
    </row>
    <row r="939">
      <c r="A939" s="22" t="n">
        <v>202012</v>
      </c>
      <c r="B939" s="22" t="inlineStr">
        <is>
          <t>ONLINE</t>
        </is>
      </c>
      <c r="C939" s="22" t="inlineStr">
        <is>
          <t>Máy tính</t>
        </is>
      </c>
      <c r="D939" s="22" t="n">
        <v>62230.55</v>
      </c>
      <c r="E939" s="22" t="n">
        <v>485.82</v>
      </c>
      <c r="F939" s="22" t="n">
        <v>129</v>
      </c>
    </row>
    <row r="940">
      <c r="A940" s="22" t="n">
        <v>202012</v>
      </c>
      <c r="B940" s="22" t="inlineStr">
        <is>
          <t>ONLINE</t>
        </is>
      </c>
      <c r="C940" s="22" t="inlineStr">
        <is>
          <t>Game &amp; Đồ chơi</t>
        </is>
      </c>
      <c r="D940" s="22" t="n">
        <v>1278.22</v>
      </c>
      <c r="E940" s="22" t="n">
        <v>0</v>
      </c>
      <c r="F940" s="22" t="n">
        <v>86</v>
      </c>
    </row>
    <row r="941">
      <c r="A941" s="22" t="n">
        <v>202012</v>
      </c>
      <c r="B941" s="22" t="inlineStr">
        <is>
          <t>ONLINE</t>
        </is>
      </c>
      <c r="C941" s="22" t="inlineStr">
        <is>
          <t>Gia dụng</t>
        </is>
      </c>
      <c r="D941" s="22" t="n">
        <v>23216.59</v>
      </c>
      <c r="E941" s="22" t="n">
        <v>0</v>
      </c>
      <c r="F941" s="22" t="n">
        <v>36</v>
      </c>
    </row>
    <row r="942">
      <c r="A942" s="22" t="n">
        <v>202012</v>
      </c>
      <c r="B942" s="22" t="inlineStr">
        <is>
          <t>ONLINE</t>
        </is>
      </c>
      <c r="C942" s="22" t="inlineStr">
        <is>
          <t>Nhạc, phim, sách nói</t>
        </is>
      </c>
      <c r="D942" s="22" t="n">
        <v>19251.59</v>
      </c>
      <c r="E942" s="22" t="n">
        <v>68.67</v>
      </c>
      <c r="F942" s="22" t="n">
        <v>154</v>
      </c>
    </row>
    <row r="943">
      <c r="A943" s="22" t="n">
        <v>202012</v>
      </c>
      <c r="B943" s="22" t="inlineStr">
        <is>
          <t>ONLINE</t>
        </is>
      </c>
      <c r="C943" s="22" t="inlineStr">
        <is>
          <t>TV &amp; Video</t>
        </is>
      </c>
      <c r="D943" s="22" t="n">
        <v>10193.85</v>
      </c>
      <c r="E943" s="22" t="n">
        <v>0</v>
      </c>
      <c r="F943" s="22" t="n">
        <v>26</v>
      </c>
    </row>
    <row r="944">
      <c r="A944" s="22" t="n">
        <v>202012</v>
      </c>
      <c r="B944" s="22" t="inlineStr">
        <is>
          <t>POS</t>
        </is>
      </c>
      <c r="C944" s="22" t="inlineStr">
        <is>
          <t>Âm thanh</t>
        </is>
      </c>
      <c r="D944" s="22" t="n">
        <v>17190.83</v>
      </c>
      <c r="E944" s="22" t="n">
        <v>895.35</v>
      </c>
      <c r="F944" s="22" t="n">
        <v>139</v>
      </c>
    </row>
    <row r="945">
      <c r="A945" s="22" t="n">
        <v>202012</v>
      </c>
      <c r="B945" s="22" t="inlineStr">
        <is>
          <t>POS</t>
        </is>
      </c>
      <c r="C945" s="22" t="inlineStr">
        <is>
          <t>Máy ảnh</t>
        </is>
      </c>
      <c r="D945" s="22" t="n">
        <v>51300.49</v>
      </c>
      <c r="E945" s="22" t="n">
        <v>0</v>
      </c>
      <c r="F945" s="22" t="n">
        <v>156</v>
      </c>
    </row>
    <row r="946">
      <c r="A946" s="22" t="n">
        <v>202012</v>
      </c>
      <c r="B946" s="22" t="inlineStr">
        <is>
          <t>POS</t>
        </is>
      </c>
      <c r="C946" s="22" t="inlineStr">
        <is>
          <t>Điện thoại</t>
        </is>
      </c>
      <c r="D946" s="22" t="n">
        <v>51736.95</v>
      </c>
      <c r="E946" s="22" t="n">
        <v>958.53</v>
      </c>
      <c r="F946" s="22" t="n">
        <v>315</v>
      </c>
    </row>
    <row r="947">
      <c r="A947" s="22" t="n">
        <v>202012</v>
      </c>
      <c r="B947" s="22" t="inlineStr">
        <is>
          <t>POS</t>
        </is>
      </c>
      <c r="C947" s="22" t="inlineStr">
        <is>
          <t>Máy tính</t>
        </is>
      </c>
      <c r="D947" s="22" t="n">
        <v>204825.34</v>
      </c>
      <c r="E947" s="22" t="n">
        <v>3686.1</v>
      </c>
      <c r="F947" s="22" t="n">
        <v>450</v>
      </c>
    </row>
    <row r="948">
      <c r="A948" s="22" t="n">
        <v>202012</v>
      </c>
      <c r="B948" s="22" t="inlineStr">
        <is>
          <t>POS</t>
        </is>
      </c>
      <c r="C948" s="22" t="inlineStr">
        <is>
          <t>Game &amp; Đồ chơi</t>
        </is>
      </c>
      <c r="D948" s="22" t="n">
        <v>6486.37</v>
      </c>
      <c r="E948" s="22" t="n">
        <v>250.06</v>
      </c>
      <c r="F948" s="22" t="n">
        <v>207</v>
      </c>
    </row>
    <row r="949">
      <c r="A949" s="22" t="n">
        <v>202012</v>
      </c>
      <c r="B949" s="22" t="inlineStr">
        <is>
          <t>POS</t>
        </is>
      </c>
      <c r="C949" s="22" t="inlineStr">
        <is>
          <t>Gia dụng</t>
        </is>
      </c>
      <c r="D949" s="22" t="n">
        <v>33951.55</v>
      </c>
      <c r="E949" s="22" t="n">
        <v>254.99</v>
      </c>
      <c r="F949" s="22" t="n">
        <v>72</v>
      </c>
    </row>
    <row r="950">
      <c r="A950" s="22" t="n">
        <v>202012</v>
      </c>
      <c r="B950" s="22" t="inlineStr">
        <is>
          <t>POS</t>
        </is>
      </c>
      <c r="C950" s="22" t="inlineStr">
        <is>
          <t>Nhạc, phim, sách nói</t>
        </is>
      </c>
      <c r="D950" s="22" t="n">
        <v>34924.63</v>
      </c>
      <c r="E950" s="22" t="n">
        <v>1861.87</v>
      </c>
      <c r="F950" s="22" t="n">
        <v>289</v>
      </c>
    </row>
    <row r="951">
      <c r="A951" s="22" t="n">
        <v>202012</v>
      </c>
      <c r="B951" s="22" t="inlineStr">
        <is>
          <t>POS</t>
        </is>
      </c>
      <c r="C951" s="22" t="inlineStr">
        <is>
          <t>TV &amp; Video</t>
        </is>
      </c>
      <c r="D951" s="22" t="n">
        <v>60502.62</v>
      </c>
      <c r="E951" s="22" t="n">
        <v>0</v>
      </c>
      <c r="F951" s="22" t="n">
        <v>102</v>
      </c>
    </row>
    <row r="952">
      <c r="A952" s="22" t="n">
        <v>202101</v>
      </c>
      <c r="B952" s="22" t="inlineStr">
        <is>
          <t>ONLINE</t>
        </is>
      </c>
      <c r="C952" s="22" t="inlineStr">
        <is>
          <t>Âm thanh</t>
        </is>
      </c>
      <c r="D952" s="22" t="n">
        <v>4900.58</v>
      </c>
      <c r="E952" s="22" t="n">
        <v>562.4</v>
      </c>
      <c r="F952" s="22" t="n">
        <v>43</v>
      </c>
    </row>
    <row r="953">
      <c r="A953" s="22" t="n">
        <v>202101</v>
      </c>
      <c r="B953" s="22" t="inlineStr">
        <is>
          <t>ONLINE</t>
        </is>
      </c>
      <c r="C953" s="22" t="inlineStr">
        <is>
          <t>Máy ảnh</t>
        </is>
      </c>
      <c r="D953" s="22" t="n">
        <v>15899.22</v>
      </c>
      <c r="E953" s="22" t="n">
        <v>0</v>
      </c>
      <c r="F953" s="22" t="n">
        <v>45</v>
      </c>
    </row>
    <row r="954">
      <c r="A954" s="22" t="n">
        <v>202101</v>
      </c>
      <c r="B954" s="22" t="inlineStr">
        <is>
          <t>ONLINE</t>
        </is>
      </c>
      <c r="C954" s="22" t="inlineStr">
        <is>
          <t>Điện thoại</t>
        </is>
      </c>
      <c r="D954" s="22" t="n">
        <v>17100.36</v>
      </c>
      <c r="E954" s="22" t="n">
        <v>0</v>
      </c>
      <c r="F954" s="22" t="n">
        <v>84</v>
      </c>
    </row>
    <row r="955">
      <c r="A955" s="22" t="n">
        <v>202101</v>
      </c>
      <c r="B955" s="22" t="inlineStr">
        <is>
          <t>ONLINE</t>
        </is>
      </c>
      <c r="C955" s="22" t="inlineStr">
        <is>
          <t>Máy tính</t>
        </is>
      </c>
      <c r="D955" s="22" t="n">
        <v>49760.99</v>
      </c>
      <c r="E955" s="22" t="n">
        <v>499</v>
      </c>
      <c r="F955" s="22" t="n">
        <v>145</v>
      </c>
    </row>
    <row r="956">
      <c r="A956" s="22" t="n">
        <v>202101</v>
      </c>
      <c r="B956" s="22" t="inlineStr">
        <is>
          <t>ONLINE</t>
        </is>
      </c>
      <c r="C956" s="22" t="inlineStr">
        <is>
          <t>Game &amp; Đồ chơi</t>
        </is>
      </c>
      <c r="D956" s="22" t="n">
        <v>894.59</v>
      </c>
      <c r="E956" s="22" t="n">
        <v>24.81</v>
      </c>
      <c r="F956" s="22" t="n">
        <v>34</v>
      </c>
    </row>
    <row r="957">
      <c r="A957" s="22" t="n">
        <v>202101</v>
      </c>
      <c r="B957" s="22" t="inlineStr">
        <is>
          <t>ONLINE</t>
        </is>
      </c>
      <c r="C957" s="22" t="inlineStr">
        <is>
          <t>Gia dụng</t>
        </is>
      </c>
      <c r="D957" s="22" t="n">
        <v>20086.67</v>
      </c>
      <c r="E957" s="22" t="n">
        <v>0</v>
      </c>
      <c r="F957" s="22" t="n">
        <v>25</v>
      </c>
    </row>
    <row r="958">
      <c r="A958" s="22" t="n">
        <v>202101</v>
      </c>
      <c r="B958" s="22" t="inlineStr">
        <is>
          <t>ONLINE</t>
        </is>
      </c>
      <c r="C958" s="22" t="inlineStr">
        <is>
          <t>Nhạc, phim, sách nói</t>
        </is>
      </c>
      <c r="D958" s="22" t="n">
        <v>5015.93</v>
      </c>
      <c r="E958" s="22" t="n">
        <v>0</v>
      </c>
      <c r="F958" s="22" t="n">
        <v>62</v>
      </c>
    </row>
    <row r="959">
      <c r="A959" s="22" t="n">
        <v>202101</v>
      </c>
      <c r="B959" s="22" t="inlineStr">
        <is>
          <t>ONLINE</t>
        </is>
      </c>
      <c r="C959" s="22" t="inlineStr">
        <is>
          <t>TV &amp; Video</t>
        </is>
      </c>
      <c r="D959" s="22" t="n">
        <v>26778.16</v>
      </c>
      <c r="E959" s="22" t="n">
        <v>0</v>
      </c>
      <c r="F959" s="22" t="n">
        <v>32</v>
      </c>
    </row>
    <row r="960">
      <c r="A960" s="22" t="n">
        <v>202101</v>
      </c>
      <c r="B960" s="22" t="inlineStr">
        <is>
          <t>POS</t>
        </is>
      </c>
      <c r="C960" s="22" t="inlineStr">
        <is>
          <t>Âm thanh</t>
        </is>
      </c>
      <c r="D960" s="22" t="n">
        <v>16443.32</v>
      </c>
      <c r="E960" s="22" t="n">
        <v>780.79</v>
      </c>
      <c r="F960" s="22" t="n">
        <v>113</v>
      </c>
    </row>
    <row r="961">
      <c r="A961" s="22" t="n">
        <v>202101</v>
      </c>
      <c r="B961" s="22" t="inlineStr">
        <is>
          <t>POS</t>
        </is>
      </c>
      <c r="C961" s="22" t="inlineStr">
        <is>
          <t>Máy ảnh</t>
        </is>
      </c>
      <c r="D961" s="22" t="n">
        <v>50938.95</v>
      </c>
      <c r="E961" s="22" t="n">
        <v>432</v>
      </c>
      <c r="F961" s="22" t="n">
        <v>120</v>
      </c>
    </row>
    <row r="962">
      <c r="A962" s="22" t="n">
        <v>202101</v>
      </c>
      <c r="B962" s="22" t="inlineStr">
        <is>
          <t>POS</t>
        </is>
      </c>
      <c r="C962" s="22" t="inlineStr">
        <is>
          <t>Điện thoại</t>
        </is>
      </c>
      <c r="D962" s="22" t="n">
        <v>44320.96</v>
      </c>
      <c r="E962" s="22" t="n">
        <v>1703.4</v>
      </c>
      <c r="F962" s="22" t="n">
        <v>220</v>
      </c>
    </row>
    <row r="963">
      <c r="A963" s="22" t="n">
        <v>202101</v>
      </c>
      <c r="B963" s="22" t="inlineStr">
        <is>
          <t>POS</t>
        </is>
      </c>
      <c r="C963" s="22" t="inlineStr">
        <is>
          <t>Máy tính</t>
        </is>
      </c>
      <c r="D963" s="22" t="n">
        <v>158040.9</v>
      </c>
      <c r="E963" s="22" t="n">
        <v>12207.17</v>
      </c>
      <c r="F963" s="22" t="n">
        <v>345</v>
      </c>
    </row>
    <row r="964">
      <c r="A964" s="22" t="n">
        <v>202101</v>
      </c>
      <c r="B964" s="22" t="inlineStr">
        <is>
          <t>POS</t>
        </is>
      </c>
      <c r="C964" s="22" t="inlineStr">
        <is>
          <t>Game &amp; Đồ chơi</t>
        </is>
      </c>
      <c r="D964" s="22" t="n">
        <v>6517.39</v>
      </c>
      <c r="E964" s="22" t="n">
        <v>358.45</v>
      </c>
      <c r="F964" s="22" t="n">
        <v>188</v>
      </c>
    </row>
    <row r="965">
      <c r="A965" s="22" t="n">
        <v>202101</v>
      </c>
      <c r="B965" s="22" t="inlineStr">
        <is>
          <t>POS</t>
        </is>
      </c>
      <c r="C965" s="22" t="inlineStr">
        <is>
          <t>Gia dụng</t>
        </is>
      </c>
      <c r="D965" s="22" t="n">
        <v>25873.09</v>
      </c>
      <c r="E965" s="22" t="n">
        <v>0</v>
      </c>
      <c r="F965" s="22" t="n">
        <v>48</v>
      </c>
    </row>
    <row r="966">
      <c r="A966" s="22" t="n">
        <v>202101</v>
      </c>
      <c r="B966" s="22" t="inlineStr">
        <is>
          <t>POS</t>
        </is>
      </c>
      <c r="C966" s="22" t="inlineStr">
        <is>
          <t>Nhạc, phim, sách nói</t>
        </is>
      </c>
      <c r="D966" s="22" t="n">
        <v>23166.17</v>
      </c>
      <c r="E966" s="22" t="n">
        <v>224.17</v>
      </c>
      <c r="F966" s="22" t="n">
        <v>213</v>
      </c>
    </row>
    <row r="967">
      <c r="A967" s="22" t="n">
        <v>202101</v>
      </c>
      <c r="B967" s="22" t="inlineStr">
        <is>
          <t>POS</t>
        </is>
      </c>
      <c r="C967" s="22" t="inlineStr">
        <is>
          <t>TV &amp; Video</t>
        </is>
      </c>
      <c r="D967" s="22" t="n">
        <v>24031.02</v>
      </c>
      <c r="E967" s="22" t="n">
        <v>1003.9</v>
      </c>
      <c r="F967" s="22" t="n">
        <v>82</v>
      </c>
    </row>
    <row r="968">
      <c r="A968" s="22" t="n">
        <v>202102</v>
      </c>
      <c r="B968" s="22" t="inlineStr">
        <is>
          <t>ONLINE</t>
        </is>
      </c>
      <c r="C968" s="22" t="inlineStr">
        <is>
          <t>Âm thanh</t>
        </is>
      </c>
      <c r="D968" s="22" t="n">
        <v>1953.97</v>
      </c>
      <c r="E968" s="22" t="n">
        <v>0</v>
      </c>
      <c r="F968" s="22" t="n">
        <v>12</v>
      </c>
    </row>
    <row r="969">
      <c r="A969" s="22" t="n">
        <v>202102</v>
      </c>
      <c r="B969" s="22" t="inlineStr">
        <is>
          <t>ONLINE</t>
        </is>
      </c>
      <c r="C969" s="22" t="inlineStr">
        <is>
          <t>Máy ảnh</t>
        </is>
      </c>
      <c r="D969" s="22" t="n">
        <v>4567.19</v>
      </c>
      <c r="E969" s="22" t="n">
        <v>0</v>
      </c>
      <c r="F969" s="22" t="n">
        <v>17</v>
      </c>
    </row>
    <row r="970">
      <c r="A970" s="22" t="n">
        <v>202102</v>
      </c>
      <c r="B970" s="22" t="inlineStr">
        <is>
          <t>ONLINE</t>
        </is>
      </c>
      <c r="C970" s="22" t="inlineStr">
        <is>
          <t>Điện thoại</t>
        </is>
      </c>
      <c r="D970" s="22" t="n">
        <v>9474.57</v>
      </c>
      <c r="E970" s="22" t="n">
        <v>9.99</v>
      </c>
      <c r="F970" s="22" t="n">
        <v>54</v>
      </c>
    </row>
    <row r="971">
      <c r="A971" s="22" t="n">
        <v>202102</v>
      </c>
      <c r="B971" s="22" t="inlineStr">
        <is>
          <t>ONLINE</t>
        </is>
      </c>
      <c r="C971" s="22" t="inlineStr">
        <is>
          <t>Máy tính</t>
        </is>
      </c>
      <c r="D971" s="22" t="n">
        <v>24719.5</v>
      </c>
      <c r="E971" s="22" t="n">
        <v>899.85</v>
      </c>
      <c r="F971" s="22" t="n">
        <v>56</v>
      </c>
    </row>
    <row r="972">
      <c r="A972" s="22" t="n">
        <v>202102</v>
      </c>
      <c r="B972" s="22" t="inlineStr">
        <is>
          <t>ONLINE</t>
        </is>
      </c>
      <c r="C972" s="22" t="inlineStr">
        <is>
          <t>Game &amp; Đồ chơi</t>
        </is>
      </c>
      <c r="D972" s="22" t="n">
        <v>493.55</v>
      </c>
      <c r="E972" s="22" t="n">
        <v>0</v>
      </c>
      <c r="F972" s="22" t="n">
        <v>24</v>
      </c>
    </row>
    <row r="973">
      <c r="A973" s="22" t="n">
        <v>202102</v>
      </c>
      <c r="B973" s="22" t="inlineStr">
        <is>
          <t>ONLINE</t>
        </is>
      </c>
      <c r="C973" s="22" t="inlineStr">
        <is>
          <t>Gia dụng</t>
        </is>
      </c>
      <c r="D973" s="22" t="n">
        <v>6009.99</v>
      </c>
      <c r="E973" s="22" t="n">
        <v>0</v>
      </c>
      <c r="F973" s="22" t="n">
        <v>5</v>
      </c>
    </row>
    <row r="974">
      <c r="A974" s="22" t="n">
        <v>202102</v>
      </c>
      <c r="B974" s="22" t="inlineStr">
        <is>
          <t>ONLINE</t>
        </is>
      </c>
      <c r="C974" s="22" t="inlineStr">
        <is>
          <t>Nhạc, phim, sách nói</t>
        </is>
      </c>
      <c r="D974" s="22" t="n">
        <v>9741.780000000001</v>
      </c>
      <c r="E974" s="22" t="n">
        <v>0</v>
      </c>
      <c r="F974" s="22" t="n">
        <v>71</v>
      </c>
    </row>
    <row r="975">
      <c r="A975" s="22" t="n">
        <v>202102</v>
      </c>
      <c r="B975" s="22" t="inlineStr">
        <is>
          <t>ONLINE</t>
        </is>
      </c>
      <c r="C975" s="22" t="inlineStr">
        <is>
          <t>TV &amp; Video</t>
        </is>
      </c>
      <c r="D975" s="22" t="n">
        <v>2152.5</v>
      </c>
      <c r="E975" s="22" t="n">
        <v>0</v>
      </c>
      <c r="F975" s="22" t="n">
        <v>11</v>
      </c>
    </row>
    <row r="976">
      <c r="A976" s="22" t="n">
        <v>202102</v>
      </c>
      <c r="B976" s="22" t="inlineStr">
        <is>
          <t>POS</t>
        </is>
      </c>
      <c r="C976" s="22" t="inlineStr">
        <is>
          <t>Âm thanh</t>
        </is>
      </c>
      <c r="D976" s="22" t="n">
        <v>11721</v>
      </c>
      <c r="E976" s="22" t="n">
        <v>59.99</v>
      </c>
      <c r="F976" s="22" t="n">
        <v>106</v>
      </c>
    </row>
    <row r="977">
      <c r="A977" s="22" t="n">
        <v>202102</v>
      </c>
      <c r="B977" s="22" t="inlineStr">
        <is>
          <t>POS</t>
        </is>
      </c>
      <c r="C977" s="22" t="inlineStr">
        <is>
          <t>Máy ảnh</t>
        </is>
      </c>
      <c r="D977" s="22" t="n">
        <v>41832.89</v>
      </c>
      <c r="E977" s="22" t="n">
        <v>0</v>
      </c>
      <c r="F977" s="22" t="n">
        <v>91</v>
      </c>
    </row>
    <row r="978">
      <c r="A978" s="22" t="n">
        <v>202102</v>
      </c>
      <c r="B978" s="22" t="inlineStr">
        <is>
          <t>POS</t>
        </is>
      </c>
      <c r="C978" s="22" t="inlineStr">
        <is>
          <t>Điện thoại</t>
        </is>
      </c>
      <c r="D978" s="22" t="n">
        <v>68902.36</v>
      </c>
      <c r="E978" s="22" t="n">
        <v>1414.69</v>
      </c>
      <c r="F978" s="22" t="n">
        <v>305</v>
      </c>
    </row>
    <row r="979">
      <c r="A979" s="22" t="n">
        <v>202102</v>
      </c>
      <c r="B979" s="22" t="inlineStr">
        <is>
          <t>POS</t>
        </is>
      </c>
      <c r="C979" s="22" t="inlineStr">
        <is>
          <t>Máy tính</t>
        </is>
      </c>
      <c r="D979" s="22" t="n">
        <v>176766.7</v>
      </c>
      <c r="E979" s="22" t="n">
        <v>3245.1</v>
      </c>
      <c r="F979" s="22" t="n">
        <v>356</v>
      </c>
    </row>
    <row r="980">
      <c r="A980" s="22" t="n">
        <v>202102</v>
      </c>
      <c r="B980" s="22" t="inlineStr">
        <is>
          <t>POS</t>
        </is>
      </c>
      <c r="C980" s="22" t="inlineStr">
        <is>
          <t>Game &amp; Đồ chơi</t>
        </is>
      </c>
      <c r="D980" s="22" t="n">
        <v>6347.08</v>
      </c>
      <c r="E980" s="22" t="n">
        <v>73.98</v>
      </c>
      <c r="F980" s="22" t="n">
        <v>172</v>
      </c>
    </row>
    <row r="981">
      <c r="A981" s="22" t="n">
        <v>202102</v>
      </c>
      <c r="B981" s="22" t="inlineStr">
        <is>
          <t>POS</t>
        </is>
      </c>
      <c r="C981" s="22" t="inlineStr">
        <is>
          <t>Gia dụng</t>
        </is>
      </c>
      <c r="D981" s="22" t="n">
        <v>22940.78</v>
      </c>
      <c r="E981" s="22" t="n">
        <v>0</v>
      </c>
      <c r="F981" s="22" t="n">
        <v>66</v>
      </c>
    </row>
    <row r="982">
      <c r="A982" s="22" t="n">
        <v>202102</v>
      </c>
      <c r="B982" s="22" t="inlineStr">
        <is>
          <t>POS</t>
        </is>
      </c>
      <c r="C982" s="22" t="inlineStr">
        <is>
          <t>Nhạc, phim, sách nói</t>
        </is>
      </c>
      <c r="D982" s="22" t="n">
        <v>22790.52</v>
      </c>
      <c r="E982" s="22" t="n">
        <v>109.99</v>
      </c>
      <c r="F982" s="22" t="n">
        <v>187</v>
      </c>
    </row>
    <row r="983">
      <c r="A983" s="22" t="n">
        <v>202102</v>
      </c>
      <c r="B983" s="22" t="inlineStr">
        <is>
          <t>POS</t>
        </is>
      </c>
      <c r="C983" s="22" t="inlineStr">
        <is>
          <t>TV &amp; Video</t>
        </is>
      </c>
      <c r="D983" s="22" t="n">
        <v>28801.95</v>
      </c>
      <c r="E983" s="22" t="n">
        <v>0</v>
      </c>
      <c r="F983" s="22" t="n">
        <v>79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Tháng (chọn)</t>
        </is>
      </c>
      <c r="B1" s="24" t="inlineStr">
        <is>
          <t>month_id</t>
        </is>
      </c>
      <c r="C1" s="24" t="n"/>
      <c r="D1" s="24" t="inlineStr">
        <is>
          <t>k</t>
        </is>
      </c>
      <c r="E1" s="24" t="inlineStr">
        <is>
          <t>month_id</t>
        </is>
      </c>
      <c r="F1" s="24" t="inlineStr">
        <is>
          <t>Tháng</t>
        </is>
      </c>
      <c r="G1" s="24" t="inlineStr">
        <is>
          <t>Net Revenue (nghìn USD)</t>
        </is>
      </c>
      <c r="H1" s="24" t="inlineStr">
        <is>
          <t>Số đơn</t>
        </is>
      </c>
      <c r="I1" s="24" t="inlineStr">
        <is>
          <t>Δ sau quy đổi (nghìn USD)</t>
        </is>
      </c>
      <c r="J1" s="24" t="n"/>
      <c r="K1" s="24" t="inlineStr">
        <is>
          <t>Danh mục</t>
        </is>
      </c>
      <c r="L1" s="24" t="inlineStr">
        <is>
          <t>Net Sales (nghìn USD)</t>
        </is>
      </c>
      <c r="M1" s="24" t="inlineStr">
        <is>
          <t>khoá xếp</t>
        </is>
      </c>
      <c r="N1" s="24" t="inlineStr">
        <is>
          <t>Danh mục (xếp)</t>
        </is>
      </c>
      <c r="O1" s="24" t="inlineStr">
        <is>
          <t>Net Sales (xếp)</t>
        </is>
      </c>
    </row>
    <row r="2">
      <c r="A2" s="22" t="inlineStr">
        <is>
          <t>02/2021</t>
        </is>
      </c>
      <c r="B2" s="22" t="n">
        <v>202102</v>
      </c>
      <c r="C2" s="22" t="n"/>
      <c r="D2" s="22" t="n">
        <v>0</v>
      </c>
      <c r="E2" s="22">
        <f>YEAR(DATE(INT(Dashboard!$D$6/100),MOD(Dashboard!$D$6,100)-23+D2,1))*100+MONTH(DATE(INT(Dashboard!$D$6/100),MOD(Dashboard!$D$6,100)-23+D2,1))</f>
        <v/>
      </c>
      <c r="F2" s="22">
        <f>RIGHT("0"&amp;MOD(E2,100),2)&amp;"/"&amp;RIGHT(INT(E2/100),2)</f>
        <v/>
      </c>
      <c r="G2" s="33">
        <f>(SUMIFS(Data_thang!$J$2:$J$2974,Data_thang!$A$2:$A$2974,E2,Data_thang!$G$2:$G$2974,Dashboard!$C$6)-SUMIFS(Data_thang!$K$2:$K$2974,Data_thang!$A$2:$A$2974,E2,Data_thang!$G$2:$G$2974,Dashboard!$C$6))/1000</f>
        <v/>
      </c>
      <c r="H2" s="32">
        <f>SUMIFS(Data_thang!$L$2:$L$2974,Data_thang!$A$2:$A$2974,E2,Data_thang!$G$2:$G$2974,Dashboard!$C$6)</f>
        <v/>
      </c>
      <c r="I2" s="33">
        <f>(SUMIFS(Data_thang!$N$2:$N$2974,Data_thang!$A$2:$A$2974,E2,Data_thang!$G$2:$G$2974,Dashboard!$C$6)-SUMIFS(Data_thang!$O$2:$O$2974,Data_thang!$A$2:$A$2974,E2,Data_thang!$G$2:$G$2974,Dashboard!$C$6)+SUMIFS(Data_thang!$K$2:$K$2974,Data_thang!$A$2:$A$2974,E2,Data_thang!$G$2:$G$2974,Dashboard!$C$6))/1000</f>
        <v/>
      </c>
      <c r="J2" s="22" t="n"/>
      <c r="K2" s="22" t="inlineStr">
        <is>
          <t>Gia dụng</t>
        </is>
      </c>
      <c r="L2" s="33">
        <f>SUMIFS(Data_danh_muc!$D$2:$D$983,Data_danh_muc!$A$2:$A$983,Dashboard!$D$6,Data_danh_muc!$B$2:$B$983,Dashboard!$C$6,Data_danh_muc!$C$2:$C$983,K2)/1000</f>
        <v/>
      </c>
      <c r="M2" s="22">
        <f>L2+ROW()/1000000000</f>
        <v/>
      </c>
      <c r="N2" s="22">
        <f>INDEX($K$2:$K$9,MATCH(LARGE($M$2:$M$9,ROW()-1),$M$2:$M$9,0))</f>
        <v/>
      </c>
      <c r="O2" s="33">
        <f>INDEX($L$2:$L$9,MATCH(LARGE($M$2:$M$9,ROW()-1),$M$2:$M$9,0))</f>
        <v/>
      </c>
    </row>
    <row r="3">
      <c r="A3" s="22" t="inlineStr">
        <is>
          <t>01/2021</t>
        </is>
      </c>
      <c r="B3" s="22" t="n">
        <v>202101</v>
      </c>
      <c r="C3" s="22" t="n"/>
      <c r="D3" s="22" t="n">
        <v>1</v>
      </c>
      <c r="E3" s="22">
        <f>YEAR(DATE(INT(Dashboard!$D$6/100),MOD(Dashboard!$D$6,100)-23+D3,1))*100+MONTH(DATE(INT(Dashboard!$D$6/100),MOD(Dashboard!$D$6,100)-23+D3,1))</f>
        <v/>
      </c>
      <c r="F3" s="22">
        <f>RIGHT("0"&amp;MOD(E3,100),2)&amp;"/"&amp;RIGHT(INT(E3/100),2)</f>
        <v/>
      </c>
      <c r="G3" s="33">
        <f>(SUMIFS(Data_thang!$J$2:$J$2974,Data_thang!$A$2:$A$2974,E3,Data_thang!$G$2:$G$2974,Dashboard!$C$6)-SUMIFS(Data_thang!$K$2:$K$2974,Data_thang!$A$2:$A$2974,E3,Data_thang!$G$2:$G$2974,Dashboard!$C$6))/1000</f>
        <v/>
      </c>
      <c r="H3" s="32">
        <f>SUMIFS(Data_thang!$L$2:$L$2974,Data_thang!$A$2:$A$2974,E3,Data_thang!$G$2:$G$2974,Dashboard!$C$6)</f>
        <v/>
      </c>
      <c r="I3" s="33">
        <f>(SUMIFS(Data_thang!$N$2:$N$2974,Data_thang!$A$2:$A$2974,E3,Data_thang!$G$2:$G$2974,Dashboard!$C$6)-SUMIFS(Data_thang!$O$2:$O$2974,Data_thang!$A$2:$A$2974,E3,Data_thang!$G$2:$G$2974,Dashboard!$C$6)+SUMIFS(Data_thang!$K$2:$K$2974,Data_thang!$A$2:$A$2974,E3,Data_thang!$G$2:$G$2974,Dashboard!$C$6))/1000</f>
        <v/>
      </c>
      <c r="J3" s="22" t="n"/>
      <c r="K3" s="22" t="inlineStr">
        <is>
          <t>Máy tính</t>
        </is>
      </c>
      <c r="L3" s="33">
        <f>SUMIFS(Data_danh_muc!$D$2:$D$983,Data_danh_muc!$A$2:$A$983,Dashboard!$D$6,Data_danh_muc!$B$2:$B$983,Dashboard!$C$6,Data_danh_muc!$C$2:$C$983,K3)/1000</f>
        <v/>
      </c>
      <c r="M3" s="22">
        <f>L3+ROW()/1000000000</f>
        <v/>
      </c>
      <c r="N3" s="22">
        <f>INDEX($K$2:$K$9,MATCH(LARGE($M$2:$M$9,ROW()-1),$M$2:$M$9,0))</f>
        <v/>
      </c>
      <c r="O3" s="33">
        <f>INDEX($L$2:$L$9,MATCH(LARGE($M$2:$M$9,ROW()-1),$M$2:$M$9,0))</f>
        <v/>
      </c>
    </row>
    <row r="4">
      <c r="A4" s="22" t="inlineStr">
        <is>
          <t>12/2020</t>
        </is>
      </c>
      <c r="B4" s="22" t="n">
        <v>202012</v>
      </c>
      <c r="C4" s="22" t="n"/>
      <c r="D4" s="22" t="n">
        <v>2</v>
      </c>
      <c r="E4" s="22">
        <f>YEAR(DATE(INT(Dashboard!$D$6/100),MOD(Dashboard!$D$6,100)-23+D4,1))*100+MONTH(DATE(INT(Dashboard!$D$6/100),MOD(Dashboard!$D$6,100)-23+D4,1))</f>
        <v/>
      </c>
      <c r="F4" s="22">
        <f>RIGHT("0"&amp;MOD(E4,100),2)&amp;"/"&amp;RIGHT(INT(E4/100),2)</f>
        <v/>
      </c>
      <c r="G4" s="33">
        <f>(SUMIFS(Data_thang!$J$2:$J$2974,Data_thang!$A$2:$A$2974,E4,Data_thang!$G$2:$G$2974,Dashboard!$C$6)-SUMIFS(Data_thang!$K$2:$K$2974,Data_thang!$A$2:$A$2974,E4,Data_thang!$G$2:$G$2974,Dashboard!$C$6))/1000</f>
        <v/>
      </c>
      <c r="H4" s="32">
        <f>SUMIFS(Data_thang!$L$2:$L$2974,Data_thang!$A$2:$A$2974,E4,Data_thang!$G$2:$G$2974,Dashboard!$C$6)</f>
        <v/>
      </c>
      <c r="I4" s="33">
        <f>(SUMIFS(Data_thang!$N$2:$N$2974,Data_thang!$A$2:$A$2974,E4,Data_thang!$G$2:$G$2974,Dashboard!$C$6)-SUMIFS(Data_thang!$O$2:$O$2974,Data_thang!$A$2:$A$2974,E4,Data_thang!$G$2:$G$2974,Dashboard!$C$6)+SUMIFS(Data_thang!$K$2:$K$2974,Data_thang!$A$2:$A$2974,E4,Data_thang!$G$2:$G$2974,Dashboard!$C$6))/1000</f>
        <v/>
      </c>
      <c r="J4" s="22" t="n"/>
      <c r="K4" s="22" t="inlineStr">
        <is>
          <t>Máy ảnh</t>
        </is>
      </c>
      <c r="L4" s="33">
        <f>SUMIFS(Data_danh_muc!$D$2:$D$983,Data_danh_muc!$A$2:$A$983,Dashboard!$D$6,Data_danh_muc!$B$2:$B$983,Dashboard!$C$6,Data_danh_muc!$C$2:$C$983,K4)/1000</f>
        <v/>
      </c>
      <c r="M4" s="22">
        <f>L4+ROW()/1000000000</f>
        <v/>
      </c>
      <c r="N4" s="22">
        <f>INDEX($K$2:$K$9,MATCH(LARGE($M$2:$M$9,ROW()-1),$M$2:$M$9,0))</f>
        <v/>
      </c>
      <c r="O4" s="33">
        <f>INDEX($L$2:$L$9,MATCH(LARGE($M$2:$M$9,ROW()-1),$M$2:$M$9,0))</f>
        <v/>
      </c>
    </row>
    <row r="5">
      <c r="A5" s="22" t="inlineStr">
        <is>
          <t>11/2020</t>
        </is>
      </c>
      <c r="B5" s="22" t="n">
        <v>202011</v>
      </c>
      <c r="C5" s="22" t="n"/>
      <c r="D5" s="22" t="n">
        <v>3</v>
      </c>
      <c r="E5" s="22">
        <f>YEAR(DATE(INT(Dashboard!$D$6/100),MOD(Dashboard!$D$6,100)-23+D5,1))*100+MONTH(DATE(INT(Dashboard!$D$6/100),MOD(Dashboard!$D$6,100)-23+D5,1))</f>
        <v/>
      </c>
      <c r="F5" s="22">
        <f>RIGHT("0"&amp;MOD(E5,100),2)&amp;"/"&amp;RIGHT(INT(E5/100),2)</f>
        <v/>
      </c>
      <c r="G5" s="33">
        <f>(SUMIFS(Data_thang!$J$2:$J$2974,Data_thang!$A$2:$A$2974,E5,Data_thang!$G$2:$G$2974,Dashboard!$C$6)-SUMIFS(Data_thang!$K$2:$K$2974,Data_thang!$A$2:$A$2974,E5,Data_thang!$G$2:$G$2974,Dashboard!$C$6))/1000</f>
        <v/>
      </c>
      <c r="H5" s="32">
        <f>SUMIFS(Data_thang!$L$2:$L$2974,Data_thang!$A$2:$A$2974,E5,Data_thang!$G$2:$G$2974,Dashboard!$C$6)</f>
        <v/>
      </c>
      <c r="I5" s="33">
        <f>(SUMIFS(Data_thang!$N$2:$N$2974,Data_thang!$A$2:$A$2974,E5,Data_thang!$G$2:$G$2974,Dashboard!$C$6)-SUMIFS(Data_thang!$O$2:$O$2974,Data_thang!$A$2:$A$2974,E5,Data_thang!$G$2:$G$2974,Dashboard!$C$6)+SUMIFS(Data_thang!$K$2:$K$2974,Data_thang!$A$2:$A$2974,E5,Data_thang!$G$2:$G$2974,Dashboard!$C$6))/1000</f>
        <v/>
      </c>
      <c r="J5" s="22" t="n"/>
      <c r="K5" s="22" t="inlineStr">
        <is>
          <t>Điện thoại</t>
        </is>
      </c>
      <c r="L5" s="33">
        <f>SUMIFS(Data_danh_muc!$D$2:$D$983,Data_danh_muc!$A$2:$A$983,Dashboard!$D$6,Data_danh_muc!$B$2:$B$983,Dashboard!$C$6,Data_danh_muc!$C$2:$C$983,K5)/1000</f>
        <v/>
      </c>
      <c r="M5" s="22">
        <f>L5+ROW()/1000000000</f>
        <v/>
      </c>
      <c r="N5" s="22">
        <f>INDEX($K$2:$K$9,MATCH(LARGE($M$2:$M$9,ROW()-1),$M$2:$M$9,0))</f>
        <v/>
      </c>
      <c r="O5" s="33">
        <f>INDEX($L$2:$L$9,MATCH(LARGE($M$2:$M$9,ROW()-1),$M$2:$M$9,0))</f>
        <v/>
      </c>
    </row>
    <row r="6">
      <c r="A6" s="22" t="inlineStr">
        <is>
          <t>10/2020</t>
        </is>
      </c>
      <c r="B6" s="22" t="n">
        <v>202010</v>
      </c>
      <c r="C6" s="22" t="n"/>
      <c r="D6" s="22" t="n">
        <v>4</v>
      </c>
      <c r="E6" s="22">
        <f>YEAR(DATE(INT(Dashboard!$D$6/100),MOD(Dashboard!$D$6,100)-23+D6,1))*100+MONTH(DATE(INT(Dashboard!$D$6/100),MOD(Dashboard!$D$6,100)-23+D6,1))</f>
        <v/>
      </c>
      <c r="F6" s="22">
        <f>RIGHT("0"&amp;MOD(E6,100),2)&amp;"/"&amp;RIGHT(INT(E6/100),2)</f>
        <v/>
      </c>
      <c r="G6" s="33">
        <f>(SUMIFS(Data_thang!$J$2:$J$2974,Data_thang!$A$2:$A$2974,E6,Data_thang!$G$2:$G$2974,Dashboard!$C$6)-SUMIFS(Data_thang!$K$2:$K$2974,Data_thang!$A$2:$A$2974,E6,Data_thang!$G$2:$G$2974,Dashboard!$C$6))/1000</f>
        <v/>
      </c>
      <c r="H6" s="32">
        <f>SUMIFS(Data_thang!$L$2:$L$2974,Data_thang!$A$2:$A$2974,E6,Data_thang!$G$2:$G$2974,Dashboard!$C$6)</f>
        <v/>
      </c>
      <c r="I6" s="33">
        <f>(SUMIFS(Data_thang!$N$2:$N$2974,Data_thang!$A$2:$A$2974,E6,Data_thang!$G$2:$G$2974,Dashboard!$C$6)-SUMIFS(Data_thang!$O$2:$O$2974,Data_thang!$A$2:$A$2974,E6,Data_thang!$G$2:$G$2974,Dashboard!$C$6)+SUMIFS(Data_thang!$K$2:$K$2974,Data_thang!$A$2:$A$2974,E6,Data_thang!$G$2:$G$2974,Dashboard!$C$6))/1000</f>
        <v/>
      </c>
      <c r="J6" s="22" t="n"/>
      <c r="K6" s="22" t="inlineStr">
        <is>
          <t>TV &amp; Video</t>
        </is>
      </c>
      <c r="L6" s="33">
        <f>SUMIFS(Data_danh_muc!$D$2:$D$983,Data_danh_muc!$A$2:$A$983,Dashboard!$D$6,Data_danh_muc!$B$2:$B$983,Dashboard!$C$6,Data_danh_muc!$C$2:$C$983,K6)/1000</f>
        <v/>
      </c>
      <c r="M6" s="22">
        <f>L6+ROW()/1000000000</f>
        <v/>
      </c>
      <c r="N6" s="22">
        <f>INDEX($K$2:$K$9,MATCH(LARGE($M$2:$M$9,ROW()-1),$M$2:$M$9,0))</f>
        <v/>
      </c>
      <c r="O6" s="33">
        <f>INDEX($L$2:$L$9,MATCH(LARGE($M$2:$M$9,ROW()-1),$M$2:$M$9,0))</f>
        <v/>
      </c>
    </row>
    <row r="7">
      <c r="A7" s="22" t="inlineStr">
        <is>
          <t>09/2020</t>
        </is>
      </c>
      <c r="B7" s="22" t="n">
        <v>202009</v>
      </c>
      <c r="C7" s="22" t="n"/>
      <c r="D7" s="22" t="n">
        <v>5</v>
      </c>
      <c r="E7" s="22">
        <f>YEAR(DATE(INT(Dashboard!$D$6/100),MOD(Dashboard!$D$6,100)-23+D7,1))*100+MONTH(DATE(INT(Dashboard!$D$6/100),MOD(Dashboard!$D$6,100)-23+D7,1))</f>
        <v/>
      </c>
      <c r="F7" s="22">
        <f>RIGHT("0"&amp;MOD(E7,100),2)&amp;"/"&amp;RIGHT(INT(E7/100),2)</f>
        <v/>
      </c>
      <c r="G7" s="33">
        <f>(SUMIFS(Data_thang!$J$2:$J$2974,Data_thang!$A$2:$A$2974,E7,Data_thang!$G$2:$G$2974,Dashboard!$C$6)-SUMIFS(Data_thang!$K$2:$K$2974,Data_thang!$A$2:$A$2974,E7,Data_thang!$G$2:$G$2974,Dashboard!$C$6))/1000</f>
        <v/>
      </c>
      <c r="H7" s="32">
        <f>SUMIFS(Data_thang!$L$2:$L$2974,Data_thang!$A$2:$A$2974,E7,Data_thang!$G$2:$G$2974,Dashboard!$C$6)</f>
        <v/>
      </c>
      <c r="I7" s="33">
        <f>(SUMIFS(Data_thang!$N$2:$N$2974,Data_thang!$A$2:$A$2974,E7,Data_thang!$G$2:$G$2974,Dashboard!$C$6)-SUMIFS(Data_thang!$O$2:$O$2974,Data_thang!$A$2:$A$2974,E7,Data_thang!$G$2:$G$2974,Dashboard!$C$6)+SUMIFS(Data_thang!$K$2:$K$2974,Data_thang!$A$2:$A$2974,E7,Data_thang!$G$2:$G$2974,Dashboard!$C$6))/1000</f>
        <v/>
      </c>
      <c r="J7" s="22" t="n"/>
      <c r="K7" s="22" t="inlineStr">
        <is>
          <t>Game &amp; Đồ chơi</t>
        </is>
      </c>
      <c r="L7" s="33">
        <f>SUMIFS(Data_danh_muc!$D$2:$D$983,Data_danh_muc!$A$2:$A$983,Dashboard!$D$6,Data_danh_muc!$B$2:$B$983,Dashboard!$C$6,Data_danh_muc!$C$2:$C$983,K7)/1000</f>
        <v/>
      </c>
      <c r="M7" s="22">
        <f>L7+ROW()/1000000000</f>
        <v/>
      </c>
      <c r="N7" s="22">
        <f>INDEX($K$2:$K$9,MATCH(LARGE($M$2:$M$9,ROW()-1),$M$2:$M$9,0))</f>
        <v/>
      </c>
      <c r="O7" s="33">
        <f>INDEX($L$2:$L$9,MATCH(LARGE($M$2:$M$9,ROW()-1),$M$2:$M$9,0))</f>
        <v/>
      </c>
    </row>
    <row r="8">
      <c r="A8" s="22" t="inlineStr">
        <is>
          <t>08/2020</t>
        </is>
      </c>
      <c r="B8" s="22" t="n">
        <v>202008</v>
      </c>
      <c r="C8" s="22" t="n"/>
      <c r="D8" s="22" t="n">
        <v>6</v>
      </c>
      <c r="E8" s="22">
        <f>YEAR(DATE(INT(Dashboard!$D$6/100),MOD(Dashboard!$D$6,100)-23+D8,1))*100+MONTH(DATE(INT(Dashboard!$D$6/100),MOD(Dashboard!$D$6,100)-23+D8,1))</f>
        <v/>
      </c>
      <c r="F8" s="22">
        <f>RIGHT("0"&amp;MOD(E8,100),2)&amp;"/"&amp;RIGHT(INT(E8/100),2)</f>
        <v/>
      </c>
      <c r="G8" s="33">
        <f>(SUMIFS(Data_thang!$J$2:$J$2974,Data_thang!$A$2:$A$2974,E8,Data_thang!$G$2:$G$2974,Dashboard!$C$6)-SUMIFS(Data_thang!$K$2:$K$2974,Data_thang!$A$2:$A$2974,E8,Data_thang!$G$2:$G$2974,Dashboard!$C$6))/1000</f>
        <v/>
      </c>
      <c r="H8" s="32">
        <f>SUMIFS(Data_thang!$L$2:$L$2974,Data_thang!$A$2:$A$2974,E8,Data_thang!$G$2:$G$2974,Dashboard!$C$6)</f>
        <v/>
      </c>
      <c r="I8" s="33">
        <f>(SUMIFS(Data_thang!$N$2:$N$2974,Data_thang!$A$2:$A$2974,E8,Data_thang!$G$2:$G$2974,Dashboard!$C$6)-SUMIFS(Data_thang!$O$2:$O$2974,Data_thang!$A$2:$A$2974,E8,Data_thang!$G$2:$G$2974,Dashboard!$C$6)+SUMIFS(Data_thang!$K$2:$K$2974,Data_thang!$A$2:$A$2974,E8,Data_thang!$G$2:$G$2974,Dashboard!$C$6))/1000</f>
        <v/>
      </c>
      <c r="J8" s="22" t="n"/>
      <c r="K8" s="22" t="inlineStr">
        <is>
          <t>Âm thanh</t>
        </is>
      </c>
      <c r="L8" s="33">
        <f>SUMIFS(Data_danh_muc!$D$2:$D$983,Data_danh_muc!$A$2:$A$983,Dashboard!$D$6,Data_danh_muc!$B$2:$B$983,Dashboard!$C$6,Data_danh_muc!$C$2:$C$983,K8)/1000</f>
        <v/>
      </c>
      <c r="M8" s="22">
        <f>L8+ROW()/1000000000</f>
        <v/>
      </c>
      <c r="N8" s="22">
        <f>INDEX($K$2:$K$9,MATCH(LARGE($M$2:$M$9,ROW()-1),$M$2:$M$9,0))</f>
        <v/>
      </c>
      <c r="O8" s="33">
        <f>INDEX($L$2:$L$9,MATCH(LARGE($M$2:$M$9,ROW()-1),$M$2:$M$9,0))</f>
        <v/>
      </c>
    </row>
    <row r="9">
      <c r="A9" s="22" t="inlineStr">
        <is>
          <t>07/2020</t>
        </is>
      </c>
      <c r="B9" s="22" t="n">
        <v>202007</v>
      </c>
      <c r="C9" s="22" t="n"/>
      <c r="D9" s="22" t="n">
        <v>7</v>
      </c>
      <c r="E9" s="22">
        <f>YEAR(DATE(INT(Dashboard!$D$6/100),MOD(Dashboard!$D$6,100)-23+D9,1))*100+MONTH(DATE(INT(Dashboard!$D$6/100),MOD(Dashboard!$D$6,100)-23+D9,1))</f>
        <v/>
      </c>
      <c r="F9" s="22">
        <f>RIGHT("0"&amp;MOD(E9,100),2)&amp;"/"&amp;RIGHT(INT(E9/100),2)</f>
        <v/>
      </c>
      <c r="G9" s="33">
        <f>(SUMIFS(Data_thang!$J$2:$J$2974,Data_thang!$A$2:$A$2974,E9,Data_thang!$G$2:$G$2974,Dashboard!$C$6)-SUMIFS(Data_thang!$K$2:$K$2974,Data_thang!$A$2:$A$2974,E9,Data_thang!$G$2:$G$2974,Dashboard!$C$6))/1000</f>
        <v/>
      </c>
      <c r="H9" s="32">
        <f>SUMIFS(Data_thang!$L$2:$L$2974,Data_thang!$A$2:$A$2974,E9,Data_thang!$G$2:$G$2974,Dashboard!$C$6)</f>
        <v/>
      </c>
      <c r="I9" s="33">
        <f>(SUMIFS(Data_thang!$N$2:$N$2974,Data_thang!$A$2:$A$2974,E9,Data_thang!$G$2:$G$2974,Dashboard!$C$6)-SUMIFS(Data_thang!$O$2:$O$2974,Data_thang!$A$2:$A$2974,E9,Data_thang!$G$2:$G$2974,Dashboard!$C$6)+SUMIFS(Data_thang!$K$2:$K$2974,Data_thang!$A$2:$A$2974,E9,Data_thang!$G$2:$G$2974,Dashboard!$C$6))/1000</f>
        <v/>
      </c>
      <c r="J9" s="22" t="n"/>
      <c r="K9" s="22" t="inlineStr">
        <is>
          <t>Nhạc, phim, sách nói</t>
        </is>
      </c>
      <c r="L9" s="33">
        <f>SUMIFS(Data_danh_muc!$D$2:$D$983,Data_danh_muc!$A$2:$A$983,Dashboard!$D$6,Data_danh_muc!$B$2:$B$983,Dashboard!$C$6,Data_danh_muc!$C$2:$C$983,K9)/1000</f>
        <v/>
      </c>
      <c r="M9" s="22">
        <f>L9+ROW()/1000000000</f>
        <v/>
      </c>
      <c r="N9" s="22">
        <f>INDEX($K$2:$K$9,MATCH(LARGE($M$2:$M$9,ROW()-1),$M$2:$M$9,0))</f>
        <v/>
      </c>
      <c r="O9" s="33">
        <f>INDEX($L$2:$L$9,MATCH(LARGE($M$2:$M$9,ROW()-1),$M$2:$M$9,0))</f>
        <v/>
      </c>
    </row>
    <row r="10">
      <c r="A10" s="22" t="inlineStr">
        <is>
          <t>06/2020</t>
        </is>
      </c>
      <c r="B10" s="22" t="n">
        <v>202006</v>
      </c>
      <c r="C10" s="22" t="n"/>
      <c r="D10" s="22" t="n">
        <v>8</v>
      </c>
      <c r="E10" s="22">
        <f>YEAR(DATE(INT(Dashboard!$D$6/100),MOD(Dashboard!$D$6,100)-23+D10,1))*100+MONTH(DATE(INT(Dashboard!$D$6/100),MOD(Dashboard!$D$6,100)-23+D10,1))</f>
        <v/>
      </c>
      <c r="F10" s="22">
        <f>RIGHT("0"&amp;MOD(E10,100),2)&amp;"/"&amp;RIGHT(INT(E10/100),2)</f>
        <v/>
      </c>
      <c r="G10" s="33">
        <f>(SUMIFS(Data_thang!$J$2:$J$2974,Data_thang!$A$2:$A$2974,E10,Data_thang!$G$2:$G$2974,Dashboard!$C$6)-SUMIFS(Data_thang!$K$2:$K$2974,Data_thang!$A$2:$A$2974,E10,Data_thang!$G$2:$G$2974,Dashboard!$C$6))/1000</f>
        <v/>
      </c>
      <c r="H10" s="32">
        <f>SUMIFS(Data_thang!$L$2:$L$2974,Data_thang!$A$2:$A$2974,E10,Data_thang!$G$2:$G$2974,Dashboard!$C$6)</f>
        <v/>
      </c>
      <c r="I10" s="33">
        <f>(SUMIFS(Data_thang!$N$2:$N$2974,Data_thang!$A$2:$A$2974,E10,Data_thang!$G$2:$G$2974,Dashboard!$C$6)-SUMIFS(Data_thang!$O$2:$O$2974,Data_thang!$A$2:$A$2974,E10,Data_thang!$G$2:$G$2974,Dashboard!$C$6)+SUMIFS(Data_thang!$K$2:$K$2974,Data_thang!$A$2:$A$2974,E10,Data_thang!$G$2:$G$2974,Dashboard!$C$6))/1000</f>
        <v/>
      </c>
      <c r="J10" s="22" t="n"/>
      <c r="K10" s="22" t="n"/>
      <c r="L10" s="22" t="n"/>
      <c r="M10" s="22" t="n"/>
      <c r="N10" s="22" t="n"/>
      <c r="O10" s="22" t="n"/>
    </row>
    <row r="11">
      <c r="A11" s="22" t="inlineStr">
        <is>
          <t>05/2020</t>
        </is>
      </c>
      <c r="B11" s="22" t="n">
        <v>202005</v>
      </c>
      <c r="C11" s="22" t="n"/>
      <c r="D11" s="22" t="n">
        <v>9</v>
      </c>
      <c r="E11" s="22">
        <f>YEAR(DATE(INT(Dashboard!$D$6/100),MOD(Dashboard!$D$6,100)-23+D11,1))*100+MONTH(DATE(INT(Dashboard!$D$6/100),MOD(Dashboard!$D$6,100)-23+D11,1))</f>
        <v/>
      </c>
      <c r="F11" s="22">
        <f>RIGHT("0"&amp;MOD(E11,100),2)&amp;"/"&amp;RIGHT(INT(E11/100),2)</f>
        <v/>
      </c>
      <c r="G11" s="33">
        <f>(SUMIFS(Data_thang!$J$2:$J$2974,Data_thang!$A$2:$A$2974,E11,Data_thang!$G$2:$G$2974,Dashboard!$C$6)-SUMIFS(Data_thang!$K$2:$K$2974,Data_thang!$A$2:$A$2974,E11,Data_thang!$G$2:$G$2974,Dashboard!$C$6))/1000</f>
        <v/>
      </c>
      <c r="H11" s="32">
        <f>SUMIFS(Data_thang!$L$2:$L$2974,Data_thang!$A$2:$A$2974,E11,Data_thang!$G$2:$G$2974,Dashboard!$C$6)</f>
        <v/>
      </c>
      <c r="I11" s="33">
        <f>(SUMIFS(Data_thang!$N$2:$N$2974,Data_thang!$A$2:$A$2974,E11,Data_thang!$G$2:$G$2974,Dashboard!$C$6)-SUMIFS(Data_thang!$O$2:$O$2974,Data_thang!$A$2:$A$2974,E11,Data_thang!$G$2:$G$2974,Dashboard!$C$6)+SUMIFS(Data_thang!$K$2:$K$2974,Data_thang!$A$2:$A$2974,E11,Data_thang!$G$2:$G$2974,Dashboard!$C$6))/1000</f>
        <v/>
      </c>
      <c r="J11" s="22" t="n"/>
      <c r="K11" s="22" t="n"/>
      <c r="L11" s="22" t="n"/>
      <c r="M11" s="22" t="n"/>
      <c r="N11" s="22" t="n"/>
      <c r="O11" s="22" t="n"/>
    </row>
    <row r="12">
      <c r="A12" s="22" t="inlineStr">
        <is>
          <t>04/2020</t>
        </is>
      </c>
      <c r="B12" s="22" t="n">
        <v>202004</v>
      </c>
      <c r="C12" s="22" t="n"/>
      <c r="D12" s="22" t="n">
        <v>10</v>
      </c>
      <c r="E12" s="22">
        <f>YEAR(DATE(INT(Dashboard!$D$6/100),MOD(Dashboard!$D$6,100)-23+D12,1))*100+MONTH(DATE(INT(Dashboard!$D$6/100),MOD(Dashboard!$D$6,100)-23+D12,1))</f>
        <v/>
      </c>
      <c r="F12" s="22">
        <f>RIGHT("0"&amp;MOD(E12,100),2)&amp;"/"&amp;RIGHT(INT(E12/100),2)</f>
        <v/>
      </c>
      <c r="G12" s="33">
        <f>(SUMIFS(Data_thang!$J$2:$J$2974,Data_thang!$A$2:$A$2974,E12,Data_thang!$G$2:$G$2974,Dashboard!$C$6)-SUMIFS(Data_thang!$K$2:$K$2974,Data_thang!$A$2:$A$2974,E12,Data_thang!$G$2:$G$2974,Dashboard!$C$6))/1000</f>
        <v/>
      </c>
      <c r="H12" s="32">
        <f>SUMIFS(Data_thang!$L$2:$L$2974,Data_thang!$A$2:$A$2974,E12,Data_thang!$G$2:$G$2974,Dashboard!$C$6)</f>
        <v/>
      </c>
      <c r="I12" s="33">
        <f>(SUMIFS(Data_thang!$N$2:$N$2974,Data_thang!$A$2:$A$2974,E12,Data_thang!$G$2:$G$2974,Dashboard!$C$6)-SUMIFS(Data_thang!$O$2:$O$2974,Data_thang!$A$2:$A$2974,E12,Data_thang!$G$2:$G$2974,Dashboard!$C$6)+SUMIFS(Data_thang!$K$2:$K$2974,Data_thang!$A$2:$A$2974,E12,Data_thang!$G$2:$G$2974,Dashboard!$C$6))/1000</f>
        <v/>
      </c>
      <c r="J12" s="22" t="n"/>
      <c r="K12" s="22" t="n"/>
      <c r="L12" s="22" t="n"/>
      <c r="M12" s="22" t="n"/>
      <c r="N12" s="22" t="n"/>
      <c r="O12" s="22" t="n"/>
    </row>
    <row r="13">
      <c r="A13" s="22" t="inlineStr">
        <is>
          <t>03/2020</t>
        </is>
      </c>
      <c r="B13" s="22" t="n">
        <v>202003</v>
      </c>
      <c r="C13" s="22" t="n"/>
      <c r="D13" s="22" t="n">
        <v>11</v>
      </c>
      <c r="E13" s="22">
        <f>YEAR(DATE(INT(Dashboard!$D$6/100),MOD(Dashboard!$D$6,100)-23+D13,1))*100+MONTH(DATE(INT(Dashboard!$D$6/100),MOD(Dashboard!$D$6,100)-23+D13,1))</f>
        <v/>
      </c>
      <c r="F13" s="22">
        <f>RIGHT("0"&amp;MOD(E13,100),2)&amp;"/"&amp;RIGHT(INT(E13/100),2)</f>
        <v/>
      </c>
      <c r="G13" s="33">
        <f>(SUMIFS(Data_thang!$J$2:$J$2974,Data_thang!$A$2:$A$2974,E13,Data_thang!$G$2:$G$2974,Dashboard!$C$6)-SUMIFS(Data_thang!$K$2:$K$2974,Data_thang!$A$2:$A$2974,E13,Data_thang!$G$2:$G$2974,Dashboard!$C$6))/1000</f>
        <v/>
      </c>
      <c r="H13" s="32">
        <f>SUMIFS(Data_thang!$L$2:$L$2974,Data_thang!$A$2:$A$2974,E13,Data_thang!$G$2:$G$2974,Dashboard!$C$6)</f>
        <v/>
      </c>
      <c r="I13" s="33">
        <f>(SUMIFS(Data_thang!$N$2:$N$2974,Data_thang!$A$2:$A$2974,E13,Data_thang!$G$2:$G$2974,Dashboard!$C$6)-SUMIFS(Data_thang!$O$2:$O$2974,Data_thang!$A$2:$A$2974,E13,Data_thang!$G$2:$G$2974,Dashboard!$C$6)+SUMIFS(Data_thang!$K$2:$K$2974,Data_thang!$A$2:$A$2974,E13,Data_thang!$G$2:$G$2974,Dashboard!$C$6))/1000</f>
        <v/>
      </c>
      <c r="J13" s="22" t="n"/>
      <c r="K13" s="22" t="n"/>
      <c r="L13" s="22" t="n"/>
      <c r="M13" s="22" t="n"/>
      <c r="N13" s="22" t="n"/>
      <c r="O13" s="22" t="n"/>
    </row>
    <row r="14">
      <c r="A14" s="22" t="inlineStr">
        <is>
          <t>02/2020</t>
        </is>
      </c>
      <c r="B14" s="22" t="n">
        <v>202002</v>
      </c>
      <c r="C14" s="22" t="n"/>
      <c r="D14" s="22" t="n">
        <v>12</v>
      </c>
      <c r="E14" s="22">
        <f>YEAR(DATE(INT(Dashboard!$D$6/100),MOD(Dashboard!$D$6,100)-23+D14,1))*100+MONTH(DATE(INT(Dashboard!$D$6/100),MOD(Dashboard!$D$6,100)-23+D14,1))</f>
        <v/>
      </c>
      <c r="F14" s="22">
        <f>RIGHT("0"&amp;MOD(E14,100),2)&amp;"/"&amp;RIGHT(INT(E14/100),2)</f>
        <v/>
      </c>
      <c r="G14" s="33">
        <f>(SUMIFS(Data_thang!$J$2:$J$2974,Data_thang!$A$2:$A$2974,E14,Data_thang!$G$2:$G$2974,Dashboard!$C$6)-SUMIFS(Data_thang!$K$2:$K$2974,Data_thang!$A$2:$A$2974,E14,Data_thang!$G$2:$G$2974,Dashboard!$C$6))/1000</f>
        <v/>
      </c>
      <c r="H14" s="32">
        <f>SUMIFS(Data_thang!$L$2:$L$2974,Data_thang!$A$2:$A$2974,E14,Data_thang!$G$2:$G$2974,Dashboard!$C$6)</f>
        <v/>
      </c>
      <c r="I14" s="33">
        <f>(SUMIFS(Data_thang!$N$2:$N$2974,Data_thang!$A$2:$A$2974,E14,Data_thang!$G$2:$G$2974,Dashboard!$C$6)-SUMIFS(Data_thang!$O$2:$O$2974,Data_thang!$A$2:$A$2974,E14,Data_thang!$G$2:$G$2974,Dashboard!$C$6)+SUMIFS(Data_thang!$K$2:$K$2974,Data_thang!$A$2:$A$2974,E14,Data_thang!$G$2:$G$2974,Dashboard!$C$6))/1000</f>
        <v/>
      </c>
      <c r="J14" s="22" t="n"/>
      <c r="K14" s="22" t="n"/>
      <c r="L14" s="22" t="n"/>
      <c r="M14" s="22" t="n"/>
      <c r="N14" s="22" t="n"/>
      <c r="O14" s="22" t="n"/>
    </row>
    <row r="15">
      <c r="A15" s="22" t="inlineStr">
        <is>
          <t>01/2020</t>
        </is>
      </c>
      <c r="B15" s="22" t="n">
        <v>202001</v>
      </c>
      <c r="C15" s="22" t="n"/>
      <c r="D15" s="22" t="n">
        <v>13</v>
      </c>
      <c r="E15" s="22">
        <f>YEAR(DATE(INT(Dashboard!$D$6/100),MOD(Dashboard!$D$6,100)-23+D15,1))*100+MONTH(DATE(INT(Dashboard!$D$6/100),MOD(Dashboard!$D$6,100)-23+D15,1))</f>
        <v/>
      </c>
      <c r="F15" s="22">
        <f>RIGHT("0"&amp;MOD(E15,100),2)&amp;"/"&amp;RIGHT(INT(E15/100),2)</f>
        <v/>
      </c>
      <c r="G15" s="33">
        <f>(SUMIFS(Data_thang!$J$2:$J$2974,Data_thang!$A$2:$A$2974,E15,Data_thang!$G$2:$G$2974,Dashboard!$C$6)-SUMIFS(Data_thang!$K$2:$K$2974,Data_thang!$A$2:$A$2974,E15,Data_thang!$G$2:$G$2974,Dashboard!$C$6))/1000</f>
        <v/>
      </c>
      <c r="H15" s="32">
        <f>SUMIFS(Data_thang!$L$2:$L$2974,Data_thang!$A$2:$A$2974,E15,Data_thang!$G$2:$G$2974,Dashboard!$C$6)</f>
        <v/>
      </c>
      <c r="I15" s="33">
        <f>(SUMIFS(Data_thang!$N$2:$N$2974,Data_thang!$A$2:$A$2974,E15,Data_thang!$G$2:$G$2974,Dashboard!$C$6)-SUMIFS(Data_thang!$O$2:$O$2974,Data_thang!$A$2:$A$2974,E15,Data_thang!$G$2:$G$2974,Dashboard!$C$6)+SUMIFS(Data_thang!$K$2:$K$2974,Data_thang!$A$2:$A$2974,E15,Data_thang!$G$2:$G$2974,Dashboard!$C$6))/1000</f>
        <v/>
      </c>
      <c r="J15" s="22" t="n"/>
      <c r="K15" s="22" t="n"/>
      <c r="L15" s="22" t="n"/>
      <c r="M15" s="22" t="n"/>
      <c r="N15" s="22" t="n"/>
      <c r="O15" s="22" t="n"/>
    </row>
    <row r="16">
      <c r="A16" s="22" t="inlineStr">
        <is>
          <t>12/2019</t>
        </is>
      </c>
      <c r="B16" s="22" t="n">
        <v>201912</v>
      </c>
      <c r="C16" s="22" t="n"/>
      <c r="D16" s="22" t="n">
        <v>14</v>
      </c>
      <c r="E16" s="22">
        <f>YEAR(DATE(INT(Dashboard!$D$6/100),MOD(Dashboard!$D$6,100)-23+D16,1))*100+MONTH(DATE(INT(Dashboard!$D$6/100),MOD(Dashboard!$D$6,100)-23+D16,1))</f>
        <v/>
      </c>
      <c r="F16" s="22">
        <f>RIGHT("0"&amp;MOD(E16,100),2)&amp;"/"&amp;RIGHT(INT(E16/100),2)</f>
        <v/>
      </c>
      <c r="G16" s="33">
        <f>(SUMIFS(Data_thang!$J$2:$J$2974,Data_thang!$A$2:$A$2974,E16,Data_thang!$G$2:$G$2974,Dashboard!$C$6)-SUMIFS(Data_thang!$K$2:$K$2974,Data_thang!$A$2:$A$2974,E16,Data_thang!$G$2:$G$2974,Dashboard!$C$6))/1000</f>
        <v/>
      </c>
      <c r="H16" s="32">
        <f>SUMIFS(Data_thang!$L$2:$L$2974,Data_thang!$A$2:$A$2974,E16,Data_thang!$G$2:$G$2974,Dashboard!$C$6)</f>
        <v/>
      </c>
      <c r="I16" s="33">
        <f>(SUMIFS(Data_thang!$N$2:$N$2974,Data_thang!$A$2:$A$2974,E16,Data_thang!$G$2:$G$2974,Dashboard!$C$6)-SUMIFS(Data_thang!$O$2:$O$2974,Data_thang!$A$2:$A$2974,E16,Data_thang!$G$2:$G$2974,Dashboard!$C$6)+SUMIFS(Data_thang!$K$2:$K$2974,Data_thang!$A$2:$A$2974,E16,Data_thang!$G$2:$G$2974,Dashboard!$C$6))/1000</f>
        <v/>
      </c>
      <c r="J16" s="22" t="n"/>
      <c r="K16" s="22" t="n"/>
      <c r="L16" s="22" t="n"/>
      <c r="M16" s="22" t="n"/>
      <c r="N16" s="22" t="n"/>
      <c r="O16" s="22" t="n"/>
    </row>
    <row r="17">
      <c r="A17" s="22" t="inlineStr">
        <is>
          <t>11/2019</t>
        </is>
      </c>
      <c r="B17" s="22" t="n">
        <v>201911</v>
      </c>
      <c r="C17" s="22" t="n"/>
      <c r="D17" s="22" t="n">
        <v>15</v>
      </c>
      <c r="E17" s="22">
        <f>YEAR(DATE(INT(Dashboard!$D$6/100),MOD(Dashboard!$D$6,100)-23+D17,1))*100+MONTH(DATE(INT(Dashboard!$D$6/100),MOD(Dashboard!$D$6,100)-23+D17,1))</f>
        <v/>
      </c>
      <c r="F17" s="22">
        <f>RIGHT("0"&amp;MOD(E17,100),2)&amp;"/"&amp;RIGHT(INT(E17/100),2)</f>
        <v/>
      </c>
      <c r="G17" s="33">
        <f>(SUMIFS(Data_thang!$J$2:$J$2974,Data_thang!$A$2:$A$2974,E17,Data_thang!$G$2:$G$2974,Dashboard!$C$6)-SUMIFS(Data_thang!$K$2:$K$2974,Data_thang!$A$2:$A$2974,E17,Data_thang!$G$2:$G$2974,Dashboard!$C$6))/1000</f>
        <v/>
      </c>
      <c r="H17" s="32">
        <f>SUMIFS(Data_thang!$L$2:$L$2974,Data_thang!$A$2:$A$2974,E17,Data_thang!$G$2:$G$2974,Dashboard!$C$6)</f>
        <v/>
      </c>
      <c r="I17" s="33">
        <f>(SUMIFS(Data_thang!$N$2:$N$2974,Data_thang!$A$2:$A$2974,E17,Data_thang!$G$2:$G$2974,Dashboard!$C$6)-SUMIFS(Data_thang!$O$2:$O$2974,Data_thang!$A$2:$A$2974,E17,Data_thang!$G$2:$G$2974,Dashboard!$C$6)+SUMIFS(Data_thang!$K$2:$K$2974,Data_thang!$A$2:$A$2974,E17,Data_thang!$G$2:$G$2974,Dashboard!$C$6))/1000</f>
        <v/>
      </c>
      <c r="J17" s="22" t="n"/>
      <c r="K17" s="22" t="n"/>
      <c r="L17" s="22" t="n"/>
      <c r="M17" s="22" t="n"/>
      <c r="N17" s="22" t="n"/>
      <c r="O17" s="22" t="n"/>
    </row>
    <row r="18">
      <c r="A18" s="22" t="inlineStr">
        <is>
          <t>10/2019</t>
        </is>
      </c>
      <c r="B18" s="22" t="n">
        <v>201910</v>
      </c>
      <c r="C18" s="22" t="n"/>
      <c r="D18" s="22" t="n">
        <v>16</v>
      </c>
      <c r="E18" s="22">
        <f>YEAR(DATE(INT(Dashboard!$D$6/100),MOD(Dashboard!$D$6,100)-23+D18,1))*100+MONTH(DATE(INT(Dashboard!$D$6/100),MOD(Dashboard!$D$6,100)-23+D18,1))</f>
        <v/>
      </c>
      <c r="F18" s="22">
        <f>RIGHT("0"&amp;MOD(E18,100),2)&amp;"/"&amp;RIGHT(INT(E18/100),2)</f>
        <v/>
      </c>
      <c r="G18" s="33">
        <f>(SUMIFS(Data_thang!$J$2:$J$2974,Data_thang!$A$2:$A$2974,E18,Data_thang!$G$2:$G$2974,Dashboard!$C$6)-SUMIFS(Data_thang!$K$2:$K$2974,Data_thang!$A$2:$A$2974,E18,Data_thang!$G$2:$G$2974,Dashboard!$C$6))/1000</f>
        <v/>
      </c>
      <c r="H18" s="32">
        <f>SUMIFS(Data_thang!$L$2:$L$2974,Data_thang!$A$2:$A$2974,E18,Data_thang!$G$2:$G$2974,Dashboard!$C$6)</f>
        <v/>
      </c>
      <c r="I18" s="33">
        <f>(SUMIFS(Data_thang!$N$2:$N$2974,Data_thang!$A$2:$A$2974,E18,Data_thang!$G$2:$G$2974,Dashboard!$C$6)-SUMIFS(Data_thang!$O$2:$O$2974,Data_thang!$A$2:$A$2974,E18,Data_thang!$G$2:$G$2974,Dashboard!$C$6)+SUMIFS(Data_thang!$K$2:$K$2974,Data_thang!$A$2:$A$2974,E18,Data_thang!$G$2:$G$2974,Dashboard!$C$6))/1000</f>
        <v/>
      </c>
      <c r="J18" s="22" t="n"/>
      <c r="K18" s="22" t="n"/>
      <c r="L18" s="22" t="n"/>
      <c r="M18" s="22" t="n"/>
      <c r="N18" s="22" t="n"/>
      <c r="O18" s="22" t="n"/>
    </row>
    <row r="19">
      <c r="A19" s="22" t="inlineStr">
        <is>
          <t>09/2019</t>
        </is>
      </c>
      <c r="B19" s="22" t="n">
        <v>201909</v>
      </c>
      <c r="C19" s="22" t="n"/>
      <c r="D19" s="22" t="n">
        <v>17</v>
      </c>
      <c r="E19" s="22">
        <f>YEAR(DATE(INT(Dashboard!$D$6/100),MOD(Dashboard!$D$6,100)-23+D19,1))*100+MONTH(DATE(INT(Dashboard!$D$6/100),MOD(Dashboard!$D$6,100)-23+D19,1))</f>
        <v/>
      </c>
      <c r="F19" s="22">
        <f>RIGHT("0"&amp;MOD(E19,100),2)&amp;"/"&amp;RIGHT(INT(E19/100),2)</f>
        <v/>
      </c>
      <c r="G19" s="33">
        <f>(SUMIFS(Data_thang!$J$2:$J$2974,Data_thang!$A$2:$A$2974,E19,Data_thang!$G$2:$G$2974,Dashboard!$C$6)-SUMIFS(Data_thang!$K$2:$K$2974,Data_thang!$A$2:$A$2974,E19,Data_thang!$G$2:$G$2974,Dashboard!$C$6))/1000</f>
        <v/>
      </c>
      <c r="H19" s="32">
        <f>SUMIFS(Data_thang!$L$2:$L$2974,Data_thang!$A$2:$A$2974,E19,Data_thang!$G$2:$G$2974,Dashboard!$C$6)</f>
        <v/>
      </c>
      <c r="I19" s="33">
        <f>(SUMIFS(Data_thang!$N$2:$N$2974,Data_thang!$A$2:$A$2974,E19,Data_thang!$G$2:$G$2974,Dashboard!$C$6)-SUMIFS(Data_thang!$O$2:$O$2974,Data_thang!$A$2:$A$2974,E19,Data_thang!$G$2:$G$2974,Dashboard!$C$6)+SUMIFS(Data_thang!$K$2:$K$2974,Data_thang!$A$2:$A$2974,E19,Data_thang!$G$2:$G$2974,Dashboard!$C$6))/1000</f>
        <v/>
      </c>
      <c r="J19" s="22" t="n"/>
      <c r="K19" s="22" t="n"/>
      <c r="L19" s="22" t="n"/>
      <c r="M19" s="22" t="n"/>
      <c r="N19" s="22" t="n"/>
      <c r="O19" s="22" t="n"/>
    </row>
    <row r="20">
      <c r="A20" s="22" t="inlineStr">
        <is>
          <t>08/2019</t>
        </is>
      </c>
      <c r="B20" s="22" t="n">
        <v>201908</v>
      </c>
      <c r="C20" s="22" t="n"/>
      <c r="D20" s="22" t="n">
        <v>18</v>
      </c>
      <c r="E20" s="22">
        <f>YEAR(DATE(INT(Dashboard!$D$6/100),MOD(Dashboard!$D$6,100)-23+D20,1))*100+MONTH(DATE(INT(Dashboard!$D$6/100),MOD(Dashboard!$D$6,100)-23+D20,1))</f>
        <v/>
      </c>
      <c r="F20" s="22">
        <f>RIGHT("0"&amp;MOD(E20,100),2)&amp;"/"&amp;RIGHT(INT(E20/100),2)</f>
        <v/>
      </c>
      <c r="G20" s="33">
        <f>(SUMIFS(Data_thang!$J$2:$J$2974,Data_thang!$A$2:$A$2974,E20,Data_thang!$G$2:$G$2974,Dashboard!$C$6)-SUMIFS(Data_thang!$K$2:$K$2974,Data_thang!$A$2:$A$2974,E20,Data_thang!$G$2:$G$2974,Dashboard!$C$6))/1000</f>
        <v/>
      </c>
      <c r="H20" s="32">
        <f>SUMIFS(Data_thang!$L$2:$L$2974,Data_thang!$A$2:$A$2974,E20,Data_thang!$G$2:$G$2974,Dashboard!$C$6)</f>
        <v/>
      </c>
      <c r="I20" s="33">
        <f>(SUMIFS(Data_thang!$N$2:$N$2974,Data_thang!$A$2:$A$2974,E20,Data_thang!$G$2:$G$2974,Dashboard!$C$6)-SUMIFS(Data_thang!$O$2:$O$2974,Data_thang!$A$2:$A$2974,E20,Data_thang!$G$2:$G$2974,Dashboard!$C$6)+SUMIFS(Data_thang!$K$2:$K$2974,Data_thang!$A$2:$A$2974,E20,Data_thang!$G$2:$G$2974,Dashboard!$C$6))/1000</f>
        <v/>
      </c>
      <c r="J20" s="22" t="n"/>
      <c r="K20" s="22" t="n"/>
      <c r="L20" s="22" t="n"/>
      <c r="M20" s="22" t="n"/>
      <c r="N20" s="22" t="n"/>
      <c r="O20" s="22" t="n"/>
    </row>
    <row r="21">
      <c r="A21" s="22" t="inlineStr">
        <is>
          <t>07/2019</t>
        </is>
      </c>
      <c r="B21" s="22" t="n">
        <v>201907</v>
      </c>
      <c r="C21" s="22" t="n"/>
      <c r="D21" s="22" t="n">
        <v>19</v>
      </c>
      <c r="E21" s="22">
        <f>YEAR(DATE(INT(Dashboard!$D$6/100),MOD(Dashboard!$D$6,100)-23+D21,1))*100+MONTH(DATE(INT(Dashboard!$D$6/100),MOD(Dashboard!$D$6,100)-23+D21,1))</f>
        <v/>
      </c>
      <c r="F21" s="22">
        <f>RIGHT("0"&amp;MOD(E21,100),2)&amp;"/"&amp;RIGHT(INT(E21/100),2)</f>
        <v/>
      </c>
      <c r="G21" s="33">
        <f>(SUMIFS(Data_thang!$J$2:$J$2974,Data_thang!$A$2:$A$2974,E21,Data_thang!$G$2:$G$2974,Dashboard!$C$6)-SUMIFS(Data_thang!$K$2:$K$2974,Data_thang!$A$2:$A$2974,E21,Data_thang!$G$2:$G$2974,Dashboard!$C$6))/1000</f>
        <v/>
      </c>
      <c r="H21" s="32">
        <f>SUMIFS(Data_thang!$L$2:$L$2974,Data_thang!$A$2:$A$2974,E21,Data_thang!$G$2:$G$2974,Dashboard!$C$6)</f>
        <v/>
      </c>
      <c r="I21" s="33">
        <f>(SUMIFS(Data_thang!$N$2:$N$2974,Data_thang!$A$2:$A$2974,E21,Data_thang!$G$2:$G$2974,Dashboard!$C$6)-SUMIFS(Data_thang!$O$2:$O$2974,Data_thang!$A$2:$A$2974,E21,Data_thang!$G$2:$G$2974,Dashboard!$C$6)+SUMIFS(Data_thang!$K$2:$K$2974,Data_thang!$A$2:$A$2974,E21,Data_thang!$G$2:$G$2974,Dashboard!$C$6))/1000</f>
        <v/>
      </c>
      <c r="J21" s="22" t="n"/>
      <c r="K21" s="22" t="n"/>
      <c r="L21" s="22" t="n"/>
      <c r="M21" s="22" t="n"/>
      <c r="N21" s="22" t="n"/>
      <c r="O21" s="22" t="n"/>
    </row>
    <row r="22">
      <c r="A22" s="22" t="inlineStr">
        <is>
          <t>06/2019</t>
        </is>
      </c>
      <c r="B22" s="22" t="n">
        <v>201906</v>
      </c>
      <c r="C22" s="22" t="n"/>
      <c r="D22" s="22" t="n">
        <v>20</v>
      </c>
      <c r="E22" s="22">
        <f>YEAR(DATE(INT(Dashboard!$D$6/100),MOD(Dashboard!$D$6,100)-23+D22,1))*100+MONTH(DATE(INT(Dashboard!$D$6/100),MOD(Dashboard!$D$6,100)-23+D22,1))</f>
        <v/>
      </c>
      <c r="F22" s="22">
        <f>RIGHT("0"&amp;MOD(E22,100),2)&amp;"/"&amp;RIGHT(INT(E22/100),2)</f>
        <v/>
      </c>
      <c r="G22" s="33">
        <f>(SUMIFS(Data_thang!$J$2:$J$2974,Data_thang!$A$2:$A$2974,E22,Data_thang!$G$2:$G$2974,Dashboard!$C$6)-SUMIFS(Data_thang!$K$2:$K$2974,Data_thang!$A$2:$A$2974,E22,Data_thang!$G$2:$G$2974,Dashboard!$C$6))/1000</f>
        <v/>
      </c>
      <c r="H22" s="32">
        <f>SUMIFS(Data_thang!$L$2:$L$2974,Data_thang!$A$2:$A$2974,E22,Data_thang!$G$2:$G$2974,Dashboard!$C$6)</f>
        <v/>
      </c>
      <c r="I22" s="33">
        <f>(SUMIFS(Data_thang!$N$2:$N$2974,Data_thang!$A$2:$A$2974,E22,Data_thang!$G$2:$G$2974,Dashboard!$C$6)-SUMIFS(Data_thang!$O$2:$O$2974,Data_thang!$A$2:$A$2974,E22,Data_thang!$G$2:$G$2974,Dashboard!$C$6)+SUMIFS(Data_thang!$K$2:$K$2974,Data_thang!$A$2:$A$2974,E22,Data_thang!$G$2:$G$2974,Dashboard!$C$6))/1000</f>
        <v/>
      </c>
      <c r="J22" s="22" t="n"/>
      <c r="K22" s="22" t="n"/>
      <c r="L22" s="22" t="n"/>
      <c r="M22" s="22" t="n"/>
      <c r="N22" s="22" t="n"/>
      <c r="O22" s="22" t="n"/>
    </row>
    <row r="23">
      <c r="A23" s="22" t="inlineStr">
        <is>
          <t>05/2019</t>
        </is>
      </c>
      <c r="B23" s="22" t="n">
        <v>201905</v>
      </c>
      <c r="C23" s="22" t="n"/>
      <c r="D23" s="22" t="n">
        <v>21</v>
      </c>
      <c r="E23" s="22">
        <f>YEAR(DATE(INT(Dashboard!$D$6/100),MOD(Dashboard!$D$6,100)-23+D23,1))*100+MONTH(DATE(INT(Dashboard!$D$6/100),MOD(Dashboard!$D$6,100)-23+D23,1))</f>
        <v/>
      </c>
      <c r="F23" s="22">
        <f>RIGHT("0"&amp;MOD(E23,100),2)&amp;"/"&amp;RIGHT(INT(E23/100),2)</f>
        <v/>
      </c>
      <c r="G23" s="33">
        <f>(SUMIFS(Data_thang!$J$2:$J$2974,Data_thang!$A$2:$A$2974,E23,Data_thang!$G$2:$G$2974,Dashboard!$C$6)-SUMIFS(Data_thang!$K$2:$K$2974,Data_thang!$A$2:$A$2974,E23,Data_thang!$G$2:$G$2974,Dashboard!$C$6))/1000</f>
        <v/>
      </c>
      <c r="H23" s="32">
        <f>SUMIFS(Data_thang!$L$2:$L$2974,Data_thang!$A$2:$A$2974,E23,Data_thang!$G$2:$G$2974,Dashboard!$C$6)</f>
        <v/>
      </c>
      <c r="I23" s="33">
        <f>(SUMIFS(Data_thang!$N$2:$N$2974,Data_thang!$A$2:$A$2974,E23,Data_thang!$G$2:$G$2974,Dashboard!$C$6)-SUMIFS(Data_thang!$O$2:$O$2974,Data_thang!$A$2:$A$2974,E23,Data_thang!$G$2:$G$2974,Dashboard!$C$6)+SUMIFS(Data_thang!$K$2:$K$2974,Data_thang!$A$2:$A$2974,E23,Data_thang!$G$2:$G$2974,Dashboard!$C$6))/1000</f>
        <v/>
      </c>
      <c r="J23" s="22" t="n"/>
      <c r="K23" s="22" t="n"/>
      <c r="L23" s="22" t="n"/>
      <c r="M23" s="22" t="n"/>
      <c r="N23" s="22" t="n"/>
      <c r="O23" s="22" t="n"/>
    </row>
    <row r="24">
      <c r="A24" s="22" t="inlineStr">
        <is>
          <t>04/2019</t>
        </is>
      </c>
      <c r="B24" s="22" t="n">
        <v>201904</v>
      </c>
      <c r="C24" s="22" t="n"/>
      <c r="D24" s="22" t="n">
        <v>22</v>
      </c>
      <c r="E24" s="22">
        <f>YEAR(DATE(INT(Dashboard!$D$6/100),MOD(Dashboard!$D$6,100)-23+D24,1))*100+MONTH(DATE(INT(Dashboard!$D$6/100),MOD(Dashboard!$D$6,100)-23+D24,1))</f>
        <v/>
      </c>
      <c r="F24" s="22">
        <f>RIGHT("0"&amp;MOD(E24,100),2)&amp;"/"&amp;RIGHT(INT(E24/100),2)</f>
        <v/>
      </c>
      <c r="G24" s="33">
        <f>(SUMIFS(Data_thang!$J$2:$J$2974,Data_thang!$A$2:$A$2974,E24,Data_thang!$G$2:$G$2974,Dashboard!$C$6)-SUMIFS(Data_thang!$K$2:$K$2974,Data_thang!$A$2:$A$2974,E24,Data_thang!$G$2:$G$2974,Dashboard!$C$6))/1000</f>
        <v/>
      </c>
      <c r="H24" s="32">
        <f>SUMIFS(Data_thang!$L$2:$L$2974,Data_thang!$A$2:$A$2974,E24,Data_thang!$G$2:$G$2974,Dashboard!$C$6)</f>
        <v/>
      </c>
      <c r="I24" s="33">
        <f>(SUMIFS(Data_thang!$N$2:$N$2974,Data_thang!$A$2:$A$2974,E24,Data_thang!$G$2:$G$2974,Dashboard!$C$6)-SUMIFS(Data_thang!$O$2:$O$2974,Data_thang!$A$2:$A$2974,E24,Data_thang!$G$2:$G$2974,Dashboard!$C$6)+SUMIFS(Data_thang!$K$2:$K$2974,Data_thang!$A$2:$A$2974,E24,Data_thang!$G$2:$G$2974,Dashboard!$C$6))/1000</f>
        <v/>
      </c>
      <c r="J24" s="22" t="n"/>
      <c r="K24" s="22" t="n"/>
      <c r="L24" s="22" t="n"/>
      <c r="M24" s="22" t="n"/>
      <c r="N24" s="22" t="n"/>
      <c r="O24" s="22" t="n"/>
    </row>
    <row r="25">
      <c r="A25" s="22" t="inlineStr">
        <is>
          <t>03/2019</t>
        </is>
      </c>
      <c r="B25" s="22" t="n">
        <v>201903</v>
      </c>
      <c r="C25" s="22" t="n"/>
      <c r="D25" s="22" t="n">
        <v>23</v>
      </c>
      <c r="E25" s="22">
        <f>YEAR(DATE(INT(Dashboard!$D$6/100),MOD(Dashboard!$D$6,100)-23+D25,1))*100+MONTH(DATE(INT(Dashboard!$D$6/100),MOD(Dashboard!$D$6,100)-23+D25,1))</f>
        <v/>
      </c>
      <c r="F25" s="22">
        <f>RIGHT("0"&amp;MOD(E25,100),2)&amp;"/"&amp;RIGHT(INT(E25/100),2)</f>
        <v/>
      </c>
      <c r="G25" s="33">
        <f>(SUMIFS(Data_thang!$J$2:$J$2974,Data_thang!$A$2:$A$2974,E25,Data_thang!$G$2:$G$2974,Dashboard!$C$6)-SUMIFS(Data_thang!$K$2:$K$2974,Data_thang!$A$2:$A$2974,E25,Data_thang!$G$2:$G$2974,Dashboard!$C$6))/1000</f>
        <v/>
      </c>
      <c r="H25" s="32">
        <f>SUMIFS(Data_thang!$L$2:$L$2974,Data_thang!$A$2:$A$2974,E25,Data_thang!$G$2:$G$2974,Dashboard!$C$6)</f>
        <v/>
      </c>
      <c r="I25" s="33">
        <f>(SUMIFS(Data_thang!$N$2:$N$2974,Data_thang!$A$2:$A$2974,E25,Data_thang!$G$2:$G$2974,Dashboard!$C$6)-SUMIFS(Data_thang!$O$2:$O$2974,Data_thang!$A$2:$A$2974,E25,Data_thang!$G$2:$G$2974,Dashboard!$C$6)+SUMIFS(Data_thang!$K$2:$K$2974,Data_thang!$A$2:$A$2974,E25,Data_thang!$G$2:$G$2974,Dashboard!$C$6))/1000</f>
        <v/>
      </c>
      <c r="J25" s="22" t="n"/>
      <c r="K25" s="22" t="n"/>
      <c r="L25" s="22" t="n"/>
      <c r="M25" s="22" t="n"/>
      <c r="N25" s="22" t="n"/>
      <c r="O25" s="22" t="n"/>
    </row>
    <row r="26">
      <c r="A26" s="22" t="inlineStr">
        <is>
          <t>02/2019</t>
        </is>
      </c>
      <c r="B26" s="22" t="n">
        <v>201902</v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</row>
    <row r="27">
      <c r="A27" s="22" t="inlineStr">
        <is>
          <t>01/2019</t>
        </is>
      </c>
      <c r="B27" s="22" t="n">
        <v>201901</v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</row>
    <row r="28">
      <c r="A28" s="22" t="inlineStr">
        <is>
          <t>12/2018</t>
        </is>
      </c>
      <c r="B28" s="22" t="n">
        <v>201812</v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</row>
    <row r="29">
      <c r="A29" s="22" t="inlineStr">
        <is>
          <t>11/2018</t>
        </is>
      </c>
      <c r="B29" s="22" t="n">
        <v>201811</v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</row>
    <row r="30">
      <c r="A30" s="34" t="inlineStr">
        <is>
          <t>Sheet tính toán phụ cho Dashboard — không sửa.</t>
        </is>
      </c>
      <c r="B30" s="22" t="n">
        <v>201810</v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</row>
    <row r="31">
      <c r="A31" s="22" t="inlineStr">
        <is>
          <t>09/2018</t>
        </is>
      </c>
      <c r="B31" s="22" t="n">
        <v>201809</v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</row>
    <row r="32">
      <c r="A32" s="22" t="inlineStr">
        <is>
          <t>08/2018</t>
        </is>
      </c>
      <c r="B32" s="22" t="n">
        <v>201808</v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</row>
    <row r="33">
      <c r="A33" s="22" t="inlineStr">
        <is>
          <t>07/2018</t>
        </is>
      </c>
      <c r="B33" s="22" t="n">
        <v>201807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</row>
    <row r="34">
      <c r="A34" s="22" t="inlineStr">
        <is>
          <t>06/2018</t>
        </is>
      </c>
      <c r="B34" s="22" t="n">
        <v>201806</v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</row>
    <row r="35">
      <c r="A35" s="22" t="inlineStr">
        <is>
          <t>05/2018</t>
        </is>
      </c>
      <c r="B35" s="22" t="n">
        <v>201805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</row>
    <row r="36">
      <c r="A36" s="22" t="inlineStr">
        <is>
          <t>04/2018</t>
        </is>
      </c>
      <c r="B36" s="22" t="n">
        <v>201804</v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</row>
    <row r="37">
      <c r="A37" s="22" t="inlineStr">
        <is>
          <t>03/2018</t>
        </is>
      </c>
      <c r="B37" s="22" t="n">
        <v>201803</v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</row>
    <row r="38">
      <c r="A38" s="22" t="inlineStr">
        <is>
          <t>02/2018</t>
        </is>
      </c>
      <c r="B38" s="22" t="n">
        <v>201802</v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</row>
    <row r="39">
      <c r="A39" s="22" t="inlineStr">
        <is>
          <t>01/2018</t>
        </is>
      </c>
      <c r="B39" s="22" t="n">
        <v>201801</v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</row>
    <row r="40">
      <c r="A40" s="22" t="inlineStr">
        <is>
          <t>12/2017</t>
        </is>
      </c>
      <c r="B40" s="22" t="n">
        <v>201712</v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</row>
    <row r="41">
      <c r="A41" s="22" t="inlineStr">
        <is>
          <t>11/2017</t>
        </is>
      </c>
      <c r="B41" s="22" t="n">
        <v>201711</v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</row>
    <row r="42">
      <c r="A42" s="22" t="inlineStr">
        <is>
          <t>10/2017</t>
        </is>
      </c>
      <c r="B42" s="22" t="n">
        <v>201710</v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</row>
    <row r="43">
      <c r="A43" s="22" t="inlineStr">
        <is>
          <t>09/2017</t>
        </is>
      </c>
      <c r="B43" s="22" t="n">
        <v>201709</v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</row>
    <row r="44">
      <c r="A44" s="22" t="inlineStr">
        <is>
          <t>08/2017</t>
        </is>
      </c>
      <c r="B44" s="22" t="n">
        <v>201708</v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</row>
    <row r="45">
      <c r="A45" s="22" t="inlineStr">
        <is>
          <t>07/2017</t>
        </is>
      </c>
      <c r="B45" s="22" t="n">
        <v>201707</v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</row>
    <row r="46">
      <c r="A46" s="22" t="inlineStr">
        <is>
          <t>06/2017</t>
        </is>
      </c>
      <c r="B46" s="22" t="n">
        <v>201706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</row>
    <row r="47">
      <c r="A47" s="22" t="inlineStr">
        <is>
          <t>05/2017</t>
        </is>
      </c>
      <c r="B47" s="22" t="n">
        <v>201705</v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</row>
    <row r="48">
      <c r="A48" s="22" t="inlineStr">
        <is>
          <t>04/2017</t>
        </is>
      </c>
      <c r="B48" s="22" t="n">
        <v>201704</v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</row>
    <row r="49">
      <c r="A49" s="22" t="inlineStr">
        <is>
          <t>03/2017</t>
        </is>
      </c>
      <c r="B49" s="22" t="n">
        <v>201703</v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</row>
    <row r="50">
      <c r="A50" s="22" t="inlineStr">
        <is>
          <t>02/2017</t>
        </is>
      </c>
      <c r="B50" s="22" t="n">
        <v>201702</v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</row>
    <row r="51">
      <c r="A51" s="22" t="inlineStr">
        <is>
          <t>01/2017</t>
        </is>
      </c>
      <c r="B51" s="22" t="n">
        <v>201701</v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</row>
    <row r="52">
      <c r="A52" s="22" t="inlineStr">
        <is>
          <t>12/2016</t>
        </is>
      </c>
      <c r="B52" s="22" t="n">
        <v>201612</v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</row>
    <row r="53">
      <c r="A53" s="22" t="inlineStr">
        <is>
          <t>11/2016</t>
        </is>
      </c>
      <c r="B53" s="22" t="n">
        <v>201611</v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</row>
    <row r="54">
      <c r="A54" s="22" t="inlineStr">
        <is>
          <t>10/2016</t>
        </is>
      </c>
      <c r="B54" s="22" t="n">
        <v>201610</v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</row>
    <row r="55">
      <c r="A55" s="22" t="inlineStr">
        <is>
          <t>09/2016</t>
        </is>
      </c>
      <c r="B55" s="22" t="n">
        <v>201609</v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</row>
    <row r="56">
      <c r="A56" s="22" t="inlineStr">
        <is>
          <t>08/2016</t>
        </is>
      </c>
      <c r="B56" s="22" t="n">
        <v>201608</v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</row>
    <row r="57">
      <c r="A57" s="22" t="inlineStr">
        <is>
          <t>07/2016</t>
        </is>
      </c>
      <c r="B57" s="22" t="n">
        <v>201607</v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</row>
    <row r="58">
      <c r="A58" s="22" t="inlineStr">
        <is>
          <t>06/2016</t>
        </is>
      </c>
      <c r="B58" s="22" t="n">
        <v>201606</v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</row>
    <row r="59">
      <c r="A59" s="22" t="inlineStr">
        <is>
          <t>05/2016</t>
        </is>
      </c>
      <c r="B59" s="22" t="n">
        <v>201605</v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</row>
    <row r="60">
      <c r="A60" s="22" t="inlineStr">
        <is>
          <t>04/2016</t>
        </is>
      </c>
      <c r="B60" s="22" t="n">
        <v>201604</v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</row>
    <row r="61">
      <c r="A61" s="22" t="inlineStr">
        <is>
          <t>03/2016</t>
        </is>
      </c>
      <c r="B61" s="22" t="n">
        <v>201603</v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</row>
    <row r="62">
      <c r="A62" s="22" t="inlineStr">
        <is>
          <t>02/2016</t>
        </is>
      </c>
      <c r="B62" s="22" t="n">
        <v>201602</v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</row>
    <row r="63">
      <c r="A63" s="22" t="inlineStr">
        <is>
          <t>01/2016</t>
        </is>
      </c>
      <c r="B63" s="22" t="n">
        <v>201601</v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35" t="inlineStr">
        <is>
          <t>Mục</t>
        </is>
      </c>
      <c r="B1" s="35" t="inlineStr">
        <is>
          <t>Nội dung</t>
        </is>
      </c>
    </row>
    <row r="2">
      <c r="A2" s="35" t="inlineStr">
        <is>
          <t>Mục đích</t>
        </is>
      </c>
      <c r="B2" s="36" t="inlineStr">
        <is>
          <t>Dashboard Excel một trang cho Sales Manager và Finance: tháng này bán được bao nhiêu, vì sao tăng/giảm, và số của dữ liệu đơn lệch Finance ở đâu.</t>
        </is>
      </c>
    </row>
    <row r="3">
      <c r="A3" s="35" t="inlineStr">
        <is>
          <t>Cách dùng</t>
        </is>
      </c>
      <c r="B3" s="36" t="inlineStr">
        <is>
          <t>Ở sheet Dashboard, chọn Tháng báo cáo và Kênh bán trong 2 ô màu vàng. KPI, câu 'Điểm chính', tiêu đề biểu đồ và bảng cửa hàng vượt ngưỡng tự cập nhật. Sheet Doi_soat lọc được theo tháng, cửa hàng, cờ.</t>
        </is>
      </c>
    </row>
    <row r="4">
      <c r="A4" s="35" t="inlineStr">
        <is>
          <t>Định nghĩa</t>
        </is>
      </c>
      <c r="B4" s="36" t="inlineStr">
        <is>
          <t>Net Sales = Gross Sales − Giảm giá; Net Revenue = Net Sales − Hoàn trả (theo ngày trả hàng); AOV = Net Sales / số đơn; Δ = Finance − dữ liệu đơn; Δ sau quy đổi = online tính theo ngày giao.</t>
        </is>
      </c>
    </row>
    <row r="5">
      <c r="A5" s="35" t="inlineStr">
        <is>
          <t>Ngưỡng</t>
        </is>
      </c>
      <c r="B5" s="36" t="inlineStr">
        <is>
          <t>Ô tháng × cửa hàng vượt ngưỡng khi |Δ| &gt; 200 USD và |Δ %| &gt; 1% (sửa ở Dashboard!G6, H6 nếu Finance đổi quy định).</t>
        </is>
      </c>
    </row>
    <row r="6">
      <c r="A6" s="35" t="inlineStr">
        <is>
          <t>Nguồn</t>
        </is>
      </c>
      <c r="B6" s="36" t="inlineStr">
        <is>
          <t>Data_thang và Data_danh_muc tổng hợp từ Nexa_Sales_P1_Dataset.xlsx và finance_revenue.xlsx bằng _mentor/build_dashboard_xlsx.py (chỉ đơn COMPLETED, đã loại dòng trùng). Không gồm bút toán HQ-ADJ.</t>
        </is>
      </c>
    </row>
    <row r="7">
      <c r="A7" s="35" t="inlineStr">
        <is>
          <t>Trình bày</t>
        </is>
      </c>
      <c r="B7" s="36" t="inlineStr">
        <is>
          <t>Theo Storytelling with Data: mỗi biểu đồ có tiêu đề nêu kết luận; màu xám cho bối cảnh, xanh dương cho điều cần nhìn, đỏ chỉ cho chênh lệch vượt ngưỡng; bỏ lưới và khung thừa; nguồn và ngày dữ liệu ở đầu trang.</t>
        </is>
      </c>
    </row>
    <row r="8">
      <c r="A8" s="35" t="inlineStr">
        <is>
          <t>Giới hạn</t>
        </is>
      </c>
      <c r="B8" s="36" t="inlineStr">
        <is>
          <t>Dashboard Excel lọc theo kênh, chưa lọc theo quốc gia (xem bản HTML hoặc tự thêm cột vào SUMIFS). Excel cần bật tính toán tự động (Formulas → Calculation Options → Automatic).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EDA Mentor</dc:creator>
  <dc:title xmlns:dc="http://purl.org/dc/elements/1.1/">Nexa Sales P1 – Dashboard Excel</dc:title>
  <dcterms:created xmlns:dcterms="http://purl.org/dc/terms/" xmlns:xsi="http://www.w3.org/2001/XMLSchema-instance" xsi:type="dcterms:W3CDTF">2026-10-10T05:15:44Z</dcterms:created>
  <dcterms:modified xmlns:dcterms="http://purl.org/dc/terms/" xmlns:xsi="http://www.w3.org/2001/XMLSchema-instance" xsi:type="dcterms:W3CDTF">2026-10-10T05:15:47Z</dcterms:modified>
</cp:coreProperties>
</file>